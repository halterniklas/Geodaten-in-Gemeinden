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Übersicht" sheetId="1" state="visible" r:id="rId3"/>
    <sheet name="1_Q1_Rechtsordnung" sheetId="2" state="visible" r:id="rId4"/>
    <sheet name="2_Q2_Landschaft" sheetId="3" state="visible" r:id="rId5"/>
    <sheet name="3_Q3_Klima_Energie" sheetId="4" state="visible" r:id="rId6"/>
    <sheet name="4_Q4_Resilienz" sheetId="5" state="visible" r:id="rId7"/>
    <sheet name="5_Q5_Ortsbild" sheetId="6" state="visible" r:id="rId8"/>
    <sheet name="6_Q6_Bestellung" sheetId="7" state="visible" r:id="rId9"/>
    <sheet name="7_GIS_Layers" sheetId="8" state="visible" r:id="rId10"/>
    <sheet name="8_Hinweise_Kataster" sheetId="9" state="visible" r:id="rId11"/>
  </sheets>
  <definedNames>
    <definedName function="false" hidden="false" localSheetId="1" name="_xlnm.Print_Titles" vbProcedure="false">1_Q1_Rechtsordnung!$5:$5</definedName>
    <definedName function="false" hidden="true" localSheetId="1" name="_xlnm._FilterDatabase" vbProcedure="false">1_Q1_Rechtsordnung!$A$5:$Q$97</definedName>
    <definedName function="false" hidden="false" localSheetId="2" name="_xlnm.Print_Titles" vbProcedure="false">2_Q2_Landschaft!$5:$5</definedName>
    <definedName function="false" hidden="true" localSheetId="2" name="_xlnm._FilterDatabase" vbProcedure="false">2_Q2_Landschaft!$A$5:$Q$36</definedName>
    <definedName function="false" hidden="false" localSheetId="3" name="_xlnm.Print_Titles" vbProcedure="false">3_Q3_Klima_Energie!$5:$5</definedName>
    <definedName function="false" hidden="true" localSheetId="3" name="_xlnm._FilterDatabase" vbProcedure="false">3_Q3_Klima_Energie!$A$5:$Q$33</definedName>
    <definedName function="false" hidden="false" localSheetId="4" name="_xlnm.Print_Titles" vbProcedure="false">4_Q4_Resilienz!$5:$5</definedName>
    <definedName function="false" hidden="true" localSheetId="4" name="_xlnm._FilterDatabase" vbProcedure="false">4_Q4_Resilienz!$A$5:$Q$34</definedName>
    <definedName function="false" hidden="false" localSheetId="5" name="_xlnm.Print_Titles" vbProcedure="false">5_Q5_Ortsbild!$5:$5</definedName>
    <definedName function="false" hidden="true" localSheetId="5" name="_xlnm._FilterDatabase" vbProcedure="false">5_Q5_Ortsbild!$A$5:$Q$31</definedName>
    <definedName function="false" hidden="false" localSheetId="6" name="_xlnm.Print_Titles" vbProcedure="false">6_Q6_Bestellung!$5:$5</definedName>
    <definedName function="false" hidden="true" localSheetId="6" name="_xlnm._FilterDatabase" vbProcedure="false">6_Q6_Bestellung!$A$5:$Q$37</definedName>
    <definedName function="false" hidden="true" localSheetId="7" name="_xlnm._FilterDatabase" vbProcedure="false">7_GIS_Layers!$A$4:$M$43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<sst xmlns="http://schemas.openxmlformats.org/spreadsheetml/2006/main" count="3833" uniqueCount="1003">
  <si>
    <t xml:space="preserve">Qualitätsrahmen Q1–Q6 · Erste Übersicht · Münchenstein, Wil, Seelisberg</t>
  </si>
  <si>
    <t xml:space="preserve">Raumgleiter · LP01 · Assignment 01 (Q-Restriktionsprofil, Entwurf) · Recherchestand 14.10.2026 · Basis: Q_Grundlagenkataster_3_Gemeinden_bereinigt.xlsx plus Ergänzungen</t>
  </si>
  <si>
    <t xml:space="preserve">Aufbau</t>
  </si>
  <si>
    <t xml:space="preserve">1_Q1_Rechtsordnung</t>
  </si>
  <si>
    <t xml:space="preserve">Erlasse und Pläne: Bund → Interkantonal → Kanton → Gemeinde (alle Q)</t>
  </si>
  <si>
    <t xml:space="preserve">2_Q2_Landschaft</t>
  </si>
  <si>
    <t xml:space="preserve">Dokumente, Inventare, Geodaten Landschaft/Biodiversität (inkl. nicht öffentliche Daten)</t>
  </si>
  <si>
    <t xml:space="preserve">3_Q3_Klima_Energie</t>
  </si>
  <si>
    <t xml:space="preserve">Dokumente, Inventare, Geodaten Klimaschutz/Energie/Ressourcen</t>
  </si>
  <si>
    <t xml:space="preserve">4_Q4_Resilienz</t>
  </si>
  <si>
    <t xml:space="preserve">Dokumente, Inventare, Geodaten Klimaanpassung/Resilienz</t>
  </si>
  <si>
    <t xml:space="preserve">5_Q5_Ortsbild</t>
  </si>
  <si>
    <t xml:space="preserve">Dokumente, Inventare, Geodaten Ortsbild/Baukultur</t>
  </si>
  <si>
    <t xml:space="preserve">6_Q6_Bestellung</t>
  </si>
  <si>
    <t xml:space="preserve">Dokumente, Grundlagen integrierte lebenszyklusorientierte Bestellung/Vergabe</t>
  </si>
  <si>
    <t xml:space="preserve">7_GIS_Layers</t>
  </si>
  <si>
    <t xml:space="preserve">Sammlung der GIS-Layer mit Links (CH-weit und je Gemeinde) zur Betroffenheitsprüfung</t>
  </si>
  <si>
    <t xml:space="preserve">8_Hinweise_Kataster</t>
  </si>
  <si>
    <t xml:space="preserve">Auffälligkeiten im Kataster, Umsetzungsstand</t>
  </si>
  <si>
    <t xml:space="preserve">Abdeckung je Blatt und Gemeinde (Anzahl Zeilen, per Formel aus den Blättern)</t>
  </si>
  <si>
    <t xml:space="preserve">Blatt</t>
  </si>
  <si>
    <t xml:space="preserve">Gemeinde</t>
  </si>
  <si>
    <t xml:space="preserve">gilt / belegt</t>
  </si>
  <si>
    <t xml:space="preserve">belegt – Betroffenheit offen</t>
  </si>
  <si>
    <t xml:space="preserve">keine Regelung (geprüft)</t>
  </si>
  <si>
    <t xml:space="preserve">nicht belegt (Recherche offen)</t>
  </si>
  <si>
    <t xml:space="preserve">Datenanfrage</t>
  </si>
  <si>
    <t xml:space="preserve">Summe</t>
  </si>
  <si>
    <t xml:space="preserve">Anteil belegt</t>
  </si>
  <si>
    <t xml:space="preserve">Münchenstein</t>
  </si>
  <si>
    <t xml:space="preserve">Wil</t>
  </si>
  <si>
    <t xml:space="preserve">Seelisberg</t>
  </si>
  <si>
    <t xml:space="preserve">Anteil belegt = (belegt + belegt – Betroffenheit offen) / Summe; «n. a.» wird nicht gezählt.</t>
  </si>
  <si>
    <t xml:space="preserve">Legende Status</t>
  </si>
  <si>
    <t xml:space="preserve">gilt</t>
  </si>
  <si>
    <t xml:space="preserve">Rechtsnorm gilt für die Gemeinde</t>
  </si>
  <si>
    <t xml:space="preserve">belegt</t>
  </si>
  <si>
    <t xml:space="preserve">Beleg mit Link vorhanden (Link-Status in der Spalte «Link-Status»)</t>
  </si>
  <si>
    <t xml:space="preserve">Layer/Inventar existiert; Lage in der Gemeinde per GIS-Overlay zu prüfen (Blatt 7)</t>
  </si>
  <si>
    <t xml:space="preserve">Recherche zeigt: die Ebene regelt/erhebt nichts, übergeordnetes Recht gilt (derzeit keine Zeile)</t>
  </si>
  <si>
    <t xml:space="preserve">bisher kein Beleg gefunden; Spalte «Offene Prüfung (wer / wie)» nennt das Vorgehen</t>
  </si>
  <si>
    <t xml:space="preserve">Datenanfrage (nicht öffentlich)</t>
  </si>
  <si>
    <t xml:space="preserve">nicht öffentlich; Existenzerwartung (hoch/mittel/unbekannt) im Prüfhinweis</t>
  </si>
  <si>
    <t xml:space="preserve">n. a.</t>
  </si>
  <si>
    <t xml:space="preserve">nicht anwendbar (andere Gebietskörperschaft)</t>
  </si>
  <si>
    <t xml:space="preserve">Link-Status = Herkunft · Test: «getestet OK» = Seite abgerufen; «Quelle bestätigt» = Link stammt von einer Behördenseite; «ungetestet» = in der Sandbox nicht abrufbar (kein defekter Link festgestellt). Herkunft: Kataster · Suchtreffer · Muster (Link nach bekanntem Muster) · Einstiegsseite (Dokument-URL nicht ermittelt).</t>
  </si>
  <si>
    <t xml:space="preserve">Der Status beschreibt Vorhandensein und Quelle, noch keine inhaltliche Einordnung (Ausschluss / Interessenabwägung / unkritisch) – bewusst zurückgestellt.</t>
  </si>
  <si>
    <t xml:space="preserve">1 · Q1 Recht und Planung – Rechtsordnung (Bund → Interkantonal → Kanton → Gemeinde)</t>
  </si>
  <si>
    <t xml:space="preserve">Erlasse und behördenverbindliche Pläne aller Q-Dimensionen (Spalte «Q»), gegliedert nach Rechtsebene.  |  Gemeinden: Münchenstein (BL), Wil (SG), Seelisberg (UR)  |  Recherchestand: 14.10.2026</t>
  </si>
  <si>
    <t xml:space="preserve">Status: gilt / belegt = Beleg mit Link vorhanden  ·  belegt – Betroffenheit offen = Layer/Inventar existiert, Lage in der Gemeinde per GIS zu prüfen (Blatt 7)  ·  keine Regelung (geprüft) = Ebene regelt nichts, übergeordnetes Recht gilt  ·  nicht belegt (Recherche offen) = bisher kein Beleg, Spalte «Offene Prüfung» nennt das Vorgehen  ·  Datenanfrage = nicht öffentlich  ·  n. a. = andere Gebietskörperschaft</t>
  </si>
  <si>
    <t xml:space="preserve">Ebene</t>
  </si>
  <si>
    <t xml:space="preserve">Q</t>
  </si>
  <si>
    <t xml:space="preserve">Typ</t>
  </si>
  <si>
    <t xml:space="preserve">Bezeichnung</t>
  </si>
  <si>
    <t xml:space="preserve">Referenz (SR/SGS/RB)</t>
  </si>
  <si>
    <t xml:space="preserve">Stand</t>
  </si>
  <si>
    <t xml:space="preserve">Zuständige Stelle</t>
  </si>
  <si>
    <t xml:space="preserve">Zugang</t>
  </si>
  <si>
    <t xml:space="preserve">Münchenstein (BL)</t>
  </si>
  <si>
    <t xml:space="preserve">Wil (SG)</t>
  </si>
  <si>
    <t xml:space="preserve">Seelisberg (UR)</t>
  </si>
  <si>
    <t xml:space="preserve">Inhalt / Mindestanforderung</t>
  </si>
  <si>
    <t xml:space="preserve">Link / Quelle</t>
  </si>
  <si>
    <t xml:space="preserve">Link-Status</t>
  </si>
  <si>
    <t xml:space="preserve">Herkunft · Confidence</t>
  </si>
  <si>
    <t xml:space="preserve">Prüfnachweis / Hinweis</t>
  </si>
  <si>
    <t xml:space="preserve">Offene Prüfung (wer / wie)</t>
  </si>
  <si>
    <t xml:space="preserve">BUND (gilt für alle drei Gemeinden)</t>
  </si>
  <si>
    <t xml:space="preserve">Bund</t>
  </si>
  <si>
    <t xml:space="preserve">Q1–Q6</t>
  </si>
  <si>
    <t xml:space="preserve">Verfassung</t>
  </si>
  <si>
    <t xml:space="preserve">Bundesverfassung (Art. 73 Nachhaltigkeit, 75 Raumplanung, 75b Zweitwohnungen, 78 Natur-/Heimatschutz, 89 Energie)</t>
  </si>
  <si>
    <t xml:space="preserve">SR 101</t>
  </si>
  <si>
    <t xml:space="preserve">–</t>
  </si>
  <si>
    <t xml:space="preserve">BK</t>
  </si>
  <si>
    <t xml:space="preserve">öffentlich</t>
  </si>
  <si>
    <t xml:space="preserve">Verfassungsgrundlagen für Raumplanung, Natur-/Heimatschutz, Energie</t>
  </si>
  <si>
    <t xml:space="preserve">https://www.fedlex.admin.ch/eli/cc/1999/404/de</t>
  </si>
  <si>
    <t xml:space="preserve">Muster · ungetestet</t>
  </si>
  <si>
    <t xml:space="preserve">Ergänzung · hoch</t>
  </si>
  <si>
    <t xml:space="preserve">Q1</t>
  </si>
  <si>
    <t xml:space="preserve">Gesetz</t>
  </si>
  <si>
    <t xml:space="preserve">Raumplanungsgesetz (RPG)</t>
  </si>
  <si>
    <t xml:space="preserve">SR 700</t>
  </si>
  <si>
    <t xml:space="preserve">konsolidierte Fassung (Fedlex)</t>
  </si>
  <si>
    <t xml:space="preserve">Bund (ARE)</t>
  </si>
  <si>
    <t xml:space="preserve">Zonenkonformität, haushälterische Bodennutzung, Bauen ausserhalb Bauzonen</t>
  </si>
  <si>
    <t xml:space="preserve">https://www.fedlex.admin.ch/eli/cc/1979/1573_1573_1573/de</t>
  </si>
  <si>
    <t xml:space="preserve">Kataster · ungetestet</t>
  </si>
  <si>
    <t xml:space="preserve">Katalog · hoch</t>
  </si>
  <si>
    <t xml:space="preserve">Stände im Katalog uneinheitlich → auf aktuellen Fedlex-Stand vereinheitlichen | Stand lt. Katalog uneinheitlich (M/W: 01.07.2026; S: 01.01.1980 (Erstinkrafttreten)) → massgebend ist die konsolidierte Fassung im Fedlex-Link</t>
  </si>
  <si>
    <t xml:space="preserve">Verordnung</t>
  </si>
  <si>
    <t xml:space="preserve">Raumplanungsverordnung (RPV)</t>
  </si>
  <si>
    <t xml:space="preserve">SR 700.1</t>
  </si>
  <si>
    <t xml:space="preserve">Ausführungsanforderungen zur Raumplanung (u. a. Sachplan FFF, Bauzonendimensionierung)</t>
  </si>
  <si>
    <t xml:space="preserve">https://www.fedlex.admin.ch/eli/cc/2000/310/de</t>
  </si>
  <si>
    <t xml:space="preserve">Stand lt. Katalog uneinheitlich (M/W: 01.07.2026; S: 01.09.2000) → massgebend ist die konsolidierte Fassung im Fedlex-Link</t>
  </si>
  <si>
    <t xml:space="preserve">Zweitwohnungsgesetz (ZWG)</t>
  </si>
  <si>
    <t xml:space="preserve">SR 702</t>
  </si>
  <si>
    <t xml:space="preserve">01.10.2024 (Fedlex-Fassung lt. Suchtreffer)</t>
  </si>
  <si>
    <t xml:space="preserve">Beschränkung Zweitwohnungen in Gemeinden &gt;20 % Anteil</t>
  </si>
  <si>
    <t xml:space="preserve">https://www.fedlex.admin.ch/eli/cc/2015/886/de</t>
  </si>
  <si>
    <t xml:space="preserve">Suchtreffer · ungetestet</t>
  </si>
  <si>
    <t xml:space="preserve">Massgebend für den Zweitwohnungsanteil ist die jährliche Feststellung des Bundes (Art. 5 ZWG). Seelisberg: siehe ZWV-Anhang</t>
  </si>
  <si>
    <t xml:space="preserve">Zweitwohnungsverordnung (ZWV)</t>
  </si>
  <si>
    <t xml:space="preserve">SR 702.1</t>
  </si>
  <si>
    <t xml:space="preserve">Vollzug ZWG; Anhang: Gemeinden mit vermutetem Zweitwohnungsanteil &gt;20 %</t>
  </si>
  <si>
    <t xml:space="preserve">https://www.are.admin.ch</t>
  </si>
  <si>
    <t xml:space="preserve">Einstiegsseite · ungetestet</t>
  </si>
  <si>
    <t xml:space="preserve">Anhang: Seelisberg (UR, BFS-Nr. 1215) aufgeführt; Wil in der SG-Liste nicht aufgeführt; Münchenstein: BL-Teil der Liste nicht eingesehen</t>
  </si>
  <si>
    <t xml:space="preserve">Q-Bearbeitung: Dokument-URL auf der Behörden-Website ermitteln (Einstiegsseite verlinkt)</t>
  </si>
  <si>
    <t xml:space="preserve">Q2 / Q5</t>
  </si>
  <si>
    <t xml:space="preserve">Natur- und Heimatschutzgesetz (NHG)</t>
  </si>
  <si>
    <t xml:space="preserve">SR 451</t>
  </si>
  <si>
    <t xml:space="preserve">Bund (BAFU / BAK)</t>
  </si>
  <si>
    <t xml:space="preserve">Schutz von Landschaften, Biotopen, Ortsbildern je nach Schutzstatus</t>
  </si>
  <si>
    <t xml:space="preserve">https://www.fedlex.admin.ch/eli/cc/1966/1637_1694_1679/de</t>
  </si>
  <si>
    <t xml:space="preserve">Stand lt. Katalog uneinheitlich (M/W: 01.08.2025; S: 01.01.1967) → massgebend ist die konsolidierte Fassung im Fedlex-Link</t>
  </si>
  <si>
    <t xml:space="preserve">Natur- und Heimatschutzverordnung (NHV)</t>
  </si>
  <si>
    <t xml:space="preserve">SR 451.1</t>
  </si>
  <si>
    <t xml:space="preserve">Bund (BAFU / BAK / ASTRA)</t>
  </si>
  <si>
    <t xml:space="preserve">Vollzug NHG; Bundesinventare, Bundesaufgaben</t>
  </si>
  <si>
    <t xml:space="preserve">https://www.fedlex.admin.ch/eli/cc/1991/249_249_249/de</t>
  </si>
  <si>
    <t xml:space="preserve">Klick-Test ausstehend</t>
  </si>
  <si>
    <t xml:space="preserve">Verordnung über das Bundesinventar der Landschaften und Naturdenkmäler (VBLN)</t>
  </si>
  <si>
    <t xml:space="preserve">SR 451.11</t>
  </si>
  <si>
    <t xml:space="preserve">Bund (BAFU)</t>
  </si>
  <si>
    <t xml:space="preserve">Rechtsgrundlage BLN</t>
  </si>
  <si>
    <t xml:space="preserve">https://www.bafu.admin.ch</t>
  </si>
  <si>
    <t xml:space="preserve">Verordnung über das Bundesinventar der schützenswerten Ortsbilder der Schweiz (VISOS)</t>
  </si>
  <si>
    <t xml:space="preserve">SR 451.12</t>
  </si>
  <si>
    <t xml:space="preserve">Bund (BAK)</t>
  </si>
  <si>
    <t xml:space="preserve">Rechtsgrundlage ISOS</t>
  </si>
  <si>
    <t xml:space="preserve">https://www.bak.admin.ch</t>
  </si>
  <si>
    <t xml:space="preserve">Verordnung über das Bundesinventar der historischen Verkehrswege der Schweiz (VIVS)</t>
  </si>
  <si>
    <t xml:space="preserve">SR 451.13</t>
  </si>
  <si>
    <t xml:space="preserve">Bund (ASTRA)</t>
  </si>
  <si>
    <t xml:space="preserve">Rechtsgrundlage IVS</t>
  </si>
  <si>
    <t xml:space="preserve">https://www.astra.admin.ch</t>
  </si>
  <si>
    <t xml:space="preserve">Q2</t>
  </si>
  <si>
    <t xml:space="preserve">Verordnung über den Schutz der Auengebiete von nationaler Bedeutung (Auenverordnung)</t>
  </si>
  <si>
    <t xml:space="preserve">SR 451.31</t>
  </si>
  <si>
    <t xml:space="preserve">Erlass 28.10.1992; konsolidierte Fassung (Fedlex)</t>
  </si>
  <si>
    <t xml:space="preserve">Rechtsgrundlage Bundesinventar: Auengebiete</t>
  </si>
  <si>
    <t xml:space="preserve">Ergänzung auf Vorgabe des Teams; Fedlex-ELI nicht ermittelt</t>
  </si>
  <si>
    <t xml:space="preserve">Verordnung über den Schutz der Hoch- und Übergangsmoore von nationaler Bedeutung (Hochmoorverordnung)</t>
  </si>
  <si>
    <t xml:space="preserve">SR 451.32</t>
  </si>
  <si>
    <t xml:space="preserve">Erlass 21.01.1991; konsolidierte Fassung (Fedlex)</t>
  </si>
  <si>
    <t xml:space="preserve">Rechtsgrundlage Bundesinventar: Hoch- und Übergangsmoore</t>
  </si>
  <si>
    <t xml:space="preserve">Verordnung über den Schutz der Flachmoore von nationaler Bedeutung (Flachmoorverordnung)</t>
  </si>
  <si>
    <t xml:space="preserve">SR 451.33</t>
  </si>
  <si>
    <t xml:space="preserve">Erlass 07.09.1994; konsolidierte Fassung (Fedlex)</t>
  </si>
  <si>
    <t xml:space="preserve">Rechtsgrundlage Bundesinventar: Flachmoore</t>
  </si>
  <si>
    <t xml:space="preserve">Verordnung über den Schutz der Amphibienlaichgebiete von nationaler Bedeutung (Amphibienlaichgebiete-Verordnung; AlgV)</t>
  </si>
  <si>
    <t xml:space="preserve">SR 451.34</t>
  </si>
  <si>
    <t xml:space="preserve">Erlass 15.06.2001; konsolidierte Fassung (Fedlex)</t>
  </si>
  <si>
    <t xml:space="preserve">Rechtsgrundlage Bundesinventar: Amphibienlaichgebiete</t>
  </si>
  <si>
    <t xml:space="preserve">Verordnung über den Schutz der Moorlandschaften von besonderer Schönheit und von nationaler Bedeutung (Moorlandschaftsverordnung)</t>
  </si>
  <si>
    <t xml:space="preserve">SR 451.35</t>
  </si>
  <si>
    <t xml:space="preserve">Erlass 01.05.1996; konsolidierte Fassung (Fedlex)</t>
  </si>
  <si>
    <t xml:space="preserve">Rechtsgrundlage Bundesinventar: Moorlandschaften</t>
  </si>
  <si>
    <t xml:space="preserve">Verordnung über die Pärke von nationaler Bedeutung (Pärkeverordnung, PäV)</t>
  </si>
  <si>
    <t xml:space="preserve">SR 451.36</t>
  </si>
  <si>
    <t xml:space="preserve">Erlass 07.11.2007; konsolidierte Fassung (Fedlex)</t>
  </si>
  <si>
    <t xml:space="preserve">Rechtsgrundlage Bundesinventar: Pärke von nationaler Bedeutung</t>
  </si>
  <si>
    <t xml:space="preserve">Verordnung über den Schutz der Trockenwiesen und -weiden von nationaler Bedeutung (Trockenwiesenverordnung, TwwV)</t>
  </si>
  <si>
    <t xml:space="preserve">SR 451.37</t>
  </si>
  <si>
    <t xml:space="preserve">Erlass 13.01.2010; konsolidierte Fassung (Fedlex)</t>
  </si>
  <si>
    <t xml:space="preserve">Rechtsgrundlage Bundesinventar: Trockenwiesen und -weiden</t>
  </si>
  <si>
    <t xml:space="preserve">Gewässerschutzgesetz (GSchG)</t>
  </si>
  <si>
    <t xml:space="preserve">SR 814.20</t>
  </si>
  <si>
    <t xml:space="preserve">konsolidierte Fassung (Fedlex); GSchV Stand 01.08.2025</t>
  </si>
  <si>
    <t xml:space="preserve">Gewässerschutz, Gewässerraum, Restwasser, Grundwasserschutz</t>
  </si>
  <si>
    <t xml:space="preserve">https://www.fedlex.admin.ch/eli/cc/1992/1860_1860_1860/de</t>
  </si>
  <si>
    <t xml:space="preserve">Stand lt. Katalog uneinheitlich (M/W: 01.08.2025; S: 01.11.1992) → konsolidierte Fassung im Link</t>
  </si>
  <si>
    <t xml:space="preserve">Gewässerschutzverordnung (GSchV)</t>
  </si>
  <si>
    <t xml:space="preserve">SR 814.201</t>
  </si>
  <si>
    <t xml:space="preserve">01.08.2025 (Fassung lt. Suchtreffer)</t>
  </si>
  <si>
    <t xml:space="preserve">Entwässerungsplanung (Art. 4/5: regionale und kommunale Entwässerungsplanung), Gewässerraum</t>
  </si>
  <si>
    <t xml:space="preserve">https://www.fedlex.admin.ch/eli/cc/1998/2863_2863_2863/de</t>
  </si>
  <si>
    <t xml:space="preserve">Klick-Test ausstehend; Art. 5 = Grundlage GEP</t>
  </si>
  <si>
    <t xml:space="preserve">Waldgesetz (WaG)</t>
  </si>
  <si>
    <t xml:space="preserve">SR 921.0</t>
  </si>
  <si>
    <t xml:space="preserve">Waldschutz, Waldabstand, Rodungsverbot</t>
  </si>
  <si>
    <t xml:space="preserve">https://www.fedlex.admin.ch/eli/cc/1992/2521_2521_2521/de</t>
  </si>
  <si>
    <t xml:space="preserve">Stand lt. Katalog uneinheitlich (M/W: 01.08.2025; S: 01.01.1993) → massgebend ist die konsolidierte Fassung im Fedlex-Link</t>
  </si>
  <si>
    <t xml:space="preserve">Waldverordnung (WaV)</t>
  </si>
  <si>
    <t xml:space="preserve">SR 921.01</t>
  </si>
  <si>
    <t xml:space="preserve">Vollzug WaG</t>
  </si>
  <si>
    <t xml:space="preserve">Jagdgesetz (JSG)</t>
  </si>
  <si>
    <t xml:space="preserve">SR 922.0</t>
  </si>
  <si>
    <t xml:space="preserve">Wildtierschutz, Banngebiete, Wildtierkorridore</t>
  </si>
  <si>
    <t xml:space="preserve">https://www.fedlex.admin.ch/eli/cc/1988/506_506_506/de</t>
  </si>
  <si>
    <t xml:space="preserve">Bundesgesetz über die Fischerei (BGF)</t>
  </si>
  <si>
    <t xml:space="preserve">SR 923.0</t>
  </si>
  <si>
    <t xml:space="preserve">Fischereischutz, Lebensräume, Gewässer</t>
  </si>
  <si>
    <t xml:space="preserve">Q3 / Q4</t>
  </si>
  <si>
    <t xml:space="preserve">Umweltschutzgesetz (USG)</t>
  </si>
  <si>
    <t xml:space="preserve">SR 814.01</t>
  </si>
  <si>
    <t xml:space="preserve">Umweltbelastungen, Emissionen, Lärm, Boden, Störfall</t>
  </si>
  <si>
    <t xml:space="preserve">https://www.fedlex.admin.ch/eli/cc/1984/1122_1122_1122/de</t>
  </si>
  <si>
    <t xml:space="preserve">Stand lt. Katalog uneinheitlich (M/W: 01.08.2026; S: 01.01.1985) → massgebend ist die konsolidierte Fassung im Fedlex-Link</t>
  </si>
  <si>
    <t xml:space="preserve">Q3</t>
  </si>
  <si>
    <t xml:space="preserve">Energiegesetz (EnG)</t>
  </si>
  <si>
    <t xml:space="preserve">SR 730.0</t>
  </si>
  <si>
    <t xml:space="preserve">Bund (BFE)</t>
  </si>
  <si>
    <t xml:space="preserve">Bundesrechtliche Energieanforderungen; Gebäudestandards primär kantonal</t>
  </si>
  <si>
    <t xml:space="preserve">https://www.fedlex.admin.ch/eli/cc/2017/762/de</t>
  </si>
  <si>
    <t xml:space="preserve">Stand lt. Katalog uneinheitlich (M/W: 01.04.2026; S: 01.01.2018) → massgebend ist die konsolidierte Fassung im Fedlex-Link</t>
  </si>
  <si>
    <t xml:space="preserve">Energieverordnung (EnV)</t>
  </si>
  <si>
    <t xml:space="preserve">SR 730.01</t>
  </si>
  <si>
    <t xml:space="preserve">Vollzug EnG</t>
  </si>
  <si>
    <t xml:space="preserve">https://www.fedlex.admin.ch/eli/cc/2017/763/de</t>
  </si>
  <si>
    <t xml:space="preserve">CO₂-Gesetz</t>
  </si>
  <si>
    <t xml:space="preserve">SR 641.71</t>
  </si>
  <si>
    <t xml:space="preserve">Reduktionsziele, Gebäudeprogramm, Lenkungsabgabe</t>
  </si>
  <si>
    <t xml:space="preserve">https://www.fedlex.admin.ch/eli/cc/2012/855/de</t>
  </si>
  <si>
    <t xml:space="preserve">Im Katalog nicht geführt; Klick-Test ausstehend</t>
  </si>
  <si>
    <t xml:space="preserve">CO₂-Verordnung</t>
  </si>
  <si>
    <t xml:space="preserve">SR 641.711</t>
  </si>
  <si>
    <t xml:space="preserve">https://www.fedlex.admin.ch/eli/cc/2012/856/de</t>
  </si>
  <si>
    <t xml:space="preserve">Klima- und Innovationsgesetz (KlG)</t>
  </si>
  <si>
    <t xml:space="preserve">SR 814.310</t>
  </si>
  <si>
    <t xml:space="preserve">Klimaziel Netto-Null 2050, Zwischenziele, Vorbildfunktion</t>
  </si>
  <si>
    <t xml:space="preserve">https://www.fedlex.admin.ch/eli/cc/2023/655/de</t>
  </si>
  <si>
    <t xml:space="preserve">Stand lt. Katalog uneinheitlich (01.01.2025) → massgebend ist die konsolidierte Fassung im Fedlex-Link</t>
  </si>
  <si>
    <t xml:space="preserve">Bundesgesetz über sichere Stromversorgung mit erneuerbaren Energien (Mantelerlass; Änderung EnG/StromVG)</t>
  </si>
  <si>
    <t xml:space="preserve">in Kraft 2025</t>
  </si>
  <si>
    <t xml:space="preserve">Ausbauziele Erneuerbare, Solaranlagen, Raumplanungsbezüge</t>
  </si>
  <si>
    <t xml:space="preserve">https://www.bfe.admin.ch</t>
  </si>
  <si>
    <t xml:space="preserve">Ergänzung · mittel</t>
  </si>
  <si>
    <t xml:space="preserve">Fassung/Etappen prüfen</t>
  </si>
  <si>
    <t xml:space="preserve">Q4</t>
  </si>
  <si>
    <t xml:space="preserve">Wasserbaugesetz (WBG)</t>
  </si>
  <si>
    <t xml:space="preserve">SR 721.100</t>
  </si>
  <si>
    <t xml:space="preserve">Hochwasserschutz, Gefahrenkarten, Raumbedarf Gewässer</t>
  </si>
  <si>
    <t xml:space="preserve">Wasserbauverordnung (WBV)</t>
  </si>
  <si>
    <t xml:space="preserve">SR 721.100.1</t>
  </si>
  <si>
    <t xml:space="preserve">Vollzug WBG</t>
  </si>
  <si>
    <t xml:space="preserve">Q6</t>
  </si>
  <si>
    <t xml:space="preserve">Binnenmarktgesetz (BGBM)</t>
  </si>
  <si>
    <t xml:space="preserve">SR 943.02</t>
  </si>
  <si>
    <t xml:space="preserve">Bund (WEKO)</t>
  </si>
  <si>
    <t xml:space="preserve">Marktzugang, Vergabegrundsätze für Kantone/Gemeinden</t>
  </si>
  <si>
    <t xml:space="preserve">https://www.fedlex.admin.ch/eli/cc/1996/1738_1738_1738/de</t>
  </si>
  <si>
    <t xml:space="preserve">Suchtreffer · Quelle bestätigt (Link von sg.ch)</t>
  </si>
  <si>
    <t xml:space="preserve">Bundesgesetz über das öffentliche Beschaffungswesen (BöB)</t>
  </si>
  <si>
    <t xml:space="preserve">SR 172.056.1</t>
  </si>
  <si>
    <t xml:space="preserve">Bund (BBL / KBOB)</t>
  </si>
  <si>
    <t xml:space="preserve">Gilt nur für Bundesvergaben – für Gemeinden nur Orientierung</t>
  </si>
  <si>
    <t xml:space="preserve">https://www.fedlex.admin.ch/eli/cc/2020/126/de</t>
  </si>
  <si>
    <t xml:space="preserve">Gemeinden unterstehen kantonalem Recht / IVöB</t>
  </si>
  <si>
    <t xml:space="preserve">Lärmschutz-Verordnung (LSV)</t>
  </si>
  <si>
    <t xml:space="preserve">SR 814.41</t>
  </si>
  <si>
    <t xml:space="preserve">Lärmgrenzwerte, Empfindlichkeitsstufen</t>
  </si>
  <si>
    <t xml:space="preserve">https://www.fedlex.admin.ch/eli/cc/1987/1_1_1/de</t>
  </si>
  <si>
    <t xml:space="preserve">Im Katalog nicht geführt</t>
  </si>
  <si>
    <t xml:space="preserve">Luftreinhalte-Verordnung (LRV)</t>
  </si>
  <si>
    <t xml:space="preserve">SR 814.318.142.1</t>
  </si>
  <si>
    <t xml:space="preserve">Emissionsbegrenzung, Heizungen, Luftqualität</t>
  </si>
  <si>
    <t xml:space="preserve">https://www.fedlex.admin.ch/eli/cc/1986/208_208_208/de</t>
  </si>
  <si>
    <t xml:space="preserve">Störfallverordnung (StFV)</t>
  </si>
  <si>
    <t xml:space="preserve">SR 814.012</t>
  </si>
  <si>
    <t xml:space="preserve">Risikovorsorge bei Anlagen/Verkehrswegen; Koordination Raumplanung</t>
  </si>
  <si>
    <t xml:space="preserve">https://www.fedlex.admin.ch/eli/cc/1991/748_748_748/de</t>
  </si>
  <si>
    <t xml:space="preserve">Verordnung über die Umweltverträglichkeitsprüfung (UVPV)</t>
  </si>
  <si>
    <t xml:space="preserve">SR 814.011</t>
  </si>
  <si>
    <t xml:space="preserve">UVP-Pflicht</t>
  </si>
  <si>
    <t xml:space="preserve">Fedlex-ELI nicht ermittelt → Einstiegsseite BAFU</t>
  </si>
  <si>
    <t xml:space="preserve">Altlasten-Verordnung (AltlV)</t>
  </si>
  <si>
    <t xml:space="preserve">SR 814.680</t>
  </si>
  <si>
    <t xml:space="preserve">Belastete Standorte, Kataster</t>
  </si>
  <si>
    <t xml:space="preserve">Verordnung über die Vermeidung und die Entsorgung von Abfällen (VVEA)</t>
  </si>
  <si>
    <t xml:space="preserve">SR 814.600</t>
  </si>
  <si>
    <t xml:space="preserve">Abfall, Kreislauf, Rückbaumaterial</t>
  </si>
  <si>
    <t xml:space="preserve">INTERKANTONAL (Konkordat)</t>
  </si>
  <si>
    <t xml:space="preserve">Interkantonal</t>
  </si>
  <si>
    <t xml:space="preserve">Konkordat</t>
  </si>
  <si>
    <t xml:space="preserve">Interkantonale Vereinbarung über das öffentliche Beschaffungswesen (IVöB 2019)</t>
  </si>
  <si>
    <t xml:space="preserve">IVöB 2019 vom 15.11.2019 (kantonal gestaffelt in Kraft)</t>
  </si>
  <si>
    <t xml:space="preserve">BPUK</t>
  </si>
  <si>
    <t xml:space="preserve">Anwendbares kantonales Recht und Schwellenwerte; Zuschlagskriterien inkl. Nachhaltigkeit/Lebenszyklus</t>
  </si>
  <si>
    <t xml:space="preserve">https://www.bpuk.ch/bpuk/konkordate/ivoeb/ivoeb-2019</t>
  </si>
  <si>
    <t xml:space="preserve">Katalog · hoch (korrigiert)</t>
  </si>
  <si>
    <t xml:space="preserve">Katalog-Link zeigt auf die Fassung von 2001 (alte IVöB): https://www.bpuk.ch/fileadmin/Dokumente/bpuk/public/de/konko… – ersetzt. Beitritt SG per 01.06.2023 (sg.ch); UR: Landrat Juni 2022 (ur.ch); BL: Beitritt nicht verifiziert</t>
  </si>
  <si>
    <t xml:space="preserve">KANTON BASEL-LANDSCHAFT  →  Münchenstein</t>
  </si>
  <si>
    <t xml:space="preserve">Kanton BL</t>
  </si>
  <si>
    <t xml:space="preserve">Raumplanungs- und Baugesetz BL (RBG)</t>
  </si>
  <si>
    <t xml:space="preserve">SGS 400</t>
  </si>
  <si>
    <t xml:space="preserve">01.01.2024</t>
  </si>
  <si>
    <t xml:space="preserve">Kanton BL (BUD)</t>
  </si>
  <si>
    <t xml:space="preserve">Baubewilligung, Zonenkonformität, Planungsverfahren</t>
  </si>
  <si>
    <t xml:space="preserve">https://bl.clex.ch/app/de/texts_of_law/400</t>
  </si>
  <si>
    <t xml:space="preserve">Richtplan</t>
  </si>
  <si>
    <t xml:space="preserve">Kantonaler Richtplan BL (KRIP, Objektblätter)</t>
  </si>
  <si>
    <t xml:space="preserve">01.07.2025</t>
  </si>
  <si>
    <t xml:space="preserve">Kanton BL (BUD / Raumplanung)</t>
  </si>
  <si>
    <t xml:space="preserve">Festlegungen Siedlung, Landschaft, Verkehr, Infrastruktur</t>
  </si>
  <si>
    <t xml:space="preserve">https://bl-api.webcloud7.ch/politik-und-behorden/direktionen/bau-und-umweltschutzdirektion/raumplanung/raumplanung/richtplanung/downloads-richtplanung/objektblatter.pdf?_t=1786003350618</t>
  </si>
  <si>
    <t xml:space="preserve">Energiegesetz BL (EnG BL)</t>
  </si>
  <si>
    <t xml:space="preserve">SGS 490</t>
  </si>
  <si>
    <t xml:space="preserve">01.03.2025</t>
  </si>
  <si>
    <t xml:space="preserve">Kanton BL (AUE)</t>
  </si>
  <si>
    <t xml:space="preserve">Gebäudeenergie, Wärmeerzeugung, Solarpflichten</t>
  </si>
  <si>
    <t xml:space="preserve">https://bl.clex.ch/app/de/texts_of_law/490</t>
  </si>
  <si>
    <t xml:space="preserve">Verordnung zum Einführungsgesetz IVöB (Vo EG IVöB)</t>
  </si>
  <si>
    <t xml:space="preserve">SGS 420.11</t>
  </si>
  <si>
    <t xml:space="preserve">01.01.2026</t>
  </si>
  <si>
    <t xml:space="preserve">Vergabeverfahren, Eignungs- und Zuschlagskriterien</t>
  </si>
  <si>
    <t xml:space="preserve">https://bl.clex.ch/app/de/texts_of_law/420.11</t>
  </si>
  <si>
    <t xml:space="preserve">Zugehöriges EG IVöB (Gesetz) und Beitrittszeitpunkt BL nicht verifiziert</t>
  </si>
  <si>
    <t xml:space="preserve">Gesetz über den Natur- und Landschaftsschutz (NLG BL)</t>
  </si>
  <si>
    <t xml:space="preserve">SGS 790</t>
  </si>
  <si>
    <t xml:space="preserve">Erlass 20.11.1991</t>
  </si>
  <si>
    <t xml:space="preserve">§ 8 Natur- und Landschaftsschutzkonzept; § 12 Schutzgebiete; Inventar der geschützten Naturobjekte (Geoportal BL)</t>
  </si>
  <si>
    <t xml:space="preserve">https://bl.clex.ch/app/de/texts_of_law/790</t>
  </si>
  <si>
    <t xml:space="preserve">Suchtreffer: Gesetzestext bl.clex.ch/data/790/de; aktuelle Fassung beim Klick prüfen</t>
  </si>
  <si>
    <t xml:space="preserve">Q5</t>
  </si>
  <si>
    <t xml:space="preserve">Gesetz über den Denkmal- und Heimatschutz (DHG BL)</t>
  </si>
  <si>
    <t xml:space="preserve">SGS 780</t>
  </si>
  <si>
    <t xml:space="preserve">Kanton BL (Denkmalpflege)</t>
  </si>
  <si>
    <t xml:space="preserve">Unterschutzstellung, Bauinventar, Ortsbildschutz</t>
  </si>
  <si>
    <t xml:space="preserve">https://bl.clex.ch/app/de/texts_of_law/780</t>
  </si>
  <si>
    <t xml:space="preserve">SGS-Nr. aus Fachwissen; Klick-Test ausstehend</t>
  </si>
  <si>
    <t xml:space="preserve">Wasserbaugesetz BL</t>
  </si>
  <si>
    <t xml:space="preserve">SGS 445</t>
  </si>
  <si>
    <t xml:space="preserve">Kanton BL (Tiefbauamt)</t>
  </si>
  <si>
    <t xml:space="preserve">Hochwasserschutz, Gefahrenkarten, Gewässerraum</t>
  </si>
  <si>
    <t xml:space="preserve">https://bl.clex.ch/app/de/texts_of_law/445</t>
  </si>
  <si>
    <t xml:space="preserve">KANTON ST. GALLEN  →  Wil</t>
  </si>
  <si>
    <t xml:space="preserve">Kanton SG</t>
  </si>
  <si>
    <t xml:space="preserve">Planungs- und Baugesetz SG (PBG)</t>
  </si>
  <si>
    <t xml:space="preserve">sGS 731.1</t>
  </si>
  <si>
    <t xml:space="preserve">01.06.2026</t>
  </si>
  <si>
    <t xml:space="preserve">Kanton SG (Amt für Raumentwicklung)</t>
  </si>
  <si>
    <t xml:space="preserve">https://www.gesetzessammlung.sg.ch/data/731.1/de</t>
  </si>
  <si>
    <t xml:space="preserve">Kantonaler Richtplan SG</t>
  </si>
  <si>
    <t xml:space="preserve">Katalog: kein Stand</t>
  </si>
  <si>
    <t xml:space="preserve">https://www.sg.ch/bauen/raumentwicklung/kantonaleplanung/richtplanung.html</t>
  </si>
  <si>
    <t xml:space="preserve">Aktuelle Fassung/Genehmigungsstand ergänzen</t>
  </si>
  <si>
    <t xml:space="preserve">Energiegesetz SG</t>
  </si>
  <si>
    <t xml:space="preserve">sGS 741.1</t>
  </si>
  <si>
    <t xml:space="preserve">01.07.2021</t>
  </si>
  <si>
    <t xml:space="preserve">Kanton SG (AFU)</t>
  </si>
  <si>
    <t xml:space="preserve">https://www.gesetzessammlung.sg.ch/app/de/texts_of_law/741.1</t>
  </si>
  <si>
    <t xml:space="preserve">Wasserbaugesetz SG</t>
  </si>
  <si>
    <t xml:space="preserve">sGS-Nr. verifizieren</t>
  </si>
  <si>
    <t xml:space="preserve">Kanton SG (Tiefbauamt)</t>
  </si>
  <si>
    <t xml:space="preserve">https://www.sg.ch</t>
  </si>
  <si>
    <t xml:space="preserve">Ergänzung · tief</t>
  </si>
  <si>
    <t xml:space="preserve">Q-Bearbeitung: Volltextsuche in kant. Gesetzessammlung bzw. Layerliste im Geoportal; falls ohne Treffer → Anfrage Kantonale Fachstelle</t>
  </si>
  <si>
    <t xml:space="preserve">Einführungsgesetz zur IVöB 2019 vom 15.11.2022 (EGöB)</t>
  </si>
  <si>
    <t xml:space="preserve">sGS 841.1</t>
  </si>
  <si>
    <t xml:space="preserve">15.11.2022; Vollzug ab 01.06.2023</t>
  </si>
  <si>
    <t xml:space="preserve">https://www.gesetzessammlung.sg.ch/app/de/texts_of_law/841.1</t>
  </si>
  <si>
    <t xml:space="preserve">Naturschutzverordnung SG</t>
  </si>
  <si>
    <t xml:space="preserve">sGS 671.1</t>
  </si>
  <si>
    <t xml:space="preserve">Erlass 17.06.1975</t>
  </si>
  <si>
    <t xml:space="preserve">Grundlage für Natur-/Landschaftsschutz; Gemeinden erlassen Schutzverordnungen (Art. 98 ff. PBG)</t>
  </si>
  <si>
    <t xml:space="preserve">https://www.gesetzessammlung.sg.ch/app/de/texts_of_law/671.1</t>
  </si>
  <si>
    <t xml:space="preserve">Nummer und Erlassdatum aus Gemeinde-Schutzverordnungen (oereblex.sg.ch) belegt; aktuelle Fassung beim Klick prüfen</t>
  </si>
  <si>
    <t xml:space="preserve">Verordnung betreffend den Schutz von Naturkörpern und Altertümern</t>
  </si>
  <si>
    <t xml:space="preserve">sGS 271.51</t>
  </si>
  <si>
    <t xml:space="preserve">Erlass 21.03.1933</t>
  </si>
  <si>
    <t xml:space="preserve">Schutz von Altertümern (Archäologie/Denkmal)</t>
  </si>
  <si>
    <t xml:space="preserve">https://www.gesetzessammlung.sg.ch/app/de/texts_of_law/271.51</t>
  </si>
  <si>
    <t xml:space="preserve">Nummer aus Gemeinde-Schutzverordnung belegt; Geltung beim Klick prüfen</t>
  </si>
  <si>
    <t xml:space="preserve">IVöB 2019 (Beitritt SG per 01.06.2023)</t>
  </si>
  <si>
    <t xml:space="preserve">sGS 841.51</t>
  </si>
  <si>
    <t xml:space="preserve">01.06.2023</t>
  </si>
  <si>
    <t xml:space="preserve">Massgebend für alle Vergabeverfahren nach dem 31.05.2023</t>
  </si>
  <si>
    <t xml:space="preserve">https://www.gesetzessammlung.sg.ch/app/de/texts_of_law/841.51</t>
  </si>
  <si>
    <t xml:space="preserve">Suchtreffer sg.ch</t>
  </si>
  <si>
    <t xml:space="preserve">Kantonale Umsetzung IVöB</t>
  </si>
  <si>
    <t xml:space="preserve">Suchtreffer sg.ch (Rechtsgrundlagen-Liste)</t>
  </si>
  <si>
    <t xml:space="preserve">KANTON URI  →  Seelisberg</t>
  </si>
  <si>
    <t xml:space="preserve">Kanton UR</t>
  </si>
  <si>
    <t xml:space="preserve">Planungs- und Baugesetz Uri (PBG)</t>
  </si>
  <si>
    <t xml:space="preserve">RB 40.1111</t>
  </si>
  <si>
    <t xml:space="preserve">01.01.2022</t>
  </si>
  <si>
    <t xml:space="preserve">https://rechtsbuch.ur.ch/app/de/texts_of_law/40.1111</t>
  </si>
  <si>
    <t xml:space="preserve">Kantonaler Richtplan Uri</t>
  </si>
  <si>
    <t xml:space="preserve">22.01.2024</t>
  </si>
  <si>
    <t xml:space="preserve">https://www.ur.ch/_docn/375874/Richtplantext_240122.pdf</t>
  </si>
  <si>
    <t xml:space="preserve">Natur- und Heimatschutzrecht Uri (kantonale Erlasse)</t>
  </si>
  <si>
    <t xml:space="preserve">RB-Nr. verifizieren</t>
  </si>
  <si>
    <t xml:space="preserve">Kantonale Schutzobjekte, Schutzinventar</t>
  </si>
  <si>
    <t xml:space="preserve">https://www.ur.ch</t>
  </si>
  <si>
    <t xml:space="preserve">Kantonale Energiegesetzgebung Uri</t>
  </si>
  <si>
    <t xml:space="preserve">RB 40.7211</t>
  </si>
  <si>
    <t xml:space="preserve">Katalog: 01.01.2000</t>
  </si>
  <si>
    <t xml:space="preserve">https://rechtsbuch.ur.ch/app/de/texts_of_law/40.7211</t>
  </si>
  <si>
    <t xml:space="preserve">Stand 2000 vermutlich Erstinkrafttreten → aktuelle Fassung/Revisionen prüfen</t>
  </si>
  <si>
    <t xml:space="preserve">Wasserbau-/Naturgefahrenrecht Uri</t>
  </si>
  <si>
    <t xml:space="preserve">Hochwasser-/Naturgefahrenschutz, Gefahrenkarten</t>
  </si>
  <si>
    <t xml:space="preserve">Beschluss</t>
  </si>
  <si>
    <t xml:space="preserve">Beitritt Kanton Uri zur IVöB 2019 (Landratsbeschluss vom 15.06.2022)</t>
  </si>
  <si>
    <t xml:space="preserve">IVöB: RB 3.3111</t>
  </si>
  <si>
    <t xml:space="preserve">Inkrafttreten 01.06.2023</t>
  </si>
  <si>
    <t xml:space="preserve">Kanton UR (Baudirektion)</t>
  </si>
  <si>
    <t xml:space="preserve">IVöB 2019 gilt in Uri; frühere Submissionsverordnung aufgehoben</t>
  </si>
  <si>
    <t xml:space="preserve">https://www.ur.ch/_doc/337571</t>
  </si>
  <si>
    <t xml:space="preserve">Suchtreffer · getestet OK</t>
  </si>
  <si>
    <t xml:space="preserve">Beleg: Schulungsunterlage Baudirektion UR vom 08.05.2023 (Link getestet). Submissionsverordnung RB 3.3112 aufgehoben</t>
  </si>
  <si>
    <t xml:space="preserve">Gesetz über die Ausnahmen vom Anwendungsbereich der Interkantonalen Vereinbarung über das öffentliche Beschaffungswesen</t>
  </si>
  <si>
    <t xml:space="preserve">RB-Nr. nicht ermittelt</t>
  </si>
  <si>
    <t xml:space="preserve">12.03.2023</t>
  </si>
  <si>
    <t xml:space="preserve">Beleg: Schulungsunterlage Baudirektion UR vom 08.05.2023 (Link getestet); eigener Gesetzestext-Link nicht ermittelt</t>
  </si>
  <si>
    <t xml:space="preserve">Reglement über den Vollzug der IVöB (Submissionsreglement)</t>
  </si>
  <si>
    <t xml:space="preserve">RB 3.3115</t>
  </si>
  <si>
    <t xml:space="preserve">ab 01.06.2023</t>
  </si>
  <si>
    <t xml:space="preserve">Beleg: Schulungsunterlage Baudirektion UR vom 08.05.2023 (Link getestet); eigener Reglementstext-Link nicht ermittelt</t>
  </si>
  <si>
    <t xml:space="preserve">GEMEINDE MÜNCHENSTEIN (BL)</t>
  </si>
  <si>
    <t xml:space="preserve">Gde Münchenstein</t>
  </si>
  <si>
    <t xml:space="preserve">Reglement</t>
  </si>
  <si>
    <t xml:space="preserve">Zonenvorschriften Siedlung</t>
  </si>
  <si>
    <t xml:space="preserve">25.02.2025</t>
  </si>
  <si>
    <t xml:space="preserve">Bauweise, Abstände, Höhen, Nutzungsvorgaben</t>
  </si>
  <si>
    <t xml:space="preserve">https://oereblex.bl.ch/api/attachments/22718</t>
  </si>
  <si>
    <t xml:space="preserve">Kommunale Natur- und Landschaftsschutzfestlegungen</t>
  </si>
  <si>
    <t xml:space="preserve">Schutzflächen, Gewässerräume, Grünstrukturen</t>
  </si>
  <si>
    <t xml:space="preserve">Link identisch mit Zonenvorschriften → Inhalt einzeln verifizieren</t>
  </si>
  <si>
    <t xml:space="preserve">Kommunale Energieplanung / Wärmeversorgung</t>
  </si>
  <si>
    <t xml:space="preserve">Allfällige Anschluss-/Versorgungsregeln</t>
  </si>
  <si>
    <t xml:space="preserve">Abwasserreglement (vom 28.10.2020)</t>
  </si>
  <si>
    <t xml:space="preserve">TR 5.4</t>
  </si>
  <si>
    <t xml:space="preserve">07.01.2021</t>
  </si>
  <si>
    <t xml:space="preserve">Entwässerungs- und Retentionsanforderungen</t>
  </si>
  <si>
    <t xml:space="preserve">https://www.muenchenstein.ch/_docn/5130739/TR_5.4_Abwasserreglement_vom_28._Oktober_2020_-_Stand_07.01.2021.pdf</t>
  </si>
  <si>
    <t xml:space="preserve">Kommunale Schutzverordnung / Ortsbildvorgaben</t>
  </si>
  <si>
    <t xml:space="preserve">Schutzobjekte, Erhaltungs- und Gestaltungsauflagen</t>
  </si>
  <si>
    <t xml:space="preserve">Gemeindeordnung / Finanzhaushalt- und Beschaffungsreglement</t>
  </si>
  <si>
    <t xml:space="preserve">Ausgaben-/Vertragskompetenzen, kommunale Vergaberegeln</t>
  </si>
  <si>
    <t xml:space="preserve">https://www.muenchenstein.ch</t>
  </si>
  <si>
    <t xml:space="preserve">Im Katalog nicht belegt</t>
  </si>
  <si>
    <t xml:space="preserve">Q-Bearbeitung: Website/Gesetzessammlung der Gemeinde; falls ohne Treffer → Datenanfrage Gemeinde</t>
  </si>
  <si>
    <t xml:space="preserve">GEMEINDE WIL (SG)</t>
  </si>
  <si>
    <t xml:space="preserve">Gde Wil</t>
  </si>
  <si>
    <t xml:space="preserve">Plan</t>
  </si>
  <si>
    <t xml:space="preserve">Zonenplan</t>
  </si>
  <si>
    <t xml:space="preserve">https://www.geoportal.ch/wil_sg/map/101?y=2719905.16&amp;x=1258486.88&amp;scale=25000&amp;rotation=0</t>
  </si>
  <si>
    <t xml:space="preserve">Stand/Rechtskraft ergänzen</t>
  </si>
  <si>
    <t xml:space="preserve">Baureglement Stadt Wil</t>
  </si>
  <si>
    <t xml:space="preserve">SRS 7.1-1</t>
  </si>
  <si>
    <t xml:space="preserve">01.03.2021</t>
  </si>
  <si>
    <t xml:space="preserve">https://wil-sg.tlex.ch/app/de/texts_of_law/7.1-1</t>
  </si>
  <si>
    <t xml:space="preserve">Reglement zur Schutzverordnung</t>
  </si>
  <si>
    <t xml:space="preserve">31.08.2022</t>
  </si>
  <si>
    <t xml:space="preserve">Gde Wil (Katalog: «Wil + St. Gallen»)</t>
  </si>
  <si>
    <t xml:space="preserve">Schutzflächen, Gewässerräume, Grünstrukturen; Schutzobjekte, Gestaltungsauflagen</t>
  </si>
  <si>
    <t xml:space="preserve">https://cms.e-mitwirkung.ch/media/wil/Reglement_221013.pdf</t>
  </si>
  <si>
    <t xml:space="preserve">Zuständigkeit «Wil + St. Gallen» klären (Genehmigung Kanton?)</t>
  </si>
  <si>
    <t xml:space="preserve">Link identisch mit Baureglement → Inhalt verifizieren</t>
  </si>
  <si>
    <t xml:space="preserve">Abwasserreglement</t>
  </si>
  <si>
    <t xml:space="preserve">https://www.stadtwil.ch/storage/8ae27a52e6272acbe7a00ddad257f439fbae9a367f80166a75d97ea28f6771cf</t>
  </si>
  <si>
    <t xml:space="preserve">Stand ergänzen</t>
  </si>
  <si>
    <t xml:space="preserve">Reglement über die Ausgaben- und Vertragskompetenzen der Departemente und Dienststellen</t>
  </si>
  <si>
    <t xml:space="preserve">SRS 1.6-4</t>
  </si>
  <si>
    <t xml:space="preserve">Lebenszykluskosten und Verantwortlichkeiten projektspezifisch festlegen</t>
  </si>
  <si>
    <t xml:space="preserve">https://wil-sg.tlex.ch/app/de/texts_of_law/1.6-4</t>
  </si>
  <si>
    <t xml:space="preserve">GEMEINDE SEELISBERG (UR)</t>
  </si>
  <si>
    <t xml:space="preserve">Gde Seelisberg</t>
  </si>
  <si>
    <t xml:space="preserve">Bau- und Zonenordnung (BZO) Seelisberg</t>
  </si>
  <si>
    <t xml:space="preserve">01.01.2015</t>
  </si>
  <si>
    <t xml:space="preserve">Art. 5–7 Nutzungsplan; Art. 8a Kernzone Sonnenberg (Quartiergestaltungsplanpflicht); Art. 20–23 Schutz; Art. 24 Gefahrenzonen; Art. 26a Quartier-/Gestaltungsplanpflicht</t>
  </si>
  <si>
    <t xml:space="preserve">https://www.seelisberg.ch/files/pdf/Bau-und-Zonenordnung-Seelisberg.pdf</t>
  </si>
  <si>
    <t xml:space="preserve">Revisionsstand prüfen (Zonenplan 2026 jünger als BZO 2015)</t>
  </si>
  <si>
    <t xml:space="preserve">Rechtskräftiger Zonenplan / Nutzungsplanung</t>
  </si>
  <si>
    <t xml:space="preserve">08.01.2026</t>
  </si>
  <si>
    <t xml:space="preserve">Zulässige Nutzungen, Zonen, Sondernutzungen</t>
  </si>
  <si>
    <t xml:space="preserve">https://geo.ur.ch/</t>
  </si>
  <si>
    <t xml:space="preserve">Katalog-Link = geo.ur.ch (Kartenviewer mit Layern)</t>
  </si>
  <si>
    <t xml:space="preserve">Inventar</t>
  </si>
  <si>
    <t xml:space="preserve">Kommunales Schutzinventar (Inventarliste Seelisberg)</t>
  </si>
  <si>
    <t xml:space="preserve">20.12.2022</t>
  </si>
  <si>
    <t xml:space="preserve">https://www.ur.ch/_docn/385540/Inventarliste_Seelisberg_Website.pdf</t>
  </si>
  <si>
    <t xml:space="preserve">Kommunale Energie-/Klimavorgaben</t>
  </si>
  <si>
    <t xml:space="preserve">Im Katalog keine Gemeindeebene für Q3</t>
  </si>
  <si>
    <t xml:space="preserve">https://www.seelisberg.ch</t>
  </si>
  <si>
    <t xml:space="preserve">Verordnung über die Wasserversorgung</t>
  </si>
  <si>
    <t xml:space="preserve">01.01.2020</t>
  </si>
  <si>
    <t xml:space="preserve">Entwässerungs-/Retentionsanforderungen standortbezogen klären</t>
  </si>
  <si>
    <t xml:space="preserve">https://www.seelisberg.ch/files/pdf/Verordnung_%C3%BCber_die_Wasserversorgung.pdf</t>
  </si>
  <si>
    <t xml:space="preserve">Inhaltlich Wasserversorgung, nicht Entwässerung/Retention → Abwasserreglement/GEP fehlt</t>
  </si>
  <si>
    <t xml:space="preserve">18.02.2025</t>
  </si>
  <si>
    <t xml:space="preserve">Link = BZO (Stand 2015) vs. Datum 2025 → Widerspruch klären</t>
  </si>
  <si>
    <t xml:space="preserve">2 · Q2 Landschaft, Kulturland und Biodiversität – Dokumente, Inventare, Geodaten</t>
  </si>
  <si>
    <t xml:space="preserve">Öffentliche Quellen je Ebene; nicht öffentliche Daten sind separat markiert (orange).  |  Gemeinden: Münchenstein (BL), Wil (SG), Seelisberg (UR)  |  Recherchestand: 14.10.2026</t>
  </si>
  <si>
    <t xml:space="preserve">Inventar / Layer</t>
  </si>
  <si>
    <t xml:space="preserve">BLN – Bundesinventar der Landschaften und Naturdenkmäler</t>
  </si>
  <si>
    <t xml:space="preserve">VBLN</t>
  </si>
  <si>
    <t xml:space="preserve">BAFU / swisstopo</t>
  </si>
  <si>
    <t xml:space="preserve">Landschaften von nationaler Bedeutung; Bundesaufgaben-Bindung</t>
  </si>
  <si>
    <t xml:space="preserve">https://map.geo.admin.ch/#/map?lang=de&amp;center=2660000,1190000&amp;z=1&amp;bgLayer=ch.swisstopo.pixelkarte-grau&amp;layers=ch.bafu.bundesinventare-bln</t>
  </si>
  <si>
    <t xml:space="preserve">Seelisberg: Lage im BLN-Gebiet Vierwaldstättersee wahrscheinlich → verifizieren</t>
  </si>
  <si>
    <t xml:space="preserve">Niklas/Nikolaos (GIS): Overlay mit Gemeindeperimeter – Layer-Link in Blatt 7_GIS_Layers; Ergebnis dort eintragen (ja/nein)</t>
  </si>
  <si>
    <t xml:space="preserve">Bundesinventare Moore, Moorlandschaften, Auen, Amphibienlaichgebiete, Trockenwiesen/-weiden (TWW)</t>
  </si>
  <si>
    <t xml:space="preserve">NHG / Inventarverordnungen</t>
  </si>
  <si>
    <t xml:space="preserve">BAFU</t>
  </si>
  <si>
    <t xml:space="preserve">Biotope von nationaler Bedeutung, Pufferzonen</t>
  </si>
  <si>
    <t xml:space="preserve">https://map.geo.admin.ch/#/map?lang=de&amp;center=2660000,1190000&amp;z=1&amp;bgLayer=ch.swisstopo.pixelkarte-grau&amp;layers=ch.bafu.bundesinventare-hochmoore</t>
  </si>
  <si>
    <t xml:space="preserve">Betroffenheit je Gemeinde per Geodaten-Overlay prüfen</t>
  </si>
  <si>
    <t xml:space="preserve">Jagdbanngebiete, Wasser- und Zugvogelreservate, Smaragd-Gebiete</t>
  </si>
  <si>
    <t xml:space="preserve">JSG</t>
  </si>
  <si>
    <t xml:space="preserve">Wildtier- und Vogelschutz</t>
  </si>
  <si>
    <t xml:space="preserve">https://map.geo.admin.ch/#/map?lang=de&amp;center=2660000,1190000&amp;z=1&amp;bgLayer=ch.swisstopo.pixelkarte-grau&amp;layers=ch.bafu.bundesinventare-jagdbanngebiete</t>
  </si>
  <si>
    <t xml:space="preserve">Layer</t>
  </si>
  <si>
    <t xml:space="preserve">Wildtierkorridore / Landschaftsverbindungen (überregional)</t>
  </si>
  <si>
    <t xml:space="preserve">BAFU / ASTRA</t>
  </si>
  <si>
    <t xml:space="preserve">Vernetzung, Konfliktpotenzial bei Siedlungsentwicklung</t>
  </si>
  <si>
    <t xml:space="preserve">https://map.geo.admin.ch/#/map?lang=de&amp;center=2660000,1190000&amp;z=1&amp;bgLayer=ch.swisstopo.pixelkarte-grau&amp;layers=ch.bafu.fauna-wildtierkorridore_national</t>
  </si>
  <si>
    <t xml:space="preserve">Wald: Waldareal, Waldreservate, Schutzwald (Bundesgeodaten)</t>
  </si>
  <si>
    <t xml:space="preserve">WaG</t>
  </si>
  <si>
    <t xml:space="preserve">Waldabstand, Rodungsrestriktion</t>
  </si>
  <si>
    <t xml:space="preserve">https://map.geo.admin.ch/#/map?lang=de&amp;center=2660000,1190000&amp;z=1&amp;bgLayer=ch.swisstopo.pixelkarte-grau&amp;layers=ch.bafu.waldreservate</t>
  </si>
  <si>
    <t xml:space="preserve">Dokument</t>
  </si>
  <si>
    <t xml:space="preserve">Sachplan Fruchtfolgeflächen (SP FFF, 2020) und kantonale Mindestkontingente</t>
  </si>
  <si>
    <t xml:space="preserve">RPV Art. 26–30</t>
  </si>
  <si>
    <t xml:space="preserve">2020</t>
  </si>
  <si>
    <t xml:space="preserve">ARE</t>
  </si>
  <si>
    <t xml:space="preserve">Kontingent je Kanton; Beanspruchung nur mit Kompensation</t>
  </si>
  <si>
    <t xml:space="preserve">Landschaftskonzept Schweiz / Strategie Biodiversität Schweiz / Aktionsplan</t>
  </si>
  <si>
    <t xml:space="preserve">Strategische Leitplanken für Landschaft und Biodiversität</t>
  </si>
  <si>
    <t xml:space="preserve">Gewässernetz, Gewässerschutzkarten, Grundwasserschutzzonen (Bundesdienste)</t>
  </si>
  <si>
    <t xml:space="preserve">GSchG</t>
  </si>
  <si>
    <t xml:space="preserve">Gewässerraum, Grundwasserschutz</t>
  </si>
  <si>
    <t xml:space="preserve">https://map.geo.admin.ch</t>
  </si>
  <si>
    <t xml:space="preserve">Arealstatistik / Bodenbedeckung / Landschaftstypologie</t>
  </si>
  <si>
    <t xml:space="preserve">BFS / ARE</t>
  </si>
  <si>
    <t xml:space="preserve">Flächenbilanz, Siedlungsflächenverbrauch</t>
  </si>
  <si>
    <t xml:space="preserve">Kantonale Schutzinventare / Fruchtfolgeflächen BL</t>
  </si>
  <si>
    <t xml:space="preserve">Kanton BL (Raumplanung / ARP)</t>
  </si>
  <si>
    <t xml:space="preserve">Schutzobjekte, Kulturlandrestriktionen standortspezifisch erheben (GIS-Overlay, Flächenbilanz)</t>
  </si>
  <si>
    <t xml:space="preserve">https://arp-daten.bl.ch/</t>
  </si>
  <si>
    <t xml:space="preserve">Stand ergänzen; FFF und Schutzinventare separat ausweisen</t>
  </si>
  <si>
    <t xml:space="preserve">Konzept / Layer</t>
  </si>
  <si>
    <t xml:space="preserve">Inventar der geschützten Naturobjekte und Natur- und Landschaftsschutzkonzept BL</t>
  </si>
  <si>
    <t xml:space="preserve">Biotopvernetzung, Landschaftsqualität</t>
  </si>
  <si>
    <t xml:space="preserve">https://geoview.bl.ch</t>
  </si>
  <si>
    <t xml:space="preserve">Rechtsgrundlage: § 8 und § 12 NLG (SGS 790); Naturschutzgebiets-Verordnungen verweisen auf Geoportal BL</t>
  </si>
  <si>
    <t xml:space="preserve">Kantonale Natur-/Landschaftsschutzgebiete, Biotope, Vernetzung SG</t>
  </si>
  <si>
    <t xml:space="preserve">Im Katalog keine Kantonsebene für Q2</t>
  </si>
  <si>
    <t xml:space="preserve">https://www.geoportal.ch/ktsg</t>
  </si>
  <si>
    <t xml:space="preserve">Rechtsgrundlage vorhanden (Naturschutzverordnung sGS 671.1, Schutzverordnungen der Gemeinden nach Art. 98 ff. PBG); konkrete kantonale Inventar-/Layerliste noch nicht gesichtet</t>
  </si>
  <si>
    <t xml:space="preserve">Fruchtfolgeflächen (FFF) SG</t>
  </si>
  <si>
    <t xml:space="preserve">FFF-Inventar/Kontingent für Wil prüfen</t>
  </si>
  <si>
    <t xml:space="preserve">Schutzinventare Uri (Schutzobjekte, Kulturlandrestriktionen)</t>
  </si>
  <si>
    <t xml:space="preserve">20.03.2026</t>
  </si>
  <si>
    <t xml:space="preserve">Standortspezifisch erheben (GIS-Overlay, Flächenbilanz)</t>
  </si>
  <si>
    <t xml:space="preserve">https://geo.ur.ch</t>
  </si>
  <si>
    <t xml:space="preserve">Fruchtfolgeflächen, Natur-/Landschaftsinventare Uri</t>
  </si>
  <si>
    <t xml:space="preserve">Landwirtschaft/FFF; Vernetzung</t>
  </si>
  <si>
    <t xml:space="preserve">Plan / Reglement</t>
  </si>
  <si>
    <t xml:space="preserve">Natur- und Landschaftsschutzfestlegungen (Zonenvorschriften)</t>
  </si>
  <si>
    <t xml:space="preserve">Schutzflächen, Gewässerräume, Grünstrukturen prüfen (Schutzplan und GIS)</t>
  </si>
  <si>
    <t xml:space="preserve">Zonenplan Landschaft / Gewässerraum als Layer prüfen</t>
  </si>
  <si>
    <t xml:space="preserve">Geoportal Münchenstein (Nutzungsplanung, Grünstrukturen)</t>
  </si>
  <si>
    <t xml:space="preserve">Kommunale Layer</t>
  </si>
  <si>
    <t xml:space="preserve">https://www.geoportal.ch/muenchenstein</t>
  </si>
  <si>
    <t xml:space="preserve">Reglement / Plan</t>
  </si>
  <si>
    <t xml:space="preserve">Reglement zur Schutzverordnung und Schutzplan</t>
  </si>
  <si>
    <t xml:space="preserve">Schutzflächen, Gewässerräume, Grünstrukturen prüfen</t>
  </si>
  <si>
    <t xml:space="preserve">Schutzplan als Geodaten verifizieren</t>
  </si>
  <si>
    <t xml:space="preserve">Geoportal Wil (Nutzungsplanung, Schutzzonen)</t>
  </si>
  <si>
    <t xml:space="preserve">https://www.geoportal.ch/wil_sg</t>
  </si>
  <si>
    <t xml:space="preserve">Kommunales Schutzinventar Seelisberg (Inventarliste)</t>
  </si>
  <si>
    <t xml:space="preserve">BZO Art. 20–23 Schutzbestimmungen</t>
  </si>
  <si>
    <t xml:space="preserve">Schutzbestimmungen Landschaft/Natur</t>
  </si>
  <si>
    <t xml:space="preserve">GEMEINDEN – nicht öffentliche Daten (Lieferung durch Gemeinde / Kanton)</t>
  </si>
  <si>
    <t xml:space="preserve">Gemeinden (alle)</t>
  </si>
  <si>
    <t xml:space="preserve">Datensatz</t>
  </si>
  <si>
    <t xml:space="preserve">Detaillierte Biotop-/Artenfunddaten (z. B. Info Species), Naturschutzverträge, BFF-Bewirtschaftungsverträge</t>
  </si>
  <si>
    <t xml:space="preserve">Kanton / Fachstellen</t>
  </si>
  <si>
    <t xml:space="preserve">nicht öffentlich</t>
  </si>
  <si>
    <t xml:space="preserve">Standortgenaue Artdaten und Verträge nur eingeschränkt zugänglich</t>
  </si>
  <si>
    <t xml:space="preserve">https://www.fedlex.admin.ch</t>
  </si>
  <si>
    <t xml:space="preserve">Existenz: hoch (Kanton führt Biotop-/Artdaten und Bewirtschaftungsverträge; NHG Art. 18b). Zugang: Auskunft Fachstelle, teils gesperrt</t>
  </si>
  <si>
    <t xml:space="preserve">Datenanfrage an Gemeinde/Kanton (Vorlage: Liste «Daten, die die Gemeinde liefern muss»)</t>
  </si>
  <si>
    <t xml:space="preserve">Kommunale Pflege-/Unterhaltskonzepte Grünräume, Baumkataster</t>
  </si>
  <si>
    <t xml:space="preserve">Grünraumbewirtschaftung</t>
  </si>
  <si>
    <t xml:space="preserve">Existenz: unbekannt (fakultativ, Gemeindegrösse abhängig)</t>
  </si>
  <si>
    <t xml:space="preserve">3 · Q3 Klimaschutz, Energie und Ressourcen – Dokumente, Inventare, Geodaten</t>
  </si>
  <si>
    <t xml:space="preserve">Kontext Raumentwicklung, Städteplanung, Bauvorschriften.  |  Gemeinden: Münchenstein (BL), Wil (SG), Seelisberg (UR)  |  Recherchestand: 14.10.2026</t>
  </si>
  <si>
    <t xml:space="preserve">Strategie</t>
  </si>
  <si>
    <t xml:space="preserve">Langfristige Klimastrategie der Schweiz 2050; Energieperspektiven 2050+</t>
  </si>
  <si>
    <t xml:space="preserve">BAFU / BFE</t>
  </si>
  <si>
    <t xml:space="preserve">Zielpfade Netto-Null, Gebäude- und Wärmesektor</t>
  </si>
  <si>
    <t xml:space="preserve">Sonnendach.ch / Sonnenfassade.ch (Solarpotenzial Dächer und Fassaden)</t>
  </si>
  <si>
    <t xml:space="preserve">BFE</t>
  </si>
  <si>
    <t xml:space="preserve">Solarpotenzial je Gebäude</t>
  </si>
  <si>
    <t xml:space="preserve">https://map.geo.admin.ch/#/map?lang=de&amp;center=2660000,1190000&amp;z=1&amp;bgLayer=ch.swisstopo.pixelkarte-grau&amp;layers=ch.bfe.solarenergie-eignung-daecher</t>
  </si>
  <si>
    <t xml:space="preserve">Geothermie-/Erdwärmesonden-Eignung, Windatlas, Wärmenetz-/Fernwärme-Potenzial</t>
  </si>
  <si>
    <t xml:space="preserve">BFE / swisstopo</t>
  </si>
  <si>
    <t xml:space="preserve">Energieträger-Potenziale (Wärmeplanung)</t>
  </si>
  <si>
    <t xml:space="preserve">Verfügbarkeit je Layer prüfen</t>
  </si>
  <si>
    <t xml:space="preserve">Statistik</t>
  </si>
  <si>
    <t xml:space="preserve">Gebäude- und Wohnungsregister (GWR): Heizungsart, Energieträger, Baujahr</t>
  </si>
  <si>
    <t xml:space="preserve">BFS</t>
  </si>
  <si>
    <t xml:space="preserve">Energieträger- und Gebäudebestand je Gemeinde</t>
  </si>
  <si>
    <t xml:space="preserve">https://map.geo.admin.ch/#/map?lang=de&amp;center=2660000,1190000&amp;z=1&amp;bgLayer=ch.swisstopo.pixelkarte-grau&amp;layers=ch.bfs.gebaeude_wohnungs_register</t>
  </si>
  <si>
    <t xml:space="preserve">Treibhausgasinventar / Gemeinde-Energie- und CO₂-Bilanzen</t>
  </si>
  <si>
    <t xml:space="preserve">teilw. öffentlich</t>
  </si>
  <si>
    <t xml:space="preserve">Ausgangslage für CO₂-Absenkpfad</t>
  </si>
  <si>
    <t xml:space="preserve">Norm / Standard</t>
  </si>
  <si>
    <t xml:space="preserve">MuKEn 2014 (Mustervorschriften der Kantone), SIA 2040, SIA 2032 (Graue Energie), SNBS Hochbau, Minergie</t>
  </si>
  <si>
    <t xml:space="preserve">EnDK / SIA / NNBS</t>
  </si>
  <si>
    <t xml:space="preserve">kostenpflichtig (Norm)</t>
  </si>
  <si>
    <t xml:space="preserve">Referenzrahmen Gebäudestandard, graue Energie, Ressourcen</t>
  </si>
  <si>
    <t xml:space="preserve">https://www.sia.ch</t>
  </si>
  <si>
    <t xml:space="preserve">Normen kostenpflichtig; Anwendung gemeindespezifisch</t>
  </si>
  <si>
    <t xml:space="preserve">Kantonale Energieplanung BL, Energie-/Klimastrategie, Solar-/Wärmepotenzial im Geoportal</t>
  </si>
  <si>
    <t xml:space="preserve">Kantonale Zielpfade, Planungsgrundlagen</t>
  </si>
  <si>
    <t xml:space="preserve">Kantonales Energiekonzept SG, Wärme-/Solarpotenzial im Geoportal</t>
  </si>
  <si>
    <t xml:space="preserve">Aktuelle Fassung prüfen</t>
  </si>
  <si>
    <t xml:space="preserve">Konzept</t>
  </si>
  <si>
    <t xml:space="preserve">Energie-/Klimastrategie Uri, kantonale Energieplanung</t>
  </si>
  <si>
    <t xml:space="preserve">Kantonale Zielpfade</t>
  </si>
  <si>
    <t xml:space="preserve">Allfällige verbindliche Anschluss- oder Versorgungsregeln (Energie-/Wärmeplanabgleich)</t>
  </si>
  <si>
    <t xml:space="preserve">Link identisch mit Zonenvorschriften → eigene Energieplanung separat suchen</t>
  </si>
  <si>
    <t xml:space="preserve">Label</t>
  </si>
  <si>
    <t xml:space="preserve">Energiestadt-Label / kommunale Klimaziele</t>
  </si>
  <si>
    <t xml:space="preserve">Energiepolitisches Leitbild</t>
  </si>
  <si>
    <t xml:space="preserve">Programm</t>
  </si>
  <si>
    <t xml:space="preserve">Kommunales Klimaprogramm Stadt Wil</t>
  </si>
  <si>
    <t xml:space="preserve">Klimaziele, Massnahmen; Verbindlichkeit prüfen (Programm ≠ Erlass)</t>
  </si>
  <si>
    <t xml:space="preserve">https://www.stadtwil.ch/storage/0c6b26d62a364629241b9c9e4535a6b58c82d46aeb166b034ae96c29862a1331</t>
  </si>
  <si>
    <t xml:space="preserve">Allfällige Anschluss-/Versorgungsregeln (Energie-/Wärmeplanabgleich)</t>
  </si>
  <si>
    <t xml:space="preserve">Link identisch mit Baureglement → eigene Energieplanung separat suchen</t>
  </si>
  <si>
    <t xml:space="preserve">Energiestadt-Label Wil</t>
  </si>
  <si>
    <t xml:space="preserve">https://www.stadtwil.ch</t>
  </si>
  <si>
    <t xml:space="preserve">Plan / Konzept</t>
  </si>
  <si>
    <t xml:space="preserve">Kommunale Energieplanung / Klimavorgaben Seelisberg</t>
  </si>
  <si>
    <t xml:space="preserve">Im Katalog keine Gemeindeebene für Q3 → ggf. nur kantonale Vorgaben</t>
  </si>
  <si>
    <t xml:space="preserve">Energieversorger-Daten (Verbrauch, Netzgebiete, Wärmenetze, Anschlussdichte)</t>
  </si>
  <si>
    <t xml:space="preserve">Energieversorger / Gemeinde</t>
  </si>
  <si>
    <t xml:space="preserve">Grundlage Wärmeplanung, Absenkpfad</t>
  </si>
  <si>
    <t xml:space="preserve">Existenz: hoch (Versorger je Gemeinde vorhanden). Zugang: Datenschutz/Geschäftsgeheimnis → Anfrage</t>
  </si>
  <si>
    <t xml:space="preserve">Gebäudebezogener Sanierungsstand, Heizungsregister, kommunale Gebäude-Energiebuchhaltung</t>
  </si>
  <si>
    <t xml:space="preserve">Gemeinde / Kanton</t>
  </si>
  <si>
    <t xml:space="preserve">Gemeindeeigene Bauten, CO₂-Ausgangslage</t>
  </si>
  <si>
    <t xml:space="preserve">Existenz: mittel (Gebäudeprogramm/Feuerungskontrolle vorhanden, Aufbereitung offen)</t>
  </si>
  <si>
    <t xml:space="preserve">4 · Q4 Klimaanpassung und Resilienz – Dokumente, Inventare, Geodaten</t>
  </si>
  <si>
    <t xml:space="preserve">Naturgefahren: Gefahrenhinweiskarte / Portal (Daten der Kantone, via geo.admin.ch)</t>
  </si>
  <si>
    <t xml:space="preserve">Katalog: 04.02.2026</t>
  </si>
  <si>
    <t xml:space="preserve">BAFU (Portal) / Kantone</t>
  </si>
  <si>
    <t xml:space="preserve">Gefahren und Nutzungseinschränkungen standortspezifisch prüfen</t>
  </si>
  <si>
    <t xml:space="preserve">https://www.geo.admin.ch/</t>
  </si>
  <si>
    <t xml:space="preserve">Gefahrenkarten sind kantonale Daten; Bund stellt Hinweiskarte/Portal</t>
  </si>
  <si>
    <t xml:space="preserve">Gefährdungskarte Oberflächenabfluss (Starkregen)</t>
  </si>
  <si>
    <t xml:space="preserve">BAFU / VKF</t>
  </si>
  <si>
    <t xml:space="preserve">Starkregen-/Oberflächenabfluss-Gefährdung</t>
  </si>
  <si>
    <t xml:space="preserve">https://map.geo.admin.ch/#/map?lang=de&amp;center=2660000,1190000&amp;z=1&amp;bgLayer=ch.swisstopo.pixelkarte-grau&amp;layers=ch.bafu.gefahren-oberflaechenabfluss</t>
  </si>
  <si>
    <t xml:space="preserve">Dokument / Daten</t>
  </si>
  <si>
    <t xml:space="preserve">Klimaszenarien CH2018 / Hydro-CH2018 / Klimaszenarien 2025; Strategie Anpassung an den Klimawandel</t>
  </si>
  <si>
    <t xml:space="preserve">MeteoSchweiz / BAFU</t>
  </si>
  <si>
    <t xml:space="preserve">Klimaprojektionen, Hitze, Trockenheit, Starkniederschlag</t>
  </si>
  <si>
    <t xml:space="preserve">Hitzebelastung / Klimaanalyse (urbane Wärmeinseln, Bundesdaten)</t>
  </si>
  <si>
    <t xml:space="preserve">BAFU / MeteoSchweiz</t>
  </si>
  <si>
    <t xml:space="preserve">Hitzevorsorge Siedlungsgebiet</t>
  </si>
  <si>
    <t xml:space="preserve">Abdeckung für kleine Gemeinden prüfen</t>
  </si>
  <si>
    <t xml:space="preserve">Layer / Norm</t>
  </si>
  <si>
    <t xml:space="preserve">Erdbebengefährdung / Mikrozonierung (SED), SIA 261 Bauwerksklassen</t>
  </si>
  <si>
    <t xml:space="preserve">SED / SIA</t>
  </si>
  <si>
    <t xml:space="preserve">Baugrund-Klassen, Bauvorschriften</t>
  </si>
  <si>
    <t xml:space="preserve">https://map.geo.admin.ch/#/map?lang=de&amp;center=2660000,1190000&amp;z=1&amp;bgLayer=ch.swisstopo.pixelkarte-grau&amp;layers=ch.bafu.gefahren-baugrundklassen</t>
  </si>
  <si>
    <t xml:space="preserve">Lärmbelastung (sonBASE), Störfall-Risikokataster, Kataster belasteter Standorte (Bundesbezug)</t>
  </si>
  <si>
    <t xml:space="preserve">USG / StFV / AltlV</t>
  </si>
  <si>
    <t xml:space="preserve">BAFU / Kantone</t>
  </si>
  <si>
    <t xml:space="preserve">Belastungen, Standortrestriktionen</t>
  </si>
  <si>
    <t xml:space="preserve">https://map.geo.admin.ch/#/map?lang=de&amp;center=2660000,1190000&amp;z=1&amp;bgLayer=ch.swisstopo.pixelkarte-grau&amp;layers=ch.bafu.laerm-strassenlaerm_tag</t>
  </si>
  <si>
    <t xml:space="preserve">Kantonale Naturgefahrenkarten BL (Wasser-, Sturz-, Rutschgefahren)</t>
  </si>
  <si>
    <t xml:space="preserve">Katalog: 28.11.2005</t>
  </si>
  <si>
    <t xml:space="preserve">Gefährdung und allfällige Nutzungsauflagen prüfen</t>
  </si>
  <si>
    <t xml:space="preserve">https://geoview.bl.ch/</t>
  </si>
  <si>
    <t xml:space="preserve">Stand 2005 → Aktualität prüfen</t>
  </si>
  <si>
    <t xml:space="preserve">Kantonale Hitze-/Klimaanalyse, Oberflächenabfluss, Lärm- und Altlastenkataster BL</t>
  </si>
  <si>
    <t xml:space="preserve">Hitze, Starkregen, Belastungen</t>
  </si>
  <si>
    <t xml:space="preserve">Kantonale Naturgefahrenkarten SG</t>
  </si>
  <si>
    <t xml:space="preserve">Katalog: 03.09.2026</t>
  </si>
  <si>
    <t xml:space="preserve">https://www.geoportal.ch/ktsg/map/3502?y=2717572.22&amp;x=1252351.20&amp;scale=50000&amp;rotation=0</t>
  </si>
  <si>
    <t xml:space="preserve">Hitze-/Klimaanalyse, Oberflächenabfluss, Lärm- und Altlastenkataster SG</t>
  </si>
  <si>
    <t xml:space="preserve">Kantonale Naturgefahrenkarten Uri</t>
  </si>
  <si>
    <t xml:space="preserve">22.08.2023</t>
  </si>
  <si>
    <t xml:space="preserve">Seelisberg: Sturz-/Rutschgefahr erwartbar → Gefahrenstufen im Perimeter auswerten</t>
  </si>
  <si>
    <t xml:space="preserve">Schutzwald, Lawinen-/Steinschlagschutz, Lärm-/Altlastenkataster Uri</t>
  </si>
  <si>
    <t xml:space="preserve">Schutzbauten, Belastungen</t>
  </si>
  <si>
    <t xml:space="preserve">Abwasserreglement (28.10.2020)</t>
  </si>
  <si>
    <t xml:space="preserve">Generelle Entwässerungsplanung (GEP) / Starkregengrundlagen (Geoportal)</t>
  </si>
  <si>
    <t xml:space="preserve">GEP- und Starkregenprüfung</t>
  </si>
  <si>
    <t xml:space="preserve">https://www.geoportal.ch/muenchenstein/map/1037?y=2611563.50&amp;x=1263436.40&amp;scale=25000&amp;rotation=0</t>
  </si>
  <si>
    <t xml:space="preserve">Einsehbar ohne Attribute, externe Legende; Bezug bei Baudirektion</t>
  </si>
  <si>
    <t xml:space="preserve">GEP / Starkregenkarte Wil</t>
  </si>
  <si>
    <t xml:space="preserve">Wasserversorgung; Entwässerung/Retention damit nicht abgedeckt</t>
  </si>
  <si>
    <t xml:space="preserve">BZO Art. 24 Gefahrenzonen</t>
  </si>
  <si>
    <t xml:space="preserve">Gefahrenzonen in der Nutzungsplanung</t>
  </si>
  <si>
    <t xml:space="preserve">Abwasserreglement / GEP Seelisberg</t>
  </si>
  <si>
    <t xml:space="preserve">GEP-Sachdaten, Notfall-/Katastrophenkonzepte, Gefährdungsanalysen (KATAPLAN), Hochwasser-Einsatzplanung</t>
  </si>
  <si>
    <t xml:space="preserve">Operative Resilienz-Grundlagen</t>
  </si>
  <si>
    <t xml:space="preserve">Existenz: mittel bis hoch (Gefährdungsanalyse/Bevölkerungsschutz Pflicht auf kantonaler Ebene, Detailstand offen)</t>
  </si>
  <si>
    <t xml:space="preserve">Gebäudeversicherung: Elementarschaden-Daten, Objektschutz-Nachweise</t>
  </si>
  <si>
    <t xml:space="preserve">Kant. Gebäudeversicherung</t>
  </si>
  <si>
    <t xml:space="preserve">Schadenshistorie</t>
  </si>
  <si>
    <t xml:space="preserve">Existenz: hoch (kantonale Gebäudeversicherungen führen Schadendaten; Zugang nur auf Anfrage)</t>
  </si>
  <si>
    <t xml:space="preserve">5 · Q5 Ortsbild und Baukultur – Dokumente, Inventare, Geodaten</t>
  </si>
  <si>
    <t xml:space="preserve">ISOS – Bundesinventar schützenswerter Ortsbilder der Schweiz</t>
  </si>
  <si>
    <t xml:space="preserve">VISOS</t>
  </si>
  <si>
    <t xml:space="preserve">Katalog: 01.06.2026</t>
  </si>
  <si>
    <t xml:space="preserve">BAK</t>
  </si>
  <si>
    <t xml:space="preserve">Schutz- und Abwägungspflichten je nach Vorhaben und Rechtskontext (ISOS-/Ortsbildprüfung)</t>
  </si>
  <si>
    <t xml:space="preserve">https://map.geo.admin.ch/#/map?lang=de&amp;center=2660000,1190000&amp;z=1&amp;bgLayer=ch.swisstopo.pixelkarte-grau&amp;layers=ch.bak.bundesinventar-schuetzenswerte-ortsbilder</t>
  </si>
  <si>
    <t xml:space="preserve">Einstufung je Ortsbild (Aufnahmekategorie, Erhaltungsziele) je Gemeinde auswerten</t>
  </si>
  <si>
    <t xml:space="preserve">IVS – Inventar historischer Verkehrswege der Schweiz</t>
  </si>
  <si>
    <t xml:space="preserve">VIVS</t>
  </si>
  <si>
    <t xml:space="preserve">ASTRA</t>
  </si>
  <si>
    <t xml:space="preserve">Historische Wege, Substanz-/Verlaufsschutz</t>
  </si>
  <si>
    <t xml:space="preserve">https://map.geo.admin.ch/#/map?lang=de&amp;center=2660000,1190000&amp;z=1&amp;bgLayer=ch.swisstopo.pixelkarte-grau&amp;layers=ch.astra.ivs-nat</t>
  </si>
  <si>
    <t xml:space="preserve">KGS-Inventar (Kulturgüter von nationaler/regionaler Bedeutung)</t>
  </si>
  <si>
    <t xml:space="preserve">BABS</t>
  </si>
  <si>
    <t xml:space="preserve">Schutzobjekte, Pufferbereiche</t>
  </si>
  <si>
    <t xml:space="preserve">https://map.geo.admin.ch/#/map?lang=de&amp;center=2660000,1190000&amp;z=1&amp;bgLayer=ch.swisstopo.pixelkarte-grau&amp;layers=ch.babs.kulturgueter</t>
  </si>
  <si>
    <t xml:space="preserve">BLN (Landschaftsbild / Kulturlandschaft) – Querbezug Q2</t>
  </si>
  <si>
    <t xml:space="preserve">Landschaftsprägende Elemente</t>
  </si>
  <si>
    <t xml:space="preserve">Strategie / Leitfaden</t>
  </si>
  <si>
    <t xml:space="preserve">Strategie Baukultur des Bundes; Davos Qualitätssystem; Leitfäden BAK</t>
  </si>
  <si>
    <t xml:space="preserve">Qualitätskriterien für Baukultur</t>
  </si>
  <si>
    <t xml:space="preserve">Inventar der Kulturdenkmäler (IKD) BL</t>
  </si>
  <si>
    <t xml:space="preserve">Schutzwürdigkeit und Schutzstatus betroffener Objekte prüfen (Inventarabgleich)</t>
  </si>
  <si>
    <t xml:space="preserve">https://www.geoportal.ch/muenchenstein/map/912?y=2611965.69&amp;x=1263213.43&amp;scale=17500&amp;rotation=0</t>
  </si>
  <si>
    <t xml:space="preserve">Kantonales Bauinventar BL (BIB) / Denkmalverzeichnis</t>
  </si>
  <si>
    <t xml:space="preserve">Schützenswerte/erhaltenswerte Bauten</t>
  </si>
  <si>
    <t xml:space="preserve">https://www.baselland.ch</t>
  </si>
  <si>
    <t xml:space="preserve">Kantonales Denkmalverzeichnis / Hinweisinventar SG</t>
  </si>
  <si>
    <t xml:space="preserve">Kanton SG (Denkmalpflege)</t>
  </si>
  <si>
    <t xml:space="preserve">Im Katalog keine Kantonsebene für Q5</t>
  </si>
  <si>
    <t xml:space="preserve">Wil: Altstadt, historische Bauten → Inventar sichten</t>
  </si>
  <si>
    <t xml:space="preserve">Kantonale Denkmal- und Ortsbildinventare Uri</t>
  </si>
  <si>
    <t xml:space="preserve">Kantonales Schutzinventar Seelisberg</t>
  </si>
  <si>
    <t xml:space="preserve">Kanton UR / Gde Seelisberg</t>
  </si>
  <si>
    <t xml:space="preserve">Geschützte Objekte und Landschaftsteile identifizieren</t>
  </si>
  <si>
    <t xml:space="preserve">Kommunale Schutzverordnung / Ortsbildvorgaben (Zonenvorschriften)</t>
  </si>
  <si>
    <t xml:space="preserve">Schutzobjekte, Erhaltungs- und Gestaltungsauflagen (Schutzplan und Gestaltungsnachweis)</t>
  </si>
  <si>
    <t xml:space="preserve">Link identisch mit Zonenvorschriften → Inhalt verifizieren</t>
  </si>
  <si>
    <t xml:space="preserve">Geoportal Münchenstein: Ortsbild-/Denkmal-Layer</t>
  </si>
  <si>
    <t xml:space="preserve">Reglement zur Schutzverordnung (Schutzobjekte, Gestaltungsauflagen)</t>
  </si>
  <si>
    <t xml:space="preserve">Geoportal Wil: Ortsbild-/Schutzobjekt-Layer, Kernzonen</t>
  </si>
  <si>
    <t xml:space="preserve">Link = BZO (2015) → Widerspruch zum Datum klären</t>
  </si>
  <si>
    <t xml:space="preserve">BZO Art. 8a Kernzone Sonnenberg (Quartiergestaltungsplanpflicht), Art. 26a</t>
  </si>
  <si>
    <t xml:space="preserve">Gestaltungsplanpflicht als baukulturelles Qualitätsinstrument</t>
  </si>
  <si>
    <t xml:space="preserve">Archäologische Fundstellen / Verdachtsflächen</t>
  </si>
  <si>
    <t xml:space="preserve">Kantonsarchäologie</t>
  </si>
  <si>
    <t xml:space="preserve">Fundstellen aus Schutzgründen nicht öffentlich</t>
  </si>
  <si>
    <t xml:space="preserve">Existenz: hoch (kantonale Fachstellen; ZGB Art. 724). Zugang: aus Schutzgründen nicht öffentlich</t>
  </si>
  <si>
    <t xml:space="preserve">Denkmalpflegerische Gutachten, Einzelobjekt-Inventarblätter, Bauberatungs-Protokolle, Gestaltungsbeirat</t>
  </si>
  <si>
    <t xml:space="preserve">Detailgrundlagen für Ortsbildprüfung</t>
  </si>
  <si>
    <t xml:space="preserve">Existenz: mittel (nur bei Unterschutzstellung/Verfahren)</t>
  </si>
  <si>
    <t xml:space="preserve">6 · Q6 Integrierte, lebenszyklusorientierte Bestellung und Umsetzung – Dokumente, Grundlagen</t>
  </si>
  <si>
    <t xml:space="preserve">Kontext Projektvergabe bei Raumentwicklung, Städteplanung, Bauvorschriften.  |  Gemeinden: Münchenstein (BL), Wil (SG), Seelisberg (UR)  |  Recherchestand: 14.10.2026</t>
  </si>
  <si>
    <t xml:space="preserve">Plattform</t>
  </si>
  <si>
    <t xml:space="preserve">simap.ch – Beschaffungsplattform (Ausschreibungen, Zuschläge)</t>
  </si>
  <si>
    <t xml:space="preserve">Bund / Kantone / Gemeinden</t>
  </si>
  <si>
    <t xml:space="preserve">Referenzprojekte, Vergabepraxis der Gemeinden recherchierbar</t>
  </si>
  <si>
    <t xml:space="preserve">https://www.simap.ch</t>
  </si>
  <si>
    <t xml:space="preserve">Gemeinde-Vergaben auswerten (Verfahrensart, Zuschlagskriterien)</t>
  </si>
  <si>
    <t xml:space="preserve">Leitfaden</t>
  </si>
  <si>
    <t xml:space="preserve">KBOB-Empfehlungen (Beschaffung, Lebenszykluskosten, Nachhaltigkeit); Leitfaden Nachhaltige Beschaffung</t>
  </si>
  <si>
    <t xml:space="preserve">KBOB / BBL</t>
  </si>
  <si>
    <t xml:space="preserve">Referenz für lebenszyklusorientierte Beschaffung und Verantwortlichkeiten</t>
  </si>
  <si>
    <t xml:space="preserve">https://www.kbob.admin.ch</t>
  </si>
  <si>
    <t xml:space="preserve">Norm</t>
  </si>
  <si>
    <t xml:space="preserve">SIA 142 (Wettbewerbe), SIA 143 (Studienaufträge), SIA 112 (Leistungsmodell), SIA 118, SIA 480 (Wirtschaftlichkeit)</t>
  </si>
  <si>
    <t xml:space="preserve">SIA</t>
  </si>
  <si>
    <t xml:space="preserve">Verfahrens- und Vertragsstandards für Planerleistungen und Bauausführung</t>
  </si>
  <si>
    <t xml:space="preserve">Kostenpflichtig; Anwendung gemeindespezifisch</t>
  </si>
  <si>
    <t xml:space="preserve">IVöB 2019 inkl. Schwellenwerte</t>
  </si>
  <si>
    <t xml:space="preserve">Katalog: 15.03.2001</t>
  </si>
  <si>
    <t xml:space="preserve">Anwendbares kantonales Recht und Schwellenwerte prüfen (Vergaberechtliche Prüfung)</t>
  </si>
  <si>
    <t xml:space="preserve">https://www.bpuk.ch/fileadmin/Dokumente/bpuk/public/de/konkordate/ivoeb/INTERKANTONALE%2BVEREINBARUNG%2B%25c3%259cBER%2BDAS%2B%25c3%2596FFENTLICHE%2BBESCHAFFUNGSWESEN%2B%28IV%25c3%25b6B%29.pdf</t>
  </si>
  <si>
    <t xml:space="preserve">Katalog-Datum betrifft alte IVöB → IVöB 2019 verifizieren</t>
  </si>
  <si>
    <t xml:space="preserve">Leitfaden/Kommentar zur IVöB 2019 (BPUK / Beschaffungskonferenz)</t>
  </si>
  <si>
    <t xml:space="preserve">BPUK / BKB</t>
  </si>
  <si>
    <t xml:space="preserve">Auslegungshilfe: Zuschlagskriterien, Nachhaltigkeit, Lebenszyklus</t>
  </si>
  <si>
    <t xml:space="preserve">https://www.bpuk.ch</t>
  </si>
  <si>
    <t xml:space="preserve">Verordnung zum EG IVöB (Vo EG IVöB)</t>
  </si>
  <si>
    <t xml:space="preserve">Vergabeverfahren, Eignungs- und Zuschlagskriterien (Vergabekonzept)</t>
  </si>
  <si>
    <t xml:space="preserve">Gesetz / Leitfaden</t>
  </si>
  <si>
    <t xml:space="preserve">EG IVöB BL (Gesetz) und kantonale Beschaffungsleitfäden</t>
  </si>
  <si>
    <t xml:space="preserve">Kantonale Umsetzung, Praxis</t>
  </si>
  <si>
    <t xml:space="preserve">Planungsrecht</t>
  </si>
  <si>
    <t xml:space="preserve">RBG BL: Qualitätssicherungsverfahren / Gestaltungsplanverfahren (Konkurrenzverfahren)</t>
  </si>
  <si>
    <t xml:space="preserve">Planungsrechtliche Verknüpfung Verfahren ↔ Qualität</t>
  </si>
  <si>
    <t xml:space="preserve">Entsprechende Artikel im RBG identifizieren</t>
  </si>
  <si>
    <t xml:space="preserve">Kantonales Beschaffungsrecht / VöB SG</t>
  </si>
  <si>
    <t xml:space="preserve">sGS 841.11</t>
  </si>
  <si>
    <t xml:space="preserve">https://www.gesetzessammlung.sg.ch/app/de/texts_of_law/841.11</t>
  </si>
  <si>
    <t xml:space="preserve">Kataster · Quelle bestätigt (Link von sg.ch)</t>
  </si>
  <si>
    <t xml:space="preserve">PBG SG: Sondernutzungsplanung / Qualitätsverfahren</t>
  </si>
  <si>
    <t xml:space="preserve">Im Katalog nur IVöB; kantonale Umsetzung fehlt</t>
  </si>
  <si>
    <t xml:space="preserve">PBG Uri: Gestaltungsplan-/Quartierplan-Verfahren</t>
  </si>
  <si>
    <t xml:space="preserve">IVöB: RB 3.3111; Reglement: RB 3.3115</t>
  </si>
  <si>
    <t xml:space="preserve">Beleg: Schulungsunterlage Baudirektion UR vom 08.05.2023 (Link getestet); Submissionsverordnung RB 3.3112 aufgehoben</t>
  </si>
  <si>
    <t xml:space="preserve">Gemeindeordnung, Finanzhaushalt- und Beschaffungsreglement</t>
  </si>
  <si>
    <t xml:space="preserve">Ausgaben-/Vertragskompetenzen, Bestellerorganisation</t>
  </si>
  <si>
    <t xml:space="preserve">Vergaben Münchenstein auf simap.ch</t>
  </si>
  <si>
    <t xml:space="preserve">Praxisreferenz Bestellung/Vergabe</t>
  </si>
  <si>
    <t xml:space="preserve">Lebenszykluskosten und Verantwortlichkeiten projektspezifisch festlegen (Besteller-/LCC-Konzept)</t>
  </si>
  <si>
    <t xml:space="preserve">Stand ergänzen; LCC-Bezug im Text prüfen</t>
  </si>
  <si>
    <t xml:space="preserve">Vergaben Wil auf simap.ch</t>
  </si>
  <si>
    <t xml:space="preserve">Vergaben Seelisberg auf simap.ch</t>
  </si>
  <si>
    <t xml:space="preserve">Laufende Vergaben, Verträge, Bestellorganisation, Projektabläufe, Beschaffungsstatistik</t>
  </si>
  <si>
    <t xml:space="preserve">Bestellerkompetenz (C4) und Vergabepraxis</t>
  </si>
  <si>
    <t xml:space="preserve">Existenz: hoch (Vergaben sind zu dokumentieren), Zugang nicht öffentlich</t>
  </si>
  <si>
    <t xml:space="preserve">Lebenszykluskosten-Vorgaben, Bestellerhandbücher, Projektleitungs-Standards der Gemeinde</t>
  </si>
  <si>
    <t xml:space="preserve">Q6-Schwelle: integrierte Gesamtlösung</t>
  </si>
  <si>
    <t xml:space="preserve">Existenz: unbekannt (Hypothese: nur bei grösseren Gemeinden, z. B. Wil)</t>
  </si>
  <si>
    <t xml:space="preserve">7 · Überprüfung GIS-Layers – Sammlung der Layer und Links</t>
  </si>
  <si>
    <t xml:space="preserve">Links öffnen map.geo.admin.ch mit aktivem Layer, zentriert auf die Gemeinde (Zoom nach Bedarf anpassen). Layer-IDs stammen aus Fachwissen (Link-Status «Muster»); bei fehlender ID bitte den Suchbegriff im Viewer verwenden. Alle Links in diesem Blatt sind ungetestet (Sandbox ohne Internetzugriff). Betroffenheit: Dropdown ja / nein / offen – wird von der GIS-Bearbeitung ausgefüllt.</t>
  </si>
  <si>
    <t xml:space="preserve">Thema</t>
  </si>
  <si>
    <t xml:space="preserve">Layer / Datensatz</t>
  </si>
  <si>
    <t xml:space="preserve">Anbieter</t>
  </si>
  <si>
    <t xml:space="preserve">Layer-ID</t>
  </si>
  <si>
    <t xml:space="preserve">Link CH-weit</t>
  </si>
  <si>
    <t xml:space="preserve">Link Münchenstein</t>
  </si>
  <si>
    <t xml:space="preserve">Link Wil</t>
  </si>
  <si>
    <t xml:space="preserve">Link Seelisberg</t>
  </si>
  <si>
    <t xml:space="preserve">Betroffenheit Münchenstein</t>
  </si>
  <si>
    <t xml:space="preserve">Betroffenheit Wil</t>
  </si>
  <si>
    <t xml:space="preserve">Betroffenheit Seelisberg</t>
  </si>
  <si>
    <t xml:space="preserve">Hinweis / Suchbegriff</t>
  </si>
  <si>
    <t xml:space="preserve">BUND – map.geo.admin.ch (gilt für alle drei Gemeinden)</t>
  </si>
  <si>
    <t xml:space="preserve">Landschaft</t>
  </si>
  <si>
    <t xml:space="preserve">BLN – Landschaften und Naturdenkmäler von nationaler Bedeutung</t>
  </si>
  <si>
    <t xml:space="preserve">ch.bafu.bundesinventare-bln</t>
  </si>
  <si>
    <t xml:space="preserve">CH-weit</t>
  </si>
  <si>
    <t xml:space="preserve">offen</t>
  </si>
  <si>
    <t xml:space="preserve">Moorlandschaften von besonderer Schönheit</t>
  </si>
  <si>
    <t xml:space="preserve">ch.bafu.bundesinventare-moorlandschaften</t>
  </si>
  <si>
    <t xml:space="preserve">Biodiversität</t>
  </si>
  <si>
    <t xml:space="preserve">Hochmoore</t>
  </si>
  <si>
    <t xml:space="preserve">ch.bafu.bundesinventare-hochmoore</t>
  </si>
  <si>
    <t xml:space="preserve">Flachmoore</t>
  </si>
  <si>
    <t xml:space="preserve">ch.bafu.bundesinventare-flachmoore</t>
  </si>
  <si>
    <t xml:space="preserve">Auengebiete</t>
  </si>
  <si>
    <t xml:space="preserve">ch.bafu.bundesinventare-auen</t>
  </si>
  <si>
    <t xml:space="preserve">Amphibienlaichgebiete (ortsfest)</t>
  </si>
  <si>
    <t xml:space="preserve">ch.bafu.bundesinventare-amphibien</t>
  </si>
  <si>
    <t xml:space="preserve">Trockenwiesen und -weiden (TWW)</t>
  </si>
  <si>
    <t xml:space="preserve">ch.bafu.bundesinventare-trockenwiesen_trockenweiden</t>
  </si>
  <si>
    <t xml:space="preserve">Eidg. Jagdbanngebiete</t>
  </si>
  <si>
    <t xml:space="preserve">ch.bafu.bundesinventare-jagdbanngebiete</t>
  </si>
  <si>
    <t xml:space="preserve">Wasser- und Zugvogelreservate</t>
  </si>
  <si>
    <t xml:space="preserve">—</t>
  </si>
  <si>
    <t xml:space="preserve">Im Viewer suchen: «Wasser- und Zugvogelreservate»</t>
  </si>
  <si>
    <t xml:space="preserve">Wildtierkorridore (überregional)</t>
  </si>
  <si>
    <t xml:space="preserve">ch.bafu.fauna-wildtierkorridore_national</t>
  </si>
  <si>
    <t xml:space="preserve">Wald</t>
  </si>
  <si>
    <t xml:space="preserve">Waldreservate</t>
  </si>
  <si>
    <t xml:space="preserve">ch.bafu.waldreservate</t>
  </si>
  <si>
    <t xml:space="preserve">Waldareal / Schutzwald</t>
  </si>
  <si>
    <t xml:space="preserve">Im Viewer suchen: «Schutzwald», «Waldareal»</t>
  </si>
  <si>
    <t xml:space="preserve">Q1/Q2</t>
  </si>
  <si>
    <t xml:space="preserve">Planung</t>
  </si>
  <si>
    <t xml:space="preserve">Bauzonen Schweiz (harmonisiert)</t>
  </si>
  <si>
    <t xml:space="preserve">ch.are.bauzonen</t>
  </si>
  <si>
    <t xml:space="preserve">Energie</t>
  </si>
  <si>
    <t xml:space="preserve">Solarenergie: Eignung Dächer</t>
  </si>
  <si>
    <t xml:space="preserve">ch.bfe.solarenergie-eignung-daecher</t>
  </si>
  <si>
    <t xml:space="preserve">Solarenergie: Eignung Fassaden</t>
  </si>
  <si>
    <t xml:space="preserve">ch.bfe.solarenergie-eignung-fassaden</t>
  </si>
  <si>
    <t xml:space="preserve">Gebäude- und Wohnungsregister (Heizung, Energieträger)</t>
  </si>
  <si>
    <t xml:space="preserve">ch.bfs.gebaeude_wohnungs_register</t>
  </si>
  <si>
    <t xml:space="preserve">Windenergie / Geothermie / Wärmenetz-Potenzial</t>
  </si>
  <si>
    <t xml:space="preserve">Im Viewer suchen: «Windenergie», «Geothermie», «Fernwärme»</t>
  </si>
  <si>
    <t xml:space="preserve">Q3/B3</t>
  </si>
  <si>
    <t xml:space="preserve">Mobilität</t>
  </si>
  <si>
    <t xml:space="preserve">ÖV-Güteklassen</t>
  </si>
  <si>
    <t xml:space="preserve">ch.are.gueteklassen_oev</t>
  </si>
  <si>
    <t xml:space="preserve">Naturgefahren</t>
  </si>
  <si>
    <t xml:space="preserve">Gefahrenkarten / Gefahrenhinweiskarte (Daten der Kantone)</t>
  </si>
  <si>
    <t xml:space="preserve">Im Viewer suchen: «Gefahrenkarte» bzw. «Naturgefahren»; massgebend sind die kantonalen Karten</t>
  </si>
  <si>
    <t xml:space="preserve">Starkregen</t>
  </si>
  <si>
    <t xml:space="preserve">Gefährdungskarte Oberflächenabfluss</t>
  </si>
  <si>
    <t xml:space="preserve">ch.bafu.gefahren-oberflaechenabfluss</t>
  </si>
  <si>
    <t xml:space="preserve">Erdbeben</t>
  </si>
  <si>
    <t xml:space="preserve">Baugrundklassen (Erdbeben)</t>
  </si>
  <si>
    <t xml:space="preserve">ch.bafu.gefahren-baugrundklassen</t>
  </si>
  <si>
    <t xml:space="preserve">Lärm</t>
  </si>
  <si>
    <t xml:space="preserve">Strassenlärm Tag</t>
  </si>
  <si>
    <t xml:space="preserve">ch.bafu.laerm-strassenlaerm_tag</t>
  </si>
  <si>
    <t xml:space="preserve">Bahnlärm Tag</t>
  </si>
  <si>
    <t xml:space="preserve">ch.bafu.laerm-bahnlaerm_tag</t>
  </si>
  <si>
    <t xml:space="preserve">Hitze</t>
  </si>
  <si>
    <t xml:space="preserve">Hitzebelastung / Klimaanalyse</t>
  </si>
  <si>
    <t xml:space="preserve">Im Viewer suchen: «Hitze»; Abdeckung kleiner Gemeinden unsicher</t>
  </si>
  <si>
    <t xml:space="preserve">Risiko</t>
  </si>
  <si>
    <t xml:space="preserve">Störfall-Risikokataster / belastete Standorte</t>
  </si>
  <si>
    <t xml:space="preserve">Im Viewer suchen: «Störfall»; Altlastenkataster ist kantonal</t>
  </si>
  <si>
    <t xml:space="preserve">Ortsbild</t>
  </si>
  <si>
    <t xml:space="preserve">ISOS – Ortsbilder von nationaler Bedeutung</t>
  </si>
  <si>
    <t xml:space="preserve">ch.bak.bundesinventar-schuetzenswerte-ortsbilder</t>
  </si>
  <si>
    <t xml:space="preserve">Verkehrswege</t>
  </si>
  <si>
    <t xml:space="preserve">IVS – Historische Verkehrswege (national)</t>
  </si>
  <si>
    <t xml:space="preserve">ch.astra.ivs-nat</t>
  </si>
  <si>
    <t xml:space="preserve">Kulturgüter</t>
  </si>
  <si>
    <t xml:space="preserve">ch.babs.kulturgueter</t>
  </si>
  <si>
    <t xml:space="preserve">KANTONE UND GEMEINDEN – kantonale / kommunale Geoportale (aus Kataster, Layerliste im Viewer sichten)</t>
  </si>
  <si>
    <t xml:space="preserve">Naturgefahrenkarten BL (Überschwemmung, Murgang, Steinschlag, Rutschung)</t>
  </si>
  <si>
    <t xml:space="preserve">Layer-IDs aus Kataster; Stand der Karte 2005 → Aktualität in den Layer-Metadaten prüfen</t>
  </si>
  <si>
    <t xml:space="preserve">Schutzinventare / FFF</t>
  </si>
  <si>
    <t xml:space="preserve">Kantonale Schutzinventare und Fruchtfolgeflächen BL (ARP-Daten)</t>
  </si>
  <si>
    <t xml:space="preserve">Layerliste sichten; FFF und Schutzobjekte getrennt auswerten</t>
  </si>
  <si>
    <t xml:space="preserve">Naturobjekte</t>
  </si>
  <si>
    <t xml:space="preserve">Inventar der geschützten Naturobjekte BL / Naturschutzgebiete (Geoportal BL)</t>
  </si>
  <si>
    <t xml:space="preserve">Rechtsgrundlage § 12 NLG (SGS 790); Layer im Viewer unter Natur/Landschaft suchen</t>
  </si>
  <si>
    <t xml:space="preserve">Denkmal</t>
  </si>
  <si>
    <t xml:space="preserve">Inventar der Kulturdenkmäler (IKD) im Geoportal Münchenstein</t>
  </si>
  <si>
    <t xml:space="preserve">Kanton BL / Gde</t>
  </si>
  <si>
    <t xml:space="preserve">Entwässerung</t>
  </si>
  <si>
    <t xml:space="preserve">GEP / Starkregengrundlagen im Geoportal Münchenstein</t>
  </si>
  <si>
    <t xml:space="preserve">Einsehbar ohne Attribute, externe Legende; Datenbezug bei Baudirektion</t>
  </si>
  <si>
    <t xml:space="preserve">Nutzungsplanung</t>
  </si>
  <si>
    <t xml:space="preserve">Zonenplan Wil (Geoportal)</t>
  </si>
  <si>
    <t xml:space="preserve">Weitere Wil-Layer (Schutzobjekte, Ortsbild) im Layerbaum sichten</t>
  </si>
  <si>
    <t xml:space="preserve">Naturgefahrenkarten SG (Geoportal SG)</t>
  </si>
  <si>
    <t xml:space="preserve">Karte im Katalog mit Stand 03.09.2026</t>
  </si>
  <si>
    <t xml:space="preserve">Q2/Q5</t>
  </si>
  <si>
    <t xml:space="preserve">Natur/Denkmal</t>
  </si>
  <si>
    <t xml:space="preserve">Weitere kantonale Layer SG (Schutzgebiete, Inventare, FFF)</t>
  </si>
  <si>
    <t xml:space="preserve">Layerliste sichten</t>
  </si>
  <si>
    <t xml:space="preserve">Q1/Q2/Q4/Q5</t>
  </si>
  <si>
    <t xml:space="preserve">Geoportal UR</t>
  </si>
  <si>
    <t xml:space="preserve">Geoportal Uri: Nutzungsplanung, Schutzinventare, Naturgefahrenkarten (Seelisberg)</t>
  </si>
  <si>
    <t xml:space="preserve">Naturgefahrenkarten UR Stand 22.08.2023; Schutzinventare Stand 20.03.2026 (Kataster)</t>
  </si>
  <si>
    <t xml:space="preserve">Auffälligkeiten im Q-Grundlagenkataster – Umsetzungsstand</t>
  </si>
  <si>
    <t xml:space="preserve">Nr.</t>
  </si>
  <si>
    <t xml:space="preserve">Gemeinde / Ebene</t>
  </si>
  <si>
    <t xml:space="preserve">Befund</t>
  </si>
  <si>
    <t xml:space="preserve">Massnahme</t>
  </si>
  <si>
    <t xml:space="preserve">Ergebnis / Rest</t>
  </si>
  <si>
    <t xml:space="preserve">Bund / alle</t>
  </si>
  <si>
    <t xml:space="preserve">IVöB: Katalog nennt «Inkrafttreten 15.03.2001» (alte IVöB).</t>
  </si>
  <si>
    <t xml:space="preserve">IVöB 2019 verifizieren, Beitritt je Kanton ermitteln</t>
  </si>
  <si>
    <t xml:space="preserve">teilweise</t>
  </si>
  <si>
    <t xml:space="preserve">Link auf IVöB 2019 (BPUK) ersetzt. SG: Beitritt 01.06.2023 belegt (EGöB sGS 841.1, VöB sGS 841.11). UR: Landrat 15.06.2022, Inkrafttreten 01.06.2023, Submissionsverordnung RB 3.3112 aufgehoben. BL: Beitrittsdatum nicht verifiziert.</t>
  </si>
  <si>
    <t xml:space="preserve">Stände der Bundesgesetze je Gemeinde uneinheitlich.</t>
  </si>
  <si>
    <t xml:space="preserve">Auf konsolidierte Fassung vereinheitlichen</t>
  </si>
  <si>
    <t xml:space="preserve">erledigt</t>
  </si>
  <si>
    <t xml:space="preserve">Spalte «Stand» = «konsolidierte Fassung (Fedlex)»; Katalogstände im Prüfhinweis erhalten. Einzelstände nur dort, wo verifiziert (ZWG 01.10.2024, GSchV 01.08.2025).</t>
  </si>
  <si>
    <t xml:space="preserve">Q1/Q2/Q3/Q5</t>
  </si>
  <si>
    <t xml:space="preserve">Münchenstein, Wil</t>
  </si>
  <si>
    <t xml:space="preserve">Mehrere Katalogzeilen verweisen auf dasselbe Dokument.</t>
  </si>
  <si>
    <t xml:space="preserve">Kein Mangel: ein Dokument deckt mehrere Q-Dimensionen ab (Hinweis des Teams). Zeilen bleiben bestehen; Artikel-/Kapitelfundstellen je Q wären eine spätere Verfeinerung.</t>
  </si>
  <si>
    <t xml:space="preserve">Zuständigkeit «Gemeinde Wil + St. Gallen» beim Reglement zur Schutzverordnung unklar.</t>
  </si>
  <si>
    <t xml:space="preserve">Zuständigkeit klären</t>
  </si>
  <si>
    <t xml:space="preserve">Nach SG-Muster erlassen Gemeinden Schutzverordnungen auf Grundlage Art. 98 ff. PBG (sGS 731.1) und Naturschutzverordnung (sGS 671.1); Genehmigung durch Kanton ist wahrscheinlich, für Wil nicht belegt.</t>
  </si>
  <si>
    <t xml:space="preserve">«Kommunale Schutzverordnung» (18.02.2025) verlinkt auf BZO (2015).</t>
  </si>
  <si>
    <t xml:space="preserve">Separate Schutzverordnung suchen</t>
  </si>
  <si>
    <t xml:space="preserve">offen (Anfrage)</t>
  </si>
  <si>
    <t xml:space="preserve">Websuche ohne Treffer; Anfrage an Gemeinde (Datenanfrage-Liste).</t>
  </si>
  <si>
    <t xml:space="preserve">Nur Wasserversorgungsverordnung; Entwässerung/Retention/GEP fehlen.</t>
  </si>
  <si>
    <t xml:space="preserve">Abwasserreglement/GEP beschaffen</t>
  </si>
  <si>
    <t xml:space="preserve">GEP ist rechtlich vorgesehen (GSchV Art. 5) → Existenz hoch; Anfrage an Gemeinde.</t>
  </si>
  <si>
    <t xml:space="preserve">Gefahrenkarten auf Bundesebene geführt, obwohl kantonal.</t>
  </si>
  <si>
    <t xml:space="preserve">Als Portal/Hinweiskarte kennzeichnen</t>
  </si>
  <si>
    <t xml:space="preserve">Zeile angepasst: Bund = Portal geo.admin.ch (Daten der Kantone); massgebend sind die kantonalen Karten (Blatt 7).</t>
  </si>
  <si>
    <t xml:space="preserve">BL</t>
  </si>
  <si>
    <t xml:space="preserve">Naturgefahrenkarte BL mit Stand 28.11.2005.</t>
  </si>
  <si>
    <t xml:space="preserve">Aktualität prüfen</t>
  </si>
  <si>
    <t xml:space="preserve">Aktualität nur im Geoportal BL (Layer-Metadaten) ersichtlich; in Blatt 7 mit Hinweis verlinkt.</t>
  </si>
  <si>
    <t xml:space="preserve">UR</t>
  </si>
  <si>
    <t xml:space="preserve">Energiegesetz Uri mit Stand 01.01.2000.</t>
  </si>
  <si>
    <t xml:space="preserve">Link auf Rechtsbuch UR (Katalog) bleibt; Versionsstand nicht abgefragt → beim Öffnen der Fassung im Rechtsbuch bestätigen.</t>
  </si>
  <si>
    <t xml:space="preserve">SG</t>
  </si>
  <si>
    <t xml:space="preserve">Keine Kantonsebene für Q2/Q5.</t>
  </si>
  <si>
    <t xml:space="preserve">Kantonale Erlasse und Inventare ergänzen</t>
  </si>
  <si>
    <t xml:space="preserve">Ergänzt: Naturschutzverordnung sGS 671.1, Verordnung Naturkörper/Altertümer sGS 271.51, Geoportal SG. Konkrete Inventar-/Layerliste noch offen (Blatt 2/5, Blatt 7).</t>
  </si>
  <si>
    <t xml:space="preserve">UR / Gemeinden</t>
  </si>
  <si>
    <t xml:space="preserve">Kantonales Einführungsrecht Uri fehlt; kommunale Reglemente Münchenstein/Seelisberg fehlen.</t>
  </si>
  <si>
    <t xml:space="preserve">Beschaffen</t>
  </si>
  <si>
    <t xml:space="preserve">UR erledigt (Beitrittsbeschluss belegt). Kommunale Reglemente: Anfrage an Gemeinden.</t>
  </si>
  <si>
    <t xml:space="preserve">Keine Gemeindeebene für Q3.</t>
  </si>
  <si>
    <t xml:space="preserve">Klären</t>
  </si>
  <si>
    <t xml:space="preserve">Anfrage an Gemeinde, ob kommunale Energie-/Klimavorgaben bestehen.</t>
  </si>
  <si>
    <t xml:space="preserve">Zweitwohnungsgesetz nicht geführt.</t>
  </si>
  <si>
    <t xml:space="preserve">Zweitwohnungsanteil prüfen</t>
  </si>
  <si>
    <t xml:space="preserve">ZWG + ZWV (Fedlex) ergänzt. Seelisberg ist im Anhang der ZWV (vermuteter Anteil &gt;20 %) aufgeführt; Wil nicht in der SG-Liste. Massgebend: jährliche Feststellung des Bundes (Art. 5 ZWG).</t>
  </si>
  <si>
    <t xml:space="preserve">Q1–Q5</t>
  </si>
  <si>
    <t xml:space="preserve">Alle</t>
  </si>
  <si>
    <t xml:space="preserve">Bundesinventare als «zu prüfen» ergänzt; Betroffenheit unbekannt.</t>
  </si>
  <si>
    <t xml:space="preserve">Layer-Sammlung mit Links</t>
  </si>
  <si>
    <t xml:space="preserve">Blatt 7 mit Layer-Links CH-weit und je Gemeinde; Betroffenheit als Dropdown zum Ausfüllen.</t>
  </si>
  <si>
    <t xml:space="preserve">Status «zu prüfen» und «Lücke» waren unscharf.</t>
  </si>
  <si>
    <t xml:space="preserve">Status-Modell präzisieren</t>
  </si>
  <si>
    <t xml:space="preserve">Neu: belegt / belegt – Betroffenheit offen / keine Regelung (geprüft) / nicht belegt (Recherche offen) / Datenanfrage. Spalte «Offene Prüfung (wer / wie)» ergänzt.</t>
  </si>
  <si>
    <t xml:space="preserve">Links fehlten bei öffentlichen Erlassen.</t>
  </si>
  <si>
    <t xml:space="preserve">Links ergänzen</t>
  </si>
  <si>
    <t xml:space="preserve">Alle Erlasse mit Link. Dokument-URL nicht ermittelt (Einstiegsseite): ZWV, VBLN, VISOS, VIVS, SR 451.31–451.37, WaV, BGF, WBG, WBV, UVPV, AltlV, VVEA, Mantelerlass. BGBM jetzt mit ELI aus sg.ch (Quelle bestätigt).</t>
  </si>
  <si>
    <t xml:space="preserve">Bund / UR</t>
  </si>
  <si>
    <t xml:space="preserve">Gesetze und Verordnungen waren teilweise in einer Zeile zusammengefasst.</t>
  </si>
  <si>
    <t xml:space="preserve">Trennen; KGSG entfernen</t>
  </si>
  <si>
    <t xml:space="preserve">Jedes Gesetz und jede Verordnung hat eine eigene Zeile (ZWG/ZWV, NHV/VBLN/VISOS/VIVS, GSchG/GSchV, WaG/WaV, JSG/BGF, EnG/EnV, CO₂-G/V, WBG/WBV, UVPV/AltlV/VVEA; UR: IVöB-Beitritt, Ausnahmengesetz, Submissionsreglement). KGSG auf Vorgabe des Teams entfernt.</t>
  </si>
  <si>
    <t xml:space="preserve">Linktest (14.10.2026): Sandbox ohne Internetzugriff; Abruf nur für Seiten aus der Recherche möglich. Fedlex lädt ohne JavaScript nur eine Hülle, Inhalt/Richtigkeit eines ELI ist so nicht prüfbar.</t>
  </si>
  <si>
    <t xml:space="preserve">Links testen</t>
  </si>
  <si>
    <t xml:space="preserve">Getestet OK: sg.ch Beschaffungs-Grundlagen, ur.ch Schulungsunterlage. Quelle bestätigt (Link von sg.ch): BGBM-ELI, sGS 841.51 / 841.1 / 841.11. Alle übrigen Links «ungetestet»; kein Link als defekt festgestellt. Bitte Klick-Test im Browser (Spalte «Link-Status» filtern auf «ungetestet»).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</si>
</sst>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4D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3A4D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4"/>
      <color rgb="FF1F3A4D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1F3A4D"/>
      <name val="Arial"/>
      <family val="0"/>
      <charset val="1"/>
    </font>
    <font>
      <b val="true"/>
      <sz val="9"/>
      <color rgb="FF000000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sz val="9"/>
      <color rgb="FF80808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A4D"/>
        <bgColor rgb="FF003366"/>
      </patternFill>
    </fill>
    <fill>
      <patternFill patternType="solid">
        <fgColor rgb="FFC6EFCE"/>
        <bgColor rgb="FFE2EFDA"/>
      </patternFill>
    </fill>
    <fill>
      <patternFill patternType="solid">
        <fgColor rgb="FFDDEBF7"/>
        <bgColor rgb="FFD9E2E8"/>
      </patternFill>
    </fill>
    <fill>
      <patternFill patternType="solid">
        <fgColor rgb="FFE2EFDA"/>
        <bgColor rgb="FFEDEDED"/>
      </patternFill>
    </fill>
    <fill>
      <patternFill patternType="solid">
        <fgColor rgb="FFFFEB9C"/>
        <bgColor rgb="FFFFF2CC"/>
      </patternFill>
    </fill>
    <fill>
      <patternFill patternType="solid">
        <fgColor rgb="FFF4B183"/>
        <bgColor rgb="FFF8CBAD"/>
      </patternFill>
    </fill>
    <fill>
      <patternFill patternType="solid">
        <fgColor rgb="FFEDEDED"/>
        <bgColor rgb="FFE2EFDA"/>
      </patternFill>
    </fill>
    <fill>
      <patternFill patternType="solid">
        <fgColor rgb="FFD9E2E8"/>
        <bgColor rgb="FFDDEBF7"/>
      </patternFill>
    </fill>
    <fill>
      <patternFill patternType="solid">
        <fgColor rgb="FFFFF2CC"/>
        <bgColor rgb="FFEDEDED"/>
      </patternFill>
    </fill>
    <fill>
      <patternFill patternType="solid">
        <fgColor rgb="FFF8CBAD"/>
        <bgColor rgb="FFF4B18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16" fillId="3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1" fillId="1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8" fillId="8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6" fillId="6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6" fillId="4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6" fillId="7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11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3A4D"/>
          <bgColor rgb="FF000000"/>
        </patternFill>
      </fill>
    </dxf>
    <dxf>
      <fill>
        <patternFill patternType="solid">
          <fgColor rgb="FFD9E2E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4B183"/>
          <bgColor rgb="FF000000"/>
        </patternFill>
      </fill>
    </dxf>
    <dxf>
      <fill>
        <patternFill patternType="solid">
          <fgColor rgb="FFDDEBF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563C1"/>
      <rgbColor rgb="FFD9E2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EDEDED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fedlex.admin.ch/eli/cc/1999/404/de" TargetMode="External"/><Relationship Id="rId2" Type="http://schemas.openxmlformats.org/officeDocument/2006/relationships/hyperlink" Target="https://www.fedlex.admin.ch/eli/cc/1979/1573_1573_1573/de" TargetMode="External"/><Relationship Id="rId3" Type="http://schemas.openxmlformats.org/officeDocument/2006/relationships/hyperlink" Target="https://www.fedlex.admin.ch/eli/cc/2000/310/de" TargetMode="External"/><Relationship Id="rId4" Type="http://schemas.openxmlformats.org/officeDocument/2006/relationships/hyperlink" Target="https://www.fedlex.admin.ch/eli/cc/2015/886/de" TargetMode="External"/><Relationship Id="rId5" Type="http://schemas.openxmlformats.org/officeDocument/2006/relationships/hyperlink" Target="https://www.are.admin.ch/" TargetMode="External"/><Relationship Id="rId6" Type="http://schemas.openxmlformats.org/officeDocument/2006/relationships/hyperlink" Target="https://www.fedlex.admin.ch/eli/cc/1966/1637_1694_1679/de" TargetMode="External"/><Relationship Id="rId7" Type="http://schemas.openxmlformats.org/officeDocument/2006/relationships/hyperlink" Target="https://www.fedlex.admin.ch/eli/cc/1991/249_249_249/de" TargetMode="External"/><Relationship Id="rId8" Type="http://schemas.openxmlformats.org/officeDocument/2006/relationships/hyperlink" Target="https://www.bafu.admin.ch/" TargetMode="External"/><Relationship Id="rId9" Type="http://schemas.openxmlformats.org/officeDocument/2006/relationships/hyperlink" Target="https://www.bak.admin.ch/" TargetMode="External"/><Relationship Id="rId10" Type="http://schemas.openxmlformats.org/officeDocument/2006/relationships/hyperlink" Target="https://www.astra.admin.ch/" TargetMode="External"/><Relationship Id="rId11" Type="http://schemas.openxmlformats.org/officeDocument/2006/relationships/hyperlink" Target="https://www.bafu.admin.ch/" TargetMode="External"/><Relationship Id="rId12" Type="http://schemas.openxmlformats.org/officeDocument/2006/relationships/hyperlink" Target="https://www.bafu.admin.ch/" TargetMode="External"/><Relationship Id="rId13" Type="http://schemas.openxmlformats.org/officeDocument/2006/relationships/hyperlink" Target="https://www.bafu.admin.ch/" TargetMode="External"/><Relationship Id="rId14" Type="http://schemas.openxmlformats.org/officeDocument/2006/relationships/hyperlink" Target="https://www.bafu.admin.ch/" TargetMode="External"/><Relationship Id="rId15" Type="http://schemas.openxmlformats.org/officeDocument/2006/relationships/hyperlink" Target="https://www.bafu.admin.ch/" TargetMode="External"/><Relationship Id="rId16" Type="http://schemas.openxmlformats.org/officeDocument/2006/relationships/hyperlink" Target="https://www.bafu.admin.ch/" TargetMode="External"/><Relationship Id="rId17" Type="http://schemas.openxmlformats.org/officeDocument/2006/relationships/hyperlink" Target="https://www.bafu.admin.ch/" TargetMode="External"/><Relationship Id="rId18" Type="http://schemas.openxmlformats.org/officeDocument/2006/relationships/hyperlink" Target="https://www.fedlex.admin.ch/eli/cc/1992/1860_1860_1860/de" TargetMode="External"/><Relationship Id="rId19" Type="http://schemas.openxmlformats.org/officeDocument/2006/relationships/hyperlink" Target="https://www.fedlex.admin.ch/eli/cc/1998/2863_2863_2863/de" TargetMode="External"/><Relationship Id="rId20" Type="http://schemas.openxmlformats.org/officeDocument/2006/relationships/hyperlink" Target="https://www.fedlex.admin.ch/eli/cc/1992/2521_2521_2521/de" TargetMode="External"/><Relationship Id="rId21" Type="http://schemas.openxmlformats.org/officeDocument/2006/relationships/hyperlink" Target="https://www.bafu.admin.ch/" TargetMode="External"/><Relationship Id="rId22" Type="http://schemas.openxmlformats.org/officeDocument/2006/relationships/hyperlink" Target="https://www.fedlex.admin.ch/eli/cc/1988/506_506_506/de" TargetMode="External"/><Relationship Id="rId23" Type="http://schemas.openxmlformats.org/officeDocument/2006/relationships/hyperlink" Target="https://www.bafu.admin.ch/" TargetMode="External"/><Relationship Id="rId24" Type="http://schemas.openxmlformats.org/officeDocument/2006/relationships/hyperlink" Target="https://www.fedlex.admin.ch/eli/cc/1984/1122_1122_1122/de" TargetMode="External"/><Relationship Id="rId25" Type="http://schemas.openxmlformats.org/officeDocument/2006/relationships/hyperlink" Target="https://www.fedlex.admin.ch/eli/cc/2017/762/de" TargetMode="External"/><Relationship Id="rId26" Type="http://schemas.openxmlformats.org/officeDocument/2006/relationships/hyperlink" Target="https://www.fedlex.admin.ch/eli/cc/2017/763/de" TargetMode="External"/><Relationship Id="rId27" Type="http://schemas.openxmlformats.org/officeDocument/2006/relationships/hyperlink" Target="https://www.fedlex.admin.ch/eli/cc/2012/855/de" TargetMode="External"/><Relationship Id="rId28" Type="http://schemas.openxmlformats.org/officeDocument/2006/relationships/hyperlink" Target="https://www.fedlex.admin.ch/eli/cc/2012/856/de" TargetMode="External"/><Relationship Id="rId29" Type="http://schemas.openxmlformats.org/officeDocument/2006/relationships/hyperlink" Target="https://www.fedlex.admin.ch/eli/cc/2023/655/de" TargetMode="External"/><Relationship Id="rId30" Type="http://schemas.openxmlformats.org/officeDocument/2006/relationships/hyperlink" Target="https://www.bfe.admin.ch/" TargetMode="External"/><Relationship Id="rId31" Type="http://schemas.openxmlformats.org/officeDocument/2006/relationships/hyperlink" Target="https://www.bafu.admin.ch/" TargetMode="External"/><Relationship Id="rId32" Type="http://schemas.openxmlformats.org/officeDocument/2006/relationships/hyperlink" Target="https://www.bafu.admin.ch/" TargetMode="External"/><Relationship Id="rId33" Type="http://schemas.openxmlformats.org/officeDocument/2006/relationships/hyperlink" Target="https://www.fedlex.admin.ch/eli/cc/1996/1738_1738_1738/de" TargetMode="External"/><Relationship Id="rId34" Type="http://schemas.openxmlformats.org/officeDocument/2006/relationships/hyperlink" Target="https://www.fedlex.admin.ch/eli/cc/2020/126/de" TargetMode="External"/><Relationship Id="rId35" Type="http://schemas.openxmlformats.org/officeDocument/2006/relationships/hyperlink" Target="https://www.fedlex.admin.ch/eli/cc/1987/1_1_1/de" TargetMode="External"/><Relationship Id="rId36" Type="http://schemas.openxmlformats.org/officeDocument/2006/relationships/hyperlink" Target="https://www.fedlex.admin.ch/eli/cc/1986/208_208_208/de" TargetMode="External"/><Relationship Id="rId37" Type="http://schemas.openxmlformats.org/officeDocument/2006/relationships/hyperlink" Target="https://www.fedlex.admin.ch/eli/cc/1991/748_748_748/de" TargetMode="External"/><Relationship Id="rId38" Type="http://schemas.openxmlformats.org/officeDocument/2006/relationships/hyperlink" Target="https://www.bafu.admin.ch/" TargetMode="External"/><Relationship Id="rId39" Type="http://schemas.openxmlformats.org/officeDocument/2006/relationships/hyperlink" Target="https://www.bafu.admin.ch/" TargetMode="External"/><Relationship Id="rId40" Type="http://schemas.openxmlformats.org/officeDocument/2006/relationships/hyperlink" Target="https://www.bafu.admin.ch/" TargetMode="External"/><Relationship Id="rId41" Type="http://schemas.openxmlformats.org/officeDocument/2006/relationships/hyperlink" Target="https://www.bpuk.ch/bpuk/konkordate/ivoeb/ivoeb-2019" TargetMode="External"/><Relationship Id="rId42" Type="http://schemas.openxmlformats.org/officeDocument/2006/relationships/hyperlink" Target="https://bl.clex.ch/app/de/texts_of_law/400" TargetMode="External"/><Relationship Id="rId43" Type="http://schemas.openxmlformats.org/officeDocument/2006/relationships/hyperlink" Target="https://bl-api.webcloud7.ch/politik-und-behorden/direktionen/bau-und-umweltschutzdirektion/raumplanung/raumplanung/richtplanung/downloads-richtplanung/objektblatter.pdf?_t=1786003350618" TargetMode="External"/><Relationship Id="rId44" Type="http://schemas.openxmlformats.org/officeDocument/2006/relationships/hyperlink" Target="https://bl.clex.ch/app/de/texts_of_law/490" TargetMode="External"/><Relationship Id="rId45" Type="http://schemas.openxmlformats.org/officeDocument/2006/relationships/hyperlink" Target="https://bl.clex.ch/app/de/texts_of_law/420.11" TargetMode="External"/><Relationship Id="rId46" Type="http://schemas.openxmlformats.org/officeDocument/2006/relationships/hyperlink" Target="https://bl.clex.ch/app/de/texts_of_law/790" TargetMode="External"/><Relationship Id="rId47" Type="http://schemas.openxmlformats.org/officeDocument/2006/relationships/hyperlink" Target="https://bl.clex.ch/app/de/texts_of_law/780" TargetMode="External"/><Relationship Id="rId48" Type="http://schemas.openxmlformats.org/officeDocument/2006/relationships/hyperlink" Target="https://bl.clex.ch/app/de/texts_of_law/445" TargetMode="External"/><Relationship Id="rId49" Type="http://schemas.openxmlformats.org/officeDocument/2006/relationships/hyperlink" Target="https://www.gesetzessammlung.sg.ch/data/731.1/de" TargetMode="External"/><Relationship Id="rId50" Type="http://schemas.openxmlformats.org/officeDocument/2006/relationships/hyperlink" Target="https://www.sg.ch/bauen/raumentwicklung/kantonaleplanung/richtplanung.html" TargetMode="External"/><Relationship Id="rId51" Type="http://schemas.openxmlformats.org/officeDocument/2006/relationships/hyperlink" Target="https://www.gesetzessammlung.sg.ch/app/de/texts_of_law/741.1" TargetMode="External"/><Relationship Id="rId52" Type="http://schemas.openxmlformats.org/officeDocument/2006/relationships/hyperlink" Target="https://www.sg.ch/" TargetMode="External"/><Relationship Id="rId53" Type="http://schemas.openxmlformats.org/officeDocument/2006/relationships/hyperlink" Target="https://www.gesetzessammlung.sg.ch/app/de/texts_of_law/841.1" TargetMode="External"/><Relationship Id="rId54" Type="http://schemas.openxmlformats.org/officeDocument/2006/relationships/hyperlink" Target="https://www.gesetzessammlung.sg.ch/app/de/texts_of_law/671.1" TargetMode="External"/><Relationship Id="rId55" Type="http://schemas.openxmlformats.org/officeDocument/2006/relationships/hyperlink" Target="https://www.gesetzessammlung.sg.ch/app/de/texts_of_law/271.51" TargetMode="External"/><Relationship Id="rId56" Type="http://schemas.openxmlformats.org/officeDocument/2006/relationships/hyperlink" Target="https://www.gesetzessammlung.sg.ch/app/de/texts_of_law/841.51" TargetMode="External"/><Relationship Id="rId57" Type="http://schemas.openxmlformats.org/officeDocument/2006/relationships/hyperlink" Target="https://www.gesetzessammlung.sg.ch/app/de/texts_of_law/841.1" TargetMode="External"/><Relationship Id="rId58" Type="http://schemas.openxmlformats.org/officeDocument/2006/relationships/hyperlink" Target="https://rechtsbuch.ur.ch/app/de/texts_of_law/40.1111" TargetMode="External"/><Relationship Id="rId59" Type="http://schemas.openxmlformats.org/officeDocument/2006/relationships/hyperlink" Target="https://www.ur.ch/_docn/375874/Richtplantext_240122.pdf" TargetMode="External"/><Relationship Id="rId60" Type="http://schemas.openxmlformats.org/officeDocument/2006/relationships/hyperlink" Target="https://www.ur.ch/" TargetMode="External"/><Relationship Id="rId61" Type="http://schemas.openxmlformats.org/officeDocument/2006/relationships/hyperlink" Target="https://rechtsbuch.ur.ch/app/de/texts_of_law/40.7211" TargetMode="External"/><Relationship Id="rId62" Type="http://schemas.openxmlformats.org/officeDocument/2006/relationships/hyperlink" Target="https://www.ur.ch/" TargetMode="External"/><Relationship Id="rId63" Type="http://schemas.openxmlformats.org/officeDocument/2006/relationships/hyperlink" Target="https://www.ur.ch/_doc/337571" TargetMode="External"/><Relationship Id="rId64" Type="http://schemas.openxmlformats.org/officeDocument/2006/relationships/hyperlink" Target="https://www.ur.ch/_doc/337571" TargetMode="External"/><Relationship Id="rId65" Type="http://schemas.openxmlformats.org/officeDocument/2006/relationships/hyperlink" Target="https://www.ur.ch/_doc/337571" TargetMode="External"/><Relationship Id="rId66" Type="http://schemas.openxmlformats.org/officeDocument/2006/relationships/hyperlink" Target="https://oereblex.bl.ch/api/attachments/22718" TargetMode="External"/><Relationship Id="rId67" Type="http://schemas.openxmlformats.org/officeDocument/2006/relationships/hyperlink" Target="https://oereblex.bl.ch/api/attachments/22718" TargetMode="External"/><Relationship Id="rId68" Type="http://schemas.openxmlformats.org/officeDocument/2006/relationships/hyperlink" Target="https://oereblex.bl.ch/api/attachments/22718" TargetMode="External"/><Relationship Id="rId69" Type="http://schemas.openxmlformats.org/officeDocument/2006/relationships/hyperlink" Target="https://www.muenchenstein.ch/_docn/5130739/TR_5.4_Abwasserreglement_vom_28._Oktober_2020_-_Stand_07.01.2021.pdf" TargetMode="External"/><Relationship Id="rId70" Type="http://schemas.openxmlformats.org/officeDocument/2006/relationships/hyperlink" Target="https://oereblex.bl.ch/api/attachments/22718" TargetMode="External"/><Relationship Id="rId71" Type="http://schemas.openxmlformats.org/officeDocument/2006/relationships/hyperlink" Target="https://www.muenchenstein.ch/" TargetMode="External"/><Relationship Id="rId72" Type="http://schemas.openxmlformats.org/officeDocument/2006/relationships/hyperlink" Target="https://www.geoportal.ch/wil_sg/map/101?y=2719905.16&amp;x=1258486.88&amp;scale=25000&amp;rotation=0" TargetMode="External"/><Relationship Id="rId73" Type="http://schemas.openxmlformats.org/officeDocument/2006/relationships/hyperlink" Target="https://wil-sg.tlex.ch/app/de/texts_of_law/7.1-1" TargetMode="External"/><Relationship Id="rId74" Type="http://schemas.openxmlformats.org/officeDocument/2006/relationships/hyperlink" Target="https://cms.e-mitwirkung.ch/media/wil/Reglement_221013.pdf" TargetMode="External"/><Relationship Id="rId75" Type="http://schemas.openxmlformats.org/officeDocument/2006/relationships/hyperlink" Target="https://wil-sg.tlex.ch/app/de/texts_of_law/7.1-1" TargetMode="External"/><Relationship Id="rId76" Type="http://schemas.openxmlformats.org/officeDocument/2006/relationships/hyperlink" Target="https://www.stadtwil.ch/storage/8ae27a52e6272acbe7a00ddad257f439fbae9a367f80166a75d97ea28f6771cf" TargetMode="External"/><Relationship Id="rId77" Type="http://schemas.openxmlformats.org/officeDocument/2006/relationships/hyperlink" Target="https://wil-sg.tlex.ch/app/de/texts_of_law/1.6-4" TargetMode="External"/><Relationship Id="rId78" Type="http://schemas.openxmlformats.org/officeDocument/2006/relationships/hyperlink" Target="https://www.seelisberg.ch/files/pdf/Bau-und-Zonenordnung-Seelisberg.pdf" TargetMode="External"/><Relationship Id="rId79" Type="http://schemas.openxmlformats.org/officeDocument/2006/relationships/hyperlink" Target="https://geo.ur.ch/" TargetMode="External"/><Relationship Id="rId80" Type="http://schemas.openxmlformats.org/officeDocument/2006/relationships/hyperlink" Target="https://www.ur.ch/_docn/385540/Inventarliste_Seelisberg_Website.pdf" TargetMode="External"/><Relationship Id="rId81" Type="http://schemas.openxmlformats.org/officeDocument/2006/relationships/hyperlink" Target="https://www.seelisberg.ch/" TargetMode="External"/><Relationship Id="rId82" Type="http://schemas.openxmlformats.org/officeDocument/2006/relationships/hyperlink" Target="https://www.seelisberg.ch/files/pdf/Verordnung_&#252;ber_die_Wasserversorgung.pdf" TargetMode="External"/><Relationship Id="rId83" Type="http://schemas.openxmlformats.org/officeDocument/2006/relationships/hyperlink" Target="https://www.seelisberg.ch/files/pdf/Bau-und-Zonenordnung-Seelisberg.pdf" TargetMode="External"/><Relationship Id="rId84" Type="http://schemas.openxmlformats.org/officeDocument/2006/relationships/hyperlink" Target="https://www.seelisberg.ch/" TargetMode="External"/><Relationship Id="rId85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map.geo.admin.ch/" TargetMode="External"/><Relationship Id="rId2" Type="http://schemas.openxmlformats.org/officeDocument/2006/relationships/hyperlink" Target="https://map.geo.admin.ch/" TargetMode="External"/><Relationship Id="rId3" Type="http://schemas.openxmlformats.org/officeDocument/2006/relationships/hyperlink" Target="https://map.geo.admin.ch/" TargetMode="External"/><Relationship Id="rId4" Type="http://schemas.openxmlformats.org/officeDocument/2006/relationships/hyperlink" Target="https://map.geo.admin.ch/" TargetMode="External"/><Relationship Id="rId5" Type="http://schemas.openxmlformats.org/officeDocument/2006/relationships/hyperlink" Target="https://map.geo.admin.ch/" TargetMode="External"/><Relationship Id="rId6" Type="http://schemas.openxmlformats.org/officeDocument/2006/relationships/hyperlink" Target="https://www.are.admin.ch/" TargetMode="External"/><Relationship Id="rId7" Type="http://schemas.openxmlformats.org/officeDocument/2006/relationships/hyperlink" Target="https://www.bafu.admin.ch/" TargetMode="External"/><Relationship Id="rId8" Type="http://schemas.openxmlformats.org/officeDocument/2006/relationships/hyperlink" Target="https://map.geo.admin.ch/" TargetMode="External"/><Relationship Id="rId9" Type="http://schemas.openxmlformats.org/officeDocument/2006/relationships/hyperlink" Target="https://www.are.admin.ch/" TargetMode="External"/><Relationship Id="rId10" Type="http://schemas.openxmlformats.org/officeDocument/2006/relationships/hyperlink" Target="https://arp-daten.bl.ch/" TargetMode="External"/><Relationship Id="rId11" Type="http://schemas.openxmlformats.org/officeDocument/2006/relationships/hyperlink" Target="https://geoview.bl.ch/" TargetMode="External"/><Relationship Id="rId12" Type="http://schemas.openxmlformats.org/officeDocument/2006/relationships/hyperlink" Target="https://www.geoportal.ch/ktsg" TargetMode="External"/><Relationship Id="rId13" Type="http://schemas.openxmlformats.org/officeDocument/2006/relationships/hyperlink" Target="https://www.geoportal.ch/ktsg" TargetMode="External"/><Relationship Id="rId14" Type="http://schemas.openxmlformats.org/officeDocument/2006/relationships/hyperlink" Target="https://geo.ur.ch/" TargetMode="External"/><Relationship Id="rId15" Type="http://schemas.openxmlformats.org/officeDocument/2006/relationships/hyperlink" Target="https://geo.ur.ch/" TargetMode="External"/><Relationship Id="rId16" Type="http://schemas.openxmlformats.org/officeDocument/2006/relationships/hyperlink" Target="https://oereblex.bl.ch/api/attachments/22718" TargetMode="External"/><Relationship Id="rId17" Type="http://schemas.openxmlformats.org/officeDocument/2006/relationships/hyperlink" Target="https://www.geoportal.ch/muenchenstein" TargetMode="External"/><Relationship Id="rId18" Type="http://schemas.openxmlformats.org/officeDocument/2006/relationships/hyperlink" Target="https://cms.e-mitwirkung.ch/media/wil/Reglement_221013.pdf" TargetMode="External"/><Relationship Id="rId19" Type="http://schemas.openxmlformats.org/officeDocument/2006/relationships/hyperlink" Target="https://www.geoportal.ch/wil_sg" TargetMode="External"/><Relationship Id="rId20" Type="http://schemas.openxmlformats.org/officeDocument/2006/relationships/hyperlink" Target="https://www.ur.ch/_docn/385540/Inventarliste_Seelisberg_Website.pdf" TargetMode="External"/><Relationship Id="rId21" Type="http://schemas.openxmlformats.org/officeDocument/2006/relationships/hyperlink" Target="https://www.seelisberg.ch/files/pdf/Bau-und-Zonenordnung-Seelisberg.pdf" TargetMode="External"/><Relationship Id="rId22" Type="http://schemas.openxmlformats.org/officeDocument/2006/relationships/hyperlink" Target="https://www.fedlex.admin.ch/" TargetMode="External"/><Relationship Id="rId23" Type="http://schemas.openxmlformats.org/officeDocument/2006/relationships/hyperlink" Target="https://www.fedlex.admin.ch/" TargetMode="External"/><Relationship Id="rId24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bafu.admin.ch/" TargetMode="External"/><Relationship Id="rId2" Type="http://schemas.openxmlformats.org/officeDocument/2006/relationships/hyperlink" Target="https://map.geo.admin.ch/" TargetMode="External"/><Relationship Id="rId3" Type="http://schemas.openxmlformats.org/officeDocument/2006/relationships/hyperlink" Target="https://map.geo.admin.ch/" TargetMode="External"/><Relationship Id="rId4" Type="http://schemas.openxmlformats.org/officeDocument/2006/relationships/hyperlink" Target="https://map.geo.admin.ch/" TargetMode="External"/><Relationship Id="rId5" Type="http://schemas.openxmlformats.org/officeDocument/2006/relationships/hyperlink" Target="https://www.bafu.admin.ch/" TargetMode="External"/><Relationship Id="rId6" Type="http://schemas.openxmlformats.org/officeDocument/2006/relationships/hyperlink" Target="https://www.sia.ch/" TargetMode="External"/><Relationship Id="rId7" Type="http://schemas.openxmlformats.org/officeDocument/2006/relationships/hyperlink" Target="https://bl.clex.ch/app/de/texts_of_law/490" TargetMode="External"/><Relationship Id="rId8" Type="http://schemas.openxmlformats.org/officeDocument/2006/relationships/hyperlink" Target="https://geoview.bl.ch/" TargetMode="External"/><Relationship Id="rId9" Type="http://schemas.openxmlformats.org/officeDocument/2006/relationships/hyperlink" Target="https://www.gesetzessammlung.sg.ch/app/de/texts_of_law/741.1" TargetMode="External"/><Relationship Id="rId10" Type="http://schemas.openxmlformats.org/officeDocument/2006/relationships/hyperlink" Target="https://www.geoportal.ch/ktsg" TargetMode="External"/><Relationship Id="rId11" Type="http://schemas.openxmlformats.org/officeDocument/2006/relationships/hyperlink" Target="https://rechtsbuch.ur.ch/app/de/texts_of_law/40.7211" TargetMode="External"/><Relationship Id="rId12" Type="http://schemas.openxmlformats.org/officeDocument/2006/relationships/hyperlink" Target="https://www.ur.ch/" TargetMode="External"/><Relationship Id="rId13" Type="http://schemas.openxmlformats.org/officeDocument/2006/relationships/hyperlink" Target="https://oereblex.bl.ch/api/attachments/22718" TargetMode="External"/><Relationship Id="rId14" Type="http://schemas.openxmlformats.org/officeDocument/2006/relationships/hyperlink" Target="https://www.muenchenstein.ch/" TargetMode="External"/><Relationship Id="rId15" Type="http://schemas.openxmlformats.org/officeDocument/2006/relationships/hyperlink" Target="https://www.stadtwil.ch/storage/0c6b26d62a364629241b9c9e4535a6b58c82d46aeb166b034ae96c29862a1331" TargetMode="External"/><Relationship Id="rId16" Type="http://schemas.openxmlformats.org/officeDocument/2006/relationships/hyperlink" Target="https://wil-sg.tlex.ch/app/de/texts_of_law/7.1-1" TargetMode="External"/><Relationship Id="rId17" Type="http://schemas.openxmlformats.org/officeDocument/2006/relationships/hyperlink" Target="https://www.stadtwil.ch/" TargetMode="External"/><Relationship Id="rId18" Type="http://schemas.openxmlformats.org/officeDocument/2006/relationships/hyperlink" Target="https://www.seelisberg.ch/" TargetMode="External"/><Relationship Id="rId19" Type="http://schemas.openxmlformats.org/officeDocument/2006/relationships/hyperlink" Target="https://www.fedlex.admin.ch/" TargetMode="External"/><Relationship Id="rId20" Type="http://schemas.openxmlformats.org/officeDocument/2006/relationships/hyperlink" Target="https://www.fedlex.admin.ch/" TargetMode="External"/><Relationship Id="rId2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geo.admin.ch/" TargetMode="External"/><Relationship Id="rId2" Type="http://schemas.openxmlformats.org/officeDocument/2006/relationships/hyperlink" Target="https://map.geo.admin.ch/" TargetMode="External"/><Relationship Id="rId3" Type="http://schemas.openxmlformats.org/officeDocument/2006/relationships/hyperlink" Target="https://www.bafu.admin.ch/" TargetMode="External"/><Relationship Id="rId4" Type="http://schemas.openxmlformats.org/officeDocument/2006/relationships/hyperlink" Target="https://www.bafu.admin.ch/" TargetMode="External"/><Relationship Id="rId5" Type="http://schemas.openxmlformats.org/officeDocument/2006/relationships/hyperlink" Target="https://map.geo.admin.ch/" TargetMode="External"/><Relationship Id="rId6" Type="http://schemas.openxmlformats.org/officeDocument/2006/relationships/hyperlink" Target="https://map.geo.admin.ch/" TargetMode="External"/><Relationship Id="rId7" Type="http://schemas.openxmlformats.org/officeDocument/2006/relationships/hyperlink" Target="https://geoview.bl.ch/" TargetMode="External"/><Relationship Id="rId8" Type="http://schemas.openxmlformats.org/officeDocument/2006/relationships/hyperlink" Target="https://geoview.bl.ch/" TargetMode="External"/><Relationship Id="rId9" Type="http://schemas.openxmlformats.org/officeDocument/2006/relationships/hyperlink" Target="https://www.geoportal.ch/ktsg/map/3502?y=2717572.22&amp;x=1252351.20&amp;scale=50000&amp;rotation=0" TargetMode="External"/><Relationship Id="rId10" Type="http://schemas.openxmlformats.org/officeDocument/2006/relationships/hyperlink" Target="https://www.geoportal.ch/ktsg" TargetMode="External"/><Relationship Id="rId11" Type="http://schemas.openxmlformats.org/officeDocument/2006/relationships/hyperlink" Target="https://geo.ur.ch/" TargetMode="External"/><Relationship Id="rId12" Type="http://schemas.openxmlformats.org/officeDocument/2006/relationships/hyperlink" Target="https://geo.ur.ch/" TargetMode="External"/><Relationship Id="rId13" Type="http://schemas.openxmlformats.org/officeDocument/2006/relationships/hyperlink" Target="https://www.muenchenstein.ch/_docn/5130739/TR_5.4_Abwasserreglement_vom_28._Oktober_2020_-_Stand_07.01.2021.pdf" TargetMode="External"/><Relationship Id="rId14" Type="http://schemas.openxmlformats.org/officeDocument/2006/relationships/hyperlink" Target="https://www.geoportal.ch/muenchenstein/map/1037?y=2611563.50&amp;x=1263436.40&amp;scale=25000&amp;rotation=0" TargetMode="External"/><Relationship Id="rId15" Type="http://schemas.openxmlformats.org/officeDocument/2006/relationships/hyperlink" Target="https://www.stadtwil.ch/storage/8ae27a52e6272acbe7a00ddad257f439fbae9a367f80166a75d97ea28f6771cf" TargetMode="External"/><Relationship Id="rId16" Type="http://schemas.openxmlformats.org/officeDocument/2006/relationships/hyperlink" Target="https://www.stadtwil.ch/" TargetMode="External"/><Relationship Id="rId17" Type="http://schemas.openxmlformats.org/officeDocument/2006/relationships/hyperlink" Target="https://www.seelisberg.ch/files/pdf/Verordnung_&#252;ber_die_Wasserversorgung.pdf" TargetMode="External"/><Relationship Id="rId18" Type="http://schemas.openxmlformats.org/officeDocument/2006/relationships/hyperlink" Target="https://www.seelisberg.ch/files/pdf/Bau-und-Zonenordnung-Seelisberg.pdf" TargetMode="External"/><Relationship Id="rId19" Type="http://schemas.openxmlformats.org/officeDocument/2006/relationships/hyperlink" Target="https://www.seelisberg.ch/" TargetMode="External"/><Relationship Id="rId20" Type="http://schemas.openxmlformats.org/officeDocument/2006/relationships/hyperlink" Target="https://www.fedlex.admin.ch/" TargetMode="External"/><Relationship Id="rId21" Type="http://schemas.openxmlformats.org/officeDocument/2006/relationships/hyperlink" Target="https://www.fedlex.admin.ch/" TargetMode="External"/><Relationship Id="rId22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map.geo.admin.ch/" TargetMode="External"/><Relationship Id="rId2" Type="http://schemas.openxmlformats.org/officeDocument/2006/relationships/hyperlink" Target="https://map.geo.admin.ch/" TargetMode="External"/><Relationship Id="rId3" Type="http://schemas.openxmlformats.org/officeDocument/2006/relationships/hyperlink" Target="https://map.geo.admin.ch/" TargetMode="External"/><Relationship Id="rId4" Type="http://schemas.openxmlformats.org/officeDocument/2006/relationships/hyperlink" Target="https://map.geo.admin.ch/" TargetMode="External"/><Relationship Id="rId5" Type="http://schemas.openxmlformats.org/officeDocument/2006/relationships/hyperlink" Target="https://www.bak.admin.ch/" TargetMode="External"/><Relationship Id="rId6" Type="http://schemas.openxmlformats.org/officeDocument/2006/relationships/hyperlink" Target="https://www.geoportal.ch/muenchenstein/map/912?y=2611965.69&amp;x=1263213.43&amp;scale=17500&amp;rotation=0" TargetMode="External"/><Relationship Id="rId7" Type="http://schemas.openxmlformats.org/officeDocument/2006/relationships/hyperlink" Target="https://www.baselland.ch/" TargetMode="External"/><Relationship Id="rId8" Type="http://schemas.openxmlformats.org/officeDocument/2006/relationships/hyperlink" Target="https://www.geoportal.ch/ktsg" TargetMode="External"/><Relationship Id="rId9" Type="http://schemas.openxmlformats.org/officeDocument/2006/relationships/hyperlink" Target="https://geo.ur.ch/" TargetMode="External"/><Relationship Id="rId10" Type="http://schemas.openxmlformats.org/officeDocument/2006/relationships/hyperlink" Target="https://geo.ur.ch/" TargetMode="External"/><Relationship Id="rId11" Type="http://schemas.openxmlformats.org/officeDocument/2006/relationships/hyperlink" Target="https://oereblex.bl.ch/api/attachments/22718" TargetMode="External"/><Relationship Id="rId12" Type="http://schemas.openxmlformats.org/officeDocument/2006/relationships/hyperlink" Target="https://www.geoportal.ch/muenchenstein" TargetMode="External"/><Relationship Id="rId13" Type="http://schemas.openxmlformats.org/officeDocument/2006/relationships/hyperlink" Target="https://cms.e-mitwirkung.ch/media/wil/Reglement_221013.pdf" TargetMode="External"/><Relationship Id="rId14" Type="http://schemas.openxmlformats.org/officeDocument/2006/relationships/hyperlink" Target="https://www.geoportal.ch/wil_sg" TargetMode="External"/><Relationship Id="rId15" Type="http://schemas.openxmlformats.org/officeDocument/2006/relationships/hyperlink" Target="https://www.seelisberg.ch/files/pdf/Bau-und-Zonenordnung-Seelisberg.pdf" TargetMode="External"/><Relationship Id="rId16" Type="http://schemas.openxmlformats.org/officeDocument/2006/relationships/hyperlink" Target="https://www.seelisberg.ch/files/pdf/Bau-und-Zonenordnung-Seelisberg.pdf" TargetMode="External"/><Relationship Id="rId17" Type="http://schemas.openxmlformats.org/officeDocument/2006/relationships/hyperlink" Target="https://www.fedlex.admin.ch/" TargetMode="External"/><Relationship Id="rId18" Type="http://schemas.openxmlformats.org/officeDocument/2006/relationships/hyperlink" Target="https://www.fedlex.admin.ch/" TargetMode="External"/><Relationship Id="rId19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www.simap.ch/" TargetMode="External"/><Relationship Id="rId2" Type="http://schemas.openxmlformats.org/officeDocument/2006/relationships/hyperlink" Target="https://www.kbob.admin.ch/" TargetMode="External"/><Relationship Id="rId3" Type="http://schemas.openxmlformats.org/officeDocument/2006/relationships/hyperlink" Target="https://www.sia.ch/" TargetMode="External"/><Relationship Id="rId4" Type="http://schemas.openxmlformats.org/officeDocument/2006/relationships/hyperlink" Target="https://www.bpuk.ch/fileadmin/Dokumente/bpuk/public/de/konkordate/ivoeb/INTERKANTONALE%2BVEREINBARUNG%2B%25c3%259cBER%2BDAS%2B%25c3%2596FFENTLICHE%2BBESCHAFFUNGSWESEN%2B%28IV%25c3%25b6B%29.pdf" TargetMode="External"/><Relationship Id="rId5" Type="http://schemas.openxmlformats.org/officeDocument/2006/relationships/hyperlink" Target="https://www.bpuk.ch/" TargetMode="External"/><Relationship Id="rId6" Type="http://schemas.openxmlformats.org/officeDocument/2006/relationships/hyperlink" Target="https://bl.clex.ch/app/de/texts_of_law/420.11" TargetMode="External"/><Relationship Id="rId7" Type="http://schemas.openxmlformats.org/officeDocument/2006/relationships/hyperlink" Target="https://www.baselland.ch/" TargetMode="External"/><Relationship Id="rId8" Type="http://schemas.openxmlformats.org/officeDocument/2006/relationships/hyperlink" Target="https://bl.clex.ch/app/de/texts_of_law/400" TargetMode="External"/><Relationship Id="rId9" Type="http://schemas.openxmlformats.org/officeDocument/2006/relationships/hyperlink" Target="https://www.gesetzessammlung.sg.ch/app/de/texts_of_law/841.11" TargetMode="External"/><Relationship Id="rId10" Type="http://schemas.openxmlformats.org/officeDocument/2006/relationships/hyperlink" Target="https://www.gesetzessammlung.sg.ch/app/de/texts_of_law/841.1" TargetMode="External"/><Relationship Id="rId11" Type="http://schemas.openxmlformats.org/officeDocument/2006/relationships/hyperlink" Target="https://www.gesetzessammlung.sg.ch/data/731.1/de" TargetMode="External"/><Relationship Id="rId12" Type="http://schemas.openxmlformats.org/officeDocument/2006/relationships/hyperlink" Target="https://www.ur.ch/_doc/337571" TargetMode="External"/><Relationship Id="rId13" Type="http://schemas.openxmlformats.org/officeDocument/2006/relationships/hyperlink" Target="https://www.ur.ch/_doc/337571" TargetMode="External"/><Relationship Id="rId14" Type="http://schemas.openxmlformats.org/officeDocument/2006/relationships/hyperlink" Target="https://www.ur.ch/_doc/337571" TargetMode="External"/><Relationship Id="rId15" Type="http://schemas.openxmlformats.org/officeDocument/2006/relationships/hyperlink" Target="https://rechtsbuch.ur.ch/app/de/texts_of_law/40.1111" TargetMode="External"/><Relationship Id="rId16" Type="http://schemas.openxmlformats.org/officeDocument/2006/relationships/hyperlink" Target="https://www.muenchenstein.ch/" TargetMode="External"/><Relationship Id="rId17" Type="http://schemas.openxmlformats.org/officeDocument/2006/relationships/hyperlink" Target="https://www.simap.ch/" TargetMode="External"/><Relationship Id="rId18" Type="http://schemas.openxmlformats.org/officeDocument/2006/relationships/hyperlink" Target="https://wil-sg.tlex.ch/app/de/texts_of_law/1.6-4" TargetMode="External"/><Relationship Id="rId19" Type="http://schemas.openxmlformats.org/officeDocument/2006/relationships/hyperlink" Target="https://www.simap.ch/" TargetMode="External"/><Relationship Id="rId20" Type="http://schemas.openxmlformats.org/officeDocument/2006/relationships/hyperlink" Target="https://www.seelisberg.ch/" TargetMode="External"/><Relationship Id="rId21" Type="http://schemas.openxmlformats.org/officeDocument/2006/relationships/hyperlink" Target="https://www.simap.ch/" TargetMode="External"/><Relationship Id="rId22" Type="http://schemas.openxmlformats.org/officeDocument/2006/relationships/hyperlink" Target="https://www.fedlex.admin.ch/" TargetMode="External"/><Relationship Id="rId23" Type="http://schemas.openxmlformats.org/officeDocument/2006/relationships/hyperlink" Target="https://www.fedlex.admin.ch/" TargetMode="External"/><Relationship Id="rId24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map.geo.admin.ch/" TargetMode="External"/><Relationship Id="rId2" Type="http://schemas.openxmlformats.org/officeDocument/2006/relationships/hyperlink" Target="https://map.geo.admin.ch/" TargetMode="External"/><Relationship Id="rId3" Type="http://schemas.openxmlformats.org/officeDocument/2006/relationships/hyperlink" Target="https://map.geo.admin.ch/" TargetMode="External"/><Relationship Id="rId4" Type="http://schemas.openxmlformats.org/officeDocument/2006/relationships/hyperlink" Target="https://map.geo.admin.ch/" TargetMode="External"/><Relationship Id="rId5" Type="http://schemas.openxmlformats.org/officeDocument/2006/relationships/hyperlink" Target="https://map.geo.admin.ch/" TargetMode="External"/><Relationship Id="rId6" Type="http://schemas.openxmlformats.org/officeDocument/2006/relationships/hyperlink" Target="https://map.geo.admin.ch/" TargetMode="External"/><Relationship Id="rId7" Type="http://schemas.openxmlformats.org/officeDocument/2006/relationships/hyperlink" Target="https://map.geo.admin.ch/" TargetMode="External"/><Relationship Id="rId8" Type="http://schemas.openxmlformats.org/officeDocument/2006/relationships/hyperlink" Target="https://map.geo.admin.ch/" TargetMode="External"/><Relationship Id="rId9" Type="http://schemas.openxmlformats.org/officeDocument/2006/relationships/hyperlink" Target="https://map.geo.admin.ch/" TargetMode="External"/><Relationship Id="rId10" Type="http://schemas.openxmlformats.org/officeDocument/2006/relationships/hyperlink" Target="https://map.geo.admin.ch/" TargetMode="External"/><Relationship Id="rId11" Type="http://schemas.openxmlformats.org/officeDocument/2006/relationships/hyperlink" Target="https://map.geo.admin.ch/" TargetMode="External"/><Relationship Id="rId12" Type="http://schemas.openxmlformats.org/officeDocument/2006/relationships/hyperlink" Target="https://map.geo.admin.ch/" TargetMode="External"/><Relationship Id="rId13" Type="http://schemas.openxmlformats.org/officeDocument/2006/relationships/hyperlink" Target="https://map.geo.admin.ch/" TargetMode="External"/><Relationship Id="rId14" Type="http://schemas.openxmlformats.org/officeDocument/2006/relationships/hyperlink" Target="https://map.geo.admin.ch/" TargetMode="External"/><Relationship Id="rId15" Type="http://schemas.openxmlformats.org/officeDocument/2006/relationships/hyperlink" Target="https://map.geo.admin.ch/" TargetMode="External"/><Relationship Id="rId16" Type="http://schemas.openxmlformats.org/officeDocument/2006/relationships/hyperlink" Target="https://map.geo.admin.ch/" TargetMode="External"/><Relationship Id="rId17" Type="http://schemas.openxmlformats.org/officeDocument/2006/relationships/hyperlink" Target="https://map.geo.admin.ch/" TargetMode="External"/><Relationship Id="rId18" Type="http://schemas.openxmlformats.org/officeDocument/2006/relationships/hyperlink" Target="https://map.geo.admin.ch/" TargetMode="External"/><Relationship Id="rId19" Type="http://schemas.openxmlformats.org/officeDocument/2006/relationships/hyperlink" Target="https://map.geo.admin.ch/" TargetMode="External"/><Relationship Id="rId20" Type="http://schemas.openxmlformats.org/officeDocument/2006/relationships/hyperlink" Target="https://map.geo.admin.ch/" TargetMode="External"/><Relationship Id="rId21" Type="http://schemas.openxmlformats.org/officeDocument/2006/relationships/hyperlink" Target="https://map.geo.admin.ch/" TargetMode="External"/><Relationship Id="rId22" Type="http://schemas.openxmlformats.org/officeDocument/2006/relationships/hyperlink" Target="https://map.geo.admin.ch/" TargetMode="External"/><Relationship Id="rId23" Type="http://schemas.openxmlformats.org/officeDocument/2006/relationships/hyperlink" Target="https://map.geo.admin.ch/" TargetMode="External"/><Relationship Id="rId24" Type="http://schemas.openxmlformats.org/officeDocument/2006/relationships/hyperlink" Target="https://map.geo.admin.ch/" TargetMode="External"/><Relationship Id="rId25" Type="http://schemas.openxmlformats.org/officeDocument/2006/relationships/hyperlink" Target="https://map.geo.admin.ch/" TargetMode="External"/><Relationship Id="rId26" Type="http://schemas.openxmlformats.org/officeDocument/2006/relationships/hyperlink" Target="https://map.geo.admin.ch/" TargetMode="External"/><Relationship Id="rId27" Type="http://schemas.openxmlformats.org/officeDocument/2006/relationships/hyperlink" Target="https://map.geo.admin.ch/" TargetMode="External"/><Relationship Id="rId28" Type="http://schemas.openxmlformats.org/officeDocument/2006/relationships/hyperlink" Target="https://map.geo.admin.ch/" TargetMode="External"/><Relationship Id="rId29" Type="http://schemas.openxmlformats.org/officeDocument/2006/relationships/hyperlink" Target="https://map.geo.admin.ch/" TargetMode="External"/><Relationship Id="rId30" Type="http://schemas.openxmlformats.org/officeDocument/2006/relationships/hyperlink" Target="https://map.geo.admin.ch/" TargetMode="External"/><Relationship Id="rId31" Type="http://schemas.openxmlformats.org/officeDocument/2006/relationships/hyperlink" Target="https://map.geo.admin.ch/" TargetMode="External"/><Relationship Id="rId32" Type="http://schemas.openxmlformats.org/officeDocument/2006/relationships/hyperlink" Target="https://map.geo.admin.ch/" TargetMode="External"/><Relationship Id="rId33" Type="http://schemas.openxmlformats.org/officeDocument/2006/relationships/hyperlink" Target="https://map.geo.admin.ch/" TargetMode="External"/><Relationship Id="rId34" Type="http://schemas.openxmlformats.org/officeDocument/2006/relationships/hyperlink" Target="https://map.geo.admin.ch/" TargetMode="External"/><Relationship Id="rId35" Type="http://schemas.openxmlformats.org/officeDocument/2006/relationships/hyperlink" Target="https://map.geo.admin.ch/" TargetMode="External"/><Relationship Id="rId36" Type="http://schemas.openxmlformats.org/officeDocument/2006/relationships/hyperlink" Target="https://map.geo.admin.ch/" TargetMode="External"/><Relationship Id="rId37" Type="http://schemas.openxmlformats.org/officeDocument/2006/relationships/hyperlink" Target="https://map.geo.admin.ch/" TargetMode="External"/><Relationship Id="rId38" Type="http://schemas.openxmlformats.org/officeDocument/2006/relationships/hyperlink" Target="https://map.geo.admin.ch/" TargetMode="External"/><Relationship Id="rId39" Type="http://schemas.openxmlformats.org/officeDocument/2006/relationships/hyperlink" Target="https://map.geo.admin.ch/" TargetMode="External"/><Relationship Id="rId40" Type="http://schemas.openxmlformats.org/officeDocument/2006/relationships/hyperlink" Target="https://map.geo.admin.ch/" TargetMode="External"/><Relationship Id="rId41" Type="http://schemas.openxmlformats.org/officeDocument/2006/relationships/hyperlink" Target="https://map.geo.admin.ch/" TargetMode="External"/><Relationship Id="rId42" Type="http://schemas.openxmlformats.org/officeDocument/2006/relationships/hyperlink" Target="https://map.geo.admin.ch/" TargetMode="External"/><Relationship Id="rId43" Type="http://schemas.openxmlformats.org/officeDocument/2006/relationships/hyperlink" Target="https://map.geo.admin.ch/" TargetMode="External"/><Relationship Id="rId44" Type="http://schemas.openxmlformats.org/officeDocument/2006/relationships/hyperlink" Target="https://map.geo.admin.ch/" TargetMode="External"/><Relationship Id="rId45" Type="http://schemas.openxmlformats.org/officeDocument/2006/relationships/hyperlink" Target="https://map.geo.admin.ch/" TargetMode="External"/><Relationship Id="rId46" Type="http://schemas.openxmlformats.org/officeDocument/2006/relationships/hyperlink" Target="https://map.geo.admin.ch/" TargetMode="External"/><Relationship Id="rId47" Type="http://schemas.openxmlformats.org/officeDocument/2006/relationships/hyperlink" Target="https://map.geo.admin.ch/" TargetMode="External"/><Relationship Id="rId48" Type="http://schemas.openxmlformats.org/officeDocument/2006/relationships/hyperlink" Target="https://map.geo.admin.ch/" TargetMode="External"/><Relationship Id="rId49" Type="http://schemas.openxmlformats.org/officeDocument/2006/relationships/hyperlink" Target="https://map.geo.admin.ch/" TargetMode="External"/><Relationship Id="rId50" Type="http://schemas.openxmlformats.org/officeDocument/2006/relationships/hyperlink" Target="https://map.geo.admin.ch/" TargetMode="External"/><Relationship Id="rId51" Type="http://schemas.openxmlformats.org/officeDocument/2006/relationships/hyperlink" Target="https://map.geo.admin.ch/" TargetMode="External"/><Relationship Id="rId52" Type="http://schemas.openxmlformats.org/officeDocument/2006/relationships/hyperlink" Target="https://map.geo.admin.ch/" TargetMode="External"/><Relationship Id="rId53" Type="http://schemas.openxmlformats.org/officeDocument/2006/relationships/hyperlink" Target="https://map.geo.admin.ch/" TargetMode="External"/><Relationship Id="rId54" Type="http://schemas.openxmlformats.org/officeDocument/2006/relationships/hyperlink" Target="https://map.geo.admin.ch/" TargetMode="External"/><Relationship Id="rId55" Type="http://schemas.openxmlformats.org/officeDocument/2006/relationships/hyperlink" Target="https://map.geo.admin.ch/" TargetMode="External"/><Relationship Id="rId56" Type="http://schemas.openxmlformats.org/officeDocument/2006/relationships/hyperlink" Target="https://map.geo.admin.ch/" TargetMode="External"/><Relationship Id="rId57" Type="http://schemas.openxmlformats.org/officeDocument/2006/relationships/hyperlink" Target="https://map.geo.admin.ch/" TargetMode="External"/><Relationship Id="rId58" Type="http://schemas.openxmlformats.org/officeDocument/2006/relationships/hyperlink" Target="https://map.geo.admin.ch/" TargetMode="External"/><Relationship Id="rId59" Type="http://schemas.openxmlformats.org/officeDocument/2006/relationships/hyperlink" Target="https://map.geo.admin.ch/" TargetMode="External"/><Relationship Id="rId60" Type="http://schemas.openxmlformats.org/officeDocument/2006/relationships/hyperlink" Target="https://map.geo.admin.ch/" TargetMode="External"/><Relationship Id="rId61" Type="http://schemas.openxmlformats.org/officeDocument/2006/relationships/hyperlink" Target="https://map.geo.admin.ch/" TargetMode="External"/><Relationship Id="rId62" Type="http://schemas.openxmlformats.org/officeDocument/2006/relationships/hyperlink" Target="https://map.geo.admin.ch/" TargetMode="External"/><Relationship Id="rId63" Type="http://schemas.openxmlformats.org/officeDocument/2006/relationships/hyperlink" Target="https://map.geo.admin.ch/" TargetMode="External"/><Relationship Id="rId64" Type="http://schemas.openxmlformats.org/officeDocument/2006/relationships/hyperlink" Target="https://map.geo.admin.ch/" TargetMode="External"/><Relationship Id="rId65" Type="http://schemas.openxmlformats.org/officeDocument/2006/relationships/hyperlink" Target="https://map.geo.admin.ch/" TargetMode="External"/><Relationship Id="rId66" Type="http://schemas.openxmlformats.org/officeDocument/2006/relationships/hyperlink" Target="https://map.geo.admin.ch/" TargetMode="External"/><Relationship Id="rId67" Type="http://schemas.openxmlformats.org/officeDocument/2006/relationships/hyperlink" Target="https://map.geo.admin.ch/" TargetMode="External"/><Relationship Id="rId68" Type="http://schemas.openxmlformats.org/officeDocument/2006/relationships/hyperlink" Target="https://map.geo.admin.ch/" TargetMode="External"/><Relationship Id="rId69" Type="http://schemas.openxmlformats.org/officeDocument/2006/relationships/hyperlink" Target="https://map.geo.admin.ch/" TargetMode="External"/><Relationship Id="rId70" Type="http://schemas.openxmlformats.org/officeDocument/2006/relationships/hyperlink" Target="https://map.geo.admin.ch/" TargetMode="External"/><Relationship Id="rId71" Type="http://schemas.openxmlformats.org/officeDocument/2006/relationships/hyperlink" Target="https://map.geo.admin.ch/" TargetMode="External"/><Relationship Id="rId72" Type="http://schemas.openxmlformats.org/officeDocument/2006/relationships/hyperlink" Target="https://map.geo.admin.ch/" TargetMode="External"/><Relationship Id="rId73" Type="http://schemas.openxmlformats.org/officeDocument/2006/relationships/hyperlink" Target="https://map.geo.admin.ch/" TargetMode="External"/><Relationship Id="rId74" Type="http://schemas.openxmlformats.org/officeDocument/2006/relationships/hyperlink" Target="https://map.geo.admin.ch/" TargetMode="External"/><Relationship Id="rId75" Type="http://schemas.openxmlformats.org/officeDocument/2006/relationships/hyperlink" Target="https://map.geo.admin.ch/" TargetMode="External"/><Relationship Id="rId76" Type="http://schemas.openxmlformats.org/officeDocument/2006/relationships/hyperlink" Target="https://map.geo.admin.ch/" TargetMode="External"/><Relationship Id="rId77" Type="http://schemas.openxmlformats.org/officeDocument/2006/relationships/hyperlink" Target="https://map.geo.admin.ch/" TargetMode="External"/><Relationship Id="rId78" Type="http://schemas.openxmlformats.org/officeDocument/2006/relationships/hyperlink" Target="https://map.geo.admin.ch/" TargetMode="External"/><Relationship Id="rId79" Type="http://schemas.openxmlformats.org/officeDocument/2006/relationships/hyperlink" Target="https://map.geo.admin.ch/" TargetMode="External"/><Relationship Id="rId80" Type="http://schemas.openxmlformats.org/officeDocument/2006/relationships/hyperlink" Target="https://map.geo.admin.ch/" TargetMode="External"/><Relationship Id="rId81" Type="http://schemas.openxmlformats.org/officeDocument/2006/relationships/hyperlink" Target="https://map.geo.admin.ch/" TargetMode="External"/><Relationship Id="rId82" Type="http://schemas.openxmlformats.org/officeDocument/2006/relationships/hyperlink" Target="https://map.geo.admin.ch/" TargetMode="External"/><Relationship Id="rId83" Type="http://schemas.openxmlformats.org/officeDocument/2006/relationships/hyperlink" Target="https://map.geo.admin.ch/" TargetMode="External"/><Relationship Id="rId84" Type="http://schemas.openxmlformats.org/officeDocument/2006/relationships/hyperlink" Target="https://map.geo.admin.ch/" TargetMode="External"/><Relationship Id="rId85" Type="http://schemas.openxmlformats.org/officeDocument/2006/relationships/hyperlink" Target="https://map.geo.admin.ch/" TargetMode="External"/><Relationship Id="rId86" Type="http://schemas.openxmlformats.org/officeDocument/2006/relationships/hyperlink" Target="https://map.geo.admin.ch/" TargetMode="External"/><Relationship Id="rId87" Type="http://schemas.openxmlformats.org/officeDocument/2006/relationships/hyperlink" Target="https://map.geo.admin.ch/" TargetMode="External"/><Relationship Id="rId88" Type="http://schemas.openxmlformats.org/officeDocument/2006/relationships/hyperlink" Target="https://map.geo.admin.ch/" TargetMode="External"/><Relationship Id="rId89" Type="http://schemas.openxmlformats.org/officeDocument/2006/relationships/hyperlink" Target="https://map.geo.admin.ch/" TargetMode="External"/><Relationship Id="rId90" Type="http://schemas.openxmlformats.org/officeDocument/2006/relationships/hyperlink" Target="https://map.geo.admin.ch/" TargetMode="External"/><Relationship Id="rId91" Type="http://schemas.openxmlformats.org/officeDocument/2006/relationships/hyperlink" Target="https://map.geo.admin.ch/" TargetMode="External"/><Relationship Id="rId92" Type="http://schemas.openxmlformats.org/officeDocument/2006/relationships/hyperlink" Target="https://map.geo.admin.ch/" TargetMode="External"/><Relationship Id="rId93" Type="http://schemas.openxmlformats.org/officeDocument/2006/relationships/hyperlink" Target="https://map.geo.admin.ch/" TargetMode="External"/><Relationship Id="rId94" Type="http://schemas.openxmlformats.org/officeDocument/2006/relationships/hyperlink" Target="https://map.geo.admin.ch/" TargetMode="External"/><Relationship Id="rId95" Type="http://schemas.openxmlformats.org/officeDocument/2006/relationships/hyperlink" Target="https://map.geo.admin.ch/" TargetMode="External"/><Relationship Id="rId96" Type="http://schemas.openxmlformats.org/officeDocument/2006/relationships/hyperlink" Target="https://map.geo.admin.ch/" TargetMode="External"/><Relationship Id="rId97" Type="http://schemas.openxmlformats.org/officeDocument/2006/relationships/hyperlink" Target="https://map.geo.admin.ch/" TargetMode="External"/><Relationship Id="rId98" Type="http://schemas.openxmlformats.org/officeDocument/2006/relationships/hyperlink" Target="https://map.geo.admin.ch/" TargetMode="External"/><Relationship Id="rId99" Type="http://schemas.openxmlformats.org/officeDocument/2006/relationships/hyperlink" Target="https://map.geo.admin.ch/" TargetMode="External"/><Relationship Id="rId100" Type="http://schemas.openxmlformats.org/officeDocument/2006/relationships/hyperlink" Target="https://map.geo.admin.ch/" TargetMode="External"/><Relationship Id="rId101" Type="http://schemas.openxmlformats.org/officeDocument/2006/relationships/hyperlink" Target="https://map.geo.admin.ch/" TargetMode="External"/><Relationship Id="rId102" Type="http://schemas.openxmlformats.org/officeDocument/2006/relationships/hyperlink" Target="https://map.geo.admin.ch/" TargetMode="External"/><Relationship Id="rId103" Type="http://schemas.openxmlformats.org/officeDocument/2006/relationships/hyperlink" Target="https://map.geo.admin.ch/" TargetMode="External"/><Relationship Id="rId104" Type="http://schemas.openxmlformats.org/officeDocument/2006/relationships/hyperlink" Target="https://map.geo.admin.ch/" TargetMode="External"/><Relationship Id="rId105" Type="http://schemas.openxmlformats.org/officeDocument/2006/relationships/hyperlink" Target="https://map.geo.admin.ch/" TargetMode="External"/><Relationship Id="rId106" Type="http://schemas.openxmlformats.org/officeDocument/2006/relationships/hyperlink" Target="https://map.geo.admin.ch/" TargetMode="External"/><Relationship Id="rId107" Type="http://schemas.openxmlformats.org/officeDocument/2006/relationships/hyperlink" Target="https://map.geo.admin.ch/" TargetMode="External"/><Relationship Id="rId108" Type="http://schemas.openxmlformats.org/officeDocument/2006/relationships/hyperlink" Target="https://map.geo.admin.ch/" TargetMode="External"/><Relationship Id="rId109" Type="http://schemas.openxmlformats.org/officeDocument/2006/relationships/hyperlink" Target="https://map.geo.admin.ch/" TargetMode="External"/><Relationship Id="rId110" Type="http://schemas.openxmlformats.org/officeDocument/2006/relationships/hyperlink" Target="https://map.geo.admin.ch/" TargetMode="External"/><Relationship Id="rId111" Type="http://schemas.openxmlformats.org/officeDocument/2006/relationships/hyperlink" Target="https://map.geo.admin.ch/" TargetMode="External"/><Relationship Id="rId112" Type="http://schemas.openxmlformats.org/officeDocument/2006/relationships/hyperlink" Target="https://map.geo.admin.ch/" TargetMode="External"/><Relationship Id="rId113" Type="http://schemas.openxmlformats.org/officeDocument/2006/relationships/hyperlink" Target="https://geoview.bl.ch/?map_x=2621744.3974429&amp;map_y=1259205.5204744&amp;map_zoom=4&amp;baselayer_opacity=100&amp;baselayer_ref=grundkarte_farbig&amp;tree_group_layers_Naturgefahren=ghk_wassergefahren_ueberschwemmung_wildbach%2Cghk_wassergefahren_ueberschwemmung_talfluesse" TargetMode="External"/><Relationship Id="rId114" Type="http://schemas.openxmlformats.org/officeDocument/2006/relationships/hyperlink" Target="https://arp-daten.bl.ch/" TargetMode="External"/><Relationship Id="rId115" Type="http://schemas.openxmlformats.org/officeDocument/2006/relationships/hyperlink" Target="https://geoview.bl.ch/" TargetMode="External"/><Relationship Id="rId116" Type="http://schemas.openxmlformats.org/officeDocument/2006/relationships/hyperlink" Target="https://www.geoportal.ch/muenchenstein/map/912?y=2611965.69&amp;x=1263213.43&amp;scale=17500&amp;rotation=0" TargetMode="External"/><Relationship Id="rId117" Type="http://schemas.openxmlformats.org/officeDocument/2006/relationships/hyperlink" Target="https://www.geoportal.ch/muenchenstein/map/1037?y=2611563.50&amp;x=1263436.40&amp;scale=25000&amp;rotation=0" TargetMode="External"/><Relationship Id="rId118" Type="http://schemas.openxmlformats.org/officeDocument/2006/relationships/hyperlink" Target="https://www.geoportal.ch/wil_sg/map/101?y=2719905.16&amp;x=1258486.88&amp;scale=25000&amp;rotation=0" TargetMode="External"/><Relationship Id="rId119" Type="http://schemas.openxmlformats.org/officeDocument/2006/relationships/hyperlink" Target="https://www.geoportal.ch/ktsg/map/3502?y=2717572.22&amp;x=1252351.20&amp;scale=50000&amp;rotation=0" TargetMode="External"/><Relationship Id="rId120" Type="http://schemas.openxmlformats.org/officeDocument/2006/relationships/hyperlink" Target="https://www.geoportal.ch/ktsg" TargetMode="External"/><Relationship Id="rId121" Type="http://schemas.openxmlformats.org/officeDocument/2006/relationships/hyperlink" Target="https://geo.ur.ch/?Lat=46.85717868779396&amp;Layers=Nutzungsplanung%2CLiegenschaften%2CBaulanddatenbank&amp;Lng=8.660831451416016&amp;Opacity=0%2C0.4%2C1&amp;Visibility=1%2C1%2C1&amp;Zoom=13&#162;er%3D955909%2C5937458&amp;center=955830%2C5937741&amp;layers=Nutzungsplanung%20%28Planproduk" TargetMode="External"/><Relationship Id="rId122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5" min="4" style="1" width="18"/>
    <col collapsed="false" customWidth="true" hidden="false" outlineLevel="0" max="6" min="6" style="1" width="20"/>
    <col collapsed="false" customWidth="true" hidden="false" outlineLevel="0" max="7" min="7" style="1" width="14"/>
    <col collapsed="false" customWidth="true" hidden="false" outlineLevel="0" max="8" min="8" style="1" width="10"/>
    <col collapsed="false" customWidth="true" hidden="false" outlineLevel="0" max="9" min="9" style="1" width="14"/>
  </cols>
  <sheetData>
    <row r="1" customFormat="false" ht="19.7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5" t="s">
        <v>3</v>
      </c>
      <c r="B5" s="6" t="s">
        <v>4</v>
      </c>
    </row>
    <row r="6" customFormat="false" ht="15" hidden="false" customHeight="false" outlineLevel="0" collapsed="false">
      <c r="A6" s="5" t="s">
        <v>5</v>
      </c>
      <c r="B6" s="6" t="s">
        <v>6</v>
      </c>
    </row>
    <row r="7" customFormat="false" ht="15" hidden="false" customHeight="false" outlineLevel="0" collapsed="false">
      <c r="A7" s="5" t="s">
        <v>7</v>
      </c>
      <c r="B7" s="6" t="s">
        <v>8</v>
      </c>
    </row>
    <row r="8" customFormat="false" ht="15" hidden="false" customHeight="false" outlineLevel="0" collapsed="false">
      <c r="A8" s="5" t="s">
        <v>9</v>
      </c>
      <c r="B8" s="6" t="s">
        <v>10</v>
      </c>
    </row>
    <row r="9" customFormat="false" ht="15" hidden="false" customHeight="false" outlineLevel="0" collapsed="false">
      <c r="A9" s="5" t="s">
        <v>11</v>
      </c>
      <c r="B9" s="6" t="s">
        <v>12</v>
      </c>
    </row>
    <row r="10" customFormat="false" ht="15" hidden="false" customHeight="false" outlineLevel="0" collapsed="false">
      <c r="A10" s="5" t="s">
        <v>13</v>
      </c>
      <c r="B10" s="6" t="s">
        <v>14</v>
      </c>
    </row>
    <row r="11" customFormat="false" ht="15" hidden="false" customHeight="false" outlineLevel="0" collapsed="false">
      <c r="A11" s="5" t="s">
        <v>15</v>
      </c>
      <c r="B11" s="6" t="s">
        <v>16</v>
      </c>
    </row>
    <row r="12" customFormat="false" ht="15" hidden="false" customHeight="false" outlineLevel="0" collapsed="false">
      <c r="A12" s="5" t="s">
        <v>17</v>
      </c>
      <c r="B12" s="6" t="s">
        <v>18</v>
      </c>
    </row>
    <row r="15" customFormat="false" ht="15" hidden="false" customHeight="false" outlineLevel="0" collapsed="false">
      <c r="A15" s="4" t="s">
        <v>19</v>
      </c>
    </row>
    <row r="16" customFormat="false" ht="42" hidden="false" customHeight="true" outlineLevel="0" collapsed="false">
      <c r="A16" s="7" t="s">
        <v>20</v>
      </c>
      <c r="B16" s="7" t="s">
        <v>21</v>
      </c>
      <c r="C16" s="7" t="s">
        <v>22</v>
      </c>
      <c r="D16" s="7" t="s">
        <v>23</v>
      </c>
      <c r="E16" s="7" t="s">
        <v>24</v>
      </c>
      <c r="F16" s="7" t="s">
        <v>25</v>
      </c>
      <c r="G16" s="7" t="s">
        <v>26</v>
      </c>
      <c r="H16" s="7" t="s">
        <v>27</v>
      </c>
      <c r="I16" s="7" t="s">
        <v>28</v>
      </c>
    </row>
    <row r="17" customFormat="false" ht="15" hidden="false" customHeight="false" outlineLevel="0" collapsed="false">
      <c r="A17" s="8" t="s">
        <v>3</v>
      </c>
      <c r="B17" s="9" t="s">
        <v>29</v>
      </c>
      <c r="C17" s="10" t="n">
        <f aca="false">COUNTIF(1_Q1_Rechtsordnung!$I$6:$I$97,"belegt")+COUNTIF(1_Q1_Rechtsordnung!$I$6:$I$97,"gilt")</f>
        <v>52</v>
      </c>
      <c r="D17" s="10" t="n">
        <f aca="false">COUNTIF(1_Q1_Rechtsordnung!$I$6:$I$97,"belegt – Betroffenheit offen")</f>
        <v>0</v>
      </c>
      <c r="E17" s="10" t="n">
        <f aca="false">COUNTIF(1_Q1_Rechtsordnung!$I$6:$I$97,"keine Regelung (geprüft)")</f>
        <v>0</v>
      </c>
      <c r="F17" s="10" t="n">
        <f aca="false">COUNTIF(1_Q1_Rechtsordnung!$I$6:$I$97,"nicht belegt (Recherche offen)")</f>
        <v>1</v>
      </c>
      <c r="G17" s="10" t="n">
        <f aca="false">COUNTIF(1_Q1_Rechtsordnung!$I$6:$I$97,"Datenanfrage (nicht öffentlich)")</f>
        <v>0</v>
      </c>
      <c r="H17" s="10" t="n">
        <f aca="false">SUM(C17:G17)</f>
        <v>53</v>
      </c>
      <c r="I17" s="11" t="n">
        <f aca="false">IF(H17=0,0,(C17+D17)/H17)</f>
        <v>0.981132075471698</v>
      </c>
    </row>
    <row r="18" customFormat="false" ht="15" hidden="false" customHeight="false" outlineLevel="0" collapsed="false">
      <c r="A18" s="8"/>
      <c r="B18" s="9" t="s">
        <v>30</v>
      </c>
      <c r="C18" s="10" t="n">
        <f aca="false">COUNTIF(1_Q1_Rechtsordnung!$J$6:$J$97,"belegt")+COUNTIF(1_Q1_Rechtsordnung!$J$6:$J$97,"gilt")</f>
        <v>54</v>
      </c>
      <c r="D18" s="10" t="n">
        <f aca="false">COUNTIF(1_Q1_Rechtsordnung!$J$6:$J$97,"belegt – Betroffenheit offen")</f>
        <v>0</v>
      </c>
      <c r="E18" s="10" t="n">
        <f aca="false">COUNTIF(1_Q1_Rechtsordnung!$J$6:$J$97,"keine Regelung (geprüft)")</f>
        <v>0</v>
      </c>
      <c r="F18" s="10" t="n">
        <f aca="false">COUNTIF(1_Q1_Rechtsordnung!$J$6:$J$97,"nicht belegt (Recherche offen)")</f>
        <v>1</v>
      </c>
      <c r="G18" s="10" t="n">
        <f aca="false">COUNTIF(1_Q1_Rechtsordnung!$J$6:$J$97,"Datenanfrage (nicht öffentlich)")</f>
        <v>0</v>
      </c>
      <c r="H18" s="10" t="n">
        <f aca="false">SUM(C18:G18)</f>
        <v>55</v>
      </c>
      <c r="I18" s="11" t="n">
        <f aca="false">IF(H18=0,0,(C18+D18)/H18)</f>
        <v>0.981818181818182</v>
      </c>
    </row>
    <row r="19" customFormat="false" ht="15" hidden="false" customHeight="false" outlineLevel="0" collapsed="false">
      <c r="A19" s="8"/>
      <c r="B19" s="9" t="s">
        <v>31</v>
      </c>
      <c r="C19" s="10" t="n">
        <f aca="false">COUNTIF(1_Q1_Rechtsordnung!$K$6:$K$97,"belegt")+COUNTIF(1_Q1_Rechtsordnung!$K$6:$K$97,"gilt")</f>
        <v>51</v>
      </c>
      <c r="D19" s="10" t="n">
        <f aca="false">COUNTIF(1_Q1_Rechtsordnung!$K$6:$K$97,"belegt – Betroffenheit offen")</f>
        <v>0</v>
      </c>
      <c r="E19" s="10" t="n">
        <f aca="false">COUNTIF(1_Q1_Rechtsordnung!$K$6:$K$97,"keine Regelung (geprüft)")</f>
        <v>0</v>
      </c>
      <c r="F19" s="10" t="n">
        <f aca="false">COUNTIF(1_Q1_Rechtsordnung!$K$6:$K$97,"nicht belegt (Recherche offen)")</f>
        <v>4</v>
      </c>
      <c r="G19" s="10" t="n">
        <f aca="false">COUNTIF(1_Q1_Rechtsordnung!$K$6:$K$97,"Datenanfrage (nicht öffentlich)")</f>
        <v>0</v>
      </c>
      <c r="H19" s="10" t="n">
        <f aca="false">SUM(C19:G19)</f>
        <v>55</v>
      </c>
      <c r="I19" s="11" t="n">
        <f aca="false">IF(H19=0,0,(C19+D19)/H19)</f>
        <v>0.927272727272727</v>
      </c>
    </row>
    <row r="20" customFormat="false" ht="15" hidden="false" customHeight="false" outlineLevel="0" collapsed="false">
      <c r="A20" s="8" t="s">
        <v>5</v>
      </c>
      <c r="B20" s="9" t="s">
        <v>29</v>
      </c>
      <c r="C20" s="10" t="n">
        <f aca="false">COUNTIF(2_Q2_Landschaft!$I$6:$I$36,"belegt")+COUNTIF(2_Q2_Landschaft!$I$6:$I$36,"gilt")</f>
        <v>4</v>
      </c>
      <c r="D20" s="10" t="n">
        <f aca="false">COUNTIF(2_Q2_Landschaft!$I$6:$I$36,"belegt – Betroffenheit offen")</f>
        <v>7</v>
      </c>
      <c r="E20" s="10" t="n">
        <f aca="false">COUNTIF(2_Q2_Landschaft!$I$6:$I$36,"keine Regelung (geprüft)")</f>
        <v>0</v>
      </c>
      <c r="F20" s="10" t="n">
        <f aca="false">COUNTIF(2_Q2_Landschaft!$I$6:$I$36,"nicht belegt (Recherche offen)")</f>
        <v>2</v>
      </c>
      <c r="G20" s="10" t="n">
        <f aca="false">COUNTIF(2_Q2_Landschaft!$I$6:$I$36,"Datenanfrage (nicht öffentlich)")</f>
        <v>2</v>
      </c>
      <c r="H20" s="10" t="n">
        <f aca="false">SUM(C20:G20)</f>
        <v>15</v>
      </c>
      <c r="I20" s="11" t="n">
        <f aca="false">IF(H20=0,0,(C20+D20)/H20)</f>
        <v>0.733333333333333</v>
      </c>
    </row>
    <row r="21" customFormat="false" ht="15" hidden="false" customHeight="false" outlineLevel="0" collapsed="false">
      <c r="A21" s="8"/>
      <c r="B21" s="9" t="s">
        <v>30</v>
      </c>
      <c r="C21" s="10" t="n">
        <f aca="false">COUNTIF(2_Q2_Landschaft!$J$6:$J$36,"belegt")+COUNTIF(2_Q2_Landschaft!$J$6:$J$36,"gilt")</f>
        <v>3</v>
      </c>
      <c r="D21" s="10" t="n">
        <f aca="false">COUNTIF(2_Q2_Landschaft!$J$6:$J$36,"belegt – Betroffenheit offen")</f>
        <v>7</v>
      </c>
      <c r="E21" s="10" t="n">
        <f aca="false">COUNTIF(2_Q2_Landschaft!$J$6:$J$36,"keine Regelung (geprüft)")</f>
        <v>0</v>
      </c>
      <c r="F21" s="10" t="n">
        <f aca="false">COUNTIF(2_Q2_Landschaft!$J$6:$J$36,"nicht belegt (Recherche offen)")</f>
        <v>3</v>
      </c>
      <c r="G21" s="10" t="n">
        <f aca="false">COUNTIF(2_Q2_Landschaft!$J$6:$J$36,"Datenanfrage (nicht öffentlich)")</f>
        <v>2</v>
      </c>
      <c r="H21" s="10" t="n">
        <f aca="false">SUM(C21:G21)</f>
        <v>15</v>
      </c>
      <c r="I21" s="11" t="n">
        <f aca="false">IF(H21=0,0,(C21+D21)/H21)</f>
        <v>0.666666666666667</v>
      </c>
    </row>
    <row r="22" customFormat="false" ht="15" hidden="false" customHeight="false" outlineLevel="0" collapsed="false">
      <c r="A22" s="8"/>
      <c r="B22" s="9" t="s">
        <v>31</v>
      </c>
      <c r="C22" s="10" t="n">
        <f aca="false">COUNTIF(2_Q2_Landschaft!$K$6:$K$36,"belegt")+COUNTIF(2_Q2_Landschaft!$K$6:$K$36,"gilt")</f>
        <v>5</v>
      </c>
      <c r="D22" s="10" t="n">
        <f aca="false">COUNTIF(2_Q2_Landschaft!$K$6:$K$36,"belegt – Betroffenheit offen")</f>
        <v>7</v>
      </c>
      <c r="E22" s="10" t="n">
        <f aca="false">COUNTIF(2_Q2_Landschaft!$K$6:$K$36,"keine Regelung (geprüft)")</f>
        <v>0</v>
      </c>
      <c r="F22" s="10" t="n">
        <f aca="false">COUNTIF(2_Q2_Landschaft!$K$6:$K$36,"nicht belegt (Recherche offen)")</f>
        <v>1</v>
      </c>
      <c r="G22" s="10" t="n">
        <f aca="false">COUNTIF(2_Q2_Landschaft!$K$6:$K$36,"Datenanfrage (nicht öffentlich)")</f>
        <v>2</v>
      </c>
      <c r="H22" s="10" t="n">
        <f aca="false">SUM(C22:G22)</f>
        <v>15</v>
      </c>
      <c r="I22" s="11" t="n">
        <f aca="false">IF(H22=0,0,(C22+D22)/H22)</f>
        <v>0.8</v>
      </c>
    </row>
    <row r="23" customFormat="false" ht="15" hidden="false" customHeight="false" outlineLevel="0" collapsed="false">
      <c r="A23" s="8" t="s">
        <v>7</v>
      </c>
      <c r="B23" s="9" t="s">
        <v>29</v>
      </c>
      <c r="C23" s="10" t="n">
        <f aca="false">COUNTIF(3_Q3_Klima_Energie!$I$6:$I$33,"belegt")+COUNTIF(3_Q3_Klima_Energie!$I$6:$I$33,"gilt")</f>
        <v>5</v>
      </c>
      <c r="D23" s="10" t="n">
        <f aca="false">COUNTIF(3_Q3_Klima_Energie!$I$6:$I$33,"belegt – Betroffenheit offen")</f>
        <v>1</v>
      </c>
      <c r="E23" s="10" t="n">
        <f aca="false">COUNTIF(3_Q3_Klima_Energie!$I$6:$I$33,"keine Regelung (geprüft)")</f>
        <v>0</v>
      </c>
      <c r="F23" s="10" t="n">
        <f aca="false">COUNTIF(3_Q3_Klima_Energie!$I$6:$I$33,"nicht belegt (Recherche offen)")</f>
        <v>4</v>
      </c>
      <c r="G23" s="10" t="n">
        <f aca="false">COUNTIF(3_Q3_Klima_Energie!$I$6:$I$33,"Datenanfrage (nicht öffentlich)")</f>
        <v>2</v>
      </c>
      <c r="H23" s="10" t="n">
        <f aca="false">SUM(C23:G23)</f>
        <v>12</v>
      </c>
      <c r="I23" s="11" t="n">
        <f aca="false">IF(H23=0,0,(C23+D23)/H23)</f>
        <v>0.5</v>
      </c>
    </row>
    <row r="24" customFormat="false" ht="15" hidden="false" customHeight="false" outlineLevel="0" collapsed="false">
      <c r="A24" s="8"/>
      <c r="B24" s="9" t="s">
        <v>30</v>
      </c>
      <c r="C24" s="10" t="n">
        <f aca="false">COUNTIF(3_Q3_Klima_Energie!$J$6:$J$33,"belegt")+COUNTIF(3_Q3_Klima_Energie!$J$6:$J$33,"gilt")</f>
        <v>6</v>
      </c>
      <c r="D24" s="10" t="n">
        <f aca="false">COUNTIF(3_Q3_Klima_Energie!$J$6:$J$33,"belegt – Betroffenheit offen")</f>
        <v>1</v>
      </c>
      <c r="E24" s="10" t="n">
        <f aca="false">COUNTIF(3_Q3_Klima_Energie!$J$6:$J$33,"keine Regelung (geprüft)")</f>
        <v>0</v>
      </c>
      <c r="F24" s="10" t="n">
        <f aca="false">COUNTIF(3_Q3_Klima_Energie!$J$6:$J$33,"nicht belegt (Recherche offen)")</f>
        <v>4</v>
      </c>
      <c r="G24" s="10" t="n">
        <f aca="false">COUNTIF(3_Q3_Klima_Energie!$J$6:$J$33,"Datenanfrage (nicht öffentlich)")</f>
        <v>2</v>
      </c>
      <c r="H24" s="10" t="n">
        <f aca="false">SUM(C24:G24)</f>
        <v>13</v>
      </c>
      <c r="I24" s="11" t="n">
        <f aca="false">IF(H24=0,0,(C24+D24)/H24)</f>
        <v>0.538461538461538</v>
      </c>
    </row>
    <row r="25" customFormat="false" ht="15" hidden="false" customHeight="false" outlineLevel="0" collapsed="false">
      <c r="A25" s="8"/>
      <c r="B25" s="9" t="s">
        <v>31</v>
      </c>
      <c r="C25" s="10" t="n">
        <f aca="false">COUNTIF(3_Q3_Klima_Energie!$K$6:$K$33,"belegt")+COUNTIF(3_Q3_Klima_Energie!$K$6:$K$33,"gilt")</f>
        <v>4</v>
      </c>
      <c r="D25" s="10" t="n">
        <f aca="false">COUNTIF(3_Q3_Klima_Energie!$K$6:$K$33,"belegt – Betroffenheit offen")</f>
        <v>1</v>
      </c>
      <c r="E25" s="10" t="n">
        <f aca="false">COUNTIF(3_Q3_Klima_Energie!$K$6:$K$33,"keine Regelung (geprüft)")</f>
        <v>0</v>
      </c>
      <c r="F25" s="10" t="n">
        <f aca="false">COUNTIF(3_Q3_Klima_Energie!$K$6:$K$33,"nicht belegt (Recherche offen)")</f>
        <v>4</v>
      </c>
      <c r="G25" s="10" t="n">
        <f aca="false">COUNTIF(3_Q3_Klima_Energie!$K$6:$K$33,"Datenanfrage (nicht öffentlich)")</f>
        <v>2</v>
      </c>
      <c r="H25" s="10" t="n">
        <f aca="false">SUM(C25:G25)</f>
        <v>11</v>
      </c>
      <c r="I25" s="11" t="n">
        <f aca="false">IF(H25=0,0,(C25+D25)/H25)</f>
        <v>0.454545454545455</v>
      </c>
    </row>
    <row r="26" customFormat="false" ht="15" hidden="false" customHeight="false" outlineLevel="0" collapsed="false">
      <c r="A26" s="8" t="s">
        <v>9</v>
      </c>
      <c r="B26" s="9" t="s">
        <v>29</v>
      </c>
      <c r="C26" s="10" t="n">
        <f aca="false">COUNTIF(4_Q4_Resilienz!$I$6:$I$34,"belegt")+COUNTIF(4_Q4_Resilienz!$I$6:$I$34,"gilt")</f>
        <v>5</v>
      </c>
      <c r="D26" s="10" t="n">
        <f aca="false">COUNTIF(4_Q4_Resilienz!$I$6:$I$34,"belegt – Betroffenheit offen")</f>
        <v>3</v>
      </c>
      <c r="E26" s="10" t="n">
        <f aca="false">COUNTIF(4_Q4_Resilienz!$I$6:$I$34,"keine Regelung (geprüft)")</f>
        <v>0</v>
      </c>
      <c r="F26" s="10" t="n">
        <f aca="false">COUNTIF(4_Q4_Resilienz!$I$6:$I$34,"nicht belegt (Recherche offen)")</f>
        <v>2</v>
      </c>
      <c r="G26" s="10" t="n">
        <f aca="false">COUNTIF(4_Q4_Resilienz!$I$6:$I$34,"Datenanfrage (nicht öffentlich)")</f>
        <v>2</v>
      </c>
      <c r="H26" s="10" t="n">
        <f aca="false">SUM(C26:G26)</f>
        <v>12</v>
      </c>
      <c r="I26" s="11" t="n">
        <f aca="false">IF(H26=0,0,(C26+D26)/H26)</f>
        <v>0.666666666666667</v>
      </c>
    </row>
    <row r="27" customFormat="false" ht="15" hidden="false" customHeight="false" outlineLevel="0" collapsed="false">
      <c r="A27" s="8"/>
      <c r="B27" s="9" t="s">
        <v>30</v>
      </c>
      <c r="C27" s="10" t="n">
        <f aca="false">COUNTIF(4_Q4_Resilienz!$J$6:$J$34,"belegt")+COUNTIF(4_Q4_Resilienz!$J$6:$J$34,"gilt")</f>
        <v>4</v>
      </c>
      <c r="D27" s="10" t="n">
        <f aca="false">COUNTIF(4_Q4_Resilienz!$J$6:$J$34,"belegt – Betroffenheit offen")</f>
        <v>3</v>
      </c>
      <c r="E27" s="10" t="n">
        <f aca="false">COUNTIF(4_Q4_Resilienz!$J$6:$J$34,"keine Regelung (geprüft)")</f>
        <v>0</v>
      </c>
      <c r="F27" s="10" t="n">
        <f aca="false">COUNTIF(4_Q4_Resilienz!$J$6:$J$34,"nicht belegt (Recherche offen)")</f>
        <v>3</v>
      </c>
      <c r="G27" s="10" t="n">
        <f aca="false">COUNTIF(4_Q4_Resilienz!$J$6:$J$34,"Datenanfrage (nicht öffentlich)")</f>
        <v>2</v>
      </c>
      <c r="H27" s="10" t="n">
        <f aca="false">SUM(C27:G27)</f>
        <v>12</v>
      </c>
      <c r="I27" s="11" t="n">
        <f aca="false">IF(H27=0,0,(C27+D27)/H27)</f>
        <v>0.583333333333333</v>
      </c>
    </row>
    <row r="28" customFormat="false" ht="15" hidden="false" customHeight="false" outlineLevel="0" collapsed="false">
      <c r="A28" s="8"/>
      <c r="B28" s="9" t="s">
        <v>31</v>
      </c>
      <c r="C28" s="10" t="n">
        <f aca="false">COUNTIF(4_Q4_Resilienz!$K$6:$K$34,"belegt")+COUNTIF(4_Q4_Resilienz!$K$6:$K$34,"gilt")</f>
        <v>5</v>
      </c>
      <c r="D28" s="10" t="n">
        <f aca="false">COUNTIF(4_Q4_Resilienz!$K$6:$K$34,"belegt – Betroffenheit offen")</f>
        <v>3</v>
      </c>
      <c r="E28" s="10" t="n">
        <f aca="false">COUNTIF(4_Q4_Resilienz!$K$6:$K$34,"keine Regelung (geprüft)")</f>
        <v>0</v>
      </c>
      <c r="F28" s="10" t="n">
        <f aca="false">COUNTIF(4_Q4_Resilienz!$K$6:$K$34,"nicht belegt (Recherche offen)")</f>
        <v>3</v>
      </c>
      <c r="G28" s="10" t="n">
        <f aca="false">COUNTIF(4_Q4_Resilienz!$K$6:$K$34,"Datenanfrage (nicht öffentlich)")</f>
        <v>2</v>
      </c>
      <c r="H28" s="10" t="n">
        <f aca="false">SUM(C28:G28)</f>
        <v>13</v>
      </c>
      <c r="I28" s="11" t="n">
        <f aca="false">IF(H28=0,0,(C28+D28)/H28)</f>
        <v>0.615384615384615</v>
      </c>
    </row>
    <row r="29" customFormat="false" ht="15" hidden="false" customHeight="false" outlineLevel="0" collapsed="false">
      <c r="A29" s="8" t="s">
        <v>11</v>
      </c>
      <c r="B29" s="9" t="s">
        <v>29</v>
      </c>
      <c r="C29" s="10" t="n">
        <f aca="false">COUNTIF(5_Q5_Ortsbild!$I$6:$I$31,"belegt")+COUNTIF(5_Q5_Ortsbild!$I$6:$I$31,"gilt")</f>
        <v>4</v>
      </c>
      <c r="D29" s="10" t="n">
        <f aca="false">COUNTIF(5_Q5_Ortsbild!$I$6:$I$31,"belegt – Betroffenheit offen")</f>
        <v>3</v>
      </c>
      <c r="E29" s="10" t="n">
        <f aca="false">COUNTIF(5_Q5_Ortsbild!$I$6:$I$31,"keine Regelung (geprüft)")</f>
        <v>0</v>
      </c>
      <c r="F29" s="10" t="n">
        <f aca="false">COUNTIF(5_Q5_Ortsbild!$I$6:$I$31,"nicht belegt (Recherche offen)")</f>
        <v>2</v>
      </c>
      <c r="G29" s="10" t="n">
        <f aca="false">COUNTIF(5_Q5_Ortsbild!$I$6:$I$31,"Datenanfrage (nicht öffentlich)")</f>
        <v>2</v>
      </c>
      <c r="H29" s="10" t="n">
        <f aca="false">SUM(C29:G29)</f>
        <v>11</v>
      </c>
      <c r="I29" s="11" t="n">
        <f aca="false">IF(H29=0,0,(C29+D29)/H29)</f>
        <v>0.636363636363636</v>
      </c>
    </row>
    <row r="30" customFormat="false" ht="15" hidden="false" customHeight="false" outlineLevel="0" collapsed="false">
      <c r="A30" s="8"/>
      <c r="B30" s="9" t="s">
        <v>30</v>
      </c>
      <c r="C30" s="10" t="n">
        <f aca="false">COUNTIF(5_Q5_Ortsbild!$J$6:$J$31,"belegt")+COUNTIF(5_Q5_Ortsbild!$J$6:$J$31,"gilt")</f>
        <v>3</v>
      </c>
      <c r="D30" s="10" t="n">
        <f aca="false">COUNTIF(5_Q5_Ortsbild!$J$6:$J$31,"belegt – Betroffenheit offen")</f>
        <v>3</v>
      </c>
      <c r="E30" s="10" t="n">
        <f aca="false">COUNTIF(5_Q5_Ortsbild!$J$6:$J$31,"keine Regelung (geprüft)")</f>
        <v>0</v>
      </c>
      <c r="F30" s="10" t="n">
        <f aca="false">COUNTIF(5_Q5_Ortsbild!$J$6:$J$31,"nicht belegt (Recherche offen)")</f>
        <v>2</v>
      </c>
      <c r="G30" s="10" t="n">
        <f aca="false">COUNTIF(5_Q5_Ortsbild!$J$6:$J$31,"Datenanfrage (nicht öffentlich)")</f>
        <v>2</v>
      </c>
      <c r="H30" s="10" t="n">
        <f aca="false">SUM(C30:G30)</f>
        <v>10</v>
      </c>
      <c r="I30" s="11" t="n">
        <f aca="false">IF(H30=0,0,(C30+D30)/H30)</f>
        <v>0.6</v>
      </c>
    </row>
    <row r="31" customFormat="false" ht="15" hidden="false" customHeight="false" outlineLevel="0" collapsed="false">
      <c r="A31" s="8"/>
      <c r="B31" s="9" t="s">
        <v>31</v>
      </c>
      <c r="C31" s="10" t="n">
        <f aca="false">COUNTIF(5_Q5_Ortsbild!$K$6:$K$31,"belegt")+COUNTIF(5_Q5_Ortsbild!$K$6:$K$31,"gilt")</f>
        <v>6</v>
      </c>
      <c r="D31" s="10" t="n">
        <f aca="false">COUNTIF(5_Q5_Ortsbild!$K$6:$K$31,"belegt – Betroffenheit offen")</f>
        <v>3</v>
      </c>
      <c r="E31" s="10" t="n">
        <f aca="false">COUNTIF(5_Q5_Ortsbild!$K$6:$K$31,"keine Regelung (geprüft)")</f>
        <v>0</v>
      </c>
      <c r="F31" s="10" t="n">
        <f aca="false">COUNTIF(5_Q5_Ortsbild!$K$6:$K$31,"nicht belegt (Recherche offen)")</f>
        <v>0</v>
      </c>
      <c r="G31" s="10" t="n">
        <f aca="false">COUNTIF(5_Q5_Ortsbild!$K$6:$K$31,"Datenanfrage (nicht öffentlich)")</f>
        <v>2</v>
      </c>
      <c r="H31" s="10" t="n">
        <f aca="false">SUM(C31:G31)</f>
        <v>11</v>
      </c>
      <c r="I31" s="11" t="n">
        <f aca="false">IF(H31=0,0,(C31+D31)/H31)</f>
        <v>0.818181818181818</v>
      </c>
    </row>
    <row r="32" customFormat="false" ht="15" hidden="false" customHeight="false" outlineLevel="0" collapsed="false">
      <c r="A32" s="8" t="s">
        <v>13</v>
      </c>
      <c r="B32" s="9" t="s">
        <v>29</v>
      </c>
      <c r="C32" s="10" t="n">
        <f aca="false">COUNTIF(6_Q6_Bestellung!$I$6:$I$37,"belegt")+COUNTIF(6_Q6_Bestellung!$I$6:$I$37,"gilt")</f>
        <v>5</v>
      </c>
      <c r="D32" s="10" t="n">
        <f aca="false">COUNTIF(6_Q6_Bestellung!$I$6:$I$37,"belegt – Betroffenheit offen")</f>
        <v>0</v>
      </c>
      <c r="E32" s="10" t="n">
        <f aca="false">COUNTIF(6_Q6_Bestellung!$I$6:$I$37,"keine Regelung (geprüft)")</f>
        <v>0</v>
      </c>
      <c r="F32" s="10" t="n">
        <f aca="false">COUNTIF(6_Q6_Bestellung!$I$6:$I$37,"nicht belegt (Recherche offen)")</f>
        <v>5</v>
      </c>
      <c r="G32" s="10" t="n">
        <f aca="false">COUNTIF(6_Q6_Bestellung!$I$6:$I$37,"Datenanfrage (nicht öffentlich)")</f>
        <v>2</v>
      </c>
      <c r="H32" s="10" t="n">
        <f aca="false">SUM(C32:G32)</f>
        <v>12</v>
      </c>
      <c r="I32" s="11" t="n">
        <f aca="false">IF(H32=0,0,(C32+D32)/H32)</f>
        <v>0.416666666666667</v>
      </c>
    </row>
    <row r="33" customFormat="false" ht="15" hidden="false" customHeight="false" outlineLevel="0" collapsed="false">
      <c r="A33" s="8"/>
      <c r="B33" s="9" t="s">
        <v>30</v>
      </c>
      <c r="C33" s="10" t="n">
        <f aca="false">COUNTIF(6_Q6_Bestellung!$J$6:$J$37,"belegt")+COUNTIF(6_Q6_Bestellung!$J$6:$J$37,"gilt")</f>
        <v>7</v>
      </c>
      <c r="D33" s="10" t="n">
        <f aca="false">COUNTIF(6_Q6_Bestellung!$J$6:$J$37,"belegt – Betroffenheit offen")</f>
        <v>0</v>
      </c>
      <c r="E33" s="10" t="n">
        <f aca="false">COUNTIF(6_Q6_Bestellung!$J$6:$J$37,"keine Regelung (geprüft)")</f>
        <v>0</v>
      </c>
      <c r="F33" s="10" t="n">
        <f aca="false">COUNTIF(6_Q6_Bestellung!$J$6:$J$37,"nicht belegt (Recherche offen)")</f>
        <v>3</v>
      </c>
      <c r="G33" s="10" t="n">
        <f aca="false">COUNTIF(6_Q6_Bestellung!$J$6:$J$37,"Datenanfrage (nicht öffentlich)")</f>
        <v>2</v>
      </c>
      <c r="H33" s="10" t="n">
        <f aca="false">SUM(C33:G33)</f>
        <v>12</v>
      </c>
      <c r="I33" s="11" t="n">
        <f aca="false">IF(H33=0,0,(C33+D33)/H33)</f>
        <v>0.583333333333333</v>
      </c>
    </row>
    <row r="34" customFormat="false" ht="15" hidden="false" customHeight="false" outlineLevel="0" collapsed="false">
      <c r="A34" s="8"/>
      <c r="B34" s="9" t="s">
        <v>31</v>
      </c>
      <c r="C34" s="10" t="n">
        <f aca="false">COUNTIF(6_Q6_Bestellung!$K$6:$K$37,"belegt")+COUNTIF(6_Q6_Bestellung!$K$6:$K$37,"gilt")</f>
        <v>7</v>
      </c>
      <c r="D34" s="10" t="n">
        <f aca="false">COUNTIF(6_Q6_Bestellung!$K$6:$K$37,"belegt – Betroffenheit offen")</f>
        <v>0</v>
      </c>
      <c r="E34" s="10" t="n">
        <f aca="false">COUNTIF(6_Q6_Bestellung!$K$6:$K$37,"keine Regelung (geprüft)")</f>
        <v>0</v>
      </c>
      <c r="F34" s="10" t="n">
        <f aca="false">COUNTIF(6_Q6_Bestellung!$K$6:$K$37,"nicht belegt (Recherche offen)")</f>
        <v>4</v>
      </c>
      <c r="G34" s="10" t="n">
        <f aca="false">COUNTIF(6_Q6_Bestellung!$K$6:$K$37,"Datenanfrage (nicht öffentlich)")</f>
        <v>2</v>
      </c>
      <c r="H34" s="10" t="n">
        <f aca="false">SUM(C34:G34)</f>
        <v>13</v>
      </c>
      <c r="I34" s="11" t="n">
        <f aca="false">IF(H34=0,0,(C34+D34)/H34)</f>
        <v>0.538461538461538</v>
      </c>
    </row>
    <row r="35" customFormat="false" ht="15" hidden="false" customHeight="false" outlineLevel="0" collapsed="false">
      <c r="A35" s="12" t="s">
        <v>32</v>
      </c>
    </row>
    <row r="37" customFormat="false" ht="15" hidden="false" customHeight="false" outlineLevel="0" collapsed="false">
      <c r="A37" s="4" t="s">
        <v>33</v>
      </c>
    </row>
    <row r="38" customFormat="false" ht="15" hidden="false" customHeight="false" outlineLevel="0" collapsed="false">
      <c r="A38" s="13" t="s">
        <v>34</v>
      </c>
      <c r="B38" s="14" t="s">
        <v>35</v>
      </c>
    </row>
    <row r="39" customFormat="false" ht="15" hidden="false" customHeight="false" outlineLevel="0" collapsed="false">
      <c r="A39" s="13" t="s">
        <v>36</v>
      </c>
      <c r="B39" s="14" t="s">
        <v>37</v>
      </c>
    </row>
    <row r="40" customFormat="false" ht="15" hidden="false" customHeight="false" outlineLevel="0" collapsed="false">
      <c r="A40" s="15" t="s">
        <v>23</v>
      </c>
      <c r="B40" s="14" t="s">
        <v>38</v>
      </c>
    </row>
    <row r="41" customFormat="false" ht="15" hidden="false" customHeight="false" outlineLevel="0" collapsed="false">
      <c r="A41" s="16" t="s">
        <v>24</v>
      </c>
      <c r="B41" s="14" t="s">
        <v>39</v>
      </c>
    </row>
    <row r="42" customFormat="false" ht="15" hidden="false" customHeight="false" outlineLevel="0" collapsed="false">
      <c r="A42" s="17" t="s">
        <v>25</v>
      </c>
      <c r="B42" s="14" t="s">
        <v>40</v>
      </c>
    </row>
    <row r="43" customFormat="false" ht="15" hidden="false" customHeight="false" outlineLevel="0" collapsed="false">
      <c r="A43" s="18" t="s">
        <v>41</v>
      </c>
      <c r="B43" s="14" t="s">
        <v>42</v>
      </c>
    </row>
    <row r="44" customFormat="false" ht="15" hidden="false" customHeight="false" outlineLevel="0" collapsed="false">
      <c r="A44" s="19" t="s">
        <v>43</v>
      </c>
      <c r="B44" s="14" t="s">
        <v>44</v>
      </c>
    </row>
    <row r="46" customFormat="false" ht="15" hidden="false" customHeight="false" outlineLevel="0" collapsed="false">
      <c r="A46" s="3" t="s">
        <v>45</v>
      </c>
    </row>
    <row r="47" customFormat="false" ht="15" hidden="false" customHeight="false" outlineLevel="0" collapsed="false">
      <c r="A47" s="3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1" width="16"/>
    <col collapsed="false" customWidth="true" hidden="false" outlineLevel="0" max="2" min="2" style="1" width="8"/>
    <col collapsed="false" customWidth="true" hidden="false" outlineLevel="0" max="3" min="3" style="1" width="14"/>
    <col collapsed="false" customWidth="true" hidden="false" outlineLevel="0" max="4" min="4" style="1" width="50"/>
    <col collapsed="false" customWidth="true" hidden="false" outlineLevel="0" max="5" min="5" style="1" width="17"/>
    <col collapsed="false" customWidth="true" hidden="false" outlineLevel="0" max="7" min="6" style="1" width="22"/>
    <col collapsed="false" customWidth="true" hidden="false" outlineLevel="0" max="8" min="8" style="1" width="14"/>
    <col collapsed="false" customWidth="true" hidden="false" outlineLevel="0" max="11" min="9" style="1" width="17"/>
    <col collapsed="false" customWidth="true" hidden="false" outlineLevel="0" max="12" min="12" style="1" width="44"/>
    <col collapsed="false" customWidth="true" hidden="false" outlineLevel="0" max="13" min="13" style="1" width="40"/>
    <col collapsed="false" customWidth="true" hidden="false" outlineLevel="0" max="14" min="14" style="1" width="14"/>
    <col collapsed="false" customWidth="true" hidden="false" outlineLevel="0" max="15" min="15" style="1" width="15"/>
    <col collapsed="false" customWidth="true" hidden="false" outlineLevel="0" max="16" min="16" style="1" width="52"/>
    <col collapsed="false" customWidth="true" hidden="false" outlineLevel="0" max="17" min="17" style="1" width="46"/>
  </cols>
  <sheetData>
    <row r="1" customFormat="false" ht="17.35" hidden="false" customHeight="false" outlineLevel="0" collapsed="false">
      <c r="A1" s="20" t="s">
        <v>47</v>
      </c>
    </row>
    <row r="2" customFormat="false" ht="15" hidden="false" customHeight="false" outlineLevel="0" collapsed="false">
      <c r="A2" s="3" t="s">
        <v>48</v>
      </c>
    </row>
    <row r="3" customFormat="false" ht="15" hidden="false" customHeight="false" outlineLevel="0" collapsed="false">
      <c r="A3" s="21" t="s">
        <v>49</v>
      </c>
    </row>
    <row r="5" customFormat="false" ht="31.5" hidden="false" customHeight="true" outlineLevel="0" collapsed="false">
      <c r="A5" s="7" t="s">
        <v>50</v>
      </c>
      <c r="B5" s="7" t="s">
        <v>51</v>
      </c>
      <c r="C5" s="7" t="s">
        <v>52</v>
      </c>
      <c r="D5" s="7" t="s">
        <v>53</v>
      </c>
      <c r="E5" s="7" t="s">
        <v>54</v>
      </c>
      <c r="F5" s="7" t="s">
        <v>55</v>
      </c>
      <c r="G5" s="7" t="s">
        <v>56</v>
      </c>
      <c r="H5" s="7" t="s">
        <v>57</v>
      </c>
      <c r="I5" s="7" t="s">
        <v>58</v>
      </c>
      <c r="J5" s="7" t="s">
        <v>59</v>
      </c>
      <c r="K5" s="7" t="s">
        <v>60</v>
      </c>
      <c r="L5" s="7" t="s">
        <v>61</v>
      </c>
      <c r="M5" s="7" t="s">
        <v>62</v>
      </c>
      <c r="N5" s="7" t="s">
        <v>63</v>
      </c>
      <c r="O5" s="7" t="s">
        <v>64</v>
      </c>
      <c r="P5" s="7" t="s">
        <v>65</v>
      </c>
      <c r="Q5" s="7" t="s">
        <v>66</v>
      </c>
    </row>
    <row r="6" customFormat="false" ht="19.5" hidden="false" customHeight="true" outlineLevel="0" collapsed="false">
      <c r="A6" s="22" t="s">
        <v>67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</row>
    <row r="7" customFormat="false" ht="22.35" hidden="false" customHeight="false" outlineLevel="1" collapsed="false">
      <c r="A7" s="24" t="s">
        <v>68</v>
      </c>
      <c r="B7" s="25" t="s">
        <v>69</v>
      </c>
      <c r="C7" s="24" t="s">
        <v>70</v>
      </c>
      <c r="D7" s="26" t="s">
        <v>71</v>
      </c>
      <c r="E7" s="24" t="s">
        <v>72</v>
      </c>
      <c r="F7" s="24" t="s">
        <v>73</v>
      </c>
      <c r="G7" s="24" t="s">
        <v>74</v>
      </c>
      <c r="H7" s="24" t="s">
        <v>75</v>
      </c>
      <c r="I7" s="27" t="s">
        <v>34</v>
      </c>
      <c r="J7" s="27" t="s">
        <v>34</v>
      </c>
      <c r="K7" s="27" t="s">
        <v>34</v>
      </c>
      <c r="L7" s="24" t="s">
        <v>76</v>
      </c>
      <c r="M7" s="28" t="s">
        <v>77</v>
      </c>
      <c r="N7" s="29" t="s">
        <v>78</v>
      </c>
      <c r="O7" s="24" t="s">
        <v>79</v>
      </c>
      <c r="P7" s="24"/>
      <c r="Q7" s="24"/>
    </row>
    <row r="8" customFormat="false" ht="43.25" hidden="false" customHeight="false" outlineLevel="1" collapsed="false">
      <c r="A8" s="24" t="s">
        <v>68</v>
      </c>
      <c r="B8" s="25" t="s">
        <v>80</v>
      </c>
      <c r="C8" s="24" t="s">
        <v>81</v>
      </c>
      <c r="D8" s="26" t="s">
        <v>82</v>
      </c>
      <c r="E8" s="24" t="s">
        <v>83</v>
      </c>
      <c r="F8" s="24" t="s">
        <v>84</v>
      </c>
      <c r="G8" s="24" t="s">
        <v>85</v>
      </c>
      <c r="H8" s="24" t="s">
        <v>75</v>
      </c>
      <c r="I8" s="27" t="s">
        <v>34</v>
      </c>
      <c r="J8" s="27" t="s">
        <v>34</v>
      </c>
      <c r="K8" s="27" t="s">
        <v>34</v>
      </c>
      <c r="L8" s="24" t="s">
        <v>86</v>
      </c>
      <c r="M8" s="28" t="s">
        <v>87</v>
      </c>
      <c r="N8" s="25" t="s">
        <v>88</v>
      </c>
      <c r="O8" s="24" t="s">
        <v>89</v>
      </c>
      <c r="P8" s="24" t="s">
        <v>90</v>
      </c>
      <c r="Q8" s="24"/>
    </row>
    <row r="9" customFormat="false" ht="22.35" hidden="false" customHeight="false" outlineLevel="1" collapsed="false">
      <c r="A9" s="24" t="s">
        <v>68</v>
      </c>
      <c r="B9" s="25" t="s">
        <v>80</v>
      </c>
      <c r="C9" s="24" t="s">
        <v>91</v>
      </c>
      <c r="D9" s="26" t="s">
        <v>92</v>
      </c>
      <c r="E9" s="24" t="s">
        <v>93</v>
      </c>
      <c r="F9" s="24" t="s">
        <v>84</v>
      </c>
      <c r="G9" s="24" t="s">
        <v>85</v>
      </c>
      <c r="H9" s="24" t="s">
        <v>75</v>
      </c>
      <c r="I9" s="27" t="s">
        <v>34</v>
      </c>
      <c r="J9" s="27" t="s">
        <v>34</v>
      </c>
      <c r="K9" s="27" t="s">
        <v>34</v>
      </c>
      <c r="L9" s="24" t="s">
        <v>94</v>
      </c>
      <c r="M9" s="28" t="s">
        <v>95</v>
      </c>
      <c r="N9" s="25" t="s">
        <v>88</v>
      </c>
      <c r="O9" s="24" t="s">
        <v>89</v>
      </c>
      <c r="P9" s="24" t="s">
        <v>96</v>
      </c>
      <c r="Q9" s="24"/>
    </row>
    <row r="10" customFormat="false" ht="32.8" hidden="false" customHeight="false" outlineLevel="1" collapsed="false">
      <c r="A10" s="24" t="s">
        <v>68</v>
      </c>
      <c r="B10" s="25" t="s">
        <v>80</v>
      </c>
      <c r="C10" s="24" t="s">
        <v>81</v>
      </c>
      <c r="D10" s="26" t="s">
        <v>97</v>
      </c>
      <c r="E10" s="24" t="s">
        <v>98</v>
      </c>
      <c r="F10" s="24" t="s">
        <v>99</v>
      </c>
      <c r="G10" s="24" t="s">
        <v>85</v>
      </c>
      <c r="H10" s="24" t="s">
        <v>75</v>
      </c>
      <c r="I10" s="27" t="s">
        <v>34</v>
      </c>
      <c r="J10" s="27" t="s">
        <v>34</v>
      </c>
      <c r="K10" s="27" t="s">
        <v>34</v>
      </c>
      <c r="L10" s="24" t="s">
        <v>100</v>
      </c>
      <c r="M10" s="28" t="s">
        <v>101</v>
      </c>
      <c r="N10" s="25" t="s">
        <v>102</v>
      </c>
      <c r="O10" s="24" t="s">
        <v>79</v>
      </c>
      <c r="P10" s="24" t="s">
        <v>103</v>
      </c>
      <c r="Q10" s="24"/>
    </row>
    <row r="11" customFormat="false" ht="32.8" hidden="false" customHeight="false" outlineLevel="1" collapsed="false">
      <c r="A11" s="24" t="s">
        <v>68</v>
      </c>
      <c r="B11" s="25" t="s">
        <v>80</v>
      </c>
      <c r="C11" s="24" t="s">
        <v>81</v>
      </c>
      <c r="D11" s="26" t="s">
        <v>104</v>
      </c>
      <c r="E11" s="24" t="s">
        <v>105</v>
      </c>
      <c r="F11" s="24" t="s">
        <v>73</v>
      </c>
      <c r="G11" s="24" t="s">
        <v>85</v>
      </c>
      <c r="H11" s="24" t="s">
        <v>75</v>
      </c>
      <c r="I11" s="27" t="s">
        <v>34</v>
      </c>
      <c r="J11" s="27" t="s">
        <v>34</v>
      </c>
      <c r="K11" s="27" t="s">
        <v>34</v>
      </c>
      <c r="L11" s="24" t="s">
        <v>106</v>
      </c>
      <c r="M11" s="28" t="s">
        <v>107</v>
      </c>
      <c r="N11" s="29" t="s">
        <v>108</v>
      </c>
      <c r="O11" s="24" t="s">
        <v>79</v>
      </c>
      <c r="P11" s="24" t="s">
        <v>109</v>
      </c>
      <c r="Q11" s="24" t="s">
        <v>110</v>
      </c>
    </row>
    <row r="12" customFormat="false" ht="22.35" hidden="false" customHeight="false" outlineLevel="1" collapsed="false">
      <c r="A12" s="24" t="s">
        <v>68</v>
      </c>
      <c r="B12" s="25" t="s">
        <v>111</v>
      </c>
      <c r="C12" s="24" t="s">
        <v>81</v>
      </c>
      <c r="D12" s="26" t="s">
        <v>112</v>
      </c>
      <c r="E12" s="24" t="s">
        <v>113</v>
      </c>
      <c r="F12" s="24" t="s">
        <v>84</v>
      </c>
      <c r="G12" s="24" t="s">
        <v>114</v>
      </c>
      <c r="H12" s="24" t="s">
        <v>75</v>
      </c>
      <c r="I12" s="27" t="s">
        <v>34</v>
      </c>
      <c r="J12" s="27" t="s">
        <v>34</v>
      </c>
      <c r="K12" s="27" t="s">
        <v>34</v>
      </c>
      <c r="L12" s="24" t="s">
        <v>115</v>
      </c>
      <c r="M12" s="28" t="s">
        <v>116</v>
      </c>
      <c r="N12" s="25" t="s">
        <v>88</v>
      </c>
      <c r="O12" s="24" t="s">
        <v>89</v>
      </c>
      <c r="P12" s="24" t="s">
        <v>117</v>
      </c>
      <c r="Q12" s="24"/>
    </row>
    <row r="13" customFormat="false" ht="22.35" hidden="false" customHeight="false" outlineLevel="1" collapsed="false">
      <c r="A13" s="24" t="s">
        <v>68</v>
      </c>
      <c r="B13" s="25" t="s">
        <v>111</v>
      </c>
      <c r="C13" s="24" t="s">
        <v>91</v>
      </c>
      <c r="D13" s="26" t="s">
        <v>118</v>
      </c>
      <c r="E13" s="24" t="s">
        <v>119</v>
      </c>
      <c r="F13" s="24" t="s">
        <v>73</v>
      </c>
      <c r="G13" s="24" t="s">
        <v>120</v>
      </c>
      <c r="H13" s="24" t="s">
        <v>75</v>
      </c>
      <c r="I13" s="27" t="s">
        <v>34</v>
      </c>
      <c r="J13" s="27" t="s">
        <v>34</v>
      </c>
      <c r="K13" s="27" t="s">
        <v>34</v>
      </c>
      <c r="L13" s="24" t="s">
        <v>121</v>
      </c>
      <c r="M13" s="28" t="s">
        <v>122</v>
      </c>
      <c r="N13" s="29" t="s">
        <v>78</v>
      </c>
      <c r="O13" s="24" t="s">
        <v>79</v>
      </c>
      <c r="P13" s="24" t="s">
        <v>123</v>
      </c>
      <c r="Q13" s="24"/>
    </row>
    <row r="14" customFormat="false" ht="22.35" hidden="false" customHeight="false" outlineLevel="1" collapsed="false">
      <c r="A14" s="24" t="s">
        <v>68</v>
      </c>
      <c r="B14" s="25" t="s">
        <v>111</v>
      </c>
      <c r="C14" s="24" t="s">
        <v>91</v>
      </c>
      <c r="D14" s="26" t="s">
        <v>124</v>
      </c>
      <c r="E14" s="24" t="s">
        <v>125</v>
      </c>
      <c r="F14" s="24" t="s">
        <v>73</v>
      </c>
      <c r="G14" s="24" t="s">
        <v>126</v>
      </c>
      <c r="H14" s="24" t="s">
        <v>75</v>
      </c>
      <c r="I14" s="27" t="s">
        <v>34</v>
      </c>
      <c r="J14" s="27" t="s">
        <v>34</v>
      </c>
      <c r="K14" s="27" t="s">
        <v>34</v>
      </c>
      <c r="L14" s="24" t="s">
        <v>127</v>
      </c>
      <c r="M14" s="28" t="s">
        <v>128</v>
      </c>
      <c r="N14" s="29" t="s">
        <v>108</v>
      </c>
      <c r="O14" s="24" t="s">
        <v>79</v>
      </c>
      <c r="P14" s="24"/>
      <c r="Q14" s="24" t="s">
        <v>110</v>
      </c>
    </row>
    <row r="15" customFormat="false" ht="22.35" hidden="false" customHeight="false" outlineLevel="1" collapsed="false">
      <c r="A15" s="24" t="s">
        <v>68</v>
      </c>
      <c r="B15" s="25" t="s">
        <v>111</v>
      </c>
      <c r="C15" s="24" t="s">
        <v>91</v>
      </c>
      <c r="D15" s="26" t="s">
        <v>129</v>
      </c>
      <c r="E15" s="24" t="s">
        <v>130</v>
      </c>
      <c r="F15" s="24" t="s">
        <v>73</v>
      </c>
      <c r="G15" s="24" t="s">
        <v>131</v>
      </c>
      <c r="H15" s="24" t="s">
        <v>75</v>
      </c>
      <c r="I15" s="27" t="s">
        <v>34</v>
      </c>
      <c r="J15" s="27" t="s">
        <v>34</v>
      </c>
      <c r="K15" s="27" t="s">
        <v>34</v>
      </c>
      <c r="L15" s="24" t="s">
        <v>132</v>
      </c>
      <c r="M15" s="28" t="s">
        <v>133</v>
      </c>
      <c r="N15" s="29" t="s">
        <v>108</v>
      </c>
      <c r="O15" s="24" t="s">
        <v>79</v>
      </c>
      <c r="P15" s="24"/>
      <c r="Q15" s="24" t="s">
        <v>110</v>
      </c>
    </row>
    <row r="16" customFormat="false" ht="22.35" hidden="false" customHeight="false" outlineLevel="1" collapsed="false">
      <c r="A16" s="24" t="s">
        <v>68</v>
      </c>
      <c r="B16" s="25" t="s">
        <v>111</v>
      </c>
      <c r="C16" s="24" t="s">
        <v>91</v>
      </c>
      <c r="D16" s="26" t="s">
        <v>134</v>
      </c>
      <c r="E16" s="24" t="s">
        <v>135</v>
      </c>
      <c r="F16" s="24" t="s">
        <v>73</v>
      </c>
      <c r="G16" s="24" t="s">
        <v>136</v>
      </c>
      <c r="H16" s="24" t="s">
        <v>75</v>
      </c>
      <c r="I16" s="27" t="s">
        <v>34</v>
      </c>
      <c r="J16" s="27" t="s">
        <v>34</v>
      </c>
      <c r="K16" s="27" t="s">
        <v>34</v>
      </c>
      <c r="L16" s="24" t="s">
        <v>137</v>
      </c>
      <c r="M16" s="28" t="s">
        <v>138</v>
      </c>
      <c r="N16" s="29" t="s">
        <v>108</v>
      </c>
      <c r="O16" s="24" t="s">
        <v>79</v>
      </c>
      <c r="P16" s="24"/>
      <c r="Q16" s="24" t="s">
        <v>110</v>
      </c>
    </row>
    <row r="17" customFormat="false" ht="32.8" hidden="false" customHeight="false" outlineLevel="1" collapsed="false">
      <c r="A17" s="24" t="s">
        <v>68</v>
      </c>
      <c r="B17" s="25" t="s">
        <v>139</v>
      </c>
      <c r="C17" s="24" t="s">
        <v>91</v>
      </c>
      <c r="D17" s="26" t="s">
        <v>140</v>
      </c>
      <c r="E17" s="24" t="s">
        <v>141</v>
      </c>
      <c r="F17" s="24" t="s">
        <v>142</v>
      </c>
      <c r="G17" s="24" t="s">
        <v>126</v>
      </c>
      <c r="H17" s="24" t="s">
        <v>75</v>
      </c>
      <c r="I17" s="27" t="s">
        <v>34</v>
      </c>
      <c r="J17" s="27" t="s">
        <v>34</v>
      </c>
      <c r="K17" s="27" t="s">
        <v>34</v>
      </c>
      <c r="L17" s="24" t="s">
        <v>143</v>
      </c>
      <c r="M17" s="28" t="s">
        <v>128</v>
      </c>
      <c r="N17" s="29" t="s">
        <v>108</v>
      </c>
      <c r="O17" s="24" t="s">
        <v>79</v>
      </c>
      <c r="P17" s="24" t="s">
        <v>144</v>
      </c>
      <c r="Q17" s="24" t="s">
        <v>110</v>
      </c>
    </row>
    <row r="18" customFormat="false" ht="32.8" hidden="false" customHeight="false" outlineLevel="1" collapsed="false">
      <c r="A18" s="24" t="s">
        <v>68</v>
      </c>
      <c r="B18" s="25" t="s">
        <v>139</v>
      </c>
      <c r="C18" s="24" t="s">
        <v>91</v>
      </c>
      <c r="D18" s="26" t="s">
        <v>145</v>
      </c>
      <c r="E18" s="24" t="s">
        <v>146</v>
      </c>
      <c r="F18" s="24" t="s">
        <v>147</v>
      </c>
      <c r="G18" s="24" t="s">
        <v>126</v>
      </c>
      <c r="H18" s="24" t="s">
        <v>75</v>
      </c>
      <c r="I18" s="27" t="s">
        <v>34</v>
      </c>
      <c r="J18" s="27" t="s">
        <v>34</v>
      </c>
      <c r="K18" s="27" t="s">
        <v>34</v>
      </c>
      <c r="L18" s="24" t="s">
        <v>148</v>
      </c>
      <c r="M18" s="28" t="s">
        <v>128</v>
      </c>
      <c r="N18" s="29" t="s">
        <v>108</v>
      </c>
      <c r="O18" s="24" t="s">
        <v>79</v>
      </c>
      <c r="P18" s="24" t="s">
        <v>144</v>
      </c>
      <c r="Q18" s="24" t="s">
        <v>110</v>
      </c>
    </row>
    <row r="19" customFormat="false" ht="32.8" hidden="false" customHeight="false" outlineLevel="1" collapsed="false">
      <c r="A19" s="24" t="s">
        <v>68</v>
      </c>
      <c r="B19" s="25" t="s">
        <v>139</v>
      </c>
      <c r="C19" s="24" t="s">
        <v>91</v>
      </c>
      <c r="D19" s="26" t="s">
        <v>149</v>
      </c>
      <c r="E19" s="24" t="s">
        <v>150</v>
      </c>
      <c r="F19" s="24" t="s">
        <v>151</v>
      </c>
      <c r="G19" s="24" t="s">
        <v>126</v>
      </c>
      <c r="H19" s="24" t="s">
        <v>75</v>
      </c>
      <c r="I19" s="27" t="s">
        <v>34</v>
      </c>
      <c r="J19" s="27" t="s">
        <v>34</v>
      </c>
      <c r="K19" s="27" t="s">
        <v>34</v>
      </c>
      <c r="L19" s="24" t="s">
        <v>152</v>
      </c>
      <c r="M19" s="28" t="s">
        <v>128</v>
      </c>
      <c r="N19" s="29" t="s">
        <v>108</v>
      </c>
      <c r="O19" s="24" t="s">
        <v>79</v>
      </c>
      <c r="P19" s="24" t="s">
        <v>144</v>
      </c>
      <c r="Q19" s="24" t="s">
        <v>110</v>
      </c>
    </row>
    <row r="20" customFormat="false" ht="32.8" hidden="false" customHeight="false" outlineLevel="1" collapsed="false">
      <c r="A20" s="24" t="s">
        <v>68</v>
      </c>
      <c r="B20" s="25" t="s">
        <v>139</v>
      </c>
      <c r="C20" s="24" t="s">
        <v>91</v>
      </c>
      <c r="D20" s="26" t="s">
        <v>153</v>
      </c>
      <c r="E20" s="24" t="s">
        <v>154</v>
      </c>
      <c r="F20" s="24" t="s">
        <v>155</v>
      </c>
      <c r="G20" s="24" t="s">
        <v>126</v>
      </c>
      <c r="H20" s="24" t="s">
        <v>75</v>
      </c>
      <c r="I20" s="27" t="s">
        <v>34</v>
      </c>
      <c r="J20" s="27" t="s">
        <v>34</v>
      </c>
      <c r="K20" s="27" t="s">
        <v>34</v>
      </c>
      <c r="L20" s="24" t="s">
        <v>156</v>
      </c>
      <c r="M20" s="28" t="s">
        <v>128</v>
      </c>
      <c r="N20" s="29" t="s">
        <v>108</v>
      </c>
      <c r="O20" s="24" t="s">
        <v>79</v>
      </c>
      <c r="P20" s="24" t="s">
        <v>144</v>
      </c>
      <c r="Q20" s="24" t="s">
        <v>110</v>
      </c>
    </row>
    <row r="21" customFormat="false" ht="32.8" hidden="false" customHeight="false" outlineLevel="1" collapsed="false">
      <c r="A21" s="24" t="s">
        <v>68</v>
      </c>
      <c r="B21" s="25" t="s">
        <v>139</v>
      </c>
      <c r="C21" s="24" t="s">
        <v>91</v>
      </c>
      <c r="D21" s="26" t="s">
        <v>157</v>
      </c>
      <c r="E21" s="24" t="s">
        <v>158</v>
      </c>
      <c r="F21" s="24" t="s">
        <v>159</v>
      </c>
      <c r="G21" s="24" t="s">
        <v>126</v>
      </c>
      <c r="H21" s="24" t="s">
        <v>75</v>
      </c>
      <c r="I21" s="27" t="s">
        <v>34</v>
      </c>
      <c r="J21" s="27" t="s">
        <v>34</v>
      </c>
      <c r="K21" s="27" t="s">
        <v>34</v>
      </c>
      <c r="L21" s="24" t="s">
        <v>160</v>
      </c>
      <c r="M21" s="28" t="s">
        <v>128</v>
      </c>
      <c r="N21" s="29" t="s">
        <v>108</v>
      </c>
      <c r="O21" s="24" t="s">
        <v>79</v>
      </c>
      <c r="P21" s="24" t="s">
        <v>144</v>
      </c>
      <c r="Q21" s="24" t="s">
        <v>110</v>
      </c>
    </row>
    <row r="22" customFormat="false" ht="32.8" hidden="false" customHeight="false" outlineLevel="1" collapsed="false">
      <c r="A22" s="24" t="s">
        <v>68</v>
      </c>
      <c r="B22" s="25" t="s">
        <v>139</v>
      </c>
      <c r="C22" s="24" t="s">
        <v>91</v>
      </c>
      <c r="D22" s="26" t="s">
        <v>161</v>
      </c>
      <c r="E22" s="24" t="s">
        <v>162</v>
      </c>
      <c r="F22" s="24" t="s">
        <v>163</v>
      </c>
      <c r="G22" s="24" t="s">
        <v>126</v>
      </c>
      <c r="H22" s="24" t="s">
        <v>75</v>
      </c>
      <c r="I22" s="27" t="s">
        <v>34</v>
      </c>
      <c r="J22" s="27" t="s">
        <v>34</v>
      </c>
      <c r="K22" s="27" t="s">
        <v>34</v>
      </c>
      <c r="L22" s="24" t="s">
        <v>164</v>
      </c>
      <c r="M22" s="28" t="s">
        <v>128</v>
      </c>
      <c r="N22" s="29" t="s">
        <v>108</v>
      </c>
      <c r="O22" s="24" t="s">
        <v>79</v>
      </c>
      <c r="P22" s="24" t="s">
        <v>144</v>
      </c>
      <c r="Q22" s="24" t="s">
        <v>110</v>
      </c>
    </row>
    <row r="23" customFormat="false" ht="32.8" hidden="false" customHeight="false" outlineLevel="1" collapsed="false">
      <c r="A23" s="24" t="s">
        <v>68</v>
      </c>
      <c r="B23" s="25" t="s">
        <v>139</v>
      </c>
      <c r="C23" s="24" t="s">
        <v>91</v>
      </c>
      <c r="D23" s="26" t="s">
        <v>165</v>
      </c>
      <c r="E23" s="24" t="s">
        <v>166</v>
      </c>
      <c r="F23" s="24" t="s">
        <v>167</v>
      </c>
      <c r="G23" s="24" t="s">
        <v>126</v>
      </c>
      <c r="H23" s="24" t="s">
        <v>75</v>
      </c>
      <c r="I23" s="27" t="s">
        <v>34</v>
      </c>
      <c r="J23" s="27" t="s">
        <v>34</v>
      </c>
      <c r="K23" s="27" t="s">
        <v>34</v>
      </c>
      <c r="L23" s="24" t="s">
        <v>168</v>
      </c>
      <c r="M23" s="28" t="s">
        <v>128</v>
      </c>
      <c r="N23" s="29" t="s">
        <v>108</v>
      </c>
      <c r="O23" s="24" t="s">
        <v>79</v>
      </c>
      <c r="P23" s="24" t="s">
        <v>144</v>
      </c>
      <c r="Q23" s="24" t="s">
        <v>110</v>
      </c>
    </row>
    <row r="24" customFormat="false" ht="32.8" hidden="false" customHeight="false" outlineLevel="1" collapsed="false">
      <c r="A24" s="24" t="s">
        <v>68</v>
      </c>
      <c r="B24" s="25" t="s">
        <v>139</v>
      </c>
      <c r="C24" s="24" t="s">
        <v>81</v>
      </c>
      <c r="D24" s="26" t="s">
        <v>169</v>
      </c>
      <c r="E24" s="24" t="s">
        <v>170</v>
      </c>
      <c r="F24" s="24" t="s">
        <v>171</v>
      </c>
      <c r="G24" s="24" t="s">
        <v>126</v>
      </c>
      <c r="H24" s="24" t="s">
        <v>75</v>
      </c>
      <c r="I24" s="27" t="s">
        <v>34</v>
      </c>
      <c r="J24" s="27" t="s">
        <v>34</v>
      </c>
      <c r="K24" s="27" t="s">
        <v>34</v>
      </c>
      <c r="L24" s="24" t="s">
        <v>172</v>
      </c>
      <c r="M24" s="28" t="s">
        <v>173</v>
      </c>
      <c r="N24" s="25" t="s">
        <v>88</v>
      </c>
      <c r="O24" s="24" t="s">
        <v>89</v>
      </c>
      <c r="P24" s="24" t="s">
        <v>174</v>
      </c>
      <c r="Q24" s="24"/>
    </row>
    <row r="25" customFormat="false" ht="22.35" hidden="false" customHeight="false" outlineLevel="1" collapsed="false">
      <c r="A25" s="24" t="s">
        <v>68</v>
      </c>
      <c r="B25" s="25" t="s">
        <v>139</v>
      </c>
      <c r="C25" s="24" t="s">
        <v>81</v>
      </c>
      <c r="D25" s="26" t="s">
        <v>175</v>
      </c>
      <c r="E25" s="24" t="s">
        <v>176</v>
      </c>
      <c r="F25" s="24" t="s">
        <v>177</v>
      </c>
      <c r="G25" s="24" t="s">
        <v>126</v>
      </c>
      <c r="H25" s="24" t="s">
        <v>75</v>
      </c>
      <c r="I25" s="27" t="s">
        <v>34</v>
      </c>
      <c r="J25" s="27" t="s">
        <v>34</v>
      </c>
      <c r="K25" s="27" t="s">
        <v>34</v>
      </c>
      <c r="L25" s="24" t="s">
        <v>178</v>
      </c>
      <c r="M25" s="28" t="s">
        <v>179</v>
      </c>
      <c r="N25" s="29" t="s">
        <v>78</v>
      </c>
      <c r="O25" s="24" t="s">
        <v>79</v>
      </c>
      <c r="P25" s="24" t="s">
        <v>180</v>
      </c>
      <c r="Q25" s="24"/>
    </row>
    <row r="26" customFormat="false" ht="22.35" hidden="false" customHeight="false" outlineLevel="1" collapsed="false">
      <c r="A26" s="24" t="s">
        <v>68</v>
      </c>
      <c r="B26" s="25" t="s">
        <v>139</v>
      </c>
      <c r="C26" s="24" t="s">
        <v>81</v>
      </c>
      <c r="D26" s="26" t="s">
        <v>181</v>
      </c>
      <c r="E26" s="24" t="s">
        <v>182</v>
      </c>
      <c r="F26" s="24" t="s">
        <v>84</v>
      </c>
      <c r="G26" s="24" t="s">
        <v>126</v>
      </c>
      <c r="H26" s="24" t="s">
        <v>75</v>
      </c>
      <c r="I26" s="27" t="s">
        <v>34</v>
      </c>
      <c r="J26" s="27" t="s">
        <v>34</v>
      </c>
      <c r="K26" s="27" t="s">
        <v>34</v>
      </c>
      <c r="L26" s="24" t="s">
        <v>183</v>
      </c>
      <c r="M26" s="28" t="s">
        <v>184</v>
      </c>
      <c r="N26" s="25" t="s">
        <v>88</v>
      </c>
      <c r="O26" s="24" t="s">
        <v>89</v>
      </c>
      <c r="P26" s="24" t="s">
        <v>185</v>
      </c>
      <c r="Q26" s="24"/>
    </row>
    <row r="27" customFormat="false" ht="22.35" hidden="false" customHeight="false" outlineLevel="1" collapsed="false">
      <c r="A27" s="24" t="s">
        <v>68</v>
      </c>
      <c r="B27" s="25" t="s">
        <v>139</v>
      </c>
      <c r="C27" s="24" t="s">
        <v>81</v>
      </c>
      <c r="D27" s="26" t="s">
        <v>186</v>
      </c>
      <c r="E27" s="24" t="s">
        <v>187</v>
      </c>
      <c r="F27" s="24" t="s">
        <v>84</v>
      </c>
      <c r="G27" s="24" t="s">
        <v>126</v>
      </c>
      <c r="H27" s="24" t="s">
        <v>75</v>
      </c>
      <c r="I27" s="27" t="s">
        <v>34</v>
      </c>
      <c r="J27" s="27" t="s">
        <v>34</v>
      </c>
      <c r="K27" s="27" t="s">
        <v>34</v>
      </c>
      <c r="L27" s="24" t="s">
        <v>188</v>
      </c>
      <c r="M27" s="28" t="s">
        <v>128</v>
      </c>
      <c r="N27" s="29" t="s">
        <v>108</v>
      </c>
      <c r="O27" s="24" t="s">
        <v>79</v>
      </c>
      <c r="P27" s="24"/>
      <c r="Q27" s="24" t="s">
        <v>110</v>
      </c>
    </row>
    <row r="28" customFormat="false" ht="22.35" hidden="false" customHeight="false" outlineLevel="1" collapsed="false">
      <c r="A28" s="24" t="s">
        <v>68</v>
      </c>
      <c r="B28" s="25" t="s">
        <v>139</v>
      </c>
      <c r="C28" s="24" t="s">
        <v>81</v>
      </c>
      <c r="D28" s="26" t="s">
        <v>189</v>
      </c>
      <c r="E28" s="24" t="s">
        <v>190</v>
      </c>
      <c r="F28" s="24" t="s">
        <v>73</v>
      </c>
      <c r="G28" s="24" t="s">
        <v>126</v>
      </c>
      <c r="H28" s="24" t="s">
        <v>75</v>
      </c>
      <c r="I28" s="27" t="s">
        <v>34</v>
      </c>
      <c r="J28" s="27" t="s">
        <v>34</v>
      </c>
      <c r="K28" s="27" t="s">
        <v>34</v>
      </c>
      <c r="L28" s="24" t="s">
        <v>191</v>
      </c>
      <c r="M28" s="28" t="s">
        <v>192</v>
      </c>
      <c r="N28" s="29" t="s">
        <v>78</v>
      </c>
      <c r="O28" s="24" t="s">
        <v>79</v>
      </c>
      <c r="P28" s="24" t="s">
        <v>123</v>
      </c>
      <c r="Q28" s="24"/>
    </row>
    <row r="29" customFormat="false" ht="22.35" hidden="false" customHeight="false" outlineLevel="1" collapsed="false">
      <c r="A29" s="24" t="s">
        <v>68</v>
      </c>
      <c r="B29" s="25" t="s">
        <v>139</v>
      </c>
      <c r="C29" s="24" t="s">
        <v>81</v>
      </c>
      <c r="D29" s="26" t="s">
        <v>193</v>
      </c>
      <c r="E29" s="24" t="s">
        <v>194</v>
      </c>
      <c r="F29" s="24" t="s">
        <v>73</v>
      </c>
      <c r="G29" s="24" t="s">
        <v>126</v>
      </c>
      <c r="H29" s="24" t="s">
        <v>75</v>
      </c>
      <c r="I29" s="27" t="s">
        <v>34</v>
      </c>
      <c r="J29" s="27" t="s">
        <v>34</v>
      </c>
      <c r="K29" s="27" t="s">
        <v>34</v>
      </c>
      <c r="L29" s="24" t="s">
        <v>195</v>
      </c>
      <c r="M29" s="28" t="s">
        <v>128</v>
      </c>
      <c r="N29" s="29" t="s">
        <v>108</v>
      </c>
      <c r="O29" s="24" t="s">
        <v>79</v>
      </c>
      <c r="P29" s="24"/>
      <c r="Q29" s="24" t="s">
        <v>110</v>
      </c>
    </row>
    <row r="30" customFormat="false" ht="22.35" hidden="false" customHeight="false" outlineLevel="1" collapsed="false">
      <c r="A30" s="24" t="s">
        <v>68</v>
      </c>
      <c r="B30" s="25" t="s">
        <v>196</v>
      </c>
      <c r="C30" s="24" t="s">
        <v>81</v>
      </c>
      <c r="D30" s="26" t="s">
        <v>197</v>
      </c>
      <c r="E30" s="24" t="s">
        <v>198</v>
      </c>
      <c r="F30" s="24" t="s">
        <v>84</v>
      </c>
      <c r="G30" s="24" t="s">
        <v>126</v>
      </c>
      <c r="H30" s="24" t="s">
        <v>75</v>
      </c>
      <c r="I30" s="27" t="s">
        <v>34</v>
      </c>
      <c r="J30" s="27" t="s">
        <v>34</v>
      </c>
      <c r="K30" s="27" t="s">
        <v>34</v>
      </c>
      <c r="L30" s="24" t="s">
        <v>199</v>
      </c>
      <c r="M30" s="28" t="s">
        <v>200</v>
      </c>
      <c r="N30" s="25" t="s">
        <v>88</v>
      </c>
      <c r="O30" s="24" t="s">
        <v>89</v>
      </c>
      <c r="P30" s="24" t="s">
        <v>201</v>
      </c>
      <c r="Q30" s="24"/>
    </row>
    <row r="31" customFormat="false" ht="22.35" hidden="false" customHeight="false" outlineLevel="1" collapsed="false">
      <c r="A31" s="24" t="s">
        <v>68</v>
      </c>
      <c r="B31" s="25" t="s">
        <v>202</v>
      </c>
      <c r="C31" s="24" t="s">
        <v>81</v>
      </c>
      <c r="D31" s="26" t="s">
        <v>203</v>
      </c>
      <c r="E31" s="24" t="s">
        <v>204</v>
      </c>
      <c r="F31" s="24" t="s">
        <v>84</v>
      </c>
      <c r="G31" s="24" t="s">
        <v>205</v>
      </c>
      <c r="H31" s="24" t="s">
        <v>75</v>
      </c>
      <c r="I31" s="27" t="s">
        <v>34</v>
      </c>
      <c r="J31" s="27" t="s">
        <v>34</v>
      </c>
      <c r="K31" s="27" t="s">
        <v>34</v>
      </c>
      <c r="L31" s="24" t="s">
        <v>206</v>
      </c>
      <c r="M31" s="28" t="s">
        <v>207</v>
      </c>
      <c r="N31" s="25" t="s">
        <v>88</v>
      </c>
      <c r="O31" s="24" t="s">
        <v>89</v>
      </c>
      <c r="P31" s="24" t="s">
        <v>208</v>
      </c>
      <c r="Q31" s="24"/>
    </row>
    <row r="32" customFormat="false" ht="22.35" hidden="false" customHeight="false" outlineLevel="1" collapsed="false">
      <c r="A32" s="24" t="s">
        <v>68</v>
      </c>
      <c r="B32" s="25" t="s">
        <v>202</v>
      </c>
      <c r="C32" s="24" t="s">
        <v>81</v>
      </c>
      <c r="D32" s="26" t="s">
        <v>209</v>
      </c>
      <c r="E32" s="24" t="s">
        <v>210</v>
      </c>
      <c r="F32" s="24" t="s">
        <v>84</v>
      </c>
      <c r="G32" s="24" t="s">
        <v>205</v>
      </c>
      <c r="H32" s="24" t="s">
        <v>75</v>
      </c>
      <c r="I32" s="27" t="s">
        <v>34</v>
      </c>
      <c r="J32" s="27" t="s">
        <v>34</v>
      </c>
      <c r="K32" s="27" t="s">
        <v>34</v>
      </c>
      <c r="L32" s="24" t="s">
        <v>211</v>
      </c>
      <c r="M32" s="28" t="s">
        <v>212</v>
      </c>
      <c r="N32" s="29" t="s">
        <v>78</v>
      </c>
      <c r="O32" s="24" t="s">
        <v>79</v>
      </c>
      <c r="P32" s="24" t="s">
        <v>123</v>
      </c>
      <c r="Q32" s="24"/>
    </row>
    <row r="33" customFormat="false" ht="22.35" hidden="false" customHeight="false" outlineLevel="1" collapsed="false">
      <c r="A33" s="24" t="s">
        <v>68</v>
      </c>
      <c r="B33" s="25" t="s">
        <v>202</v>
      </c>
      <c r="C33" s="24" t="s">
        <v>81</v>
      </c>
      <c r="D33" s="26" t="s">
        <v>213</v>
      </c>
      <c r="E33" s="24" t="s">
        <v>214</v>
      </c>
      <c r="F33" s="24" t="s">
        <v>73</v>
      </c>
      <c r="G33" s="24" t="s">
        <v>126</v>
      </c>
      <c r="H33" s="24" t="s">
        <v>75</v>
      </c>
      <c r="I33" s="27" t="s">
        <v>34</v>
      </c>
      <c r="J33" s="27" t="s">
        <v>34</v>
      </c>
      <c r="K33" s="27" t="s">
        <v>34</v>
      </c>
      <c r="L33" s="24" t="s">
        <v>215</v>
      </c>
      <c r="M33" s="28" t="s">
        <v>216</v>
      </c>
      <c r="N33" s="29" t="s">
        <v>78</v>
      </c>
      <c r="O33" s="24" t="s">
        <v>79</v>
      </c>
      <c r="P33" s="24" t="s">
        <v>217</v>
      </c>
      <c r="Q33" s="24"/>
    </row>
    <row r="34" customFormat="false" ht="22.35" hidden="false" customHeight="false" outlineLevel="1" collapsed="false">
      <c r="A34" s="24" t="s">
        <v>68</v>
      </c>
      <c r="B34" s="25" t="s">
        <v>202</v>
      </c>
      <c r="C34" s="24" t="s">
        <v>81</v>
      </c>
      <c r="D34" s="26" t="s">
        <v>218</v>
      </c>
      <c r="E34" s="24" t="s">
        <v>219</v>
      </c>
      <c r="F34" s="24" t="s">
        <v>73</v>
      </c>
      <c r="G34" s="24" t="s">
        <v>126</v>
      </c>
      <c r="H34" s="24" t="s">
        <v>75</v>
      </c>
      <c r="I34" s="27" t="s">
        <v>34</v>
      </c>
      <c r="J34" s="27" t="s">
        <v>34</v>
      </c>
      <c r="K34" s="27" t="s">
        <v>34</v>
      </c>
      <c r="L34" s="24" t="s">
        <v>215</v>
      </c>
      <c r="M34" s="28" t="s">
        <v>220</v>
      </c>
      <c r="N34" s="29" t="s">
        <v>78</v>
      </c>
      <c r="O34" s="24" t="s">
        <v>79</v>
      </c>
      <c r="P34" s="24" t="s">
        <v>217</v>
      </c>
      <c r="Q34" s="24"/>
    </row>
    <row r="35" customFormat="false" ht="22.35" hidden="false" customHeight="false" outlineLevel="1" collapsed="false">
      <c r="A35" s="24" t="s">
        <v>68</v>
      </c>
      <c r="B35" s="25" t="s">
        <v>202</v>
      </c>
      <c r="C35" s="24" t="s">
        <v>81</v>
      </c>
      <c r="D35" s="26" t="s">
        <v>221</v>
      </c>
      <c r="E35" s="24" t="s">
        <v>222</v>
      </c>
      <c r="F35" s="24" t="s">
        <v>84</v>
      </c>
      <c r="G35" s="24" t="s">
        <v>126</v>
      </c>
      <c r="H35" s="24" t="s">
        <v>75</v>
      </c>
      <c r="I35" s="27" t="s">
        <v>34</v>
      </c>
      <c r="J35" s="27" t="s">
        <v>34</v>
      </c>
      <c r="K35" s="27" t="s">
        <v>34</v>
      </c>
      <c r="L35" s="24" t="s">
        <v>223</v>
      </c>
      <c r="M35" s="28" t="s">
        <v>224</v>
      </c>
      <c r="N35" s="25" t="s">
        <v>88</v>
      </c>
      <c r="O35" s="24" t="s">
        <v>89</v>
      </c>
      <c r="P35" s="24" t="s">
        <v>225</v>
      </c>
      <c r="Q35" s="24"/>
    </row>
    <row r="36" customFormat="false" ht="22.35" hidden="false" customHeight="false" outlineLevel="1" collapsed="false">
      <c r="A36" s="24" t="s">
        <v>68</v>
      </c>
      <c r="B36" s="25" t="s">
        <v>202</v>
      </c>
      <c r="C36" s="24" t="s">
        <v>81</v>
      </c>
      <c r="D36" s="26" t="s">
        <v>226</v>
      </c>
      <c r="E36" s="24" t="s">
        <v>73</v>
      </c>
      <c r="F36" s="24" t="s">
        <v>227</v>
      </c>
      <c r="G36" s="24" t="s">
        <v>205</v>
      </c>
      <c r="H36" s="24" t="s">
        <v>75</v>
      </c>
      <c r="I36" s="27" t="s">
        <v>34</v>
      </c>
      <c r="J36" s="27" t="s">
        <v>34</v>
      </c>
      <c r="K36" s="27" t="s">
        <v>34</v>
      </c>
      <c r="L36" s="24" t="s">
        <v>228</v>
      </c>
      <c r="M36" s="28" t="s">
        <v>229</v>
      </c>
      <c r="N36" s="29" t="s">
        <v>108</v>
      </c>
      <c r="O36" s="24" t="s">
        <v>230</v>
      </c>
      <c r="P36" s="24" t="s">
        <v>231</v>
      </c>
      <c r="Q36" s="24" t="s">
        <v>110</v>
      </c>
    </row>
    <row r="37" customFormat="false" ht="22.35" hidden="false" customHeight="false" outlineLevel="1" collapsed="false">
      <c r="A37" s="24" t="s">
        <v>68</v>
      </c>
      <c r="B37" s="25" t="s">
        <v>232</v>
      </c>
      <c r="C37" s="24" t="s">
        <v>81</v>
      </c>
      <c r="D37" s="26" t="s">
        <v>233</v>
      </c>
      <c r="E37" s="24" t="s">
        <v>234</v>
      </c>
      <c r="F37" s="24" t="s">
        <v>73</v>
      </c>
      <c r="G37" s="24" t="s">
        <v>126</v>
      </c>
      <c r="H37" s="24" t="s">
        <v>75</v>
      </c>
      <c r="I37" s="27" t="s">
        <v>34</v>
      </c>
      <c r="J37" s="27" t="s">
        <v>34</v>
      </c>
      <c r="K37" s="27" t="s">
        <v>34</v>
      </c>
      <c r="L37" s="24" t="s">
        <v>235</v>
      </c>
      <c r="M37" s="28" t="s">
        <v>128</v>
      </c>
      <c r="N37" s="29" t="s">
        <v>108</v>
      </c>
      <c r="O37" s="24" t="s">
        <v>79</v>
      </c>
      <c r="P37" s="24"/>
      <c r="Q37" s="24" t="s">
        <v>110</v>
      </c>
    </row>
    <row r="38" customFormat="false" ht="22.35" hidden="false" customHeight="false" outlineLevel="1" collapsed="false">
      <c r="A38" s="24" t="s">
        <v>68</v>
      </c>
      <c r="B38" s="25" t="s">
        <v>232</v>
      </c>
      <c r="C38" s="24" t="s">
        <v>81</v>
      </c>
      <c r="D38" s="26" t="s">
        <v>236</v>
      </c>
      <c r="E38" s="24" t="s">
        <v>237</v>
      </c>
      <c r="F38" s="24" t="s">
        <v>73</v>
      </c>
      <c r="G38" s="24" t="s">
        <v>126</v>
      </c>
      <c r="H38" s="24" t="s">
        <v>75</v>
      </c>
      <c r="I38" s="27" t="s">
        <v>34</v>
      </c>
      <c r="J38" s="27" t="s">
        <v>34</v>
      </c>
      <c r="K38" s="27" t="s">
        <v>34</v>
      </c>
      <c r="L38" s="24" t="s">
        <v>238</v>
      </c>
      <c r="M38" s="28" t="s">
        <v>128</v>
      </c>
      <c r="N38" s="29" t="s">
        <v>108</v>
      </c>
      <c r="O38" s="24" t="s">
        <v>79</v>
      </c>
      <c r="P38" s="24"/>
      <c r="Q38" s="24" t="s">
        <v>110</v>
      </c>
    </row>
    <row r="39" customFormat="false" ht="32.8" hidden="false" customHeight="false" outlineLevel="1" collapsed="false">
      <c r="A39" s="24" t="s">
        <v>68</v>
      </c>
      <c r="B39" s="25" t="s">
        <v>239</v>
      </c>
      <c r="C39" s="24" t="s">
        <v>81</v>
      </c>
      <c r="D39" s="26" t="s">
        <v>240</v>
      </c>
      <c r="E39" s="24" t="s">
        <v>241</v>
      </c>
      <c r="F39" s="24" t="s">
        <v>73</v>
      </c>
      <c r="G39" s="24" t="s">
        <v>242</v>
      </c>
      <c r="H39" s="24" t="s">
        <v>75</v>
      </c>
      <c r="I39" s="27" t="s">
        <v>34</v>
      </c>
      <c r="J39" s="27" t="s">
        <v>34</v>
      </c>
      <c r="K39" s="27" t="s">
        <v>34</v>
      </c>
      <c r="L39" s="24" t="s">
        <v>243</v>
      </c>
      <c r="M39" s="28" t="s">
        <v>244</v>
      </c>
      <c r="N39" s="30" t="s">
        <v>245</v>
      </c>
      <c r="O39" s="24" t="s">
        <v>79</v>
      </c>
      <c r="P39" s="24"/>
      <c r="Q39" s="24"/>
    </row>
    <row r="40" customFormat="false" ht="22.35" hidden="false" customHeight="false" outlineLevel="1" collapsed="false">
      <c r="A40" s="24" t="s">
        <v>68</v>
      </c>
      <c r="B40" s="25" t="s">
        <v>239</v>
      </c>
      <c r="C40" s="24" t="s">
        <v>81</v>
      </c>
      <c r="D40" s="26" t="s">
        <v>246</v>
      </c>
      <c r="E40" s="24" t="s">
        <v>247</v>
      </c>
      <c r="F40" s="24" t="s">
        <v>73</v>
      </c>
      <c r="G40" s="24" t="s">
        <v>248</v>
      </c>
      <c r="H40" s="24" t="s">
        <v>75</v>
      </c>
      <c r="I40" s="31" t="s">
        <v>43</v>
      </c>
      <c r="J40" s="31" t="s">
        <v>43</v>
      </c>
      <c r="K40" s="31" t="s">
        <v>43</v>
      </c>
      <c r="L40" s="24" t="s">
        <v>249</v>
      </c>
      <c r="M40" s="28" t="s">
        <v>250</v>
      </c>
      <c r="N40" s="29" t="s">
        <v>78</v>
      </c>
      <c r="O40" s="24" t="s">
        <v>79</v>
      </c>
      <c r="P40" s="24" t="s">
        <v>251</v>
      </c>
      <c r="Q40" s="24"/>
    </row>
    <row r="41" customFormat="false" ht="22.35" hidden="false" customHeight="false" outlineLevel="1" collapsed="false">
      <c r="A41" s="24" t="s">
        <v>68</v>
      </c>
      <c r="B41" s="25" t="s">
        <v>196</v>
      </c>
      <c r="C41" s="24" t="s">
        <v>91</v>
      </c>
      <c r="D41" s="26" t="s">
        <v>252</v>
      </c>
      <c r="E41" s="24" t="s">
        <v>253</v>
      </c>
      <c r="F41" s="24" t="s">
        <v>73</v>
      </c>
      <c r="G41" s="24" t="s">
        <v>126</v>
      </c>
      <c r="H41" s="24" t="s">
        <v>75</v>
      </c>
      <c r="I41" s="27" t="s">
        <v>34</v>
      </c>
      <c r="J41" s="27" t="s">
        <v>34</v>
      </c>
      <c r="K41" s="27" t="s">
        <v>34</v>
      </c>
      <c r="L41" s="24" t="s">
        <v>254</v>
      </c>
      <c r="M41" s="28" t="s">
        <v>255</v>
      </c>
      <c r="N41" s="29" t="s">
        <v>78</v>
      </c>
      <c r="O41" s="24" t="s">
        <v>79</v>
      </c>
      <c r="P41" s="24" t="s">
        <v>256</v>
      </c>
      <c r="Q41" s="24"/>
    </row>
    <row r="42" customFormat="false" ht="22.35" hidden="false" customHeight="false" outlineLevel="1" collapsed="false">
      <c r="A42" s="24" t="s">
        <v>68</v>
      </c>
      <c r="B42" s="25" t="s">
        <v>196</v>
      </c>
      <c r="C42" s="24" t="s">
        <v>91</v>
      </c>
      <c r="D42" s="26" t="s">
        <v>257</v>
      </c>
      <c r="E42" s="24" t="s">
        <v>258</v>
      </c>
      <c r="F42" s="24" t="s">
        <v>73</v>
      </c>
      <c r="G42" s="24" t="s">
        <v>126</v>
      </c>
      <c r="H42" s="24" t="s">
        <v>75</v>
      </c>
      <c r="I42" s="27" t="s">
        <v>34</v>
      </c>
      <c r="J42" s="27" t="s">
        <v>34</v>
      </c>
      <c r="K42" s="27" t="s">
        <v>34</v>
      </c>
      <c r="L42" s="24" t="s">
        <v>259</v>
      </c>
      <c r="M42" s="28" t="s">
        <v>260</v>
      </c>
      <c r="N42" s="29" t="s">
        <v>78</v>
      </c>
      <c r="O42" s="24" t="s">
        <v>79</v>
      </c>
      <c r="P42" s="24" t="s">
        <v>256</v>
      </c>
      <c r="Q42" s="24"/>
    </row>
    <row r="43" customFormat="false" ht="22.35" hidden="false" customHeight="false" outlineLevel="1" collapsed="false">
      <c r="A43" s="24" t="s">
        <v>68</v>
      </c>
      <c r="B43" s="25" t="s">
        <v>232</v>
      </c>
      <c r="C43" s="24" t="s">
        <v>91</v>
      </c>
      <c r="D43" s="26" t="s">
        <v>261</v>
      </c>
      <c r="E43" s="24" t="s">
        <v>262</v>
      </c>
      <c r="F43" s="24" t="s">
        <v>73</v>
      </c>
      <c r="G43" s="24" t="s">
        <v>126</v>
      </c>
      <c r="H43" s="24" t="s">
        <v>75</v>
      </c>
      <c r="I43" s="27" t="s">
        <v>34</v>
      </c>
      <c r="J43" s="27" t="s">
        <v>34</v>
      </c>
      <c r="K43" s="27" t="s">
        <v>34</v>
      </c>
      <c r="L43" s="24" t="s">
        <v>263</v>
      </c>
      <c r="M43" s="28" t="s">
        <v>264</v>
      </c>
      <c r="N43" s="29" t="s">
        <v>78</v>
      </c>
      <c r="O43" s="24" t="s">
        <v>79</v>
      </c>
      <c r="P43" s="24" t="s">
        <v>256</v>
      </c>
      <c r="Q43" s="24"/>
    </row>
    <row r="44" customFormat="false" ht="22.35" hidden="false" customHeight="false" outlineLevel="1" collapsed="false">
      <c r="A44" s="24" t="s">
        <v>68</v>
      </c>
      <c r="B44" s="25" t="s">
        <v>196</v>
      </c>
      <c r="C44" s="24" t="s">
        <v>91</v>
      </c>
      <c r="D44" s="26" t="s">
        <v>265</v>
      </c>
      <c r="E44" s="24" t="s">
        <v>266</v>
      </c>
      <c r="F44" s="24" t="s">
        <v>73</v>
      </c>
      <c r="G44" s="24" t="s">
        <v>126</v>
      </c>
      <c r="H44" s="24" t="s">
        <v>75</v>
      </c>
      <c r="I44" s="27" t="s">
        <v>34</v>
      </c>
      <c r="J44" s="27" t="s">
        <v>34</v>
      </c>
      <c r="K44" s="27" t="s">
        <v>34</v>
      </c>
      <c r="L44" s="24" t="s">
        <v>267</v>
      </c>
      <c r="M44" s="28" t="s">
        <v>128</v>
      </c>
      <c r="N44" s="29" t="s">
        <v>108</v>
      </c>
      <c r="O44" s="24" t="s">
        <v>79</v>
      </c>
      <c r="P44" s="24" t="s">
        <v>268</v>
      </c>
      <c r="Q44" s="24" t="s">
        <v>110</v>
      </c>
    </row>
    <row r="45" customFormat="false" ht="22.35" hidden="false" customHeight="false" outlineLevel="1" collapsed="false">
      <c r="A45" s="24" t="s">
        <v>68</v>
      </c>
      <c r="B45" s="25" t="s">
        <v>196</v>
      </c>
      <c r="C45" s="24" t="s">
        <v>91</v>
      </c>
      <c r="D45" s="26" t="s">
        <v>269</v>
      </c>
      <c r="E45" s="24" t="s">
        <v>270</v>
      </c>
      <c r="F45" s="24" t="s">
        <v>73</v>
      </c>
      <c r="G45" s="24" t="s">
        <v>126</v>
      </c>
      <c r="H45" s="24" t="s">
        <v>75</v>
      </c>
      <c r="I45" s="27" t="s">
        <v>34</v>
      </c>
      <c r="J45" s="27" t="s">
        <v>34</v>
      </c>
      <c r="K45" s="27" t="s">
        <v>34</v>
      </c>
      <c r="L45" s="24" t="s">
        <v>271</v>
      </c>
      <c r="M45" s="28" t="s">
        <v>128</v>
      </c>
      <c r="N45" s="29" t="s">
        <v>108</v>
      </c>
      <c r="O45" s="24" t="s">
        <v>79</v>
      </c>
      <c r="P45" s="24" t="s">
        <v>268</v>
      </c>
      <c r="Q45" s="24" t="s">
        <v>110</v>
      </c>
    </row>
    <row r="46" customFormat="false" ht="22.35" hidden="false" customHeight="false" outlineLevel="1" collapsed="false">
      <c r="A46" s="24" t="s">
        <v>68</v>
      </c>
      <c r="B46" s="25" t="s">
        <v>196</v>
      </c>
      <c r="C46" s="24" t="s">
        <v>91</v>
      </c>
      <c r="D46" s="26" t="s">
        <v>272</v>
      </c>
      <c r="E46" s="24" t="s">
        <v>273</v>
      </c>
      <c r="F46" s="24" t="s">
        <v>73</v>
      </c>
      <c r="G46" s="24" t="s">
        <v>126</v>
      </c>
      <c r="H46" s="24" t="s">
        <v>75</v>
      </c>
      <c r="I46" s="27" t="s">
        <v>34</v>
      </c>
      <c r="J46" s="27" t="s">
        <v>34</v>
      </c>
      <c r="K46" s="27" t="s">
        <v>34</v>
      </c>
      <c r="L46" s="24" t="s">
        <v>274</v>
      </c>
      <c r="M46" s="28" t="s">
        <v>128</v>
      </c>
      <c r="N46" s="29" t="s">
        <v>108</v>
      </c>
      <c r="O46" s="24" t="s">
        <v>79</v>
      </c>
      <c r="P46" s="24" t="s">
        <v>268</v>
      </c>
      <c r="Q46" s="24" t="s">
        <v>110</v>
      </c>
    </row>
    <row r="47" customFormat="false" ht="19.5" hidden="false" customHeight="true" outlineLevel="0" collapsed="false">
      <c r="A47" s="22" t="s">
        <v>275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</row>
    <row r="48" customFormat="false" ht="43.25" hidden="false" customHeight="false" outlineLevel="1" collapsed="false">
      <c r="A48" s="24" t="s">
        <v>276</v>
      </c>
      <c r="B48" s="25" t="s">
        <v>239</v>
      </c>
      <c r="C48" s="24" t="s">
        <v>277</v>
      </c>
      <c r="D48" s="26" t="s">
        <v>278</v>
      </c>
      <c r="E48" s="24" t="s">
        <v>73</v>
      </c>
      <c r="F48" s="24" t="s">
        <v>279</v>
      </c>
      <c r="G48" s="24" t="s">
        <v>280</v>
      </c>
      <c r="H48" s="24" t="s">
        <v>75</v>
      </c>
      <c r="I48" s="27" t="s">
        <v>36</v>
      </c>
      <c r="J48" s="27" t="s">
        <v>36</v>
      </c>
      <c r="K48" s="27" t="s">
        <v>36</v>
      </c>
      <c r="L48" s="24" t="s">
        <v>281</v>
      </c>
      <c r="M48" s="28" t="s">
        <v>282</v>
      </c>
      <c r="N48" s="25" t="s">
        <v>102</v>
      </c>
      <c r="O48" s="24" t="s">
        <v>283</v>
      </c>
      <c r="P48" s="24" t="s">
        <v>284</v>
      </c>
      <c r="Q48" s="24"/>
    </row>
    <row r="49" customFormat="false" ht="19.5" hidden="false" customHeight="true" outlineLevel="0" collapsed="false">
      <c r="A49" s="22" t="s">
        <v>285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</row>
    <row r="50" customFormat="false" ht="22.35" hidden="false" customHeight="false" outlineLevel="1" collapsed="false">
      <c r="A50" s="24" t="s">
        <v>286</v>
      </c>
      <c r="B50" s="25" t="s">
        <v>80</v>
      </c>
      <c r="C50" s="24" t="s">
        <v>81</v>
      </c>
      <c r="D50" s="26" t="s">
        <v>287</v>
      </c>
      <c r="E50" s="24" t="s">
        <v>288</v>
      </c>
      <c r="F50" s="24" t="s">
        <v>289</v>
      </c>
      <c r="G50" s="24" t="s">
        <v>290</v>
      </c>
      <c r="H50" s="24" t="s">
        <v>75</v>
      </c>
      <c r="I50" s="27" t="s">
        <v>36</v>
      </c>
      <c r="J50" s="31" t="s">
        <v>43</v>
      </c>
      <c r="K50" s="31" t="s">
        <v>43</v>
      </c>
      <c r="L50" s="24" t="s">
        <v>291</v>
      </c>
      <c r="M50" s="28" t="s">
        <v>292</v>
      </c>
      <c r="N50" s="25" t="s">
        <v>88</v>
      </c>
      <c r="O50" s="24" t="s">
        <v>89</v>
      </c>
      <c r="P50" s="24"/>
      <c r="Q50" s="24"/>
    </row>
    <row r="51" customFormat="false" ht="22.35" hidden="false" customHeight="false" outlineLevel="1" collapsed="false">
      <c r="A51" s="24" t="s">
        <v>286</v>
      </c>
      <c r="B51" s="25" t="s">
        <v>80</v>
      </c>
      <c r="C51" s="24" t="s">
        <v>293</v>
      </c>
      <c r="D51" s="26" t="s">
        <v>294</v>
      </c>
      <c r="E51" s="24" t="s">
        <v>73</v>
      </c>
      <c r="F51" s="24" t="s">
        <v>295</v>
      </c>
      <c r="G51" s="24" t="s">
        <v>296</v>
      </c>
      <c r="H51" s="24" t="s">
        <v>75</v>
      </c>
      <c r="I51" s="27" t="s">
        <v>36</v>
      </c>
      <c r="J51" s="31" t="s">
        <v>43</v>
      </c>
      <c r="K51" s="31" t="s">
        <v>43</v>
      </c>
      <c r="L51" s="24" t="s">
        <v>297</v>
      </c>
      <c r="M51" s="28" t="s">
        <v>298</v>
      </c>
      <c r="N51" s="25" t="s">
        <v>88</v>
      </c>
      <c r="O51" s="24" t="s">
        <v>89</v>
      </c>
      <c r="P51" s="24"/>
      <c r="Q51" s="24"/>
    </row>
    <row r="52" customFormat="false" ht="22.35" hidden="false" customHeight="false" outlineLevel="1" collapsed="false">
      <c r="A52" s="24" t="s">
        <v>286</v>
      </c>
      <c r="B52" s="25" t="s">
        <v>202</v>
      </c>
      <c r="C52" s="24" t="s">
        <v>81</v>
      </c>
      <c r="D52" s="26" t="s">
        <v>299</v>
      </c>
      <c r="E52" s="24" t="s">
        <v>300</v>
      </c>
      <c r="F52" s="24" t="s">
        <v>301</v>
      </c>
      <c r="G52" s="24" t="s">
        <v>302</v>
      </c>
      <c r="H52" s="24" t="s">
        <v>75</v>
      </c>
      <c r="I52" s="27" t="s">
        <v>36</v>
      </c>
      <c r="J52" s="31" t="s">
        <v>43</v>
      </c>
      <c r="K52" s="31" t="s">
        <v>43</v>
      </c>
      <c r="L52" s="24" t="s">
        <v>303</v>
      </c>
      <c r="M52" s="28" t="s">
        <v>304</v>
      </c>
      <c r="N52" s="25" t="s">
        <v>88</v>
      </c>
      <c r="O52" s="24" t="s">
        <v>89</v>
      </c>
      <c r="P52" s="24"/>
      <c r="Q52" s="24"/>
    </row>
    <row r="53" customFormat="false" ht="22.35" hidden="false" customHeight="false" outlineLevel="1" collapsed="false">
      <c r="A53" s="24" t="s">
        <v>286</v>
      </c>
      <c r="B53" s="25" t="s">
        <v>239</v>
      </c>
      <c r="C53" s="24" t="s">
        <v>91</v>
      </c>
      <c r="D53" s="26" t="s">
        <v>305</v>
      </c>
      <c r="E53" s="24" t="s">
        <v>306</v>
      </c>
      <c r="F53" s="24" t="s">
        <v>307</v>
      </c>
      <c r="G53" s="24" t="s">
        <v>286</v>
      </c>
      <c r="H53" s="24" t="s">
        <v>75</v>
      </c>
      <c r="I53" s="27" t="s">
        <v>36</v>
      </c>
      <c r="J53" s="31" t="s">
        <v>43</v>
      </c>
      <c r="K53" s="31" t="s">
        <v>43</v>
      </c>
      <c r="L53" s="24" t="s">
        <v>308</v>
      </c>
      <c r="M53" s="28" t="s">
        <v>309</v>
      </c>
      <c r="N53" s="25" t="s">
        <v>88</v>
      </c>
      <c r="O53" s="24" t="s">
        <v>89</v>
      </c>
      <c r="P53" s="24" t="s">
        <v>310</v>
      </c>
      <c r="Q53" s="24"/>
    </row>
    <row r="54" customFormat="false" ht="32.8" hidden="false" customHeight="false" outlineLevel="1" collapsed="false">
      <c r="A54" s="24" t="s">
        <v>286</v>
      </c>
      <c r="B54" s="25" t="s">
        <v>111</v>
      </c>
      <c r="C54" s="24" t="s">
        <v>81</v>
      </c>
      <c r="D54" s="26" t="s">
        <v>311</v>
      </c>
      <c r="E54" s="24" t="s">
        <v>312</v>
      </c>
      <c r="F54" s="24" t="s">
        <v>313</v>
      </c>
      <c r="G54" s="24" t="s">
        <v>286</v>
      </c>
      <c r="H54" s="24" t="s">
        <v>75</v>
      </c>
      <c r="I54" s="27" t="s">
        <v>36</v>
      </c>
      <c r="J54" s="31" t="s">
        <v>43</v>
      </c>
      <c r="K54" s="31" t="s">
        <v>43</v>
      </c>
      <c r="L54" s="24" t="s">
        <v>314</v>
      </c>
      <c r="M54" s="28" t="s">
        <v>315</v>
      </c>
      <c r="N54" s="29" t="s">
        <v>78</v>
      </c>
      <c r="O54" s="24" t="s">
        <v>79</v>
      </c>
      <c r="P54" s="24" t="s">
        <v>316</v>
      </c>
      <c r="Q54" s="24"/>
    </row>
    <row r="55" customFormat="false" ht="22.35" hidden="false" customHeight="false" outlineLevel="1" collapsed="false">
      <c r="A55" s="24" t="s">
        <v>286</v>
      </c>
      <c r="B55" s="25" t="s">
        <v>317</v>
      </c>
      <c r="C55" s="24" t="s">
        <v>81</v>
      </c>
      <c r="D55" s="26" t="s">
        <v>318</v>
      </c>
      <c r="E55" s="24" t="s">
        <v>319</v>
      </c>
      <c r="F55" s="24" t="s">
        <v>73</v>
      </c>
      <c r="G55" s="24" t="s">
        <v>320</v>
      </c>
      <c r="H55" s="24" t="s">
        <v>75</v>
      </c>
      <c r="I55" s="27" t="s">
        <v>36</v>
      </c>
      <c r="J55" s="31" t="s">
        <v>43</v>
      </c>
      <c r="K55" s="31" t="s">
        <v>43</v>
      </c>
      <c r="L55" s="24" t="s">
        <v>321</v>
      </c>
      <c r="M55" s="28" t="s">
        <v>322</v>
      </c>
      <c r="N55" s="29" t="s">
        <v>78</v>
      </c>
      <c r="O55" s="24" t="s">
        <v>230</v>
      </c>
      <c r="P55" s="24" t="s">
        <v>323</v>
      </c>
      <c r="Q55" s="24"/>
    </row>
    <row r="56" customFormat="false" ht="22.35" hidden="false" customHeight="false" outlineLevel="1" collapsed="false">
      <c r="A56" s="24" t="s">
        <v>286</v>
      </c>
      <c r="B56" s="25" t="s">
        <v>232</v>
      </c>
      <c r="C56" s="24" t="s">
        <v>81</v>
      </c>
      <c r="D56" s="26" t="s">
        <v>324</v>
      </c>
      <c r="E56" s="24" t="s">
        <v>325</v>
      </c>
      <c r="F56" s="24" t="s">
        <v>73</v>
      </c>
      <c r="G56" s="24" t="s">
        <v>326</v>
      </c>
      <c r="H56" s="24" t="s">
        <v>75</v>
      </c>
      <c r="I56" s="27" t="s">
        <v>36</v>
      </c>
      <c r="J56" s="31" t="s">
        <v>43</v>
      </c>
      <c r="K56" s="31" t="s">
        <v>43</v>
      </c>
      <c r="L56" s="24" t="s">
        <v>327</v>
      </c>
      <c r="M56" s="28" t="s">
        <v>328</v>
      </c>
      <c r="N56" s="29" t="s">
        <v>78</v>
      </c>
      <c r="O56" s="24" t="s">
        <v>230</v>
      </c>
      <c r="P56" s="24" t="s">
        <v>323</v>
      </c>
      <c r="Q56" s="24"/>
    </row>
    <row r="57" customFormat="false" ht="19.5" hidden="false" customHeight="true" outlineLevel="0" collapsed="false">
      <c r="A57" s="22" t="s">
        <v>329</v>
      </c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</row>
    <row r="58" customFormat="false" ht="22.35" hidden="false" customHeight="false" outlineLevel="1" collapsed="false">
      <c r="A58" s="24" t="s">
        <v>330</v>
      </c>
      <c r="B58" s="25" t="s">
        <v>80</v>
      </c>
      <c r="C58" s="24" t="s">
        <v>81</v>
      </c>
      <c r="D58" s="26" t="s">
        <v>331</v>
      </c>
      <c r="E58" s="24" t="s">
        <v>332</v>
      </c>
      <c r="F58" s="24" t="s">
        <v>333</v>
      </c>
      <c r="G58" s="24" t="s">
        <v>334</v>
      </c>
      <c r="H58" s="24" t="s">
        <v>75</v>
      </c>
      <c r="I58" s="31" t="s">
        <v>43</v>
      </c>
      <c r="J58" s="27" t="s">
        <v>36</v>
      </c>
      <c r="K58" s="31" t="s">
        <v>43</v>
      </c>
      <c r="L58" s="24" t="s">
        <v>291</v>
      </c>
      <c r="M58" s="28" t="s">
        <v>335</v>
      </c>
      <c r="N58" s="25" t="s">
        <v>88</v>
      </c>
      <c r="O58" s="24" t="s">
        <v>89</v>
      </c>
      <c r="P58" s="24"/>
      <c r="Q58" s="24"/>
    </row>
    <row r="59" customFormat="false" ht="22.35" hidden="false" customHeight="false" outlineLevel="1" collapsed="false">
      <c r="A59" s="24" t="s">
        <v>330</v>
      </c>
      <c r="B59" s="25" t="s">
        <v>80</v>
      </c>
      <c r="C59" s="24" t="s">
        <v>293</v>
      </c>
      <c r="D59" s="26" t="s">
        <v>336</v>
      </c>
      <c r="E59" s="24" t="s">
        <v>73</v>
      </c>
      <c r="F59" s="24" t="s">
        <v>337</v>
      </c>
      <c r="G59" s="24" t="s">
        <v>330</v>
      </c>
      <c r="H59" s="24" t="s">
        <v>75</v>
      </c>
      <c r="I59" s="31" t="s">
        <v>43</v>
      </c>
      <c r="J59" s="27" t="s">
        <v>36</v>
      </c>
      <c r="K59" s="31" t="s">
        <v>43</v>
      </c>
      <c r="L59" s="24" t="s">
        <v>297</v>
      </c>
      <c r="M59" s="28" t="s">
        <v>338</v>
      </c>
      <c r="N59" s="25" t="s">
        <v>88</v>
      </c>
      <c r="O59" s="24" t="s">
        <v>89</v>
      </c>
      <c r="P59" s="24" t="s">
        <v>339</v>
      </c>
      <c r="Q59" s="24"/>
    </row>
    <row r="60" customFormat="false" ht="22.35" hidden="false" customHeight="false" outlineLevel="1" collapsed="false">
      <c r="A60" s="24" t="s">
        <v>330</v>
      </c>
      <c r="B60" s="25" t="s">
        <v>202</v>
      </c>
      <c r="C60" s="24" t="s">
        <v>81</v>
      </c>
      <c r="D60" s="26" t="s">
        <v>340</v>
      </c>
      <c r="E60" s="24" t="s">
        <v>341</v>
      </c>
      <c r="F60" s="24" t="s">
        <v>342</v>
      </c>
      <c r="G60" s="24" t="s">
        <v>343</v>
      </c>
      <c r="H60" s="24" t="s">
        <v>75</v>
      </c>
      <c r="I60" s="31" t="s">
        <v>43</v>
      </c>
      <c r="J60" s="27" t="s">
        <v>36</v>
      </c>
      <c r="K60" s="31" t="s">
        <v>43</v>
      </c>
      <c r="L60" s="24" t="s">
        <v>303</v>
      </c>
      <c r="M60" s="28" t="s">
        <v>344</v>
      </c>
      <c r="N60" s="25" t="s">
        <v>88</v>
      </c>
      <c r="O60" s="24" t="s">
        <v>89</v>
      </c>
      <c r="P60" s="24"/>
      <c r="Q60" s="24"/>
    </row>
    <row r="61" customFormat="false" ht="32.8" hidden="false" customHeight="false" outlineLevel="1" collapsed="false">
      <c r="A61" s="24" t="s">
        <v>330</v>
      </c>
      <c r="B61" s="25" t="s">
        <v>232</v>
      </c>
      <c r="C61" s="24" t="s">
        <v>81</v>
      </c>
      <c r="D61" s="26" t="s">
        <v>345</v>
      </c>
      <c r="E61" s="24" t="s">
        <v>346</v>
      </c>
      <c r="F61" s="24" t="s">
        <v>73</v>
      </c>
      <c r="G61" s="24" t="s">
        <v>347</v>
      </c>
      <c r="H61" s="24" t="s">
        <v>75</v>
      </c>
      <c r="I61" s="31" t="s">
        <v>43</v>
      </c>
      <c r="J61" s="32" t="s">
        <v>25</v>
      </c>
      <c r="K61" s="31" t="s">
        <v>43</v>
      </c>
      <c r="L61" s="24" t="s">
        <v>327</v>
      </c>
      <c r="M61" s="28" t="s">
        <v>348</v>
      </c>
      <c r="N61" s="29" t="s">
        <v>108</v>
      </c>
      <c r="O61" s="24" t="s">
        <v>349</v>
      </c>
      <c r="P61" s="24"/>
      <c r="Q61" s="24" t="s">
        <v>350</v>
      </c>
    </row>
    <row r="62" customFormat="false" ht="32.8" hidden="false" customHeight="false" outlineLevel="1" collapsed="false">
      <c r="A62" s="24" t="s">
        <v>330</v>
      </c>
      <c r="B62" s="25" t="s">
        <v>239</v>
      </c>
      <c r="C62" s="24" t="s">
        <v>91</v>
      </c>
      <c r="D62" s="26" t="s">
        <v>351</v>
      </c>
      <c r="E62" s="24" t="s">
        <v>352</v>
      </c>
      <c r="F62" s="24" t="s">
        <v>353</v>
      </c>
      <c r="G62" s="24" t="s">
        <v>330</v>
      </c>
      <c r="H62" s="24" t="s">
        <v>75</v>
      </c>
      <c r="I62" s="31" t="s">
        <v>43</v>
      </c>
      <c r="J62" s="27" t="s">
        <v>36</v>
      </c>
      <c r="K62" s="31" t="s">
        <v>43</v>
      </c>
      <c r="L62" s="24" t="s">
        <v>308</v>
      </c>
      <c r="M62" s="28" t="s">
        <v>354</v>
      </c>
      <c r="N62" s="30" t="s">
        <v>245</v>
      </c>
      <c r="O62" s="24" t="s">
        <v>89</v>
      </c>
      <c r="P62" s="24"/>
      <c r="Q62" s="24"/>
    </row>
    <row r="63" customFormat="false" ht="22.35" hidden="false" customHeight="false" outlineLevel="1" collapsed="false">
      <c r="A63" s="24" t="s">
        <v>330</v>
      </c>
      <c r="B63" s="25" t="s">
        <v>111</v>
      </c>
      <c r="C63" s="24" t="s">
        <v>91</v>
      </c>
      <c r="D63" s="26" t="s">
        <v>355</v>
      </c>
      <c r="E63" s="24" t="s">
        <v>356</v>
      </c>
      <c r="F63" s="24" t="s">
        <v>357</v>
      </c>
      <c r="G63" s="24" t="s">
        <v>330</v>
      </c>
      <c r="H63" s="24" t="s">
        <v>75</v>
      </c>
      <c r="I63" s="31" t="s">
        <v>43</v>
      </c>
      <c r="J63" s="27" t="s">
        <v>36</v>
      </c>
      <c r="K63" s="31" t="s">
        <v>43</v>
      </c>
      <c r="L63" s="24" t="s">
        <v>358</v>
      </c>
      <c r="M63" s="28" t="s">
        <v>359</v>
      </c>
      <c r="N63" s="29" t="s">
        <v>78</v>
      </c>
      <c r="O63" s="24" t="s">
        <v>230</v>
      </c>
      <c r="P63" s="24" t="s">
        <v>360</v>
      </c>
      <c r="Q63" s="24"/>
    </row>
    <row r="64" customFormat="false" ht="22.35" hidden="false" customHeight="false" outlineLevel="1" collapsed="false">
      <c r="A64" s="24" t="s">
        <v>330</v>
      </c>
      <c r="B64" s="25" t="s">
        <v>317</v>
      </c>
      <c r="C64" s="24" t="s">
        <v>91</v>
      </c>
      <c r="D64" s="26" t="s">
        <v>361</v>
      </c>
      <c r="E64" s="24" t="s">
        <v>362</v>
      </c>
      <c r="F64" s="24" t="s">
        <v>363</v>
      </c>
      <c r="G64" s="24" t="s">
        <v>330</v>
      </c>
      <c r="H64" s="24" t="s">
        <v>75</v>
      </c>
      <c r="I64" s="31" t="s">
        <v>43</v>
      </c>
      <c r="J64" s="27" t="s">
        <v>36</v>
      </c>
      <c r="K64" s="31" t="s">
        <v>43</v>
      </c>
      <c r="L64" s="24" t="s">
        <v>364</v>
      </c>
      <c r="M64" s="28" t="s">
        <v>365</v>
      </c>
      <c r="N64" s="29" t="s">
        <v>78</v>
      </c>
      <c r="O64" s="24" t="s">
        <v>230</v>
      </c>
      <c r="P64" s="24" t="s">
        <v>366</v>
      </c>
      <c r="Q64" s="24"/>
    </row>
    <row r="65" customFormat="false" ht="32.8" hidden="false" customHeight="false" outlineLevel="1" collapsed="false">
      <c r="A65" s="24" t="s">
        <v>330</v>
      </c>
      <c r="B65" s="25" t="s">
        <v>239</v>
      </c>
      <c r="C65" s="24" t="s">
        <v>277</v>
      </c>
      <c r="D65" s="26" t="s">
        <v>367</v>
      </c>
      <c r="E65" s="24" t="s">
        <v>368</v>
      </c>
      <c r="F65" s="24" t="s">
        <v>369</v>
      </c>
      <c r="G65" s="24" t="s">
        <v>330</v>
      </c>
      <c r="H65" s="24" t="s">
        <v>75</v>
      </c>
      <c r="I65" s="31" t="s">
        <v>43</v>
      </c>
      <c r="J65" s="27" t="s">
        <v>36</v>
      </c>
      <c r="K65" s="31" t="s">
        <v>43</v>
      </c>
      <c r="L65" s="24" t="s">
        <v>370</v>
      </c>
      <c r="M65" s="28" t="s">
        <v>371</v>
      </c>
      <c r="N65" s="30" t="s">
        <v>245</v>
      </c>
      <c r="O65" s="24" t="s">
        <v>79</v>
      </c>
      <c r="P65" s="24" t="s">
        <v>372</v>
      </c>
      <c r="Q65" s="24"/>
    </row>
    <row r="66" customFormat="false" ht="32.8" hidden="false" customHeight="false" outlineLevel="1" collapsed="false">
      <c r="A66" s="24" t="s">
        <v>330</v>
      </c>
      <c r="B66" s="25" t="s">
        <v>239</v>
      </c>
      <c r="C66" s="24" t="s">
        <v>81</v>
      </c>
      <c r="D66" s="26" t="s">
        <v>351</v>
      </c>
      <c r="E66" s="24" t="s">
        <v>352</v>
      </c>
      <c r="F66" s="24" t="s">
        <v>353</v>
      </c>
      <c r="G66" s="24" t="s">
        <v>330</v>
      </c>
      <c r="H66" s="24" t="s">
        <v>75</v>
      </c>
      <c r="I66" s="31" t="s">
        <v>43</v>
      </c>
      <c r="J66" s="27" t="s">
        <v>36</v>
      </c>
      <c r="K66" s="31" t="s">
        <v>43</v>
      </c>
      <c r="L66" s="24" t="s">
        <v>373</v>
      </c>
      <c r="M66" s="28" t="s">
        <v>354</v>
      </c>
      <c r="N66" s="30" t="s">
        <v>245</v>
      </c>
      <c r="O66" s="24" t="s">
        <v>79</v>
      </c>
      <c r="P66" s="24" t="s">
        <v>374</v>
      </c>
      <c r="Q66" s="24"/>
    </row>
    <row r="67" customFormat="false" ht="19.5" hidden="false" customHeight="true" outlineLevel="0" collapsed="false">
      <c r="A67" s="22" t="s">
        <v>375</v>
      </c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</row>
    <row r="68" customFormat="false" ht="22.35" hidden="false" customHeight="false" outlineLevel="1" collapsed="false">
      <c r="A68" s="24" t="s">
        <v>376</v>
      </c>
      <c r="B68" s="25" t="s">
        <v>80</v>
      </c>
      <c r="C68" s="24" t="s">
        <v>81</v>
      </c>
      <c r="D68" s="26" t="s">
        <v>377</v>
      </c>
      <c r="E68" s="24" t="s">
        <v>378</v>
      </c>
      <c r="F68" s="24" t="s">
        <v>379</v>
      </c>
      <c r="G68" s="24" t="s">
        <v>376</v>
      </c>
      <c r="H68" s="24" t="s">
        <v>75</v>
      </c>
      <c r="I68" s="31" t="s">
        <v>43</v>
      </c>
      <c r="J68" s="31" t="s">
        <v>43</v>
      </c>
      <c r="K68" s="27" t="s">
        <v>36</v>
      </c>
      <c r="L68" s="24" t="s">
        <v>291</v>
      </c>
      <c r="M68" s="28" t="s">
        <v>380</v>
      </c>
      <c r="N68" s="25" t="s">
        <v>88</v>
      </c>
      <c r="O68" s="24" t="s">
        <v>89</v>
      </c>
      <c r="P68" s="24"/>
      <c r="Q68" s="24"/>
    </row>
    <row r="69" customFormat="false" ht="22.35" hidden="false" customHeight="false" outlineLevel="1" collapsed="false">
      <c r="A69" s="24" t="s">
        <v>376</v>
      </c>
      <c r="B69" s="25" t="s">
        <v>80</v>
      </c>
      <c r="C69" s="24" t="s">
        <v>293</v>
      </c>
      <c r="D69" s="26" t="s">
        <v>381</v>
      </c>
      <c r="E69" s="24" t="s">
        <v>73</v>
      </c>
      <c r="F69" s="24" t="s">
        <v>382</v>
      </c>
      <c r="G69" s="24" t="s">
        <v>376</v>
      </c>
      <c r="H69" s="24" t="s">
        <v>75</v>
      </c>
      <c r="I69" s="31" t="s">
        <v>43</v>
      </c>
      <c r="J69" s="31" t="s">
        <v>43</v>
      </c>
      <c r="K69" s="27" t="s">
        <v>36</v>
      </c>
      <c r="L69" s="24" t="s">
        <v>297</v>
      </c>
      <c r="M69" s="28" t="s">
        <v>383</v>
      </c>
      <c r="N69" s="25" t="s">
        <v>88</v>
      </c>
      <c r="O69" s="24" t="s">
        <v>89</v>
      </c>
      <c r="P69" s="24"/>
      <c r="Q69" s="24"/>
    </row>
    <row r="70" customFormat="false" ht="32.8" hidden="false" customHeight="false" outlineLevel="1" collapsed="false">
      <c r="A70" s="24" t="s">
        <v>376</v>
      </c>
      <c r="B70" s="25" t="s">
        <v>111</v>
      </c>
      <c r="C70" s="24" t="s">
        <v>81</v>
      </c>
      <c r="D70" s="26" t="s">
        <v>384</v>
      </c>
      <c r="E70" s="24" t="s">
        <v>385</v>
      </c>
      <c r="F70" s="24" t="s">
        <v>73</v>
      </c>
      <c r="G70" s="24" t="s">
        <v>376</v>
      </c>
      <c r="H70" s="24" t="s">
        <v>75</v>
      </c>
      <c r="I70" s="31" t="s">
        <v>43</v>
      </c>
      <c r="J70" s="31" t="s">
        <v>43</v>
      </c>
      <c r="K70" s="32" t="s">
        <v>25</v>
      </c>
      <c r="L70" s="24" t="s">
        <v>386</v>
      </c>
      <c r="M70" s="28" t="s">
        <v>387</v>
      </c>
      <c r="N70" s="29" t="s">
        <v>108</v>
      </c>
      <c r="O70" s="24" t="s">
        <v>349</v>
      </c>
      <c r="P70" s="24"/>
      <c r="Q70" s="24" t="s">
        <v>350</v>
      </c>
    </row>
    <row r="71" customFormat="false" ht="22.35" hidden="false" customHeight="false" outlineLevel="1" collapsed="false">
      <c r="A71" s="24" t="s">
        <v>376</v>
      </c>
      <c r="B71" s="25" t="s">
        <v>202</v>
      </c>
      <c r="C71" s="24" t="s">
        <v>81</v>
      </c>
      <c r="D71" s="26" t="s">
        <v>388</v>
      </c>
      <c r="E71" s="24" t="s">
        <v>389</v>
      </c>
      <c r="F71" s="24" t="s">
        <v>390</v>
      </c>
      <c r="G71" s="24" t="s">
        <v>376</v>
      </c>
      <c r="H71" s="24" t="s">
        <v>75</v>
      </c>
      <c r="I71" s="31" t="s">
        <v>43</v>
      </c>
      <c r="J71" s="31" t="s">
        <v>43</v>
      </c>
      <c r="K71" s="27" t="s">
        <v>36</v>
      </c>
      <c r="L71" s="24" t="s">
        <v>303</v>
      </c>
      <c r="M71" s="28" t="s">
        <v>391</v>
      </c>
      <c r="N71" s="25" t="s">
        <v>88</v>
      </c>
      <c r="O71" s="24" t="s">
        <v>89</v>
      </c>
      <c r="P71" s="24" t="s">
        <v>392</v>
      </c>
      <c r="Q71" s="24"/>
    </row>
    <row r="72" customFormat="false" ht="32.8" hidden="false" customHeight="false" outlineLevel="1" collapsed="false">
      <c r="A72" s="24" t="s">
        <v>376</v>
      </c>
      <c r="B72" s="25" t="s">
        <v>232</v>
      </c>
      <c r="C72" s="24" t="s">
        <v>81</v>
      </c>
      <c r="D72" s="26" t="s">
        <v>393</v>
      </c>
      <c r="E72" s="24" t="s">
        <v>385</v>
      </c>
      <c r="F72" s="24" t="s">
        <v>73</v>
      </c>
      <c r="G72" s="24" t="s">
        <v>376</v>
      </c>
      <c r="H72" s="24" t="s">
        <v>75</v>
      </c>
      <c r="I72" s="31" t="s">
        <v>43</v>
      </c>
      <c r="J72" s="31" t="s">
        <v>43</v>
      </c>
      <c r="K72" s="32" t="s">
        <v>25</v>
      </c>
      <c r="L72" s="24" t="s">
        <v>394</v>
      </c>
      <c r="M72" s="28" t="s">
        <v>387</v>
      </c>
      <c r="N72" s="29" t="s">
        <v>108</v>
      </c>
      <c r="O72" s="24" t="s">
        <v>349</v>
      </c>
      <c r="P72" s="24"/>
      <c r="Q72" s="24" t="s">
        <v>350</v>
      </c>
    </row>
    <row r="73" customFormat="false" ht="22.35" hidden="false" customHeight="false" outlineLevel="1" collapsed="false">
      <c r="A73" s="24" t="s">
        <v>376</v>
      </c>
      <c r="B73" s="25" t="s">
        <v>239</v>
      </c>
      <c r="C73" s="24" t="s">
        <v>395</v>
      </c>
      <c r="D73" s="26" t="s">
        <v>396</v>
      </c>
      <c r="E73" s="24" t="s">
        <v>397</v>
      </c>
      <c r="F73" s="24" t="s">
        <v>398</v>
      </c>
      <c r="G73" s="24" t="s">
        <v>399</v>
      </c>
      <c r="H73" s="24" t="s">
        <v>75</v>
      </c>
      <c r="I73" s="31" t="s">
        <v>43</v>
      </c>
      <c r="J73" s="31" t="s">
        <v>43</v>
      </c>
      <c r="K73" s="27" t="s">
        <v>36</v>
      </c>
      <c r="L73" s="24" t="s">
        <v>400</v>
      </c>
      <c r="M73" s="28" t="s">
        <v>401</v>
      </c>
      <c r="N73" s="30" t="s">
        <v>402</v>
      </c>
      <c r="O73" s="24" t="s">
        <v>79</v>
      </c>
      <c r="P73" s="24" t="s">
        <v>403</v>
      </c>
      <c r="Q73" s="24"/>
    </row>
    <row r="74" customFormat="false" ht="32.8" hidden="false" customHeight="false" outlineLevel="1" collapsed="false">
      <c r="A74" s="24" t="s">
        <v>376</v>
      </c>
      <c r="B74" s="25" t="s">
        <v>239</v>
      </c>
      <c r="C74" s="24" t="s">
        <v>395</v>
      </c>
      <c r="D74" s="26" t="s">
        <v>404</v>
      </c>
      <c r="E74" s="24" t="s">
        <v>405</v>
      </c>
      <c r="F74" s="24" t="s">
        <v>406</v>
      </c>
      <c r="G74" s="24" t="s">
        <v>399</v>
      </c>
      <c r="H74" s="24" t="s">
        <v>75</v>
      </c>
      <c r="I74" s="31" t="s">
        <v>43</v>
      </c>
      <c r="J74" s="31" t="s">
        <v>43</v>
      </c>
      <c r="K74" s="27" t="s">
        <v>36</v>
      </c>
      <c r="L74" s="24" t="s">
        <v>400</v>
      </c>
      <c r="M74" s="28" t="s">
        <v>401</v>
      </c>
      <c r="N74" s="30" t="s">
        <v>402</v>
      </c>
      <c r="O74" s="24" t="s">
        <v>79</v>
      </c>
      <c r="P74" s="24" t="s">
        <v>407</v>
      </c>
      <c r="Q74" s="24"/>
    </row>
    <row r="75" customFormat="false" ht="22.35" hidden="false" customHeight="false" outlineLevel="1" collapsed="false">
      <c r="A75" s="24" t="s">
        <v>376</v>
      </c>
      <c r="B75" s="25" t="s">
        <v>239</v>
      </c>
      <c r="C75" s="24" t="s">
        <v>395</v>
      </c>
      <c r="D75" s="26" t="s">
        <v>408</v>
      </c>
      <c r="E75" s="24" t="s">
        <v>409</v>
      </c>
      <c r="F75" s="24" t="s">
        <v>410</v>
      </c>
      <c r="G75" s="24" t="s">
        <v>399</v>
      </c>
      <c r="H75" s="24" t="s">
        <v>75</v>
      </c>
      <c r="I75" s="31" t="s">
        <v>43</v>
      </c>
      <c r="J75" s="31" t="s">
        <v>43</v>
      </c>
      <c r="K75" s="27" t="s">
        <v>36</v>
      </c>
      <c r="L75" s="24" t="s">
        <v>400</v>
      </c>
      <c r="M75" s="28" t="s">
        <v>401</v>
      </c>
      <c r="N75" s="30" t="s">
        <v>402</v>
      </c>
      <c r="O75" s="24" t="s">
        <v>79</v>
      </c>
      <c r="P75" s="24" t="s">
        <v>411</v>
      </c>
      <c r="Q75" s="24"/>
    </row>
    <row r="76" customFormat="false" ht="19.5" hidden="false" customHeight="true" outlineLevel="0" collapsed="false">
      <c r="A76" s="22" t="s">
        <v>412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</row>
    <row r="77" customFormat="false" ht="22.35" hidden="false" customHeight="false" outlineLevel="1" collapsed="false">
      <c r="A77" s="24" t="s">
        <v>413</v>
      </c>
      <c r="B77" s="25" t="s">
        <v>80</v>
      </c>
      <c r="C77" s="24" t="s">
        <v>414</v>
      </c>
      <c r="D77" s="26" t="s">
        <v>415</v>
      </c>
      <c r="E77" s="24" t="s">
        <v>73</v>
      </c>
      <c r="F77" s="24" t="s">
        <v>416</v>
      </c>
      <c r="G77" s="24" t="s">
        <v>413</v>
      </c>
      <c r="H77" s="24" t="s">
        <v>75</v>
      </c>
      <c r="I77" s="27" t="s">
        <v>36</v>
      </c>
      <c r="J77" s="31" t="s">
        <v>43</v>
      </c>
      <c r="K77" s="31" t="s">
        <v>43</v>
      </c>
      <c r="L77" s="24" t="s">
        <v>417</v>
      </c>
      <c r="M77" s="28" t="s">
        <v>418</v>
      </c>
      <c r="N77" s="25" t="s">
        <v>88</v>
      </c>
      <c r="O77" s="24" t="s">
        <v>89</v>
      </c>
      <c r="P77" s="24"/>
      <c r="Q77" s="24"/>
    </row>
    <row r="78" customFormat="false" ht="22.35" hidden="false" customHeight="false" outlineLevel="1" collapsed="false">
      <c r="A78" s="24" t="s">
        <v>413</v>
      </c>
      <c r="B78" s="25" t="s">
        <v>139</v>
      </c>
      <c r="C78" s="24" t="s">
        <v>414</v>
      </c>
      <c r="D78" s="26" t="s">
        <v>419</v>
      </c>
      <c r="E78" s="24" t="s">
        <v>73</v>
      </c>
      <c r="F78" s="24" t="s">
        <v>416</v>
      </c>
      <c r="G78" s="24" t="s">
        <v>413</v>
      </c>
      <c r="H78" s="24" t="s">
        <v>75</v>
      </c>
      <c r="I78" s="27" t="s">
        <v>36</v>
      </c>
      <c r="J78" s="31" t="s">
        <v>43</v>
      </c>
      <c r="K78" s="31" t="s">
        <v>43</v>
      </c>
      <c r="L78" s="24" t="s">
        <v>420</v>
      </c>
      <c r="M78" s="28" t="s">
        <v>418</v>
      </c>
      <c r="N78" s="25" t="s">
        <v>88</v>
      </c>
      <c r="O78" s="24" t="s">
        <v>89</v>
      </c>
      <c r="P78" s="24" t="s">
        <v>421</v>
      </c>
      <c r="Q78" s="24"/>
    </row>
    <row r="79" customFormat="false" ht="22.35" hidden="false" customHeight="false" outlineLevel="1" collapsed="false">
      <c r="A79" s="24" t="s">
        <v>413</v>
      </c>
      <c r="B79" s="25" t="s">
        <v>202</v>
      </c>
      <c r="C79" s="24" t="s">
        <v>414</v>
      </c>
      <c r="D79" s="26" t="s">
        <v>422</v>
      </c>
      <c r="E79" s="24" t="s">
        <v>73</v>
      </c>
      <c r="F79" s="24" t="s">
        <v>416</v>
      </c>
      <c r="G79" s="24" t="s">
        <v>413</v>
      </c>
      <c r="H79" s="24" t="s">
        <v>75</v>
      </c>
      <c r="I79" s="27" t="s">
        <v>36</v>
      </c>
      <c r="J79" s="31" t="s">
        <v>43</v>
      </c>
      <c r="K79" s="31" t="s">
        <v>43</v>
      </c>
      <c r="L79" s="24" t="s">
        <v>423</v>
      </c>
      <c r="M79" s="28" t="s">
        <v>418</v>
      </c>
      <c r="N79" s="25" t="s">
        <v>88</v>
      </c>
      <c r="O79" s="24" t="s">
        <v>89</v>
      </c>
      <c r="P79" s="24" t="s">
        <v>421</v>
      </c>
      <c r="Q79" s="24"/>
    </row>
    <row r="80" customFormat="false" ht="22.35" hidden="false" customHeight="false" outlineLevel="1" collapsed="false">
      <c r="A80" s="24" t="s">
        <v>413</v>
      </c>
      <c r="B80" s="25" t="s">
        <v>232</v>
      </c>
      <c r="C80" s="24" t="s">
        <v>414</v>
      </c>
      <c r="D80" s="26" t="s">
        <v>424</v>
      </c>
      <c r="E80" s="24" t="s">
        <v>425</v>
      </c>
      <c r="F80" s="24" t="s">
        <v>426</v>
      </c>
      <c r="G80" s="24" t="s">
        <v>413</v>
      </c>
      <c r="H80" s="24" t="s">
        <v>75</v>
      </c>
      <c r="I80" s="27" t="s">
        <v>36</v>
      </c>
      <c r="J80" s="31" t="s">
        <v>43</v>
      </c>
      <c r="K80" s="31" t="s">
        <v>43</v>
      </c>
      <c r="L80" s="24" t="s">
        <v>427</v>
      </c>
      <c r="M80" s="28" t="s">
        <v>428</v>
      </c>
      <c r="N80" s="25" t="s">
        <v>88</v>
      </c>
      <c r="O80" s="24" t="s">
        <v>89</v>
      </c>
      <c r="P80" s="24"/>
      <c r="Q80" s="24"/>
    </row>
    <row r="81" customFormat="false" ht="22.35" hidden="false" customHeight="false" outlineLevel="1" collapsed="false">
      <c r="A81" s="24" t="s">
        <v>413</v>
      </c>
      <c r="B81" s="25" t="s">
        <v>317</v>
      </c>
      <c r="C81" s="24" t="s">
        <v>414</v>
      </c>
      <c r="D81" s="26" t="s">
        <v>429</v>
      </c>
      <c r="E81" s="24" t="s">
        <v>73</v>
      </c>
      <c r="F81" s="24" t="s">
        <v>416</v>
      </c>
      <c r="G81" s="24" t="s">
        <v>413</v>
      </c>
      <c r="H81" s="24" t="s">
        <v>75</v>
      </c>
      <c r="I81" s="27" t="s">
        <v>36</v>
      </c>
      <c r="J81" s="31" t="s">
        <v>43</v>
      </c>
      <c r="K81" s="31" t="s">
        <v>43</v>
      </c>
      <c r="L81" s="24" t="s">
        <v>430</v>
      </c>
      <c r="M81" s="28" t="s">
        <v>418</v>
      </c>
      <c r="N81" s="25" t="s">
        <v>88</v>
      </c>
      <c r="O81" s="24" t="s">
        <v>89</v>
      </c>
      <c r="P81" s="24" t="s">
        <v>421</v>
      </c>
      <c r="Q81" s="24"/>
    </row>
    <row r="82" customFormat="false" ht="22.35" hidden="false" customHeight="false" outlineLevel="1" collapsed="false">
      <c r="A82" s="24" t="s">
        <v>413</v>
      </c>
      <c r="B82" s="25" t="s">
        <v>239</v>
      </c>
      <c r="C82" s="24" t="s">
        <v>414</v>
      </c>
      <c r="D82" s="26" t="s">
        <v>431</v>
      </c>
      <c r="E82" s="24" t="s">
        <v>73</v>
      </c>
      <c r="F82" s="24" t="s">
        <v>73</v>
      </c>
      <c r="G82" s="24" t="s">
        <v>413</v>
      </c>
      <c r="H82" s="24" t="s">
        <v>75</v>
      </c>
      <c r="I82" s="32" t="s">
        <v>25</v>
      </c>
      <c r="J82" s="31" t="s">
        <v>43</v>
      </c>
      <c r="K82" s="31" t="s">
        <v>43</v>
      </c>
      <c r="L82" s="24" t="s">
        <v>432</v>
      </c>
      <c r="M82" s="28" t="s">
        <v>433</v>
      </c>
      <c r="N82" s="29" t="s">
        <v>108</v>
      </c>
      <c r="O82" s="24" t="s">
        <v>349</v>
      </c>
      <c r="P82" s="24" t="s">
        <v>434</v>
      </c>
      <c r="Q82" s="24" t="s">
        <v>435</v>
      </c>
    </row>
    <row r="83" customFormat="false" ht="19.5" hidden="false" customHeight="true" outlineLevel="0" collapsed="false">
      <c r="A83" s="22" t="s">
        <v>436</v>
      </c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</row>
    <row r="84" customFormat="false" ht="22.35" hidden="false" customHeight="false" outlineLevel="1" collapsed="false">
      <c r="A84" s="24" t="s">
        <v>437</v>
      </c>
      <c r="B84" s="25" t="s">
        <v>80</v>
      </c>
      <c r="C84" s="24" t="s">
        <v>438</v>
      </c>
      <c r="D84" s="26" t="s">
        <v>439</v>
      </c>
      <c r="E84" s="24" t="s">
        <v>73</v>
      </c>
      <c r="F84" s="24" t="s">
        <v>337</v>
      </c>
      <c r="G84" s="24" t="s">
        <v>437</v>
      </c>
      <c r="H84" s="24" t="s">
        <v>75</v>
      </c>
      <c r="I84" s="31" t="s">
        <v>43</v>
      </c>
      <c r="J84" s="27" t="s">
        <v>36</v>
      </c>
      <c r="K84" s="31" t="s">
        <v>43</v>
      </c>
      <c r="L84" s="24" t="s">
        <v>417</v>
      </c>
      <c r="M84" s="28" t="s">
        <v>440</v>
      </c>
      <c r="N84" s="25" t="s">
        <v>88</v>
      </c>
      <c r="O84" s="24" t="s">
        <v>89</v>
      </c>
      <c r="P84" s="24" t="s">
        <v>441</v>
      </c>
      <c r="Q84" s="24"/>
    </row>
    <row r="85" customFormat="false" ht="22.35" hidden="false" customHeight="false" outlineLevel="1" collapsed="false">
      <c r="A85" s="24" t="s">
        <v>437</v>
      </c>
      <c r="B85" s="25" t="s">
        <v>80</v>
      </c>
      <c r="C85" s="24" t="s">
        <v>414</v>
      </c>
      <c r="D85" s="26" t="s">
        <v>442</v>
      </c>
      <c r="E85" s="24" t="s">
        <v>443</v>
      </c>
      <c r="F85" s="24" t="s">
        <v>444</v>
      </c>
      <c r="G85" s="24" t="s">
        <v>437</v>
      </c>
      <c r="H85" s="24" t="s">
        <v>75</v>
      </c>
      <c r="I85" s="31" t="s">
        <v>43</v>
      </c>
      <c r="J85" s="27" t="s">
        <v>36</v>
      </c>
      <c r="K85" s="31" t="s">
        <v>43</v>
      </c>
      <c r="L85" s="24" t="s">
        <v>417</v>
      </c>
      <c r="M85" s="28" t="s">
        <v>445</v>
      </c>
      <c r="N85" s="25" t="s">
        <v>88</v>
      </c>
      <c r="O85" s="24" t="s">
        <v>89</v>
      </c>
      <c r="P85" s="24"/>
      <c r="Q85" s="24"/>
    </row>
    <row r="86" customFormat="false" ht="22.35" hidden="false" customHeight="false" outlineLevel="1" collapsed="false">
      <c r="A86" s="24" t="s">
        <v>437</v>
      </c>
      <c r="B86" s="25" t="s">
        <v>111</v>
      </c>
      <c r="C86" s="24" t="s">
        <v>414</v>
      </c>
      <c r="D86" s="26" t="s">
        <v>446</v>
      </c>
      <c r="E86" s="24" t="s">
        <v>73</v>
      </c>
      <c r="F86" s="24" t="s">
        <v>447</v>
      </c>
      <c r="G86" s="24" t="s">
        <v>448</v>
      </c>
      <c r="H86" s="24" t="s">
        <v>75</v>
      </c>
      <c r="I86" s="31" t="s">
        <v>43</v>
      </c>
      <c r="J86" s="27" t="s">
        <v>36</v>
      </c>
      <c r="K86" s="31" t="s">
        <v>43</v>
      </c>
      <c r="L86" s="24" t="s">
        <v>449</v>
      </c>
      <c r="M86" s="28" t="s">
        <v>450</v>
      </c>
      <c r="N86" s="25" t="s">
        <v>88</v>
      </c>
      <c r="O86" s="24" t="s">
        <v>89</v>
      </c>
      <c r="P86" s="24" t="s">
        <v>451</v>
      </c>
      <c r="Q86" s="24"/>
    </row>
    <row r="87" customFormat="false" ht="22.35" hidden="false" customHeight="false" outlineLevel="1" collapsed="false">
      <c r="A87" s="24" t="s">
        <v>437</v>
      </c>
      <c r="B87" s="25" t="s">
        <v>202</v>
      </c>
      <c r="C87" s="24" t="s">
        <v>414</v>
      </c>
      <c r="D87" s="26" t="s">
        <v>422</v>
      </c>
      <c r="E87" s="24" t="s">
        <v>443</v>
      </c>
      <c r="F87" s="24" t="s">
        <v>444</v>
      </c>
      <c r="G87" s="24" t="s">
        <v>437</v>
      </c>
      <c r="H87" s="24" t="s">
        <v>75</v>
      </c>
      <c r="I87" s="31" t="s">
        <v>43</v>
      </c>
      <c r="J87" s="27" t="s">
        <v>36</v>
      </c>
      <c r="K87" s="31" t="s">
        <v>43</v>
      </c>
      <c r="L87" s="24" t="s">
        <v>423</v>
      </c>
      <c r="M87" s="28" t="s">
        <v>445</v>
      </c>
      <c r="N87" s="25" t="s">
        <v>88</v>
      </c>
      <c r="O87" s="24" t="s">
        <v>89</v>
      </c>
      <c r="P87" s="24" t="s">
        <v>452</v>
      </c>
      <c r="Q87" s="24"/>
    </row>
    <row r="88" customFormat="false" ht="22.35" hidden="false" customHeight="false" outlineLevel="1" collapsed="false">
      <c r="A88" s="24" t="s">
        <v>437</v>
      </c>
      <c r="B88" s="25" t="s">
        <v>232</v>
      </c>
      <c r="C88" s="24" t="s">
        <v>414</v>
      </c>
      <c r="D88" s="26" t="s">
        <v>453</v>
      </c>
      <c r="E88" s="24" t="s">
        <v>73</v>
      </c>
      <c r="F88" s="24" t="s">
        <v>337</v>
      </c>
      <c r="G88" s="24" t="s">
        <v>437</v>
      </c>
      <c r="H88" s="24" t="s">
        <v>75</v>
      </c>
      <c r="I88" s="31" t="s">
        <v>43</v>
      </c>
      <c r="J88" s="27" t="s">
        <v>36</v>
      </c>
      <c r="K88" s="31" t="s">
        <v>43</v>
      </c>
      <c r="L88" s="24" t="s">
        <v>427</v>
      </c>
      <c r="M88" s="28" t="s">
        <v>454</v>
      </c>
      <c r="N88" s="25" t="s">
        <v>88</v>
      </c>
      <c r="O88" s="24" t="s">
        <v>89</v>
      </c>
      <c r="P88" s="24" t="s">
        <v>455</v>
      </c>
      <c r="Q88" s="24"/>
    </row>
    <row r="89" customFormat="false" ht="22.35" hidden="false" customHeight="false" outlineLevel="1" collapsed="false">
      <c r="A89" s="24" t="s">
        <v>437</v>
      </c>
      <c r="B89" s="25" t="s">
        <v>239</v>
      </c>
      <c r="C89" s="24" t="s">
        <v>414</v>
      </c>
      <c r="D89" s="26" t="s">
        <v>456</v>
      </c>
      <c r="E89" s="24" t="s">
        <v>457</v>
      </c>
      <c r="F89" s="24" t="s">
        <v>337</v>
      </c>
      <c r="G89" s="24" t="s">
        <v>437</v>
      </c>
      <c r="H89" s="24" t="s">
        <v>75</v>
      </c>
      <c r="I89" s="31" t="s">
        <v>43</v>
      </c>
      <c r="J89" s="27" t="s">
        <v>36</v>
      </c>
      <c r="K89" s="31" t="s">
        <v>43</v>
      </c>
      <c r="L89" s="24" t="s">
        <v>458</v>
      </c>
      <c r="M89" s="28" t="s">
        <v>459</v>
      </c>
      <c r="N89" s="25" t="s">
        <v>88</v>
      </c>
      <c r="O89" s="24" t="s">
        <v>89</v>
      </c>
      <c r="P89" s="24"/>
      <c r="Q89" s="24"/>
    </row>
    <row r="90" customFormat="false" ht="19.5" hidden="false" customHeight="true" outlineLevel="0" collapsed="false">
      <c r="A90" s="22" t="s">
        <v>460</v>
      </c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</row>
    <row r="91" customFormat="false" ht="32.8" hidden="false" customHeight="false" outlineLevel="1" collapsed="false">
      <c r="A91" s="24" t="s">
        <v>461</v>
      </c>
      <c r="B91" s="25" t="s">
        <v>80</v>
      </c>
      <c r="C91" s="24" t="s">
        <v>414</v>
      </c>
      <c r="D91" s="26" t="s">
        <v>462</v>
      </c>
      <c r="E91" s="24" t="s">
        <v>73</v>
      </c>
      <c r="F91" s="24" t="s">
        <v>463</v>
      </c>
      <c r="G91" s="24" t="s">
        <v>461</v>
      </c>
      <c r="H91" s="24" t="s">
        <v>75</v>
      </c>
      <c r="I91" s="31" t="s">
        <v>43</v>
      </c>
      <c r="J91" s="31" t="s">
        <v>43</v>
      </c>
      <c r="K91" s="27" t="s">
        <v>36</v>
      </c>
      <c r="L91" s="24" t="s">
        <v>464</v>
      </c>
      <c r="M91" s="28" t="s">
        <v>465</v>
      </c>
      <c r="N91" s="25" t="s">
        <v>88</v>
      </c>
      <c r="O91" s="24" t="s">
        <v>89</v>
      </c>
      <c r="P91" s="24" t="s">
        <v>466</v>
      </c>
      <c r="Q91" s="24"/>
    </row>
    <row r="92" customFormat="false" ht="22.35" hidden="false" customHeight="false" outlineLevel="1" collapsed="false">
      <c r="A92" s="24" t="s">
        <v>461</v>
      </c>
      <c r="B92" s="25" t="s">
        <v>80</v>
      </c>
      <c r="C92" s="24" t="s">
        <v>438</v>
      </c>
      <c r="D92" s="26" t="s">
        <v>467</v>
      </c>
      <c r="E92" s="24" t="s">
        <v>73</v>
      </c>
      <c r="F92" s="24" t="s">
        <v>468</v>
      </c>
      <c r="G92" s="24" t="s">
        <v>461</v>
      </c>
      <c r="H92" s="24" t="s">
        <v>75</v>
      </c>
      <c r="I92" s="31" t="s">
        <v>43</v>
      </c>
      <c r="J92" s="31" t="s">
        <v>43</v>
      </c>
      <c r="K92" s="27" t="s">
        <v>36</v>
      </c>
      <c r="L92" s="24" t="s">
        <v>469</v>
      </c>
      <c r="M92" s="28" t="s">
        <v>470</v>
      </c>
      <c r="N92" s="25" t="s">
        <v>88</v>
      </c>
      <c r="O92" s="24" t="s">
        <v>89</v>
      </c>
      <c r="P92" s="24" t="s">
        <v>471</v>
      </c>
      <c r="Q92" s="24"/>
    </row>
    <row r="93" customFormat="false" ht="22.35" hidden="false" customHeight="false" outlineLevel="1" collapsed="false">
      <c r="A93" s="24" t="s">
        <v>461</v>
      </c>
      <c r="B93" s="25" t="s">
        <v>139</v>
      </c>
      <c r="C93" s="24" t="s">
        <v>472</v>
      </c>
      <c r="D93" s="26" t="s">
        <v>473</v>
      </c>
      <c r="E93" s="24" t="s">
        <v>73</v>
      </c>
      <c r="F93" s="24" t="s">
        <v>474</v>
      </c>
      <c r="G93" s="24" t="s">
        <v>461</v>
      </c>
      <c r="H93" s="24" t="s">
        <v>75</v>
      </c>
      <c r="I93" s="31" t="s">
        <v>43</v>
      </c>
      <c r="J93" s="31" t="s">
        <v>43</v>
      </c>
      <c r="K93" s="27" t="s">
        <v>36</v>
      </c>
      <c r="L93" s="24" t="s">
        <v>420</v>
      </c>
      <c r="M93" s="28" t="s">
        <v>475</v>
      </c>
      <c r="N93" s="25" t="s">
        <v>88</v>
      </c>
      <c r="O93" s="24" t="s">
        <v>89</v>
      </c>
      <c r="P93" s="24"/>
      <c r="Q93" s="24"/>
    </row>
    <row r="94" customFormat="false" ht="22.35" hidden="false" customHeight="false" outlineLevel="1" collapsed="false">
      <c r="A94" s="24" t="s">
        <v>461</v>
      </c>
      <c r="B94" s="25" t="s">
        <v>202</v>
      </c>
      <c r="C94" s="24" t="s">
        <v>414</v>
      </c>
      <c r="D94" s="26" t="s">
        <v>476</v>
      </c>
      <c r="E94" s="24" t="s">
        <v>73</v>
      </c>
      <c r="F94" s="24" t="s">
        <v>73</v>
      </c>
      <c r="G94" s="24" t="s">
        <v>461</v>
      </c>
      <c r="H94" s="24" t="s">
        <v>75</v>
      </c>
      <c r="I94" s="31" t="s">
        <v>43</v>
      </c>
      <c r="J94" s="31" t="s">
        <v>43</v>
      </c>
      <c r="K94" s="32" t="s">
        <v>25</v>
      </c>
      <c r="L94" s="24" t="s">
        <v>477</v>
      </c>
      <c r="M94" s="28" t="s">
        <v>478</v>
      </c>
      <c r="N94" s="29" t="s">
        <v>108</v>
      </c>
      <c r="O94" s="24" t="s">
        <v>349</v>
      </c>
      <c r="P94" s="24"/>
      <c r="Q94" s="24" t="s">
        <v>435</v>
      </c>
    </row>
    <row r="95" customFormat="false" ht="22.35" hidden="false" customHeight="false" outlineLevel="1" collapsed="false">
      <c r="A95" s="24" t="s">
        <v>461</v>
      </c>
      <c r="B95" s="25" t="s">
        <v>232</v>
      </c>
      <c r="C95" s="24" t="s">
        <v>91</v>
      </c>
      <c r="D95" s="26" t="s">
        <v>479</v>
      </c>
      <c r="E95" s="24" t="s">
        <v>73</v>
      </c>
      <c r="F95" s="24" t="s">
        <v>480</v>
      </c>
      <c r="G95" s="24" t="s">
        <v>461</v>
      </c>
      <c r="H95" s="24" t="s">
        <v>75</v>
      </c>
      <c r="I95" s="31" t="s">
        <v>43</v>
      </c>
      <c r="J95" s="31" t="s">
        <v>43</v>
      </c>
      <c r="K95" s="27" t="s">
        <v>36</v>
      </c>
      <c r="L95" s="24" t="s">
        <v>481</v>
      </c>
      <c r="M95" s="28" t="s">
        <v>482</v>
      </c>
      <c r="N95" s="25" t="s">
        <v>88</v>
      </c>
      <c r="O95" s="24" t="s">
        <v>89</v>
      </c>
      <c r="P95" s="24" t="s">
        <v>483</v>
      </c>
      <c r="Q95" s="24"/>
    </row>
    <row r="96" customFormat="false" ht="22.35" hidden="false" customHeight="false" outlineLevel="1" collapsed="false">
      <c r="A96" s="24" t="s">
        <v>461</v>
      </c>
      <c r="B96" s="25" t="s">
        <v>317</v>
      </c>
      <c r="C96" s="24" t="s">
        <v>91</v>
      </c>
      <c r="D96" s="26" t="s">
        <v>429</v>
      </c>
      <c r="E96" s="24" t="s">
        <v>73</v>
      </c>
      <c r="F96" s="24" t="s">
        <v>484</v>
      </c>
      <c r="G96" s="24" t="s">
        <v>461</v>
      </c>
      <c r="H96" s="24" t="s">
        <v>75</v>
      </c>
      <c r="I96" s="31" t="s">
        <v>43</v>
      </c>
      <c r="J96" s="31" t="s">
        <v>43</v>
      </c>
      <c r="K96" s="27" t="s">
        <v>36</v>
      </c>
      <c r="L96" s="24" t="s">
        <v>430</v>
      </c>
      <c r="M96" s="28" t="s">
        <v>465</v>
      </c>
      <c r="N96" s="25" t="s">
        <v>88</v>
      </c>
      <c r="O96" s="24" t="s">
        <v>89</v>
      </c>
      <c r="P96" s="24" t="s">
        <v>485</v>
      </c>
      <c r="Q96" s="24"/>
    </row>
    <row r="97" customFormat="false" ht="22.35" hidden="false" customHeight="false" outlineLevel="1" collapsed="false">
      <c r="A97" s="24" t="s">
        <v>461</v>
      </c>
      <c r="B97" s="25" t="s">
        <v>239</v>
      </c>
      <c r="C97" s="24" t="s">
        <v>414</v>
      </c>
      <c r="D97" s="26" t="s">
        <v>431</v>
      </c>
      <c r="E97" s="24" t="s">
        <v>73</v>
      </c>
      <c r="F97" s="24" t="s">
        <v>73</v>
      </c>
      <c r="G97" s="24" t="s">
        <v>461</v>
      </c>
      <c r="H97" s="24" t="s">
        <v>75</v>
      </c>
      <c r="I97" s="31" t="s">
        <v>43</v>
      </c>
      <c r="J97" s="31" t="s">
        <v>43</v>
      </c>
      <c r="K97" s="32" t="s">
        <v>25</v>
      </c>
      <c r="L97" s="24" t="s">
        <v>432</v>
      </c>
      <c r="M97" s="28" t="s">
        <v>478</v>
      </c>
      <c r="N97" s="29" t="s">
        <v>108</v>
      </c>
      <c r="O97" s="24" t="s">
        <v>349</v>
      </c>
      <c r="P97" s="24" t="s">
        <v>434</v>
      </c>
      <c r="Q97" s="24" t="s">
        <v>435</v>
      </c>
    </row>
  </sheetData>
  <autoFilter ref="A5:Q97"/>
  <hyperlinks>
    <hyperlink ref="M7" r:id="rId1" display="https://www.fedlex.admin.ch/eli/cc/1999/404/de"/>
    <hyperlink ref="M8" r:id="rId2" display="https://www.fedlex.admin.ch/eli/cc/1979/1573_1573_1573/de"/>
    <hyperlink ref="M9" r:id="rId3" display="https://www.fedlex.admin.ch/eli/cc/2000/310/de"/>
    <hyperlink ref="M10" r:id="rId4" display="https://www.fedlex.admin.ch/eli/cc/2015/886/de"/>
    <hyperlink ref="M11" r:id="rId5" display="https://www.are.admin.ch"/>
    <hyperlink ref="M12" r:id="rId6" display="https://www.fedlex.admin.ch/eli/cc/1966/1637_1694_1679/de"/>
    <hyperlink ref="M13" r:id="rId7" display="https://www.fedlex.admin.ch/eli/cc/1991/249_249_249/de"/>
    <hyperlink ref="M14" r:id="rId8" display="https://www.bafu.admin.ch"/>
    <hyperlink ref="M15" r:id="rId9" display="https://www.bak.admin.ch"/>
    <hyperlink ref="M16" r:id="rId10" display="https://www.astra.admin.ch"/>
    <hyperlink ref="M17" r:id="rId11" display="https://www.bafu.admin.ch"/>
    <hyperlink ref="M18" r:id="rId12" display="https://www.bafu.admin.ch"/>
    <hyperlink ref="M19" r:id="rId13" display="https://www.bafu.admin.ch"/>
    <hyperlink ref="M20" r:id="rId14" display="https://www.bafu.admin.ch"/>
    <hyperlink ref="M21" r:id="rId15" display="https://www.bafu.admin.ch"/>
    <hyperlink ref="M22" r:id="rId16" display="https://www.bafu.admin.ch"/>
    <hyperlink ref="M23" r:id="rId17" display="https://www.bafu.admin.ch"/>
    <hyperlink ref="M24" r:id="rId18" display="https://www.fedlex.admin.ch/eli/cc/1992/1860_1860_1860/de"/>
    <hyperlink ref="M25" r:id="rId19" display="https://www.fedlex.admin.ch/eli/cc/1998/2863_2863_2863/de"/>
    <hyperlink ref="M26" r:id="rId20" display="https://www.fedlex.admin.ch/eli/cc/1992/2521_2521_2521/de"/>
    <hyperlink ref="M27" r:id="rId21" display="https://www.bafu.admin.ch"/>
    <hyperlink ref="M28" r:id="rId22" display="https://www.fedlex.admin.ch/eli/cc/1988/506_506_506/de"/>
    <hyperlink ref="M29" r:id="rId23" display="https://www.bafu.admin.ch"/>
    <hyperlink ref="M30" r:id="rId24" display="https://www.fedlex.admin.ch/eli/cc/1984/1122_1122_1122/de"/>
    <hyperlink ref="M31" r:id="rId25" display="https://www.fedlex.admin.ch/eli/cc/2017/762/de"/>
    <hyperlink ref="M32" r:id="rId26" display="https://www.fedlex.admin.ch/eli/cc/2017/763/de"/>
    <hyperlink ref="M33" r:id="rId27" display="https://www.fedlex.admin.ch/eli/cc/2012/855/de"/>
    <hyperlink ref="M34" r:id="rId28" display="https://www.fedlex.admin.ch/eli/cc/2012/856/de"/>
    <hyperlink ref="M35" r:id="rId29" display="https://www.fedlex.admin.ch/eli/cc/2023/655/de"/>
    <hyperlink ref="M36" r:id="rId30" display="https://www.bfe.admin.ch"/>
    <hyperlink ref="M37" r:id="rId31" display="https://www.bafu.admin.ch"/>
    <hyperlink ref="M38" r:id="rId32" display="https://www.bafu.admin.ch"/>
    <hyperlink ref="M39" r:id="rId33" display="https://www.fedlex.admin.ch/eli/cc/1996/1738_1738_1738/de"/>
    <hyperlink ref="M40" r:id="rId34" display="https://www.fedlex.admin.ch/eli/cc/2020/126/de"/>
    <hyperlink ref="M41" r:id="rId35" display="https://www.fedlex.admin.ch/eli/cc/1987/1_1_1/de"/>
    <hyperlink ref="M42" r:id="rId36" display="https://www.fedlex.admin.ch/eli/cc/1986/208_208_208/de"/>
    <hyperlink ref="M43" r:id="rId37" display="https://www.fedlex.admin.ch/eli/cc/1991/748_748_748/de"/>
    <hyperlink ref="M44" r:id="rId38" display="https://www.bafu.admin.ch"/>
    <hyperlink ref="M45" r:id="rId39" display="https://www.bafu.admin.ch"/>
    <hyperlink ref="M46" r:id="rId40" display="https://www.bafu.admin.ch"/>
    <hyperlink ref="M48" r:id="rId41" display="https://www.bpuk.ch/bpuk/konkordate/ivoeb/ivoeb-2019"/>
    <hyperlink ref="M50" r:id="rId42" display="https://bl.clex.ch/app/de/texts_of_law/400"/>
    <hyperlink ref="M51" r:id="rId43" display="https://bl-api.webcloud7.ch/politik-und-behorden/direktionen/bau-und-umweltschutzdirektion/raumplanung/raumplanung/richtplanung/downloads-richtplanung/objektblatter.pdf?_t=1786003350618"/>
    <hyperlink ref="M52" r:id="rId44" display="https://bl.clex.ch/app/de/texts_of_law/490"/>
    <hyperlink ref="M53" r:id="rId45" display="https://bl.clex.ch/app/de/texts_of_law/420.11"/>
    <hyperlink ref="M54" r:id="rId46" display="https://bl.clex.ch/app/de/texts_of_law/790"/>
    <hyperlink ref="M55" r:id="rId47" display="https://bl.clex.ch/app/de/texts_of_law/780"/>
    <hyperlink ref="M56" r:id="rId48" display="https://bl.clex.ch/app/de/texts_of_law/445"/>
    <hyperlink ref="M58" r:id="rId49" display="https://www.gesetzessammlung.sg.ch/data/731.1/de"/>
    <hyperlink ref="M59" r:id="rId50" display="https://www.sg.ch/bauen/raumentwicklung/kantonaleplanung/richtplanung.html"/>
    <hyperlink ref="M60" r:id="rId51" display="https://www.gesetzessammlung.sg.ch/app/de/texts_of_law/741.1"/>
    <hyperlink ref="M61" r:id="rId52" display="https://www.sg.ch"/>
    <hyperlink ref="M62" r:id="rId53" display="https://www.gesetzessammlung.sg.ch/app/de/texts_of_law/841.1"/>
    <hyperlink ref="M63" r:id="rId54" display="https://www.gesetzessammlung.sg.ch/app/de/texts_of_law/671.1"/>
    <hyperlink ref="M64" r:id="rId55" display="https://www.gesetzessammlung.sg.ch/app/de/texts_of_law/271.51"/>
    <hyperlink ref="M65" r:id="rId56" display="https://www.gesetzessammlung.sg.ch/app/de/texts_of_law/841.51"/>
    <hyperlink ref="M66" r:id="rId57" display="https://www.gesetzessammlung.sg.ch/app/de/texts_of_law/841.1"/>
    <hyperlink ref="M68" r:id="rId58" display="https://rechtsbuch.ur.ch/app/de/texts_of_law/40.1111"/>
    <hyperlink ref="M69" r:id="rId59" display="https://www.ur.ch/_docn/375874/Richtplantext_240122.pdf"/>
    <hyperlink ref="M70" r:id="rId60" display="https://www.ur.ch"/>
    <hyperlink ref="M71" r:id="rId61" display="https://rechtsbuch.ur.ch/app/de/texts_of_law/40.7211"/>
    <hyperlink ref="M72" r:id="rId62" display="https://www.ur.ch"/>
    <hyperlink ref="M73" r:id="rId63" display="https://www.ur.ch/_doc/337571"/>
    <hyperlink ref="M74" r:id="rId64" display="https://www.ur.ch/_doc/337571"/>
    <hyperlink ref="M75" r:id="rId65" display="https://www.ur.ch/_doc/337571"/>
    <hyperlink ref="M77" r:id="rId66" display="https://oereblex.bl.ch/api/attachments/22718"/>
    <hyperlink ref="M78" r:id="rId67" display="https://oereblex.bl.ch/api/attachments/22718"/>
    <hyperlink ref="M79" r:id="rId68" display="https://oereblex.bl.ch/api/attachments/22718"/>
    <hyperlink ref="M80" r:id="rId69" display="https://www.muenchenstein.ch/_docn/5130739/TR_5.4_Abwasserreglement_vom_28._Oktober_2020_-_Stand_07.01.2021.pdf"/>
    <hyperlink ref="M81" r:id="rId70" display="https://oereblex.bl.ch/api/attachments/22718"/>
    <hyperlink ref="M82" r:id="rId71" display="https://www.muenchenstein.ch"/>
    <hyperlink ref="M84" r:id="rId72" display="https://www.geoportal.ch/wil_sg/map/101?y=2719905.16&amp;x=1258486.88&amp;scale=25000&amp;rotation=0"/>
    <hyperlink ref="M85" r:id="rId73" display="https://wil-sg.tlex.ch/app/de/texts_of_law/7.1-1"/>
    <hyperlink ref="M86" r:id="rId74" display="https://cms.e-mitwirkung.ch/media/wil/Reglement_221013.pdf"/>
    <hyperlink ref="M87" r:id="rId75" display="https://wil-sg.tlex.ch/app/de/texts_of_law/7.1-1"/>
    <hyperlink ref="M88" r:id="rId76" display="https://www.stadtwil.ch/storage/8ae27a52e6272acbe7a00ddad257f439fbae9a367f80166a75d97ea28f6771cf"/>
    <hyperlink ref="M89" r:id="rId77" display="https://wil-sg.tlex.ch/app/de/texts_of_law/1.6-4"/>
    <hyperlink ref="M91" r:id="rId78" display="https://www.seelisberg.ch/files/pdf/Bau-und-Zonenordnung-Seelisberg.pdf"/>
    <hyperlink ref="M92" r:id="rId79" display="https://geo.ur.ch/"/>
    <hyperlink ref="M93" r:id="rId80" display="https://www.ur.ch/_docn/385540/Inventarliste_Seelisberg_Website.pdf"/>
    <hyperlink ref="M94" r:id="rId81" display="https://www.seelisberg.ch"/>
    <hyperlink ref="M95" r:id="rId82" display="https://www.seelisberg.ch/files/pdf/Verordnung_%C3%BCber_die_Wasserversorgung.pdf"/>
    <hyperlink ref="M96" r:id="rId83" display="https://www.seelisberg.ch/files/pdf/Bau-und-Zonenordnung-Seelisberg.pdf"/>
    <hyperlink ref="M97" r:id="rId84" display="https://www.seelisberg.ch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8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1" width="16"/>
    <col collapsed="false" customWidth="true" hidden="false" outlineLevel="0" max="2" min="2" style="1" width="8"/>
    <col collapsed="false" customWidth="true" hidden="false" outlineLevel="0" max="3" min="3" style="1" width="14"/>
    <col collapsed="false" customWidth="true" hidden="false" outlineLevel="0" max="4" min="4" style="1" width="50"/>
    <col collapsed="false" customWidth="true" hidden="false" outlineLevel="0" max="5" min="5" style="1" width="17"/>
    <col collapsed="false" customWidth="true" hidden="false" outlineLevel="0" max="7" min="6" style="1" width="22"/>
    <col collapsed="false" customWidth="true" hidden="false" outlineLevel="0" max="8" min="8" style="1" width="14"/>
    <col collapsed="false" customWidth="true" hidden="false" outlineLevel="0" max="11" min="9" style="1" width="17"/>
    <col collapsed="false" customWidth="true" hidden="false" outlineLevel="0" max="12" min="12" style="1" width="44"/>
    <col collapsed="false" customWidth="true" hidden="false" outlineLevel="0" max="13" min="13" style="1" width="40"/>
    <col collapsed="false" customWidth="true" hidden="false" outlineLevel="0" max="14" min="14" style="1" width="14"/>
    <col collapsed="false" customWidth="true" hidden="false" outlineLevel="0" max="15" min="15" style="1" width="15"/>
    <col collapsed="false" customWidth="true" hidden="false" outlineLevel="0" max="16" min="16" style="1" width="52"/>
    <col collapsed="false" customWidth="true" hidden="false" outlineLevel="0" max="17" min="17" style="1" width="46"/>
  </cols>
  <sheetData>
    <row r="1" customFormat="false" ht="17.35" hidden="false" customHeight="false" outlineLevel="0" collapsed="false">
      <c r="A1" s="20" t="s">
        <v>486</v>
      </c>
    </row>
    <row r="2" customFormat="false" ht="15" hidden="false" customHeight="false" outlineLevel="0" collapsed="false">
      <c r="A2" s="3" t="s">
        <v>487</v>
      </c>
    </row>
    <row r="3" customFormat="false" ht="15" hidden="false" customHeight="false" outlineLevel="0" collapsed="false">
      <c r="A3" s="21" t="s">
        <v>49</v>
      </c>
    </row>
    <row r="5" customFormat="false" ht="31.5" hidden="false" customHeight="true" outlineLevel="0" collapsed="false">
      <c r="A5" s="7" t="s">
        <v>50</v>
      </c>
      <c r="B5" s="7" t="s">
        <v>51</v>
      </c>
      <c r="C5" s="7" t="s">
        <v>52</v>
      </c>
      <c r="D5" s="7" t="s">
        <v>53</v>
      </c>
      <c r="E5" s="7" t="s">
        <v>54</v>
      </c>
      <c r="F5" s="7" t="s">
        <v>55</v>
      </c>
      <c r="G5" s="7" t="s">
        <v>56</v>
      </c>
      <c r="H5" s="7" t="s">
        <v>57</v>
      </c>
      <c r="I5" s="7" t="s">
        <v>58</v>
      </c>
      <c r="J5" s="7" t="s">
        <v>59</v>
      </c>
      <c r="K5" s="7" t="s">
        <v>60</v>
      </c>
      <c r="L5" s="7" t="s">
        <v>61</v>
      </c>
      <c r="M5" s="7" t="s">
        <v>62</v>
      </c>
      <c r="N5" s="7" t="s">
        <v>63</v>
      </c>
      <c r="O5" s="7" t="s">
        <v>64</v>
      </c>
      <c r="P5" s="7" t="s">
        <v>65</v>
      </c>
      <c r="Q5" s="7" t="s">
        <v>66</v>
      </c>
    </row>
    <row r="6" customFormat="false" ht="19.5" hidden="false" customHeight="true" outlineLevel="0" collapsed="false">
      <c r="A6" s="22" t="s">
        <v>67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</row>
    <row r="7" customFormat="false" ht="32.8" hidden="false" customHeight="false" outlineLevel="1" collapsed="false">
      <c r="A7" s="24" t="s">
        <v>68</v>
      </c>
      <c r="B7" s="25" t="s">
        <v>139</v>
      </c>
      <c r="C7" s="24" t="s">
        <v>488</v>
      </c>
      <c r="D7" s="26" t="s">
        <v>489</v>
      </c>
      <c r="E7" s="24" t="s">
        <v>490</v>
      </c>
      <c r="F7" s="24" t="s">
        <v>73</v>
      </c>
      <c r="G7" s="24" t="s">
        <v>491</v>
      </c>
      <c r="H7" s="24" t="s">
        <v>75</v>
      </c>
      <c r="I7" s="33" t="s">
        <v>23</v>
      </c>
      <c r="J7" s="33" t="s">
        <v>23</v>
      </c>
      <c r="K7" s="33" t="s">
        <v>23</v>
      </c>
      <c r="L7" s="24" t="s">
        <v>492</v>
      </c>
      <c r="M7" s="28" t="s">
        <v>493</v>
      </c>
      <c r="N7" s="29" t="s">
        <v>78</v>
      </c>
      <c r="O7" s="24" t="s">
        <v>230</v>
      </c>
      <c r="P7" s="24" t="s">
        <v>494</v>
      </c>
      <c r="Q7" s="24" t="s">
        <v>495</v>
      </c>
    </row>
    <row r="8" customFormat="false" ht="32.8" hidden="false" customHeight="false" outlineLevel="1" collapsed="false">
      <c r="A8" s="24" t="s">
        <v>68</v>
      </c>
      <c r="B8" s="25" t="s">
        <v>139</v>
      </c>
      <c r="C8" s="24" t="s">
        <v>488</v>
      </c>
      <c r="D8" s="26" t="s">
        <v>496</v>
      </c>
      <c r="E8" s="24" t="s">
        <v>497</v>
      </c>
      <c r="F8" s="24" t="s">
        <v>73</v>
      </c>
      <c r="G8" s="24" t="s">
        <v>498</v>
      </c>
      <c r="H8" s="24" t="s">
        <v>75</v>
      </c>
      <c r="I8" s="33" t="s">
        <v>23</v>
      </c>
      <c r="J8" s="33" t="s">
        <v>23</v>
      </c>
      <c r="K8" s="33" t="s">
        <v>23</v>
      </c>
      <c r="L8" s="24" t="s">
        <v>499</v>
      </c>
      <c r="M8" s="28" t="s">
        <v>500</v>
      </c>
      <c r="N8" s="29" t="s">
        <v>78</v>
      </c>
      <c r="O8" s="24" t="s">
        <v>230</v>
      </c>
      <c r="P8" s="24" t="s">
        <v>501</v>
      </c>
      <c r="Q8" s="24" t="s">
        <v>495</v>
      </c>
    </row>
    <row r="9" customFormat="false" ht="32.8" hidden="false" customHeight="false" outlineLevel="1" collapsed="false">
      <c r="A9" s="24" t="s">
        <v>68</v>
      </c>
      <c r="B9" s="25" t="s">
        <v>139</v>
      </c>
      <c r="C9" s="24" t="s">
        <v>488</v>
      </c>
      <c r="D9" s="26" t="s">
        <v>502</v>
      </c>
      <c r="E9" s="24" t="s">
        <v>503</v>
      </c>
      <c r="F9" s="24" t="s">
        <v>73</v>
      </c>
      <c r="G9" s="24" t="s">
        <v>498</v>
      </c>
      <c r="H9" s="24" t="s">
        <v>75</v>
      </c>
      <c r="I9" s="33" t="s">
        <v>23</v>
      </c>
      <c r="J9" s="33" t="s">
        <v>23</v>
      </c>
      <c r="K9" s="33" t="s">
        <v>23</v>
      </c>
      <c r="L9" s="24" t="s">
        <v>504</v>
      </c>
      <c r="M9" s="28" t="s">
        <v>505</v>
      </c>
      <c r="N9" s="29" t="s">
        <v>78</v>
      </c>
      <c r="O9" s="24" t="s">
        <v>230</v>
      </c>
      <c r="P9" s="24"/>
      <c r="Q9" s="24" t="s">
        <v>495</v>
      </c>
    </row>
    <row r="10" customFormat="false" ht="32.8" hidden="false" customHeight="false" outlineLevel="1" collapsed="false">
      <c r="A10" s="24" t="s">
        <v>68</v>
      </c>
      <c r="B10" s="25" t="s">
        <v>139</v>
      </c>
      <c r="C10" s="24" t="s">
        <v>506</v>
      </c>
      <c r="D10" s="26" t="s">
        <v>507</v>
      </c>
      <c r="E10" s="24" t="s">
        <v>73</v>
      </c>
      <c r="F10" s="24" t="s">
        <v>73</v>
      </c>
      <c r="G10" s="24" t="s">
        <v>508</v>
      </c>
      <c r="H10" s="24" t="s">
        <v>75</v>
      </c>
      <c r="I10" s="33" t="s">
        <v>23</v>
      </c>
      <c r="J10" s="33" t="s">
        <v>23</v>
      </c>
      <c r="K10" s="33" t="s">
        <v>23</v>
      </c>
      <c r="L10" s="24" t="s">
        <v>509</v>
      </c>
      <c r="M10" s="28" t="s">
        <v>510</v>
      </c>
      <c r="N10" s="29" t="s">
        <v>78</v>
      </c>
      <c r="O10" s="24" t="s">
        <v>230</v>
      </c>
      <c r="P10" s="24"/>
      <c r="Q10" s="24" t="s">
        <v>495</v>
      </c>
    </row>
    <row r="11" customFormat="false" ht="32.8" hidden="false" customHeight="false" outlineLevel="1" collapsed="false">
      <c r="A11" s="24" t="s">
        <v>68</v>
      </c>
      <c r="B11" s="25" t="s">
        <v>139</v>
      </c>
      <c r="C11" s="24" t="s">
        <v>506</v>
      </c>
      <c r="D11" s="26" t="s">
        <v>511</v>
      </c>
      <c r="E11" s="24" t="s">
        <v>512</v>
      </c>
      <c r="F11" s="24" t="s">
        <v>73</v>
      </c>
      <c r="G11" s="24" t="s">
        <v>498</v>
      </c>
      <c r="H11" s="24" t="s">
        <v>75</v>
      </c>
      <c r="I11" s="33" t="s">
        <v>23</v>
      </c>
      <c r="J11" s="33" t="s">
        <v>23</v>
      </c>
      <c r="K11" s="33" t="s">
        <v>23</v>
      </c>
      <c r="L11" s="24" t="s">
        <v>513</v>
      </c>
      <c r="M11" s="28" t="s">
        <v>514</v>
      </c>
      <c r="N11" s="29" t="s">
        <v>78</v>
      </c>
      <c r="O11" s="24" t="s">
        <v>230</v>
      </c>
      <c r="P11" s="24"/>
      <c r="Q11" s="24" t="s">
        <v>495</v>
      </c>
    </row>
    <row r="12" customFormat="false" ht="22.35" hidden="false" customHeight="false" outlineLevel="1" collapsed="false">
      <c r="A12" s="24" t="s">
        <v>68</v>
      </c>
      <c r="B12" s="25" t="s">
        <v>139</v>
      </c>
      <c r="C12" s="24" t="s">
        <v>515</v>
      </c>
      <c r="D12" s="26" t="s">
        <v>516</v>
      </c>
      <c r="E12" s="24" t="s">
        <v>517</v>
      </c>
      <c r="F12" s="24" t="s">
        <v>518</v>
      </c>
      <c r="G12" s="24" t="s">
        <v>519</v>
      </c>
      <c r="H12" s="24" t="s">
        <v>75</v>
      </c>
      <c r="I12" s="27" t="s">
        <v>36</v>
      </c>
      <c r="J12" s="27" t="s">
        <v>36</v>
      </c>
      <c r="K12" s="27" t="s">
        <v>36</v>
      </c>
      <c r="L12" s="24" t="s">
        <v>520</v>
      </c>
      <c r="M12" s="28" t="s">
        <v>107</v>
      </c>
      <c r="N12" s="29" t="s">
        <v>108</v>
      </c>
      <c r="O12" s="24" t="s">
        <v>230</v>
      </c>
      <c r="P12" s="24"/>
      <c r="Q12" s="24" t="s">
        <v>110</v>
      </c>
    </row>
    <row r="13" customFormat="false" ht="22.35" hidden="false" customHeight="false" outlineLevel="1" collapsed="false">
      <c r="A13" s="24" t="s">
        <v>68</v>
      </c>
      <c r="B13" s="25" t="s">
        <v>139</v>
      </c>
      <c r="C13" s="24" t="s">
        <v>515</v>
      </c>
      <c r="D13" s="26" t="s">
        <v>521</v>
      </c>
      <c r="E13" s="24" t="s">
        <v>73</v>
      </c>
      <c r="F13" s="24" t="s">
        <v>73</v>
      </c>
      <c r="G13" s="24" t="s">
        <v>498</v>
      </c>
      <c r="H13" s="24" t="s">
        <v>75</v>
      </c>
      <c r="I13" s="27" t="s">
        <v>36</v>
      </c>
      <c r="J13" s="27" t="s">
        <v>36</v>
      </c>
      <c r="K13" s="27" t="s">
        <v>36</v>
      </c>
      <c r="L13" s="24" t="s">
        <v>522</v>
      </c>
      <c r="M13" s="28" t="s">
        <v>128</v>
      </c>
      <c r="N13" s="29" t="s">
        <v>108</v>
      </c>
      <c r="O13" s="24" t="s">
        <v>230</v>
      </c>
      <c r="P13" s="24"/>
      <c r="Q13" s="24" t="s">
        <v>110</v>
      </c>
    </row>
    <row r="14" customFormat="false" ht="32.8" hidden="false" customHeight="false" outlineLevel="1" collapsed="false">
      <c r="A14" s="24" t="s">
        <v>68</v>
      </c>
      <c r="B14" s="25" t="s">
        <v>139</v>
      </c>
      <c r="C14" s="24" t="s">
        <v>506</v>
      </c>
      <c r="D14" s="26" t="s">
        <v>523</v>
      </c>
      <c r="E14" s="24" t="s">
        <v>524</v>
      </c>
      <c r="F14" s="24" t="s">
        <v>73</v>
      </c>
      <c r="G14" s="24" t="s">
        <v>491</v>
      </c>
      <c r="H14" s="24" t="s">
        <v>75</v>
      </c>
      <c r="I14" s="33" t="s">
        <v>23</v>
      </c>
      <c r="J14" s="33" t="s">
        <v>23</v>
      </c>
      <c r="K14" s="33" t="s">
        <v>23</v>
      </c>
      <c r="L14" s="24" t="s">
        <v>525</v>
      </c>
      <c r="M14" s="28" t="s">
        <v>526</v>
      </c>
      <c r="N14" s="29" t="s">
        <v>78</v>
      </c>
      <c r="O14" s="24" t="s">
        <v>230</v>
      </c>
      <c r="P14" s="24"/>
      <c r="Q14" s="24" t="s">
        <v>495</v>
      </c>
    </row>
    <row r="15" customFormat="false" ht="32.8" hidden="false" customHeight="false" outlineLevel="1" collapsed="false">
      <c r="A15" s="24" t="s">
        <v>68</v>
      </c>
      <c r="B15" s="25" t="s">
        <v>139</v>
      </c>
      <c r="C15" s="24" t="s">
        <v>506</v>
      </c>
      <c r="D15" s="26" t="s">
        <v>527</v>
      </c>
      <c r="E15" s="24" t="s">
        <v>73</v>
      </c>
      <c r="F15" s="24" t="s">
        <v>73</v>
      </c>
      <c r="G15" s="24" t="s">
        <v>528</v>
      </c>
      <c r="H15" s="24" t="s">
        <v>75</v>
      </c>
      <c r="I15" s="33" t="s">
        <v>23</v>
      </c>
      <c r="J15" s="33" t="s">
        <v>23</v>
      </c>
      <c r="K15" s="33" t="s">
        <v>23</v>
      </c>
      <c r="L15" s="24" t="s">
        <v>529</v>
      </c>
      <c r="M15" s="28" t="s">
        <v>107</v>
      </c>
      <c r="N15" s="29" t="s">
        <v>108</v>
      </c>
      <c r="O15" s="24" t="s">
        <v>230</v>
      </c>
      <c r="P15" s="24"/>
      <c r="Q15" s="24" t="s">
        <v>495</v>
      </c>
    </row>
    <row r="16" customFormat="false" ht="19.5" hidden="false" customHeight="true" outlineLevel="0" collapsed="false">
      <c r="A16" s="22" t="s">
        <v>285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</row>
    <row r="17" customFormat="false" ht="22.35" hidden="false" customHeight="false" outlineLevel="1" collapsed="false">
      <c r="A17" s="24" t="s">
        <v>286</v>
      </c>
      <c r="B17" s="25" t="s">
        <v>139</v>
      </c>
      <c r="C17" s="24" t="s">
        <v>488</v>
      </c>
      <c r="D17" s="26" t="s">
        <v>530</v>
      </c>
      <c r="E17" s="24" t="s">
        <v>73</v>
      </c>
      <c r="F17" s="24" t="s">
        <v>337</v>
      </c>
      <c r="G17" s="24" t="s">
        <v>531</v>
      </c>
      <c r="H17" s="24" t="s">
        <v>75</v>
      </c>
      <c r="I17" s="27" t="s">
        <v>36</v>
      </c>
      <c r="J17" s="31" t="s">
        <v>43</v>
      </c>
      <c r="K17" s="31" t="s">
        <v>43</v>
      </c>
      <c r="L17" s="24" t="s">
        <v>532</v>
      </c>
      <c r="M17" s="28" t="s">
        <v>533</v>
      </c>
      <c r="N17" s="25" t="s">
        <v>88</v>
      </c>
      <c r="O17" s="24" t="s">
        <v>89</v>
      </c>
      <c r="P17" s="24" t="s">
        <v>534</v>
      </c>
      <c r="Q17" s="24"/>
    </row>
    <row r="18" customFormat="false" ht="32.8" hidden="false" customHeight="false" outlineLevel="1" collapsed="false">
      <c r="A18" s="24" t="s">
        <v>286</v>
      </c>
      <c r="B18" s="25" t="s">
        <v>139</v>
      </c>
      <c r="C18" s="24" t="s">
        <v>535</v>
      </c>
      <c r="D18" s="26" t="s">
        <v>536</v>
      </c>
      <c r="E18" s="24" t="s">
        <v>73</v>
      </c>
      <c r="F18" s="24" t="s">
        <v>73</v>
      </c>
      <c r="G18" s="24" t="s">
        <v>286</v>
      </c>
      <c r="H18" s="24" t="s">
        <v>75</v>
      </c>
      <c r="I18" s="32" t="s">
        <v>25</v>
      </c>
      <c r="J18" s="31" t="s">
        <v>43</v>
      </c>
      <c r="K18" s="31" t="s">
        <v>43</v>
      </c>
      <c r="L18" s="24" t="s">
        <v>537</v>
      </c>
      <c r="M18" s="28" t="s">
        <v>538</v>
      </c>
      <c r="N18" s="25" t="s">
        <v>88</v>
      </c>
      <c r="O18" s="24" t="s">
        <v>349</v>
      </c>
      <c r="P18" s="24" t="s">
        <v>539</v>
      </c>
      <c r="Q18" s="24" t="s">
        <v>350</v>
      </c>
    </row>
    <row r="19" customFormat="false" ht="19.5" hidden="false" customHeight="true" outlineLevel="0" collapsed="false">
      <c r="A19" s="22" t="s">
        <v>329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</row>
    <row r="20" customFormat="false" ht="32.8" hidden="false" customHeight="false" outlineLevel="1" collapsed="false">
      <c r="A20" s="24" t="s">
        <v>330</v>
      </c>
      <c r="B20" s="25" t="s">
        <v>139</v>
      </c>
      <c r="C20" s="24" t="s">
        <v>488</v>
      </c>
      <c r="D20" s="26" t="s">
        <v>540</v>
      </c>
      <c r="E20" s="24" t="s">
        <v>73</v>
      </c>
      <c r="F20" s="24" t="s">
        <v>73</v>
      </c>
      <c r="G20" s="24" t="s">
        <v>330</v>
      </c>
      <c r="H20" s="24" t="s">
        <v>75</v>
      </c>
      <c r="I20" s="31" t="s">
        <v>43</v>
      </c>
      <c r="J20" s="32" t="s">
        <v>25</v>
      </c>
      <c r="K20" s="31" t="s">
        <v>43</v>
      </c>
      <c r="L20" s="24" t="s">
        <v>541</v>
      </c>
      <c r="M20" s="28" t="s">
        <v>542</v>
      </c>
      <c r="N20" s="25" t="s">
        <v>88</v>
      </c>
      <c r="O20" s="24" t="s">
        <v>349</v>
      </c>
      <c r="P20" s="24" t="s">
        <v>543</v>
      </c>
      <c r="Q20" s="24" t="s">
        <v>350</v>
      </c>
    </row>
    <row r="21" customFormat="false" ht="32.8" hidden="false" customHeight="false" outlineLevel="1" collapsed="false">
      <c r="A21" s="24" t="s">
        <v>330</v>
      </c>
      <c r="B21" s="25" t="s">
        <v>139</v>
      </c>
      <c r="C21" s="24" t="s">
        <v>506</v>
      </c>
      <c r="D21" s="26" t="s">
        <v>544</v>
      </c>
      <c r="E21" s="24" t="s">
        <v>73</v>
      </c>
      <c r="F21" s="24" t="s">
        <v>73</v>
      </c>
      <c r="G21" s="24" t="s">
        <v>330</v>
      </c>
      <c r="H21" s="24" t="s">
        <v>75</v>
      </c>
      <c r="I21" s="31" t="s">
        <v>43</v>
      </c>
      <c r="J21" s="32" t="s">
        <v>25</v>
      </c>
      <c r="K21" s="31" t="s">
        <v>43</v>
      </c>
      <c r="L21" s="24" t="s">
        <v>545</v>
      </c>
      <c r="M21" s="28" t="s">
        <v>542</v>
      </c>
      <c r="N21" s="25" t="s">
        <v>88</v>
      </c>
      <c r="O21" s="24" t="s">
        <v>349</v>
      </c>
      <c r="P21" s="24" t="s">
        <v>543</v>
      </c>
      <c r="Q21" s="24" t="s">
        <v>350</v>
      </c>
    </row>
    <row r="22" customFormat="false" ht="19.5" hidden="false" customHeight="true" outlineLevel="0" collapsed="false">
      <c r="A22" s="22" t="s">
        <v>375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</row>
    <row r="23" customFormat="false" ht="22.35" hidden="false" customHeight="false" outlineLevel="1" collapsed="false">
      <c r="A23" s="24" t="s">
        <v>376</v>
      </c>
      <c r="B23" s="25" t="s">
        <v>139</v>
      </c>
      <c r="C23" s="24" t="s">
        <v>488</v>
      </c>
      <c r="D23" s="26" t="s">
        <v>546</v>
      </c>
      <c r="E23" s="24" t="s">
        <v>73</v>
      </c>
      <c r="F23" s="24" t="s">
        <v>547</v>
      </c>
      <c r="G23" s="24" t="s">
        <v>376</v>
      </c>
      <c r="H23" s="24" t="s">
        <v>75</v>
      </c>
      <c r="I23" s="31" t="s">
        <v>43</v>
      </c>
      <c r="J23" s="31" t="s">
        <v>43</v>
      </c>
      <c r="K23" s="27" t="s">
        <v>36</v>
      </c>
      <c r="L23" s="24" t="s">
        <v>548</v>
      </c>
      <c r="M23" s="28" t="s">
        <v>549</v>
      </c>
      <c r="N23" s="25" t="s">
        <v>88</v>
      </c>
      <c r="O23" s="24" t="s">
        <v>89</v>
      </c>
      <c r="P23" s="24"/>
      <c r="Q23" s="24"/>
    </row>
    <row r="24" customFormat="false" ht="32.8" hidden="false" customHeight="false" outlineLevel="1" collapsed="false">
      <c r="A24" s="24" t="s">
        <v>376</v>
      </c>
      <c r="B24" s="25" t="s">
        <v>139</v>
      </c>
      <c r="C24" s="24" t="s">
        <v>506</v>
      </c>
      <c r="D24" s="26" t="s">
        <v>550</v>
      </c>
      <c r="E24" s="24" t="s">
        <v>73</v>
      </c>
      <c r="F24" s="24" t="s">
        <v>73</v>
      </c>
      <c r="G24" s="24" t="s">
        <v>376</v>
      </c>
      <c r="H24" s="24" t="s">
        <v>75</v>
      </c>
      <c r="I24" s="31" t="s">
        <v>43</v>
      </c>
      <c r="J24" s="31" t="s">
        <v>43</v>
      </c>
      <c r="K24" s="32" t="s">
        <v>25</v>
      </c>
      <c r="L24" s="24" t="s">
        <v>551</v>
      </c>
      <c r="M24" s="28" t="s">
        <v>549</v>
      </c>
      <c r="N24" s="29" t="s">
        <v>78</v>
      </c>
      <c r="O24" s="24" t="s">
        <v>349</v>
      </c>
      <c r="P24" s="24"/>
      <c r="Q24" s="24" t="s">
        <v>350</v>
      </c>
    </row>
    <row r="25" customFormat="false" ht="19.5" hidden="false" customHeight="true" outlineLevel="0" collapsed="false">
      <c r="A25" s="22" t="s">
        <v>412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</row>
    <row r="26" customFormat="false" ht="22.35" hidden="false" customHeight="false" outlineLevel="1" collapsed="false">
      <c r="A26" s="24" t="s">
        <v>413</v>
      </c>
      <c r="B26" s="25" t="s">
        <v>139</v>
      </c>
      <c r="C26" s="24" t="s">
        <v>552</v>
      </c>
      <c r="D26" s="26" t="s">
        <v>553</v>
      </c>
      <c r="E26" s="24" t="s">
        <v>73</v>
      </c>
      <c r="F26" s="24" t="s">
        <v>416</v>
      </c>
      <c r="G26" s="24" t="s">
        <v>413</v>
      </c>
      <c r="H26" s="24" t="s">
        <v>75</v>
      </c>
      <c r="I26" s="27" t="s">
        <v>36</v>
      </c>
      <c r="J26" s="31" t="s">
        <v>43</v>
      </c>
      <c r="K26" s="31" t="s">
        <v>43</v>
      </c>
      <c r="L26" s="24" t="s">
        <v>554</v>
      </c>
      <c r="M26" s="28" t="s">
        <v>418</v>
      </c>
      <c r="N26" s="25" t="s">
        <v>88</v>
      </c>
      <c r="O26" s="24" t="s">
        <v>89</v>
      </c>
      <c r="P26" s="24" t="s">
        <v>555</v>
      </c>
      <c r="Q26" s="24"/>
    </row>
    <row r="27" customFormat="false" ht="22.35" hidden="false" customHeight="false" outlineLevel="1" collapsed="false">
      <c r="A27" s="24" t="s">
        <v>413</v>
      </c>
      <c r="B27" s="25" t="s">
        <v>139</v>
      </c>
      <c r="C27" s="24" t="s">
        <v>506</v>
      </c>
      <c r="D27" s="26" t="s">
        <v>556</v>
      </c>
      <c r="E27" s="24" t="s">
        <v>73</v>
      </c>
      <c r="F27" s="24" t="s">
        <v>73</v>
      </c>
      <c r="G27" s="24" t="s">
        <v>413</v>
      </c>
      <c r="H27" s="24" t="s">
        <v>75</v>
      </c>
      <c r="I27" s="32" t="s">
        <v>25</v>
      </c>
      <c r="J27" s="31" t="s">
        <v>43</v>
      </c>
      <c r="K27" s="31" t="s">
        <v>43</v>
      </c>
      <c r="L27" s="24" t="s">
        <v>557</v>
      </c>
      <c r="M27" s="28" t="s">
        <v>558</v>
      </c>
      <c r="N27" s="29" t="s">
        <v>78</v>
      </c>
      <c r="O27" s="24" t="s">
        <v>349</v>
      </c>
      <c r="P27" s="24"/>
      <c r="Q27" s="24" t="s">
        <v>435</v>
      </c>
    </row>
    <row r="28" customFormat="false" ht="19.5" hidden="false" customHeight="true" outlineLevel="0" collapsed="false">
      <c r="A28" s="22" t="s">
        <v>436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</row>
    <row r="29" customFormat="false" ht="22.35" hidden="false" customHeight="false" outlineLevel="1" collapsed="false">
      <c r="A29" s="24" t="s">
        <v>437</v>
      </c>
      <c r="B29" s="25" t="s">
        <v>139</v>
      </c>
      <c r="C29" s="24" t="s">
        <v>559</v>
      </c>
      <c r="D29" s="26" t="s">
        <v>560</v>
      </c>
      <c r="E29" s="24" t="s">
        <v>73</v>
      </c>
      <c r="F29" s="24" t="s">
        <v>447</v>
      </c>
      <c r="G29" s="24" t="s">
        <v>437</v>
      </c>
      <c r="H29" s="24" t="s">
        <v>75</v>
      </c>
      <c r="I29" s="31" t="s">
        <v>43</v>
      </c>
      <c r="J29" s="27" t="s">
        <v>36</v>
      </c>
      <c r="K29" s="31" t="s">
        <v>43</v>
      </c>
      <c r="L29" s="24" t="s">
        <v>561</v>
      </c>
      <c r="M29" s="28" t="s">
        <v>450</v>
      </c>
      <c r="N29" s="25" t="s">
        <v>88</v>
      </c>
      <c r="O29" s="24" t="s">
        <v>89</v>
      </c>
      <c r="P29" s="24" t="s">
        <v>562</v>
      </c>
      <c r="Q29" s="24"/>
    </row>
    <row r="30" customFormat="false" ht="22.35" hidden="false" customHeight="false" outlineLevel="1" collapsed="false">
      <c r="A30" s="24" t="s">
        <v>437</v>
      </c>
      <c r="B30" s="25" t="s">
        <v>139</v>
      </c>
      <c r="C30" s="24" t="s">
        <v>506</v>
      </c>
      <c r="D30" s="26" t="s">
        <v>563</v>
      </c>
      <c r="E30" s="24" t="s">
        <v>73</v>
      </c>
      <c r="F30" s="24" t="s">
        <v>73</v>
      </c>
      <c r="G30" s="24" t="s">
        <v>437</v>
      </c>
      <c r="H30" s="24" t="s">
        <v>75</v>
      </c>
      <c r="I30" s="31" t="s">
        <v>43</v>
      </c>
      <c r="J30" s="32" t="s">
        <v>25</v>
      </c>
      <c r="K30" s="31" t="s">
        <v>43</v>
      </c>
      <c r="L30" s="24" t="s">
        <v>557</v>
      </c>
      <c r="M30" s="28" t="s">
        <v>564</v>
      </c>
      <c r="N30" s="29" t="s">
        <v>78</v>
      </c>
      <c r="O30" s="24" t="s">
        <v>349</v>
      </c>
      <c r="P30" s="24"/>
      <c r="Q30" s="24" t="s">
        <v>435</v>
      </c>
    </row>
    <row r="31" customFormat="false" ht="19.5" hidden="false" customHeight="true" outlineLevel="0" collapsed="false">
      <c r="A31" s="22" t="s">
        <v>460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</row>
    <row r="32" customFormat="false" ht="22.35" hidden="false" customHeight="false" outlineLevel="1" collapsed="false">
      <c r="A32" s="24" t="s">
        <v>461</v>
      </c>
      <c r="B32" s="25" t="s">
        <v>139</v>
      </c>
      <c r="C32" s="24" t="s">
        <v>472</v>
      </c>
      <c r="D32" s="26" t="s">
        <v>565</v>
      </c>
      <c r="E32" s="24" t="s">
        <v>73</v>
      </c>
      <c r="F32" s="24" t="s">
        <v>474</v>
      </c>
      <c r="G32" s="24" t="s">
        <v>461</v>
      </c>
      <c r="H32" s="24" t="s">
        <v>75</v>
      </c>
      <c r="I32" s="31" t="s">
        <v>43</v>
      </c>
      <c r="J32" s="31" t="s">
        <v>43</v>
      </c>
      <c r="K32" s="27" t="s">
        <v>36</v>
      </c>
      <c r="L32" s="24" t="s">
        <v>554</v>
      </c>
      <c r="M32" s="28" t="s">
        <v>475</v>
      </c>
      <c r="N32" s="25" t="s">
        <v>88</v>
      </c>
      <c r="O32" s="24" t="s">
        <v>89</v>
      </c>
      <c r="P32" s="24"/>
      <c r="Q32" s="24"/>
    </row>
    <row r="33" customFormat="false" ht="22.35" hidden="false" customHeight="false" outlineLevel="1" collapsed="false">
      <c r="A33" s="24" t="s">
        <v>461</v>
      </c>
      <c r="B33" s="25" t="s">
        <v>139</v>
      </c>
      <c r="C33" s="24" t="s">
        <v>414</v>
      </c>
      <c r="D33" s="26" t="s">
        <v>566</v>
      </c>
      <c r="E33" s="24" t="s">
        <v>73</v>
      </c>
      <c r="F33" s="24" t="s">
        <v>463</v>
      </c>
      <c r="G33" s="24" t="s">
        <v>461</v>
      </c>
      <c r="H33" s="24" t="s">
        <v>75</v>
      </c>
      <c r="I33" s="31" t="s">
        <v>43</v>
      </c>
      <c r="J33" s="31" t="s">
        <v>43</v>
      </c>
      <c r="K33" s="27" t="s">
        <v>36</v>
      </c>
      <c r="L33" s="24" t="s">
        <v>567</v>
      </c>
      <c r="M33" s="28" t="s">
        <v>465</v>
      </c>
      <c r="N33" s="25" t="s">
        <v>88</v>
      </c>
      <c r="O33" s="24" t="s">
        <v>89</v>
      </c>
      <c r="P33" s="24"/>
      <c r="Q33" s="24"/>
    </row>
    <row r="34" customFormat="false" ht="19.5" hidden="false" customHeight="true" outlineLevel="0" collapsed="false">
      <c r="A34" s="22" t="s">
        <v>568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</row>
    <row r="35" customFormat="false" ht="32.8" hidden="false" customHeight="false" outlineLevel="1" collapsed="false">
      <c r="A35" s="24" t="s">
        <v>569</v>
      </c>
      <c r="B35" s="25" t="s">
        <v>139</v>
      </c>
      <c r="C35" s="24" t="s">
        <v>570</v>
      </c>
      <c r="D35" s="26" t="s">
        <v>571</v>
      </c>
      <c r="E35" s="24" t="s">
        <v>73</v>
      </c>
      <c r="F35" s="24" t="s">
        <v>73</v>
      </c>
      <c r="G35" s="24" t="s">
        <v>572</v>
      </c>
      <c r="H35" s="34" t="s">
        <v>573</v>
      </c>
      <c r="I35" s="35" t="s">
        <v>41</v>
      </c>
      <c r="J35" s="35" t="s">
        <v>41</v>
      </c>
      <c r="K35" s="35" t="s">
        <v>41</v>
      </c>
      <c r="L35" s="24" t="s">
        <v>574</v>
      </c>
      <c r="M35" s="28" t="s">
        <v>575</v>
      </c>
      <c r="N35" s="29" t="s">
        <v>108</v>
      </c>
      <c r="O35" s="24" t="s">
        <v>230</v>
      </c>
      <c r="P35" s="24" t="s">
        <v>576</v>
      </c>
      <c r="Q35" s="24" t="s">
        <v>577</v>
      </c>
    </row>
    <row r="36" customFormat="false" ht="22.35" hidden="false" customHeight="false" outlineLevel="1" collapsed="false">
      <c r="A36" s="24" t="s">
        <v>569</v>
      </c>
      <c r="B36" s="25" t="s">
        <v>139</v>
      </c>
      <c r="C36" s="24" t="s">
        <v>570</v>
      </c>
      <c r="D36" s="26" t="s">
        <v>578</v>
      </c>
      <c r="E36" s="24" t="s">
        <v>73</v>
      </c>
      <c r="F36" s="24" t="s">
        <v>73</v>
      </c>
      <c r="G36" s="24" t="s">
        <v>21</v>
      </c>
      <c r="H36" s="34" t="s">
        <v>573</v>
      </c>
      <c r="I36" s="35" t="s">
        <v>41</v>
      </c>
      <c r="J36" s="35" t="s">
        <v>41</v>
      </c>
      <c r="K36" s="35" t="s">
        <v>41</v>
      </c>
      <c r="L36" s="24" t="s">
        <v>579</v>
      </c>
      <c r="M36" s="28" t="s">
        <v>575</v>
      </c>
      <c r="N36" s="29" t="s">
        <v>108</v>
      </c>
      <c r="O36" s="24" t="s">
        <v>349</v>
      </c>
      <c r="P36" s="24" t="s">
        <v>580</v>
      </c>
      <c r="Q36" s="24" t="s">
        <v>577</v>
      </c>
    </row>
  </sheetData>
  <autoFilter ref="A5:Q36"/>
  <hyperlinks>
    <hyperlink ref="M7" r:id="rId1" location="/map?lang=de&amp;center=2660000,1190000&amp;z=1&amp;bgLayer=ch.swisstopo.pixelkarte-grau&amp;layers=ch.bafu.bundesinventare-bln" display="https://map.geo.admin.ch/#/map?lang=de&amp;center=2660000,1190000&amp;z=1&amp;bgLayer=ch.swisstopo.pixelkarte-grau&amp;layers=ch.bafu.bundesinventare-bln"/>
    <hyperlink ref="M8" r:id="rId2" location="/map?lang=de&amp;center=2660000,1190000&amp;z=1&amp;bgLayer=ch.swisstopo.pixelkarte-grau&amp;layers=ch.bafu.bundesinventare-hochmoore" display="https://map.geo.admin.ch/#/map?lang=de&amp;center=2660000,1190000&amp;z=1&amp;bgLayer=ch.swisstopo.pixelkarte-grau&amp;layers=ch.bafu.bundesinventare-hochmoore"/>
    <hyperlink ref="M9" r:id="rId3" location="/map?lang=de&amp;center=2660000,1190000&amp;z=1&amp;bgLayer=ch.swisstopo.pixelkarte-grau&amp;layers=ch.bafu.bundesinventare-jagdbanngebiete" display="https://map.geo.admin.ch/#/map?lang=de&amp;center=2660000,1190000&amp;z=1&amp;bgLayer=ch.swisstopo.pixelkarte-grau&amp;layers=ch.bafu.bundesinventare-jagdbanngebiete"/>
    <hyperlink ref="M10" r:id="rId4" location="/map?lang=de&amp;center=2660000,1190000&amp;z=1&amp;bgLayer=ch.swisstopo.pixelkarte-grau&amp;layers=ch.bafu.fauna-wildtierkorridore_national" display="https://map.geo.admin.ch/#/map?lang=de&amp;center=2660000,1190000&amp;z=1&amp;bgLayer=ch.swisstopo.pixelkarte-grau&amp;layers=ch.bafu.fauna-wildtierkorridore_national"/>
    <hyperlink ref="M11" r:id="rId5" location="/map?lang=de&amp;center=2660000,1190000&amp;z=1&amp;bgLayer=ch.swisstopo.pixelkarte-grau&amp;layers=ch.bafu.waldreservate" display="https://map.geo.admin.ch/#/map?lang=de&amp;center=2660000,1190000&amp;z=1&amp;bgLayer=ch.swisstopo.pixelkarte-grau&amp;layers=ch.bafu.waldreservate"/>
    <hyperlink ref="M12" r:id="rId6" display="https://www.are.admin.ch"/>
    <hyperlink ref="M13" r:id="rId7" display="https://www.bafu.admin.ch"/>
    <hyperlink ref="M14" r:id="rId8" display="https://map.geo.admin.ch"/>
    <hyperlink ref="M15" r:id="rId9" display="https://www.are.admin.ch"/>
    <hyperlink ref="M17" r:id="rId10" display="https://arp-daten.bl.ch/"/>
    <hyperlink ref="M18" r:id="rId11" display="https://geoview.bl.ch"/>
    <hyperlink ref="M20" r:id="rId12" display="https://www.geoportal.ch/ktsg"/>
    <hyperlink ref="M21" r:id="rId13" display="https://www.geoportal.ch/ktsg"/>
    <hyperlink ref="M23" r:id="rId14" display="https://geo.ur.ch"/>
    <hyperlink ref="M24" r:id="rId15" display="https://geo.ur.ch"/>
    <hyperlink ref="M26" r:id="rId16" display="https://oereblex.bl.ch/api/attachments/22718"/>
    <hyperlink ref="M27" r:id="rId17" display="https://www.geoportal.ch/muenchenstein"/>
    <hyperlink ref="M29" r:id="rId18" display="https://cms.e-mitwirkung.ch/media/wil/Reglement_221013.pdf"/>
    <hyperlink ref="M30" r:id="rId19" display="https://www.geoportal.ch/wil_sg"/>
    <hyperlink ref="M32" r:id="rId20" display="https://www.ur.ch/_docn/385540/Inventarliste_Seelisberg_Website.pdf"/>
    <hyperlink ref="M33" r:id="rId21" display="https://www.seelisberg.ch/files/pdf/Bau-und-Zonenordnung-Seelisberg.pdf"/>
    <hyperlink ref="M35" r:id="rId22" display="https://www.fedlex.admin.ch"/>
    <hyperlink ref="M36" r:id="rId23" display="https://www.fedlex.admin.ch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1" width="16"/>
    <col collapsed="false" customWidth="true" hidden="false" outlineLevel="0" max="2" min="2" style="1" width="8"/>
    <col collapsed="false" customWidth="true" hidden="false" outlineLevel="0" max="3" min="3" style="1" width="14"/>
    <col collapsed="false" customWidth="true" hidden="false" outlineLevel="0" max="4" min="4" style="1" width="50"/>
    <col collapsed="false" customWidth="true" hidden="false" outlineLevel="0" max="5" min="5" style="1" width="17"/>
    <col collapsed="false" customWidth="true" hidden="false" outlineLevel="0" max="7" min="6" style="1" width="22"/>
    <col collapsed="false" customWidth="true" hidden="false" outlineLevel="0" max="8" min="8" style="1" width="14"/>
    <col collapsed="false" customWidth="true" hidden="false" outlineLevel="0" max="11" min="9" style="1" width="17"/>
    <col collapsed="false" customWidth="true" hidden="false" outlineLevel="0" max="12" min="12" style="1" width="44"/>
    <col collapsed="false" customWidth="true" hidden="false" outlineLevel="0" max="13" min="13" style="1" width="40"/>
    <col collapsed="false" customWidth="true" hidden="false" outlineLevel="0" max="14" min="14" style="1" width="14"/>
    <col collapsed="false" customWidth="true" hidden="false" outlineLevel="0" max="15" min="15" style="1" width="15"/>
    <col collapsed="false" customWidth="true" hidden="false" outlineLevel="0" max="16" min="16" style="1" width="52"/>
    <col collapsed="false" customWidth="true" hidden="false" outlineLevel="0" max="17" min="17" style="1" width="46"/>
  </cols>
  <sheetData>
    <row r="1" customFormat="false" ht="17.35" hidden="false" customHeight="false" outlineLevel="0" collapsed="false">
      <c r="A1" s="20" t="s">
        <v>581</v>
      </c>
    </row>
    <row r="2" customFormat="false" ht="15" hidden="false" customHeight="false" outlineLevel="0" collapsed="false">
      <c r="A2" s="3" t="s">
        <v>582</v>
      </c>
    </row>
    <row r="3" customFormat="false" ht="15" hidden="false" customHeight="false" outlineLevel="0" collapsed="false">
      <c r="A3" s="21" t="s">
        <v>49</v>
      </c>
    </row>
    <row r="5" customFormat="false" ht="31.5" hidden="false" customHeight="true" outlineLevel="0" collapsed="false">
      <c r="A5" s="7" t="s">
        <v>50</v>
      </c>
      <c r="B5" s="7" t="s">
        <v>51</v>
      </c>
      <c r="C5" s="7" t="s">
        <v>52</v>
      </c>
      <c r="D5" s="7" t="s">
        <v>53</v>
      </c>
      <c r="E5" s="7" t="s">
        <v>54</v>
      </c>
      <c r="F5" s="7" t="s">
        <v>55</v>
      </c>
      <c r="G5" s="7" t="s">
        <v>56</v>
      </c>
      <c r="H5" s="7" t="s">
        <v>57</v>
      </c>
      <c r="I5" s="7" t="s">
        <v>58</v>
      </c>
      <c r="J5" s="7" t="s">
        <v>59</v>
      </c>
      <c r="K5" s="7" t="s">
        <v>60</v>
      </c>
      <c r="L5" s="7" t="s">
        <v>61</v>
      </c>
      <c r="M5" s="7" t="s">
        <v>62</v>
      </c>
      <c r="N5" s="7" t="s">
        <v>63</v>
      </c>
      <c r="O5" s="7" t="s">
        <v>64</v>
      </c>
      <c r="P5" s="7" t="s">
        <v>65</v>
      </c>
      <c r="Q5" s="7" t="s">
        <v>66</v>
      </c>
    </row>
    <row r="6" customFormat="false" ht="19.5" hidden="false" customHeight="true" outlineLevel="0" collapsed="false">
      <c r="A6" s="22" t="s">
        <v>67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</row>
    <row r="7" customFormat="false" ht="22.35" hidden="false" customHeight="false" outlineLevel="1" collapsed="false">
      <c r="A7" s="24" t="s">
        <v>68</v>
      </c>
      <c r="B7" s="25" t="s">
        <v>202</v>
      </c>
      <c r="C7" s="24" t="s">
        <v>583</v>
      </c>
      <c r="D7" s="26" t="s">
        <v>584</v>
      </c>
      <c r="E7" s="24" t="s">
        <v>73</v>
      </c>
      <c r="F7" s="24" t="s">
        <v>73</v>
      </c>
      <c r="G7" s="24" t="s">
        <v>585</v>
      </c>
      <c r="H7" s="24" t="s">
        <v>75</v>
      </c>
      <c r="I7" s="27" t="s">
        <v>36</v>
      </c>
      <c r="J7" s="27" t="s">
        <v>36</v>
      </c>
      <c r="K7" s="27" t="s">
        <v>36</v>
      </c>
      <c r="L7" s="24" t="s">
        <v>586</v>
      </c>
      <c r="M7" s="28" t="s">
        <v>128</v>
      </c>
      <c r="N7" s="29" t="s">
        <v>108</v>
      </c>
      <c r="O7" s="24" t="s">
        <v>230</v>
      </c>
      <c r="P7" s="24"/>
      <c r="Q7" s="24" t="s">
        <v>110</v>
      </c>
    </row>
    <row r="8" customFormat="false" ht="32.8" hidden="false" customHeight="false" outlineLevel="1" collapsed="false">
      <c r="A8" s="24" t="s">
        <v>68</v>
      </c>
      <c r="B8" s="25" t="s">
        <v>202</v>
      </c>
      <c r="C8" s="24" t="s">
        <v>506</v>
      </c>
      <c r="D8" s="26" t="s">
        <v>587</v>
      </c>
      <c r="E8" s="24" t="s">
        <v>73</v>
      </c>
      <c r="F8" s="24" t="s">
        <v>73</v>
      </c>
      <c r="G8" s="24" t="s">
        <v>588</v>
      </c>
      <c r="H8" s="24" t="s">
        <v>75</v>
      </c>
      <c r="I8" s="33" t="s">
        <v>23</v>
      </c>
      <c r="J8" s="33" t="s">
        <v>23</v>
      </c>
      <c r="K8" s="33" t="s">
        <v>23</v>
      </c>
      <c r="L8" s="24" t="s">
        <v>589</v>
      </c>
      <c r="M8" s="28" t="s">
        <v>590</v>
      </c>
      <c r="N8" s="29" t="s">
        <v>78</v>
      </c>
      <c r="O8" s="24" t="s">
        <v>79</v>
      </c>
      <c r="P8" s="24"/>
      <c r="Q8" s="24" t="s">
        <v>495</v>
      </c>
    </row>
    <row r="9" customFormat="false" ht="22.35" hidden="false" customHeight="false" outlineLevel="1" collapsed="false">
      <c r="A9" s="24" t="s">
        <v>68</v>
      </c>
      <c r="B9" s="25" t="s">
        <v>202</v>
      </c>
      <c r="C9" s="24" t="s">
        <v>506</v>
      </c>
      <c r="D9" s="26" t="s">
        <v>591</v>
      </c>
      <c r="E9" s="24" t="s">
        <v>73</v>
      </c>
      <c r="F9" s="24" t="s">
        <v>73</v>
      </c>
      <c r="G9" s="24" t="s">
        <v>592</v>
      </c>
      <c r="H9" s="24" t="s">
        <v>75</v>
      </c>
      <c r="I9" s="32" t="s">
        <v>25</v>
      </c>
      <c r="J9" s="32" t="s">
        <v>25</v>
      </c>
      <c r="K9" s="32" t="s">
        <v>25</v>
      </c>
      <c r="L9" s="24" t="s">
        <v>593</v>
      </c>
      <c r="M9" s="28" t="s">
        <v>526</v>
      </c>
      <c r="N9" s="29" t="s">
        <v>78</v>
      </c>
      <c r="O9" s="24" t="s">
        <v>349</v>
      </c>
      <c r="P9" s="24" t="s">
        <v>594</v>
      </c>
      <c r="Q9" s="24" t="s">
        <v>110</v>
      </c>
    </row>
    <row r="10" customFormat="false" ht="22.35" hidden="false" customHeight="false" outlineLevel="1" collapsed="false">
      <c r="A10" s="24" t="s">
        <v>68</v>
      </c>
      <c r="B10" s="25" t="s">
        <v>202</v>
      </c>
      <c r="C10" s="24" t="s">
        <v>595</v>
      </c>
      <c r="D10" s="26" t="s">
        <v>596</v>
      </c>
      <c r="E10" s="24" t="s">
        <v>73</v>
      </c>
      <c r="F10" s="24" t="s">
        <v>73</v>
      </c>
      <c r="G10" s="24" t="s">
        <v>597</v>
      </c>
      <c r="H10" s="24" t="s">
        <v>75</v>
      </c>
      <c r="I10" s="27" t="s">
        <v>36</v>
      </c>
      <c r="J10" s="27" t="s">
        <v>36</v>
      </c>
      <c r="K10" s="27" t="s">
        <v>36</v>
      </c>
      <c r="L10" s="24" t="s">
        <v>598</v>
      </c>
      <c r="M10" s="28" t="s">
        <v>599</v>
      </c>
      <c r="N10" s="29" t="s">
        <v>78</v>
      </c>
      <c r="O10" s="24" t="s">
        <v>79</v>
      </c>
      <c r="P10" s="24"/>
      <c r="Q10" s="24"/>
    </row>
    <row r="11" customFormat="false" ht="22.35" hidden="false" customHeight="false" outlineLevel="1" collapsed="false">
      <c r="A11" s="24" t="s">
        <v>68</v>
      </c>
      <c r="B11" s="25" t="s">
        <v>202</v>
      </c>
      <c r="C11" s="24" t="s">
        <v>595</v>
      </c>
      <c r="D11" s="26" t="s">
        <v>600</v>
      </c>
      <c r="E11" s="24" t="s">
        <v>73</v>
      </c>
      <c r="F11" s="24" t="s">
        <v>73</v>
      </c>
      <c r="G11" s="24" t="s">
        <v>585</v>
      </c>
      <c r="H11" s="24" t="s">
        <v>601</v>
      </c>
      <c r="I11" s="32" t="s">
        <v>25</v>
      </c>
      <c r="J11" s="32" t="s">
        <v>25</v>
      </c>
      <c r="K11" s="32" t="s">
        <v>25</v>
      </c>
      <c r="L11" s="24" t="s">
        <v>602</v>
      </c>
      <c r="M11" s="28" t="s">
        <v>128</v>
      </c>
      <c r="N11" s="29" t="s">
        <v>108</v>
      </c>
      <c r="O11" s="24" t="s">
        <v>349</v>
      </c>
      <c r="P11" s="24"/>
      <c r="Q11" s="24" t="s">
        <v>110</v>
      </c>
    </row>
    <row r="12" customFormat="false" ht="22.35" hidden="false" customHeight="false" outlineLevel="1" collapsed="false">
      <c r="A12" s="24" t="s">
        <v>68</v>
      </c>
      <c r="B12" s="25" t="s">
        <v>202</v>
      </c>
      <c r="C12" s="24" t="s">
        <v>603</v>
      </c>
      <c r="D12" s="26" t="s">
        <v>604</v>
      </c>
      <c r="E12" s="24" t="s">
        <v>73</v>
      </c>
      <c r="F12" s="24" t="s">
        <v>73</v>
      </c>
      <c r="G12" s="24" t="s">
        <v>605</v>
      </c>
      <c r="H12" s="24" t="s">
        <v>606</v>
      </c>
      <c r="I12" s="27" t="s">
        <v>36</v>
      </c>
      <c r="J12" s="27" t="s">
        <v>36</v>
      </c>
      <c r="K12" s="27" t="s">
        <v>36</v>
      </c>
      <c r="L12" s="24" t="s">
        <v>607</v>
      </c>
      <c r="M12" s="28" t="s">
        <v>608</v>
      </c>
      <c r="N12" s="29" t="s">
        <v>108</v>
      </c>
      <c r="O12" s="24" t="s">
        <v>230</v>
      </c>
      <c r="P12" s="24" t="s">
        <v>609</v>
      </c>
      <c r="Q12" s="24" t="s">
        <v>110</v>
      </c>
    </row>
    <row r="13" customFormat="false" ht="19.5" hidden="false" customHeight="true" outlineLevel="0" collapsed="false">
      <c r="A13" s="22" t="s">
        <v>285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</row>
    <row r="14" customFormat="false" ht="22.35" hidden="false" customHeight="false" outlineLevel="1" collapsed="false">
      <c r="A14" s="24" t="s">
        <v>286</v>
      </c>
      <c r="B14" s="25" t="s">
        <v>202</v>
      </c>
      <c r="C14" s="24" t="s">
        <v>81</v>
      </c>
      <c r="D14" s="26" t="s">
        <v>299</v>
      </c>
      <c r="E14" s="24" t="s">
        <v>300</v>
      </c>
      <c r="F14" s="24" t="s">
        <v>301</v>
      </c>
      <c r="G14" s="24" t="s">
        <v>286</v>
      </c>
      <c r="H14" s="24" t="s">
        <v>75</v>
      </c>
      <c r="I14" s="27" t="s">
        <v>36</v>
      </c>
      <c r="J14" s="31" t="s">
        <v>43</v>
      </c>
      <c r="K14" s="31" t="s">
        <v>43</v>
      </c>
      <c r="L14" s="24" t="s">
        <v>303</v>
      </c>
      <c r="M14" s="28" t="s">
        <v>304</v>
      </c>
      <c r="N14" s="25" t="s">
        <v>88</v>
      </c>
      <c r="O14" s="24" t="s">
        <v>89</v>
      </c>
      <c r="P14" s="24"/>
      <c r="Q14" s="24"/>
    </row>
    <row r="15" customFormat="false" ht="32.8" hidden="false" customHeight="false" outlineLevel="1" collapsed="false">
      <c r="A15" s="24" t="s">
        <v>286</v>
      </c>
      <c r="B15" s="25" t="s">
        <v>202</v>
      </c>
      <c r="C15" s="24" t="s">
        <v>535</v>
      </c>
      <c r="D15" s="26" t="s">
        <v>610</v>
      </c>
      <c r="E15" s="24" t="s">
        <v>73</v>
      </c>
      <c r="F15" s="24" t="s">
        <v>73</v>
      </c>
      <c r="G15" s="24" t="s">
        <v>286</v>
      </c>
      <c r="H15" s="24" t="s">
        <v>75</v>
      </c>
      <c r="I15" s="32" t="s">
        <v>25</v>
      </c>
      <c r="J15" s="31" t="s">
        <v>43</v>
      </c>
      <c r="K15" s="31" t="s">
        <v>43</v>
      </c>
      <c r="L15" s="24" t="s">
        <v>611</v>
      </c>
      <c r="M15" s="28" t="s">
        <v>538</v>
      </c>
      <c r="N15" s="29" t="s">
        <v>78</v>
      </c>
      <c r="O15" s="24" t="s">
        <v>349</v>
      </c>
      <c r="P15" s="24"/>
      <c r="Q15" s="24" t="s">
        <v>350</v>
      </c>
    </row>
    <row r="16" customFormat="false" ht="19.5" hidden="false" customHeight="true" outlineLevel="0" collapsed="false">
      <c r="A16" s="22" t="s">
        <v>329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</row>
    <row r="17" customFormat="false" ht="22.35" hidden="false" customHeight="false" outlineLevel="1" collapsed="false">
      <c r="A17" s="24" t="s">
        <v>330</v>
      </c>
      <c r="B17" s="25" t="s">
        <v>202</v>
      </c>
      <c r="C17" s="24" t="s">
        <v>81</v>
      </c>
      <c r="D17" s="26" t="s">
        <v>340</v>
      </c>
      <c r="E17" s="24" t="s">
        <v>341</v>
      </c>
      <c r="F17" s="24" t="s">
        <v>342</v>
      </c>
      <c r="G17" s="24" t="s">
        <v>330</v>
      </c>
      <c r="H17" s="24" t="s">
        <v>75</v>
      </c>
      <c r="I17" s="31" t="s">
        <v>43</v>
      </c>
      <c r="J17" s="27" t="s">
        <v>36</v>
      </c>
      <c r="K17" s="31" t="s">
        <v>43</v>
      </c>
      <c r="L17" s="24" t="s">
        <v>303</v>
      </c>
      <c r="M17" s="28" t="s">
        <v>344</v>
      </c>
      <c r="N17" s="25" t="s">
        <v>88</v>
      </c>
      <c r="O17" s="24" t="s">
        <v>89</v>
      </c>
      <c r="P17" s="24"/>
      <c r="Q17" s="24"/>
    </row>
    <row r="18" customFormat="false" ht="32.8" hidden="false" customHeight="false" outlineLevel="1" collapsed="false">
      <c r="A18" s="24" t="s">
        <v>330</v>
      </c>
      <c r="B18" s="25" t="s">
        <v>202</v>
      </c>
      <c r="C18" s="24" t="s">
        <v>535</v>
      </c>
      <c r="D18" s="26" t="s">
        <v>612</v>
      </c>
      <c r="E18" s="24" t="s">
        <v>73</v>
      </c>
      <c r="F18" s="24" t="s">
        <v>73</v>
      </c>
      <c r="G18" s="24" t="s">
        <v>330</v>
      </c>
      <c r="H18" s="24" t="s">
        <v>75</v>
      </c>
      <c r="I18" s="31" t="s">
        <v>43</v>
      </c>
      <c r="J18" s="32" t="s">
        <v>25</v>
      </c>
      <c r="K18" s="31" t="s">
        <v>43</v>
      </c>
      <c r="L18" s="24" t="s">
        <v>611</v>
      </c>
      <c r="M18" s="28" t="s">
        <v>542</v>
      </c>
      <c r="N18" s="29" t="s">
        <v>78</v>
      </c>
      <c r="O18" s="24" t="s">
        <v>349</v>
      </c>
      <c r="P18" s="24"/>
      <c r="Q18" s="24" t="s">
        <v>350</v>
      </c>
    </row>
    <row r="19" customFormat="false" ht="19.5" hidden="false" customHeight="true" outlineLevel="0" collapsed="false">
      <c r="A19" s="22" t="s">
        <v>375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</row>
    <row r="20" customFormat="false" ht="22.35" hidden="false" customHeight="false" outlineLevel="1" collapsed="false">
      <c r="A20" s="24" t="s">
        <v>376</v>
      </c>
      <c r="B20" s="25" t="s">
        <v>202</v>
      </c>
      <c r="C20" s="24" t="s">
        <v>81</v>
      </c>
      <c r="D20" s="26" t="s">
        <v>388</v>
      </c>
      <c r="E20" s="24" t="s">
        <v>389</v>
      </c>
      <c r="F20" s="24" t="s">
        <v>390</v>
      </c>
      <c r="G20" s="24" t="s">
        <v>376</v>
      </c>
      <c r="H20" s="24" t="s">
        <v>75</v>
      </c>
      <c r="I20" s="31" t="s">
        <v>43</v>
      </c>
      <c r="J20" s="31" t="s">
        <v>43</v>
      </c>
      <c r="K20" s="27" t="s">
        <v>36</v>
      </c>
      <c r="L20" s="24" t="s">
        <v>303</v>
      </c>
      <c r="M20" s="28" t="s">
        <v>391</v>
      </c>
      <c r="N20" s="25" t="s">
        <v>88</v>
      </c>
      <c r="O20" s="24" t="s">
        <v>89</v>
      </c>
      <c r="P20" s="24" t="s">
        <v>613</v>
      </c>
      <c r="Q20" s="24"/>
    </row>
    <row r="21" customFormat="false" ht="32.8" hidden="false" customHeight="false" outlineLevel="1" collapsed="false">
      <c r="A21" s="24" t="s">
        <v>376</v>
      </c>
      <c r="B21" s="25" t="s">
        <v>202</v>
      </c>
      <c r="C21" s="24" t="s">
        <v>614</v>
      </c>
      <c r="D21" s="26" t="s">
        <v>615</v>
      </c>
      <c r="E21" s="24" t="s">
        <v>73</v>
      </c>
      <c r="F21" s="24" t="s">
        <v>73</v>
      </c>
      <c r="G21" s="24" t="s">
        <v>376</v>
      </c>
      <c r="H21" s="24" t="s">
        <v>75</v>
      </c>
      <c r="I21" s="31" t="s">
        <v>43</v>
      </c>
      <c r="J21" s="31" t="s">
        <v>43</v>
      </c>
      <c r="K21" s="32" t="s">
        <v>25</v>
      </c>
      <c r="L21" s="24" t="s">
        <v>616</v>
      </c>
      <c r="M21" s="28" t="s">
        <v>387</v>
      </c>
      <c r="N21" s="29" t="s">
        <v>108</v>
      </c>
      <c r="O21" s="24" t="s">
        <v>349</v>
      </c>
      <c r="P21" s="24"/>
      <c r="Q21" s="24" t="s">
        <v>350</v>
      </c>
    </row>
    <row r="22" customFormat="false" ht="19.5" hidden="false" customHeight="true" outlineLevel="0" collapsed="false">
      <c r="A22" s="22" t="s">
        <v>412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</row>
    <row r="23" customFormat="false" ht="22.35" hidden="false" customHeight="false" outlineLevel="1" collapsed="false">
      <c r="A23" s="24" t="s">
        <v>413</v>
      </c>
      <c r="B23" s="25" t="s">
        <v>202</v>
      </c>
      <c r="C23" s="24" t="s">
        <v>552</v>
      </c>
      <c r="D23" s="26" t="s">
        <v>422</v>
      </c>
      <c r="E23" s="24" t="s">
        <v>73</v>
      </c>
      <c r="F23" s="24" t="s">
        <v>416</v>
      </c>
      <c r="G23" s="24" t="s">
        <v>413</v>
      </c>
      <c r="H23" s="24" t="s">
        <v>75</v>
      </c>
      <c r="I23" s="27" t="s">
        <v>36</v>
      </c>
      <c r="J23" s="31" t="s">
        <v>43</v>
      </c>
      <c r="K23" s="31" t="s">
        <v>43</v>
      </c>
      <c r="L23" s="24" t="s">
        <v>617</v>
      </c>
      <c r="M23" s="28" t="s">
        <v>418</v>
      </c>
      <c r="N23" s="25" t="s">
        <v>88</v>
      </c>
      <c r="O23" s="24" t="s">
        <v>89</v>
      </c>
      <c r="P23" s="24" t="s">
        <v>618</v>
      </c>
      <c r="Q23" s="24"/>
    </row>
    <row r="24" customFormat="false" ht="22.35" hidden="false" customHeight="false" outlineLevel="1" collapsed="false">
      <c r="A24" s="24" t="s">
        <v>413</v>
      </c>
      <c r="B24" s="25" t="s">
        <v>202</v>
      </c>
      <c r="C24" s="24" t="s">
        <v>619</v>
      </c>
      <c r="D24" s="26" t="s">
        <v>620</v>
      </c>
      <c r="E24" s="24" t="s">
        <v>73</v>
      </c>
      <c r="F24" s="24" t="s">
        <v>73</v>
      </c>
      <c r="G24" s="24" t="s">
        <v>413</v>
      </c>
      <c r="H24" s="24" t="s">
        <v>75</v>
      </c>
      <c r="I24" s="32" t="s">
        <v>25</v>
      </c>
      <c r="J24" s="31" t="s">
        <v>43</v>
      </c>
      <c r="K24" s="31" t="s">
        <v>43</v>
      </c>
      <c r="L24" s="24" t="s">
        <v>621</v>
      </c>
      <c r="M24" s="28" t="s">
        <v>433</v>
      </c>
      <c r="N24" s="29" t="s">
        <v>108</v>
      </c>
      <c r="O24" s="24" t="s">
        <v>349</v>
      </c>
      <c r="P24" s="24"/>
      <c r="Q24" s="24" t="s">
        <v>435</v>
      </c>
    </row>
    <row r="25" customFormat="false" ht="19.5" hidden="false" customHeight="true" outlineLevel="0" collapsed="false">
      <c r="A25" s="22" t="s">
        <v>436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</row>
    <row r="26" customFormat="false" ht="22.35" hidden="false" customHeight="false" outlineLevel="1" collapsed="false">
      <c r="A26" s="24" t="s">
        <v>437</v>
      </c>
      <c r="B26" s="25" t="s">
        <v>202</v>
      </c>
      <c r="C26" s="24" t="s">
        <v>622</v>
      </c>
      <c r="D26" s="26" t="s">
        <v>623</v>
      </c>
      <c r="E26" s="24" t="s">
        <v>73</v>
      </c>
      <c r="F26" s="24" t="s">
        <v>337</v>
      </c>
      <c r="G26" s="24" t="s">
        <v>437</v>
      </c>
      <c r="H26" s="24" t="s">
        <v>75</v>
      </c>
      <c r="I26" s="31" t="s">
        <v>43</v>
      </c>
      <c r="J26" s="27" t="s">
        <v>36</v>
      </c>
      <c r="K26" s="31" t="s">
        <v>43</v>
      </c>
      <c r="L26" s="24" t="s">
        <v>624</v>
      </c>
      <c r="M26" s="28" t="s">
        <v>625</v>
      </c>
      <c r="N26" s="25" t="s">
        <v>88</v>
      </c>
      <c r="O26" s="24" t="s">
        <v>89</v>
      </c>
      <c r="P26" s="24" t="s">
        <v>455</v>
      </c>
      <c r="Q26" s="24"/>
    </row>
    <row r="27" customFormat="false" ht="22.35" hidden="false" customHeight="false" outlineLevel="1" collapsed="false">
      <c r="A27" s="24" t="s">
        <v>437</v>
      </c>
      <c r="B27" s="25" t="s">
        <v>202</v>
      </c>
      <c r="C27" s="24" t="s">
        <v>552</v>
      </c>
      <c r="D27" s="26" t="s">
        <v>422</v>
      </c>
      <c r="E27" s="24" t="s">
        <v>443</v>
      </c>
      <c r="F27" s="24" t="s">
        <v>444</v>
      </c>
      <c r="G27" s="24" t="s">
        <v>437</v>
      </c>
      <c r="H27" s="24" t="s">
        <v>75</v>
      </c>
      <c r="I27" s="31" t="s">
        <v>43</v>
      </c>
      <c r="J27" s="27" t="s">
        <v>36</v>
      </c>
      <c r="K27" s="31" t="s">
        <v>43</v>
      </c>
      <c r="L27" s="24" t="s">
        <v>626</v>
      </c>
      <c r="M27" s="28" t="s">
        <v>445</v>
      </c>
      <c r="N27" s="25" t="s">
        <v>88</v>
      </c>
      <c r="O27" s="24" t="s">
        <v>89</v>
      </c>
      <c r="P27" s="24" t="s">
        <v>627</v>
      </c>
      <c r="Q27" s="24"/>
    </row>
    <row r="28" customFormat="false" ht="22.35" hidden="false" customHeight="false" outlineLevel="1" collapsed="false">
      <c r="A28" s="24" t="s">
        <v>437</v>
      </c>
      <c r="B28" s="25" t="s">
        <v>202</v>
      </c>
      <c r="C28" s="24" t="s">
        <v>619</v>
      </c>
      <c r="D28" s="26" t="s">
        <v>628</v>
      </c>
      <c r="E28" s="24" t="s">
        <v>73</v>
      </c>
      <c r="F28" s="24" t="s">
        <v>73</v>
      </c>
      <c r="G28" s="24" t="s">
        <v>437</v>
      </c>
      <c r="H28" s="24" t="s">
        <v>75</v>
      </c>
      <c r="I28" s="31" t="s">
        <v>43</v>
      </c>
      <c r="J28" s="32" t="s">
        <v>25</v>
      </c>
      <c r="K28" s="31" t="s">
        <v>43</v>
      </c>
      <c r="L28" s="24" t="s">
        <v>621</v>
      </c>
      <c r="M28" s="28" t="s">
        <v>629</v>
      </c>
      <c r="N28" s="29" t="s">
        <v>108</v>
      </c>
      <c r="O28" s="24" t="s">
        <v>349</v>
      </c>
      <c r="P28" s="24"/>
      <c r="Q28" s="24" t="s">
        <v>435</v>
      </c>
    </row>
    <row r="29" customFormat="false" ht="19.5" hidden="false" customHeight="true" outlineLevel="0" collapsed="false">
      <c r="A29" s="22" t="s">
        <v>460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</row>
    <row r="30" customFormat="false" ht="22.35" hidden="false" customHeight="false" outlineLevel="1" collapsed="false">
      <c r="A30" s="24" t="s">
        <v>461</v>
      </c>
      <c r="B30" s="25" t="s">
        <v>202</v>
      </c>
      <c r="C30" s="24" t="s">
        <v>630</v>
      </c>
      <c r="D30" s="26" t="s">
        <v>631</v>
      </c>
      <c r="E30" s="24" t="s">
        <v>73</v>
      </c>
      <c r="F30" s="24" t="s">
        <v>73</v>
      </c>
      <c r="G30" s="24" t="s">
        <v>461</v>
      </c>
      <c r="H30" s="24" t="s">
        <v>75</v>
      </c>
      <c r="I30" s="31" t="s">
        <v>43</v>
      </c>
      <c r="J30" s="31" t="s">
        <v>43</v>
      </c>
      <c r="K30" s="32" t="s">
        <v>25</v>
      </c>
      <c r="L30" s="24" t="s">
        <v>632</v>
      </c>
      <c r="M30" s="28" t="s">
        <v>478</v>
      </c>
      <c r="N30" s="29" t="s">
        <v>108</v>
      </c>
      <c r="O30" s="24" t="s">
        <v>349</v>
      </c>
      <c r="P30" s="24"/>
      <c r="Q30" s="24" t="s">
        <v>435</v>
      </c>
    </row>
    <row r="31" customFormat="false" ht="19.5" hidden="false" customHeight="true" outlineLevel="0" collapsed="false">
      <c r="A31" s="22" t="s">
        <v>568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</row>
    <row r="32" customFormat="false" ht="22.35" hidden="false" customHeight="false" outlineLevel="1" collapsed="false">
      <c r="A32" s="24" t="s">
        <v>569</v>
      </c>
      <c r="B32" s="25" t="s">
        <v>202</v>
      </c>
      <c r="C32" s="24" t="s">
        <v>570</v>
      </c>
      <c r="D32" s="26" t="s">
        <v>633</v>
      </c>
      <c r="E32" s="24" t="s">
        <v>73</v>
      </c>
      <c r="F32" s="24" t="s">
        <v>73</v>
      </c>
      <c r="G32" s="24" t="s">
        <v>634</v>
      </c>
      <c r="H32" s="34" t="s">
        <v>573</v>
      </c>
      <c r="I32" s="35" t="s">
        <v>41</v>
      </c>
      <c r="J32" s="35" t="s">
        <v>41</v>
      </c>
      <c r="K32" s="35" t="s">
        <v>41</v>
      </c>
      <c r="L32" s="24" t="s">
        <v>635</v>
      </c>
      <c r="M32" s="28" t="s">
        <v>575</v>
      </c>
      <c r="N32" s="29" t="s">
        <v>108</v>
      </c>
      <c r="O32" s="24" t="s">
        <v>230</v>
      </c>
      <c r="P32" s="24" t="s">
        <v>636</v>
      </c>
      <c r="Q32" s="24" t="s">
        <v>577</v>
      </c>
    </row>
    <row r="33" customFormat="false" ht="22.35" hidden="false" customHeight="false" outlineLevel="1" collapsed="false">
      <c r="A33" s="24" t="s">
        <v>569</v>
      </c>
      <c r="B33" s="25" t="s">
        <v>202</v>
      </c>
      <c r="C33" s="24" t="s">
        <v>570</v>
      </c>
      <c r="D33" s="26" t="s">
        <v>637</v>
      </c>
      <c r="E33" s="24" t="s">
        <v>73</v>
      </c>
      <c r="F33" s="24" t="s">
        <v>73</v>
      </c>
      <c r="G33" s="24" t="s">
        <v>638</v>
      </c>
      <c r="H33" s="34" t="s">
        <v>573</v>
      </c>
      <c r="I33" s="35" t="s">
        <v>41</v>
      </c>
      <c r="J33" s="35" t="s">
        <v>41</v>
      </c>
      <c r="K33" s="35" t="s">
        <v>41</v>
      </c>
      <c r="L33" s="24" t="s">
        <v>639</v>
      </c>
      <c r="M33" s="28" t="s">
        <v>575</v>
      </c>
      <c r="N33" s="29" t="s">
        <v>108</v>
      </c>
      <c r="O33" s="24" t="s">
        <v>230</v>
      </c>
      <c r="P33" s="24" t="s">
        <v>640</v>
      </c>
      <c r="Q33" s="24" t="s">
        <v>577</v>
      </c>
    </row>
  </sheetData>
  <autoFilter ref="A5:Q33"/>
  <hyperlinks>
    <hyperlink ref="M7" r:id="rId1" display="https://www.bafu.admin.ch"/>
    <hyperlink ref="M8" r:id="rId2" location="/map?lang=de&amp;center=2660000,1190000&amp;z=1&amp;bgLayer=ch.swisstopo.pixelkarte-grau&amp;layers=ch.bfe.solarenergie-eignung-daecher" display="https://map.geo.admin.ch/#/map?lang=de&amp;center=2660000,1190000&amp;z=1&amp;bgLayer=ch.swisstopo.pixelkarte-grau&amp;layers=ch.bfe.solarenergie-eignung-daecher"/>
    <hyperlink ref="M9" r:id="rId3" display="https://map.geo.admin.ch"/>
    <hyperlink ref="M10" r:id="rId4" location="/map?lang=de&amp;center=2660000,1190000&amp;z=1&amp;bgLayer=ch.swisstopo.pixelkarte-grau&amp;layers=ch.bfs.gebaeude_wohnungs_register" display="https://map.geo.admin.ch/#/map?lang=de&amp;center=2660000,1190000&amp;z=1&amp;bgLayer=ch.swisstopo.pixelkarte-grau&amp;layers=ch.bfs.gebaeude_wohnungs_register"/>
    <hyperlink ref="M11" r:id="rId5" display="https://www.bafu.admin.ch"/>
    <hyperlink ref="M12" r:id="rId6" display="https://www.sia.ch"/>
    <hyperlink ref="M14" r:id="rId7" display="https://bl.clex.ch/app/de/texts_of_law/490"/>
    <hyperlink ref="M15" r:id="rId8" display="https://geoview.bl.ch"/>
    <hyperlink ref="M17" r:id="rId9" display="https://www.gesetzessammlung.sg.ch/app/de/texts_of_law/741.1"/>
    <hyperlink ref="M18" r:id="rId10" display="https://www.geoportal.ch/ktsg"/>
    <hyperlink ref="M20" r:id="rId11" display="https://rechtsbuch.ur.ch/app/de/texts_of_law/40.7211"/>
    <hyperlink ref="M21" r:id="rId12" display="https://www.ur.ch"/>
    <hyperlink ref="M23" r:id="rId13" display="https://oereblex.bl.ch/api/attachments/22718"/>
    <hyperlink ref="M24" r:id="rId14" display="https://www.muenchenstein.ch"/>
    <hyperlink ref="M26" r:id="rId15" display="https://www.stadtwil.ch/storage/0c6b26d62a364629241b9c9e4535a6b58c82d46aeb166b034ae96c29862a1331"/>
    <hyperlink ref="M27" r:id="rId16" display="https://wil-sg.tlex.ch/app/de/texts_of_law/7.1-1"/>
    <hyperlink ref="M28" r:id="rId17" display="https://www.stadtwil.ch"/>
    <hyperlink ref="M30" r:id="rId18" display="https://www.seelisberg.ch"/>
    <hyperlink ref="M32" r:id="rId19" display="https://www.fedlex.admin.ch"/>
    <hyperlink ref="M33" r:id="rId20" display="https://www.fedlex.admin.ch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1" width="16"/>
    <col collapsed="false" customWidth="true" hidden="false" outlineLevel="0" max="2" min="2" style="1" width="8"/>
    <col collapsed="false" customWidth="true" hidden="false" outlineLevel="0" max="3" min="3" style="1" width="14"/>
    <col collapsed="false" customWidth="true" hidden="false" outlineLevel="0" max="4" min="4" style="1" width="50"/>
    <col collapsed="false" customWidth="true" hidden="false" outlineLevel="0" max="5" min="5" style="1" width="17"/>
    <col collapsed="false" customWidth="true" hidden="false" outlineLevel="0" max="7" min="6" style="1" width="22"/>
    <col collapsed="false" customWidth="true" hidden="false" outlineLevel="0" max="8" min="8" style="1" width="14"/>
    <col collapsed="false" customWidth="true" hidden="false" outlineLevel="0" max="11" min="9" style="1" width="17"/>
    <col collapsed="false" customWidth="true" hidden="false" outlineLevel="0" max="12" min="12" style="1" width="44"/>
    <col collapsed="false" customWidth="true" hidden="false" outlineLevel="0" max="13" min="13" style="1" width="40"/>
    <col collapsed="false" customWidth="true" hidden="false" outlineLevel="0" max="14" min="14" style="1" width="14"/>
    <col collapsed="false" customWidth="true" hidden="false" outlineLevel="0" max="15" min="15" style="1" width="15"/>
    <col collapsed="false" customWidth="true" hidden="false" outlineLevel="0" max="16" min="16" style="1" width="52"/>
    <col collapsed="false" customWidth="true" hidden="false" outlineLevel="0" max="17" min="17" style="1" width="46"/>
  </cols>
  <sheetData>
    <row r="1" customFormat="false" ht="17.35" hidden="false" customHeight="false" outlineLevel="0" collapsed="false">
      <c r="A1" s="20" t="s">
        <v>641</v>
      </c>
    </row>
    <row r="2" customFormat="false" ht="15" hidden="false" customHeight="false" outlineLevel="0" collapsed="false">
      <c r="A2" s="3" t="s">
        <v>582</v>
      </c>
    </row>
    <row r="3" customFormat="false" ht="15" hidden="false" customHeight="false" outlineLevel="0" collapsed="false">
      <c r="A3" s="21" t="s">
        <v>49</v>
      </c>
    </row>
    <row r="5" customFormat="false" ht="31.5" hidden="false" customHeight="true" outlineLevel="0" collapsed="false">
      <c r="A5" s="7" t="s">
        <v>50</v>
      </c>
      <c r="B5" s="7" t="s">
        <v>51</v>
      </c>
      <c r="C5" s="7" t="s">
        <v>52</v>
      </c>
      <c r="D5" s="7" t="s">
        <v>53</v>
      </c>
      <c r="E5" s="7" t="s">
        <v>54</v>
      </c>
      <c r="F5" s="7" t="s">
        <v>55</v>
      </c>
      <c r="G5" s="7" t="s">
        <v>56</v>
      </c>
      <c r="H5" s="7" t="s">
        <v>57</v>
      </c>
      <c r="I5" s="7" t="s">
        <v>58</v>
      </c>
      <c r="J5" s="7" t="s">
        <v>59</v>
      </c>
      <c r="K5" s="7" t="s">
        <v>60</v>
      </c>
      <c r="L5" s="7" t="s">
        <v>61</v>
      </c>
      <c r="M5" s="7" t="s">
        <v>62</v>
      </c>
      <c r="N5" s="7" t="s">
        <v>63</v>
      </c>
      <c r="O5" s="7" t="s">
        <v>64</v>
      </c>
      <c r="P5" s="7" t="s">
        <v>65</v>
      </c>
      <c r="Q5" s="7" t="s">
        <v>66</v>
      </c>
    </row>
    <row r="6" customFormat="false" ht="19.5" hidden="false" customHeight="true" outlineLevel="0" collapsed="false">
      <c r="A6" s="22" t="s">
        <v>67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</row>
    <row r="7" customFormat="false" ht="22.35" hidden="false" customHeight="false" outlineLevel="1" collapsed="false">
      <c r="A7" s="24" t="s">
        <v>68</v>
      </c>
      <c r="B7" s="25" t="s">
        <v>232</v>
      </c>
      <c r="C7" s="24" t="s">
        <v>506</v>
      </c>
      <c r="D7" s="26" t="s">
        <v>642</v>
      </c>
      <c r="E7" s="24" t="s">
        <v>73</v>
      </c>
      <c r="F7" s="24" t="s">
        <v>643</v>
      </c>
      <c r="G7" s="24" t="s">
        <v>644</v>
      </c>
      <c r="H7" s="24" t="s">
        <v>75</v>
      </c>
      <c r="I7" s="27" t="s">
        <v>36</v>
      </c>
      <c r="J7" s="27" t="s">
        <v>36</v>
      </c>
      <c r="K7" s="27" t="s">
        <v>36</v>
      </c>
      <c r="L7" s="24" t="s">
        <v>645</v>
      </c>
      <c r="M7" s="28" t="s">
        <v>646</v>
      </c>
      <c r="N7" s="25" t="s">
        <v>88</v>
      </c>
      <c r="O7" s="24" t="s">
        <v>89</v>
      </c>
      <c r="P7" s="24" t="s">
        <v>647</v>
      </c>
      <c r="Q7" s="24"/>
    </row>
    <row r="8" customFormat="false" ht="32.8" hidden="false" customHeight="false" outlineLevel="1" collapsed="false">
      <c r="A8" s="24" t="s">
        <v>68</v>
      </c>
      <c r="B8" s="25" t="s">
        <v>232</v>
      </c>
      <c r="C8" s="24" t="s">
        <v>506</v>
      </c>
      <c r="D8" s="26" t="s">
        <v>648</v>
      </c>
      <c r="E8" s="24" t="s">
        <v>73</v>
      </c>
      <c r="F8" s="24" t="s">
        <v>73</v>
      </c>
      <c r="G8" s="24" t="s">
        <v>649</v>
      </c>
      <c r="H8" s="24" t="s">
        <v>75</v>
      </c>
      <c r="I8" s="33" t="s">
        <v>23</v>
      </c>
      <c r="J8" s="33" t="s">
        <v>23</v>
      </c>
      <c r="K8" s="33" t="s">
        <v>23</v>
      </c>
      <c r="L8" s="24" t="s">
        <v>650</v>
      </c>
      <c r="M8" s="28" t="s">
        <v>651</v>
      </c>
      <c r="N8" s="29" t="s">
        <v>78</v>
      </c>
      <c r="O8" s="24" t="s">
        <v>230</v>
      </c>
      <c r="P8" s="24"/>
      <c r="Q8" s="24" t="s">
        <v>495</v>
      </c>
    </row>
    <row r="9" customFormat="false" ht="22.35" hidden="false" customHeight="false" outlineLevel="1" collapsed="false">
      <c r="A9" s="24" t="s">
        <v>68</v>
      </c>
      <c r="B9" s="25" t="s">
        <v>232</v>
      </c>
      <c r="C9" s="24" t="s">
        <v>652</v>
      </c>
      <c r="D9" s="26" t="s">
        <v>653</v>
      </c>
      <c r="E9" s="24" t="s">
        <v>73</v>
      </c>
      <c r="F9" s="24" t="s">
        <v>73</v>
      </c>
      <c r="G9" s="24" t="s">
        <v>654</v>
      </c>
      <c r="H9" s="24" t="s">
        <v>75</v>
      </c>
      <c r="I9" s="27" t="s">
        <v>36</v>
      </c>
      <c r="J9" s="27" t="s">
        <v>36</v>
      </c>
      <c r="K9" s="27" t="s">
        <v>36</v>
      </c>
      <c r="L9" s="24" t="s">
        <v>655</v>
      </c>
      <c r="M9" s="28" t="s">
        <v>128</v>
      </c>
      <c r="N9" s="29" t="s">
        <v>108</v>
      </c>
      <c r="O9" s="24" t="s">
        <v>230</v>
      </c>
      <c r="P9" s="24"/>
      <c r="Q9" s="24" t="s">
        <v>110</v>
      </c>
    </row>
    <row r="10" customFormat="false" ht="22.35" hidden="false" customHeight="false" outlineLevel="1" collapsed="false">
      <c r="A10" s="24" t="s">
        <v>68</v>
      </c>
      <c r="B10" s="25" t="s">
        <v>232</v>
      </c>
      <c r="C10" s="24" t="s">
        <v>506</v>
      </c>
      <c r="D10" s="26" t="s">
        <v>656</v>
      </c>
      <c r="E10" s="24" t="s">
        <v>73</v>
      </c>
      <c r="F10" s="24" t="s">
        <v>73</v>
      </c>
      <c r="G10" s="24" t="s">
        <v>657</v>
      </c>
      <c r="H10" s="24" t="s">
        <v>75</v>
      </c>
      <c r="I10" s="32" t="s">
        <v>25</v>
      </c>
      <c r="J10" s="32" t="s">
        <v>25</v>
      </c>
      <c r="K10" s="32" t="s">
        <v>25</v>
      </c>
      <c r="L10" s="24" t="s">
        <v>658</v>
      </c>
      <c r="M10" s="28" t="s">
        <v>128</v>
      </c>
      <c r="N10" s="29" t="s">
        <v>108</v>
      </c>
      <c r="O10" s="24" t="s">
        <v>349</v>
      </c>
      <c r="P10" s="24" t="s">
        <v>659</v>
      </c>
      <c r="Q10" s="24" t="s">
        <v>110</v>
      </c>
    </row>
    <row r="11" customFormat="false" ht="32.8" hidden="false" customHeight="false" outlineLevel="1" collapsed="false">
      <c r="A11" s="24" t="s">
        <v>68</v>
      </c>
      <c r="B11" s="25" t="s">
        <v>232</v>
      </c>
      <c r="C11" s="24" t="s">
        <v>660</v>
      </c>
      <c r="D11" s="26" t="s">
        <v>661</v>
      </c>
      <c r="E11" s="24" t="s">
        <v>73</v>
      </c>
      <c r="F11" s="24" t="s">
        <v>73</v>
      </c>
      <c r="G11" s="24" t="s">
        <v>662</v>
      </c>
      <c r="H11" s="24" t="s">
        <v>601</v>
      </c>
      <c r="I11" s="33" t="s">
        <v>23</v>
      </c>
      <c r="J11" s="33" t="s">
        <v>23</v>
      </c>
      <c r="K11" s="33" t="s">
        <v>23</v>
      </c>
      <c r="L11" s="24" t="s">
        <v>663</v>
      </c>
      <c r="M11" s="28" t="s">
        <v>664</v>
      </c>
      <c r="N11" s="29" t="s">
        <v>78</v>
      </c>
      <c r="O11" s="24" t="s">
        <v>230</v>
      </c>
      <c r="P11" s="24"/>
      <c r="Q11" s="24" t="s">
        <v>495</v>
      </c>
    </row>
    <row r="12" customFormat="false" ht="32.8" hidden="false" customHeight="false" outlineLevel="1" collapsed="false">
      <c r="A12" s="24" t="s">
        <v>68</v>
      </c>
      <c r="B12" s="25" t="s">
        <v>232</v>
      </c>
      <c r="C12" s="24" t="s">
        <v>506</v>
      </c>
      <c r="D12" s="26" t="s">
        <v>665</v>
      </c>
      <c r="E12" s="24" t="s">
        <v>666</v>
      </c>
      <c r="F12" s="24" t="s">
        <v>73</v>
      </c>
      <c r="G12" s="24" t="s">
        <v>667</v>
      </c>
      <c r="H12" s="24" t="s">
        <v>601</v>
      </c>
      <c r="I12" s="33" t="s">
        <v>23</v>
      </c>
      <c r="J12" s="33" t="s">
        <v>23</v>
      </c>
      <c r="K12" s="33" t="s">
        <v>23</v>
      </c>
      <c r="L12" s="24" t="s">
        <v>668</v>
      </c>
      <c r="M12" s="28" t="s">
        <v>669</v>
      </c>
      <c r="N12" s="29" t="s">
        <v>78</v>
      </c>
      <c r="O12" s="24" t="s">
        <v>230</v>
      </c>
      <c r="P12" s="24"/>
      <c r="Q12" s="24" t="s">
        <v>495</v>
      </c>
    </row>
    <row r="13" customFormat="false" ht="19.5" hidden="false" customHeight="true" outlineLevel="0" collapsed="false">
      <c r="A13" s="22" t="s">
        <v>285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</row>
    <row r="14" customFormat="false" ht="22.35" hidden="false" customHeight="false" outlineLevel="1" collapsed="false">
      <c r="A14" s="24" t="s">
        <v>286</v>
      </c>
      <c r="B14" s="25" t="s">
        <v>232</v>
      </c>
      <c r="C14" s="24" t="s">
        <v>506</v>
      </c>
      <c r="D14" s="26" t="s">
        <v>670</v>
      </c>
      <c r="E14" s="24" t="s">
        <v>73</v>
      </c>
      <c r="F14" s="24" t="s">
        <v>671</v>
      </c>
      <c r="G14" s="24" t="s">
        <v>286</v>
      </c>
      <c r="H14" s="24" t="s">
        <v>75</v>
      </c>
      <c r="I14" s="27" t="s">
        <v>36</v>
      </c>
      <c r="J14" s="31" t="s">
        <v>43</v>
      </c>
      <c r="K14" s="31" t="s">
        <v>43</v>
      </c>
      <c r="L14" s="24" t="s">
        <v>672</v>
      </c>
      <c r="M14" s="28" t="s">
        <v>673</v>
      </c>
      <c r="N14" s="25" t="s">
        <v>88</v>
      </c>
      <c r="O14" s="24" t="s">
        <v>89</v>
      </c>
      <c r="P14" s="24" t="s">
        <v>674</v>
      </c>
      <c r="Q14" s="24"/>
    </row>
    <row r="15" customFormat="false" ht="32.8" hidden="false" customHeight="false" outlineLevel="1" collapsed="false">
      <c r="A15" s="24" t="s">
        <v>286</v>
      </c>
      <c r="B15" s="25" t="s">
        <v>232</v>
      </c>
      <c r="C15" s="24" t="s">
        <v>506</v>
      </c>
      <c r="D15" s="26" t="s">
        <v>675</v>
      </c>
      <c r="E15" s="24" t="s">
        <v>73</v>
      </c>
      <c r="F15" s="24" t="s">
        <v>73</v>
      </c>
      <c r="G15" s="24" t="s">
        <v>286</v>
      </c>
      <c r="H15" s="24" t="s">
        <v>75</v>
      </c>
      <c r="I15" s="32" t="s">
        <v>25</v>
      </c>
      <c r="J15" s="31" t="s">
        <v>43</v>
      </c>
      <c r="K15" s="31" t="s">
        <v>43</v>
      </c>
      <c r="L15" s="24" t="s">
        <v>676</v>
      </c>
      <c r="M15" s="28" t="s">
        <v>538</v>
      </c>
      <c r="N15" s="29" t="s">
        <v>78</v>
      </c>
      <c r="O15" s="24" t="s">
        <v>349</v>
      </c>
      <c r="P15" s="24"/>
      <c r="Q15" s="24" t="s">
        <v>350</v>
      </c>
    </row>
    <row r="16" customFormat="false" ht="19.5" hidden="false" customHeight="true" outlineLevel="0" collapsed="false">
      <c r="A16" s="22" t="s">
        <v>329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</row>
    <row r="17" customFormat="false" ht="22.35" hidden="false" customHeight="false" outlineLevel="1" collapsed="false">
      <c r="A17" s="24" t="s">
        <v>330</v>
      </c>
      <c r="B17" s="25" t="s">
        <v>232</v>
      </c>
      <c r="C17" s="24" t="s">
        <v>506</v>
      </c>
      <c r="D17" s="26" t="s">
        <v>677</v>
      </c>
      <c r="E17" s="24" t="s">
        <v>73</v>
      </c>
      <c r="F17" s="24" t="s">
        <v>678</v>
      </c>
      <c r="G17" s="24" t="s">
        <v>330</v>
      </c>
      <c r="H17" s="24" t="s">
        <v>75</v>
      </c>
      <c r="I17" s="31" t="s">
        <v>43</v>
      </c>
      <c r="J17" s="27" t="s">
        <v>36</v>
      </c>
      <c r="K17" s="31" t="s">
        <v>43</v>
      </c>
      <c r="L17" s="24" t="s">
        <v>672</v>
      </c>
      <c r="M17" s="28" t="s">
        <v>679</v>
      </c>
      <c r="N17" s="25" t="s">
        <v>88</v>
      </c>
      <c r="O17" s="24" t="s">
        <v>89</v>
      </c>
      <c r="P17" s="24"/>
      <c r="Q17" s="24"/>
    </row>
    <row r="18" customFormat="false" ht="32.8" hidden="false" customHeight="false" outlineLevel="1" collapsed="false">
      <c r="A18" s="24" t="s">
        <v>330</v>
      </c>
      <c r="B18" s="25" t="s">
        <v>232</v>
      </c>
      <c r="C18" s="24" t="s">
        <v>506</v>
      </c>
      <c r="D18" s="26" t="s">
        <v>680</v>
      </c>
      <c r="E18" s="24" t="s">
        <v>73</v>
      </c>
      <c r="F18" s="24" t="s">
        <v>73</v>
      </c>
      <c r="G18" s="24" t="s">
        <v>330</v>
      </c>
      <c r="H18" s="24" t="s">
        <v>75</v>
      </c>
      <c r="I18" s="31" t="s">
        <v>43</v>
      </c>
      <c r="J18" s="32" t="s">
        <v>25</v>
      </c>
      <c r="K18" s="31" t="s">
        <v>43</v>
      </c>
      <c r="L18" s="24" t="s">
        <v>676</v>
      </c>
      <c r="M18" s="28" t="s">
        <v>542</v>
      </c>
      <c r="N18" s="29" t="s">
        <v>78</v>
      </c>
      <c r="O18" s="24" t="s">
        <v>349</v>
      </c>
      <c r="P18" s="24"/>
      <c r="Q18" s="24" t="s">
        <v>350</v>
      </c>
    </row>
    <row r="19" customFormat="false" ht="19.5" hidden="false" customHeight="true" outlineLevel="0" collapsed="false">
      <c r="A19" s="22" t="s">
        <v>375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</row>
    <row r="20" customFormat="false" ht="22.35" hidden="false" customHeight="false" outlineLevel="1" collapsed="false">
      <c r="A20" s="24" t="s">
        <v>376</v>
      </c>
      <c r="B20" s="25" t="s">
        <v>232</v>
      </c>
      <c r="C20" s="24" t="s">
        <v>506</v>
      </c>
      <c r="D20" s="26" t="s">
        <v>681</v>
      </c>
      <c r="E20" s="24" t="s">
        <v>73</v>
      </c>
      <c r="F20" s="24" t="s">
        <v>682</v>
      </c>
      <c r="G20" s="24" t="s">
        <v>376</v>
      </c>
      <c r="H20" s="24" t="s">
        <v>75</v>
      </c>
      <c r="I20" s="31" t="s">
        <v>43</v>
      </c>
      <c r="J20" s="31" t="s">
        <v>43</v>
      </c>
      <c r="K20" s="27" t="s">
        <v>36</v>
      </c>
      <c r="L20" s="24" t="s">
        <v>672</v>
      </c>
      <c r="M20" s="28" t="s">
        <v>470</v>
      </c>
      <c r="N20" s="25" t="s">
        <v>88</v>
      </c>
      <c r="O20" s="24" t="s">
        <v>89</v>
      </c>
      <c r="P20" s="24" t="s">
        <v>683</v>
      </c>
      <c r="Q20" s="24"/>
    </row>
    <row r="21" customFormat="false" ht="32.8" hidden="false" customHeight="false" outlineLevel="1" collapsed="false">
      <c r="A21" s="24" t="s">
        <v>376</v>
      </c>
      <c r="B21" s="25" t="s">
        <v>232</v>
      </c>
      <c r="C21" s="24" t="s">
        <v>506</v>
      </c>
      <c r="D21" s="26" t="s">
        <v>684</v>
      </c>
      <c r="E21" s="24" t="s">
        <v>73</v>
      </c>
      <c r="F21" s="24" t="s">
        <v>73</v>
      </c>
      <c r="G21" s="24" t="s">
        <v>376</v>
      </c>
      <c r="H21" s="24" t="s">
        <v>75</v>
      </c>
      <c r="I21" s="31" t="s">
        <v>43</v>
      </c>
      <c r="J21" s="31" t="s">
        <v>43</v>
      </c>
      <c r="K21" s="32" t="s">
        <v>25</v>
      </c>
      <c r="L21" s="24" t="s">
        <v>685</v>
      </c>
      <c r="M21" s="28" t="s">
        <v>470</v>
      </c>
      <c r="N21" s="29" t="s">
        <v>78</v>
      </c>
      <c r="O21" s="24" t="s">
        <v>349</v>
      </c>
      <c r="P21" s="24"/>
      <c r="Q21" s="24" t="s">
        <v>350</v>
      </c>
    </row>
    <row r="22" customFormat="false" ht="19.5" hidden="false" customHeight="true" outlineLevel="0" collapsed="false">
      <c r="A22" s="22" t="s">
        <v>412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</row>
    <row r="23" customFormat="false" ht="22.35" hidden="false" customHeight="false" outlineLevel="1" collapsed="false">
      <c r="A23" s="24" t="s">
        <v>413</v>
      </c>
      <c r="B23" s="25" t="s">
        <v>232</v>
      </c>
      <c r="C23" s="24" t="s">
        <v>414</v>
      </c>
      <c r="D23" s="26" t="s">
        <v>686</v>
      </c>
      <c r="E23" s="24" t="s">
        <v>425</v>
      </c>
      <c r="F23" s="24" t="s">
        <v>426</v>
      </c>
      <c r="G23" s="24" t="s">
        <v>413</v>
      </c>
      <c r="H23" s="24" t="s">
        <v>75</v>
      </c>
      <c r="I23" s="27" t="s">
        <v>36</v>
      </c>
      <c r="J23" s="31" t="s">
        <v>43</v>
      </c>
      <c r="K23" s="31" t="s">
        <v>43</v>
      </c>
      <c r="L23" s="24" t="s">
        <v>427</v>
      </c>
      <c r="M23" s="28" t="s">
        <v>428</v>
      </c>
      <c r="N23" s="25" t="s">
        <v>88</v>
      </c>
      <c r="O23" s="24" t="s">
        <v>89</v>
      </c>
      <c r="P23" s="24"/>
      <c r="Q23" s="24"/>
    </row>
    <row r="24" customFormat="false" ht="22.35" hidden="false" customHeight="false" outlineLevel="1" collapsed="false">
      <c r="A24" s="24" t="s">
        <v>413</v>
      </c>
      <c r="B24" s="25" t="s">
        <v>232</v>
      </c>
      <c r="C24" s="24" t="s">
        <v>506</v>
      </c>
      <c r="D24" s="26" t="s">
        <v>687</v>
      </c>
      <c r="E24" s="24" t="s">
        <v>73</v>
      </c>
      <c r="F24" s="24" t="s">
        <v>337</v>
      </c>
      <c r="G24" s="24" t="s">
        <v>413</v>
      </c>
      <c r="H24" s="24" t="s">
        <v>601</v>
      </c>
      <c r="I24" s="27" t="s">
        <v>36</v>
      </c>
      <c r="J24" s="31" t="s">
        <v>43</v>
      </c>
      <c r="K24" s="31" t="s">
        <v>43</v>
      </c>
      <c r="L24" s="24" t="s">
        <v>688</v>
      </c>
      <c r="M24" s="28" t="s">
        <v>689</v>
      </c>
      <c r="N24" s="25" t="s">
        <v>88</v>
      </c>
      <c r="O24" s="24" t="s">
        <v>89</v>
      </c>
      <c r="P24" s="24" t="s">
        <v>690</v>
      </c>
      <c r="Q24" s="24"/>
    </row>
    <row r="25" customFormat="false" ht="19.5" hidden="false" customHeight="true" outlineLevel="0" collapsed="false">
      <c r="A25" s="22" t="s">
        <v>436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</row>
    <row r="26" customFormat="false" ht="22.35" hidden="false" customHeight="false" outlineLevel="1" collapsed="false">
      <c r="A26" s="24" t="s">
        <v>437</v>
      </c>
      <c r="B26" s="25" t="s">
        <v>232</v>
      </c>
      <c r="C26" s="24" t="s">
        <v>414</v>
      </c>
      <c r="D26" s="26" t="s">
        <v>453</v>
      </c>
      <c r="E26" s="24" t="s">
        <v>73</v>
      </c>
      <c r="F26" s="24" t="s">
        <v>337</v>
      </c>
      <c r="G26" s="24" t="s">
        <v>437</v>
      </c>
      <c r="H26" s="24" t="s">
        <v>75</v>
      </c>
      <c r="I26" s="31" t="s">
        <v>43</v>
      </c>
      <c r="J26" s="27" t="s">
        <v>36</v>
      </c>
      <c r="K26" s="31" t="s">
        <v>43</v>
      </c>
      <c r="L26" s="24" t="s">
        <v>427</v>
      </c>
      <c r="M26" s="28" t="s">
        <v>454</v>
      </c>
      <c r="N26" s="25" t="s">
        <v>88</v>
      </c>
      <c r="O26" s="24" t="s">
        <v>89</v>
      </c>
      <c r="P26" s="24"/>
      <c r="Q26" s="24"/>
    </row>
    <row r="27" customFormat="false" ht="22.35" hidden="false" customHeight="false" outlineLevel="1" collapsed="false">
      <c r="A27" s="24" t="s">
        <v>437</v>
      </c>
      <c r="B27" s="25" t="s">
        <v>232</v>
      </c>
      <c r="C27" s="24" t="s">
        <v>438</v>
      </c>
      <c r="D27" s="26" t="s">
        <v>691</v>
      </c>
      <c r="E27" s="24" t="s">
        <v>73</v>
      </c>
      <c r="F27" s="24" t="s">
        <v>73</v>
      </c>
      <c r="G27" s="24" t="s">
        <v>437</v>
      </c>
      <c r="H27" s="24" t="s">
        <v>75</v>
      </c>
      <c r="I27" s="31" t="s">
        <v>43</v>
      </c>
      <c r="J27" s="32" t="s">
        <v>25</v>
      </c>
      <c r="K27" s="31" t="s">
        <v>43</v>
      </c>
      <c r="L27" s="24" t="s">
        <v>434</v>
      </c>
      <c r="M27" s="28" t="s">
        <v>629</v>
      </c>
      <c r="N27" s="29" t="s">
        <v>108</v>
      </c>
      <c r="O27" s="24" t="s">
        <v>349</v>
      </c>
      <c r="P27" s="24"/>
      <c r="Q27" s="24" t="s">
        <v>435</v>
      </c>
    </row>
    <row r="28" customFormat="false" ht="19.5" hidden="false" customHeight="true" outlineLevel="0" collapsed="false">
      <c r="A28" s="22" t="s">
        <v>460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</row>
    <row r="29" customFormat="false" ht="22.35" hidden="false" customHeight="false" outlineLevel="1" collapsed="false">
      <c r="A29" s="24" t="s">
        <v>461</v>
      </c>
      <c r="B29" s="25" t="s">
        <v>232</v>
      </c>
      <c r="C29" s="24" t="s">
        <v>91</v>
      </c>
      <c r="D29" s="26" t="s">
        <v>479</v>
      </c>
      <c r="E29" s="24" t="s">
        <v>73</v>
      </c>
      <c r="F29" s="24" t="s">
        <v>480</v>
      </c>
      <c r="G29" s="24" t="s">
        <v>461</v>
      </c>
      <c r="H29" s="24" t="s">
        <v>75</v>
      </c>
      <c r="I29" s="31" t="s">
        <v>43</v>
      </c>
      <c r="J29" s="31" t="s">
        <v>43</v>
      </c>
      <c r="K29" s="27" t="s">
        <v>36</v>
      </c>
      <c r="L29" s="24" t="s">
        <v>692</v>
      </c>
      <c r="M29" s="28" t="s">
        <v>482</v>
      </c>
      <c r="N29" s="25" t="s">
        <v>88</v>
      </c>
      <c r="O29" s="24" t="s">
        <v>89</v>
      </c>
      <c r="P29" s="24"/>
      <c r="Q29" s="24"/>
    </row>
    <row r="30" customFormat="false" ht="22.35" hidden="false" customHeight="false" outlineLevel="1" collapsed="false">
      <c r="A30" s="24" t="s">
        <v>461</v>
      </c>
      <c r="B30" s="25" t="s">
        <v>232</v>
      </c>
      <c r="C30" s="24" t="s">
        <v>414</v>
      </c>
      <c r="D30" s="26" t="s">
        <v>693</v>
      </c>
      <c r="E30" s="24" t="s">
        <v>73</v>
      </c>
      <c r="F30" s="24" t="s">
        <v>463</v>
      </c>
      <c r="G30" s="24" t="s">
        <v>461</v>
      </c>
      <c r="H30" s="24" t="s">
        <v>75</v>
      </c>
      <c r="I30" s="31" t="s">
        <v>43</v>
      </c>
      <c r="J30" s="31" t="s">
        <v>43</v>
      </c>
      <c r="K30" s="27" t="s">
        <v>36</v>
      </c>
      <c r="L30" s="24" t="s">
        <v>694</v>
      </c>
      <c r="M30" s="28" t="s">
        <v>465</v>
      </c>
      <c r="N30" s="25" t="s">
        <v>88</v>
      </c>
      <c r="O30" s="24" t="s">
        <v>89</v>
      </c>
      <c r="P30" s="24"/>
      <c r="Q30" s="24"/>
    </row>
    <row r="31" customFormat="false" ht="22.35" hidden="false" customHeight="false" outlineLevel="1" collapsed="false">
      <c r="A31" s="24" t="s">
        <v>461</v>
      </c>
      <c r="B31" s="25" t="s">
        <v>232</v>
      </c>
      <c r="C31" s="24" t="s">
        <v>438</v>
      </c>
      <c r="D31" s="26" t="s">
        <v>695</v>
      </c>
      <c r="E31" s="24" t="s">
        <v>73</v>
      </c>
      <c r="F31" s="24" t="s">
        <v>73</v>
      </c>
      <c r="G31" s="24" t="s">
        <v>461</v>
      </c>
      <c r="H31" s="24" t="s">
        <v>75</v>
      </c>
      <c r="I31" s="31" t="s">
        <v>43</v>
      </c>
      <c r="J31" s="31" t="s">
        <v>43</v>
      </c>
      <c r="K31" s="32" t="s">
        <v>25</v>
      </c>
      <c r="L31" s="24" t="s">
        <v>434</v>
      </c>
      <c r="M31" s="28" t="s">
        <v>478</v>
      </c>
      <c r="N31" s="29" t="s">
        <v>108</v>
      </c>
      <c r="O31" s="24" t="s">
        <v>349</v>
      </c>
      <c r="P31" s="24"/>
      <c r="Q31" s="24" t="s">
        <v>435</v>
      </c>
    </row>
    <row r="32" customFormat="false" ht="19.5" hidden="false" customHeight="true" outlineLevel="0" collapsed="false">
      <c r="A32" s="22" t="s">
        <v>568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</row>
    <row r="33" customFormat="false" ht="32.8" hidden="false" customHeight="false" outlineLevel="1" collapsed="false">
      <c r="A33" s="24" t="s">
        <v>569</v>
      </c>
      <c r="B33" s="25" t="s">
        <v>232</v>
      </c>
      <c r="C33" s="24" t="s">
        <v>570</v>
      </c>
      <c r="D33" s="26" t="s">
        <v>696</v>
      </c>
      <c r="E33" s="24" t="s">
        <v>73</v>
      </c>
      <c r="F33" s="24" t="s">
        <v>73</v>
      </c>
      <c r="G33" s="24" t="s">
        <v>638</v>
      </c>
      <c r="H33" s="34" t="s">
        <v>573</v>
      </c>
      <c r="I33" s="35" t="s">
        <v>41</v>
      </c>
      <c r="J33" s="35" t="s">
        <v>41</v>
      </c>
      <c r="K33" s="35" t="s">
        <v>41</v>
      </c>
      <c r="L33" s="24" t="s">
        <v>697</v>
      </c>
      <c r="M33" s="28" t="s">
        <v>575</v>
      </c>
      <c r="N33" s="29" t="s">
        <v>108</v>
      </c>
      <c r="O33" s="24" t="s">
        <v>230</v>
      </c>
      <c r="P33" s="24" t="s">
        <v>698</v>
      </c>
      <c r="Q33" s="24" t="s">
        <v>577</v>
      </c>
    </row>
    <row r="34" customFormat="false" ht="22.35" hidden="false" customHeight="false" outlineLevel="1" collapsed="false">
      <c r="A34" s="24" t="s">
        <v>569</v>
      </c>
      <c r="B34" s="25" t="s">
        <v>232</v>
      </c>
      <c r="C34" s="24" t="s">
        <v>570</v>
      </c>
      <c r="D34" s="26" t="s">
        <v>699</v>
      </c>
      <c r="E34" s="24" t="s">
        <v>73</v>
      </c>
      <c r="F34" s="24" t="s">
        <v>73</v>
      </c>
      <c r="G34" s="24" t="s">
        <v>700</v>
      </c>
      <c r="H34" s="34" t="s">
        <v>573</v>
      </c>
      <c r="I34" s="35" t="s">
        <v>41</v>
      </c>
      <c r="J34" s="35" t="s">
        <v>41</v>
      </c>
      <c r="K34" s="35" t="s">
        <v>41</v>
      </c>
      <c r="L34" s="24" t="s">
        <v>701</v>
      </c>
      <c r="M34" s="28" t="s">
        <v>575</v>
      </c>
      <c r="N34" s="29" t="s">
        <v>108</v>
      </c>
      <c r="O34" s="24" t="s">
        <v>349</v>
      </c>
      <c r="P34" s="24" t="s">
        <v>702</v>
      </c>
      <c r="Q34" s="24" t="s">
        <v>577</v>
      </c>
    </row>
  </sheetData>
  <autoFilter ref="A5:Q34"/>
  <hyperlinks>
    <hyperlink ref="M7" r:id="rId1" display="https://www.geo.admin.ch/"/>
    <hyperlink ref="M8" r:id="rId2" location="/map?lang=de&amp;center=2660000,1190000&amp;z=1&amp;bgLayer=ch.swisstopo.pixelkarte-grau&amp;layers=ch.bafu.gefahren-oberflaechenabfluss" display="https://map.geo.admin.ch/#/map?lang=de&amp;center=2660000,1190000&amp;z=1&amp;bgLayer=ch.swisstopo.pixelkarte-grau&amp;layers=ch.bafu.gefahren-oberflaechenabfluss"/>
    <hyperlink ref="M9" r:id="rId3" display="https://www.bafu.admin.ch"/>
    <hyperlink ref="M10" r:id="rId4" display="https://www.bafu.admin.ch"/>
    <hyperlink ref="M11" r:id="rId5" location="/map?lang=de&amp;center=2660000,1190000&amp;z=1&amp;bgLayer=ch.swisstopo.pixelkarte-grau&amp;layers=ch.bafu.gefahren-baugrundklassen" display="https://map.geo.admin.ch/#/map?lang=de&amp;center=2660000,1190000&amp;z=1&amp;bgLayer=ch.swisstopo.pixelkarte-grau&amp;layers=ch.bafu.gefahren-baugrundklassen"/>
    <hyperlink ref="M12" r:id="rId6" location="/map?lang=de&amp;center=2660000,1190000&amp;z=1&amp;bgLayer=ch.swisstopo.pixelkarte-grau&amp;layers=ch.bafu.laerm-strassenlaerm_tag" display="https://map.geo.admin.ch/#/map?lang=de&amp;center=2660000,1190000&amp;z=1&amp;bgLayer=ch.swisstopo.pixelkarte-grau&amp;layers=ch.bafu.laerm-strassenlaerm_tag"/>
    <hyperlink ref="M14" r:id="rId7" display="https://geoview.bl.ch/"/>
    <hyperlink ref="M15" r:id="rId8" display="https://geoview.bl.ch"/>
    <hyperlink ref="M17" r:id="rId9" display="https://www.geoportal.ch/ktsg/map/3502?y=2717572.22&amp;x=1252351.20&amp;scale=50000&amp;rotation=0"/>
    <hyperlink ref="M18" r:id="rId10" display="https://www.geoportal.ch/ktsg"/>
    <hyperlink ref="M20" r:id="rId11" display="https://geo.ur.ch/"/>
    <hyperlink ref="M21" r:id="rId12" display="https://geo.ur.ch/"/>
    <hyperlink ref="M23" r:id="rId13" display="https://www.muenchenstein.ch/_docn/5130739/TR_5.4_Abwasserreglement_vom_28._Oktober_2020_-_Stand_07.01.2021.pdf"/>
    <hyperlink ref="M24" r:id="rId14" display="https://www.geoportal.ch/muenchenstein/map/1037?y=2611563.50&amp;x=1263436.40&amp;scale=25000&amp;rotation=0"/>
    <hyperlink ref="M26" r:id="rId15" display="https://www.stadtwil.ch/storage/8ae27a52e6272acbe7a00ddad257f439fbae9a367f80166a75d97ea28f6771cf"/>
    <hyperlink ref="M27" r:id="rId16" display="https://www.stadtwil.ch"/>
    <hyperlink ref="M29" r:id="rId17" display="https://www.seelisberg.ch/files/pdf/Verordnung_%C3%BCber_die_Wasserversorgung.pdf"/>
    <hyperlink ref="M30" r:id="rId18" display="https://www.seelisberg.ch/files/pdf/Bau-und-Zonenordnung-Seelisberg.pdf"/>
    <hyperlink ref="M31" r:id="rId19" display="https://www.seelisberg.ch"/>
    <hyperlink ref="M33" r:id="rId20" display="https://www.fedlex.admin.ch"/>
    <hyperlink ref="M34" r:id="rId21" display="https://www.fedlex.admin.ch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1" width="16"/>
    <col collapsed="false" customWidth="true" hidden="false" outlineLevel="0" max="2" min="2" style="1" width="8"/>
    <col collapsed="false" customWidth="true" hidden="false" outlineLevel="0" max="3" min="3" style="1" width="14"/>
    <col collapsed="false" customWidth="true" hidden="false" outlineLevel="0" max="4" min="4" style="1" width="50"/>
    <col collapsed="false" customWidth="true" hidden="false" outlineLevel="0" max="5" min="5" style="1" width="17"/>
    <col collapsed="false" customWidth="true" hidden="false" outlineLevel="0" max="7" min="6" style="1" width="22"/>
    <col collapsed="false" customWidth="true" hidden="false" outlineLevel="0" max="8" min="8" style="1" width="14"/>
    <col collapsed="false" customWidth="true" hidden="false" outlineLevel="0" max="11" min="9" style="1" width="17"/>
    <col collapsed="false" customWidth="true" hidden="false" outlineLevel="0" max="12" min="12" style="1" width="44"/>
    <col collapsed="false" customWidth="true" hidden="false" outlineLevel="0" max="13" min="13" style="1" width="40"/>
    <col collapsed="false" customWidth="true" hidden="false" outlineLevel="0" max="14" min="14" style="1" width="14"/>
    <col collapsed="false" customWidth="true" hidden="false" outlineLevel="0" max="15" min="15" style="1" width="15"/>
    <col collapsed="false" customWidth="true" hidden="false" outlineLevel="0" max="16" min="16" style="1" width="52"/>
    <col collapsed="false" customWidth="true" hidden="false" outlineLevel="0" max="17" min="17" style="1" width="46"/>
  </cols>
  <sheetData>
    <row r="1" customFormat="false" ht="17.35" hidden="false" customHeight="false" outlineLevel="0" collapsed="false">
      <c r="A1" s="20" t="s">
        <v>703</v>
      </c>
    </row>
    <row r="2" customFormat="false" ht="15" hidden="false" customHeight="false" outlineLevel="0" collapsed="false">
      <c r="A2" s="3" t="s">
        <v>582</v>
      </c>
    </row>
    <row r="3" customFormat="false" ht="15" hidden="false" customHeight="false" outlineLevel="0" collapsed="false">
      <c r="A3" s="21" t="s">
        <v>49</v>
      </c>
    </row>
    <row r="5" customFormat="false" ht="31.5" hidden="false" customHeight="true" outlineLevel="0" collapsed="false">
      <c r="A5" s="7" t="s">
        <v>50</v>
      </c>
      <c r="B5" s="7" t="s">
        <v>51</v>
      </c>
      <c r="C5" s="7" t="s">
        <v>52</v>
      </c>
      <c r="D5" s="7" t="s">
        <v>53</v>
      </c>
      <c r="E5" s="7" t="s">
        <v>54</v>
      </c>
      <c r="F5" s="7" t="s">
        <v>55</v>
      </c>
      <c r="G5" s="7" t="s">
        <v>56</v>
      </c>
      <c r="H5" s="7" t="s">
        <v>57</v>
      </c>
      <c r="I5" s="7" t="s">
        <v>58</v>
      </c>
      <c r="J5" s="7" t="s">
        <v>59</v>
      </c>
      <c r="K5" s="7" t="s">
        <v>60</v>
      </c>
      <c r="L5" s="7" t="s">
        <v>61</v>
      </c>
      <c r="M5" s="7" t="s">
        <v>62</v>
      </c>
      <c r="N5" s="7" t="s">
        <v>63</v>
      </c>
      <c r="O5" s="7" t="s">
        <v>64</v>
      </c>
      <c r="P5" s="7" t="s">
        <v>65</v>
      </c>
      <c r="Q5" s="7" t="s">
        <v>66</v>
      </c>
    </row>
    <row r="6" customFormat="false" ht="19.5" hidden="false" customHeight="true" outlineLevel="0" collapsed="false">
      <c r="A6" s="22" t="s">
        <v>67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</row>
    <row r="7" customFormat="false" ht="22.35" hidden="false" customHeight="false" outlineLevel="1" collapsed="false">
      <c r="A7" s="24" t="s">
        <v>68</v>
      </c>
      <c r="B7" s="25" t="s">
        <v>317</v>
      </c>
      <c r="C7" s="24" t="s">
        <v>488</v>
      </c>
      <c r="D7" s="26" t="s">
        <v>704</v>
      </c>
      <c r="E7" s="24" t="s">
        <v>705</v>
      </c>
      <c r="F7" s="24" t="s">
        <v>706</v>
      </c>
      <c r="G7" s="24" t="s">
        <v>707</v>
      </c>
      <c r="H7" s="24" t="s">
        <v>75</v>
      </c>
      <c r="I7" s="27" t="s">
        <v>36</v>
      </c>
      <c r="J7" s="27" t="s">
        <v>36</v>
      </c>
      <c r="K7" s="27" t="s">
        <v>36</v>
      </c>
      <c r="L7" s="24" t="s">
        <v>708</v>
      </c>
      <c r="M7" s="28" t="s">
        <v>709</v>
      </c>
      <c r="N7" s="29" t="s">
        <v>78</v>
      </c>
      <c r="O7" s="24" t="s">
        <v>89</v>
      </c>
      <c r="P7" s="24" t="s">
        <v>710</v>
      </c>
      <c r="Q7" s="24"/>
    </row>
    <row r="8" customFormat="false" ht="32.8" hidden="false" customHeight="false" outlineLevel="1" collapsed="false">
      <c r="A8" s="24" t="s">
        <v>68</v>
      </c>
      <c r="B8" s="25" t="s">
        <v>317</v>
      </c>
      <c r="C8" s="24" t="s">
        <v>488</v>
      </c>
      <c r="D8" s="26" t="s">
        <v>711</v>
      </c>
      <c r="E8" s="24" t="s">
        <v>712</v>
      </c>
      <c r="F8" s="24" t="s">
        <v>73</v>
      </c>
      <c r="G8" s="24" t="s">
        <v>713</v>
      </c>
      <c r="H8" s="24" t="s">
        <v>75</v>
      </c>
      <c r="I8" s="33" t="s">
        <v>23</v>
      </c>
      <c r="J8" s="33" t="s">
        <v>23</v>
      </c>
      <c r="K8" s="33" t="s">
        <v>23</v>
      </c>
      <c r="L8" s="24" t="s">
        <v>714</v>
      </c>
      <c r="M8" s="28" t="s">
        <v>715</v>
      </c>
      <c r="N8" s="29" t="s">
        <v>78</v>
      </c>
      <c r="O8" s="24" t="s">
        <v>230</v>
      </c>
      <c r="P8" s="24"/>
      <c r="Q8" s="24" t="s">
        <v>495</v>
      </c>
    </row>
    <row r="9" customFormat="false" ht="32.8" hidden="false" customHeight="false" outlineLevel="1" collapsed="false">
      <c r="A9" s="24" t="s">
        <v>68</v>
      </c>
      <c r="B9" s="25" t="s">
        <v>317</v>
      </c>
      <c r="C9" s="24" t="s">
        <v>488</v>
      </c>
      <c r="D9" s="26" t="s">
        <v>716</v>
      </c>
      <c r="E9" s="24" t="s">
        <v>73</v>
      </c>
      <c r="F9" s="24" t="s">
        <v>73</v>
      </c>
      <c r="G9" s="24" t="s">
        <v>717</v>
      </c>
      <c r="H9" s="24" t="s">
        <v>75</v>
      </c>
      <c r="I9" s="33" t="s">
        <v>23</v>
      </c>
      <c r="J9" s="33" t="s">
        <v>23</v>
      </c>
      <c r="K9" s="33" t="s">
        <v>23</v>
      </c>
      <c r="L9" s="24" t="s">
        <v>718</v>
      </c>
      <c r="M9" s="28" t="s">
        <v>719</v>
      </c>
      <c r="N9" s="29" t="s">
        <v>78</v>
      </c>
      <c r="O9" s="24" t="s">
        <v>230</v>
      </c>
      <c r="P9" s="24"/>
      <c r="Q9" s="24" t="s">
        <v>495</v>
      </c>
    </row>
    <row r="10" customFormat="false" ht="32.8" hidden="false" customHeight="false" outlineLevel="1" collapsed="false">
      <c r="A10" s="24" t="s">
        <v>68</v>
      </c>
      <c r="B10" s="25" t="s">
        <v>317</v>
      </c>
      <c r="C10" s="24" t="s">
        <v>488</v>
      </c>
      <c r="D10" s="26" t="s">
        <v>720</v>
      </c>
      <c r="E10" s="24" t="s">
        <v>490</v>
      </c>
      <c r="F10" s="24" t="s">
        <v>73</v>
      </c>
      <c r="G10" s="24" t="s">
        <v>498</v>
      </c>
      <c r="H10" s="24" t="s">
        <v>75</v>
      </c>
      <c r="I10" s="33" t="s">
        <v>23</v>
      </c>
      <c r="J10" s="33" t="s">
        <v>23</v>
      </c>
      <c r="K10" s="33" t="s">
        <v>23</v>
      </c>
      <c r="L10" s="24" t="s">
        <v>721</v>
      </c>
      <c r="M10" s="28" t="s">
        <v>493</v>
      </c>
      <c r="N10" s="29" t="s">
        <v>78</v>
      </c>
      <c r="O10" s="24" t="s">
        <v>230</v>
      </c>
      <c r="P10" s="24"/>
      <c r="Q10" s="24" t="s">
        <v>495</v>
      </c>
    </row>
    <row r="11" customFormat="false" ht="22.35" hidden="false" customHeight="false" outlineLevel="1" collapsed="false">
      <c r="A11" s="24" t="s">
        <v>68</v>
      </c>
      <c r="B11" s="25" t="s">
        <v>317</v>
      </c>
      <c r="C11" s="24" t="s">
        <v>722</v>
      </c>
      <c r="D11" s="26" t="s">
        <v>723</v>
      </c>
      <c r="E11" s="24" t="s">
        <v>73</v>
      </c>
      <c r="F11" s="24" t="s">
        <v>73</v>
      </c>
      <c r="G11" s="24" t="s">
        <v>707</v>
      </c>
      <c r="H11" s="24" t="s">
        <v>75</v>
      </c>
      <c r="I11" s="27" t="s">
        <v>36</v>
      </c>
      <c r="J11" s="27" t="s">
        <v>36</v>
      </c>
      <c r="K11" s="27" t="s">
        <v>36</v>
      </c>
      <c r="L11" s="24" t="s">
        <v>724</v>
      </c>
      <c r="M11" s="28" t="s">
        <v>133</v>
      </c>
      <c r="N11" s="29" t="s">
        <v>108</v>
      </c>
      <c r="O11" s="24" t="s">
        <v>230</v>
      </c>
      <c r="P11" s="24"/>
      <c r="Q11" s="24" t="s">
        <v>110</v>
      </c>
    </row>
    <row r="12" customFormat="false" ht="19.5" hidden="false" customHeight="true" outlineLevel="0" collapsed="false">
      <c r="A12" s="22" t="s">
        <v>285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</row>
    <row r="13" customFormat="false" ht="22.35" hidden="false" customHeight="false" outlineLevel="1" collapsed="false">
      <c r="A13" s="24" t="s">
        <v>286</v>
      </c>
      <c r="B13" s="25" t="s">
        <v>317</v>
      </c>
      <c r="C13" s="24" t="s">
        <v>488</v>
      </c>
      <c r="D13" s="26" t="s">
        <v>725</v>
      </c>
      <c r="E13" s="24" t="s">
        <v>73</v>
      </c>
      <c r="F13" s="24" t="s">
        <v>337</v>
      </c>
      <c r="G13" s="24" t="s">
        <v>320</v>
      </c>
      <c r="H13" s="24" t="s">
        <v>75</v>
      </c>
      <c r="I13" s="27" t="s">
        <v>36</v>
      </c>
      <c r="J13" s="31" t="s">
        <v>43</v>
      </c>
      <c r="K13" s="31" t="s">
        <v>43</v>
      </c>
      <c r="L13" s="24" t="s">
        <v>726</v>
      </c>
      <c r="M13" s="28" t="s">
        <v>727</v>
      </c>
      <c r="N13" s="25" t="s">
        <v>88</v>
      </c>
      <c r="O13" s="24" t="s">
        <v>89</v>
      </c>
      <c r="P13" s="24" t="s">
        <v>455</v>
      </c>
      <c r="Q13" s="24"/>
    </row>
    <row r="14" customFormat="false" ht="32.8" hidden="false" customHeight="false" outlineLevel="1" collapsed="false">
      <c r="A14" s="24" t="s">
        <v>286</v>
      </c>
      <c r="B14" s="25" t="s">
        <v>317</v>
      </c>
      <c r="C14" s="24" t="s">
        <v>472</v>
      </c>
      <c r="D14" s="26" t="s">
        <v>728</v>
      </c>
      <c r="E14" s="24" t="s">
        <v>73</v>
      </c>
      <c r="F14" s="24" t="s">
        <v>73</v>
      </c>
      <c r="G14" s="24" t="s">
        <v>286</v>
      </c>
      <c r="H14" s="24" t="s">
        <v>75</v>
      </c>
      <c r="I14" s="32" t="s">
        <v>25</v>
      </c>
      <c r="J14" s="31" t="s">
        <v>43</v>
      </c>
      <c r="K14" s="31" t="s">
        <v>43</v>
      </c>
      <c r="L14" s="24" t="s">
        <v>729</v>
      </c>
      <c r="M14" s="28" t="s">
        <v>730</v>
      </c>
      <c r="N14" s="29" t="s">
        <v>108</v>
      </c>
      <c r="O14" s="24" t="s">
        <v>349</v>
      </c>
      <c r="P14" s="24"/>
      <c r="Q14" s="24" t="s">
        <v>350</v>
      </c>
    </row>
    <row r="15" customFormat="false" ht="19.5" hidden="false" customHeight="true" outlineLevel="0" collapsed="false">
      <c r="A15" s="22" t="s">
        <v>329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</row>
    <row r="16" customFormat="false" ht="32.8" hidden="false" customHeight="false" outlineLevel="1" collapsed="false">
      <c r="A16" s="24" t="s">
        <v>330</v>
      </c>
      <c r="B16" s="25" t="s">
        <v>317</v>
      </c>
      <c r="C16" s="24" t="s">
        <v>488</v>
      </c>
      <c r="D16" s="26" t="s">
        <v>731</v>
      </c>
      <c r="E16" s="24" t="s">
        <v>73</v>
      </c>
      <c r="F16" s="24" t="s">
        <v>73</v>
      </c>
      <c r="G16" s="24" t="s">
        <v>732</v>
      </c>
      <c r="H16" s="24" t="s">
        <v>75</v>
      </c>
      <c r="I16" s="31" t="s">
        <v>43</v>
      </c>
      <c r="J16" s="32" t="s">
        <v>25</v>
      </c>
      <c r="K16" s="31" t="s">
        <v>43</v>
      </c>
      <c r="L16" s="24" t="s">
        <v>733</v>
      </c>
      <c r="M16" s="28" t="s">
        <v>542</v>
      </c>
      <c r="N16" s="29" t="s">
        <v>78</v>
      </c>
      <c r="O16" s="24" t="s">
        <v>349</v>
      </c>
      <c r="P16" s="24" t="s">
        <v>734</v>
      </c>
      <c r="Q16" s="24" t="s">
        <v>350</v>
      </c>
    </row>
    <row r="17" customFormat="false" ht="19.5" hidden="false" customHeight="true" outlineLevel="0" collapsed="false">
      <c r="A17" s="22" t="s">
        <v>375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</row>
    <row r="18" customFormat="false" ht="22.35" hidden="false" customHeight="false" outlineLevel="1" collapsed="false">
      <c r="A18" s="24" t="s">
        <v>376</v>
      </c>
      <c r="B18" s="25" t="s">
        <v>317</v>
      </c>
      <c r="C18" s="24" t="s">
        <v>488</v>
      </c>
      <c r="D18" s="26" t="s">
        <v>735</v>
      </c>
      <c r="E18" s="24" t="s">
        <v>73</v>
      </c>
      <c r="F18" s="24" t="s">
        <v>547</v>
      </c>
      <c r="G18" s="24" t="s">
        <v>376</v>
      </c>
      <c r="H18" s="24" t="s">
        <v>75</v>
      </c>
      <c r="I18" s="31" t="s">
        <v>43</v>
      </c>
      <c r="J18" s="31" t="s">
        <v>43</v>
      </c>
      <c r="K18" s="27" t="s">
        <v>36</v>
      </c>
      <c r="L18" s="24" t="s">
        <v>726</v>
      </c>
      <c r="M18" s="28" t="s">
        <v>549</v>
      </c>
      <c r="N18" s="25" t="s">
        <v>88</v>
      </c>
      <c r="O18" s="24" t="s">
        <v>89</v>
      </c>
      <c r="P18" s="24"/>
      <c r="Q18" s="24"/>
    </row>
    <row r="19" customFormat="false" ht="22.35" hidden="false" customHeight="false" outlineLevel="1" collapsed="false">
      <c r="A19" s="24" t="s">
        <v>376</v>
      </c>
      <c r="B19" s="25" t="s">
        <v>317</v>
      </c>
      <c r="C19" s="24" t="s">
        <v>488</v>
      </c>
      <c r="D19" s="26" t="s">
        <v>736</v>
      </c>
      <c r="E19" s="24" t="s">
        <v>73</v>
      </c>
      <c r="F19" s="24" t="s">
        <v>547</v>
      </c>
      <c r="G19" s="24" t="s">
        <v>737</v>
      </c>
      <c r="H19" s="24" t="s">
        <v>75</v>
      </c>
      <c r="I19" s="31" t="s">
        <v>43</v>
      </c>
      <c r="J19" s="31" t="s">
        <v>43</v>
      </c>
      <c r="K19" s="27" t="s">
        <v>36</v>
      </c>
      <c r="L19" s="24" t="s">
        <v>738</v>
      </c>
      <c r="M19" s="28" t="s">
        <v>549</v>
      </c>
      <c r="N19" s="25" t="s">
        <v>88</v>
      </c>
      <c r="O19" s="24" t="s">
        <v>89</v>
      </c>
      <c r="P19" s="24"/>
      <c r="Q19" s="24"/>
    </row>
    <row r="20" customFormat="false" ht="19.5" hidden="false" customHeight="true" outlineLevel="0" collapsed="false">
      <c r="A20" s="22" t="s">
        <v>412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</row>
    <row r="21" customFormat="false" ht="22.35" hidden="false" customHeight="false" outlineLevel="1" collapsed="false">
      <c r="A21" s="24" t="s">
        <v>413</v>
      </c>
      <c r="B21" s="25" t="s">
        <v>317</v>
      </c>
      <c r="C21" s="24" t="s">
        <v>414</v>
      </c>
      <c r="D21" s="26" t="s">
        <v>739</v>
      </c>
      <c r="E21" s="24" t="s">
        <v>73</v>
      </c>
      <c r="F21" s="24" t="s">
        <v>416</v>
      </c>
      <c r="G21" s="24" t="s">
        <v>413</v>
      </c>
      <c r="H21" s="24" t="s">
        <v>75</v>
      </c>
      <c r="I21" s="27" t="s">
        <v>36</v>
      </c>
      <c r="J21" s="31" t="s">
        <v>43</v>
      </c>
      <c r="K21" s="31" t="s">
        <v>43</v>
      </c>
      <c r="L21" s="24" t="s">
        <v>740</v>
      </c>
      <c r="M21" s="28" t="s">
        <v>418</v>
      </c>
      <c r="N21" s="25" t="s">
        <v>88</v>
      </c>
      <c r="O21" s="24" t="s">
        <v>89</v>
      </c>
      <c r="P21" s="24" t="s">
        <v>741</v>
      </c>
      <c r="Q21" s="24"/>
    </row>
    <row r="22" customFormat="false" ht="22.35" hidden="false" customHeight="false" outlineLevel="1" collapsed="false">
      <c r="A22" s="24" t="s">
        <v>413</v>
      </c>
      <c r="B22" s="25" t="s">
        <v>317</v>
      </c>
      <c r="C22" s="24" t="s">
        <v>506</v>
      </c>
      <c r="D22" s="26" t="s">
        <v>742</v>
      </c>
      <c r="E22" s="24" t="s">
        <v>73</v>
      </c>
      <c r="F22" s="24" t="s">
        <v>73</v>
      </c>
      <c r="G22" s="24" t="s">
        <v>413</v>
      </c>
      <c r="H22" s="24" t="s">
        <v>75</v>
      </c>
      <c r="I22" s="32" t="s">
        <v>25</v>
      </c>
      <c r="J22" s="31" t="s">
        <v>43</v>
      </c>
      <c r="K22" s="31" t="s">
        <v>43</v>
      </c>
      <c r="L22" s="24" t="s">
        <v>557</v>
      </c>
      <c r="M22" s="28" t="s">
        <v>558</v>
      </c>
      <c r="N22" s="29" t="s">
        <v>78</v>
      </c>
      <c r="O22" s="24" t="s">
        <v>349</v>
      </c>
      <c r="P22" s="24"/>
      <c r="Q22" s="24" t="s">
        <v>435</v>
      </c>
    </row>
    <row r="23" customFormat="false" ht="19.5" hidden="false" customHeight="true" outlineLevel="0" collapsed="false">
      <c r="A23" s="22" t="s">
        <v>436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</row>
    <row r="24" customFormat="false" ht="22.35" hidden="false" customHeight="false" outlineLevel="1" collapsed="false">
      <c r="A24" s="24" t="s">
        <v>437</v>
      </c>
      <c r="B24" s="25" t="s">
        <v>317</v>
      </c>
      <c r="C24" s="24" t="s">
        <v>414</v>
      </c>
      <c r="D24" s="26" t="s">
        <v>743</v>
      </c>
      <c r="E24" s="24" t="s">
        <v>73</v>
      </c>
      <c r="F24" s="24" t="s">
        <v>447</v>
      </c>
      <c r="G24" s="24" t="s">
        <v>437</v>
      </c>
      <c r="H24" s="24" t="s">
        <v>75</v>
      </c>
      <c r="I24" s="31" t="s">
        <v>43</v>
      </c>
      <c r="J24" s="27" t="s">
        <v>36</v>
      </c>
      <c r="K24" s="31" t="s">
        <v>43</v>
      </c>
      <c r="L24" s="24" t="s">
        <v>430</v>
      </c>
      <c r="M24" s="28" t="s">
        <v>450</v>
      </c>
      <c r="N24" s="25" t="s">
        <v>88</v>
      </c>
      <c r="O24" s="24" t="s">
        <v>89</v>
      </c>
      <c r="P24" s="24"/>
      <c r="Q24" s="24"/>
    </row>
    <row r="25" customFormat="false" ht="22.35" hidden="false" customHeight="false" outlineLevel="1" collapsed="false">
      <c r="A25" s="24" t="s">
        <v>437</v>
      </c>
      <c r="B25" s="25" t="s">
        <v>317</v>
      </c>
      <c r="C25" s="24" t="s">
        <v>506</v>
      </c>
      <c r="D25" s="26" t="s">
        <v>744</v>
      </c>
      <c r="E25" s="24" t="s">
        <v>73</v>
      </c>
      <c r="F25" s="24" t="s">
        <v>73</v>
      </c>
      <c r="G25" s="24" t="s">
        <v>437</v>
      </c>
      <c r="H25" s="24" t="s">
        <v>75</v>
      </c>
      <c r="I25" s="31" t="s">
        <v>43</v>
      </c>
      <c r="J25" s="32" t="s">
        <v>25</v>
      </c>
      <c r="K25" s="31" t="s">
        <v>43</v>
      </c>
      <c r="L25" s="24" t="s">
        <v>557</v>
      </c>
      <c r="M25" s="28" t="s">
        <v>564</v>
      </c>
      <c r="N25" s="29" t="s">
        <v>78</v>
      </c>
      <c r="O25" s="24" t="s">
        <v>349</v>
      </c>
      <c r="P25" s="24"/>
      <c r="Q25" s="24" t="s">
        <v>435</v>
      </c>
    </row>
    <row r="26" customFormat="false" ht="19.5" hidden="false" customHeight="true" outlineLevel="0" collapsed="false">
      <c r="A26" s="22" t="s">
        <v>460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</row>
    <row r="27" customFormat="false" ht="22.35" hidden="false" customHeight="false" outlineLevel="1" collapsed="false">
      <c r="A27" s="24" t="s">
        <v>461</v>
      </c>
      <c r="B27" s="25" t="s">
        <v>317</v>
      </c>
      <c r="C27" s="24" t="s">
        <v>91</v>
      </c>
      <c r="D27" s="26" t="s">
        <v>429</v>
      </c>
      <c r="E27" s="24" t="s">
        <v>73</v>
      </c>
      <c r="F27" s="24" t="s">
        <v>484</v>
      </c>
      <c r="G27" s="24" t="s">
        <v>461</v>
      </c>
      <c r="H27" s="24" t="s">
        <v>75</v>
      </c>
      <c r="I27" s="31" t="s">
        <v>43</v>
      </c>
      <c r="J27" s="31" t="s">
        <v>43</v>
      </c>
      <c r="K27" s="27" t="s">
        <v>36</v>
      </c>
      <c r="L27" s="24" t="s">
        <v>430</v>
      </c>
      <c r="M27" s="28" t="s">
        <v>465</v>
      </c>
      <c r="N27" s="25" t="s">
        <v>88</v>
      </c>
      <c r="O27" s="24" t="s">
        <v>89</v>
      </c>
      <c r="P27" s="24" t="s">
        <v>745</v>
      </c>
      <c r="Q27" s="24"/>
    </row>
    <row r="28" customFormat="false" ht="22.35" hidden="false" customHeight="false" outlineLevel="1" collapsed="false">
      <c r="A28" s="24" t="s">
        <v>461</v>
      </c>
      <c r="B28" s="25" t="s">
        <v>317</v>
      </c>
      <c r="C28" s="24" t="s">
        <v>414</v>
      </c>
      <c r="D28" s="26" t="s">
        <v>746</v>
      </c>
      <c r="E28" s="24" t="s">
        <v>73</v>
      </c>
      <c r="F28" s="24" t="s">
        <v>463</v>
      </c>
      <c r="G28" s="24" t="s">
        <v>461</v>
      </c>
      <c r="H28" s="24" t="s">
        <v>75</v>
      </c>
      <c r="I28" s="31" t="s">
        <v>43</v>
      </c>
      <c r="J28" s="31" t="s">
        <v>43</v>
      </c>
      <c r="K28" s="27" t="s">
        <v>36</v>
      </c>
      <c r="L28" s="24" t="s">
        <v>747</v>
      </c>
      <c r="M28" s="28" t="s">
        <v>465</v>
      </c>
      <c r="N28" s="25" t="s">
        <v>88</v>
      </c>
      <c r="O28" s="24" t="s">
        <v>89</v>
      </c>
      <c r="P28" s="24"/>
      <c r="Q28" s="24"/>
    </row>
    <row r="29" customFormat="false" ht="19.5" hidden="false" customHeight="true" outlineLevel="0" collapsed="false">
      <c r="A29" s="22" t="s">
        <v>568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</row>
    <row r="30" customFormat="false" ht="22.35" hidden="false" customHeight="false" outlineLevel="1" collapsed="false">
      <c r="A30" s="24" t="s">
        <v>569</v>
      </c>
      <c r="B30" s="25" t="s">
        <v>317</v>
      </c>
      <c r="C30" s="24" t="s">
        <v>570</v>
      </c>
      <c r="D30" s="26" t="s">
        <v>748</v>
      </c>
      <c r="E30" s="24" t="s">
        <v>73</v>
      </c>
      <c r="F30" s="24" t="s">
        <v>73</v>
      </c>
      <c r="G30" s="24" t="s">
        <v>749</v>
      </c>
      <c r="H30" s="34" t="s">
        <v>573</v>
      </c>
      <c r="I30" s="35" t="s">
        <v>41</v>
      </c>
      <c r="J30" s="35" t="s">
        <v>41</v>
      </c>
      <c r="K30" s="35" t="s">
        <v>41</v>
      </c>
      <c r="L30" s="24" t="s">
        <v>750</v>
      </c>
      <c r="M30" s="28" t="s">
        <v>575</v>
      </c>
      <c r="N30" s="29" t="s">
        <v>108</v>
      </c>
      <c r="O30" s="24" t="s">
        <v>230</v>
      </c>
      <c r="P30" s="24" t="s">
        <v>751</v>
      </c>
      <c r="Q30" s="24" t="s">
        <v>577</v>
      </c>
    </row>
    <row r="31" customFormat="false" ht="22.35" hidden="false" customHeight="false" outlineLevel="1" collapsed="false">
      <c r="A31" s="24" t="s">
        <v>569</v>
      </c>
      <c r="B31" s="25" t="s">
        <v>317</v>
      </c>
      <c r="C31" s="24" t="s">
        <v>570</v>
      </c>
      <c r="D31" s="26" t="s">
        <v>752</v>
      </c>
      <c r="E31" s="24" t="s">
        <v>73</v>
      </c>
      <c r="F31" s="24" t="s">
        <v>73</v>
      </c>
      <c r="G31" s="24" t="s">
        <v>638</v>
      </c>
      <c r="H31" s="34" t="s">
        <v>573</v>
      </c>
      <c r="I31" s="35" t="s">
        <v>41</v>
      </c>
      <c r="J31" s="35" t="s">
        <v>41</v>
      </c>
      <c r="K31" s="35" t="s">
        <v>41</v>
      </c>
      <c r="L31" s="24" t="s">
        <v>753</v>
      </c>
      <c r="M31" s="28" t="s">
        <v>575</v>
      </c>
      <c r="N31" s="29" t="s">
        <v>108</v>
      </c>
      <c r="O31" s="24" t="s">
        <v>349</v>
      </c>
      <c r="P31" s="24" t="s">
        <v>754</v>
      </c>
      <c r="Q31" s="24" t="s">
        <v>577</v>
      </c>
    </row>
  </sheetData>
  <autoFilter ref="A5:Q31"/>
  <hyperlinks>
    <hyperlink ref="M7" r:id="rId1" location="/map?lang=de&amp;center=2660000,1190000&amp;z=1&amp;bgLayer=ch.swisstopo.pixelkarte-grau&amp;layers=ch.bak.bundesinventar-schuetzenswerte-ortsbilder" display="https://map.geo.admin.ch/#/map?lang=de&amp;center=2660000,1190000&amp;z=1&amp;bgLayer=ch.swisstopo.pixelkarte-grau&amp;layers=ch.bak.bundesinventar-schuetzenswerte-ortsbilder"/>
    <hyperlink ref="M8" r:id="rId2" location="/map?lang=de&amp;center=2660000,1190000&amp;z=1&amp;bgLayer=ch.swisstopo.pixelkarte-grau&amp;layers=ch.astra.ivs-nat" display="https://map.geo.admin.ch/#/map?lang=de&amp;center=2660000,1190000&amp;z=1&amp;bgLayer=ch.swisstopo.pixelkarte-grau&amp;layers=ch.astra.ivs-nat"/>
    <hyperlink ref="M9" r:id="rId3" location="/map?lang=de&amp;center=2660000,1190000&amp;z=1&amp;bgLayer=ch.swisstopo.pixelkarte-grau&amp;layers=ch.babs.kulturgueter" display="https://map.geo.admin.ch/#/map?lang=de&amp;center=2660000,1190000&amp;z=1&amp;bgLayer=ch.swisstopo.pixelkarte-grau&amp;layers=ch.babs.kulturgueter"/>
    <hyperlink ref="M10" r:id="rId4" location="/map?lang=de&amp;center=2660000,1190000&amp;z=1&amp;bgLayer=ch.swisstopo.pixelkarte-grau&amp;layers=ch.bafu.bundesinventare-bln" display="https://map.geo.admin.ch/#/map?lang=de&amp;center=2660000,1190000&amp;z=1&amp;bgLayer=ch.swisstopo.pixelkarte-grau&amp;layers=ch.bafu.bundesinventare-bln"/>
    <hyperlink ref="M11" r:id="rId5" display="https://www.bak.admin.ch"/>
    <hyperlink ref="M13" r:id="rId6" display="https://www.geoportal.ch/muenchenstein/map/912?y=2611965.69&amp;x=1263213.43&amp;scale=17500&amp;rotation=0"/>
    <hyperlink ref="M14" r:id="rId7" display="https://www.baselland.ch"/>
    <hyperlink ref="M16" r:id="rId8" display="https://www.geoportal.ch/ktsg"/>
    <hyperlink ref="M18" r:id="rId9" display="https://geo.ur.ch"/>
    <hyperlink ref="M19" r:id="rId10" display="https://geo.ur.ch"/>
    <hyperlink ref="M21" r:id="rId11" display="https://oereblex.bl.ch/api/attachments/22718"/>
    <hyperlink ref="M22" r:id="rId12" display="https://www.geoportal.ch/muenchenstein"/>
    <hyperlink ref="M24" r:id="rId13" display="https://cms.e-mitwirkung.ch/media/wil/Reglement_221013.pdf"/>
    <hyperlink ref="M25" r:id="rId14" display="https://www.geoportal.ch/wil_sg"/>
    <hyperlink ref="M27" r:id="rId15" display="https://www.seelisberg.ch/files/pdf/Bau-und-Zonenordnung-Seelisberg.pdf"/>
    <hyperlink ref="M28" r:id="rId16" display="https://www.seelisberg.ch/files/pdf/Bau-und-Zonenordnung-Seelisberg.pdf"/>
    <hyperlink ref="M30" r:id="rId17" display="https://www.fedlex.admin.ch"/>
    <hyperlink ref="M31" r:id="rId18" display="https://www.fedlex.admin.ch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9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1" width="16"/>
    <col collapsed="false" customWidth="true" hidden="false" outlineLevel="0" max="2" min="2" style="1" width="8"/>
    <col collapsed="false" customWidth="true" hidden="false" outlineLevel="0" max="3" min="3" style="1" width="14"/>
    <col collapsed="false" customWidth="true" hidden="false" outlineLevel="0" max="4" min="4" style="1" width="50"/>
    <col collapsed="false" customWidth="true" hidden="false" outlineLevel="0" max="5" min="5" style="1" width="17"/>
    <col collapsed="false" customWidth="true" hidden="false" outlineLevel="0" max="7" min="6" style="1" width="22"/>
    <col collapsed="false" customWidth="true" hidden="false" outlineLevel="0" max="8" min="8" style="1" width="14"/>
    <col collapsed="false" customWidth="true" hidden="false" outlineLevel="0" max="11" min="9" style="1" width="17"/>
    <col collapsed="false" customWidth="true" hidden="false" outlineLevel="0" max="12" min="12" style="1" width="44"/>
    <col collapsed="false" customWidth="true" hidden="false" outlineLevel="0" max="13" min="13" style="1" width="40"/>
    <col collapsed="false" customWidth="true" hidden="false" outlineLevel="0" max="14" min="14" style="1" width="14"/>
    <col collapsed="false" customWidth="true" hidden="false" outlineLevel="0" max="15" min="15" style="1" width="15"/>
    <col collapsed="false" customWidth="true" hidden="false" outlineLevel="0" max="16" min="16" style="1" width="52"/>
    <col collapsed="false" customWidth="true" hidden="false" outlineLevel="0" max="17" min="17" style="1" width="46"/>
  </cols>
  <sheetData>
    <row r="1" customFormat="false" ht="17.35" hidden="false" customHeight="false" outlineLevel="0" collapsed="false">
      <c r="A1" s="20" t="s">
        <v>755</v>
      </c>
    </row>
    <row r="2" customFormat="false" ht="15" hidden="false" customHeight="false" outlineLevel="0" collapsed="false">
      <c r="A2" s="3" t="s">
        <v>756</v>
      </c>
    </row>
    <row r="3" customFormat="false" ht="15" hidden="false" customHeight="false" outlineLevel="0" collapsed="false">
      <c r="A3" s="21" t="s">
        <v>49</v>
      </c>
    </row>
    <row r="5" customFormat="false" ht="31.5" hidden="false" customHeight="true" outlineLevel="0" collapsed="false">
      <c r="A5" s="7" t="s">
        <v>50</v>
      </c>
      <c r="B5" s="7" t="s">
        <v>51</v>
      </c>
      <c r="C5" s="7" t="s">
        <v>52</v>
      </c>
      <c r="D5" s="7" t="s">
        <v>53</v>
      </c>
      <c r="E5" s="7" t="s">
        <v>54</v>
      </c>
      <c r="F5" s="7" t="s">
        <v>55</v>
      </c>
      <c r="G5" s="7" t="s">
        <v>56</v>
      </c>
      <c r="H5" s="7" t="s">
        <v>57</v>
      </c>
      <c r="I5" s="7" t="s">
        <v>58</v>
      </c>
      <c r="J5" s="7" t="s">
        <v>59</v>
      </c>
      <c r="K5" s="7" t="s">
        <v>60</v>
      </c>
      <c r="L5" s="7" t="s">
        <v>61</v>
      </c>
      <c r="M5" s="7" t="s">
        <v>62</v>
      </c>
      <c r="N5" s="7" t="s">
        <v>63</v>
      </c>
      <c r="O5" s="7" t="s">
        <v>64</v>
      </c>
      <c r="P5" s="7" t="s">
        <v>65</v>
      </c>
      <c r="Q5" s="7" t="s">
        <v>66</v>
      </c>
    </row>
    <row r="6" customFormat="false" ht="19.5" hidden="false" customHeight="true" outlineLevel="0" collapsed="false">
      <c r="A6" s="22" t="s">
        <v>67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</row>
    <row r="7" customFormat="false" ht="22.35" hidden="false" customHeight="false" outlineLevel="1" collapsed="false">
      <c r="A7" s="24" t="s">
        <v>68</v>
      </c>
      <c r="B7" s="25" t="s">
        <v>239</v>
      </c>
      <c r="C7" s="24" t="s">
        <v>757</v>
      </c>
      <c r="D7" s="26" t="s">
        <v>758</v>
      </c>
      <c r="E7" s="24" t="s">
        <v>73</v>
      </c>
      <c r="F7" s="24" t="s">
        <v>73</v>
      </c>
      <c r="G7" s="24" t="s">
        <v>759</v>
      </c>
      <c r="H7" s="24" t="s">
        <v>75</v>
      </c>
      <c r="I7" s="27" t="s">
        <v>36</v>
      </c>
      <c r="J7" s="27" t="s">
        <v>36</v>
      </c>
      <c r="K7" s="27" t="s">
        <v>36</v>
      </c>
      <c r="L7" s="24" t="s">
        <v>760</v>
      </c>
      <c r="M7" s="28" t="s">
        <v>761</v>
      </c>
      <c r="N7" s="29" t="s">
        <v>78</v>
      </c>
      <c r="O7" s="24" t="s">
        <v>79</v>
      </c>
      <c r="P7" s="24" t="s">
        <v>762</v>
      </c>
      <c r="Q7" s="24"/>
    </row>
    <row r="8" customFormat="false" ht="22.35" hidden="false" customHeight="false" outlineLevel="1" collapsed="false">
      <c r="A8" s="24" t="s">
        <v>68</v>
      </c>
      <c r="B8" s="25" t="s">
        <v>239</v>
      </c>
      <c r="C8" s="24" t="s">
        <v>763</v>
      </c>
      <c r="D8" s="26" t="s">
        <v>764</v>
      </c>
      <c r="E8" s="24" t="s">
        <v>73</v>
      </c>
      <c r="F8" s="24" t="s">
        <v>73</v>
      </c>
      <c r="G8" s="24" t="s">
        <v>765</v>
      </c>
      <c r="H8" s="24" t="s">
        <v>75</v>
      </c>
      <c r="I8" s="27" t="s">
        <v>36</v>
      </c>
      <c r="J8" s="27" t="s">
        <v>36</v>
      </c>
      <c r="K8" s="27" t="s">
        <v>36</v>
      </c>
      <c r="L8" s="24" t="s">
        <v>766</v>
      </c>
      <c r="M8" s="28" t="s">
        <v>767</v>
      </c>
      <c r="N8" s="29" t="s">
        <v>108</v>
      </c>
      <c r="O8" s="24" t="s">
        <v>230</v>
      </c>
      <c r="P8" s="24"/>
      <c r="Q8" s="24" t="s">
        <v>110</v>
      </c>
    </row>
    <row r="9" customFormat="false" ht="22.35" hidden="false" customHeight="false" outlineLevel="1" collapsed="false">
      <c r="A9" s="24" t="s">
        <v>68</v>
      </c>
      <c r="B9" s="25" t="s">
        <v>239</v>
      </c>
      <c r="C9" s="24" t="s">
        <v>768</v>
      </c>
      <c r="D9" s="26" t="s">
        <v>769</v>
      </c>
      <c r="E9" s="24" t="s">
        <v>73</v>
      </c>
      <c r="F9" s="24" t="s">
        <v>73</v>
      </c>
      <c r="G9" s="24" t="s">
        <v>770</v>
      </c>
      <c r="H9" s="24" t="s">
        <v>606</v>
      </c>
      <c r="I9" s="27" t="s">
        <v>36</v>
      </c>
      <c r="J9" s="27" t="s">
        <v>36</v>
      </c>
      <c r="K9" s="27" t="s">
        <v>36</v>
      </c>
      <c r="L9" s="24" t="s">
        <v>771</v>
      </c>
      <c r="M9" s="28" t="s">
        <v>608</v>
      </c>
      <c r="N9" s="29" t="s">
        <v>108</v>
      </c>
      <c r="O9" s="24" t="s">
        <v>230</v>
      </c>
      <c r="P9" s="24" t="s">
        <v>772</v>
      </c>
      <c r="Q9" s="24" t="s">
        <v>110</v>
      </c>
    </row>
    <row r="10" customFormat="false" ht="19.5" hidden="false" customHeight="true" outlineLevel="0" collapsed="false">
      <c r="A10" s="22" t="s">
        <v>275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</row>
    <row r="11" customFormat="false" ht="22.35" hidden="false" customHeight="false" outlineLevel="1" collapsed="false">
      <c r="A11" s="24" t="s">
        <v>276</v>
      </c>
      <c r="B11" s="25" t="s">
        <v>239</v>
      </c>
      <c r="C11" s="24" t="s">
        <v>277</v>
      </c>
      <c r="D11" s="26" t="s">
        <v>773</v>
      </c>
      <c r="E11" s="24" t="s">
        <v>73</v>
      </c>
      <c r="F11" s="24" t="s">
        <v>774</v>
      </c>
      <c r="G11" s="24" t="s">
        <v>280</v>
      </c>
      <c r="H11" s="24" t="s">
        <v>75</v>
      </c>
      <c r="I11" s="27" t="s">
        <v>36</v>
      </c>
      <c r="J11" s="27" t="s">
        <v>36</v>
      </c>
      <c r="K11" s="27" t="s">
        <v>36</v>
      </c>
      <c r="L11" s="24" t="s">
        <v>775</v>
      </c>
      <c r="M11" s="28" t="s">
        <v>776</v>
      </c>
      <c r="N11" s="25" t="s">
        <v>88</v>
      </c>
      <c r="O11" s="24" t="s">
        <v>89</v>
      </c>
      <c r="P11" s="24" t="s">
        <v>777</v>
      </c>
      <c r="Q11" s="24"/>
    </row>
    <row r="12" customFormat="false" ht="22.35" hidden="false" customHeight="false" outlineLevel="1" collapsed="false">
      <c r="A12" s="24" t="s">
        <v>276</v>
      </c>
      <c r="B12" s="25" t="s">
        <v>239</v>
      </c>
      <c r="C12" s="24" t="s">
        <v>763</v>
      </c>
      <c r="D12" s="26" t="s">
        <v>778</v>
      </c>
      <c r="E12" s="24" t="s">
        <v>73</v>
      </c>
      <c r="F12" s="24" t="s">
        <v>73</v>
      </c>
      <c r="G12" s="24" t="s">
        <v>779</v>
      </c>
      <c r="H12" s="24" t="s">
        <v>75</v>
      </c>
      <c r="I12" s="32" t="s">
        <v>25</v>
      </c>
      <c r="J12" s="32" t="s">
        <v>25</v>
      </c>
      <c r="K12" s="32" t="s">
        <v>25</v>
      </c>
      <c r="L12" s="24" t="s">
        <v>780</v>
      </c>
      <c r="M12" s="28" t="s">
        <v>781</v>
      </c>
      <c r="N12" s="29" t="s">
        <v>108</v>
      </c>
      <c r="O12" s="24" t="s">
        <v>349</v>
      </c>
      <c r="P12" s="24"/>
      <c r="Q12" s="24" t="s">
        <v>110</v>
      </c>
    </row>
    <row r="13" customFormat="false" ht="19.5" hidden="false" customHeight="true" outlineLevel="0" collapsed="false">
      <c r="A13" s="22" t="s">
        <v>285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</row>
    <row r="14" customFormat="false" ht="22.35" hidden="false" customHeight="false" outlineLevel="1" collapsed="false">
      <c r="A14" s="24" t="s">
        <v>286</v>
      </c>
      <c r="B14" s="25" t="s">
        <v>239</v>
      </c>
      <c r="C14" s="24" t="s">
        <v>91</v>
      </c>
      <c r="D14" s="26" t="s">
        <v>782</v>
      </c>
      <c r="E14" s="24" t="s">
        <v>306</v>
      </c>
      <c r="F14" s="24" t="s">
        <v>307</v>
      </c>
      <c r="G14" s="24" t="s">
        <v>286</v>
      </c>
      <c r="H14" s="24" t="s">
        <v>75</v>
      </c>
      <c r="I14" s="27" t="s">
        <v>36</v>
      </c>
      <c r="J14" s="31" t="s">
        <v>43</v>
      </c>
      <c r="K14" s="31" t="s">
        <v>43</v>
      </c>
      <c r="L14" s="24" t="s">
        <v>783</v>
      </c>
      <c r="M14" s="28" t="s">
        <v>309</v>
      </c>
      <c r="N14" s="25" t="s">
        <v>88</v>
      </c>
      <c r="O14" s="24" t="s">
        <v>89</v>
      </c>
      <c r="P14" s="24"/>
      <c r="Q14" s="24"/>
    </row>
    <row r="15" customFormat="false" ht="32.8" hidden="false" customHeight="false" outlineLevel="1" collapsed="false">
      <c r="A15" s="24" t="s">
        <v>286</v>
      </c>
      <c r="B15" s="25" t="s">
        <v>239</v>
      </c>
      <c r="C15" s="24" t="s">
        <v>784</v>
      </c>
      <c r="D15" s="26" t="s">
        <v>785</v>
      </c>
      <c r="E15" s="24" t="s">
        <v>73</v>
      </c>
      <c r="F15" s="24" t="s">
        <v>73</v>
      </c>
      <c r="G15" s="24" t="s">
        <v>286</v>
      </c>
      <c r="H15" s="24" t="s">
        <v>75</v>
      </c>
      <c r="I15" s="32" t="s">
        <v>25</v>
      </c>
      <c r="J15" s="31" t="s">
        <v>43</v>
      </c>
      <c r="K15" s="31" t="s">
        <v>43</v>
      </c>
      <c r="L15" s="24" t="s">
        <v>786</v>
      </c>
      <c r="M15" s="28" t="s">
        <v>730</v>
      </c>
      <c r="N15" s="29" t="s">
        <v>108</v>
      </c>
      <c r="O15" s="24" t="s">
        <v>349</v>
      </c>
      <c r="P15" s="24"/>
      <c r="Q15" s="24" t="s">
        <v>350</v>
      </c>
    </row>
    <row r="16" customFormat="false" ht="32.8" hidden="false" customHeight="false" outlineLevel="1" collapsed="false">
      <c r="A16" s="24" t="s">
        <v>286</v>
      </c>
      <c r="B16" s="25" t="s">
        <v>239</v>
      </c>
      <c r="C16" s="24" t="s">
        <v>787</v>
      </c>
      <c r="D16" s="26" t="s">
        <v>788</v>
      </c>
      <c r="E16" s="24" t="s">
        <v>288</v>
      </c>
      <c r="F16" s="24" t="s">
        <v>289</v>
      </c>
      <c r="G16" s="24" t="s">
        <v>286</v>
      </c>
      <c r="H16" s="24" t="s">
        <v>75</v>
      </c>
      <c r="I16" s="32" t="s">
        <v>25</v>
      </c>
      <c r="J16" s="31" t="s">
        <v>43</v>
      </c>
      <c r="K16" s="31" t="s">
        <v>43</v>
      </c>
      <c r="L16" s="24" t="s">
        <v>789</v>
      </c>
      <c r="M16" s="28" t="s">
        <v>292</v>
      </c>
      <c r="N16" s="29" t="s">
        <v>78</v>
      </c>
      <c r="O16" s="24" t="s">
        <v>349</v>
      </c>
      <c r="P16" s="24" t="s">
        <v>790</v>
      </c>
      <c r="Q16" s="24" t="s">
        <v>350</v>
      </c>
    </row>
    <row r="17" customFormat="false" ht="19.5" hidden="false" customHeight="true" outlineLevel="0" collapsed="false">
      <c r="A17" s="22" t="s">
        <v>329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</row>
    <row r="18" customFormat="false" ht="32.8" hidden="false" customHeight="false" outlineLevel="1" collapsed="false">
      <c r="A18" s="24" t="s">
        <v>330</v>
      </c>
      <c r="B18" s="25" t="s">
        <v>239</v>
      </c>
      <c r="C18" s="24" t="s">
        <v>91</v>
      </c>
      <c r="D18" s="26" t="s">
        <v>791</v>
      </c>
      <c r="E18" s="24" t="s">
        <v>792</v>
      </c>
      <c r="F18" s="24" t="s">
        <v>337</v>
      </c>
      <c r="G18" s="24" t="s">
        <v>330</v>
      </c>
      <c r="H18" s="24" t="s">
        <v>75</v>
      </c>
      <c r="I18" s="31" t="s">
        <v>43</v>
      </c>
      <c r="J18" s="27" t="s">
        <v>36</v>
      </c>
      <c r="K18" s="31" t="s">
        <v>43</v>
      </c>
      <c r="L18" s="24" t="s">
        <v>783</v>
      </c>
      <c r="M18" s="28" t="s">
        <v>793</v>
      </c>
      <c r="N18" s="30" t="s">
        <v>794</v>
      </c>
      <c r="O18" s="24" t="s">
        <v>89</v>
      </c>
      <c r="P18" s="24"/>
      <c r="Q18" s="24"/>
    </row>
    <row r="19" customFormat="false" ht="32.8" hidden="false" customHeight="false" outlineLevel="1" collapsed="false">
      <c r="A19" s="24" t="s">
        <v>330</v>
      </c>
      <c r="B19" s="25" t="s">
        <v>239</v>
      </c>
      <c r="C19" s="24" t="s">
        <v>81</v>
      </c>
      <c r="D19" s="26" t="s">
        <v>351</v>
      </c>
      <c r="E19" s="24" t="s">
        <v>352</v>
      </c>
      <c r="F19" s="24" t="s">
        <v>369</v>
      </c>
      <c r="G19" s="24" t="s">
        <v>330</v>
      </c>
      <c r="H19" s="24" t="s">
        <v>75</v>
      </c>
      <c r="I19" s="31" t="s">
        <v>43</v>
      </c>
      <c r="J19" s="27" t="s">
        <v>36</v>
      </c>
      <c r="K19" s="31" t="s">
        <v>43</v>
      </c>
      <c r="L19" s="24" t="s">
        <v>373</v>
      </c>
      <c r="M19" s="28" t="s">
        <v>354</v>
      </c>
      <c r="N19" s="30" t="s">
        <v>245</v>
      </c>
      <c r="O19" s="24" t="s">
        <v>230</v>
      </c>
      <c r="P19" s="24"/>
      <c r="Q19" s="24"/>
    </row>
    <row r="20" customFormat="false" ht="32.8" hidden="false" customHeight="false" outlineLevel="1" collapsed="false">
      <c r="A20" s="24" t="s">
        <v>330</v>
      </c>
      <c r="B20" s="25" t="s">
        <v>239</v>
      </c>
      <c r="C20" s="24" t="s">
        <v>787</v>
      </c>
      <c r="D20" s="26" t="s">
        <v>795</v>
      </c>
      <c r="E20" s="24" t="s">
        <v>332</v>
      </c>
      <c r="F20" s="24" t="s">
        <v>333</v>
      </c>
      <c r="G20" s="24" t="s">
        <v>330</v>
      </c>
      <c r="H20" s="24" t="s">
        <v>75</v>
      </c>
      <c r="I20" s="31" t="s">
        <v>43</v>
      </c>
      <c r="J20" s="32" t="s">
        <v>25</v>
      </c>
      <c r="K20" s="31" t="s">
        <v>43</v>
      </c>
      <c r="L20" s="24" t="s">
        <v>789</v>
      </c>
      <c r="M20" s="28" t="s">
        <v>335</v>
      </c>
      <c r="N20" s="29" t="s">
        <v>78</v>
      </c>
      <c r="O20" s="24" t="s">
        <v>349</v>
      </c>
      <c r="P20" s="24"/>
      <c r="Q20" s="24" t="s">
        <v>350</v>
      </c>
    </row>
    <row r="21" customFormat="false" ht="19.5" hidden="false" customHeight="true" outlineLevel="0" collapsed="false">
      <c r="A21" s="22" t="s">
        <v>375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</row>
    <row r="22" customFormat="false" ht="22.35" hidden="false" customHeight="false" outlineLevel="1" collapsed="false">
      <c r="A22" s="24" t="s">
        <v>376</v>
      </c>
      <c r="B22" s="25" t="s">
        <v>239</v>
      </c>
      <c r="C22" s="24" t="s">
        <v>81</v>
      </c>
      <c r="D22" s="26" t="s">
        <v>396</v>
      </c>
      <c r="E22" s="24" t="s">
        <v>397</v>
      </c>
      <c r="F22" s="24" t="s">
        <v>398</v>
      </c>
      <c r="G22" s="24" t="s">
        <v>376</v>
      </c>
      <c r="H22" s="24" t="s">
        <v>75</v>
      </c>
      <c r="I22" s="31" t="s">
        <v>43</v>
      </c>
      <c r="J22" s="31" t="s">
        <v>43</v>
      </c>
      <c r="K22" s="27" t="s">
        <v>36</v>
      </c>
      <c r="L22" s="24" t="s">
        <v>796</v>
      </c>
      <c r="M22" s="28" t="s">
        <v>401</v>
      </c>
      <c r="N22" s="30" t="s">
        <v>402</v>
      </c>
      <c r="O22" s="24" t="s">
        <v>349</v>
      </c>
      <c r="P22" s="24" t="s">
        <v>403</v>
      </c>
      <c r="Q22" s="24"/>
    </row>
    <row r="23" customFormat="false" ht="32.8" hidden="false" customHeight="false" outlineLevel="1" collapsed="false">
      <c r="A23" s="24" t="s">
        <v>376</v>
      </c>
      <c r="B23" s="25" t="s">
        <v>239</v>
      </c>
      <c r="C23" s="24" t="s">
        <v>81</v>
      </c>
      <c r="D23" s="26" t="s">
        <v>404</v>
      </c>
      <c r="E23" s="24" t="s">
        <v>405</v>
      </c>
      <c r="F23" s="24" t="s">
        <v>406</v>
      </c>
      <c r="G23" s="24" t="s">
        <v>376</v>
      </c>
      <c r="H23" s="24" t="s">
        <v>75</v>
      </c>
      <c r="I23" s="31" t="s">
        <v>43</v>
      </c>
      <c r="J23" s="31" t="s">
        <v>43</v>
      </c>
      <c r="K23" s="27" t="s">
        <v>36</v>
      </c>
      <c r="L23" s="24" t="s">
        <v>796</v>
      </c>
      <c r="M23" s="28" t="s">
        <v>401</v>
      </c>
      <c r="N23" s="30" t="s">
        <v>402</v>
      </c>
      <c r="O23" s="24" t="s">
        <v>349</v>
      </c>
      <c r="P23" s="24" t="s">
        <v>407</v>
      </c>
      <c r="Q23" s="24"/>
    </row>
    <row r="24" customFormat="false" ht="22.35" hidden="false" customHeight="false" outlineLevel="1" collapsed="false">
      <c r="A24" s="24" t="s">
        <v>376</v>
      </c>
      <c r="B24" s="25" t="s">
        <v>239</v>
      </c>
      <c r="C24" s="24" t="s">
        <v>81</v>
      </c>
      <c r="D24" s="26" t="s">
        <v>408</v>
      </c>
      <c r="E24" s="24" t="s">
        <v>409</v>
      </c>
      <c r="F24" s="24" t="s">
        <v>410</v>
      </c>
      <c r="G24" s="24" t="s">
        <v>376</v>
      </c>
      <c r="H24" s="24" t="s">
        <v>75</v>
      </c>
      <c r="I24" s="31" t="s">
        <v>43</v>
      </c>
      <c r="J24" s="31" t="s">
        <v>43</v>
      </c>
      <c r="K24" s="27" t="s">
        <v>36</v>
      </c>
      <c r="L24" s="24" t="s">
        <v>796</v>
      </c>
      <c r="M24" s="28" t="s">
        <v>401</v>
      </c>
      <c r="N24" s="30" t="s">
        <v>402</v>
      </c>
      <c r="O24" s="24" t="s">
        <v>349</v>
      </c>
      <c r="P24" s="24" t="s">
        <v>411</v>
      </c>
      <c r="Q24" s="24"/>
    </row>
    <row r="25" customFormat="false" ht="32.8" hidden="false" customHeight="false" outlineLevel="1" collapsed="false">
      <c r="A25" s="24" t="s">
        <v>376</v>
      </c>
      <c r="B25" s="25" t="s">
        <v>239</v>
      </c>
      <c r="C25" s="24" t="s">
        <v>787</v>
      </c>
      <c r="D25" s="26" t="s">
        <v>797</v>
      </c>
      <c r="E25" s="24" t="s">
        <v>798</v>
      </c>
      <c r="F25" s="24" t="s">
        <v>398</v>
      </c>
      <c r="G25" s="24" t="s">
        <v>376</v>
      </c>
      <c r="H25" s="24" t="s">
        <v>75</v>
      </c>
      <c r="I25" s="31" t="s">
        <v>43</v>
      </c>
      <c r="J25" s="31" t="s">
        <v>43</v>
      </c>
      <c r="K25" s="32" t="s">
        <v>25</v>
      </c>
      <c r="L25" s="24" t="s">
        <v>789</v>
      </c>
      <c r="M25" s="28" t="s">
        <v>380</v>
      </c>
      <c r="N25" s="29" t="s">
        <v>78</v>
      </c>
      <c r="O25" s="24" t="s">
        <v>349</v>
      </c>
      <c r="P25" s="24" t="s">
        <v>799</v>
      </c>
      <c r="Q25" s="24" t="s">
        <v>350</v>
      </c>
    </row>
    <row r="26" customFormat="false" ht="19.5" hidden="false" customHeight="true" outlineLevel="0" collapsed="false">
      <c r="A26" s="22" t="s">
        <v>412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</row>
    <row r="27" customFormat="false" ht="22.35" hidden="false" customHeight="false" outlineLevel="1" collapsed="false">
      <c r="A27" s="24" t="s">
        <v>413</v>
      </c>
      <c r="B27" s="25" t="s">
        <v>239</v>
      </c>
      <c r="C27" s="24" t="s">
        <v>414</v>
      </c>
      <c r="D27" s="26" t="s">
        <v>800</v>
      </c>
      <c r="E27" s="24" t="s">
        <v>73</v>
      </c>
      <c r="F27" s="24" t="s">
        <v>73</v>
      </c>
      <c r="G27" s="24" t="s">
        <v>413</v>
      </c>
      <c r="H27" s="24" t="s">
        <v>75</v>
      </c>
      <c r="I27" s="32" t="s">
        <v>25</v>
      </c>
      <c r="J27" s="31" t="s">
        <v>43</v>
      </c>
      <c r="K27" s="31" t="s">
        <v>43</v>
      </c>
      <c r="L27" s="24" t="s">
        <v>801</v>
      </c>
      <c r="M27" s="28" t="s">
        <v>433</v>
      </c>
      <c r="N27" s="29" t="s">
        <v>108</v>
      </c>
      <c r="O27" s="24" t="s">
        <v>349</v>
      </c>
      <c r="P27" s="24" t="s">
        <v>434</v>
      </c>
      <c r="Q27" s="24" t="s">
        <v>435</v>
      </c>
    </row>
    <row r="28" customFormat="false" ht="22.35" hidden="false" customHeight="false" outlineLevel="1" collapsed="false">
      <c r="A28" s="24" t="s">
        <v>413</v>
      </c>
      <c r="B28" s="25" t="s">
        <v>239</v>
      </c>
      <c r="C28" s="24" t="s">
        <v>757</v>
      </c>
      <c r="D28" s="26" t="s">
        <v>802</v>
      </c>
      <c r="E28" s="24" t="s">
        <v>73</v>
      </c>
      <c r="F28" s="24" t="s">
        <v>73</v>
      </c>
      <c r="G28" s="24" t="s">
        <v>413</v>
      </c>
      <c r="H28" s="24" t="s">
        <v>75</v>
      </c>
      <c r="I28" s="32" t="s">
        <v>25</v>
      </c>
      <c r="J28" s="31" t="s">
        <v>43</v>
      </c>
      <c r="K28" s="31" t="s">
        <v>43</v>
      </c>
      <c r="L28" s="24" t="s">
        <v>803</v>
      </c>
      <c r="M28" s="28" t="s">
        <v>761</v>
      </c>
      <c r="N28" s="29" t="s">
        <v>78</v>
      </c>
      <c r="O28" s="24" t="s">
        <v>349</v>
      </c>
      <c r="P28" s="24"/>
      <c r="Q28" s="24" t="s">
        <v>435</v>
      </c>
    </row>
    <row r="29" customFormat="false" ht="19.5" hidden="false" customHeight="true" outlineLevel="0" collapsed="false">
      <c r="A29" s="22" t="s">
        <v>436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</row>
    <row r="30" customFormat="false" ht="22.35" hidden="false" customHeight="false" outlineLevel="1" collapsed="false">
      <c r="A30" s="24" t="s">
        <v>437</v>
      </c>
      <c r="B30" s="25" t="s">
        <v>239</v>
      </c>
      <c r="C30" s="24" t="s">
        <v>414</v>
      </c>
      <c r="D30" s="26" t="s">
        <v>456</v>
      </c>
      <c r="E30" s="24" t="s">
        <v>457</v>
      </c>
      <c r="F30" s="24" t="s">
        <v>337</v>
      </c>
      <c r="G30" s="24" t="s">
        <v>437</v>
      </c>
      <c r="H30" s="24" t="s">
        <v>75</v>
      </c>
      <c r="I30" s="31" t="s">
        <v>43</v>
      </c>
      <c r="J30" s="27" t="s">
        <v>36</v>
      </c>
      <c r="K30" s="31" t="s">
        <v>43</v>
      </c>
      <c r="L30" s="24" t="s">
        <v>804</v>
      </c>
      <c r="M30" s="28" t="s">
        <v>459</v>
      </c>
      <c r="N30" s="25" t="s">
        <v>88</v>
      </c>
      <c r="O30" s="24" t="s">
        <v>89</v>
      </c>
      <c r="P30" s="24" t="s">
        <v>805</v>
      </c>
      <c r="Q30" s="24"/>
    </row>
    <row r="31" customFormat="false" ht="22.35" hidden="false" customHeight="false" outlineLevel="1" collapsed="false">
      <c r="A31" s="24" t="s">
        <v>437</v>
      </c>
      <c r="B31" s="25" t="s">
        <v>239</v>
      </c>
      <c r="C31" s="24" t="s">
        <v>757</v>
      </c>
      <c r="D31" s="26" t="s">
        <v>806</v>
      </c>
      <c r="E31" s="24" t="s">
        <v>73</v>
      </c>
      <c r="F31" s="24" t="s">
        <v>73</v>
      </c>
      <c r="G31" s="24" t="s">
        <v>437</v>
      </c>
      <c r="H31" s="24" t="s">
        <v>75</v>
      </c>
      <c r="I31" s="31" t="s">
        <v>43</v>
      </c>
      <c r="J31" s="32" t="s">
        <v>25</v>
      </c>
      <c r="K31" s="31" t="s">
        <v>43</v>
      </c>
      <c r="L31" s="24" t="s">
        <v>803</v>
      </c>
      <c r="M31" s="28" t="s">
        <v>761</v>
      </c>
      <c r="N31" s="29" t="s">
        <v>78</v>
      </c>
      <c r="O31" s="24" t="s">
        <v>349</v>
      </c>
      <c r="P31" s="24"/>
      <c r="Q31" s="24" t="s">
        <v>435</v>
      </c>
    </row>
    <row r="32" customFormat="false" ht="19.5" hidden="false" customHeight="true" outlineLevel="0" collapsed="false">
      <c r="A32" s="22" t="s">
        <v>460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</row>
    <row r="33" customFormat="false" ht="22.35" hidden="false" customHeight="false" outlineLevel="1" collapsed="false">
      <c r="A33" s="24" t="s">
        <v>461</v>
      </c>
      <c r="B33" s="25" t="s">
        <v>239</v>
      </c>
      <c r="C33" s="24" t="s">
        <v>414</v>
      </c>
      <c r="D33" s="26" t="s">
        <v>800</v>
      </c>
      <c r="E33" s="24" t="s">
        <v>73</v>
      </c>
      <c r="F33" s="24" t="s">
        <v>73</v>
      </c>
      <c r="G33" s="24" t="s">
        <v>461</v>
      </c>
      <c r="H33" s="24" t="s">
        <v>75</v>
      </c>
      <c r="I33" s="31" t="s">
        <v>43</v>
      </c>
      <c r="J33" s="31" t="s">
        <v>43</v>
      </c>
      <c r="K33" s="32" t="s">
        <v>25</v>
      </c>
      <c r="L33" s="24" t="s">
        <v>801</v>
      </c>
      <c r="M33" s="28" t="s">
        <v>478</v>
      </c>
      <c r="N33" s="29" t="s">
        <v>108</v>
      </c>
      <c r="O33" s="24" t="s">
        <v>349</v>
      </c>
      <c r="P33" s="24" t="s">
        <v>434</v>
      </c>
      <c r="Q33" s="24" t="s">
        <v>435</v>
      </c>
    </row>
    <row r="34" customFormat="false" ht="22.35" hidden="false" customHeight="false" outlineLevel="1" collapsed="false">
      <c r="A34" s="24" t="s">
        <v>461</v>
      </c>
      <c r="B34" s="25" t="s">
        <v>239</v>
      </c>
      <c r="C34" s="24" t="s">
        <v>757</v>
      </c>
      <c r="D34" s="26" t="s">
        <v>807</v>
      </c>
      <c r="E34" s="24" t="s">
        <v>73</v>
      </c>
      <c r="F34" s="24" t="s">
        <v>73</v>
      </c>
      <c r="G34" s="24" t="s">
        <v>461</v>
      </c>
      <c r="H34" s="24" t="s">
        <v>75</v>
      </c>
      <c r="I34" s="31" t="s">
        <v>43</v>
      </c>
      <c r="J34" s="31" t="s">
        <v>43</v>
      </c>
      <c r="K34" s="32" t="s">
        <v>25</v>
      </c>
      <c r="L34" s="24" t="s">
        <v>803</v>
      </c>
      <c r="M34" s="28" t="s">
        <v>761</v>
      </c>
      <c r="N34" s="29" t="s">
        <v>78</v>
      </c>
      <c r="O34" s="24" t="s">
        <v>349</v>
      </c>
      <c r="P34" s="24"/>
      <c r="Q34" s="24" t="s">
        <v>435</v>
      </c>
    </row>
    <row r="35" customFormat="false" ht="19.5" hidden="false" customHeight="true" outlineLevel="0" collapsed="false">
      <c r="A35" s="22" t="s">
        <v>568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</row>
    <row r="36" customFormat="false" ht="22.35" hidden="false" customHeight="false" outlineLevel="1" collapsed="false">
      <c r="A36" s="24" t="s">
        <v>569</v>
      </c>
      <c r="B36" s="25" t="s">
        <v>239</v>
      </c>
      <c r="C36" s="24" t="s">
        <v>570</v>
      </c>
      <c r="D36" s="26" t="s">
        <v>808</v>
      </c>
      <c r="E36" s="24" t="s">
        <v>73</v>
      </c>
      <c r="F36" s="24" t="s">
        <v>73</v>
      </c>
      <c r="G36" s="24" t="s">
        <v>21</v>
      </c>
      <c r="H36" s="34" t="s">
        <v>573</v>
      </c>
      <c r="I36" s="35" t="s">
        <v>41</v>
      </c>
      <c r="J36" s="35" t="s">
        <v>41</v>
      </c>
      <c r="K36" s="35" t="s">
        <v>41</v>
      </c>
      <c r="L36" s="24" t="s">
        <v>809</v>
      </c>
      <c r="M36" s="28" t="s">
        <v>575</v>
      </c>
      <c r="N36" s="29" t="s">
        <v>108</v>
      </c>
      <c r="O36" s="24" t="s">
        <v>230</v>
      </c>
      <c r="P36" s="24" t="s">
        <v>810</v>
      </c>
      <c r="Q36" s="24" t="s">
        <v>577</v>
      </c>
    </row>
    <row r="37" customFormat="false" ht="22.35" hidden="false" customHeight="false" outlineLevel="1" collapsed="false">
      <c r="A37" s="24" t="s">
        <v>569</v>
      </c>
      <c r="B37" s="25" t="s">
        <v>239</v>
      </c>
      <c r="C37" s="24" t="s">
        <v>570</v>
      </c>
      <c r="D37" s="26" t="s">
        <v>811</v>
      </c>
      <c r="E37" s="24" t="s">
        <v>73</v>
      </c>
      <c r="F37" s="24" t="s">
        <v>73</v>
      </c>
      <c r="G37" s="24" t="s">
        <v>21</v>
      </c>
      <c r="H37" s="34" t="s">
        <v>573</v>
      </c>
      <c r="I37" s="35" t="s">
        <v>41</v>
      </c>
      <c r="J37" s="35" t="s">
        <v>41</v>
      </c>
      <c r="K37" s="35" t="s">
        <v>41</v>
      </c>
      <c r="L37" s="24" t="s">
        <v>812</v>
      </c>
      <c r="M37" s="28" t="s">
        <v>575</v>
      </c>
      <c r="N37" s="29" t="s">
        <v>108</v>
      </c>
      <c r="O37" s="24" t="s">
        <v>349</v>
      </c>
      <c r="P37" s="24" t="s">
        <v>813</v>
      </c>
      <c r="Q37" s="24" t="s">
        <v>577</v>
      </c>
    </row>
  </sheetData>
  <autoFilter ref="A5:Q37"/>
  <hyperlinks>
    <hyperlink ref="M7" r:id="rId1" display="https://www.simap.ch"/>
    <hyperlink ref="M8" r:id="rId2" display="https://www.kbob.admin.ch"/>
    <hyperlink ref="M9" r:id="rId3" display="https://www.sia.ch"/>
    <hyperlink ref="M11" r:id="rId4" display="https://www.bpuk.ch/fileadmin/Dokumente/bpuk/public/de/konkordate/ivoeb/INTERKANTONALE%2BVEREINBARUNG%2B%25c3%259cBER%2BDAS%2B%25c3%2596FFENTLICHE%2BBESCHAFFUNGSWESEN%2B%28IV%25c3%25b6B%29.pdf"/>
    <hyperlink ref="M12" r:id="rId5" display="https://www.bpuk.ch"/>
    <hyperlink ref="M14" r:id="rId6" display="https://bl.clex.ch/app/de/texts_of_law/420.11"/>
    <hyperlink ref="M15" r:id="rId7" display="https://www.baselland.ch"/>
    <hyperlink ref="M16" r:id="rId8" display="https://bl.clex.ch/app/de/texts_of_law/400"/>
    <hyperlink ref="M18" r:id="rId9" display="https://www.gesetzessammlung.sg.ch/app/de/texts_of_law/841.11"/>
    <hyperlink ref="M19" r:id="rId10" display="https://www.gesetzessammlung.sg.ch/app/de/texts_of_law/841.1"/>
    <hyperlink ref="M20" r:id="rId11" display="https://www.gesetzessammlung.sg.ch/data/731.1/de"/>
    <hyperlink ref="M22" r:id="rId12" display="https://www.ur.ch/_doc/337571"/>
    <hyperlink ref="M23" r:id="rId13" display="https://www.ur.ch/_doc/337571"/>
    <hyperlink ref="M24" r:id="rId14" display="https://www.ur.ch/_doc/337571"/>
    <hyperlink ref="M25" r:id="rId15" display="https://rechtsbuch.ur.ch/app/de/texts_of_law/40.1111"/>
    <hyperlink ref="M27" r:id="rId16" display="https://www.muenchenstein.ch"/>
    <hyperlink ref="M28" r:id="rId17" display="https://www.simap.ch"/>
    <hyperlink ref="M30" r:id="rId18" display="https://wil-sg.tlex.ch/app/de/texts_of_law/1.6-4"/>
    <hyperlink ref="M31" r:id="rId19" display="https://www.simap.ch"/>
    <hyperlink ref="M33" r:id="rId20" display="https://www.seelisberg.ch"/>
    <hyperlink ref="M34" r:id="rId21" display="https://www.simap.ch"/>
    <hyperlink ref="M36" r:id="rId22" display="https://www.fedlex.admin.ch"/>
    <hyperlink ref="M37" r:id="rId23" display="https://www.fedlex.admin.ch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4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50"/>
    <col collapsed="false" customWidth="true" hidden="false" outlineLevel="0" max="4" min="4" style="1" width="14"/>
    <col collapsed="false" customWidth="true" hidden="false" outlineLevel="0" max="5" min="5" style="1" width="38"/>
    <col collapsed="false" customWidth="true" hidden="false" outlineLevel="0" max="6" min="6" style="1" width="14"/>
    <col collapsed="false" customWidth="true" hidden="false" outlineLevel="0" max="7" min="7" style="1" width="16"/>
    <col collapsed="false" customWidth="true" hidden="false" outlineLevel="0" max="8" min="8" style="1" width="12"/>
    <col collapsed="false" customWidth="true" hidden="false" outlineLevel="0" max="9" min="9" style="1" width="16"/>
    <col collapsed="false" customWidth="true" hidden="false" outlineLevel="0" max="10" min="10" style="1" width="15"/>
    <col collapsed="false" customWidth="true" hidden="false" outlineLevel="0" max="11" min="11" style="1" width="13"/>
    <col collapsed="false" customWidth="true" hidden="false" outlineLevel="0" max="12" min="12" style="1" width="15"/>
    <col collapsed="false" customWidth="true" hidden="false" outlineLevel="0" max="13" min="13" style="1" width="52"/>
  </cols>
  <sheetData>
    <row r="1" customFormat="false" ht="17.35" hidden="false" customHeight="false" outlineLevel="0" collapsed="false">
      <c r="A1" s="20" t="s">
        <v>814</v>
      </c>
    </row>
    <row r="2" customFormat="false" ht="15" hidden="false" customHeight="false" outlineLevel="0" collapsed="false">
      <c r="A2" s="3" t="s">
        <v>815</v>
      </c>
    </row>
    <row r="4" customFormat="false" ht="31.5" hidden="false" customHeight="true" outlineLevel="0" collapsed="false">
      <c r="A4" s="7" t="s">
        <v>51</v>
      </c>
      <c r="B4" s="7" t="s">
        <v>816</v>
      </c>
      <c r="C4" s="7" t="s">
        <v>817</v>
      </c>
      <c r="D4" s="7" t="s">
        <v>818</v>
      </c>
      <c r="E4" s="7" t="s">
        <v>819</v>
      </c>
      <c r="F4" s="7" t="s">
        <v>820</v>
      </c>
      <c r="G4" s="7" t="s">
        <v>821</v>
      </c>
      <c r="H4" s="7" t="s">
        <v>822</v>
      </c>
      <c r="I4" s="7" t="s">
        <v>823</v>
      </c>
      <c r="J4" s="7" t="s">
        <v>824</v>
      </c>
      <c r="K4" s="7" t="s">
        <v>825</v>
      </c>
      <c r="L4" s="7" t="s">
        <v>826</v>
      </c>
      <c r="M4" s="7" t="s">
        <v>827</v>
      </c>
    </row>
    <row r="5" customFormat="false" ht="15" hidden="false" customHeight="false" outlineLevel="0" collapsed="false">
      <c r="A5" s="22" t="s">
        <v>828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</row>
    <row r="6" customFormat="false" ht="22.35" hidden="false" customHeight="false" outlineLevel="0" collapsed="false">
      <c r="A6" s="25" t="s">
        <v>139</v>
      </c>
      <c r="B6" s="24" t="s">
        <v>829</v>
      </c>
      <c r="C6" s="24" t="s">
        <v>830</v>
      </c>
      <c r="D6" s="24" t="s">
        <v>498</v>
      </c>
      <c r="E6" s="24" t="s">
        <v>831</v>
      </c>
      <c r="F6" s="36" t="s">
        <v>832</v>
      </c>
      <c r="G6" s="36" t="s">
        <v>29</v>
      </c>
      <c r="H6" s="36" t="s">
        <v>30</v>
      </c>
      <c r="I6" s="36" t="s">
        <v>31</v>
      </c>
      <c r="J6" s="37" t="s">
        <v>833</v>
      </c>
      <c r="K6" s="37" t="s">
        <v>833</v>
      </c>
      <c r="L6" s="37" t="s">
        <v>833</v>
      </c>
      <c r="M6" s="24"/>
    </row>
    <row r="7" customFormat="false" ht="15" hidden="false" customHeight="false" outlineLevel="0" collapsed="false">
      <c r="A7" s="25" t="s">
        <v>139</v>
      </c>
      <c r="B7" s="24" t="s">
        <v>829</v>
      </c>
      <c r="C7" s="24" t="s">
        <v>834</v>
      </c>
      <c r="D7" s="24" t="s">
        <v>498</v>
      </c>
      <c r="E7" s="24" t="s">
        <v>835</v>
      </c>
      <c r="F7" s="36" t="s">
        <v>832</v>
      </c>
      <c r="G7" s="36" t="s">
        <v>29</v>
      </c>
      <c r="H7" s="36" t="s">
        <v>30</v>
      </c>
      <c r="I7" s="36" t="s">
        <v>31</v>
      </c>
      <c r="J7" s="37" t="s">
        <v>833</v>
      </c>
      <c r="K7" s="37" t="s">
        <v>833</v>
      </c>
      <c r="L7" s="37" t="s">
        <v>833</v>
      </c>
      <c r="M7" s="24"/>
    </row>
    <row r="8" customFormat="false" ht="15" hidden="false" customHeight="false" outlineLevel="0" collapsed="false">
      <c r="A8" s="25" t="s">
        <v>139</v>
      </c>
      <c r="B8" s="24" t="s">
        <v>836</v>
      </c>
      <c r="C8" s="24" t="s">
        <v>837</v>
      </c>
      <c r="D8" s="24" t="s">
        <v>498</v>
      </c>
      <c r="E8" s="24" t="s">
        <v>838</v>
      </c>
      <c r="F8" s="36" t="s">
        <v>832</v>
      </c>
      <c r="G8" s="36" t="s">
        <v>29</v>
      </c>
      <c r="H8" s="36" t="s">
        <v>30</v>
      </c>
      <c r="I8" s="36" t="s">
        <v>31</v>
      </c>
      <c r="J8" s="37" t="s">
        <v>833</v>
      </c>
      <c r="K8" s="37" t="s">
        <v>833</v>
      </c>
      <c r="L8" s="37" t="s">
        <v>833</v>
      </c>
      <c r="M8" s="24"/>
    </row>
    <row r="9" customFormat="false" ht="15" hidden="false" customHeight="false" outlineLevel="0" collapsed="false">
      <c r="A9" s="25" t="s">
        <v>139</v>
      </c>
      <c r="B9" s="24" t="s">
        <v>836</v>
      </c>
      <c r="C9" s="24" t="s">
        <v>839</v>
      </c>
      <c r="D9" s="24" t="s">
        <v>498</v>
      </c>
      <c r="E9" s="24" t="s">
        <v>840</v>
      </c>
      <c r="F9" s="36" t="s">
        <v>832</v>
      </c>
      <c r="G9" s="36" t="s">
        <v>29</v>
      </c>
      <c r="H9" s="36" t="s">
        <v>30</v>
      </c>
      <c r="I9" s="36" t="s">
        <v>31</v>
      </c>
      <c r="J9" s="37" t="s">
        <v>833</v>
      </c>
      <c r="K9" s="37" t="s">
        <v>833</v>
      </c>
      <c r="L9" s="37" t="s">
        <v>833</v>
      </c>
      <c r="M9" s="24"/>
    </row>
    <row r="10" customFormat="false" ht="15" hidden="false" customHeight="false" outlineLevel="0" collapsed="false">
      <c r="A10" s="25" t="s">
        <v>139</v>
      </c>
      <c r="B10" s="24" t="s">
        <v>836</v>
      </c>
      <c r="C10" s="24" t="s">
        <v>841</v>
      </c>
      <c r="D10" s="24" t="s">
        <v>498</v>
      </c>
      <c r="E10" s="24" t="s">
        <v>842</v>
      </c>
      <c r="F10" s="36" t="s">
        <v>832</v>
      </c>
      <c r="G10" s="36" t="s">
        <v>29</v>
      </c>
      <c r="H10" s="36" t="s">
        <v>30</v>
      </c>
      <c r="I10" s="36" t="s">
        <v>31</v>
      </c>
      <c r="J10" s="37" t="s">
        <v>833</v>
      </c>
      <c r="K10" s="37" t="s">
        <v>833</v>
      </c>
      <c r="L10" s="37" t="s">
        <v>833</v>
      </c>
      <c r="M10" s="24"/>
    </row>
    <row r="11" customFormat="false" ht="15" hidden="false" customHeight="false" outlineLevel="0" collapsed="false">
      <c r="A11" s="25" t="s">
        <v>139</v>
      </c>
      <c r="B11" s="24" t="s">
        <v>836</v>
      </c>
      <c r="C11" s="24" t="s">
        <v>843</v>
      </c>
      <c r="D11" s="24" t="s">
        <v>498</v>
      </c>
      <c r="E11" s="24" t="s">
        <v>844</v>
      </c>
      <c r="F11" s="36" t="s">
        <v>832</v>
      </c>
      <c r="G11" s="36" t="s">
        <v>29</v>
      </c>
      <c r="H11" s="36" t="s">
        <v>30</v>
      </c>
      <c r="I11" s="36" t="s">
        <v>31</v>
      </c>
      <c r="J11" s="37" t="s">
        <v>833</v>
      </c>
      <c r="K11" s="37" t="s">
        <v>833</v>
      </c>
      <c r="L11" s="37" t="s">
        <v>833</v>
      </c>
      <c r="M11" s="24"/>
    </row>
    <row r="12" customFormat="false" ht="22.35" hidden="false" customHeight="false" outlineLevel="0" collapsed="false">
      <c r="A12" s="25" t="s">
        <v>139</v>
      </c>
      <c r="B12" s="24" t="s">
        <v>836</v>
      </c>
      <c r="C12" s="24" t="s">
        <v>845</v>
      </c>
      <c r="D12" s="24" t="s">
        <v>498</v>
      </c>
      <c r="E12" s="24" t="s">
        <v>846</v>
      </c>
      <c r="F12" s="36" t="s">
        <v>832</v>
      </c>
      <c r="G12" s="36" t="s">
        <v>29</v>
      </c>
      <c r="H12" s="36" t="s">
        <v>30</v>
      </c>
      <c r="I12" s="36" t="s">
        <v>31</v>
      </c>
      <c r="J12" s="37" t="s">
        <v>833</v>
      </c>
      <c r="K12" s="37" t="s">
        <v>833</v>
      </c>
      <c r="L12" s="37" t="s">
        <v>833</v>
      </c>
      <c r="M12" s="24"/>
    </row>
    <row r="13" customFormat="false" ht="15" hidden="false" customHeight="false" outlineLevel="0" collapsed="false">
      <c r="A13" s="25" t="s">
        <v>139</v>
      </c>
      <c r="B13" s="24" t="s">
        <v>836</v>
      </c>
      <c r="C13" s="24" t="s">
        <v>847</v>
      </c>
      <c r="D13" s="24" t="s">
        <v>498</v>
      </c>
      <c r="E13" s="24" t="s">
        <v>848</v>
      </c>
      <c r="F13" s="36" t="s">
        <v>832</v>
      </c>
      <c r="G13" s="36" t="s">
        <v>29</v>
      </c>
      <c r="H13" s="36" t="s">
        <v>30</v>
      </c>
      <c r="I13" s="36" t="s">
        <v>31</v>
      </c>
      <c r="J13" s="37" t="s">
        <v>833</v>
      </c>
      <c r="K13" s="37" t="s">
        <v>833</v>
      </c>
      <c r="L13" s="37" t="s">
        <v>833</v>
      </c>
      <c r="M13" s="24"/>
    </row>
    <row r="14" customFormat="false" ht="15" hidden="false" customHeight="false" outlineLevel="0" collapsed="false">
      <c r="A14" s="25" t="s">
        <v>139</v>
      </c>
      <c r="B14" s="24" t="s">
        <v>836</v>
      </c>
      <c r="C14" s="24" t="s">
        <v>849</v>
      </c>
      <c r="D14" s="24" t="s">
        <v>498</v>
      </c>
      <c r="E14" s="24" t="s">
        <v>850</v>
      </c>
      <c r="F14" s="36" t="s">
        <v>832</v>
      </c>
      <c r="G14" s="36" t="s">
        <v>29</v>
      </c>
      <c r="H14" s="36" t="s">
        <v>30</v>
      </c>
      <c r="I14" s="36" t="s">
        <v>31</v>
      </c>
      <c r="J14" s="37" t="s">
        <v>833</v>
      </c>
      <c r="K14" s="37" t="s">
        <v>833</v>
      </c>
      <c r="L14" s="37" t="s">
        <v>833</v>
      </c>
      <c r="M14" s="24" t="s">
        <v>851</v>
      </c>
    </row>
    <row r="15" customFormat="false" ht="15" hidden="false" customHeight="false" outlineLevel="0" collapsed="false">
      <c r="A15" s="25" t="s">
        <v>139</v>
      </c>
      <c r="B15" s="24" t="s">
        <v>836</v>
      </c>
      <c r="C15" s="24" t="s">
        <v>852</v>
      </c>
      <c r="D15" s="24" t="s">
        <v>498</v>
      </c>
      <c r="E15" s="24" t="s">
        <v>853</v>
      </c>
      <c r="F15" s="36" t="s">
        <v>832</v>
      </c>
      <c r="G15" s="36" t="s">
        <v>29</v>
      </c>
      <c r="H15" s="36" t="s">
        <v>30</v>
      </c>
      <c r="I15" s="36" t="s">
        <v>31</v>
      </c>
      <c r="J15" s="37" t="s">
        <v>833</v>
      </c>
      <c r="K15" s="37" t="s">
        <v>833</v>
      </c>
      <c r="L15" s="37" t="s">
        <v>833</v>
      </c>
      <c r="M15" s="24"/>
    </row>
    <row r="16" customFormat="false" ht="15" hidden="false" customHeight="false" outlineLevel="0" collapsed="false">
      <c r="A16" s="25" t="s">
        <v>139</v>
      </c>
      <c r="B16" s="24" t="s">
        <v>854</v>
      </c>
      <c r="C16" s="24" t="s">
        <v>855</v>
      </c>
      <c r="D16" s="24" t="s">
        <v>498</v>
      </c>
      <c r="E16" s="24" t="s">
        <v>856</v>
      </c>
      <c r="F16" s="36" t="s">
        <v>832</v>
      </c>
      <c r="G16" s="36" t="s">
        <v>29</v>
      </c>
      <c r="H16" s="36" t="s">
        <v>30</v>
      </c>
      <c r="I16" s="36" t="s">
        <v>31</v>
      </c>
      <c r="J16" s="37" t="s">
        <v>833</v>
      </c>
      <c r="K16" s="37" t="s">
        <v>833</v>
      </c>
      <c r="L16" s="37" t="s">
        <v>833</v>
      </c>
      <c r="M16" s="24"/>
    </row>
    <row r="17" customFormat="false" ht="15" hidden="false" customHeight="false" outlineLevel="0" collapsed="false">
      <c r="A17" s="25" t="s">
        <v>139</v>
      </c>
      <c r="B17" s="24" t="s">
        <v>854</v>
      </c>
      <c r="C17" s="24" t="s">
        <v>857</v>
      </c>
      <c r="D17" s="24" t="s">
        <v>498</v>
      </c>
      <c r="E17" s="24" t="s">
        <v>850</v>
      </c>
      <c r="F17" s="36" t="s">
        <v>832</v>
      </c>
      <c r="G17" s="36" t="s">
        <v>29</v>
      </c>
      <c r="H17" s="36" t="s">
        <v>30</v>
      </c>
      <c r="I17" s="36" t="s">
        <v>31</v>
      </c>
      <c r="J17" s="37" t="s">
        <v>833</v>
      </c>
      <c r="K17" s="37" t="s">
        <v>833</v>
      </c>
      <c r="L17" s="37" t="s">
        <v>833</v>
      </c>
      <c r="M17" s="24" t="s">
        <v>858</v>
      </c>
    </row>
    <row r="18" customFormat="false" ht="15" hidden="false" customHeight="false" outlineLevel="0" collapsed="false">
      <c r="A18" s="25" t="s">
        <v>859</v>
      </c>
      <c r="B18" s="24" t="s">
        <v>860</v>
      </c>
      <c r="C18" s="24" t="s">
        <v>861</v>
      </c>
      <c r="D18" s="24" t="s">
        <v>519</v>
      </c>
      <c r="E18" s="24" t="s">
        <v>862</v>
      </c>
      <c r="F18" s="36" t="s">
        <v>832</v>
      </c>
      <c r="G18" s="36" t="s">
        <v>29</v>
      </c>
      <c r="H18" s="36" t="s">
        <v>30</v>
      </c>
      <c r="I18" s="36" t="s">
        <v>31</v>
      </c>
      <c r="J18" s="37" t="s">
        <v>833</v>
      </c>
      <c r="K18" s="37" t="s">
        <v>833</v>
      </c>
      <c r="L18" s="37" t="s">
        <v>833</v>
      </c>
      <c r="M18" s="24"/>
    </row>
    <row r="19" customFormat="false" ht="15" hidden="false" customHeight="false" outlineLevel="0" collapsed="false">
      <c r="A19" s="25" t="s">
        <v>202</v>
      </c>
      <c r="B19" s="24" t="s">
        <v>863</v>
      </c>
      <c r="C19" s="24" t="s">
        <v>864</v>
      </c>
      <c r="D19" s="24" t="s">
        <v>588</v>
      </c>
      <c r="E19" s="24" t="s">
        <v>865</v>
      </c>
      <c r="F19" s="36" t="s">
        <v>832</v>
      </c>
      <c r="G19" s="36" t="s">
        <v>29</v>
      </c>
      <c r="H19" s="36" t="s">
        <v>30</v>
      </c>
      <c r="I19" s="36" t="s">
        <v>31</v>
      </c>
      <c r="J19" s="37" t="s">
        <v>833</v>
      </c>
      <c r="K19" s="37" t="s">
        <v>833</v>
      </c>
      <c r="L19" s="37" t="s">
        <v>833</v>
      </c>
      <c r="M19" s="24"/>
    </row>
    <row r="20" customFormat="false" ht="15" hidden="false" customHeight="false" outlineLevel="0" collapsed="false">
      <c r="A20" s="25" t="s">
        <v>202</v>
      </c>
      <c r="B20" s="24" t="s">
        <v>863</v>
      </c>
      <c r="C20" s="24" t="s">
        <v>866</v>
      </c>
      <c r="D20" s="24" t="s">
        <v>588</v>
      </c>
      <c r="E20" s="24" t="s">
        <v>867</v>
      </c>
      <c r="F20" s="36" t="s">
        <v>832</v>
      </c>
      <c r="G20" s="36" t="s">
        <v>29</v>
      </c>
      <c r="H20" s="36" t="s">
        <v>30</v>
      </c>
      <c r="I20" s="36" t="s">
        <v>31</v>
      </c>
      <c r="J20" s="37" t="s">
        <v>833</v>
      </c>
      <c r="K20" s="37" t="s">
        <v>833</v>
      </c>
      <c r="L20" s="37" t="s">
        <v>833</v>
      </c>
      <c r="M20" s="24"/>
    </row>
    <row r="21" customFormat="false" ht="15" hidden="false" customHeight="false" outlineLevel="0" collapsed="false">
      <c r="A21" s="25" t="s">
        <v>202</v>
      </c>
      <c r="B21" s="24" t="s">
        <v>863</v>
      </c>
      <c r="C21" s="24" t="s">
        <v>868</v>
      </c>
      <c r="D21" s="24" t="s">
        <v>597</v>
      </c>
      <c r="E21" s="24" t="s">
        <v>869</v>
      </c>
      <c r="F21" s="36" t="s">
        <v>832</v>
      </c>
      <c r="G21" s="36" t="s">
        <v>29</v>
      </c>
      <c r="H21" s="36" t="s">
        <v>30</v>
      </c>
      <c r="I21" s="36" t="s">
        <v>31</v>
      </c>
      <c r="J21" s="37" t="s">
        <v>833</v>
      </c>
      <c r="K21" s="37" t="s">
        <v>833</v>
      </c>
      <c r="L21" s="37" t="s">
        <v>833</v>
      </c>
      <c r="M21" s="24"/>
    </row>
    <row r="22" customFormat="false" ht="15" hidden="false" customHeight="false" outlineLevel="0" collapsed="false">
      <c r="A22" s="25" t="s">
        <v>202</v>
      </c>
      <c r="B22" s="24" t="s">
        <v>863</v>
      </c>
      <c r="C22" s="24" t="s">
        <v>870</v>
      </c>
      <c r="D22" s="24" t="s">
        <v>588</v>
      </c>
      <c r="E22" s="24" t="s">
        <v>850</v>
      </c>
      <c r="F22" s="36" t="s">
        <v>832</v>
      </c>
      <c r="G22" s="36" t="s">
        <v>29</v>
      </c>
      <c r="H22" s="36" t="s">
        <v>30</v>
      </c>
      <c r="I22" s="36" t="s">
        <v>31</v>
      </c>
      <c r="J22" s="37" t="s">
        <v>833</v>
      </c>
      <c r="K22" s="37" t="s">
        <v>833</v>
      </c>
      <c r="L22" s="37" t="s">
        <v>833</v>
      </c>
      <c r="M22" s="24" t="s">
        <v>871</v>
      </c>
    </row>
    <row r="23" customFormat="false" ht="15" hidden="false" customHeight="false" outlineLevel="0" collapsed="false">
      <c r="A23" s="25" t="s">
        <v>872</v>
      </c>
      <c r="B23" s="24" t="s">
        <v>873</v>
      </c>
      <c r="C23" s="24" t="s">
        <v>874</v>
      </c>
      <c r="D23" s="24" t="s">
        <v>519</v>
      </c>
      <c r="E23" s="24" t="s">
        <v>875</v>
      </c>
      <c r="F23" s="36" t="s">
        <v>832</v>
      </c>
      <c r="G23" s="36" t="s">
        <v>29</v>
      </c>
      <c r="H23" s="36" t="s">
        <v>30</v>
      </c>
      <c r="I23" s="36" t="s">
        <v>31</v>
      </c>
      <c r="J23" s="37" t="s">
        <v>833</v>
      </c>
      <c r="K23" s="37" t="s">
        <v>833</v>
      </c>
      <c r="L23" s="37" t="s">
        <v>833</v>
      </c>
      <c r="M23" s="24"/>
    </row>
    <row r="24" customFormat="false" ht="22.35" hidden="false" customHeight="false" outlineLevel="0" collapsed="false">
      <c r="A24" s="25" t="s">
        <v>232</v>
      </c>
      <c r="B24" s="24" t="s">
        <v>876</v>
      </c>
      <c r="C24" s="24" t="s">
        <v>877</v>
      </c>
      <c r="D24" s="24" t="s">
        <v>667</v>
      </c>
      <c r="E24" s="24" t="s">
        <v>850</v>
      </c>
      <c r="F24" s="36" t="s">
        <v>832</v>
      </c>
      <c r="G24" s="36" t="s">
        <v>29</v>
      </c>
      <c r="H24" s="36" t="s">
        <v>30</v>
      </c>
      <c r="I24" s="36" t="s">
        <v>31</v>
      </c>
      <c r="J24" s="37" t="s">
        <v>833</v>
      </c>
      <c r="K24" s="37" t="s">
        <v>833</v>
      </c>
      <c r="L24" s="37" t="s">
        <v>833</v>
      </c>
      <c r="M24" s="24" t="s">
        <v>878</v>
      </c>
    </row>
    <row r="25" customFormat="false" ht="15" hidden="false" customHeight="false" outlineLevel="0" collapsed="false">
      <c r="A25" s="25" t="s">
        <v>232</v>
      </c>
      <c r="B25" s="24" t="s">
        <v>879</v>
      </c>
      <c r="C25" s="24" t="s">
        <v>880</v>
      </c>
      <c r="D25" s="24" t="s">
        <v>649</v>
      </c>
      <c r="E25" s="24" t="s">
        <v>881</v>
      </c>
      <c r="F25" s="36" t="s">
        <v>832</v>
      </c>
      <c r="G25" s="36" t="s">
        <v>29</v>
      </c>
      <c r="H25" s="36" t="s">
        <v>30</v>
      </c>
      <c r="I25" s="36" t="s">
        <v>31</v>
      </c>
      <c r="J25" s="37" t="s">
        <v>833</v>
      </c>
      <c r="K25" s="37" t="s">
        <v>833</v>
      </c>
      <c r="L25" s="37" t="s">
        <v>833</v>
      </c>
      <c r="M25" s="24"/>
    </row>
    <row r="26" customFormat="false" ht="15" hidden="false" customHeight="false" outlineLevel="0" collapsed="false">
      <c r="A26" s="25" t="s">
        <v>232</v>
      </c>
      <c r="B26" s="24" t="s">
        <v>882</v>
      </c>
      <c r="C26" s="24" t="s">
        <v>883</v>
      </c>
      <c r="D26" s="24" t="s">
        <v>498</v>
      </c>
      <c r="E26" s="24" t="s">
        <v>884</v>
      </c>
      <c r="F26" s="36" t="s">
        <v>832</v>
      </c>
      <c r="G26" s="36" t="s">
        <v>29</v>
      </c>
      <c r="H26" s="36" t="s">
        <v>30</v>
      </c>
      <c r="I26" s="36" t="s">
        <v>31</v>
      </c>
      <c r="J26" s="37" t="s">
        <v>833</v>
      </c>
      <c r="K26" s="37" t="s">
        <v>833</v>
      </c>
      <c r="L26" s="37" t="s">
        <v>833</v>
      </c>
      <c r="M26" s="24"/>
    </row>
    <row r="27" customFormat="false" ht="15" hidden="false" customHeight="false" outlineLevel="0" collapsed="false">
      <c r="A27" s="25" t="s">
        <v>232</v>
      </c>
      <c r="B27" s="24" t="s">
        <v>885</v>
      </c>
      <c r="C27" s="24" t="s">
        <v>886</v>
      </c>
      <c r="D27" s="24" t="s">
        <v>498</v>
      </c>
      <c r="E27" s="24" t="s">
        <v>887</v>
      </c>
      <c r="F27" s="36" t="s">
        <v>832</v>
      </c>
      <c r="G27" s="36" t="s">
        <v>29</v>
      </c>
      <c r="H27" s="36" t="s">
        <v>30</v>
      </c>
      <c r="I27" s="36" t="s">
        <v>31</v>
      </c>
      <c r="J27" s="37" t="s">
        <v>833</v>
      </c>
      <c r="K27" s="37" t="s">
        <v>833</v>
      </c>
      <c r="L27" s="37" t="s">
        <v>833</v>
      </c>
      <c r="M27" s="24"/>
    </row>
    <row r="28" customFormat="false" ht="15" hidden="false" customHeight="false" outlineLevel="0" collapsed="false">
      <c r="A28" s="25" t="s">
        <v>232</v>
      </c>
      <c r="B28" s="24" t="s">
        <v>885</v>
      </c>
      <c r="C28" s="24" t="s">
        <v>888</v>
      </c>
      <c r="D28" s="24" t="s">
        <v>498</v>
      </c>
      <c r="E28" s="24" t="s">
        <v>889</v>
      </c>
      <c r="F28" s="36" t="s">
        <v>832</v>
      </c>
      <c r="G28" s="36" t="s">
        <v>29</v>
      </c>
      <c r="H28" s="36" t="s">
        <v>30</v>
      </c>
      <c r="I28" s="36" t="s">
        <v>31</v>
      </c>
      <c r="J28" s="37" t="s">
        <v>833</v>
      </c>
      <c r="K28" s="37" t="s">
        <v>833</v>
      </c>
      <c r="L28" s="37" t="s">
        <v>833</v>
      </c>
      <c r="M28" s="24"/>
    </row>
    <row r="29" customFormat="false" ht="15" hidden="false" customHeight="false" outlineLevel="0" collapsed="false">
      <c r="A29" s="25" t="s">
        <v>232</v>
      </c>
      <c r="B29" s="24" t="s">
        <v>890</v>
      </c>
      <c r="C29" s="24" t="s">
        <v>891</v>
      </c>
      <c r="D29" s="24" t="s">
        <v>667</v>
      </c>
      <c r="E29" s="24" t="s">
        <v>850</v>
      </c>
      <c r="F29" s="36" t="s">
        <v>832</v>
      </c>
      <c r="G29" s="36" t="s">
        <v>29</v>
      </c>
      <c r="H29" s="36" t="s">
        <v>30</v>
      </c>
      <c r="I29" s="36" t="s">
        <v>31</v>
      </c>
      <c r="J29" s="37" t="s">
        <v>833</v>
      </c>
      <c r="K29" s="37" t="s">
        <v>833</v>
      </c>
      <c r="L29" s="37" t="s">
        <v>833</v>
      </c>
      <c r="M29" s="24" t="s">
        <v>892</v>
      </c>
    </row>
    <row r="30" customFormat="false" ht="15" hidden="false" customHeight="false" outlineLevel="0" collapsed="false">
      <c r="A30" s="25" t="s">
        <v>232</v>
      </c>
      <c r="B30" s="24" t="s">
        <v>893</v>
      </c>
      <c r="C30" s="24" t="s">
        <v>894</v>
      </c>
      <c r="D30" s="24" t="s">
        <v>667</v>
      </c>
      <c r="E30" s="24" t="s">
        <v>850</v>
      </c>
      <c r="F30" s="36" t="s">
        <v>832</v>
      </c>
      <c r="G30" s="36" t="s">
        <v>29</v>
      </c>
      <c r="H30" s="36" t="s">
        <v>30</v>
      </c>
      <c r="I30" s="36" t="s">
        <v>31</v>
      </c>
      <c r="J30" s="37" t="s">
        <v>833</v>
      </c>
      <c r="K30" s="37" t="s">
        <v>833</v>
      </c>
      <c r="L30" s="37" t="s">
        <v>833</v>
      </c>
      <c r="M30" s="24" t="s">
        <v>895</v>
      </c>
    </row>
    <row r="31" customFormat="false" ht="15" hidden="false" customHeight="false" outlineLevel="0" collapsed="false">
      <c r="A31" s="25" t="s">
        <v>317</v>
      </c>
      <c r="B31" s="24" t="s">
        <v>896</v>
      </c>
      <c r="C31" s="24" t="s">
        <v>897</v>
      </c>
      <c r="D31" s="24" t="s">
        <v>707</v>
      </c>
      <c r="E31" s="24" t="s">
        <v>898</v>
      </c>
      <c r="F31" s="36" t="s">
        <v>832</v>
      </c>
      <c r="G31" s="36" t="s">
        <v>29</v>
      </c>
      <c r="H31" s="36" t="s">
        <v>30</v>
      </c>
      <c r="I31" s="36" t="s">
        <v>31</v>
      </c>
      <c r="J31" s="37" t="s">
        <v>833</v>
      </c>
      <c r="K31" s="37" t="s">
        <v>833</v>
      </c>
      <c r="L31" s="37" t="s">
        <v>833</v>
      </c>
      <c r="M31" s="24"/>
    </row>
    <row r="32" customFormat="false" ht="15" hidden="false" customHeight="false" outlineLevel="0" collapsed="false">
      <c r="A32" s="25" t="s">
        <v>317</v>
      </c>
      <c r="B32" s="24" t="s">
        <v>899</v>
      </c>
      <c r="C32" s="24" t="s">
        <v>900</v>
      </c>
      <c r="D32" s="24" t="s">
        <v>713</v>
      </c>
      <c r="E32" s="24" t="s">
        <v>901</v>
      </c>
      <c r="F32" s="36" t="s">
        <v>832</v>
      </c>
      <c r="G32" s="36" t="s">
        <v>29</v>
      </c>
      <c r="H32" s="36" t="s">
        <v>30</v>
      </c>
      <c r="I32" s="36" t="s">
        <v>31</v>
      </c>
      <c r="J32" s="37" t="s">
        <v>833</v>
      </c>
      <c r="K32" s="37" t="s">
        <v>833</v>
      </c>
      <c r="L32" s="37" t="s">
        <v>833</v>
      </c>
      <c r="M32" s="24"/>
    </row>
    <row r="33" customFormat="false" ht="15" hidden="false" customHeight="false" outlineLevel="0" collapsed="false">
      <c r="A33" s="25" t="s">
        <v>317</v>
      </c>
      <c r="B33" s="24" t="s">
        <v>902</v>
      </c>
      <c r="C33" s="24" t="s">
        <v>716</v>
      </c>
      <c r="D33" s="24" t="s">
        <v>717</v>
      </c>
      <c r="E33" s="24" t="s">
        <v>903</v>
      </c>
      <c r="F33" s="36" t="s">
        <v>832</v>
      </c>
      <c r="G33" s="36" t="s">
        <v>29</v>
      </c>
      <c r="H33" s="36" t="s">
        <v>30</v>
      </c>
      <c r="I33" s="36" t="s">
        <v>31</v>
      </c>
      <c r="J33" s="37" t="s">
        <v>833</v>
      </c>
      <c r="K33" s="37" t="s">
        <v>833</v>
      </c>
      <c r="L33" s="37" t="s">
        <v>833</v>
      </c>
      <c r="M33" s="24"/>
    </row>
    <row r="34" customFormat="false" ht="15" hidden="false" customHeight="false" outlineLevel="0" collapsed="false">
      <c r="A34" s="22" t="s">
        <v>904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</row>
    <row r="35" customFormat="false" ht="22.35" hidden="false" customHeight="false" outlineLevel="0" collapsed="false">
      <c r="A35" s="25" t="s">
        <v>232</v>
      </c>
      <c r="B35" s="24" t="s">
        <v>876</v>
      </c>
      <c r="C35" s="24" t="s">
        <v>905</v>
      </c>
      <c r="D35" s="24" t="s">
        <v>286</v>
      </c>
      <c r="E35" s="24" t="s">
        <v>850</v>
      </c>
      <c r="F35" s="25"/>
      <c r="G35" s="36" t="s">
        <v>29</v>
      </c>
      <c r="H35" s="25"/>
      <c r="I35" s="25"/>
      <c r="J35" s="37" t="s">
        <v>833</v>
      </c>
      <c r="K35" s="38" t="s">
        <v>43</v>
      </c>
      <c r="L35" s="38" t="s">
        <v>43</v>
      </c>
      <c r="M35" s="24" t="s">
        <v>906</v>
      </c>
    </row>
    <row r="36" customFormat="false" ht="22.35" hidden="false" customHeight="false" outlineLevel="0" collapsed="false">
      <c r="A36" s="25" t="s">
        <v>139</v>
      </c>
      <c r="B36" s="24" t="s">
        <v>907</v>
      </c>
      <c r="C36" s="24" t="s">
        <v>908</v>
      </c>
      <c r="D36" s="24" t="s">
        <v>286</v>
      </c>
      <c r="E36" s="24" t="s">
        <v>850</v>
      </c>
      <c r="F36" s="25"/>
      <c r="G36" s="36" t="s">
        <v>29</v>
      </c>
      <c r="H36" s="25"/>
      <c r="I36" s="25"/>
      <c r="J36" s="37" t="s">
        <v>833</v>
      </c>
      <c r="K36" s="38" t="s">
        <v>43</v>
      </c>
      <c r="L36" s="38" t="s">
        <v>43</v>
      </c>
      <c r="M36" s="24" t="s">
        <v>909</v>
      </c>
    </row>
    <row r="37" customFormat="false" ht="22.35" hidden="false" customHeight="false" outlineLevel="0" collapsed="false">
      <c r="A37" s="25" t="s">
        <v>139</v>
      </c>
      <c r="B37" s="24" t="s">
        <v>910</v>
      </c>
      <c r="C37" s="24" t="s">
        <v>911</v>
      </c>
      <c r="D37" s="24" t="s">
        <v>286</v>
      </c>
      <c r="E37" s="24" t="s">
        <v>850</v>
      </c>
      <c r="F37" s="25"/>
      <c r="G37" s="36" t="s">
        <v>29</v>
      </c>
      <c r="H37" s="25"/>
      <c r="I37" s="25"/>
      <c r="J37" s="37" t="s">
        <v>833</v>
      </c>
      <c r="K37" s="38" t="s">
        <v>43</v>
      </c>
      <c r="L37" s="38" t="s">
        <v>43</v>
      </c>
      <c r="M37" s="24" t="s">
        <v>912</v>
      </c>
    </row>
    <row r="38" customFormat="false" ht="15" hidden="false" customHeight="false" outlineLevel="0" collapsed="false">
      <c r="A38" s="25" t="s">
        <v>317</v>
      </c>
      <c r="B38" s="24" t="s">
        <v>913</v>
      </c>
      <c r="C38" s="24" t="s">
        <v>914</v>
      </c>
      <c r="D38" s="24" t="s">
        <v>915</v>
      </c>
      <c r="E38" s="24" t="s">
        <v>850</v>
      </c>
      <c r="F38" s="25"/>
      <c r="G38" s="36" t="s">
        <v>29</v>
      </c>
      <c r="H38" s="25"/>
      <c r="I38" s="25"/>
      <c r="J38" s="37" t="s">
        <v>833</v>
      </c>
      <c r="K38" s="38" t="s">
        <v>43</v>
      </c>
      <c r="L38" s="38" t="s">
        <v>43</v>
      </c>
      <c r="M38" s="24"/>
    </row>
    <row r="39" customFormat="false" ht="22.35" hidden="false" customHeight="false" outlineLevel="0" collapsed="false">
      <c r="A39" s="25" t="s">
        <v>232</v>
      </c>
      <c r="B39" s="24" t="s">
        <v>916</v>
      </c>
      <c r="C39" s="24" t="s">
        <v>917</v>
      </c>
      <c r="D39" s="24" t="s">
        <v>413</v>
      </c>
      <c r="E39" s="24" t="s">
        <v>850</v>
      </c>
      <c r="F39" s="25"/>
      <c r="G39" s="36" t="s">
        <v>29</v>
      </c>
      <c r="H39" s="25"/>
      <c r="I39" s="25"/>
      <c r="J39" s="37" t="s">
        <v>833</v>
      </c>
      <c r="K39" s="38" t="s">
        <v>43</v>
      </c>
      <c r="L39" s="38" t="s">
        <v>43</v>
      </c>
      <c r="M39" s="24" t="s">
        <v>918</v>
      </c>
    </row>
    <row r="40" customFormat="false" ht="15" hidden="false" customHeight="false" outlineLevel="0" collapsed="false">
      <c r="A40" s="25" t="s">
        <v>80</v>
      </c>
      <c r="B40" s="24" t="s">
        <v>919</v>
      </c>
      <c r="C40" s="24" t="s">
        <v>920</v>
      </c>
      <c r="D40" s="24" t="s">
        <v>437</v>
      </c>
      <c r="E40" s="24" t="s">
        <v>850</v>
      </c>
      <c r="F40" s="25"/>
      <c r="G40" s="25"/>
      <c r="H40" s="36" t="s">
        <v>30</v>
      </c>
      <c r="I40" s="25"/>
      <c r="J40" s="38" t="s">
        <v>43</v>
      </c>
      <c r="K40" s="37" t="s">
        <v>833</v>
      </c>
      <c r="L40" s="38" t="s">
        <v>43</v>
      </c>
      <c r="M40" s="24" t="s">
        <v>921</v>
      </c>
    </row>
    <row r="41" customFormat="false" ht="15" hidden="false" customHeight="false" outlineLevel="0" collapsed="false">
      <c r="A41" s="25" t="s">
        <v>232</v>
      </c>
      <c r="B41" s="24" t="s">
        <v>876</v>
      </c>
      <c r="C41" s="24" t="s">
        <v>922</v>
      </c>
      <c r="D41" s="24" t="s">
        <v>330</v>
      </c>
      <c r="E41" s="24" t="s">
        <v>850</v>
      </c>
      <c r="F41" s="25"/>
      <c r="G41" s="25"/>
      <c r="H41" s="36" t="s">
        <v>30</v>
      </c>
      <c r="I41" s="25"/>
      <c r="J41" s="38" t="s">
        <v>43</v>
      </c>
      <c r="K41" s="37" t="s">
        <v>833</v>
      </c>
      <c r="L41" s="38" t="s">
        <v>43</v>
      </c>
      <c r="M41" s="24" t="s">
        <v>923</v>
      </c>
    </row>
    <row r="42" customFormat="false" ht="15" hidden="false" customHeight="false" outlineLevel="0" collapsed="false">
      <c r="A42" s="25" t="s">
        <v>924</v>
      </c>
      <c r="B42" s="24" t="s">
        <v>925</v>
      </c>
      <c r="C42" s="24" t="s">
        <v>926</v>
      </c>
      <c r="D42" s="24" t="s">
        <v>330</v>
      </c>
      <c r="E42" s="24" t="s">
        <v>850</v>
      </c>
      <c r="F42" s="25"/>
      <c r="G42" s="25"/>
      <c r="H42" s="36" t="s">
        <v>30</v>
      </c>
      <c r="I42" s="25"/>
      <c r="J42" s="38" t="s">
        <v>43</v>
      </c>
      <c r="K42" s="37" t="s">
        <v>833</v>
      </c>
      <c r="L42" s="38" t="s">
        <v>43</v>
      </c>
      <c r="M42" s="24" t="s">
        <v>927</v>
      </c>
    </row>
    <row r="43" customFormat="false" ht="22.35" hidden="false" customHeight="false" outlineLevel="0" collapsed="false">
      <c r="A43" s="25" t="s">
        <v>928</v>
      </c>
      <c r="B43" s="24" t="s">
        <v>929</v>
      </c>
      <c r="C43" s="24" t="s">
        <v>930</v>
      </c>
      <c r="D43" s="24" t="s">
        <v>376</v>
      </c>
      <c r="E43" s="24" t="s">
        <v>850</v>
      </c>
      <c r="F43" s="25"/>
      <c r="G43" s="25"/>
      <c r="H43" s="25"/>
      <c r="I43" s="36" t="s">
        <v>31</v>
      </c>
      <c r="J43" s="38" t="s">
        <v>43</v>
      </c>
      <c r="K43" s="38" t="s">
        <v>43</v>
      </c>
      <c r="L43" s="37" t="s">
        <v>833</v>
      </c>
      <c r="M43" s="24" t="s">
        <v>931</v>
      </c>
    </row>
  </sheetData>
  <autoFilter ref="A4:M43"/>
  <dataValidations count="1">
    <dataValidation allowBlank="false" errorStyle="stop" operator="between" showDropDown="false" showErrorMessage="false" showInputMessage="false" sqref="J6:L33 J35:L43" type="list">
      <formula1>"offen,ja,nein,n. a."</formula1>
      <formula2>0</formula2>
    </dataValidation>
  </dataValidations>
  <hyperlinks>
    <hyperlink ref="F6" r:id="rId1" location="/map?lang=de&amp;center=2660000,1190000&amp;z=1&amp;bgLayer=ch.swisstopo.pixelkarte-grau&amp;layers=ch.bafu.bundesinventare-bln" display="CH-weit"/>
    <hyperlink ref="G6" r:id="rId2" location="/map?lang=de&amp;center=2613308,1263110&amp;z=9&amp;bgLayer=ch.swisstopo.pixelkarte-grau&amp;layers=ch.bafu.bundesinventare-bln" display="Münchenstein"/>
    <hyperlink ref="H6" r:id="rId3" location="/map?lang=de&amp;center=2721138,1258009&amp;z=9&amp;bgLayer=ch.swisstopo.pixelkarte-grau&amp;layers=ch.bafu.bundesinventare-bln" display="Wil"/>
    <hyperlink ref="I6" r:id="rId4" location="/map?lang=de&amp;center=2687333,1203124&amp;z=9&amp;bgLayer=ch.swisstopo.pixelkarte-grau&amp;layers=ch.bafu.bundesinventare-bln" display="Seelisberg"/>
    <hyperlink ref="F7" r:id="rId5" location="/map?lang=de&amp;center=2660000,1190000&amp;z=1&amp;bgLayer=ch.swisstopo.pixelkarte-grau&amp;layers=ch.bafu.bundesinventare-moorlandschaften" display="CH-weit"/>
    <hyperlink ref="G7" r:id="rId6" location="/map?lang=de&amp;center=2613308,1263110&amp;z=9&amp;bgLayer=ch.swisstopo.pixelkarte-grau&amp;layers=ch.bafu.bundesinventare-moorlandschaften" display="Münchenstein"/>
    <hyperlink ref="H7" r:id="rId7" location="/map?lang=de&amp;center=2721138,1258009&amp;z=9&amp;bgLayer=ch.swisstopo.pixelkarte-grau&amp;layers=ch.bafu.bundesinventare-moorlandschaften" display="Wil"/>
    <hyperlink ref="I7" r:id="rId8" location="/map?lang=de&amp;center=2687333,1203124&amp;z=9&amp;bgLayer=ch.swisstopo.pixelkarte-grau&amp;layers=ch.bafu.bundesinventare-moorlandschaften" display="Seelisberg"/>
    <hyperlink ref="F8" r:id="rId9" location="/map?lang=de&amp;center=2660000,1190000&amp;z=1&amp;bgLayer=ch.swisstopo.pixelkarte-grau&amp;layers=ch.bafu.bundesinventare-hochmoore" display="CH-weit"/>
    <hyperlink ref="G8" r:id="rId10" location="/map?lang=de&amp;center=2613308,1263110&amp;z=9&amp;bgLayer=ch.swisstopo.pixelkarte-grau&amp;layers=ch.bafu.bundesinventare-hochmoore" display="Münchenstein"/>
    <hyperlink ref="H8" r:id="rId11" location="/map?lang=de&amp;center=2721138,1258009&amp;z=9&amp;bgLayer=ch.swisstopo.pixelkarte-grau&amp;layers=ch.bafu.bundesinventare-hochmoore" display="Wil"/>
    <hyperlink ref="I8" r:id="rId12" location="/map?lang=de&amp;center=2687333,1203124&amp;z=9&amp;bgLayer=ch.swisstopo.pixelkarte-grau&amp;layers=ch.bafu.bundesinventare-hochmoore" display="Seelisberg"/>
    <hyperlink ref="F9" r:id="rId13" location="/map?lang=de&amp;center=2660000,1190000&amp;z=1&amp;bgLayer=ch.swisstopo.pixelkarte-grau&amp;layers=ch.bafu.bundesinventare-flachmoore" display="CH-weit"/>
    <hyperlink ref="G9" r:id="rId14" location="/map?lang=de&amp;center=2613308,1263110&amp;z=9&amp;bgLayer=ch.swisstopo.pixelkarte-grau&amp;layers=ch.bafu.bundesinventare-flachmoore" display="Münchenstein"/>
    <hyperlink ref="H9" r:id="rId15" location="/map?lang=de&amp;center=2721138,1258009&amp;z=9&amp;bgLayer=ch.swisstopo.pixelkarte-grau&amp;layers=ch.bafu.bundesinventare-flachmoore" display="Wil"/>
    <hyperlink ref="I9" r:id="rId16" location="/map?lang=de&amp;center=2687333,1203124&amp;z=9&amp;bgLayer=ch.swisstopo.pixelkarte-grau&amp;layers=ch.bafu.bundesinventare-flachmoore" display="Seelisberg"/>
    <hyperlink ref="F10" r:id="rId17" location="/map?lang=de&amp;center=2660000,1190000&amp;z=1&amp;bgLayer=ch.swisstopo.pixelkarte-grau&amp;layers=ch.bafu.bundesinventare-auen" display="CH-weit"/>
    <hyperlink ref="G10" r:id="rId18" location="/map?lang=de&amp;center=2613308,1263110&amp;z=9&amp;bgLayer=ch.swisstopo.pixelkarte-grau&amp;layers=ch.bafu.bundesinventare-auen" display="Münchenstein"/>
    <hyperlink ref="H10" r:id="rId19" location="/map?lang=de&amp;center=2721138,1258009&amp;z=9&amp;bgLayer=ch.swisstopo.pixelkarte-grau&amp;layers=ch.bafu.bundesinventare-auen" display="Wil"/>
    <hyperlink ref="I10" r:id="rId20" location="/map?lang=de&amp;center=2687333,1203124&amp;z=9&amp;bgLayer=ch.swisstopo.pixelkarte-grau&amp;layers=ch.bafu.bundesinventare-auen" display="Seelisberg"/>
    <hyperlink ref="F11" r:id="rId21" location="/map?lang=de&amp;center=2660000,1190000&amp;z=1&amp;bgLayer=ch.swisstopo.pixelkarte-grau&amp;layers=ch.bafu.bundesinventare-amphibien" display="CH-weit"/>
    <hyperlink ref="G11" r:id="rId22" location="/map?lang=de&amp;center=2613308,1263110&amp;z=9&amp;bgLayer=ch.swisstopo.pixelkarte-grau&amp;layers=ch.bafu.bundesinventare-amphibien" display="Münchenstein"/>
    <hyperlink ref="H11" r:id="rId23" location="/map?lang=de&amp;center=2721138,1258009&amp;z=9&amp;bgLayer=ch.swisstopo.pixelkarte-grau&amp;layers=ch.bafu.bundesinventare-amphibien" display="Wil"/>
    <hyperlink ref="I11" r:id="rId24" location="/map?lang=de&amp;center=2687333,1203124&amp;z=9&amp;bgLayer=ch.swisstopo.pixelkarte-grau&amp;layers=ch.bafu.bundesinventare-amphibien" display="Seelisberg"/>
    <hyperlink ref="F12" r:id="rId25" location="/map?lang=de&amp;center=2660000,1190000&amp;z=1&amp;bgLayer=ch.swisstopo.pixelkarte-grau&amp;layers=ch.bafu.bundesinventare-trockenwiesen_trockenweiden" display="CH-weit"/>
    <hyperlink ref="G12" r:id="rId26" location="/map?lang=de&amp;center=2613308,1263110&amp;z=9&amp;bgLayer=ch.swisstopo.pixelkarte-grau&amp;layers=ch.bafu.bundesinventare-trockenwiesen_trockenweiden" display="Münchenstein"/>
    <hyperlink ref="H12" r:id="rId27" location="/map?lang=de&amp;center=2721138,1258009&amp;z=9&amp;bgLayer=ch.swisstopo.pixelkarte-grau&amp;layers=ch.bafu.bundesinventare-trockenwiesen_trockenweiden" display="Wil"/>
    <hyperlink ref="I12" r:id="rId28" location="/map?lang=de&amp;center=2687333,1203124&amp;z=9&amp;bgLayer=ch.swisstopo.pixelkarte-grau&amp;layers=ch.bafu.bundesinventare-trockenwiesen_trockenweiden" display="Seelisberg"/>
    <hyperlink ref="F13" r:id="rId29" location="/map?lang=de&amp;center=2660000,1190000&amp;z=1&amp;bgLayer=ch.swisstopo.pixelkarte-grau&amp;layers=ch.bafu.bundesinventare-jagdbanngebiete" display="CH-weit"/>
    <hyperlink ref="G13" r:id="rId30" location="/map?lang=de&amp;center=2613308,1263110&amp;z=9&amp;bgLayer=ch.swisstopo.pixelkarte-grau&amp;layers=ch.bafu.bundesinventare-jagdbanngebiete" display="Münchenstein"/>
    <hyperlink ref="H13" r:id="rId31" location="/map?lang=de&amp;center=2721138,1258009&amp;z=9&amp;bgLayer=ch.swisstopo.pixelkarte-grau&amp;layers=ch.bafu.bundesinventare-jagdbanngebiete" display="Wil"/>
    <hyperlink ref="I13" r:id="rId32" location="/map?lang=de&amp;center=2687333,1203124&amp;z=9&amp;bgLayer=ch.swisstopo.pixelkarte-grau&amp;layers=ch.bafu.bundesinventare-jagdbanngebiete" display="Seelisberg"/>
    <hyperlink ref="F14" r:id="rId33" location="/map?lang=de&amp;center=2660000,1190000&amp;z=1&amp;bgLayer=ch.swisstopo.pixelkarte-grau" display="CH-weit"/>
    <hyperlink ref="G14" r:id="rId34" location="/map?lang=de&amp;center=2613308,1263110&amp;z=9&amp;bgLayer=ch.swisstopo.pixelkarte-grau" display="Münchenstein"/>
    <hyperlink ref="H14" r:id="rId35" location="/map?lang=de&amp;center=2721138,1258009&amp;z=9&amp;bgLayer=ch.swisstopo.pixelkarte-grau" display="Wil"/>
    <hyperlink ref="I14" r:id="rId36" location="/map?lang=de&amp;center=2687333,1203124&amp;z=9&amp;bgLayer=ch.swisstopo.pixelkarte-grau" display="Seelisberg"/>
    <hyperlink ref="F15" r:id="rId37" location="/map?lang=de&amp;center=2660000,1190000&amp;z=1&amp;bgLayer=ch.swisstopo.pixelkarte-grau&amp;layers=ch.bafu.fauna-wildtierkorridore_national" display="CH-weit"/>
    <hyperlink ref="G15" r:id="rId38" location="/map?lang=de&amp;center=2613308,1263110&amp;z=9&amp;bgLayer=ch.swisstopo.pixelkarte-grau&amp;layers=ch.bafu.fauna-wildtierkorridore_national" display="Münchenstein"/>
    <hyperlink ref="H15" r:id="rId39" location="/map?lang=de&amp;center=2721138,1258009&amp;z=9&amp;bgLayer=ch.swisstopo.pixelkarte-grau&amp;layers=ch.bafu.fauna-wildtierkorridore_national" display="Wil"/>
    <hyperlink ref="I15" r:id="rId40" location="/map?lang=de&amp;center=2687333,1203124&amp;z=9&amp;bgLayer=ch.swisstopo.pixelkarte-grau&amp;layers=ch.bafu.fauna-wildtierkorridore_national" display="Seelisberg"/>
    <hyperlink ref="F16" r:id="rId41" location="/map?lang=de&amp;center=2660000,1190000&amp;z=1&amp;bgLayer=ch.swisstopo.pixelkarte-grau&amp;layers=ch.bafu.waldreservate" display="CH-weit"/>
    <hyperlink ref="G16" r:id="rId42" location="/map?lang=de&amp;center=2613308,1263110&amp;z=9&amp;bgLayer=ch.swisstopo.pixelkarte-grau&amp;layers=ch.bafu.waldreservate" display="Münchenstein"/>
    <hyperlink ref="H16" r:id="rId43" location="/map?lang=de&amp;center=2721138,1258009&amp;z=9&amp;bgLayer=ch.swisstopo.pixelkarte-grau&amp;layers=ch.bafu.waldreservate" display="Wil"/>
    <hyperlink ref="I16" r:id="rId44" location="/map?lang=de&amp;center=2687333,1203124&amp;z=9&amp;bgLayer=ch.swisstopo.pixelkarte-grau&amp;layers=ch.bafu.waldreservate" display="Seelisberg"/>
    <hyperlink ref="F17" r:id="rId45" location="/map?lang=de&amp;center=2660000,1190000&amp;z=1&amp;bgLayer=ch.swisstopo.pixelkarte-grau" display="CH-weit"/>
    <hyperlink ref="G17" r:id="rId46" location="/map?lang=de&amp;center=2613308,1263110&amp;z=9&amp;bgLayer=ch.swisstopo.pixelkarte-grau" display="Münchenstein"/>
    <hyperlink ref="H17" r:id="rId47" location="/map?lang=de&amp;center=2721138,1258009&amp;z=9&amp;bgLayer=ch.swisstopo.pixelkarte-grau" display="Wil"/>
    <hyperlink ref="I17" r:id="rId48" location="/map?lang=de&amp;center=2687333,1203124&amp;z=9&amp;bgLayer=ch.swisstopo.pixelkarte-grau" display="Seelisberg"/>
    <hyperlink ref="F18" r:id="rId49" location="/map?lang=de&amp;center=2660000,1190000&amp;z=1&amp;bgLayer=ch.swisstopo.pixelkarte-grau&amp;layers=ch.are.bauzonen" display="CH-weit"/>
    <hyperlink ref="G18" r:id="rId50" location="/map?lang=de&amp;center=2613308,1263110&amp;z=9&amp;bgLayer=ch.swisstopo.pixelkarte-grau&amp;layers=ch.are.bauzonen" display="Münchenstein"/>
    <hyperlink ref="H18" r:id="rId51" location="/map?lang=de&amp;center=2721138,1258009&amp;z=9&amp;bgLayer=ch.swisstopo.pixelkarte-grau&amp;layers=ch.are.bauzonen" display="Wil"/>
    <hyperlink ref="I18" r:id="rId52" location="/map?lang=de&amp;center=2687333,1203124&amp;z=9&amp;bgLayer=ch.swisstopo.pixelkarte-grau&amp;layers=ch.are.bauzonen" display="Seelisberg"/>
    <hyperlink ref="F19" r:id="rId53" location="/map?lang=de&amp;center=2660000,1190000&amp;z=1&amp;bgLayer=ch.swisstopo.pixelkarte-grau&amp;layers=ch.bfe.solarenergie-eignung-daecher" display="CH-weit"/>
    <hyperlink ref="G19" r:id="rId54" location="/map?lang=de&amp;center=2613308,1263110&amp;z=9&amp;bgLayer=ch.swisstopo.pixelkarte-grau&amp;layers=ch.bfe.solarenergie-eignung-daecher" display="Münchenstein"/>
    <hyperlink ref="H19" r:id="rId55" location="/map?lang=de&amp;center=2721138,1258009&amp;z=9&amp;bgLayer=ch.swisstopo.pixelkarte-grau&amp;layers=ch.bfe.solarenergie-eignung-daecher" display="Wil"/>
    <hyperlink ref="I19" r:id="rId56" location="/map?lang=de&amp;center=2687333,1203124&amp;z=9&amp;bgLayer=ch.swisstopo.pixelkarte-grau&amp;layers=ch.bfe.solarenergie-eignung-daecher" display="Seelisberg"/>
    <hyperlink ref="F20" r:id="rId57" location="/map?lang=de&amp;center=2660000,1190000&amp;z=1&amp;bgLayer=ch.swisstopo.pixelkarte-grau&amp;layers=ch.bfe.solarenergie-eignung-fassaden" display="CH-weit"/>
    <hyperlink ref="G20" r:id="rId58" location="/map?lang=de&amp;center=2613308,1263110&amp;z=9&amp;bgLayer=ch.swisstopo.pixelkarte-grau&amp;layers=ch.bfe.solarenergie-eignung-fassaden" display="Münchenstein"/>
    <hyperlink ref="H20" r:id="rId59" location="/map?lang=de&amp;center=2721138,1258009&amp;z=9&amp;bgLayer=ch.swisstopo.pixelkarte-grau&amp;layers=ch.bfe.solarenergie-eignung-fassaden" display="Wil"/>
    <hyperlink ref="I20" r:id="rId60" location="/map?lang=de&amp;center=2687333,1203124&amp;z=9&amp;bgLayer=ch.swisstopo.pixelkarte-grau&amp;layers=ch.bfe.solarenergie-eignung-fassaden" display="Seelisberg"/>
    <hyperlink ref="F21" r:id="rId61" location="/map?lang=de&amp;center=2660000,1190000&amp;z=1&amp;bgLayer=ch.swisstopo.pixelkarte-grau&amp;layers=ch.bfs.gebaeude_wohnungs_register" display="CH-weit"/>
    <hyperlink ref="G21" r:id="rId62" location="/map?lang=de&amp;center=2613308,1263110&amp;z=9&amp;bgLayer=ch.swisstopo.pixelkarte-grau&amp;layers=ch.bfs.gebaeude_wohnungs_register" display="Münchenstein"/>
    <hyperlink ref="H21" r:id="rId63" location="/map?lang=de&amp;center=2721138,1258009&amp;z=9&amp;bgLayer=ch.swisstopo.pixelkarte-grau&amp;layers=ch.bfs.gebaeude_wohnungs_register" display="Wil"/>
    <hyperlink ref="I21" r:id="rId64" location="/map?lang=de&amp;center=2687333,1203124&amp;z=9&amp;bgLayer=ch.swisstopo.pixelkarte-grau&amp;layers=ch.bfs.gebaeude_wohnungs_register" display="Seelisberg"/>
    <hyperlink ref="F22" r:id="rId65" location="/map?lang=de&amp;center=2660000,1190000&amp;z=1&amp;bgLayer=ch.swisstopo.pixelkarte-grau" display="CH-weit"/>
    <hyperlink ref="G22" r:id="rId66" location="/map?lang=de&amp;center=2613308,1263110&amp;z=9&amp;bgLayer=ch.swisstopo.pixelkarte-grau" display="Münchenstein"/>
    <hyperlink ref="H22" r:id="rId67" location="/map?lang=de&amp;center=2721138,1258009&amp;z=9&amp;bgLayer=ch.swisstopo.pixelkarte-grau" display="Wil"/>
    <hyperlink ref="I22" r:id="rId68" location="/map?lang=de&amp;center=2687333,1203124&amp;z=9&amp;bgLayer=ch.swisstopo.pixelkarte-grau" display="Seelisberg"/>
    <hyperlink ref="F23" r:id="rId69" location="/map?lang=de&amp;center=2660000,1190000&amp;z=1&amp;bgLayer=ch.swisstopo.pixelkarte-grau&amp;layers=ch.are.gueteklassen_oev" display="CH-weit"/>
    <hyperlink ref="G23" r:id="rId70" location="/map?lang=de&amp;center=2613308,1263110&amp;z=9&amp;bgLayer=ch.swisstopo.pixelkarte-grau&amp;layers=ch.are.gueteklassen_oev" display="Münchenstein"/>
    <hyperlink ref="H23" r:id="rId71" location="/map?lang=de&amp;center=2721138,1258009&amp;z=9&amp;bgLayer=ch.swisstopo.pixelkarte-grau&amp;layers=ch.are.gueteklassen_oev" display="Wil"/>
    <hyperlink ref="I23" r:id="rId72" location="/map?lang=de&amp;center=2687333,1203124&amp;z=9&amp;bgLayer=ch.swisstopo.pixelkarte-grau&amp;layers=ch.are.gueteklassen_oev" display="Seelisberg"/>
    <hyperlink ref="F24" r:id="rId73" location="/map?lang=de&amp;center=2660000,1190000&amp;z=1&amp;bgLayer=ch.swisstopo.pixelkarte-grau" display="CH-weit"/>
    <hyperlink ref="G24" r:id="rId74" location="/map?lang=de&amp;center=2613308,1263110&amp;z=9&amp;bgLayer=ch.swisstopo.pixelkarte-grau" display="Münchenstein"/>
    <hyperlink ref="H24" r:id="rId75" location="/map?lang=de&amp;center=2721138,1258009&amp;z=9&amp;bgLayer=ch.swisstopo.pixelkarte-grau" display="Wil"/>
    <hyperlink ref="I24" r:id="rId76" location="/map?lang=de&amp;center=2687333,1203124&amp;z=9&amp;bgLayer=ch.swisstopo.pixelkarte-grau" display="Seelisberg"/>
    <hyperlink ref="F25" r:id="rId77" location="/map?lang=de&amp;center=2660000,1190000&amp;z=1&amp;bgLayer=ch.swisstopo.pixelkarte-grau&amp;layers=ch.bafu.gefahren-oberflaechenabfluss" display="CH-weit"/>
    <hyperlink ref="G25" r:id="rId78" location="/map?lang=de&amp;center=2613308,1263110&amp;z=9&amp;bgLayer=ch.swisstopo.pixelkarte-grau&amp;layers=ch.bafu.gefahren-oberflaechenabfluss" display="Münchenstein"/>
    <hyperlink ref="H25" r:id="rId79" location="/map?lang=de&amp;center=2721138,1258009&amp;z=9&amp;bgLayer=ch.swisstopo.pixelkarte-grau&amp;layers=ch.bafu.gefahren-oberflaechenabfluss" display="Wil"/>
    <hyperlink ref="I25" r:id="rId80" location="/map?lang=de&amp;center=2687333,1203124&amp;z=9&amp;bgLayer=ch.swisstopo.pixelkarte-grau&amp;layers=ch.bafu.gefahren-oberflaechenabfluss" display="Seelisberg"/>
    <hyperlink ref="F26" r:id="rId81" location="/map?lang=de&amp;center=2660000,1190000&amp;z=1&amp;bgLayer=ch.swisstopo.pixelkarte-grau&amp;layers=ch.bafu.gefahren-baugrundklassen" display="CH-weit"/>
    <hyperlink ref="G26" r:id="rId82" location="/map?lang=de&amp;center=2613308,1263110&amp;z=9&amp;bgLayer=ch.swisstopo.pixelkarte-grau&amp;layers=ch.bafu.gefahren-baugrundklassen" display="Münchenstein"/>
    <hyperlink ref="H26" r:id="rId83" location="/map?lang=de&amp;center=2721138,1258009&amp;z=9&amp;bgLayer=ch.swisstopo.pixelkarte-grau&amp;layers=ch.bafu.gefahren-baugrundklassen" display="Wil"/>
    <hyperlink ref="I26" r:id="rId84" location="/map?lang=de&amp;center=2687333,1203124&amp;z=9&amp;bgLayer=ch.swisstopo.pixelkarte-grau&amp;layers=ch.bafu.gefahren-baugrundklassen" display="Seelisberg"/>
    <hyperlink ref="F27" r:id="rId85" location="/map?lang=de&amp;center=2660000,1190000&amp;z=1&amp;bgLayer=ch.swisstopo.pixelkarte-grau&amp;layers=ch.bafu.laerm-strassenlaerm_tag" display="CH-weit"/>
    <hyperlink ref="G27" r:id="rId86" location="/map?lang=de&amp;center=2613308,1263110&amp;z=9&amp;bgLayer=ch.swisstopo.pixelkarte-grau&amp;layers=ch.bafu.laerm-strassenlaerm_tag" display="Münchenstein"/>
    <hyperlink ref="H27" r:id="rId87" location="/map?lang=de&amp;center=2721138,1258009&amp;z=9&amp;bgLayer=ch.swisstopo.pixelkarte-grau&amp;layers=ch.bafu.laerm-strassenlaerm_tag" display="Wil"/>
    <hyperlink ref="I27" r:id="rId88" location="/map?lang=de&amp;center=2687333,1203124&amp;z=9&amp;bgLayer=ch.swisstopo.pixelkarte-grau&amp;layers=ch.bafu.laerm-strassenlaerm_tag" display="Seelisberg"/>
    <hyperlink ref="F28" r:id="rId89" location="/map?lang=de&amp;center=2660000,1190000&amp;z=1&amp;bgLayer=ch.swisstopo.pixelkarte-grau&amp;layers=ch.bafu.laerm-bahnlaerm_tag" display="CH-weit"/>
    <hyperlink ref="G28" r:id="rId90" location="/map?lang=de&amp;center=2613308,1263110&amp;z=9&amp;bgLayer=ch.swisstopo.pixelkarte-grau&amp;layers=ch.bafu.laerm-bahnlaerm_tag" display="Münchenstein"/>
    <hyperlink ref="H28" r:id="rId91" location="/map?lang=de&amp;center=2721138,1258009&amp;z=9&amp;bgLayer=ch.swisstopo.pixelkarte-grau&amp;layers=ch.bafu.laerm-bahnlaerm_tag" display="Wil"/>
    <hyperlink ref="I28" r:id="rId92" location="/map?lang=de&amp;center=2687333,1203124&amp;z=9&amp;bgLayer=ch.swisstopo.pixelkarte-grau&amp;layers=ch.bafu.laerm-bahnlaerm_tag" display="Seelisberg"/>
    <hyperlink ref="F29" r:id="rId93" location="/map?lang=de&amp;center=2660000,1190000&amp;z=1&amp;bgLayer=ch.swisstopo.pixelkarte-grau" display="CH-weit"/>
    <hyperlink ref="G29" r:id="rId94" location="/map?lang=de&amp;center=2613308,1263110&amp;z=9&amp;bgLayer=ch.swisstopo.pixelkarte-grau" display="Münchenstein"/>
    <hyperlink ref="H29" r:id="rId95" location="/map?lang=de&amp;center=2721138,1258009&amp;z=9&amp;bgLayer=ch.swisstopo.pixelkarte-grau" display="Wil"/>
    <hyperlink ref="I29" r:id="rId96" location="/map?lang=de&amp;center=2687333,1203124&amp;z=9&amp;bgLayer=ch.swisstopo.pixelkarte-grau" display="Seelisberg"/>
    <hyperlink ref="F30" r:id="rId97" location="/map?lang=de&amp;center=2660000,1190000&amp;z=1&amp;bgLayer=ch.swisstopo.pixelkarte-grau" display="CH-weit"/>
    <hyperlink ref="G30" r:id="rId98" location="/map?lang=de&amp;center=2613308,1263110&amp;z=9&amp;bgLayer=ch.swisstopo.pixelkarte-grau" display="Münchenstein"/>
    <hyperlink ref="H30" r:id="rId99" location="/map?lang=de&amp;center=2721138,1258009&amp;z=9&amp;bgLayer=ch.swisstopo.pixelkarte-grau" display="Wil"/>
    <hyperlink ref="I30" r:id="rId100" location="/map?lang=de&amp;center=2687333,1203124&amp;z=9&amp;bgLayer=ch.swisstopo.pixelkarte-grau" display="Seelisberg"/>
    <hyperlink ref="F31" r:id="rId101" location="/map?lang=de&amp;center=2660000,1190000&amp;z=1&amp;bgLayer=ch.swisstopo.pixelkarte-grau&amp;layers=ch.bak.bundesinventar-schuetzenswerte-ortsbilder" display="CH-weit"/>
    <hyperlink ref="G31" r:id="rId102" location="/map?lang=de&amp;center=2613308,1263110&amp;z=9&amp;bgLayer=ch.swisstopo.pixelkarte-grau&amp;layers=ch.bak.bundesinventar-schuetzenswerte-ortsbilder" display="Münchenstein"/>
    <hyperlink ref="H31" r:id="rId103" location="/map?lang=de&amp;center=2721138,1258009&amp;z=9&amp;bgLayer=ch.swisstopo.pixelkarte-grau&amp;layers=ch.bak.bundesinventar-schuetzenswerte-ortsbilder" display="Wil"/>
    <hyperlink ref="I31" r:id="rId104" location="/map?lang=de&amp;center=2687333,1203124&amp;z=9&amp;bgLayer=ch.swisstopo.pixelkarte-grau&amp;layers=ch.bak.bundesinventar-schuetzenswerte-ortsbilder" display="Seelisberg"/>
    <hyperlink ref="F32" r:id="rId105" location="/map?lang=de&amp;center=2660000,1190000&amp;z=1&amp;bgLayer=ch.swisstopo.pixelkarte-grau&amp;layers=ch.astra.ivs-nat" display="CH-weit"/>
    <hyperlink ref="G32" r:id="rId106" location="/map?lang=de&amp;center=2613308,1263110&amp;z=9&amp;bgLayer=ch.swisstopo.pixelkarte-grau&amp;layers=ch.astra.ivs-nat" display="Münchenstein"/>
    <hyperlink ref="H32" r:id="rId107" location="/map?lang=de&amp;center=2721138,1258009&amp;z=9&amp;bgLayer=ch.swisstopo.pixelkarte-grau&amp;layers=ch.astra.ivs-nat" display="Wil"/>
    <hyperlink ref="I32" r:id="rId108" location="/map?lang=de&amp;center=2687333,1203124&amp;z=9&amp;bgLayer=ch.swisstopo.pixelkarte-grau&amp;layers=ch.astra.ivs-nat" display="Seelisberg"/>
    <hyperlink ref="F33" r:id="rId109" location="/map?lang=de&amp;center=2660000,1190000&amp;z=1&amp;bgLayer=ch.swisstopo.pixelkarte-grau&amp;layers=ch.babs.kulturgueter" display="CH-weit"/>
    <hyperlink ref="G33" r:id="rId110" location="/map?lang=de&amp;center=2613308,1263110&amp;z=9&amp;bgLayer=ch.swisstopo.pixelkarte-grau&amp;layers=ch.babs.kulturgueter" display="Münchenstein"/>
    <hyperlink ref="H33" r:id="rId111" location="/map?lang=de&amp;center=2721138,1258009&amp;z=9&amp;bgLayer=ch.swisstopo.pixelkarte-grau&amp;layers=ch.babs.kulturgueter" display="Wil"/>
    <hyperlink ref="I33" r:id="rId112" location="/map?lang=de&amp;center=2687333,1203124&amp;z=9&amp;bgLayer=ch.swisstopo.pixelkarte-grau&amp;layers=ch.babs.kulturgueter" display="Seelisberg"/>
    <hyperlink ref="G35" r:id="rId113" display="Münchenstein"/>
    <hyperlink ref="G36" r:id="rId114" display="Münchenstein"/>
    <hyperlink ref="G37" r:id="rId115" display="Münchenstein"/>
    <hyperlink ref="G38" r:id="rId116" display="Münchenstein"/>
    <hyperlink ref="G39" r:id="rId117" display="Münchenstein"/>
    <hyperlink ref="H40" r:id="rId118" display="Wil"/>
    <hyperlink ref="H41" r:id="rId119" display="Wil"/>
    <hyperlink ref="H42" r:id="rId120" display="Wil"/>
    <hyperlink ref="I43" r:id="rId121" display="Seelisber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2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9"/>
    <col collapsed="false" customWidth="true" hidden="false" outlineLevel="0" max="3" min="3" style="1" width="20"/>
    <col collapsed="false" customWidth="true" hidden="false" outlineLevel="0" max="4" min="4" style="1" width="62"/>
    <col collapsed="false" customWidth="true" hidden="false" outlineLevel="0" max="5" min="5" style="1" width="46"/>
    <col collapsed="false" customWidth="true" hidden="false" outlineLevel="0" max="6" min="6" style="1" width="14"/>
    <col collapsed="false" customWidth="true" hidden="false" outlineLevel="0" max="7" min="7" style="1" width="70"/>
  </cols>
  <sheetData>
    <row r="1" customFormat="false" ht="17.35" hidden="false" customHeight="false" outlineLevel="0" collapsed="false">
      <c r="A1" s="20" t="s">
        <v>932</v>
      </c>
    </row>
    <row r="3" customFormat="false" ht="15" hidden="false" customHeight="false" outlineLevel="0" collapsed="false">
      <c r="A3" s="39" t="s">
        <v>933</v>
      </c>
      <c r="B3" s="39" t="s">
        <v>51</v>
      </c>
      <c r="C3" s="39" t="s">
        <v>934</v>
      </c>
      <c r="D3" s="39" t="s">
        <v>935</v>
      </c>
      <c r="E3" s="39" t="s">
        <v>936</v>
      </c>
      <c r="F3" s="39" t="s">
        <v>55</v>
      </c>
      <c r="G3" s="39" t="s">
        <v>937</v>
      </c>
    </row>
    <row r="4" customFormat="false" ht="32.8" hidden="false" customHeight="false" outlineLevel="0" collapsed="false">
      <c r="A4" s="40" t="n">
        <v>1</v>
      </c>
      <c r="B4" s="40" t="s">
        <v>239</v>
      </c>
      <c r="C4" s="40" t="s">
        <v>938</v>
      </c>
      <c r="D4" s="40" t="s">
        <v>939</v>
      </c>
      <c r="E4" s="40" t="s">
        <v>940</v>
      </c>
      <c r="F4" s="41" t="s">
        <v>941</v>
      </c>
      <c r="G4" s="40" t="s">
        <v>942</v>
      </c>
    </row>
    <row r="5" customFormat="false" ht="22.35" hidden="false" customHeight="false" outlineLevel="0" collapsed="false">
      <c r="A5" s="40" t="n">
        <v>2</v>
      </c>
      <c r="B5" s="40" t="s">
        <v>69</v>
      </c>
      <c r="C5" s="40" t="s">
        <v>938</v>
      </c>
      <c r="D5" s="40" t="s">
        <v>943</v>
      </c>
      <c r="E5" s="40" t="s">
        <v>944</v>
      </c>
      <c r="F5" s="42" t="s">
        <v>945</v>
      </c>
      <c r="G5" s="40" t="s">
        <v>946</v>
      </c>
    </row>
    <row r="6" customFormat="false" ht="22.35" hidden="false" customHeight="false" outlineLevel="0" collapsed="false">
      <c r="A6" s="40" t="n">
        <v>3</v>
      </c>
      <c r="B6" s="40" t="s">
        <v>947</v>
      </c>
      <c r="C6" s="40" t="s">
        <v>948</v>
      </c>
      <c r="D6" s="40" t="s">
        <v>949</v>
      </c>
      <c r="E6" s="40" t="s">
        <v>73</v>
      </c>
      <c r="F6" s="42" t="s">
        <v>945</v>
      </c>
      <c r="G6" s="40" t="s">
        <v>950</v>
      </c>
    </row>
    <row r="7" customFormat="false" ht="32.8" hidden="false" customHeight="false" outlineLevel="0" collapsed="false">
      <c r="A7" s="40" t="n">
        <v>4</v>
      </c>
      <c r="B7" s="40" t="s">
        <v>924</v>
      </c>
      <c r="C7" s="40" t="s">
        <v>30</v>
      </c>
      <c r="D7" s="40" t="s">
        <v>951</v>
      </c>
      <c r="E7" s="40" t="s">
        <v>952</v>
      </c>
      <c r="F7" s="41" t="s">
        <v>941</v>
      </c>
      <c r="G7" s="40" t="s">
        <v>953</v>
      </c>
    </row>
    <row r="8" customFormat="false" ht="15" hidden="false" customHeight="false" outlineLevel="0" collapsed="false">
      <c r="A8" s="40" t="n">
        <v>5</v>
      </c>
      <c r="B8" s="40" t="s">
        <v>317</v>
      </c>
      <c r="C8" s="40" t="s">
        <v>31</v>
      </c>
      <c r="D8" s="40" t="s">
        <v>954</v>
      </c>
      <c r="E8" s="40" t="s">
        <v>955</v>
      </c>
      <c r="F8" s="43" t="s">
        <v>956</v>
      </c>
      <c r="G8" s="40" t="s">
        <v>957</v>
      </c>
    </row>
    <row r="9" customFormat="false" ht="15" hidden="false" customHeight="false" outlineLevel="0" collapsed="false">
      <c r="A9" s="40" t="n">
        <v>6</v>
      </c>
      <c r="B9" s="40" t="s">
        <v>232</v>
      </c>
      <c r="C9" s="40" t="s">
        <v>31</v>
      </c>
      <c r="D9" s="40" t="s">
        <v>958</v>
      </c>
      <c r="E9" s="40" t="s">
        <v>959</v>
      </c>
      <c r="F9" s="43" t="s">
        <v>956</v>
      </c>
      <c r="G9" s="40" t="s">
        <v>960</v>
      </c>
    </row>
    <row r="10" customFormat="false" ht="22.35" hidden="false" customHeight="false" outlineLevel="0" collapsed="false">
      <c r="A10" s="40" t="n">
        <v>7</v>
      </c>
      <c r="B10" s="40" t="s">
        <v>232</v>
      </c>
      <c r="C10" s="40" t="s">
        <v>68</v>
      </c>
      <c r="D10" s="40" t="s">
        <v>961</v>
      </c>
      <c r="E10" s="40" t="s">
        <v>962</v>
      </c>
      <c r="F10" s="42" t="s">
        <v>945</v>
      </c>
      <c r="G10" s="40" t="s">
        <v>963</v>
      </c>
    </row>
    <row r="11" customFormat="false" ht="15" hidden="false" customHeight="false" outlineLevel="0" collapsed="false">
      <c r="A11" s="40" t="n">
        <v>8</v>
      </c>
      <c r="B11" s="40" t="s">
        <v>232</v>
      </c>
      <c r="C11" s="40" t="s">
        <v>964</v>
      </c>
      <c r="D11" s="40" t="s">
        <v>965</v>
      </c>
      <c r="E11" s="40" t="s">
        <v>966</v>
      </c>
      <c r="F11" s="41" t="s">
        <v>941</v>
      </c>
      <c r="G11" s="40" t="s">
        <v>967</v>
      </c>
    </row>
    <row r="12" customFormat="false" ht="22.35" hidden="false" customHeight="false" outlineLevel="0" collapsed="false">
      <c r="A12" s="40" t="n">
        <v>9</v>
      </c>
      <c r="B12" s="40" t="s">
        <v>202</v>
      </c>
      <c r="C12" s="40" t="s">
        <v>968</v>
      </c>
      <c r="D12" s="40" t="s">
        <v>969</v>
      </c>
      <c r="E12" s="40" t="s">
        <v>613</v>
      </c>
      <c r="F12" s="41" t="s">
        <v>941</v>
      </c>
      <c r="G12" s="40" t="s">
        <v>970</v>
      </c>
    </row>
    <row r="13" customFormat="false" ht="22.35" hidden="false" customHeight="false" outlineLevel="0" collapsed="false">
      <c r="A13" s="40" t="n">
        <v>10</v>
      </c>
      <c r="B13" s="40" t="s">
        <v>924</v>
      </c>
      <c r="C13" s="40" t="s">
        <v>971</v>
      </c>
      <c r="D13" s="40" t="s">
        <v>972</v>
      </c>
      <c r="E13" s="40" t="s">
        <v>973</v>
      </c>
      <c r="F13" s="41" t="s">
        <v>941</v>
      </c>
      <c r="G13" s="40" t="s">
        <v>974</v>
      </c>
    </row>
    <row r="14" customFormat="false" ht="22.35" hidden="false" customHeight="false" outlineLevel="0" collapsed="false">
      <c r="A14" s="40" t="n">
        <v>11</v>
      </c>
      <c r="B14" s="40" t="s">
        <v>239</v>
      </c>
      <c r="C14" s="40" t="s">
        <v>975</v>
      </c>
      <c r="D14" s="40" t="s">
        <v>976</v>
      </c>
      <c r="E14" s="40" t="s">
        <v>977</v>
      </c>
      <c r="F14" s="41" t="s">
        <v>941</v>
      </c>
      <c r="G14" s="40" t="s">
        <v>978</v>
      </c>
    </row>
    <row r="15" customFormat="false" ht="15" hidden="false" customHeight="false" outlineLevel="0" collapsed="false">
      <c r="A15" s="40" t="n">
        <v>12</v>
      </c>
      <c r="B15" s="40" t="s">
        <v>202</v>
      </c>
      <c r="C15" s="40" t="s">
        <v>31</v>
      </c>
      <c r="D15" s="40" t="s">
        <v>979</v>
      </c>
      <c r="E15" s="40" t="s">
        <v>980</v>
      </c>
      <c r="F15" s="43" t="s">
        <v>956</v>
      </c>
      <c r="G15" s="40" t="s">
        <v>981</v>
      </c>
    </row>
    <row r="16" customFormat="false" ht="32.8" hidden="false" customHeight="false" outlineLevel="0" collapsed="false">
      <c r="A16" s="40" t="n">
        <v>13</v>
      </c>
      <c r="B16" s="40" t="s">
        <v>80</v>
      </c>
      <c r="C16" s="40" t="s">
        <v>31</v>
      </c>
      <c r="D16" s="40" t="s">
        <v>982</v>
      </c>
      <c r="E16" s="40" t="s">
        <v>983</v>
      </c>
      <c r="F16" s="42" t="s">
        <v>945</v>
      </c>
      <c r="G16" s="40" t="s">
        <v>984</v>
      </c>
    </row>
    <row r="17" customFormat="false" ht="15" hidden="false" customHeight="false" outlineLevel="0" collapsed="false">
      <c r="A17" s="40" t="n">
        <v>14</v>
      </c>
      <c r="B17" s="40" t="s">
        <v>985</v>
      </c>
      <c r="C17" s="40" t="s">
        <v>986</v>
      </c>
      <c r="D17" s="40" t="s">
        <v>987</v>
      </c>
      <c r="E17" s="40" t="s">
        <v>988</v>
      </c>
      <c r="F17" s="42" t="s">
        <v>945</v>
      </c>
      <c r="G17" s="40" t="s">
        <v>989</v>
      </c>
    </row>
    <row r="18" customFormat="false" ht="22.35" hidden="false" customHeight="false" outlineLevel="0" collapsed="false">
      <c r="A18" s="40" t="n">
        <v>15</v>
      </c>
      <c r="B18" s="40" t="s">
        <v>986</v>
      </c>
      <c r="C18" s="40" t="s">
        <v>986</v>
      </c>
      <c r="D18" s="40" t="s">
        <v>990</v>
      </c>
      <c r="E18" s="40" t="s">
        <v>991</v>
      </c>
      <c r="F18" s="42" t="s">
        <v>945</v>
      </c>
      <c r="G18" s="40" t="s">
        <v>992</v>
      </c>
    </row>
    <row r="19" customFormat="false" ht="32.8" hidden="false" customHeight="false" outlineLevel="0" collapsed="false">
      <c r="A19" s="40" t="n">
        <v>16</v>
      </c>
      <c r="B19" s="40" t="s">
        <v>986</v>
      </c>
      <c r="C19" s="40" t="s">
        <v>68</v>
      </c>
      <c r="D19" s="40" t="s">
        <v>993</v>
      </c>
      <c r="E19" s="40" t="s">
        <v>994</v>
      </c>
      <c r="F19" s="41" t="s">
        <v>941</v>
      </c>
      <c r="G19" s="40" t="s">
        <v>995</v>
      </c>
    </row>
    <row r="20" customFormat="false" ht="43.25" hidden="false" customHeight="false" outlineLevel="0" collapsed="false">
      <c r="A20" s="40" t="n">
        <v>17</v>
      </c>
      <c r="B20" s="40" t="s">
        <v>69</v>
      </c>
      <c r="C20" s="40" t="s">
        <v>996</v>
      </c>
      <c r="D20" s="40" t="s">
        <v>997</v>
      </c>
      <c r="E20" s="40" t="s">
        <v>998</v>
      </c>
      <c r="F20" s="42" t="s">
        <v>945</v>
      </c>
      <c r="G20" s="40" t="s">
        <v>999</v>
      </c>
    </row>
    <row r="21" customFormat="false" ht="43.25" hidden="false" customHeight="false" outlineLevel="0" collapsed="false">
      <c r="A21" s="40" t="n">
        <v>18</v>
      </c>
      <c r="B21" s="40" t="s">
        <v>986</v>
      </c>
      <c r="C21" s="40" t="s">
        <v>986</v>
      </c>
      <c r="D21" s="40" t="s">
        <v>1000</v>
      </c>
      <c r="E21" s="40" t="s">
        <v>1001</v>
      </c>
      <c r="F21" s="41" t="s">
        <v>941</v>
      </c>
      <c r="G21" s="40" t="s">
        <v>1002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2026-10-14T11:44:02Z</dcterms:created>
  <dc:creator>openpyxl</dc:creator>
  <dc:description/>
  <dc:language>en-US</dc:language>
  <cp:lastModifiedBy/>
  <dcterms:modified xsi:type="dcterms:W3CDTF">2026-10-14T11:44:03Z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