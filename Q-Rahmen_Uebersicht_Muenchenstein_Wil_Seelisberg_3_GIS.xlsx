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1_Q1_Rechtsordnung" sheetId="2" state="visible" r:id="rId2"/>
    <sheet xmlns:r="http://schemas.openxmlformats.org/officeDocument/2006/relationships" name="2_Q2_Landschaft" sheetId="3" state="visible" r:id="rId3"/>
    <sheet xmlns:r="http://schemas.openxmlformats.org/officeDocument/2006/relationships" name="3_Q3_Klima_Energie" sheetId="4" state="visible" r:id="rId4"/>
    <sheet xmlns:r="http://schemas.openxmlformats.org/officeDocument/2006/relationships" name="4_Q4_Resilienz" sheetId="5" state="visible" r:id="rId5"/>
    <sheet xmlns:r="http://schemas.openxmlformats.org/officeDocument/2006/relationships" name="5_Q5_Ortsbild" sheetId="6" state="visible" r:id="rId6"/>
    <sheet xmlns:r="http://schemas.openxmlformats.org/officeDocument/2006/relationships" name="6_Q6_Bestellung" sheetId="7" state="visible" r:id="rId7"/>
    <sheet xmlns:r="http://schemas.openxmlformats.org/officeDocument/2006/relationships" name="7_GIS_Layers" sheetId="8" state="visible" r:id="rId8"/>
    <sheet xmlns:r="http://schemas.openxmlformats.org/officeDocument/2006/relationships" name="8_Hinweise_Kataster" sheetId="9" state="visible" r:id="rId9"/>
  </sheets>
  <definedNames>
    <definedName name="_xlnm._FilterDatabase" localSheetId="1" hidden="1">'1_Q1_Rechtsordnung'!$A$5:$Q$97</definedName>
    <definedName name="_xlnm.Print_Titles" localSheetId="1">'1_Q1_Rechtsordnung'!$5:$5</definedName>
    <definedName name="_xlnm._FilterDatabase" localSheetId="2" hidden="1">'2_Q2_Landschaft'!$A$5:$Q$36</definedName>
    <definedName name="_xlnm.Print_Titles" localSheetId="2">'2_Q2_Landschaft'!$5:$5</definedName>
    <definedName name="_xlnm._FilterDatabase" localSheetId="3" hidden="1">'3_Q3_Klima_Energie'!$A$5:$Q$33</definedName>
    <definedName name="_xlnm.Print_Titles" localSheetId="3">'3_Q3_Klima_Energie'!$5:$5</definedName>
    <definedName name="_xlnm._FilterDatabase" localSheetId="4" hidden="1">'4_Q4_Resilienz'!$A$5:$Q$34</definedName>
    <definedName name="_xlnm.Print_Titles" localSheetId="4">'4_Q4_Resilienz'!$5:$5</definedName>
    <definedName name="_xlnm._FilterDatabase" localSheetId="5" hidden="1">'5_Q5_Ortsbild'!$A$5:$Q$31</definedName>
    <definedName name="_xlnm.Print_Titles" localSheetId="5">'5_Q5_Ortsbild'!$5:$5</definedName>
    <definedName name="_xlnm._FilterDatabase" localSheetId="6" hidden="1">'6_Q6_Bestellung'!$A$5:$Q$37</definedName>
    <definedName name="_xlnm.Print_Titles" localSheetId="6">'6_Q6_Bestellung'!$5:$5</definedName>
    <definedName name="_xlnm._FilterDatabase" localSheetId="7" hidden="1">'7_GIS_Layers'!$A$4:$M$43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4D"/>
      <sz val="16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A4D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color rgb="FF1F3A4D"/>
      <sz val="14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1F3A4D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563C1"/>
      <sz val="9"/>
      <u val="single"/>
    </font>
    <font>
      <name val="Arial"/>
      <charset val="1"/>
      <family val="0"/>
      <color rgb="FF808080"/>
      <sz val="9"/>
    </font>
  </fonts>
  <fills count="12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9E2E8"/>
      </patternFill>
    </fill>
    <fill>
      <patternFill patternType="solid">
        <fgColor rgb="FFE2EFDA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F4B183"/>
        <bgColor rgb="FFF8CBAD"/>
      </patternFill>
    </fill>
    <fill>
      <patternFill patternType="solid">
        <fgColor rgb="FFEDEDED"/>
        <bgColor rgb="FFE2EFDA"/>
      </patternFill>
    </fill>
    <fill>
      <patternFill patternType="solid">
        <fgColor rgb="FFD9E2E8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F8CBAD"/>
        <bgColor rgb="FFF4B18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9" fontId="11" fillId="0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 indent="1"/>
    </xf>
    <xf numFmtId="0" fontId="16" fillId="3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/>
    </xf>
    <xf numFmtId="0" fontId="11" fillId="10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center" vertical="top" wrapText="1"/>
    </xf>
    <xf numFmtId="0" fontId="16" fillId="6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9" fontId="11" fillId="0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 indent="1"/>
    </xf>
    <xf numFmtId="0" fontId="16" fillId="3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/>
    </xf>
    <xf numFmtId="0" fontId="11" fillId="10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center" vertical="top" wrapText="1"/>
    </xf>
    <xf numFmtId="0" fontId="16" fillId="6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11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A4D"/>
          <bgColor rgb="FF000000"/>
        </patternFill>
      </fill>
    </dxf>
    <dxf>
      <fill>
        <patternFill patternType="solid">
          <fgColor rgb="FFD9E2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fedlex.admin.ch/eli/cc/1999/404/de" TargetMode="External" Id="rId1"/><Relationship Type="http://schemas.openxmlformats.org/officeDocument/2006/relationships/hyperlink" Target="https://www.fedlex.admin.ch/eli/cc/1979/1573_1573_1573/de" TargetMode="External" Id="rId2"/><Relationship Type="http://schemas.openxmlformats.org/officeDocument/2006/relationships/hyperlink" Target="https://www.fedlex.admin.ch/eli/cc/2000/310/de" TargetMode="External" Id="rId3"/><Relationship Type="http://schemas.openxmlformats.org/officeDocument/2006/relationships/hyperlink" Target="https://www.fedlex.admin.ch/eli/cc/2015/886/de" TargetMode="External" Id="rId4"/><Relationship Type="http://schemas.openxmlformats.org/officeDocument/2006/relationships/hyperlink" Target="https://www.are.admin.ch/" TargetMode="External" Id="rId5"/><Relationship Type="http://schemas.openxmlformats.org/officeDocument/2006/relationships/hyperlink" Target="https://www.fedlex.admin.ch/eli/cc/1966/1637_1694_1679/de" TargetMode="External" Id="rId6"/><Relationship Type="http://schemas.openxmlformats.org/officeDocument/2006/relationships/hyperlink" Target="https://www.fedlex.admin.ch/eli/cc/1991/249_249_249/de" TargetMode="External" Id="rId7"/><Relationship Type="http://schemas.openxmlformats.org/officeDocument/2006/relationships/hyperlink" Target="https://www.bafu.admin.ch/" TargetMode="External" Id="rId8"/><Relationship Type="http://schemas.openxmlformats.org/officeDocument/2006/relationships/hyperlink" Target="https://www.bak.admin.ch/" TargetMode="External" Id="rId9"/><Relationship Type="http://schemas.openxmlformats.org/officeDocument/2006/relationships/hyperlink" Target="https://www.astra.admin.ch/" TargetMode="External" Id="rId10"/><Relationship Type="http://schemas.openxmlformats.org/officeDocument/2006/relationships/hyperlink" Target="https://www.bafu.admin.ch/" TargetMode="External" Id="rId11"/><Relationship Type="http://schemas.openxmlformats.org/officeDocument/2006/relationships/hyperlink" Target="https://www.bafu.admin.ch/" TargetMode="External" Id="rId12"/><Relationship Type="http://schemas.openxmlformats.org/officeDocument/2006/relationships/hyperlink" Target="https://www.bafu.admin.ch/" TargetMode="External" Id="rId13"/><Relationship Type="http://schemas.openxmlformats.org/officeDocument/2006/relationships/hyperlink" Target="https://www.bafu.admin.ch/" TargetMode="External" Id="rId14"/><Relationship Type="http://schemas.openxmlformats.org/officeDocument/2006/relationships/hyperlink" Target="https://www.bafu.admin.ch/" TargetMode="External" Id="rId15"/><Relationship Type="http://schemas.openxmlformats.org/officeDocument/2006/relationships/hyperlink" Target="https://www.bafu.admin.ch/" TargetMode="External" Id="rId16"/><Relationship Type="http://schemas.openxmlformats.org/officeDocument/2006/relationships/hyperlink" Target="https://www.bafu.admin.ch/" TargetMode="External" Id="rId17"/><Relationship Type="http://schemas.openxmlformats.org/officeDocument/2006/relationships/hyperlink" Target="https://www.fedlex.admin.ch/eli/cc/1992/1860_1860_1860/de" TargetMode="External" Id="rId18"/><Relationship Type="http://schemas.openxmlformats.org/officeDocument/2006/relationships/hyperlink" Target="https://www.fedlex.admin.ch/eli/cc/1998/2863_2863_2863/de" TargetMode="External" Id="rId19"/><Relationship Type="http://schemas.openxmlformats.org/officeDocument/2006/relationships/hyperlink" Target="https://www.fedlex.admin.ch/eli/cc/1992/2521_2521_2521/de" TargetMode="External" Id="rId20"/><Relationship Type="http://schemas.openxmlformats.org/officeDocument/2006/relationships/hyperlink" Target="https://www.bafu.admin.ch/" TargetMode="External" Id="rId21"/><Relationship Type="http://schemas.openxmlformats.org/officeDocument/2006/relationships/hyperlink" Target="https://www.fedlex.admin.ch/eli/cc/1988/506_506_506/de" TargetMode="External" Id="rId22"/><Relationship Type="http://schemas.openxmlformats.org/officeDocument/2006/relationships/hyperlink" Target="https://www.bafu.admin.ch/" TargetMode="External" Id="rId23"/><Relationship Type="http://schemas.openxmlformats.org/officeDocument/2006/relationships/hyperlink" Target="https://www.fedlex.admin.ch/eli/cc/1984/1122_1122_1122/de" TargetMode="External" Id="rId24"/><Relationship Type="http://schemas.openxmlformats.org/officeDocument/2006/relationships/hyperlink" Target="https://www.fedlex.admin.ch/eli/cc/2017/762/de" TargetMode="External" Id="rId25"/><Relationship Type="http://schemas.openxmlformats.org/officeDocument/2006/relationships/hyperlink" Target="https://www.fedlex.admin.ch/eli/cc/2017/763/de" TargetMode="External" Id="rId26"/><Relationship Type="http://schemas.openxmlformats.org/officeDocument/2006/relationships/hyperlink" Target="https://www.fedlex.admin.ch/eli/cc/2012/855/de" TargetMode="External" Id="rId27"/><Relationship Type="http://schemas.openxmlformats.org/officeDocument/2006/relationships/hyperlink" Target="https://www.fedlex.admin.ch/eli/cc/2012/856/de" TargetMode="External" Id="rId28"/><Relationship Type="http://schemas.openxmlformats.org/officeDocument/2006/relationships/hyperlink" Target="https://www.fedlex.admin.ch/eli/cc/2023/655/de" TargetMode="External" Id="rId29"/><Relationship Type="http://schemas.openxmlformats.org/officeDocument/2006/relationships/hyperlink" Target="https://www.bfe.admin.ch/" TargetMode="External" Id="rId30"/><Relationship Type="http://schemas.openxmlformats.org/officeDocument/2006/relationships/hyperlink" Target="https://www.bafu.admin.ch/" TargetMode="External" Id="rId31"/><Relationship Type="http://schemas.openxmlformats.org/officeDocument/2006/relationships/hyperlink" Target="https://www.bafu.admin.ch/" TargetMode="External" Id="rId32"/><Relationship Type="http://schemas.openxmlformats.org/officeDocument/2006/relationships/hyperlink" Target="https://www.fedlex.admin.ch/eli/cc/1996/1738_1738_1738/de" TargetMode="External" Id="rId33"/><Relationship Type="http://schemas.openxmlformats.org/officeDocument/2006/relationships/hyperlink" Target="https://www.fedlex.admin.ch/eli/cc/2020/126/de" TargetMode="External" Id="rId34"/><Relationship Type="http://schemas.openxmlformats.org/officeDocument/2006/relationships/hyperlink" Target="https://www.fedlex.admin.ch/eli/cc/1987/1_1_1/de" TargetMode="External" Id="rId35"/><Relationship Type="http://schemas.openxmlformats.org/officeDocument/2006/relationships/hyperlink" Target="https://www.fedlex.admin.ch/eli/cc/1986/208_208_208/de" TargetMode="External" Id="rId36"/><Relationship Type="http://schemas.openxmlformats.org/officeDocument/2006/relationships/hyperlink" Target="https://www.fedlex.admin.ch/eli/cc/1991/748_748_748/de" TargetMode="External" Id="rId37"/><Relationship Type="http://schemas.openxmlformats.org/officeDocument/2006/relationships/hyperlink" Target="https://www.bafu.admin.ch/" TargetMode="External" Id="rId38"/><Relationship Type="http://schemas.openxmlformats.org/officeDocument/2006/relationships/hyperlink" Target="https://www.bafu.admin.ch/" TargetMode="External" Id="rId39"/><Relationship Type="http://schemas.openxmlformats.org/officeDocument/2006/relationships/hyperlink" Target="https://www.bafu.admin.ch/" TargetMode="External" Id="rId40"/><Relationship Type="http://schemas.openxmlformats.org/officeDocument/2006/relationships/hyperlink" Target="https://www.bpuk.ch/bpuk/konkordate/ivoeb/ivoeb-2019" TargetMode="External" Id="rId41"/><Relationship Type="http://schemas.openxmlformats.org/officeDocument/2006/relationships/hyperlink" Target="https://bl.clex.ch/app/de/texts_of_law/400" TargetMode="External" Id="rId42"/><Relationship Type="http://schemas.openxmlformats.org/officeDocument/2006/relationships/hyperlink" Target="https://bl-api.webcloud7.ch/politik-und-behorden/direktionen/bau-und-umweltschutzdirektion/raumplanung/raumplanung/richtplanung/downloads-richtplanung/objektblatter.pdf?_t=1786003350618" TargetMode="External" Id="rId43"/><Relationship Type="http://schemas.openxmlformats.org/officeDocument/2006/relationships/hyperlink" Target="https://bl.clex.ch/app/de/texts_of_law/490" TargetMode="External" Id="rId44"/><Relationship Type="http://schemas.openxmlformats.org/officeDocument/2006/relationships/hyperlink" Target="https://bl.clex.ch/app/de/texts_of_law/420.11" TargetMode="External" Id="rId45"/><Relationship Type="http://schemas.openxmlformats.org/officeDocument/2006/relationships/hyperlink" Target="https://bl.clex.ch/app/de/texts_of_law/790" TargetMode="External" Id="rId46"/><Relationship Type="http://schemas.openxmlformats.org/officeDocument/2006/relationships/hyperlink" Target="https://bl.clex.ch/app/de/texts_of_law/780" TargetMode="External" Id="rId47"/><Relationship Type="http://schemas.openxmlformats.org/officeDocument/2006/relationships/hyperlink" Target="https://bl.clex.ch/app/de/texts_of_law/445" TargetMode="External" Id="rId48"/><Relationship Type="http://schemas.openxmlformats.org/officeDocument/2006/relationships/hyperlink" Target="https://www.gesetzessammlung.sg.ch/data/731.1/de" TargetMode="External" Id="rId49"/><Relationship Type="http://schemas.openxmlformats.org/officeDocument/2006/relationships/hyperlink" Target="https://www.sg.ch/bauen/raumentwicklung/kantonaleplanung/richtplanung.html" TargetMode="External" Id="rId50"/><Relationship Type="http://schemas.openxmlformats.org/officeDocument/2006/relationships/hyperlink" Target="https://www.gesetzessammlung.sg.ch/app/de/texts_of_law/741.1" TargetMode="External" Id="rId51"/><Relationship Type="http://schemas.openxmlformats.org/officeDocument/2006/relationships/hyperlink" Target="https://www.sg.ch/" TargetMode="External" Id="rId52"/><Relationship Type="http://schemas.openxmlformats.org/officeDocument/2006/relationships/hyperlink" Target="https://www.gesetzessammlung.sg.ch/app/de/texts_of_law/841.1" TargetMode="External" Id="rId53"/><Relationship Type="http://schemas.openxmlformats.org/officeDocument/2006/relationships/hyperlink" Target="https://www.gesetzessammlung.sg.ch/app/de/texts_of_law/671.1" TargetMode="External" Id="rId54"/><Relationship Type="http://schemas.openxmlformats.org/officeDocument/2006/relationships/hyperlink" Target="https://www.gesetzessammlung.sg.ch/app/de/texts_of_law/271.51" TargetMode="External" Id="rId55"/><Relationship Type="http://schemas.openxmlformats.org/officeDocument/2006/relationships/hyperlink" Target="https://www.gesetzessammlung.sg.ch/app/de/texts_of_law/841.51" TargetMode="External" Id="rId56"/><Relationship Type="http://schemas.openxmlformats.org/officeDocument/2006/relationships/hyperlink" Target="https://www.gesetzessammlung.sg.ch/app/de/texts_of_law/841.1" TargetMode="External" Id="rId57"/><Relationship Type="http://schemas.openxmlformats.org/officeDocument/2006/relationships/hyperlink" Target="https://rechtsbuch.ur.ch/app/de/texts_of_law/40.1111" TargetMode="External" Id="rId58"/><Relationship Type="http://schemas.openxmlformats.org/officeDocument/2006/relationships/hyperlink" Target="https://www.ur.ch/_docn/375874/Richtplantext_240122.pdf" TargetMode="External" Id="rId59"/><Relationship Type="http://schemas.openxmlformats.org/officeDocument/2006/relationships/hyperlink" Target="https://www.ur.ch/" TargetMode="External" Id="rId60"/><Relationship Type="http://schemas.openxmlformats.org/officeDocument/2006/relationships/hyperlink" Target="https://rechtsbuch.ur.ch/app/de/texts_of_law/40.7211" TargetMode="External" Id="rId61"/><Relationship Type="http://schemas.openxmlformats.org/officeDocument/2006/relationships/hyperlink" Target="https://www.ur.ch/" TargetMode="External" Id="rId62"/><Relationship Type="http://schemas.openxmlformats.org/officeDocument/2006/relationships/hyperlink" Target="https://www.ur.ch/_doc/337571" TargetMode="External" Id="rId63"/><Relationship Type="http://schemas.openxmlformats.org/officeDocument/2006/relationships/hyperlink" Target="https://www.ur.ch/_doc/337571" TargetMode="External" Id="rId64"/><Relationship Type="http://schemas.openxmlformats.org/officeDocument/2006/relationships/hyperlink" Target="https://www.ur.ch/_doc/337571" TargetMode="External" Id="rId65"/><Relationship Type="http://schemas.openxmlformats.org/officeDocument/2006/relationships/hyperlink" Target="https://oereblex.bl.ch/api/attachments/22718" TargetMode="External" Id="rId66"/><Relationship Type="http://schemas.openxmlformats.org/officeDocument/2006/relationships/hyperlink" Target="https://oereblex.bl.ch/api/attachments/22718" TargetMode="External" Id="rId67"/><Relationship Type="http://schemas.openxmlformats.org/officeDocument/2006/relationships/hyperlink" Target="https://oereblex.bl.ch/api/attachments/22718" TargetMode="External" Id="rId68"/><Relationship Type="http://schemas.openxmlformats.org/officeDocument/2006/relationships/hyperlink" Target="https://www.muenchenstein.ch/_docn/5130739/TR_5.4_Abwasserreglement_vom_28._Oktober_2020_-_Stand_07.01.2021.pdf" TargetMode="External" Id="rId69"/><Relationship Type="http://schemas.openxmlformats.org/officeDocument/2006/relationships/hyperlink" Target="https://oereblex.bl.ch/api/attachments/22718" TargetMode="External" Id="rId70"/><Relationship Type="http://schemas.openxmlformats.org/officeDocument/2006/relationships/hyperlink" Target="https://www.muenchenstein.ch/" TargetMode="External" Id="rId71"/><Relationship Type="http://schemas.openxmlformats.org/officeDocument/2006/relationships/hyperlink" Target="https://www.geoportal.ch/wil_sg/map/101?y=2719905.16&amp;x=1258486.88&amp;scale=25000&amp;rotation=0" TargetMode="External" Id="rId72"/><Relationship Type="http://schemas.openxmlformats.org/officeDocument/2006/relationships/hyperlink" Target="https://wil-sg.tlex.ch/app/de/texts_of_law/7.1-1" TargetMode="External" Id="rId73"/><Relationship Type="http://schemas.openxmlformats.org/officeDocument/2006/relationships/hyperlink" Target="https://cms.e-mitwirkung.ch/media/wil/Reglement_221013.pdf" TargetMode="External" Id="rId74"/><Relationship Type="http://schemas.openxmlformats.org/officeDocument/2006/relationships/hyperlink" Target="https://wil-sg.tlex.ch/app/de/texts_of_law/7.1-1" TargetMode="External" Id="rId75"/><Relationship Type="http://schemas.openxmlformats.org/officeDocument/2006/relationships/hyperlink" Target="https://www.stadtwil.ch/storage/8ae27a52e6272acbe7a00ddad257f439fbae9a367f80166a75d97ea28f6771cf" TargetMode="External" Id="rId76"/><Relationship Type="http://schemas.openxmlformats.org/officeDocument/2006/relationships/hyperlink" Target="https://wil-sg.tlex.ch/app/de/texts_of_law/1.6-4" TargetMode="External" Id="rId77"/><Relationship Type="http://schemas.openxmlformats.org/officeDocument/2006/relationships/hyperlink" Target="https://www.seelisberg.ch/files/pdf/Bau-und-Zonenordnung-Seelisberg.pdf" TargetMode="External" Id="rId78"/><Relationship Type="http://schemas.openxmlformats.org/officeDocument/2006/relationships/hyperlink" Target="https://geo.ur.ch/" TargetMode="External" Id="rId79"/><Relationship Type="http://schemas.openxmlformats.org/officeDocument/2006/relationships/hyperlink" Target="https://www.ur.ch/_docn/385540/Inventarliste_Seelisberg_Website.pdf" TargetMode="External" Id="rId80"/><Relationship Type="http://schemas.openxmlformats.org/officeDocument/2006/relationships/hyperlink" Target="https://www.seelisberg.ch/" TargetMode="External" Id="rId81"/><Relationship Type="http://schemas.openxmlformats.org/officeDocument/2006/relationships/hyperlink" Target="https://www.seelisberg.ch/files/pdf/Verordnung_&#252;ber_die_Wasserversorgung.pdf" TargetMode="External" Id="rId82"/><Relationship Type="http://schemas.openxmlformats.org/officeDocument/2006/relationships/hyperlink" Target="https://www.seelisberg.ch/files/pdf/Bau-und-Zonenordnung-Seelisberg.pdf" TargetMode="External" Id="rId83"/><Relationship Type="http://schemas.openxmlformats.org/officeDocument/2006/relationships/hyperlink" Target="https://www.seelisberg.ch/" TargetMode="External" Id="rId84"/></Relationships>
</file>

<file path=xl/worksheets/_rels/sheet3.xml.rels><Relationships xmlns="http://schemas.openxmlformats.org/package/2006/relationships"><Relationship Type="http://schemas.openxmlformats.org/officeDocument/2006/relationships/hyperlink" Target="https://map.geo.admin.ch/" TargetMode="External" Id="rId1"/><Relationship Type="http://schemas.openxmlformats.org/officeDocument/2006/relationships/hyperlink" Target="https://map.geo.admin.ch/" TargetMode="External" Id="rId2"/><Relationship Type="http://schemas.openxmlformats.org/officeDocument/2006/relationships/hyperlink" Target="https://map.geo.admin.ch/" TargetMode="External" Id="rId3"/><Relationship Type="http://schemas.openxmlformats.org/officeDocument/2006/relationships/hyperlink" Target="https://map.geo.admin.ch/" TargetMode="External" Id="rId4"/><Relationship Type="http://schemas.openxmlformats.org/officeDocument/2006/relationships/hyperlink" Target="https://map.geo.admin.ch/" TargetMode="External" Id="rId5"/><Relationship Type="http://schemas.openxmlformats.org/officeDocument/2006/relationships/hyperlink" Target="https://www.are.admin.ch/" TargetMode="External" Id="rId6"/><Relationship Type="http://schemas.openxmlformats.org/officeDocument/2006/relationships/hyperlink" Target="https://www.bafu.admin.ch/" TargetMode="External" Id="rId7"/><Relationship Type="http://schemas.openxmlformats.org/officeDocument/2006/relationships/hyperlink" Target="https://map.geo.admin.ch/" TargetMode="External" Id="rId8"/><Relationship Type="http://schemas.openxmlformats.org/officeDocument/2006/relationships/hyperlink" Target="https://www.are.admin.ch/" TargetMode="External" Id="rId9"/><Relationship Type="http://schemas.openxmlformats.org/officeDocument/2006/relationships/hyperlink" Target="https://arp-daten.bl.ch/" TargetMode="External" Id="rId10"/><Relationship Type="http://schemas.openxmlformats.org/officeDocument/2006/relationships/hyperlink" Target="https://geoview.bl.ch/" TargetMode="External" Id="rId11"/><Relationship Type="http://schemas.openxmlformats.org/officeDocument/2006/relationships/hyperlink" Target="https://www.geoportal.ch/ktsg" TargetMode="External" Id="rId12"/><Relationship Type="http://schemas.openxmlformats.org/officeDocument/2006/relationships/hyperlink" Target="https://www.geoportal.ch/ktsg" TargetMode="External" Id="rId13"/><Relationship Type="http://schemas.openxmlformats.org/officeDocument/2006/relationships/hyperlink" Target="https://geo.ur.ch/" TargetMode="External" Id="rId14"/><Relationship Type="http://schemas.openxmlformats.org/officeDocument/2006/relationships/hyperlink" Target="https://geo.ur.ch/" TargetMode="External" Id="rId15"/><Relationship Type="http://schemas.openxmlformats.org/officeDocument/2006/relationships/hyperlink" Target="https://oereblex.bl.ch/api/attachments/22718" TargetMode="External" Id="rId16"/><Relationship Type="http://schemas.openxmlformats.org/officeDocument/2006/relationships/hyperlink" Target="https://www.geoportal.ch/muenchenstein" TargetMode="External" Id="rId17"/><Relationship Type="http://schemas.openxmlformats.org/officeDocument/2006/relationships/hyperlink" Target="https://cms.e-mitwirkung.ch/media/wil/Reglement_221013.pdf" TargetMode="External" Id="rId18"/><Relationship Type="http://schemas.openxmlformats.org/officeDocument/2006/relationships/hyperlink" Target="https://www.geoportal.ch/wil_sg" TargetMode="External" Id="rId19"/><Relationship Type="http://schemas.openxmlformats.org/officeDocument/2006/relationships/hyperlink" Target="https://www.ur.ch/_docn/385540/Inventarliste_Seelisberg_Website.pdf" TargetMode="External" Id="rId20"/><Relationship Type="http://schemas.openxmlformats.org/officeDocument/2006/relationships/hyperlink" Target="https://www.seelisberg.ch/files/pdf/Bau-und-Zonenordnung-Seelisberg.pdf" TargetMode="External" Id="rId21"/><Relationship Type="http://schemas.openxmlformats.org/officeDocument/2006/relationships/hyperlink" Target="https://www.fedlex.admin.ch/" TargetMode="External" Id="rId22"/><Relationship Type="http://schemas.openxmlformats.org/officeDocument/2006/relationships/hyperlink" Target="https://www.fedlex.admin.ch/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afu.admin.ch/" TargetMode="External" Id="rId1"/><Relationship Type="http://schemas.openxmlformats.org/officeDocument/2006/relationships/hyperlink" Target="https://map.geo.admin.ch/" TargetMode="External" Id="rId2"/><Relationship Type="http://schemas.openxmlformats.org/officeDocument/2006/relationships/hyperlink" Target="https://map.geo.admin.ch/" TargetMode="External" Id="rId3"/><Relationship Type="http://schemas.openxmlformats.org/officeDocument/2006/relationships/hyperlink" Target="https://map.geo.admin.ch/" TargetMode="External" Id="rId4"/><Relationship Type="http://schemas.openxmlformats.org/officeDocument/2006/relationships/hyperlink" Target="https://www.bafu.admin.ch/" TargetMode="External" Id="rId5"/><Relationship Type="http://schemas.openxmlformats.org/officeDocument/2006/relationships/hyperlink" Target="https://www.sia.ch/" TargetMode="External" Id="rId6"/><Relationship Type="http://schemas.openxmlformats.org/officeDocument/2006/relationships/hyperlink" Target="https://bl.clex.ch/app/de/texts_of_law/490" TargetMode="External" Id="rId7"/><Relationship Type="http://schemas.openxmlformats.org/officeDocument/2006/relationships/hyperlink" Target="https://geoview.bl.ch/" TargetMode="External" Id="rId8"/><Relationship Type="http://schemas.openxmlformats.org/officeDocument/2006/relationships/hyperlink" Target="https://www.gesetzessammlung.sg.ch/app/de/texts_of_law/741.1" TargetMode="External" Id="rId9"/><Relationship Type="http://schemas.openxmlformats.org/officeDocument/2006/relationships/hyperlink" Target="https://www.geoportal.ch/ktsg" TargetMode="External" Id="rId10"/><Relationship Type="http://schemas.openxmlformats.org/officeDocument/2006/relationships/hyperlink" Target="https://rechtsbuch.ur.ch/app/de/texts_of_law/40.7211" TargetMode="External" Id="rId11"/><Relationship Type="http://schemas.openxmlformats.org/officeDocument/2006/relationships/hyperlink" Target="https://www.ur.ch/" TargetMode="External" Id="rId12"/><Relationship Type="http://schemas.openxmlformats.org/officeDocument/2006/relationships/hyperlink" Target="https://oereblex.bl.ch/api/attachments/22718" TargetMode="External" Id="rId13"/><Relationship Type="http://schemas.openxmlformats.org/officeDocument/2006/relationships/hyperlink" Target="https://www.muenchenstein.ch/" TargetMode="External" Id="rId14"/><Relationship Type="http://schemas.openxmlformats.org/officeDocument/2006/relationships/hyperlink" Target="https://www.stadtwil.ch/storage/0c6b26d62a364629241b9c9e4535a6b58c82d46aeb166b034ae96c29862a1331" TargetMode="External" Id="rId15"/><Relationship Type="http://schemas.openxmlformats.org/officeDocument/2006/relationships/hyperlink" Target="https://wil-sg.tlex.ch/app/de/texts_of_law/7.1-1" TargetMode="External" Id="rId16"/><Relationship Type="http://schemas.openxmlformats.org/officeDocument/2006/relationships/hyperlink" Target="https://www.stadtwil.ch/" TargetMode="External" Id="rId17"/><Relationship Type="http://schemas.openxmlformats.org/officeDocument/2006/relationships/hyperlink" Target="https://www.seelisberg.ch/" TargetMode="External" Id="rId18"/><Relationship Type="http://schemas.openxmlformats.org/officeDocument/2006/relationships/hyperlink" Target="https://www.fedlex.admin.ch/" TargetMode="External" Id="rId19"/><Relationship Type="http://schemas.openxmlformats.org/officeDocument/2006/relationships/hyperlink" Target="https://www.fedlex.admin.ch/" TargetMode="External" Id="rId2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eo.admin.ch/" TargetMode="External" Id="rId1"/><Relationship Type="http://schemas.openxmlformats.org/officeDocument/2006/relationships/hyperlink" Target="https://map.geo.admin.ch/" TargetMode="External" Id="rId2"/><Relationship Type="http://schemas.openxmlformats.org/officeDocument/2006/relationships/hyperlink" Target="https://www.bafu.admin.ch/" TargetMode="External" Id="rId3"/><Relationship Type="http://schemas.openxmlformats.org/officeDocument/2006/relationships/hyperlink" Target="https://www.bafu.admin.ch/" TargetMode="External" Id="rId4"/><Relationship Type="http://schemas.openxmlformats.org/officeDocument/2006/relationships/hyperlink" Target="https://map.geo.admin.ch/" TargetMode="External" Id="rId5"/><Relationship Type="http://schemas.openxmlformats.org/officeDocument/2006/relationships/hyperlink" Target="https://map.geo.admin.ch/" TargetMode="External" Id="rId6"/><Relationship Type="http://schemas.openxmlformats.org/officeDocument/2006/relationships/hyperlink" Target="https://geoview.bl.ch/" TargetMode="External" Id="rId7"/><Relationship Type="http://schemas.openxmlformats.org/officeDocument/2006/relationships/hyperlink" Target="https://geoview.bl.ch/" TargetMode="External" Id="rId8"/><Relationship Type="http://schemas.openxmlformats.org/officeDocument/2006/relationships/hyperlink" Target="https://www.geoportal.ch/ktsg/map/3502?y=2717572.22&amp;x=1252351.20&amp;scale=50000&amp;rotation=0" TargetMode="External" Id="rId9"/><Relationship Type="http://schemas.openxmlformats.org/officeDocument/2006/relationships/hyperlink" Target="https://www.geoportal.ch/ktsg" TargetMode="External" Id="rId10"/><Relationship Type="http://schemas.openxmlformats.org/officeDocument/2006/relationships/hyperlink" Target="https://geo.ur.ch/" TargetMode="External" Id="rId11"/><Relationship Type="http://schemas.openxmlformats.org/officeDocument/2006/relationships/hyperlink" Target="https://geo.ur.ch/" TargetMode="External" Id="rId12"/><Relationship Type="http://schemas.openxmlformats.org/officeDocument/2006/relationships/hyperlink" Target="https://www.muenchenstein.ch/_docn/5130739/TR_5.4_Abwasserreglement_vom_28._Oktober_2020_-_Stand_07.01.2021.pdf" TargetMode="External" Id="rId13"/><Relationship Type="http://schemas.openxmlformats.org/officeDocument/2006/relationships/hyperlink" Target="https://www.geoportal.ch/muenchenstein/map/1037?y=2611563.50&amp;x=1263436.40&amp;scale=25000&amp;rotation=0" TargetMode="External" Id="rId14"/><Relationship Type="http://schemas.openxmlformats.org/officeDocument/2006/relationships/hyperlink" Target="https://www.stadtwil.ch/storage/8ae27a52e6272acbe7a00ddad257f439fbae9a367f80166a75d97ea28f6771cf" TargetMode="External" Id="rId15"/><Relationship Type="http://schemas.openxmlformats.org/officeDocument/2006/relationships/hyperlink" Target="https://www.stadtwil.ch/" TargetMode="External" Id="rId16"/><Relationship Type="http://schemas.openxmlformats.org/officeDocument/2006/relationships/hyperlink" Target="https://www.seelisberg.ch/files/pdf/Verordnung_&#252;ber_die_Wasserversorgung.pdf" TargetMode="External" Id="rId17"/><Relationship Type="http://schemas.openxmlformats.org/officeDocument/2006/relationships/hyperlink" Target="https://www.seelisberg.ch/files/pdf/Bau-und-Zonenordnung-Seelisberg.pdf" TargetMode="External" Id="rId18"/><Relationship Type="http://schemas.openxmlformats.org/officeDocument/2006/relationships/hyperlink" Target="https://www.seelisberg.ch/" TargetMode="External" Id="rId19"/><Relationship Type="http://schemas.openxmlformats.org/officeDocument/2006/relationships/hyperlink" Target="https://www.fedlex.admin.ch/" TargetMode="External" Id="rId20"/><Relationship Type="http://schemas.openxmlformats.org/officeDocument/2006/relationships/hyperlink" Target="https://www.fedlex.admin.ch/" TargetMode="Externa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map.geo.admin.ch/" TargetMode="External" Id="rId1"/><Relationship Type="http://schemas.openxmlformats.org/officeDocument/2006/relationships/hyperlink" Target="https://map.geo.admin.ch/" TargetMode="External" Id="rId2"/><Relationship Type="http://schemas.openxmlformats.org/officeDocument/2006/relationships/hyperlink" Target="https://map.geo.admin.ch/" TargetMode="External" Id="rId3"/><Relationship Type="http://schemas.openxmlformats.org/officeDocument/2006/relationships/hyperlink" Target="https://map.geo.admin.ch/" TargetMode="External" Id="rId4"/><Relationship Type="http://schemas.openxmlformats.org/officeDocument/2006/relationships/hyperlink" Target="https://www.bak.admin.ch/" TargetMode="External" Id="rId5"/><Relationship Type="http://schemas.openxmlformats.org/officeDocument/2006/relationships/hyperlink" Target="https://www.geoportal.ch/muenchenstein/map/912?y=2611965.69&amp;x=1263213.43&amp;scale=17500&amp;rotation=0" TargetMode="External" Id="rId6"/><Relationship Type="http://schemas.openxmlformats.org/officeDocument/2006/relationships/hyperlink" Target="https://www.baselland.ch/" TargetMode="External" Id="rId7"/><Relationship Type="http://schemas.openxmlformats.org/officeDocument/2006/relationships/hyperlink" Target="https://www.geoportal.ch/ktsg" TargetMode="External" Id="rId8"/><Relationship Type="http://schemas.openxmlformats.org/officeDocument/2006/relationships/hyperlink" Target="https://geo.ur.ch/" TargetMode="External" Id="rId9"/><Relationship Type="http://schemas.openxmlformats.org/officeDocument/2006/relationships/hyperlink" Target="https://geo.ur.ch/" TargetMode="External" Id="rId10"/><Relationship Type="http://schemas.openxmlformats.org/officeDocument/2006/relationships/hyperlink" Target="https://oereblex.bl.ch/api/attachments/22718" TargetMode="External" Id="rId11"/><Relationship Type="http://schemas.openxmlformats.org/officeDocument/2006/relationships/hyperlink" Target="https://www.geoportal.ch/muenchenstein" TargetMode="External" Id="rId12"/><Relationship Type="http://schemas.openxmlformats.org/officeDocument/2006/relationships/hyperlink" Target="https://cms.e-mitwirkung.ch/media/wil/Reglement_221013.pdf" TargetMode="External" Id="rId13"/><Relationship Type="http://schemas.openxmlformats.org/officeDocument/2006/relationships/hyperlink" Target="https://www.geoportal.ch/wil_sg" TargetMode="External" Id="rId14"/><Relationship Type="http://schemas.openxmlformats.org/officeDocument/2006/relationships/hyperlink" Target="https://www.seelisberg.ch/files/pdf/Bau-und-Zonenordnung-Seelisberg.pdf" TargetMode="External" Id="rId15"/><Relationship Type="http://schemas.openxmlformats.org/officeDocument/2006/relationships/hyperlink" Target="https://www.seelisberg.ch/files/pdf/Bau-und-Zonenordnung-Seelisberg.pdf" TargetMode="External" Id="rId16"/><Relationship Type="http://schemas.openxmlformats.org/officeDocument/2006/relationships/hyperlink" Target="https://www.fedlex.admin.ch/" TargetMode="External" Id="rId17"/><Relationship Type="http://schemas.openxmlformats.org/officeDocument/2006/relationships/hyperlink" Target="https://www.fedlex.admin.ch/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imap.ch/" TargetMode="External" Id="rId1"/><Relationship Type="http://schemas.openxmlformats.org/officeDocument/2006/relationships/hyperlink" Target="https://www.kbob.admin.ch/" TargetMode="External" Id="rId2"/><Relationship Type="http://schemas.openxmlformats.org/officeDocument/2006/relationships/hyperlink" Target="https://www.sia.ch/" TargetMode="External" Id="rId3"/><Relationship Type="http://schemas.openxmlformats.org/officeDocument/2006/relationships/hyperlink" Target="https://www.bpuk.ch/fileadmin/Dokumente/bpuk/public/de/konkordate/ivoeb/INTERKANTONALE%2BVEREINBARUNG%2B%25c3%259cBER%2BDAS%2B%25c3%2596FFENTLICHE%2BBESCHAFFUNGSWESEN%2B%28IV%25c3%25b6B%29.pdf" TargetMode="External" Id="rId4"/><Relationship Type="http://schemas.openxmlformats.org/officeDocument/2006/relationships/hyperlink" Target="https://www.bpuk.ch/" TargetMode="External" Id="rId5"/><Relationship Type="http://schemas.openxmlformats.org/officeDocument/2006/relationships/hyperlink" Target="https://bl.clex.ch/app/de/texts_of_law/420.11" TargetMode="External" Id="rId6"/><Relationship Type="http://schemas.openxmlformats.org/officeDocument/2006/relationships/hyperlink" Target="https://www.baselland.ch/" TargetMode="External" Id="rId7"/><Relationship Type="http://schemas.openxmlformats.org/officeDocument/2006/relationships/hyperlink" Target="https://bl.clex.ch/app/de/texts_of_law/400" TargetMode="External" Id="rId8"/><Relationship Type="http://schemas.openxmlformats.org/officeDocument/2006/relationships/hyperlink" Target="https://www.gesetzessammlung.sg.ch/app/de/texts_of_law/841.11" TargetMode="External" Id="rId9"/><Relationship Type="http://schemas.openxmlformats.org/officeDocument/2006/relationships/hyperlink" Target="https://www.gesetzessammlung.sg.ch/app/de/texts_of_law/841.1" TargetMode="External" Id="rId10"/><Relationship Type="http://schemas.openxmlformats.org/officeDocument/2006/relationships/hyperlink" Target="https://www.gesetzessammlung.sg.ch/data/731.1/de" TargetMode="External" Id="rId11"/><Relationship Type="http://schemas.openxmlformats.org/officeDocument/2006/relationships/hyperlink" Target="https://www.ur.ch/_doc/337571" TargetMode="External" Id="rId12"/><Relationship Type="http://schemas.openxmlformats.org/officeDocument/2006/relationships/hyperlink" Target="https://www.ur.ch/_doc/337571" TargetMode="External" Id="rId13"/><Relationship Type="http://schemas.openxmlformats.org/officeDocument/2006/relationships/hyperlink" Target="https://www.ur.ch/_doc/337571" TargetMode="External" Id="rId14"/><Relationship Type="http://schemas.openxmlformats.org/officeDocument/2006/relationships/hyperlink" Target="https://rechtsbuch.ur.ch/app/de/texts_of_law/40.1111" TargetMode="External" Id="rId15"/><Relationship Type="http://schemas.openxmlformats.org/officeDocument/2006/relationships/hyperlink" Target="https://www.muenchenstein.ch/" TargetMode="External" Id="rId16"/><Relationship Type="http://schemas.openxmlformats.org/officeDocument/2006/relationships/hyperlink" Target="https://www.simap.ch/" TargetMode="External" Id="rId17"/><Relationship Type="http://schemas.openxmlformats.org/officeDocument/2006/relationships/hyperlink" Target="https://wil-sg.tlex.ch/app/de/texts_of_law/1.6-4" TargetMode="External" Id="rId18"/><Relationship Type="http://schemas.openxmlformats.org/officeDocument/2006/relationships/hyperlink" Target="https://www.simap.ch/" TargetMode="External" Id="rId19"/><Relationship Type="http://schemas.openxmlformats.org/officeDocument/2006/relationships/hyperlink" Target="https://www.seelisberg.ch/" TargetMode="External" Id="rId20"/><Relationship Type="http://schemas.openxmlformats.org/officeDocument/2006/relationships/hyperlink" Target="https://www.simap.ch/" TargetMode="External" Id="rId21"/><Relationship Type="http://schemas.openxmlformats.org/officeDocument/2006/relationships/hyperlink" Target="https://www.fedlex.admin.ch/" TargetMode="External" Id="rId22"/><Relationship Type="http://schemas.openxmlformats.org/officeDocument/2006/relationships/hyperlink" Target="https://www.fedlex.admin.ch/" TargetMode="External" Id="rId23"/></Relationships>
</file>

<file path=xl/worksheets/_rels/sheet8.xml.rels><Relationships xmlns="http://schemas.openxmlformats.org/package/2006/relationships"><Relationship Type="http://schemas.openxmlformats.org/officeDocument/2006/relationships/hyperlink" Target="https://map.geo.admin.ch/" TargetMode="External" Id="rId1"/><Relationship Type="http://schemas.openxmlformats.org/officeDocument/2006/relationships/hyperlink" Target="https://map.geo.admin.ch/" TargetMode="External" Id="rId2"/><Relationship Type="http://schemas.openxmlformats.org/officeDocument/2006/relationships/hyperlink" Target="https://map.geo.admin.ch/" TargetMode="External" Id="rId3"/><Relationship Type="http://schemas.openxmlformats.org/officeDocument/2006/relationships/hyperlink" Target="https://map.geo.admin.ch/" TargetMode="External" Id="rId4"/><Relationship Type="http://schemas.openxmlformats.org/officeDocument/2006/relationships/hyperlink" Target="https://map.geo.admin.ch/" TargetMode="External" Id="rId5"/><Relationship Type="http://schemas.openxmlformats.org/officeDocument/2006/relationships/hyperlink" Target="https://map.geo.admin.ch/" TargetMode="External" Id="rId6"/><Relationship Type="http://schemas.openxmlformats.org/officeDocument/2006/relationships/hyperlink" Target="https://map.geo.admin.ch/" TargetMode="External" Id="rId7"/><Relationship Type="http://schemas.openxmlformats.org/officeDocument/2006/relationships/hyperlink" Target="https://map.geo.admin.ch/" TargetMode="External" Id="rId8"/><Relationship Type="http://schemas.openxmlformats.org/officeDocument/2006/relationships/hyperlink" Target="https://map.geo.admin.ch/" TargetMode="External" Id="rId9"/><Relationship Type="http://schemas.openxmlformats.org/officeDocument/2006/relationships/hyperlink" Target="https://map.geo.admin.ch/" TargetMode="External" Id="rId10"/><Relationship Type="http://schemas.openxmlformats.org/officeDocument/2006/relationships/hyperlink" Target="https://map.geo.admin.ch/" TargetMode="External" Id="rId11"/><Relationship Type="http://schemas.openxmlformats.org/officeDocument/2006/relationships/hyperlink" Target="https://map.geo.admin.ch/" TargetMode="External" Id="rId12"/><Relationship Type="http://schemas.openxmlformats.org/officeDocument/2006/relationships/hyperlink" Target="https://map.geo.admin.ch/" TargetMode="External" Id="rId13"/><Relationship Type="http://schemas.openxmlformats.org/officeDocument/2006/relationships/hyperlink" Target="https://map.geo.admin.ch/" TargetMode="External" Id="rId14"/><Relationship Type="http://schemas.openxmlformats.org/officeDocument/2006/relationships/hyperlink" Target="https://map.geo.admin.ch/" TargetMode="External" Id="rId15"/><Relationship Type="http://schemas.openxmlformats.org/officeDocument/2006/relationships/hyperlink" Target="https://map.geo.admin.ch/" TargetMode="External" Id="rId16"/><Relationship Type="http://schemas.openxmlformats.org/officeDocument/2006/relationships/hyperlink" Target="https://map.geo.admin.ch/" TargetMode="External" Id="rId17"/><Relationship Type="http://schemas.openxmlformats.org/officeDocument/2006/relationships/hyperlink" Target="https://map.geo.admin.ch/" TargetMode="External" Id="rId18"/><Relationship Type="http://schemas.openxmlformats.org/officeDocument/2006/relationships/hyperlink" Target="https://map.geo.admin.ch/" TargetMode="External" Id="rId19"/><Relationship Type="http://schemas.openxmlformats.org/officeDocument/2006/relationships/hyperlink" Target="https://map.geo.admin.ch/" TargetMode="External" Id="rId20"/><Relationship Type="http://schemas.openxmlformats.org/officeDocument/2006/relationships/hyperlink" Target="https://map.geo.admin.ch/" TargetMode="External" Id="rId21"/><Relationship Type="http://schemas.openxmlformats.org/officeDocument/2006/relationships/hyperlink" Target="https://map.geo.admin.ch/" TargetMode="External" Id="rId22"/><Relationship Type="http://schemas.openxmlformats.org/officeDocument/2006/relationships/hyperlink" Target="https://map.geo.admin.ch/" TargetMode="External" Id="rId23"/><Relationship Type="http://schemas.openxmlformats.org/officeDocument/2006/relationships/hyperlink" Target="https://map.geo.admin.ch/" TargetMode="External" Id="rId24"/><Relationship Type="http://schemas.openxmlformats.org/officeDocument/2006/relationships/hyperlink" Target="https://map.geo.admin.ch/" TargetMode="External" Id="rId25"/><Relationship Type="http://schemas.openxmlformats.org/officeDocument/2006/relationships/hyperlink" Target="https://map.geo.admin.ch/" TargetMode="External" Id="rId26"/><Relationship Type="http://schemas.openxmlformats.org/officeDocument/2006/relationships/hyperlink" Target="https://map.geo.admin.ch/" TargetMode="External" Id="rId27"/><Relationship Type="http://schemas.openxmlformats.org/officeDocument/2006/relationships/hyperlink" Target="https://map.geo.admin.ch/" TargetMode="External" Id="rId28"/><Relationship Type="http://schemas.openxmlformats.org/officeDocument/2006/relationships/hyperlink" Target="https://map.geo.admin.ch/" TargetMode="External" Id="rId29"/><Relationship Type="http://schemas.openxmlformats.org/officeDocument/2006/relationships/hyperlink" Target="https://map.geo.admin.ch/" TargetMode="External" Id="rId30"/><Relationship Type="http://schemas.openxmlformats.org/officeDocument/2006/relationships/hyperlink" Target="https://map.geo.admin.ch/" TargetMode="External" Id="rId31"/><Relationship Type="http://schemas.openxmlformats.org/officeDocument/2006/relationships/hyperlink" Target="https://map.geo.admin.ch/" TargetMode="External" Id="rId32"/><Relationship Type="http://schemas.openxmlformats.org/officeDocument/2006/relationships/hyperlink" Target="https://map.geo.admin.ch/" TargetMode="External" Id="rId33"/><Relationship Type="http://schemas.openxmlformats.org/officeDocument/2006/relationships/hyperlink" Target="https://map.geo.admin.ch/" TargetMode="External" Id="rId34"/><Relationship Type="http://schemas.openxmlformats.org/officeDocument/2006/relationships/hyperlink" Target="https://map.geo.admin.ch/" TargetMode="External" Id="rId35"/><Relationship Type="http://schemas.openxmlformats.org/officeDocument/2006/relationships/hyperlink" Target="https://map.geo.admin.ch/" TargetMode="External" Id="rId36"/><Relationship Type="http://schemas.openxmlformats.org/officeDocument/2006/relationships/hyperlink" Target="https://map.geo.admin.ch/" TargetMode="External" Id="rId37"/><Relationship Type="http://schemas.openxmlformats.org/officeDocument/2006/relationships/hyperlink" Target="https://map.geo.admin.ch/" TargetMode="External" Id="rId38"/><Relationship Type="http://schemas.openxmlformats.org/officeDocument/2006/relationships/hyperlink" Target="https://map.geo.admin.ch/" TargetMode="External" Id="rId39"/><Relationship Type="http://schemas.openxmlformats.org/officeDocument/2006/relationships/hyperlink" Target="https://map.geo.admin.ch/" TargetMode="External" Id="rId40"/><Relationship Type="http://schemas.openxmlformats.org/officeDocument/2006/relationships/hyperlink" Target="https://map.geo.admin.ch/" TargetMode="External" Id="rId41"/><Relationship Type="http://schemas.openxmlformats.org/officeDocument/2006/relationships/hyperlink" Target="https://map.geo.admin.ch/" TargetMode="External" Id="rId42"/><Relationship Type="http://schemas.openxmlformats.org/officeDocument/2006/relationships/hyperlink" Target="https://map.geo.admin.ch/" TargetMode="External" Id="rId43"/><Relationship Type="http://schemas.openxmlformats.org/officeDocument/2006/relationships/hyperlink" Target="https://map.geo.admin.ch/" TargetMode="External" Id="rId44"/><Relationship Type="http://schemas.openxmlformats.org/officeDocument/2006/relationships/hyperlink" Target="https://map.geo.admin.ch/" TargetMode="External" Id="rId45"/><Relationship Type="http://schemas.openxmlformats.org/officeDocument/2006/relationships/hyperlink" Target="https://map.geo.admin.ch/" TargetMode="External" Id="rId46"/><Relationship Type="http://schemas.openxmlformats.org/officeDocument/2006/relationships/hyperlink" Target="https://map.geo.admin.ch/" TargetMode="External" Id="rId47"/><Relationship Type="http://schemas.openxmlformats.org/officeDocument/2006/relationships/hyperlink" Target="https://map.geo.admin.ch/" TargetMode="External" Id="rId48"/><Relationship Type="http://schemas.openxmlformats.org/officeDocument/2006/relationships/hyperlink" Target="https://map.geo.admin.ch/" TargetMode="External" Id="rId49"/><Relationship Type="http://schemas.openxmlformats.org/officeDocument/2006/relationships/hyperlink" Target="https://map.geo.admin.ch/" TargetMode="External" Id="rId50"/><Relationship Type="http://schemas.openxmlformats.org/officeDocument/2006/relationships/hyperlink" Target="https://map.geo.admin.ch/" TargetMode="External" Id="rId51"/><Relationship Type="http://schemas.openxmlformats.org/officeDocument/2006/relationships/hyperlink" Target="https://map.geo.admin.ch/" TargetMode="External" Id="rId52"/><Relationship Type="http://schemas.openxmlformats.org/officeDocument/2006/relationships/hyperlink" Target="https://map.geo.admin.ch/" TargetMode="External" Id="rId53"/><Relationship Type="http://schemas.openxmlformats.org/officeDocument/2006/relationships/hyperlink" Target="https://map.geo.admin.ch/" TargetMode="External" Id="rId54"/><Relationship Type="http://schemas.openxmlformats.org/officeDocument/2006/relationships/hyperlink" Target="https://map.geo.admin.ch/" TargetMode="External" Id="rId55"/><Relationship Type="http://schemas.openxmlformats.org/officeDocument/2006/relationships/hyperlink" Target="https://map.geo.admin.ch/" TargetMode="External" Id="rId56"/><Relationship Type="http://schemas.openxmlformats.org/officeDocument/2006/relationships/hyperlink" Target="https://map.geo.admin.ch/" TargetMode="External" Id="rId57"/><Relationship Type="http://schemas.openxmlformats.org/officeDocument/2006/relationships/hyperlink" Target="https://map.geo.admin.ch/" TargetMode="External" Id="rId58"/><Relationship Type="http://schemas.openxmlformats.org/officeDocument/2006/relationships/hyperlink" Target="https://map.geo.admin.ch/" TargetMode="External" Id="rId59"/><Relationship Type="http://schemas.openxmlformats.org/officeDocument/2006/relationships/hyperlink" Target="https://map.geo.admin.ch/" TargetMode="External" Id="rId60"/><Relationship Type="http://schemas.openxmlformats.org/officeDocument/2006/relationships/hyperlink" Target="https://map.geo.admin.ch/" TargetMode="External" Id="rId61"/><Relationship Type="http://schemas.openxmlformats.org/officeDocument/2006/relationships/hyperlink" Target="https://map.geo.admin.ch/" TargetMode="External" Id="rId62"/><Relationship Type="http://schemas.openxmlformats.org/officeDocument/2006/relationships/hyperlink" Target="https://map.geo.admin.ch/" TargetMode="External" Id="rId63"/><Relationship Type="http://schemas.openxmlformats.org/officeDocument/2006/relationships/hyperlink" Target="https://map.geo.admin.ch/" TargetMode="External" Id="rId64"/><Relationship Type="http://schemas.openxmlformats.org/officeDocument/2006/relationships/hyperlink" Target="https://map.geo.admin.ch/" TargetMode="External" Id="rId65"/><Relationship Type="http://schemas.openxmlformats.org/officeDocument/2006/relationships/hyperlink" Target="https://map.geo.admin.ch/" TargetMode="External" Id="rId66"/><Relationship Type="http://schemas.openxmlformats.org/officeDocument/2006/relationships/hyperlink" Target="https://map.geo.admin.ch/" TargetMode="External" Id="rId67"/><Relationship Type="http://schemas.openxmlformats.org/officeDocument/2006/relationships/hyperlink" Target="https://map.geo.admin.ch/" TargetMode="External" Id="rId68"/><Relationship Type="http://schemas.openxmlformats.org/officeDocument/2006/relationships/hyperlink" Target="https://map.geo.admin.ch/" TargetMode="External" Id="rId69"/><Relationship Type="http://schemas.openxmlformats.org/officeDocument/2006/relationships/hyperlink" Target="https://map.geo.admin.ch/" TargetMode="External" Id="rId70"/><Relationship Type="http://schemas.openxmlformats.org/officeDocument/2006/relationships/hyperlink" Target="https://map.geo.admin.ch/" TargetMode="External" Id="rId71"/><Relationship Type="http://schemas.openxmlformats.org/officeDocument/2006/relationships/hyperlink" Target="https://map.geo.admin.ch/" TargetMode="External" Id="rId72"/><Relationship Type="http://schemas.openxmlformats.org/officeDocument/2006/relationships/hyperlink" Target="https://map.geo.admin.ch/" TargetMode="External" Id="rId73"/><Relationship Type="http://schemas.openxmlformats.org/officeDocument/2006/relationships/hyperlink" Target="https://map.geo.admin.ch/" TargetMode="External" Id="rId74"/><Relationship Type="http://schemas.openxmlformats.org/officeDocument/2006/relationships/hyperlink" Target="https://map.geo.admin.ch/" TargetMode="External" Id="rId75"/><Relationship Type="http://schemas.openxmlformats.org/officeDocument/2006/relationships/hyperlink" Target="https://map.geo.admin.ch/" TargetMode="External" Id="rId76"/><Relationship Type="http://schemas.openxmlformats.org/officeDocument/2006/relationships/hyperlink" Target="https://map.geo.admin.ch/" TargetMode="External" Id="rId77"/><Relationship Type="http://schemas.openxmlformats.org/officeDocument/2006/relationships/hyperlink" Target="https://map.geo.admin.ch/" TargetMode="External" Id="rId78"/><Relationship Type="http://schemas.openxmlformats.org/officeDocument/2006/relationships/hyperlink" Target="https://map.geo.admin.ch/" TargetMode="External" Id="rId79"/><Relationship Type="http://schemas.openxmlformats.org/officeDocument/2006/relationships/hyperlink" Target="https://map.geo.admin.ch/" TargetMode="External" Id="rId80"/><Relationship Type="http://schemas.openxmlformats.org/officeDocument/2006/relationships/hyperlink" Target="https://map.geo.admin.ch/" TargetMode="External" Id="rId81"/><Relationship Type="http://schemas.openxmlformats.org/officeDocument/2006/relationships/hyperlink" Target="https://map.geo.admin.ch/" TargetMode="External" Id="rId82"/><Relationship Type="http://schemas.openxmlformats.org/officeDocument/2006/relationships/hyperlink" Target="https://map.geo.admin.ch/" TargetMode="External" Id="rId83"/><Relationship Type="http://schemas.openxmlformats.org/officeDocument/2006/relationships/hyperlink" Target="https://map.geo.admin.ch/" TargetMode="External" Id="rId84"/><Relationship Type="http://schemas.openxmlformats.org/officeDocument/2006/relationships/hyperlink" Target="https://map.geo.admin.ch/" TargetMode="External" Id="rId85"/><Relationship Type="http://schemas.openxmlformats.org/officeDocument/2006/relationships/hyperlink" Target="https://map.geo.admin.ch/" TargetMode="External" Id="rId86"/><Relationship Type="http://schemas.openxmlformats.org/officeDocument/2006/relationships/hyperlink" Target="https://map.geo.admin.ch/" TargetMode="External" Id="rId87"/><Relationship Type="http://schemas.openxmlformats.org/officeDocument/2006/relationships/hyperlink" Target="https://map.geo.admin.ch/" TargetMode="External" Id="rId88"/><Relationship Type="http://schemas.openxmlformats.org/officeDocument/2006/relationships/hyperlink" Target="https://map.geo.admin.ch/" TargetMode="External" Id="rId89"/><Relationship Type="http://schemas.openxmlformats.org/officeDocument/2006/relationships/hyperlink" Target="https://map.geo.admin.ch/" TargetMode="External" Id="rId90"/><Relationship Type="http://schemas.openxmlformats.org/officeDocument/2006/relationships/hyperlink" Target="https://map.geo.admin.ch/" TargetMode="External" Id="rId91"/><Relationship Type="http://schemas.openxmlformats.org/officeDocument/2006/relationships/hyperlink" Target="https://map.geo.admin.ch/" TargetMode="External" Id="rId92"/><Relationship Type="http://schemas.openxmlformats.org/officeDocument/2006/relationships/hyperlink" Target="https://map.geo.admin.ch/" TargetMode="External" Id="rId93"/><Relationship Type="http://schemas.openxmlformats.org/officeDocument/2006/relationships/hyperlink" Target="https://map.geo.admin.ch/" TargetMode="External" Id="rId94"/><Relationship Type="http://schemas.openxmlformats.org/officeDocument/2006/relationships/hyperlink" Target="https://map.geo.admin.ch/" TargetMode="External" Id="rId95"/><Relationship Type="http://schemas.openxmlformats.org/officeDocument/2006/relationships/hyperlink" Target="https://map.geo.admin.ch/" TargetMode="External" Id="rId96"/><Relationship Type="http://schemas.openxmlformats.org/officeDocument/2006/relationships/hyperlink" Target="https://map.geo.admin.ch/" TargetMode="External" Id="rId97"/><Relationship Type="http://schemas.openxmlformats.org/officeDocument/2006/relationships/hyperlink" Target="https://map.geo.admin.ch/" TargetMode="External" Id="rId98"/><Relationship Type="http://schemas.openxmlformats.org/officeDocument/2006/relationships/hyperlink" Target="https://map.geo.admin.ch/" TargetMode="External" Id="rId99"/><Relationship Type="http://schemas.openxmlformats.org/officeDocument/2006/relationships/hyperlink" Target="https://map.geo.admin.ch/" TargetMode="External" Id="rId100"/><Relationship Type="http://schemas.openxmlformats.org/officeDocument/2006/relationships/hyperlink" Target="https://map.geo.admin.ch/" TargetMode="External" Id="rId101"/><Relationship Type="http://schemas.openxmlformats.org/officeDocument/2006/relationships/hyperlink" Target="https://map.geo.admin.ch/" TargetMode="External" Id="rId102"/><Relationship Type="http://schemas.openxmlformats.org/officeDocument/2006/relationships/hyperlink" Target="https://map.geo.admin.ch/" TargetMode="External" Id="rId103"/><Relationship Type="http://schemas.openxmlformats.org/officeDocument/2006/relationships/hyperlink" Target="https://map.geo.admin.ch/" TargetMode="External" Id="rId104"/><Relationship Type="http://schemas.openxmlformats.org/officeDocument/2006/relationships/hyperlink" Target="https://map.geo.admin.ch/" TargetMode="External" Id="rId105"/><Relationship Type="http://schemas.openxmlformats.org/officeDocument/2006/relationships/hyperlink" Target="https://map.geo.admin.ch/" TargetMode="External" Id="rId106"/><Relationship Type="http://schemas.openxmlformats.org/officeDocument/2006/relationships/hyperlink" Target="https://map.geo.admin.ch/" TargetMode="External" Id="rId107"/><Relationship Type="http://schemas.openxmlformats.org/officeDocument/2006/relationships/hyperlink" Target="https://map.geo.admin.ch/" TargetMode="External" Id="rId108"/><Relationship Type="http://schemas.openxmlformats.org/officeDocument/2006/relationships/hyperlink" Target="https://map.geo.admin.ch/" TargetMode="External" Id="rId109"/><Relationship Type="http://schemas.openxmlformats.org/officeDocument/2006/relationships/hyperlink" Target="https://map.geo.admin.ch/" TargetMode="External" Id="rId110"/><Relationship Type="http://schemas.openxmlformats.org/officeDocument/2006/relationships/hyperlink" Target="https://map.geo.admin.ch/" TargetMode="External" Id="rId111"/><Relationship Type="http://schemas.openxmlformats.org/officeDocument/2006/relationships/hyperlink" Target="https://map.geo.admin.ch/" TargetMode="External" Id="rId112"/><Relationship Type="http://schemas.openxmlformats.org/officeDocument/2006/relationships/hyperlink" Target="https://geoview.bl.ch/?map_x=2613308&amp;map_y=1263110&amp;map_zoom=4&amp;baselayer_opacity=100&amp;baselayer_ref=grundkarte_farbig&amp;tree_group_layers_Naturgefahren=ghk_wassergefahren_ueberschwemmung_wildbach%2Cghk_wassergefahren_ueberschwemmung_talfluesse" TargetMode="External" Id="rId113"/><Relationship Type="http://schemas.openxmlformats.org/officeDocument/2006/relationships/hyperlink" Target="https://arp-daten.bl.ch/" TargetMode="External" Id="rId114"/><Relationship Type="http://schemas.openxmlformats.org/officeDocument/2006/relationships/hyperlink" Target="https://geoview.bl.ch/" TargetMode="External" Id="rId115"/><Relationship Type="http://schemas.openxmlformats.org/officeDocument/2006/relationships/hyperlink" Target="https://www.geoportal.ch/muenchenstein/map/912?y=2611965.69&amp;x=1263213.43&amp;scale=17500&amp;rotation=0" TargetMode="External" Id="rId116"/><Relationship Type="http://schemas.openxmlformats.org/officeDocument/2006/relationships/hyperlink" Target="https://www.geoportal.ch/muenchenstein/map/1037?y=2611563.50&amp;x=1263436.40&amp;scale=25000&amp;rotation=0" TargetMode="External" Id="rId117"/><Relationship Type="http://schemas.openxmlformats.org/officeDocument/2006/relationships/hyperlink" Target="https://www.geoportal.ch/wil_sg/map/101?y=2719905.16&amp;x=1258486.88&amp;scale=25000&amp;rotation=0" TargetMode="External" Id="rId118"/><Relationship Type="http://schemas.openxmlformats.org/officeDocument/2006/relationships/hyperlink" Target="https://www.geoportal.ch/ktsg/map/3502?y=2721138&amp;x=1258009&amp;scale=50000&amp;rotation=0" TargetMode="External" Id="rId119"/><Relationship Type="http://schemas.openxmlformats.org/officeDocument/2006/relationships/hyperlink" Target="https://www.geoportal.ch/ktsg" TargetMode="External" Id="rId120"/><Relationship Type="http://schemas.openxmlformats.org/officeDocument/2006/relationships/hyperlink" Target="https://geo.ur.ch/?Lat=46.9735&amp;Layers=Nutzungsplanung%2CLiegenschaften%2CBaulanddatenbank&amp;Lng=8.5868&amp;Opacity=0%2C0.4%2C1&amp;Visibility=1%2C1%2C1&amp;Zoom=14" TargetMode="External" Id="rId12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16" customWidth="1" style="44" min="2" max="2"/>
    <col width="14" customWidth="1" style="44" min="3" max="3"/>
    <col width="18" customWidth="1" style="44" min="4" max="5"/>
    <col width="20" customWidth="1" style="44" min="6" max="6"/>
    <col width="14" customWidth="1" style="44" min="7" max="7"/>
    <col width="10" customWidth="1" style="44" min="8" max="8"/>
    <col width="14" customWidth="1" style="44" min="9" max="9"/>
  </cols>
  <sheetData>
    <row r="1" ht="19.7" customHeight="1" s="45">
      <c r="A1" s="46" t="inlineStr">
        <is>
          <t>Qualitätsrahmen Q1–Q6 · Erste Übersicht · Münchenstein, Wil, Seelisberg</t>
        </is>
      </c>
    </row>
    <row r="2" ht="15" customHeight="1" s="45">
      <c r="A2" s="47" t="inlineStr">
        <is>
          <t>Raumgleiter · LP01 · Assignment 01 (Q-Restriktionsprofil, Entwurf) · Recherchestand 14.10.2026 · Basis: Q_Grundlagenkataster_3_Gemeinden_bereinigt.xlsx plus Ergänzungen</t>
        </is>
      </c>
    </row>
    <row r="4" ht="15" customHeight="1" s="45">
      <c r="A4" s="48" t="inlineStr">
        <is>
          <t>Aufbau</t>
        </is>
      </c>
    </row>
    <row r="5" ht="15" customHeight="1" s="45">
      <c r="A5" s="49" t="inlineStr">
        <is>
          <t>1_Q1_Rechtsordnung</t>
        </is>
      </c>
      <c r="B5" s="50" t="inlineStr">
        <is>
          <t>Erlasse und Pläne: Bund → Interkantonal → Kanton → Gemeinde (alle Q)</t>
        </is>
      </c>
    </row>
    <row r="6" ht="15" customHeight="1" s="45">
      <c r="A6" s="49" t="inlineStr">
        <is>
          <t>2_Q2_Landschaft</t>
        </is>
      </c>
      <c r="B6" s="50" t="inlineStr">
        <is>
          <t>Dokumente, Inventare, Geodaten Landschaft/Biodiversität (inkl. nicht öffentliche Daten)</t>
        </is>
      </c>
    </row>
    <row r="7" ht="15" customHeight="1" s="45">
      <c r="A7" s="49" t="inlineStr">
        <is>
          <t>3_Q3_Klima_Energie</t>
        </is>
      </c>
      <c r="B7" s="50" t="inlineStr">
        <is>
          <t>Dokumente, Inventare, Geodaten Klimaschutz/Energie/Ressourcen</t>
        </is>
      </c>
    </row>
    <row r="8" ht="15" customHeight="1" s="45">
      <c r="A8" s="49" t="inlineStr">
        <is>
          <t>4_Q4_Resilienz</t>
        </is>
      </c>
      <c r="B8" s="50" t="inlineStr">
        <is>
          <t>Dokumente, Inventare, Geodaten Klimaanpassung/Resilienz</t>
        </is>
      </c>
    </row>
    <row r="9" ht="15" customHeight="1" s="45">
      <c r="A9" s="49" t="inlineStr">
        <is>
          <t>5_Q5_Ortsbild</t>
        </is>
      </c>
      <c r="B9" s="50" t="inlineStr">
        <is>
          <t>Dokumente, Inventare, Geodaten Ortsbild/Baukultur</t>
        </is>
      </c>
    </row>
    <row r="10" ht="15" customHeight="1" s="45">
      <c r="A10" s="49" t="inlineStr">
        <is>
          <t>6_Q6_Bestellung</t>
        </is>
      </c>
      <c r="B10" s="50" t="inlineStr">
        <is>
          <t>Dokumente, Grundlagen integrierte lebenszyklusorientierte Bestellung/Vergabe</t>
        </is>
      </c>
    </row>
    <row r="11" ht="15" customHeight="1" s="45">
      <c r="A11" s="49" t="inlineStr">
        <is>
          <t>7_GIS_Layers</t>
        </is>
      </c>
      <c r="B11" s="50" t="inlineStr">
        <is>
          <t>Sammlung der GIS-Layer mit Links (CH-weit und je Gemeinde) zur Betroffenheitsprüfung</t>
        </is>
      </c>
    </row>
    <row r="12" ht="15" customHeight="1" s="45">
      <c r="A12" s="49" t="inlineStr">
        <is>
          <t>8_Hinweise_Kataster</t>
        </is>
      </c>
      <c r="B12" s="50" t="inlineStr">
        <is>
          <t>Auffälligkeiten im Kataster, Umsetzungsstand</t>
        </is>
      </c>
    </row>
    <row r="15" ht="15" customHeight="1" s="45">
      <c r="A15" s="48" t="inlineStr">
        <is>
          <t>Abdeckung je Blatt und Gemeinde (Anzahl Zeilen, per Formel aus den Blättern)</t>
        </is>
      </c>
    </row>
    <row r="16" ht="42" customHeight="1" s="45">
      <c r="A16" s="51" t="inlineStr">
        <is>
          <t>Blatt</t>
        </is>
      </c>
      <c r="B16" s="51" t="inlineStr">
        <is>
          <t>Gemeinde</t>
        </is>
      </c>
      <c r="C16" s="51" t="inlineStr">
        <is>
          <t>gilt / belegt</t>
        </is>
      </c>
      <c r="D16" s="51" t="inlineStr">
        <is>
          <t>belegt – Betroffenheit offen</t>
        </is>
      </c>
      <c r="E16" s="51" t="inlineStr">
        <is>
          <t>keine Regelung (geprüft)</t>
        </is>
      </c>
      <c r="F16" s="51" t="inlineStr">
        <is>
          <t>nicht belegt (Recherche offen)</t>
        </is>
      </c>
      <c r="G16" s="51" t="inlineStr">
        <is>
          <t>Datenanfrage</t>
        </is>
      </c>
      <c r="H16" s="51" t="inlineStr">
        <is>
          <t>Summe</t>
        </is>
      </c>
      <c r="I16" s="51" t="inlineStr">
        <is>
          <t>Anteil belegt</t>
        </is>
      </c>
    </row>
    <row r="17" ht="15" customHeight="1" s="45">
      <c r="A17" s="52" t="inlineStr">
        <is>
          <t>1_Q1_Rechtsordnung</t>
        </is>
      </c>
      <c r="B17" s="53" t="inlineStr">
        <is>
          <t>Münchenstein</t>
        </is>
      </c>
      <c r="C17" s="54">
        <f>COUNTIF(1_Q1_Rechtsordnung!$I$6:$I$97,"belegt")+COUNTIF(1_Q1_Rechtsordnung!$I$6:$I$97,"gilt")</f>
        <v/>
      </c>
      <c r="D17" s="54">
        <f>COUNTIF(1_Q1_Rechtsordnung!$I$6:$I$97,"belegt – Betroffenheit offen")</f>
        <v/>
      </c>
      <c r="E17" s="54">
        <f>COUNTIF(1_Q1_Rechtsordnung!$I$6:$I$97,"keine Regelung (geprüft)")</f>
        <v/>
      </c>
      <c r="F17" s="54">
        <f>COUNTIF(1_Q1_Rechtsordnung!$I$6:$I$97,"nicht belegt (Recherche offen)")</f>
        <v/>
      </c>
      <c r="G17" s="54">
        <f>COUNTIF(1_Q1_Rechtsordnung!$I$6:$I$97,"Datenanfrage (nicht öffentlich)")</f>
        <v/>
      </c>
      <c r="H17" s="54">
        <f>SUM(C17:G17)</f>
        <v/>
      </c>
      <c r="I17" s="55">
        <f>IF(H17=0,0,(C17+D17)/H17)</f>
        <v/>
      </c>
    </row>
    <row r="18" ht="15" customHeight="1" s="45">
      <c r="A18" s="52" t="n"/>
      <c r="B18" s="53" t="inlineStr">
        <is>
          <t>Wil</t>
        </is>
      </c>
      <c r="C18" s="54">
        <f>COUNTIF(1_Q1_Rechtsordnung!$J$6:$J$97,"belegt")+COUNTIF(1_Q1_Rechtsordnung!$J$6:$J$97,"gilt")</f>
        <v/>
      </c>
      <c r="D18" s="54">
        <f>COUNTIF(1_Q1_Rechtsordnung!$J$6:$J$97,"belegt – Betroffenheit offen")</f>
        <v/>
      </c>
      <c r="E18" s="54">
        <f>COUNTIF(1_Q1_Rechtsordnung!$J$6:$J$97,"keine Regelung (geprüft)")</f>
        <v/>
      </c>
      <c r="F18" s="54">
        <f>COUNTIF(1_Q1_Rechtsordnung!$J$6:$J$97,"nicht belegt (Recherche offen)")</f>
        <v/>
      </c>
      <c r="G18" s="54">
        <f>COUNTIF(1_Q1_Rechtsordnung!$J$6:$J$97,"Datenanfrage (nicht öffentlich)")</f>
        <v/>
      </c>
      <c r="H18" s="54">
        <f>SUM(C18:G18)</f>
        <v/>
      </c>
      <c r="I18" s="55">
        <f>IF(H18=0,0,(C18+D18)/H18)</f>
        <v/>
      </c>
    </row>
    <row r="19" ht="15" customHeight="1" s="45">
      <c r="A19" s="52" t="n"/>
      <c r="B19" s="53" t="inlineStr">
        <is>
          <t>Seelisberg</t>
        </is>
      </c>
      <c r="C19" s="54">
        <f>COUNTIF(1_Q1_Rechtsordnung!$K$6:$K$97,"belegt")+COUNTIF(1_Q1_Rechtsordnung!$K$6:$K$97,"gilt")</f>
        <v/>
      </c>
      <c r="D19" s="54">
        <f>COUNTIF(1_Q1_Rechtsordnung!$K$6:$K$97,"belegt – Betroffenheit offen")</f>
        <v/>
      </c>
      <c r="E19" s="54">
        <f>COUNTIF(1_Q1_Rechtsordnung!$K$6:$K$97,"keine Regelung (geprüft)")</f>
        <v/>
      </c>
      <c r="F19" s="54">
        <f>COUNTIF(1_Q1_Rechtsordnung!$K$6:$K$97,"nicht belegt (Recherche offen)")</f>
        <v/>
      </c>
      <c r="G19" s="54">
        <f>COUNTIF(1_Q1_Rechtsordnung!$K$6:$K$97,"Datenanfrage (nicht öffentlich)")</f>
        <v/>
      </c>
      <c r="H19" s="54">
        <f>SUM(C19:G19)</f>
        <v/>
      </c>
      <c r="I19" s="55">
        <f>IF(H19=0,0,(C19+D19)/H19)</f>
        <v/>
      </c>
    </row>
    <row r="20" ht="15" customHeight="1" s="45">
      <c r="A20" s="52" t="inlineStr">
        <is>
          <t>2_Q2_Landschaft</t>
        </is>
      </c>
      <c r="B20" s="53" t="inlineStr">
        <is>
          <t>Münchenstein</t>
        </is>
      </c>
      <c r="C20" s="54">
        <f>COUNTIF(2_Q2_Landschaft!$I$6:$I$36,"belegt")+COUNTIF(2_Q2_Landschaft!$I$6:$I$36,"gilt")</f>
        <v/>
      </c>
      <c r="D20" s="54">
        <f>COUNTIF(2_Q2_Landschaft!$I$6:$I$36,"belegt – Betroffenheit offen")</f>
        <v/>
      </c>
      <c r="E20" s="54">
        <f>COUNTIF(2_Q2_Landschaft!$I$6:$I$36,"keine Regelung (geprüft)")</f>
        <v/>
      </c>
      <c r="F20" s="54">
        <f>COUNTIF(2_Q2_Landschaft!$I$6:$I$36,"nicht belegt (Recherche offen)")</f>
        <v/>
      </c>
      <c r="G20" s="54">
        <f>COUNTIF(2_Q2_Landschaft!$I$6:$I$36,"Datenanfrage (nicht öffentlich)")</f>
        <v/>
      </c>
      <c r="H20" s="54">
        <f>SUM(C20:G20)</f>
        <v/>
      </c>
      <c r="I20" s="55">
        <f>IF(H20=0,0,(C20+D20)/H20)</f>
        <v/>
      </c>
    </row>
    <row r="21" ht="15" customHeight="1" s="45">
      <c r="A21" s="52" t="n"/>
      <c r="B21" s="53" t="inlineStr">
        <is>
          <t>Wil</t>
        </is>
      </c>
      <c r="C21" s="54">
        <f>COUNTIF(2_Q2_Landschaft!$J$6:$J$36,"belegt")+COUNTIF(2_Q2_Landschaft!$J$6:$J$36,"gilt")</f>
        <v/>
      </c>
      <c r="D21" s="54">
        <f>COUNTIF(2_Q2_Landschaft!$J$6:$J$36,"belegt – Betroffenheit offen")</f>
        <v/>
      </c>
      <c r="E21" s="54">
        <f>COUNTIF(2_Q2_Landschaft!$J$6:$J$36,"keine Regelung (geprüft)")</f>
        <v/>
      </c>
      <c r="F21" s="54">
        <f>COUNTIF(2_Q2_Landschaft!$J$6:$J$36,"nicht belegt (Recherche offen)")</f>
        <v/>
      </c>
      <c r="G21" s="54">
        <f>COUNTIF(2_Q2_Landschaft!$J$6:$J$36,"Datenanfrage (nicht öffentlich)")</f>
        <v/>
      </c>
      <c r="H21" s="54">
        <f>SUM(C21:G21)</f>
        <v/>
      </c>
      <c r="I21" s="55">
        <f>IF(H21=0,0,(C21+D21)/H21)</f>
        <v/>
      </c>
    </row>
    <row r="22" ht="15" customHeight="1" s="45">
      <c r="A22" s="52" t="n"/>
      <c r="B22" s="53" t="inlineStr">
        <is>
          <t>Seelisberg</t>
        </is>
      </c>
      <c r="C22" s="54">
        <f>COUNTIF(2_Q2_Landschaft!$K$6:$K$36,"belegt")+COUNTIF(2_Q2_Landschaft!$K$6:$K$36,"gilt")</f>
        <v/>
      </c>
      <c r="D22" s="54">
        <f>COUNTIF(2_Q2_Landschaft!$K$6:$K$36,"belegt – Betroffenheit offen")</f>
        <v/>
      </c>
      <c r="E22" s="54">
        <f>COUNTIF(2_Q2_Landschaft!$K$6:$K$36,"keine Regelung (geprüft)")</f>
        <v/>
      </c>
      <c r="F22" s="54">
        <f>COUNTIF(2_Q2_Landschaft!$K$6:$K$36,"nicht belegt (Recherche offen)")</f>
        <v/>
      </c>
      <c r="G22" s="54">
        <f>COUNTIF(2_Q2_Landschaft!$K$6:$K$36,"Datenanfrage (nicht öffentlich)")</f>
        <v/>
      </c>
      <c r="H22" s="54">
        <f>SUM(C22:G22)</f>
        <v/>
      </c>
      <c r="I22" s="55">
        <f>IF(H22=0,0,(C22+D22)/H22)</f>
        <v/>
      </c>
    </row>
    <row r="23" ht="15" customHeight="1" s="45">
      <c r="A23" s="52" t="inlineStr">
        <is>
          <t>3_Q3_Klima_Energie</t>
        </is>
      </c>
      <c r="B23" s="53" t="inlineStr">
        <is>
          <t>Münchenstein</t>
        </is>
      </c>
      <c r="C23" s="54">
        <f>COUNTIF(3_Q3_Klima_Energie!$I$6:$I$33,"belegt")+COUNTIF(3_Q3_Klima_Energie!$I$6:$I$33,"gilt")</f>
        <v/>
      </c>
      <c r="D23" s="54">
        <f>COUNTIF(3_Q3_Klima_Energie!$I$6:$I$33,"belegt – Betroffenheit offen")</f>
        <v/>
      </c>
      <c r="E23" s="54">
        <f>COUNTIF(3_Q3_Klima_Energie!$I$6:$I$33,"keine Regelung (geprüft)")</f>
        <v/>
      </c>
      <c r="F23" s="54">
        <f>COUNTIF(3_Q3_Klima_Energie!$I$6:$I$33,"nicht belegt (Recherche offen)")</f>
        <v/>
      </c>
      <c r="G23" s="54">
        <f>COUNTIF(3_Q3_Klima_Energie!$I$6:$I$33,"Datenanfrage (nicht öffentlich)")</f>
        <v/>
      </c>
      <c r="H23" s="54">
        <f>SUM(C23:G23)</f>
        <v/>
      </c>
      <c r="I23" s="55">
        <f>IF(H23=0,0,(C23+D23)/H23)</f>
        <v/>
      </c>
    </row>
    <row r="24" ht="15" customHeight="1" s="45">
      <c r="A24" s="52" t="n"/>
      <c r="B24" s="53" t="inlineStr">
        <is>
          <t>Wil</t>
        </is>
      </c>
      <c r="C24" s="54">
        <f>COUNTIF(3_Q3_Klima_Energie!$J$6:$J$33,"belegt")+COUNTIF(3_Q3_Klima_Energie!$J$6:$J$33,"gilt")</f>
        <v/>
      </c>
      <c r="D24" s="54">
        <f>COUNTIF(3_Q3_Klima_Energie!$J$6:$J$33,"belegt – Betroffenheit offen")</f>
        <v/>
      </c>
      <c r="E24" s="54">
        <f>COUNTIF(3_Q3_Klima_Energie!$J$6:$J$33,"keine Regelung (geprüft)")</f>
        <v/>
      </c>
      <c r="F24" s="54">
        <f>COUNTIF(3_Q3_Klima_Energie!$J$6:$J$33,"nicht belegt (Recherche offen)")</f>
        <v/>
      </c>
      <c r="G24" s="54">
        <f>COUNTIF(3_Q3_Klima_Energie!$J$6:$J$33,"Datenanfrage (nicht öffentlich)")</f>
        <v/>
      </c>
      <c r="H24" s="54">
        <f>SUM(C24:G24)</f>
        <v/>
      </c>
      <c r="I24" s="55">
        <f>IF(H24=0,0,(C24+D24)/H24)</f>
        <v/>
      </c>
    </row>
    <row r="25" ht="15" customHeight="1" s="45">
      <c r="A25" s="52" t="n"/>
      <c r="B25" s="53" t="inlineStr">
        <is>
          <t>Seelisberg</t>
        </is>
      </c>
      <c r="C25" s="54">
        <f>COUNTIF(3_Q3_Klima_Energie!$K$6:$K$33,"belegt")+COUNTIF(3_Q3_Klima_Energie!$K$6:$K$33,"gilt")</f>
        <v/>
      </c>
      <c r="D25" s="54">
        <f>COUNTIF(3_Q3_Klima_Energie!$K$6:$K$33,"belegt – Betroffenheit offen")</f>
        <v/>
      </c>
      <c r="E25" s="54">
        <f>COUNTIF(3_Q3_Klima_Energie!$K$6:$K$33,"keine Regelung (geprüft)")</f>
        <v/>
      </c>
      <c r="F25" s="54">
        <f>COUNTIF(3_Q3_Klima_Energie!$K$6:$K$33,"nicht belegt (Recherche offen)")</f>
        <v/>
      </c>
      <c r="G25" s="54">
        <f>COUNTIF(3_Q3_Klima_Energie!$K$6:$K$33,"Datenanfrage (nicht öffentlich)")</f>
        <v/>
      </c>
      <c r="H25" s="54">
        <f>SUM(C25:G25)</f>
        <v/>
      </c>
      <c r="I25" s="55">
        <f>IF(H25=0,0,(C25+D25)/H25)</f>
        <v/>
      </c>
    </row>
    <row r="26" ht="15" customHeight="1" s="45">
      <c r="A26" s="52" t="inlineStr">
        <is>
          <t>4_Q4_Resilienz</t>
        </is>
      </c>
      <c r="B26" s="53" t="inlineStr">
        <is>
          <t>Münchenstein</t>
        </is>
      </c>
      <c r="C26" s="54">
        <f>COUNTIF(4_Q4_Resilienz!$I$6:$I$34,"belegt")+COUNTIF(4_Q4_Resilienz!$I$6:$I$34,"gilt")</f>
        <v/>
      </c>
      <c r="D26" s="54">
        <f>COUNTIF(4_Q4_Resilienz!$I$6:$I$34,"belegt – Betroffenheit offen")</f>
        <v/>
      </c>
      <c r="E26" s="54">
        <f>COUNTIF(4_Q4_Resilienz!$I$6:$I$34,"keine Regelung (geprüft)")</f>
        <v/>
      </c>
      <c r="F26" s="54">
        <f>COUNTIF(4_Q4_Resilienz!$I$6:$I$34,"nicht belegt (Recherche offen)")</f>
        <v/>
      </c>
      <c r="G26" s="54">
        <f>COUNTIF(4_Q4_Resilienz!$I$6:$I$34,"Datenanfrage (nicht öffentlich)")</f>
        <v/>
      </c>
      <c r="H26" s="54">
        <f>SUM(C26:G26)</f>
        <v/>
      </c>
      <c r="I26" s="55">
        <f>IF(H26=0,0,(C26+D26)/H26)</f>
        <v/>
      </c>
    </row>
    <row r="27" ht="15" customHeight="1" s="45">
      <c r="A27" s="52" t="n"/>
      <c r="B27" s="53" t="inlineStr">
        <is>
          <t>Wil</t>
        </is>
      </c>
      <c r="C27" s="54">
        <f>COUNTIF(4_Q4_Resilienz!$J$6:$J$34,"belegt")+COUNTIF(4_Q4_Resilienz!$J$6:$J$34,"gilt")</f>
        <v/>
      </c>
      <c r="D27" s="54">
        <f>COUNTIF(4_Q4_Resilienz!$J$6:$J$34,"belegt – Betroffenheit offen")</f>
        <v/>
      </c>
      <c r="E27" s="54">
        <f>COUNTIF(4_Q4_Resilienz!$J$6:$J$34,"keine Regelung (geprüft)")</f>
        <v/>
      </c>
      <c r="F27" s="54">
        <f>COUNTIF(4_Q4_Resilienz!$J$6:$J$34,"nicht belegt (Recherche offen)")</f>
        <v/>
      </c>
      <c r="G27" s="54">
        <f>COUNTIF(4_Q4_Resilienz!$J$6:$J$34,"Datenanfrage (nicht öffentlich)")</f>
        <v/>
      </c>
      <c r="H27" s="54">
        <f>SUM(C27:G27)</f>
        <v/>
      </c>
      <c r="I27" s="55">
        <f>IF(H27=0,0,(C27+D27)/H27)</f>
        <v/>
      </c>
    </row>
    <row r="28" ht="15" customHeight="1" s="45">
      <c r="A28" s="52" t="n"/>
      <c r="B28" s="53" t="inlineStr">
        <is>
          <t>Seelisberg</t>
        </is>
      </c>
      <c r="C28" s="54">
        <f>COUNTIF(4_Q4_Resilienz!$K$6:$K$34,"belegt")+COUNTIF(4_Q4_Resilienz!$K$6:$K$34,"gilt")</f>
        <v/>
      </c>
      <c r="D28" s="54">
        <f>COUNTIF(4_Q4_Resilienz!$K$6:$K$34,"belegt – Betroffenheit offen")</f>
        <v/>
      </c>
      <c r="E28" s="54">
        <f>COUNTIF(4_Q4_Resilienz!$K$6:$K$34,"keine Regelung (geprüft)")</f>
        <v/>
      </c>
      <c r="F28" s="54">
        <f>COUNTIF(4_Q4_Resilienz!$K$6:$K$34,"nicht belegt (Recherche offen)")</f>
        <v/>
      </c>
      <c r="G28" s="54">
        <f>COUNTIF(4_Q4_Resilienz!$K$6:$K$34,"Datenanfrage (nicht öffentlich)")</f>
        <v/>
      </c>
      <c r="H28" s="54">
        <f>SUM(C28:G28)</f>
        <v/>
      </c>
      <c r="I28" s="55">
        <f>IF(H28=0,0,(C28+D28)/H28)</f>
        <v/>
      </c>
    </row>
    <row r="29" ht="15" customHeight="1" s="45">
      <c r="A29" s="52" t="inlineStr">
        <is>
          <t>5_Q5_Ortsbild</t>
        </is>
      </c>
      <c r="B29" s="53" t="inlineStr">
        <is>
          <t>Münchenstein</t>
        </is>
      </c>
      <c r="C29" s="54">
        <f>COUNTIF(5_Q5_Ortsbild!$I$6:$I$31,"belegt")+COUNTIF(5_Q5_Ortsbild!$I$6:$I$31,"gilt")</f>
        <v/>
      </c>
      <c r="D29" s="54">
        <f>COUNTIF(5_Q5_Ortsbild!$I$6:$I$31,"belegt – Betroffenheit offen")</f>
        <v/>
      </c>
      <c r="E29" s="54">
        <f>COUNTIF(5_Q5_Ortsbild!$I$6:$I$31,"keine Regelung (geprüft)")</f>
        <v/>
      </c>
      <c r="F29" s="54">
        <f>COUNTIF(5_Q5_Ortsbild!$I$6:$I$31,"nicht belegt (Recherche offen)")</f>
        <v/>
      </c>
      <c r="G29" s="54">
        <f>COUNTIF(5_Q5_Ortsbild!$I$6:$I$31,"Datenanfrage (nicht öffentlich)")</f>
        <v/>
      </c>
      <c r="H29" s="54">
        <f>SUM(C29:G29)</f>
        <v/>
      </c>
      <c r="I29" s="55">
        <f>IF(H29=0,0,(C29+D29)/H29)</f>
        <v/>
      </c>
    </row>
    <row r="30" ht="15" customHeight="1" s="45">
      <c r="A30" s="52" t="n"/>
      <c r="B30" s="53" t="inlineStr">
        <is>
          <t>Wil</t>
        </is>
      </c>
      <c r="C30" s="54">
        <f>COUNTIF(5_Q5_Ortsbild!$J$6:$J$31,"belegt")+COUNTIF(5_Q5_Ortsbild!$J$6:$J$31,"gilt")</f>
        <v/>
      </c>
      <c r="D30" s="54">
        <f>COUNTIF(5_Q5_Ortsbild!$J$6:$J$31,"belegt – Betroffenheit offen")</f>
        <v/>
      </c>
      <c r="E30" s="54">
        <f>COUNTIF(5_Q5_Ortsbild!$J$6:$J$31,"keine Regelung (geprüft)")</f>
        <v/>
      </c>
      <c r="F30" s="54">
        <f>COUNTIF(5_Q5_Ortsbild!$J$6:$J$31,"nicht belegt (Recherche offen)")</f>
        <v/>
      </c>
      <c r="G30" s="54">
        <f>COUNTIF(5_Q5_Ortsbild!$J$6:$J$31,"Datenanfrage (nicht öffentlich)")</f>
        <v/>
      </c>
      <c r="H30" s="54">
        <f>SUM(C30:G30)</f>
        <v/>
      </c>
      <c r="I30" s="55">
        <f>IF(H30=0,0,(C30+D30)/H30)</f>
        <v/>
      </c>
    </row>
    <row r="31" ht="15" customHeight="1" s="45">
      <c r="A31" s="52" t="n"/>
      <c r="B31" s="53" t="inlineStr">
        <is>
          <t>Seelisberg</t>
        </is>
      </c>
      <c r="C31" s="54">
        <f>COUNTIF(5_Q5_Ortsbild!$K$6:$K$31,"belegt")+COUNTIF(5_Q5_Ortsbild!$K$6:$K$31,"gilt")</f>
        <v/>
      </c>
      <c r="D31" s="54">
        <f>COUNTIF(5_Q5_Ortsbild!$K$6:$K$31,"belegt – Betroffenheit offen")</f>
        <v/>
      </c>
      <c r="E31" s="54">
        <f>COUNTIF(5_Q5_Ortsbild!$K$6:$K$31,"keine Regelung (geprüft)")</f>
        <v/>
      </c>
      <c r="F31" s="54">
        <f>COUNTIF(5_Q5_Ortsbild!$K$6:$K$31,"nicht belegt (Recherche offen)")</f>
        <v/>
      </c>
      <c r="G31" s="54">
        <f>COUNTIF(5_Q5_Ortsbild!$K$6:$K$31,"Datenanfrage (nicht öffentlich)")</f>
        <v/>
      </c>
      <c r="H31" s="54">
        <f>SUM(C31:G31)</f>
        <v/>
      </c>
      <c r="I31" s="55">
        <f>IF(H31=0,0,(C31+D31)/H31)</f>
        <v/>
      </c>
    </row>
    <row r="32" ht="15" customHeight="1" s="45">
      <c r="A32" s="52" t="inlineStr">
        <is>
          <t>6_Q6_Bestellung</t>
        </is>
      </c>
      <c r="B32" s="53" t="inlineStr">
        <is>
          <t>Münchenstein</t>
        </is>
      </c>
      <c r="C32" s="54">
        <f>COUNTIF(6_Q6_Bestellung!$I$6:$I$37,"belegt")+COUNTIF(6_Q6_Bestellung!$I$6:$I$37,"gilt")</f>
        <v/>
      </c>
      <c r="D32" s="54">
        <f>COUNTIF(6_Q6_Bestellung!$I$6:$I$37,"belegt – Betroffenheit offen")</f>
        <v/>
      </c>
      <c r="E32" s="54">
        <f>COUNTIF(6_Q6_Bestellung!$I$6:$I$37,"keine Regelung (geprüft)")</f>
        <v/>
      </c>
      <c r="F32" s="54">
        <f>COUNTIF(6_Q6_Bestellung!$I$6:$I$37,"nicht belegt (Recherche offen)")</f>
        <v/>
      </c>
      <c r="G32" s="54">
        <f>COUNTIF(6_Q6_Bestellung!$I$6:$I$37,"Datenanfrage (nicht öffentlich)")</f>
        <v/>
      </c>
      <c r="H32" s="54">
        <f>SUM(C32:G32)</f>
        <v/>
      </c>
      <c r="I32" s="55">
        <f>IF(H32=0,0,(C32+D32)/H32)</f>
        <v/>
      </c>
    </row>
    <row r="33" ht="15" customHeight="1" s="45">
      <c r="A33" s="52" t="n"/>
      <c r="B33" s="53" t="inlineStr">
        <is>
          <t>Wil</t>
        </is>
      </c>
      <c r="C33" s="54">
        <f>COUNTIF(6_Q6_Bestellung!$J$6:$J$37,"belegt")+COUNTIF(6_Q6_Bestellung!$J$6:$J$37,"gilt")</f>
        <v/>
      </c>
      <c r="D33" s="54">
        <f>COUNTIF(6_Q6_Bestellung!$J$6:$J$37,"belegt – Betroffenheit offen")</f>
        <v/>
      </c>
      <c r="E33" s="54">
        <f>COUNTIF(6_Q6_Bestellung!$J$6:$J$37,"keine Regelung (geprüft)")</f>
        <v/>
      </c>
      <c r="F33" s="54">
        <f>COUNTIF(6_Q6_Bestellung!$J$6:$J$37,"nicht belegt (Recherche offen)")</f>
        <v/>
      </c>
      <c r="G33" s="54">
        <f>COUNTIF(6_Q6_Bestellung!$J$6:$J$37,"Datenanfrage (nicht öffentlich)")</f>
        <v/>
      </c>
      <c r="H33" s="54">
        <f>SUM(C33:G33)</f>
        <v/>
      </c>
      <c r="I33" s="55">
        <f>IF(H33=0,0,(C33+D33)/H33)</f>
        <v/>
      </c>
    </row>
    <row r="34" ht="15" customHeight="1" s="45">
      <c r="A34" s="52" t="n"/>
      <c r="B34" s="53" t="inlineStr">
        <is>
          <t>Seelisberg</t>
        </is>
      </c>
      <c r="C34" s="54">
        <f>COUNTIF(6_Q6_Bestellung!$K$6:$K$37,"belegt")+COUNTIF(6_Q6_Bestellung!$K$6:$K$37,"gilt")</f>
        <v/>
      </c>
      <c r="D34" s="54">
        <f>COUNTIF(6_Q6_Bestellung!$K$6:$K$37,"belegt – Betroffenheit offen")</f>
        <v/>
      </c>
      <c r="E34" s="54">
        <f>COUNTIF(6_Q6_Bestellung!$K$6:$K$37,"keine Regelung (geprüft)")</f>
        <v/>
      </c>
      <c r="F34" s="54">
        <f>COUNTIF(6_Q6_Bestellung!$K$6:$K$37,"nicht belegt (Recherche offen)")</f>
        <v/>
      </c>
      <c r="G34" s="54">
        <f>COUNTIF(6_Q6_Bestellung!$K$6:$K$37,"Datenanfrage (nicht öffentlich)")</f>
        <v/>
      </c>
      <c r="H34" s="54">
        <f>SUM(C34:G34)</f>
        <v/>
      </c>
      <c r="I34" s="55">
        <f>IF(H34=0,0,(C34+D34)/H34)</f>
        <v/>
      </c>
    </row>
    <row r="35" ht="15" customHeight="1" s="45">
      <c r="A35" s="56" t="inlineStr">
        <is>
          <t>Anteil belegt = (belegt + belegt – Betroffenheit offen) / Summe; «n. a.» wird nicht gezählt.</t>
        </is>
      </c>
    </row>
    <row r="37" ht="15" customHeight="1" s="45">
      <c r="A37" s="48" t="inlineStr">
        <is>
          <t>Legende Status</t>
        </is>
      </c>
    </row>
    <row r="38" ht="15" customHeight="1" s="45">
      <c r="A38" s="57" t="inlineStr">
        <is>
          <t>gilt</t>
        </is>
      </c>
      <c r="B38" s="58" t="inlineStr">
        <is>
          <t>Rechtsnorm gilt für die Gemeinde</t>
        </is>
      </c>
    </row>
    <row r="39" ht="15" customHeight="1" s="45">
      <c r="A39" s="57" t="inlineStr">
        <is>
          <t>belegt</t>
        </is>
      </c>
      <c r="B39" s="58" t="inlineStr">
        <is>
          <t>Beleg mit Link vorhanden (Link-Status in der Spalte «Link-Status»)</t>
        </is>
      </c>
    </row>
    <row r="40" ht="15" customHeight="1" s="45">
      <c r="A40" s="59" t="inlineStr">
        <is>
          <t>belegt – Betroffenheit offen</t>
        </is>
      </c>
      <c r="B40" s="58" t="inlineStr">
        <is>
          <t>Layer/Inventar existiert; Lage in der Gemeinde per GIS-Overlay zu prüfen (Blatt 7)</t>
        </is>
      </c>
    </row>
    <row r="41" ht="15" customHeight="1" s="45">
      <c r="A41" s="60" t="inlineStr">
        <is>
          <t>keine Regelung (geprüft)</t>
        </is>
      </c>
      <c r="B41" s="58" t="inlineStr">
        <is>
          <t>Recherche zeigt: die Ebene regelt/erhebt nichts, übergeordnetes Recht gilt (derzeit keine Zeile)</t>
        </is>
      </c>
    </row>
    <row r="42" ht="15" customHeight="1" s="45">
      <c r="A42" s="61" t="inlineStr">
        <is>
          <t>nicht belegt (Recherche offen)</t>
        </is>
      </c>
      <c r="B42" s="58" t="inlineStr">
        <is>
          <t>bisher kein Beleg gefunden; Spalte «Offene Prüfung (wer / wie)» nennt das Vorgehen</t>
        </is>
      </c>
    </row>
    <row r="43" ht="15" customHeight="1" s="45">
      <c r="A43" s="62" t="inlineStr">
        <is>
          <t>Datenanfrage (nicht öffentlich)</t>
        </is>
      </c>
      <c r="B43" s="58" t="inlineStr">
        <is>
          <t>nicht öffentlich; Existenzerwartung (hoch/mittel/unbekannt) im Prüfhinweis</t>
        </is>
      </c>
    </row>
    <row r="44" ht="15" customHeight="1" s="45">
      <c r="A44" s="63" t="inlineStr">
        <is>
          <t>n. a.</t>
        </is>
      </c>
      <c r="B44" s="58" t="inlineStr">
        <is>
          <t>nicht anwendbar (andere Gebietskörperschaft)</t>
        </is>
      </c>
    </row>
    <row r="46" ht="15" customHeight="1" s="45">
      <c r="A46" s="47" t="inlineStr">
        <is>
          <t>Link-Status = Herkunft · Test: «getestet OK» = Seite abgerufen; «Quelle bestätigt» = Link stammt von einer Behördenseite; «ungetestet» = in der Sandbox nicht abrufbar (kein defekter Link festgestellt). Herkunft: Kataster · Suchtreffer · Muster (Link nach bekanntem Muster) · Einstiegsseite (Dokument-URL nicht ermittelt).</t>
        </is>
      </c>
    </row>
    <row r="47" ht="15" customHeight="1" s="45">
      <c r="A47" s="47" t="inlineStr">
        <is>
          <t>Der Status beschreibt Vorhandensein und Quelle, noch keine inhaltliche Einordnung (Ausschluss / Interessenabwägung / unkritisch) – bewusst zurückgestellt.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Q9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1 · Q1 Recht und Planung – Rechtsordnung (Bund → Interkantonal → Kanton → Gemeinde)</t>
        </is>
      </c>
    </row>
    <row r="2" ht="15" customHeight="1" s="45">
      <c r="A2" s="47" t="inlineStr">
        <is>
          <t>Erlasse und behördenverbindliche Pläne aller Q-Dimensionen (Spalte «Q»), gegliedert nach Rechtsebene.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Q1–Q6</t>
        </is>
      </c>
      <c r="C7" s="68" t="inlineStr">
        <is>
          <t>Verfassung</t>
        </is>
      </c>
      <c r="D7" s="70" t="inlineStr">
        <is>
          <t>Bundesverfassung (Art. 73 Nachhaltigkeit, 75 Raumplanung, 75b Zweitwohnungen, 78 Natur-/Heimatschutz, 89 Energie)</t>
        </is>
      </c>
      <c r="E7" s="68" t="inlineStr">
        <is>
          <t>SR 101</t>
        </is>
      </c>
      <c r="F7" s="68" t="inlineStr">
        <is>
          <t>–</t>
        </is>
      </c>
      <c r="G7" s="68" t="inlineStr">
        <is>
          <t>BK</t>
        </is>
      </c>
      <c r="H7" s="68" t="inlineStr">
        <is>
          <t>öffentlich</t>
        </is>
      </c>
      <c r="I7" s="71" t="inlineStr">
        <is>
          <t>gilt</t>
        </is>
      </c>
      <c r="J7" s="71" t="inlineStr">
        <is>
          <t>gilt</t>
        </is>
      </c>
      <c r="K7" s="71" t="inlineStr">
        <is>
          <t>gilt</t>
        </is>
      </c>
      <c r="L7" s="68" t="inlineStr">
        <is>
          <t>Verfassungsgrundlagen für Raumplanung, Natur-/Heimatschutz, Energie</t>
        </is>
      </c>
      <c r="M7" s="72" t="inlineStr">
        <is>
          <t>https://www.fedlex.admin.ch/eli/cc/1999/404/de</t>
        </is>
      </c>
      <c r="N7" s="73" t="inlineStr">
        <is>
          <t>Muster · ungetestet</t>
        </is>
      </c>
      <c r="O7" s="68" t="inlineStr">
        <is>
          <t>Ergänzung · hoch</t>
        </is>
      </c>
      <c r="P7" s="68" t="n"/>
      <c r="Q7" s="68" t="n"/>
    </row>
    <row r="8" outlineLevel="1" ht="43.25" customHeight="1" s="45">
      <c r="A8" s="68" t="inlineStr">
        <is>
          <t>Bund</t>
        </is>
      </c>
      <c r="B8" s="69" t="inlineStr">
        <is>
          <t>Q1</t>
        </is>
      </c>
      <c r="C8" s="68" t="inlineStr">
        <is>
          <t>Gesetz</t>
        </is>
      </c>
      <c r="D8" s="70" t="inlineStr">
        <is>
          <t>Raumplanungsgesetz (RPG)</t>
        </is>
      </c>
      <c r="E8" s="68" t="inlineStr">
        <is>
          <t>SR 700</t>
        </is>
      </c>
      <c r="F8" s="68" t="inlineStr">
        <is>
          <t>konsolidierte Fassung (Fedlex)</t>
        </is>
      </c>
      <c r="G8" s="68" t="inlineStr">
        <is>
          <t>Bund (ARE)</t>
        </is>
      </c>
      <c r="H8" s="68" t="inlineStr">
        <is>
          <t>öffentlich</t>
        </is>
      </c>
      <c r="I8" s="71" t="inlineStr">
        <is>
          <t>gilt</t>
        </is>
      </c>
      <c r="J8" s="71" t="inlineStr">
        <is>
          <t>gilt</t>
        </is>
      </c>
      <c r="K8" s="71" t="inlineStr">
        <is>
          <t>gilt</t>
        </is>
      </c>
      <c r="L8" s="68" t="inlineStr">
        <is>
          <t>Zonenkonformität, haushälterische Bodennutzung, Bauen ausserhalb Bauzonen</t>
        </is>
      </c>
      <c r="M8" s="72" t="inlineStr">
        <is>
          <t>https://www.fedlex.admin.ch/eli/cc/1979/1573_1573_1573/de</t>
        </is>
      </c>
      <c r="N8" s="69" t="inlineStr">
        <is>
          <t>Kataster · ungetestet</t>
        </is>
      </c>
      <c r="O8" s="68" t="inlineStr">
        <is>
          <t>Katalog · hoch</t>
        </is>
      </c>
      <c r="P8" s="68" t="inlineStr">
        <is>
          <t>Stände im Katalog uneinheitlich → auf aktuellen Fedlex-Stand vereinheitlichen | Stand lt. Katalog uneinheitlich (M/W: 01.07.2026; S: 01.01.1980 (Erstinkrafttreten)) → massgebend ist die konsolidierte Fassung im Fedlex-Link</t>
        </is>
      </c>
      <c r="Q8" s="68" t="n"/>
    </row>
    <row r="9" outlineLevel="1" ht="22.35" customHeight="1" s="45">
      <c r="A9" s="68" t="inlineStr">
        <is>
          <t>Bund</t>
        </is>
      </c>
      <c r="B9" s="69" t="inlineStr">
        <is>
          <t>Q1</t>
        </is>
      </c>
      <c r="C9" s="68" t="inlineStr">
        <is>
          <t>Verordnung</t>
        </is>
      </c>
      <c r="D9" s="70" t="inlineStr">
        <is>
          <t>Raumplanungsverordnung (RPV)</t>
        </is>
      </c>
      <c r="E9" s="68" t="inlineStr">
        <is>
          <t>SR 700.1</t>
        </is>
      </c>
      <c r="F9" s="68" t="inlineStr">
        <is>
          <t>konsolidierte Fassung (Fedlex)</t>
        </is>
      </c>
      <c r="G9" s="68" t="inlineStr">
        <is>
          <t>Bund (ARE)</t>
        </is>
      </c>
      <c r="H9" s="68" t="inlineStr">
        <is>
          <t>öffentlich</t>
        </is>
      </c>
      <c r="I9" s="71" t="inlineStr">
        <is>
          <t>gilt</t>
        </is>
      </c>
      <c r="J9" s="71" t="inlineStr">
        <is>
          <t>gilt</t>
        </is>
      </c>
      <c r="K9" s="71" t="inlineStr">
        <is>
          <t>gilt</t>
        </is>
      </c>
      <c r="L9" s="68" t="inlineStr">
        <is>
          <t>Ausführungsanforderungen zur Raumplanung (u. a. Sachplan FFF, Bauzonendimensionierung)</t>
        </is>
      </c>
      <c r="M9" s="72" t="inlineStr">
        <is>
          <t>https://www.fedlex.admin.ch/eli/cc/2000/310/de</t>
        </is>
      </c>
      <c r="N9" s="69" t="inlineStr">
        <is>
          <t>Kataster · ungetestet</t>
        </is>
      </c>
      <c r="O9" s="68" t="inlineStr">
        <is>
          <t>Katalog · hoch</t>
        </is>
      </c>
      <c r="P9" s="68" t="inlineStr">
        <is>
          <t>Stand lt. Katalog uneinheitlich (M/W: 01.07.2026; S: 01.09.2000) → massgebend ist die konsolidierte Fassung im Fedlex-Link</t>
        </is>
      </c>
      <c r="Q9" s="68" t="n"/>
    </row>
    <row r="10" outlineLevel="1" ht="32.8" customHeight="1" s="45">
      <c r="A10" s="68" t="inlineStr">
        <is>
          <t>Bund</t>
        </is>
      </c>
      <c r="B10" s="69" t="inlineStr">
        <is>
          <t>Q1</t>
        </is>
      </c>
      <c r="C10" s="68" t="inlineStr">
        <is>
          <t>Gesetz</t>
        </is>
      </c>
      <c r="D10" s="70" t="inlineStr">
        <is>
          <t>Zweitwohnungsgesetz (ZWG)</t>
        </is>
      </c>
      <c r="E10" s="68" t="inlineStr">
        <is>
          <t>SR 702</t>
        </is>
      </c>
      <c r="F10" s="68" t="inlineStr">
        <is>
          <t>01.10.2024 (Fedlex-Fassung lt. Suchtreffer)</t>
        </is>
      </c>
      <c r="G10" s="68" t="inlineStr">
        <is>
          <t>Bund (ARE)</t>
        </is>
      </c>
      <c r="H10" s="68" t="inlineStr">
        <is>
          <t>öffentlich</t>
        </is>
      </c>
      <c r="I10" s="71" t="inlineStr">
        <is>
          <t>gilt</t>
        </is>
      </c>
      <c r="J10" s="71" t="inlineStr">
        <is>
          <t>gilt</t>
        </is>
      </c>
      <c r="K10" s="71" t="inlineStr">
        <is>
          <t>gilt</t>
        </is>
      </c>
      <c r="L10" s="68" t="inlineStr">
        <is>
          <t>Beschränkung Zweitwohnungen in Gemeinden &gt;20 % Anteil</t>
        </is>
      </c>
      <c r="M10" s="72" t="inlineStr">
        <is>
          <t>https://www.fedlex.admin.ch/eli/cc/2015/886/de</t>
        </is>
      </c>
      <c r="N10" s="69" t="inlineStr">
        <is>
          <t>Suchtreffer · ungetestet</t>
        </is>
      </c>
      <c r="O10" s="68" t="inlineStr">
        <is>
          <t>Ergänzung · hoch</t>
        </is>
      </c>
      <c r="P10" s="68" t="inlineStr">
        <is>
          <t>Massgebend für den Zweitwohnungsanteil ist die jährliche Feststellung des Bundes (Art. 5 ZWG). Seelisberg: siehe ZWV-Anhang</t>
        </is>
      </c>
      <c r="Q10" s="68" t="n"/>
    </row>
    <row r="11" outlineLevel="1" ht="32.8" customHeight="1" s="45">
      <c r="A11" s="68" t="inlineStr">
        <is>
          <t>Bund</t>
        </is>
      </c>
      <c r="B11" s="69" t="inlineStr">
        <is>
          <t>Q1</t>
        </is>
      </c>
      <c r="C11" s="68" t="inlineStr">
        <is>
          <t>Gesetz</t>
        </is>
      </c>
      <c r="D11" s="70" t="inlineStr">
        <is>
          <t>Zweitwohnungsverordnung (ZWV)</t>
        </is>
      </c>
      <c r="E11" s="68" t="inlineStr">
        <is>
          <t>SR 702.1</t>
        </is>
      </c>
      <c r="F11" s="68" t="inlineStr">
        <is>
          <t>–</t>
        </is>
      </c>
      <c r="G11" s="68" t="inlineStr">
        <is>
          <t>Bund (ARE)</t>
        </is>
      </c>
      <c r="H11" s="68" t="inlineStr">
        <is>
          <t>öffentlich</t>
        </is>
      </c>
      <c r="I11" s="71" t="inlineStr">
        <is>
          <t>gilt</t>
        </is>
      </c>
      <c r="J11" s="71" t="inlineStr">
        <is>
          <t>gilt</t>
        </is>
      </c>
      <c r="K11" s="71" t="inlineStr">
        <is>
          <t>gilt</t>
        </is>
      </c>
      <c r="L11" s="68" t="inlineStr">
        <is>
          <t>Vollzug ZWG; Anhang: Gemeinden mit vermutetem Zweitwohnungsanteil &gt;20 %</t>
        </is>
      </c>
      <c r="M11" s="72" t="inlineStr">
        <is>
          <t>https://www.are.admin.ch</t>
        </is>
      </c>
      <c r="N11" s="73" t="inlineStr">
        <is>
          <t>Einstiegsseite · ungetestet</t>
        </is>
      </c>
      <c r="O11" s="68" t="inlineStr">
        <is>
          <t>Ergänzung · hoch</t>
        </is>
      </c>
      <c r="P11" s="68" t="inlineStr">
        <is>
          <t>Anhang: Seelisberg (UR, BFS-Nr. 1215) aufgeführt; Wil in der SG-Liste nicht aufgeführt; Münchenstein: BL-Teil der Liste nicht eingesehen</t>
        </is>
      </c>
      <c r="Q11" s="68" t="inlineStr">
        <is>
          <t>Q-Bearbeitung: Dokument-URL auf der Behörden-Website ermitteln (Einstiegsseite verlinkt)</t>
        </is>
      </c>
    </row>
    <row r="12" outlineLevel="1" ht="22.35" customHeight="1" s="45">
      <c r="A12" s="68" t="inlineStr">
        <is>
          <t>Bund</t>
        </is>
      </c>
      <c r="B12" s="69" t="inlineStr">
        <is>
          <t>Q2 / Q5</t>
        </is>
      </c>
      <c r="C12" s="68" t="inlineStr">
        <is>
          <t>Gesetz</t>
        </is>
      </c>
      <c r="D12" s="70" t="inlineStr">
        <is>
          <t>Natur- und Heimatschutzgesetz (NHG)</t>
        </is>
      </c>
      <c r="E12" s="68" t="inlineStr">
        <is>
          <t>SR 451</t>
        </is>
      </c>
      <c r="F12" s="68" t="inlineStr">
        <is>
          <t>konsolidierte Fassung (Fedlex)</t>
        </is>
      </c>
      <c r="G12" s="68" t="inlineStr">
        <is>
          <t>Bund (BAFU / BAK)</t>
        </is>
      </c>
      <c r="H12" s="68" t="inlineStr">
        <is>
          <t>öffentlich</t>
        </is>
      </c>
      <c r="I12" s="71" t="inlineStr">
        <is>
          <t>gilt</t>
        </is>
      </c>
      <c r="J12" s="71" t="inlineStr">
        <is>
          <t>gilt</t>
        </is>
      </c>
      <c r="K12" s="71" t="inlineStr">
        <is>
          <t>gilt</t>
        </is>
      </c>
      <c r="L12" s="68" t="inlineStr">
        <is>
          <t>Schutz von Landschaften, Biotopen, Ortsbildern je nach Schutzstatus</t>
        </is>
      </c>
      <c r="M12" s="72" t="inlineStr">
        <is>
          <t>https://www.fedlex.admin.ch/eli/cc/1966/1637_1694_1679/de</t>
        </is>
      </c>
      <c r="N12" s="69" t="inlineStr">
        <is>
          <t>Kataster · ungetestet</t>
        </is>
      </c>
      <c r="O12" s="68" t="inlineStr">
        <is>
          <t>Katalog · hoch</t>
        </is>
      </c>
      <c r="P12" s="68" t="inlineStr">
        <is>
          <t>Stand lt. Katalog uneinheitlich (M/W: 01.08.2025; S: 01.01.1967) → massgebend ist die konsolidierte Fassung im Fedlex-Link</t>
        </is>
      </c>
      <c r="Q12" s="68" t="n"/>
    </row>
    <row r="13" outlineLevel="1" ht="22.35" customHeight="1" s="45">
      <c r="A13" s="68" t="inlineStr">
        <is>
          <t>Bund</t>
        </is>
      </c>
      <c r="B13" s="69" t="inlineStr">
        <is>
          <t>Q2 / Q5</t>
        </is>
      </c>
      <c r="C13" s="68" t="inlineStr">
        <is>
          <t>Verordnung</t>
        </is>
      </c>
      <c r="D13" s="70" t="inlineStr">
        <is>
          <t>Natur- und Heimatschutzverordnung (NHV)</t>
        </is>
      </c>
      <c r="E13" s="68" t="inlineStr">
        <is>
          <t>SR 451.1</t>
        </is>
      </c>
      <c r="F13" s="68" t="inlineStr">
        <is>
          <t>–</t>
        </is>
      </c>
      <c r="G13" s="68" t="inlineStr">
        <is>
          <t>Bund (BAFU / BAK / ASTRA)</t>
        </is>
      </c>
      <c r="H13" s="68" t="inlineStr">
        <is>
          <t>öffentlich</t>
        </is>
      </c>
      <c r="I13" s="71" t="inlineStr">
        <is>
          <t>gilt</t>
        </is>
      </c>
      <c r="J13" s="71" t="inlineStr">
        <is>
          <t>gilt</t>
        </is>
      </c>
      <c r="K13" s="71" t="inlineStr">
        <is>
          <t>gilt</t>
        </is>
      </c>
      <c r="L13" s="68" t="inlineStr">
        <is>
          <t>Vollzug NHG; Bundesinventare, Bundesaufgaben</t>
        </is>
      </c>
      <c r="M13" s="72" t="inlineStr">
        <is>
          <t>https://www.fedlex.admin.ch/eli/cc/1991/249_249_249/de</t>
        </is>
      </c>
      <c r="N13" s="73" t="inlineStr">
        <is>
          <t>Muster · ungetestet</t>
        </is>
      </c>
      <c r="O13" s="68" t="inlineStr">
        <is>
          <t>Ergänzung · hoch</t>
        </is>
      </c>
      <c r="P13" s="68" t="inlineStr">
        <is>
          <t>Klick-Test ausstehend</t>
        </is>
      </c>
      <c r="Q13" s="68" t="n"/>
    </row>
    <row r="14" outlineLevel="1" ht="22.35" customHeight="1" s="45">
      <c r="A14" s="68" t="inlineStr">
        <is>
          <t>Bund</t>
        </is>
      </c>
      <c r="B14" s="69" t="inlineStr">
        <is>
          <t>Q2 / Q5</t>
        </is>
      </c>
      <c r="C14" s="68" t="inlineStr">
        <is>
          <t>Verordnung</t>
        </is>
      </c>
      <c r="D14" s="70" t="inlineStr">
        <is>
          <t>Verordnung über das Bundesinventar der Landschaften und Naturdenkmäler (VBLN)</t>
        </is>
      </c>
      <c r="E14" s="68" t="inlineStr">
        <is>
          <t>SR 451.11</t>
        </is>
      </c>
      <c r="F14" s="68" t="inlineStr">
        <is>
          <t>–</t>
        </is>
      </c>
      <c r="G14" s="68" t="inlineStr">
        <is>
          <t>Bund (BAFU)</t>
        </is>
      </c>
      <c r="H14" s="68" t="inlineStr">
        <is>
          <t>öffentlich</t>
        </is>
      </c>
      <c r="I14" s="71" t="inlineStr">
        <is>
          <t>gilt</t>
        </is>
      </c>
      <c r="J14" s="71" t="inlineStr">
        <is>
          <t>gilt</t>
        </is>
      </c>
      <c r="K14" s="71" t="inlineStr">
        <is>
          <t>gilt</t>
        </is>
      </c>
      <c r="L14" s="68" t="inlineStr">
        <is>
          <t>Rechtsgrundlage BLN</t>
        </is>
      </c>
      <c r="M14" s="72" t="inlineStr">
        <is>
          <t>https://www.bafu.admin.ch</t>
        </is>
      </c>
      <c r="N14" s="73" t="inlineStr">
        <is>
          <t>Einstiegsseite · ungetestet</t>
        </is>
      </c>
      <c r="O14" s="68" t="inlineStr">
        <is>
          <t>Ergänzung · hoch</t>
        </is>
      </c>
      <c r="P14" s="68" t="n"/>
      <c r="Q14" s="68" t="inlineStr">
        <is>
          <t>Q-Bearbeitung: Dokument-URL auf der Behörden-Website ermitteln (Einstiegsseite verlinkt)</t>
        </is>
      </c>
    </row>
    <row r="15" outlineLevel="1" ht="22.35" customHeight="1" s="45">
      <c r="A15" s="68" t="inlineStr">
        <is>
          <t>Bund</t>
        </is>
      </c>
      <c r="B15" s="69" t="inlineStr">
        <is>
          <t>Q2 / Q5</t>
        </is>
      </c>
      <c r="C15" s="68" t="inlineStr">
        <is>
          <t>Verordnung</t>
        </is>
      </c>
      <c r="D15" s="70" t="inlineStr">
        <is>
          <t>Verordnung über das Bundesinventar der schützenswerten Ortsbilder der Schweiz (VISOS)</t>
        </is>
      </c>
      <c r="E15" s="68" t="inlineStr">
        <is>
          <t>SR 451.12</t>
        </is>
      </c>
      <c r="F15" s="68" t="inlineStr">
        <is>
          <t>–</t>
        </is>
      </c>
      <c r="G15" s="68" t="inlineStr">
        <is>
          <t>Bund (BAK)</t>
        </is>
      </c>
      <c r="H15" s="68" t="inlineStr">
        <is>
          <t>öffentlich</t>
        </is>
      </c>
      <c r="I15" s="71" t="inlineStr">
        <is>
          <t>gilt</t>
        </is>
      </c>
      <c r="J15" s="71" t="inlineStr">
        <is>
          <t>gilt</t>
        </is>
      </c>
      <c r="K15" s="71" t="inlineStr">
        <is>
          <t>gilt</t>
        </is>
      </c>
      <c r="L15" s="68" t="inlineStr">
        <is>
          <t>Rechtsgrundlage ISOS</t>
        </is>
      </c>
      <c r="M15" s="72" t="inlineStr">
        <is>
          <t>https://www.bak.admin.ch</t>
        </is>
      </c>
      <c r="N15" s="73" t="inlineStr">
        <is>
          <t>Einstiegsseite · ungetestet</t>
        </is>
      </c>
      <c r="O15" s="68" t="inlineStr">
        <is>
          <t>Ergänzung · hoch</t>
        </is>
      </c>
      <c r="P15" s="68" t="n"/>
      <c r="Q15" s="68" t="inlineStr">
        <is>
          <t>Q-Bearbeitung: Dokument-URL auf der Behörden-Website ermitteln (Einstiegsseite verlinkt)</t>
        </is>
      </c>
    </row>
    <row r="16" outlineLevel="1" ht="22.35" customHeight="1" s="45">
      <c r="A16" s="68" t="inlineStr">
        <is>
          <t>Bund</t>
        </is>
      </c>
      <c r="B16" s="69" t="inlineStr">
        <is>
          <t>Q2 / Q5</t>
        </is>
      </c>
      <c r="C16" s="68" t="inlineStr">
        <is>
          <t>Verordnung</t>
        </is>
      </c>
      <c r="D16" s="70" t="inlineStr">
        <is>
          <t>Verordnung über das Bundesinventar der historischen Verkehrswege der Schweiz (VIVS)</t>
        </is>
      </c>
      <c r="E16" s="68" t="inlineStr">
        <is>
          <t>SR 451.13</t>
        </is>
      </c>
      <c r="F16" s="68" t="inlineStr">
        <is>
          <t>–</t>
        </is>
      </c>
      <c r="G16" s="68" t="inlineStr">
        <is>
          <t>Bund (ASTRA)</t>
        </is>
      </c>
      <c r="H16" s="68" t="inlineStr">
        <is>
          <t>öffentlich</t>
        </is>
      </c>
      <c r="I16" s="71" t="inlineStr">
        <is>
          <t>gilt</t>
        </is>
      </c>
      <c r="J16" s="71" t="inlineStr">
        <is>
          <t>gilt</t>
        </is>
      </c>
      <c r="K16" s="71" t="inlineStr">
        <is>
          <t>gilt</t>
        </is>
      </c>
      <c r="L16" s="68" t="inlineStr">
        <is>
          <t>Rechtsgrundlage IVS</t>
        </is>
      </c>
      <c r="M16" s="72" t="inlineStr">
        <is>
          <t>https://www.astra.admin.ch</t>
        </is>
      </c>
      <c r="N16" s="73" t="inlineStr">
        <is>
          <t>Einstiegsseite · ungetestet</t>
        </is>
      </c>
      <c r="O16" s="68" t="inlineStr">
        <is>
          <t>Ergänzung · hoch</t>
        </is>
      </c>
      <c r="P16" s="68" t="n"/>
      <c r="Q16" s="68" t="inlineStr">
        <is>
          <t>Q-Bearbeitung: Dokument-URL auf der Behörden-Website ermitteln (Einstiegsseite verlinkt)</t>
        </is>
      </c>
    </row>
    <row r="17" outlineLevel="1" ht="32.8" customHeight="1" s="45">
      <c r="A17" s="68" t="inlineStr">
        <is>
          <t>Bund</t>
        </is>
      </c>
      <c r="B17" s="69" t="inlineStr">
        <is>
          <t>Q2</t>
        </is>
      </c>
      <c r="C17" s="68" t="inlineStr">
        <is>
          <t>Verordnung</t>
        </is>
      </c>
      <c r="D17" s="70" t="inlineStr">
        <is>
          <t>Verordnung über den Schutz der Auengebiete von nationaler Bedeutung (Auenverordnung)</t>
        </is>
      </c>
      <c r="E17" s="68" t="inlineStr">
        <is>
          <t>SR 451.31</t>
        </is>
      </c>
      <c r="F17" s="68" t="inlineStr">
        <is>
          <t>Erlass 28.10.1992; konsolidierte Fassung (Fedlex)</t>
        </is>
      </c>
      <c r="G17" s="68" t="inlineStr">
        <is>
          <t>Bund (BAFU)</t>
        </is>
      </c>
      <c r="H17" s="68" t="inlineStr">
        <is>
          <t>öffentlich</t>
        </is>
      </c>
      <c r="I17" s="71" t="inlineStr">
        <is>
          <t>gilt</t>
        </is>
      </c>
      <c r="J17" s="71" t="inlineStr">
        <is>
          <t>gilt</t>
        </is>
      </c>
      <c r="K17" s="71" t="inlineStr">
        <is>
          <t>gilt</t>
        </is>
      </c>
      <c r="L17" s="68" t="inlineStr">
        <is>
          <t>Rechtsgrundlage Bundesinventar: Auengebiete</t>
        </is>
      </c>
      <c r="M17" s="72" t="inlineStr">
        <is>
          <t>https://www.bafu.admin.ch</t>
        </is>
      </c>
      <c r="N17" s="73" t="inlineStr">
        <is>
          <t>Einstiegsseite · ungetestet</t>
        </is>
      </c>
      <c r="O17" s="68" t="inlineStr">
        <is>
          <t>Ergänzung · hoch</t>
        </is>
      </c>
      <c r="P17" s="68" t="inlineStr">
        <is>
          <t>Ergänzung auf Vorgabe des Teams; Fedlex-ELI nicht ermittelt</t>
        </is>
      </c>
      <c r="Q17" s="68" t="inlineStr">
        <is>
          <t>Q-Bearbeitung: Dokument-URL auf der Behörden-Website ermitteln (Einstiegsseite verlinkt)</t>
        </is>
      </c>
    </row>
    <row r="18" outlineLevel="1" ht="32.8" customHeight="1" s="45">
      <c r="A18" s="68" t="inlineStr">
        <is>
          <t>Bund</t>
        </is>
      </c>
      <c r="B18" s="69" t="inlineStr">
        <is>
          <t>Q2</t>
        </is>
      </c>
      <c r="C18" s="68" t="inlineStr">
        <is>
          <t>Verordnung</t>
        </is>
      </c>
      <c r="D18" s="70" t="inlineStr">
        <is>
          <t>Verordnung über den Schutz der Hoch- und Übergangsmoore von nationaler Bedeutung (Hochmoorverordnung)</t>
        </is>
      </c>
      <c r="E18" s="68" t="inlineStr">
        <is>
          <t>SR 451.32</t>
        </is>
      </c>
      <c r="F18" s="68" t="inlineStr">
        <is>
          <t>Erlass 21.01.1991; konsolidierte Fassung (Fedlex)</t>
        </is>
      </c>
      <c r="G18" s="68" t="inlineStr">
        <is>
          <t>Bund (BAFU)</t>
        </is>
      </c>
      <c r="H18" s="68" t="inlineStr">
        <is>
          <t>öffentlich</t>
        </is>
      </c>
      <c r="I18" s="71" t="inlineStr">
        <is>
          <t>gilt</t>
        </is>
      </c>
      <c r="J18" s="71" t="inlineStr">
        <is>
          <t>gilt</t>
        </is>
      </c>
      <c r="K18" s="71" t="inlineStr">
        <is>
          <t>gilt</t>
        </is>
      </c>
      <c r="L18" s="68" t="inlineStr">
        <is>
          <t>Rechtsgrundlage Bundesinventar: Hoch- und Übergangsmoore</t>
        </is>
      </c>
      <c r="M18" s="72" t="inlineStr">
        <is>
          <t>https://www.bafu.admin.ch</t>
        </is>
      </c>
      <c r="N18" s="73" t="inlineStr">
        <is>
          <t>Einstiegsseite · ungetestet</t>
        </is>
      </c>
      <c r="O18" s="68" t="inlineStr">
        <is>
          <t>Ergänzung · hoch</t>
        </is>
      </c>
      <c r="P18" s="68" t="inlineStr">
        <is>
          <t>Ergänzung auf Vorgabe des Teams; Fedlex-ELI nicht ermittelt</t>
        </is>
      </c>
      <c r="Q18" s="68" t="inlineStr">
        <is>
          <t>Q-Bearbeitung: Dokument-URL auf der Behörden-Website ermitteln (Einstiegsseite verlinkt)</t>
        </is>
      </c>
    </row>
    <row r="19" outlineLevel="1" ht="32.8" customHeight="1" s="45">
      <c r="A19" s="68" t="inlineStr">
        <is>
          <t>Bund</t>
        </is>
      </c>
      <c r="B19" s="69" t="inlineStr">
        <is>
          <t>Q2</t>
        </is>
      </c>
      <c r="C19" s="68" t="inlineStr">
        <is>
          <t>Verordnung</t>
        </is>
      </c>
      <c r="D19" s="70" t="inlineStr">
        <is>
          <t>Verordnung über den Schutz der Flachmoore von nationaler Bedeutung (Flachmoorverordnung)</t>
        </is>
      </c>
      <c r="E19" s="68" t="inlineStr">
        <is>
          <t>SR 451.33</t>
        </is>
      </c>
      <c r="F19" s="68" t="inlineStr">
        <is>
          <t>Erlass 07.09.1994; konsolidierte Fassung (Fedlex)</t>
        </is>
      </c>
      <c r="G19" s="68" t="inlineStr">
        <is>
          <t>Bund (BAFU)</t>
        </is>
      </c>
      <c r="H19" s="68" t="inlineStr">
        <is>
          <t>öffentlich</t>
        </is>
      </c>
      <c r="I19" s="71" t="inlineStr">
        <is>
          <t>gilt</t>
        </is>
      </c>
      <c r="J19" s="71" t="inlineStr">
        <is>
          <t>gilt</t>
        </is>
      </c>
      <c r="K19" s="71" t="inlineStr">
        <is>
          <t>gilt</t>
        </is>
      </c>
      <c r="L19" s="68" t="inlineStr">
        <is>
          <t>Rechtsgrundlage Bundesinventar: Flachmoore</t>
        </is>
      </c>
      <c r="M19" s="72" t="inlineStr">
        <is>
          <t>https://www.bafu.admin.ch</t>
        </is>
      </c>
      <c r="N19" s="73" t="inlineStr">
        <is>
          <t>Einstiegsseite · ungetestet</t>
        </is>
      </c>
      <c r="O19" s="68" t="inlineStr">
        <is>
          <t>Ergänzung · hoch</t>
        </is>
      </c>
      <c r="P19" s="68" t="inlineStr">
        <is>
          <t>Ergänzung auf Vorgabe des Teams; Fedlex-ELI nicht ermittelt</t>
        </is>
      </c>
      <c r="Q19" s="68" t="inlineStr">
        <is>
          <t>Q-Bearbeitung: Dokument-URL auf der Behörden-Website ermitteln (Einstiegsseite verlinkt)</t>
        </is>
      </c>
    </row>
    <row r="20" outlineLevel="1" ht="32.8" customHeight="1" s="45">
      <c r="A20" s="68" t="inlineStr">
        <is>
          <t>Bund</t>
        </is>
      </c>
      <c r="B20" s="69" t="inlineStr">
        <is>
          <t>Q2</t>
        </is>
      </c>
      <c r="C20" s="68" t="inlineStr">
        <is>
          <t>Verordnung</t>
        </is>
      </c>
      <c r="D20" s="70" t="inlineStr">
        <is>
          <t>Verordnung über den Schutz der Amphibienlaichgebiete von nationaler Bedeutung (Amphibienlaichgebiete-Verordnung; AlgV)</t>
        </is>
      </c>
      <c r="E20" s="68" t="inlineStr">
        <is>
          <t>SR 451.34</t>
        </is>
      </c>
      <c r="F20" s="68" t="inlineStr">
        <is>
          <t>Erlass 15.06.2001; konsolidierte Fassung (Fedlex)</t>
        </is>
      </c>
      <c r="G20" s="68" t="inlineStr">
        <is>
          <t>Bund (BAFU)</t>
        </is>
      </c>
      <c r="H20" s="68" t="inlineStr">
        <is>
          <t>öffentlich</t>
        </is>
      </c>
      <c r="I20" s="71" t="inlineStr">
        <is>
          <t>gilt</t>
        </is>
      </c>
      <c r="J20" s="71" t="inlineStr">
        <is>
          <t>gilt</t>
        </is>
      </c>
      <c r="K20" s="71" t="inlineStr">
        <is>
          <t>gilt</t>
        </is>
      </c>
      <c r="L20" s="68" t="inlineStr">
        <is>
          <t>Rechtsgrundlage Bundesinventar: Amphibienlaichgebiete</t>
        </is>
      </c>
      <c r="M20" s="72" t="inlineStr">
        <is>
          <t>https://www.bafu.admin.ch</t>
        </is>
      </c>
      <c r="N20" s="73" t="inlineStr">
        <is>
          <t>Einstiegsseite · ungetestet</t>
        </is>
      </c>
      <c r="O20" s="68" t="inlineStr">
        <is>
          <t>Ergänzung · hoch</t>
        </is>
      </c>
      <c r="P20" s="68" t="inlineStr">
        <is>
          <t>Ergänzung auf Vorgabe des Teams; Fedlex-ELI nicht ermittelt</t>
        </is>
      </c>
      <c r="Q20" s="68" t="inlineStr">
        <is>
          <t>Q-Bearbeitung: Dokument-URL auf der Behörden-Website ermitteln (Einstiegsseite verlinkt)</t>
        </is>
      </c>
    </row>
    <row r="21" outlineLevel="1" ht="32.8" customHeight="1" s="45">
      <c r="A21" s="68" t="inlineStr">
        <is>
          <t>Bund</t>
        </is>
      </c>
      <c r="B21" s="69" t="inlineStr">
        <is>
          <t>Q2</t>
        </is>
      </c>
      <c r="C21" s="68" t="inlineStr">
        <is>
          <t>Verordnung</t>
        </is>
      </c>
      <c r="D21" s="70" t="inlineStr">
        <is>
          <t>Verordnung über den Schutz der Moorlandschaften von besonderer Schönheit und von nationaler Bedeutung (Moorlandschaftsverordnung)</t>
        </is>
      </c>
      <c r="E21" s="68" t="inlineStr">
        <is>
          <t>SR 451.35</t>
        </is>
      </c>
      <c r="F21" s="68" t="inlineStr">
        <is>
          <t>Erlass 01.05.1996; konsolidierte Fassung (Fedlex)</t>
        </is>
      </c>
      <c r="G21" s="68" t="inlineStr">
        <is>
          <t>Bund (BAFU)</t>
        </is>
      </c>
      <c r="H21" s="68" t="inlineStr">
        <is>
          <t>öffentlich</t>
        </is>
      </c>
      <c r="I21" s="71" t="inlineStr">
        <is>
          <t>gilt</t>
        </is>
      </c>
      <c r="J21" s="71" t="inlineStr">
        <is>
          <t>gilt</t>
        </is>
      </c>
      <c r="K21" s="71" t="inlineStr">
        <is>
          <t>gilt</t>
        </is>
      </c>
      <c r="L21" s="68" t="inlineStr">
        <is>
          <t>Rechtsgrundlage Bundesinventar: Moorlandschaften</t>
        </is>
      </c>
      <c r="M21" s="72" t="inlineStr">
        <is>
          <t>https://www.bafu.admin.ch</t>
        </is>
      </c>
      <c r="N21" s="73" t="inlineStr">
        <is>
          <t>Einstiegsseite · ungetestet</t>
        </is>
      </c>
      <c r="O21" s="68" t="inlineStr">
        <is>
          <t>Ergänzung · hoch</t>
        </is>
      </c>
      <c r="P21" s="68" t="inlineStr">
        <is>
          <t>Ergänzung auf Vorgabe des Teams; Fedlex-ELI nicht ermittelt</t>
        </is>
      </c>
      <c r="Q21" s="68" t="inlineStr">
        <is>
          <t>Q-Bearbeitung: Dokument-URL auf der Behörden-Website ermitteln (Einstiegsseite verlinkt)</t>
        </is>
      </c>
    </row>
    <row r="22" outlineLevel="1" ht="32.8" customHeight="1" s="45">
      <c r="A22" s="68" t="inlineStr">
        <is>
          <t>Bund</t>
        </is>
      </c>
      <c r="B22" s="69" t="inlineStr">
        <is>
          <t>Q2</t>
        </is>
      </c>
      <c r="C22" s="68" t="inlineStr">
        <is>
          <t>Verordnung</t>
        </is>
      </c>
      <c r="D22" s="70" t="inlineStr">
        <is>
          <t>Verordnung über die Pärke von nationaler Bedeutung (Pärkeverordnung, PäV)</t>
        </is>
      </c>
      <c r="E22" s="68" t="inlineStr">
        <is>
          <t>SR 451.36</t>
        </is>
      </c>
      <c r="F22" s="68" t="inlineStr">
        <is>
          <t>Erlass 07.11.2007; konsolidierte Fassung (Fedlex)</t>
        </is>
      </c>
      <c r="G22" s="68" t="inlineStr">
        <is>
          <t>Bund (BAFU)</t>
        </is>
      </c>
      <c r="H22" s="68" t="inlineStr">
        <is>
          <t>öffentlich</t>
        </is>
      </c>
      <c r="I22" s="71" t="inlineStr">
        <is>
          <t>gilt</t>
        </is>
      </c>
      <c r="J22" s="71" t="inlineStr">
        <is>
          <t>gilt</t>
        </is>
      </c>
      <c r="K22" s="71" t="inlineStr">
        <is>
          <t>gilt</t>
        </is>
      </c>
      <c r="L22" s="68" t="inlineStr">
        <is>
          <t>Rechtsgrundlage Bundesinventar: Pärke von nationaler Bedeutung</t>
        </is>
      </c>
      <c r="M22" s="72" t="inlineStr">
        <is>
          <t>https://www.bafu.admin.ch</t>
        </is>
      </c>
      <c r="N22" s="73" t="inlineStr">
        <is>
          <t>Einstiegsseite · ungetestet</t>
        </is>
      </c>
      <c r="O22" s="68" t="inlineStr">
        <is>
          <t>Ergänzung · hoch</t>
        </is>
      </c>
      <c r="P22" s="68" t="inlineStr">
        <is>
          <t>Ergänzung auf Vorgabe des Teams; Fedlex-ELI nicht ermittelt</t>
        </is>
      </c>
      <c r="Q22" s="68" t="inlineStr">
        <is>
          <t>Q-Bearbeitung: Dokument-URL auf der Behörden-Website ermitteln (Einstiegsseite verlinkt)</t>
        </is>
      </c>
    </row>
    <row r="23" outlineLevel="1" ht="32.8" customHeight="1" s="45">
      <c r="A23" s="68" t="inlineStr">
        <is>
          <t>Bund</t>
        </is>
      </c>
      <c r="B23" s="69" t="inlineStr">
        <is>
          <t>Q2</t>
        </is>
      </c>
      <c r="C23" s="68" t="inlineStr">
        <is>
          <t>Verordnung</t>
        </is>
      </c>
      <c r="D23" s="70" t="inlineStr">
        <is>
          <t>Verordnung über den Schutz der Trockenwiesen und -weiden von nationaler Bedeutung (Trockenwiesenverordnung, TwwV)</t>
        </is>
      </c>
      <c r="E23" s="68" t="inlineStr">
        <is>
          <t>SR 451.37</t>
        </is>
      </c>
      <c r="F23" s="68" t="inlineStr">
        <is>
          <t>Erlass 13.01.2010; konsolidierte Fassung (Fedlex)</t>
        </is>
      </c>
      <c r="G23" s="68" t="inlineStr">
        <is>
          <t>Bund (BAFU)</t>
        </is>
      </c>
      <c r="H23" s="68" t="inlineStr">
        <is>
          <t>öffentlich</t>
        </is>
      </c>
      <c r="I23" s="71" t="inlineStr">
        <is>
          <t>gilt</t>
        </is>
      </c>
      <c r="J23" s="71" t="inlineStr">
        <is>
          <t>gilt</t>
        </is>
      </c>
      <c r="K23" s="71" t="inlineStr">
        <is>
          <t>gilt</t>
        </is>
      </c>
      <c r="L23" s="68" t="inlineStr">
        <is>
          <t>Rechtsgrundlage Bundesinventar: Trockenwiesen und -weiden</t>
        </is>
      </c>
      <c r="M23" s="72" t="inlineStr">
        <is>
          <t>https://www.bafu.admin.ch</t>
        </is>
      </c>
      <c r="N23" s="73" t="inlineStr">
        <is>
          <t>Einstiegsseite · ungetestet</t>
        </is>
      </c>
      <c r="O23" s="68" t="inlineStr">
        <is>
          <t>Ergänzung · hoch</t>
        </is>
      </c>
      <c r="P23" s="68" t="inlineStr">
        <is>
          <t>Ergänzung auf Vorgabe des Teams; Fedlex-ELI nicht ermittelt</t>
        </is>
      </c>
      <c r="Q23" s="68" t="inlineStr">
        <is>
          <t>Q-Bearbeitung: Dokument-URL auf der Behörden-Website ermitteln (Einstiegsseite verlinkt)</t>
        </is>
      </c>
    </row>
    <row r="24" outlineLevel="1" ht="32.8" customHeight="1" s="45">
      <c r="A24" s="68" t="inlineStr">
        <is>
          <t>Bund</t>
        </is>
      </c>
      <c r="B24" s="69" t="inlineStr">
        <is>
          <t>Q2</t>
        </is>
      </c>
      <c r="C24" s="68" t="inlineStr">
        <is>
          <t>Gesetz</t>
        </is>
      </c>
      <c r="D24" s="70" t="inlineStr">
        <is>
          <t>Gewässerschutzgesetz (GSchG)</t>
        </is>
      </c>
      <c r="E24" s="68" t="inlineStr">
        <is>
          <t>SR 814.20</t>
        </is>
      </c>
      <c r="F24" s="68" t="inlineStr">
        <is>
          <t>konsolidierte Fassung (Fedlex); GSchV Stand 01.08.2025</t>
        </is>
      </c>
      <c r="G24" s="68" t="inlineStr">
        <is>
          <t>Bund (BAFU)</t>
        </is>
      </c>
      <c r="H24" s="68" t="inlineStr">
        <is>
          <t>öffentlich</t>
        </is>
      </c>
      <c r="I24" s="71" t="inlineStr">
        <is>
          <t>gilt</t>
        </is>
      </c>
      <c r="J24" s="71" t="inlineStr">
        <is>
          <t>gilt</t>
        </is>
      </c>
      <c r="K24" s="71" t="inlineStr">
        <is>
          <t>gilt</t>
        </is>
      </c>
      <c r="L24" s="68" t="inlineStr">
        <is>
          <t>Gewässerschutz, Gewässerraum, Restwasser, Grundwasserschutz</t>
        </is>
      </c>
      <c r="M24" s="72" t="inlineStr">
        <is>
          <t>https://www.fedlex.admin.ch/eli/cc/1992/1860_1860_1860/de</t>
        </is>
      </c>
      <c r="N24" s="69" t="inlineStr">
        <is>
          <t>Kataster · ungetestet</t>
        </is>
      </c>
      <c r="O24" s="68" t="inlineStr">
        <is>
          <t>Katalog · hoch</t>
        </is>
      </c>
      <c r="P24" s="68" t="inlineStr">
        <is>
          <t>Stand lt. Katalog uneinheitlich (M/W: 01.08.2025; S: 01.11.1992) → konsolidierte Fassung im Link</t>
        </is>
      </c>
      <c r="Q24" s="68" t="n"/>
    </row>
    <row r="25" outlineLevel="1" ht="22.35" customHeight="1" s="45">
      <c r="A25" s="68" t="inlineStr">
        <is>
          <t>Bund</t>
        </is>
      </c>
      <c r="B25" s="69" t="inlineStr">
        <is>
          <t>Q2</t>
        </is>
      </c>
      <c r="C25" s="68" t="inlineStr">
        <is>
          <t>Gesetz</t>
        </is>
      </c>
      <c r="D25" s="70" t="inlineStr">
        <is>
          <t>Gewässerschutzverordnung (GSchV)</t>
        </is>
      </c>
      <c r="E25" s="68" t="inlineStr">
        <is>
          <t>SR 814.201</t>
        </is>
      </c>
      <c r="F25" s="68" t="inlineStr">
        <is>
          <t>01.08.2025 (Fassung lt. Suchtreffer)</t>
        </is>
      </c>
      <c r="G25" s="68" t="inlineStr">
        <is>
          <t>Bund (BAFU)</t>
        </is>
      </c>
      <c r="H25" s="68" t="inlineStr">
        <is>
          <t>öffentlich</t>
        </is>
      </c>
      <c r="I25" s="71" t="inlineStr">
        <is>
          <t>gilt</t>
        </is>
      </c>
      <c r="J25" s="71" t="inlineStr">
        <is>
          <t>gilt</t>
        </is>
      </c>
      <c r="K25" s="71" t="inlineStr">
        <is>
          <t>gilt</t>
        </is>
      </c>
      <c r="L25" s="68" t="inlineStr">
        <is>
          <t>Entwässerungsplanung (Art. 4/5: regionale und kommunale Entwässerungsplanung), Gewässerraum</t>
        </is>
      </c>
      <c r="M25" s="72" t="inlineStr">
        <is>
          <t>https://www.fedlex.admin.ch/eli/cc/1998/2863_2863_2863/de</t>
        </is>
      </c>
      <c r="N25" s="73" t="inlineStr">
        <is>
          <t>Muster · ungetestet</t>
        </is>
      </c>
      <c r="O25" s="68" t="inlineStr">
        <is>
          <t>Ergänzung · hoch</t>
        </is>
      </c>
      <c r="P25" s="68" t="inlineStr">
        <is>
          <t>Klick-Test ausstehend; Art. 5 = Grundlage GEP</t>
        </is>
      </c>
      <c r="Q25" s="68" t="n"/>
    </row>
    <row r="26" outlineLevel="1" ht="22.35" customHeight="1" s="45">
      <c r="A26" s="68" t="inlineStr">
        <is>
          <t>Bund</t>
        </is>
      </c>
      <c r="B26" s="69" t="inlineStr">
        <is>
          <t>Q2</t>
        </is>
      </c>
      <c r="C26" s="68" t="inlineStr">
        <is>
          <t>Gesetz</t>
        </is>
      </c>
      <c r="D26" s="70" t="inlineStr">
        <is>
          <t>Waldgesetz (WaG)</t>
        </is>
      </c>
      <c r="E26" s="68" t="inlineStr">
        <is>
          <t>SR 921.0</t>
        </is>
      </c>
      <c r="F26" s="68" t="inlineStr">
        <is>
          <t>konsolidierte Fassung (Fedlex)</t>
        </is>
      </c>
      <c r="G26" s="68" t="inlineStr">
        <is>
          <t>Bund (BAFU)</t>
        </is>
      </c>
      <c r="H26" s="68" t="inlineStr">
        <is>
          <t>öffentlich</t>
        </is>
      </c>
      <c r="I26" s="71" t="inlineStr">
        <is>
          <t>gilt</t>
        </is>
      </c>
      <c r="J26" s="71" t="inlineStr">
        <is>
          <t>gilt</t>
        </is>
      </c>
      <c r="K26" s="71" t="inlineStr">
        <is>
          <t>gilt</t>
        </is>
      </c>
      <c r="L26" s="68" t="inlineStr">
        <is>
          <t>Waldschutz, Waldabstand, Rodungsverbot</t>
        </is>
      </c>
      <c r="M26" s="72" t="inlineStr">
        <is>
          <t>https://www.fedlex.admin.ch/eli/cc/1992/2521_2521_2521/de</t>
        </is>
      </c>
      <c r="N26" s="69" t="inlineStr">
        <is>
          <t>Kataster · ungetestet</t>
        </is>
      </c>
      <c r="O26" s="68" t="inlineStr">
        <is>
          <t>Katalog · hoch</t>
        </is>
      </c>
      <c r="P26" s="68" t="inlineStr">
        <is>
          <t>Stand lt. Katalog uneinheitlich (M/W: 01.08.2025; S: 01.01.1993) → massgebend ist die konsolidierte Fassung im Fedlex-Link</t>
        </is>
      </c>
      <c r="Q26" s="68" t="n"/>
    </row>
    <row r="27" outlineLevel="1" ht="22.35" customHeight="1" s="45">
      <c r="A27" s="68" t="inlineStr">
        <is>
          <t>Bund</t>
        </is>
      </c>
      <c r="B27" s="69" t="inlineStr">
        <is>
          <t>Q2</t>
        </is>
      </c>
      <c r="C27" s="68" t="inlineStr">
        <is>
          <t>Gesetz</t>
        </is>
      </c>
      <c r="D27" s="70" t="inlineStr">
        <is>
          <t>Waldverordnung (WaV)</t>
        </is>
      </c>
      <c r="E27" s="68" t="inlineStr">
        <is>
          <t>SR 921.01</t>
        </is>
      </c>
      <c r="F27" s="68" t="inlineStr">
        <is>
          <t>konsolidierte Fassung (Fedlex)</t>
        </is>
      </c>
      <c r="G27" s="68" t="inlineStr">
        <is>
          <t>Bund (BAFU)</t>
        </is>
      </c>
      <c r="H27" s="68" t="inlineStr">
        <is>
          <t>öffentlich</t>
        </is>
      </c>
      <c r="I27" s="71" t="inlineStr">
        <is>
          <t>gilt</t>
        </is>
      </c>
      <c r="J27" s="71" t="inlineStr">
        <is>
          <t>gilt</t>
        </is>
      </c>
      <c r="K27" s="71" t="inlineStr">
        <is>
          <t>gilt</t>
        </is>
      </c>
      <c r="L27" s="68" t="inlineStr">
        <is>
          <t>Vollzug WaG</t>
        </is>
      </c>
      <c r="M27" s="72" t="inlineStr">
        <is>
          <t>https://www.bafu.admin.ch</t>
        </is>
      </c>
      <c r="N27" s="73" t="inlineStr">
        <is>
          <t>Einstiegsseite · ungetestet</t>
        </is>
      </c>
      <c r="O27" s="68" t="inlineStr">
        <is>
          <t>Ergänzung · hoch</t>
        </is>
      </c>
      <c r="P27" s="68" t="n"/>
      <c r="Q27" s="68" t="inlineStr">
        <is>
          <t>Q-Bearbeitung: Dokument-URL auf der Behörden-Website ermitteln (Einstiegsseite verlinkt)</t>
        </is>
      </c>
    </row>
    <row r="28" outlineLevel="1" ht="22.35" customHeight="1" s="45">
      <c r="A28" s="68" t="inlineStr">
        <is>
          <t>Bund</t>
        </is>
      </c>
      <c r="B28" s="69" t="inlineStr">
        <is>
          <t>Q2</t>
        </is>
      </c>
      <c r="C28" s="68" t="inlineStr">
        <is>
          <t>Gesetz</t>
        </is>
      </c>
      <c r="D28" s="70" t="inlineStr">
        <is>
          <t>Jagdgesetz (JSG)</t>
        </is>
      </c>
      <c r="E28" s="68" t="inlineStr">
        <is>
          <t>SR 922.0</t>
        </is>
      </c>
      <c r="F28" s="68" t="inlineStr">
        <is>
          <t>–</t>
        </is>
      </c>
      <c r="G28" s="68" t="inlineStr">
        <is>
          <t>Bund (BAFU)</t>
        </is>
      </c>
      <c r="H28" s="68" t="inlineStr">
        <is>
          <t>öffentlich</t>
        </is>
      </c>
      <c r="I28" s="71" t="inlineStr">
        <is>
          <t>gilt</t>
        </is>
      </c>
      <c r="J28" s="71" t="inlineStr">
        <is>
          <t>gilt</t>
        </is>
      </c>
      <c r="K28" s="71" t="inlineStr">
        <is>
          <t>gilt</t>
        </is>
      </c>
      <c r="L28" s="68" t="inlineStr">
        <is>
          <t>Wildtierschutz, Banngebiete, Wildtierkorridore</t>
        </is>
      </c>
      <c r="M28" s="72" t="inlineStr">
        <is>
          <t>https://www.fedlex.admin.ch/eli/cc/1988/506_506_506/de</t>
        </is>
      </c>
      <c r="N28" s="73" t="inlineStr">
        <is>
          <t>Muster · ungetestet</t>
        </is>
      </c>
      <c r="O28" s="68" t="inlineStr">
        <is>
          <t>Ergänzung · hoch</t>
        </is>
      </c>
      <c r="P28" s="68" t="inlineStr">
        <is>
          <t>Klick-Test ausstehend</t>
        </is>
      </c>
      <c r="Q28" s="68" t="n"/>
    </row>
    <row r="29" outlineLevel="1" ht="22.35" customHeight="1" s="45">
      <c r="A29" s="68" t="inlineStr">
        <is>
          <t>Bund</t>
        </is>
      </c>
      <c r="B29" s="69" t="inlineStr">
        <is>
          <t>Q2</t>
        </is>
      </c>
      <c r="C29" s="68" t="inlineStr">
        <is>
          <t>Gesetz</t>
        </is>
      </c>
      <c r="D29" s="70" t="inlineStr">
        <is>
          <t>Bundesgesetz über die Fischerei (BGF)</t>
        </is>
      </c>
      <c r="E29" s="68" t="inlineStr">
        <is>
          <t>SR 923.0</t>
        </is>
      </c>
      <c r="F29" s="68" t="inlineStr">
        <is>
          <t>–</t>
        </is>
      </c>
      <c r="G29" s="68" t="inlineStr">
        <is>
          <t>Bund (BAFU)</t>
        </is>
      </c>
      <c r="H29" s="68" t="inlineStr">
        <is>
          <t>öffentlich</t>
        </is>
      </c>
      <c r="I29" s="71" t="inlineStr">
        <is>
          <t>gilt</t>
        </is>
      </c>
      <c r="J29" s="71" t="inlineStr">
        <is>
          <t>gilt</t>
        </is>
      </c>
      <c r="K29" s="71" t="inlineStr">
        <is>
          <t>gilt</t>
        </is>
      </c>
      <c r="L29" s="68" t="inlineStr">
        <is>
          <t>Fischereischutz, Lebensräume, Gewässer</t>
        </is>
      </c>
      <c r="M29" s="72" t="inlineStr">
        <is>
          <t>https://www.bafu.admin.ch</t>
        </is>
      </c>
      <c r="N29" s="73" t="inlineStr">
        <is>
          <t>Einstiegsseite · ungetestet</t>
        </is>
      </c>
      <c r="O29" s="68" t="inlineStr">
        <is>
          <t>Ergänzung · hoch</t>
        </is>
      </c>
      <c r="P29" s="68" t="n"/>
      <c r="Q29" s="68" t="inlineStr">
        <is>
          <t>Q-Bearbeitung: Dokument-URL auf der Behörden-Website ermitteln (Einstiegsseite verlinkt)</t>
        </is>
      </c>
    </row>
    <row r="30" outlineLevel="1" ht="22.35" customHeight="1" s="45">
      <c r="A30" s="68" t="inlineStr">
        <is>
          <t>Bund</t>
        </is>
      </c>
      <c r="B30" s="69" t="inlineStr">
        <is>
          <t>Q3 / Q4</t>
        </is>
      </c>
      <c r="C30" s="68" t="inlineStr">
        <is>
          <t>Gesetz</t>
        </is>
      </c>
      <c r="D30" s="70" t="inlineStr">
        <is>
          <t>Umweltschutzgesetz (USG)</t>
        </is>
      </c>
      <c r="E30" s="68" t="inlineStr">
        <is>
          <t>SR 814.01</t>
        </is>
      </c>
      <c r="F30" s="68" t="inlineStr">
        <is>
          <t>konsolidierte Fassung (Fedlex)</t>
        </is>
      </c>
      <c r="G30" s="68" t="inlineStr">
        <is>
          <t>Bund (BAFU)</t>
        </is>
      </c>
      <c r="H30" s="68" t="inlineStr">
        <is>
          <t>öffentlich</t>
        </is>
      </c>
      <c r="I30" s="71" t="inlineStr">
        <is>
          <t>gilt</t>
        </is>
      </c>
      <c r="J30" s="71" t="inlineStr">
        <is>
          <t>gilt</t>
        </is>
      </c>
      <c r="K30" s="71" t="inlineStr">
        <is>
          <t>gilt</t>
        </is>
      </c>
      <c r="L30" s="68" t="inlineStr">
        <is>
          <t>Umweltbelastungen, Emissionen, Lärm, Boden, Störfall</t>
        </is>
      </c>
      <c r="M30" s="72" t="inlineStr">
        <is>
          <t>https://www.fedlex.admin.ch/eli/cc/1984/1122_1122_1122/de</t>
        </is>
      </c>
      <c r="N30" s="69" t="inlineStr">
        <is>
          <t>Kataster · ungetestet</t>
        </is>
      </c>
      <c r="O30" s="68" t="inlineStr">
        <is>
          <t>Katalog · hoch</t>
        </is>
      </c>
      <c r="P30" s="68" t="inlineStr">
        <is>
          <t>Stand lt. Katalog uneinheitlich (M/W: 01.08.2026; S: 01.01.1985) → massgebend ist die konsolidierte Fassung im Fedlex-Link</t>
        </is>
      </c>
      <c r="Q30" s="68" t="n"/>
    </row>
    <row r="31" outlineLevel="1" ht="22.35" customHeight="1" s="45">
      <c r="A31" s="68" t="inlineStr">
        <is>
          <t>Bund</t>
        </is>
      </c>
      <c r="B31" s="69" t="inlineStr">
        <is>
          <t>Q3</t>
        </is>
      </c>
      <c r="C31" s="68" t="inlineStr">
        <is>
          <t>Gesetz</t>
        </is>
      </c>
      <c r="D31" s="70" t="inlineStr">
        <is>
          <t>Energiegesetz (EnG)</t>
        </is>
      </c>
      <c r="E31" s="68" t="inlineStr">
        <is>
          <t>SR 730.0</t>
        </is>
      </c>
      <c r="F31" s="68" t="inlineStr">
        <is>
          <t>konsolidierte Fassung (Fedlex)</t>
        </is>
      </c>
      <c r="G31" s="68" t="inlineStr">
        <is>
          <t>Bund (BFE)</t>
        </is>
      </c>
      <c r="H31" s="68" t="inlineStr">
        <is>
          <t>öffentlich</t>
        </is>
      </c>
      <c r="I31" s="71" t="inlineStr">
        <is>
          <t>gilt</t>
        </is>
      </c>
      <c r="J31" s="71" t="inlineStr">
        <is>
          <t>gilt</t>
        </is>
      </c>
      <c r="K31" s="71" t="inlineStr">
        <is>
          <t>gilt</t>
        </is>
      </c>
      <c r="L31" s="68" t="inlineStr">
        <is>
          <t>Bundesrechtliche Energieanforderungen; Gebäudestandards primär kantonal</t>
        </is>
      </c>
      <c r="M31" s="72" t="inlineStr">
        <is>
          <t>https://www.fedlex.admin.ch/eli/cc/2017/762/de</t>
        </is>
      </c>
      <c r="N31" s="69" t="inlineStr">
        <is>
          <t>Kataster · ungetestet</t>
        </is>
      </c>
      <c r="O31" s="68" t="inlineStr">
        <is>
          <t>Katalog · hoch</t>
        </is>
      </c>
      <c r="P31" s="68" t="inlineStr">
        <is>
          <t>Stand lt. Katalog uneinheitlich (M/W: 01.04.2026; S: 01.01.2018) → massgebend ist die konsolidierte Fassung im Fedlex-Link</t>
        </is>
      </c>
      <c r="Q31" s="68" t="n"/>
    </row>
    <row r="32" outlineLevel="1" ht="22.35" customHeight="1" s="45">
      <c r="A32" s="68" t="inlineStr">
        <is>
          <t>Bund</t>
        </is>
      </c>
      <c r="B32" s="69" t="inlineStr">
        <is>
          <t>Q3</t>
        </is>
      </c>
      <c r="C32" s="68" t="inlineStr">
        <is>
          <t>Gesetz</t>
        </is>
      </c>
      <c r="D32" s="70" t="inlineStr">
        <is>
          <t>Energieverordnung (EnV)</t>
        </is>
      </c>
      <c r="E32" s="68" t="inlineStr">
        <is>
          <t>SR 730.01</t>
        </is>
      </c>
      <c r="F32" s="68" t="inlineStr">
        <is>
          <t>konsolidierte Fassung (Fedlex)</t>
        </is>
      </c>
      <c r="G32" s="68" t="inlineStr">
        <is>
          <t>Bund (BFE)</t>
        </is>
      </c>
      <c r="H32" s="68" t="inlineStr">
        <is>
          <t>öffentlich</t>
        </is>
      </c>
      <c r="I32" s="71" t="inlineStr">
        <is>
          <t>gilt</t>
        </is>
      </c>
      <c r="J32" s="71" t="inlineStr">
        <is>
          <t>gilt</t>
        </is>
      </c>
      <c r="K32" s="71" t="inlineStr">
        <is>
          <t>gilt</t>
        </is>
      </c>
      <c r="L32" s="68" t="inlineStr">
        <is>
          <t>Vollzug EnG</t>
        </is>
      </c>
      <c r="M32" s="72" t="inlineStr">
        <is>
          <t>https://www.fedlex.admin.ch/eli/cc/2017/763/de</t>
        </is>
      </c>
      <c r="N32" s="73" t="inlineStr">
        <is>
          <t>Muster · ungetestet</t>
        </is>
      </c>
      <c r="O32" s="68" t="inlineStr">
        <is>
          <t>Ergänzung · hoch</t>
        </is>
      </c>
      <c r="P32" s="68" t="inlineStr">
        <is>
          <t>Klick-Test ausstehend</t>
        </is>
      </c>
      <c r="Q32" s="68" t="n"/>
    </row>
    <row r="33" outlineLevel="1" ht="22.35" customHeight="1" s="45">
      <c r="A33" s="68" t="inlineStr">
        <is>
          <t>Bund</t>
        </is>
      </c>
      <c r="B33" s="69" t="inlineStr">
        <is>
          <t>Q3</t>
        </is>
      </c>
      <c r="C33" s="68" t="inlineStr">
        <is>
          <t>Gesetz</t>
        </is>
      </c>
      <c r="D33" s="70" t="inlineStr">
        <is>
          <t>CO₂-Gesetz</t>
        </is>
      </c>
      <c r="E33" s="68" t="inlineStr">
        <is>
          <t>SR 641.71</t>
        </is>
      </c>
      <c r="F33" s="68" t="inlineStr">
        <is>
          <t>–</t>
        </is>
      </c>
      <c r="G33" s="68" t="inlineStr">
        <is>
          <t>Bund (BAFU)</t>
        </is>
      </c>
      <c r="H33" s="68" t="inlineStr">
        <is>
          <t>öffentlich</t>
        </is>
      </c>
      <c r="I33" s="71" t="inlineStr">
        <is>
          <t>gilt</t>
        </is>
      </c>
      <c r="J33" s="71" t="inlineStr">
        <is>
          <t>gilt</t>
        </is>
      </c>
      <c r="K33" s="71" t="inlineStr">
        <is>
          <t>gilt</t>
        </is>
      </c>
      <c r="L33" s="68" t="inlineStr">
        <is>
          <t>Reduktionsziele, Gebäudeprogramm, Lenkungsabgabe</t>
        </is>
      </c>
      <c r="M33" s="72" t="inlineStr">
        <is>
          <t>https://www.fedlex.admin.ch/eli/cc/2012/855/de</t>
        </is>
      </c>
      <c r="N33" s="73" t="inlineStr">
        <is>
          <t>Muster · ungetestet</t>
        </is>
      </c>
      <c r="O33" s="68" t="inlineStr">
        <is>
          <t>Ergänzung · hoch</t>
        </is>
      </c>
      <c r="P33" s="68" t="inlineStr">
        <is>
          <t>Im Katalog nicht geführt; Klick-Test ausstehend</t>
        </is>
      </c>
      <c r="Q33" s="68" t="n"/>
    </row>
    <row r="34" outlineLevel="1" ht="22.35" customHeight="1" s="45">
      <c r="A34" s="68" t="inlineStr">
        <is>
          <t>Bund</t>
        </is>
      </c>
      <c r="B34" s="69" t="inlineStr">
        <is>
          <t>Q3</t>
        </is>
      </c>
      <c r="C34" s="68" t="inlineStr">
        <is>
          <t>Gesetz</t>
        </is>
      </c>
      <c r="D34" s="70" t="inlineStr">
        <is>
          <t>CO₂-Verordnung</t>
        </is>
      </c>
      <c r="E34" s="68" t="inlineStr">
        <is>
          <t>SR 641.711</t>
        </is>
      </c>
      <c r="F34" s="68" t="inlineStr">
        <is>
          <t>–</t>
        </is>
      </c>
      <c r="G34" s="68" t="inlineStr">
        <is>
          <t>Bund (BAFU)</t>
        </is>
      </c>
      <c r="H34" s="68" t="inlineStr">
        <is>
          <t>öffentlich</t>
        </is>
      </c>
      <c r="I34" s="71" t="inlineStr">
        <is>
          <t>gilt</t>
        </is>
      </c>
      <c r="J34" s="71" t="inlineStr">
        <is>
          <t>gilt</t>
        </is>
      </c>
      <c r="K34" s="71" t="inlineStr">
        <is>
          <t>gilt</t>
        </is>
      </c>
      <c r="L34" s="68" t="inlineStr">
        <is>
          <t>Reduktionsziele, Gebäudeprogramm, Lenkungsabgabe</t>
        </is>
      </c>
      <c r="M34" s="72" t="inlineStr">
        <is>
          <t>https://www.fedlex.admin.ch/eli/cc/2012/856/de</t>
        </is>
      </c>
      <c r="N34" s="73" t="inlineStr">
        <is>
          <t>Muster · ungetestet</t>
        </is>
      </c>
      <c r="O34" s="68" t="inlineStr">
        <is>
          <t>Ergänzung · hoch</t>
        </is>
      </c>
      <c r="P34" s="68" t="inlineStr">
        <is>
          <t>Im Katalog nicht geführt; Klick-Test ausstehend</t>
        </is>
      </c>
      <c r="Q34" s="68" t="n"/>
    </row>
    <row r="35" outlineLevel="1" ht="22.35" customHeight="1" s="45">
      <c r="A35" s="68" t="inlineStr">
        <is>
          <t>Bund</t>
        </is>
      </c>
      <c r="B35" s="69" t="inlineStr">
        <is>
          <t>Q3</t>
        </is>
      </c>
      <c r="C35" s="68" t="inlineStr">
        <is>
          <t>Gesetz</t>
        </is>
      </c>
      <c r="D35" s="70" t="inlineStr">
        <is>
          <t>Klima- und Innovationsgesetz (KlG)</t>
        </is>
      </c>
      <c r="E35" s="68" t="inlineStr">
        <is>
          <t>SR 814.310</t>
        </is>
      </c>
      <c r="F35" s="68" t="inlineStr">
        <is>
          <t>konsolidierte Fassung (Fedlex)</t>
        </is>
      </c>
      <c r="G35" s="68" t="inlineStr">
        <is>
          <t>Bund (BAFU)</t>
        </is>
      </c>
      <c r="H35" s="68" t="inlineStr">
        <is>
          <t>öffentlich</t>
        </is>
      </c>
      <c r="I35" s="71" t="inlineStr">
        <is>
          <t>gilt</t>
        </is>
      </c>
      <c r="J35" s="71" t="inlineStr">
        <is>
          <t>gilt</t>
        </is>
      </c>
      <c r="K35" s="71" t="inlineStr">
        <is>
          <t>gilt</t>
        </is>
      </c>
      <c r="L35" s="68" t="inlineStr">
        <is>
          <t>Klimaziel Netto-Null 2050, Zwischenziele, Vorbildfunktion</t>
        </is>
      </c>
      <c r="M35" s="72" t="inlineStr">
        <is>
          <t>https://www.fedlex.admin.ch/eli/cc/2023/655/de</t>
        </is>
      </c>
      <c r="N35" s="69" t="inlineStr">
        <is>
          <t>Kataster · ungetestet</t>
        </is>
      </c>
      <c r="O35" s="68" t="inlineStr">
        <is>
          <t>Katalog · hoch</t>
        </is>
      </c>
      <c r="P35" s="68" t="inlineStr">
        <is>
          <t>Stand lt. Katalog uneinheitlich (01.01.2025) → massgebend ist die konsolidierte Fassung im Fedlex-Link</t>
        </is>
      </c>
      <c r="Q35" s="68" t="n"/>
    </row>
    <row r="36" outlineLevel="1" ht="22.35" customHeight="1" s="45">
      <c r="A36" s="68" t="inlineStr">
        <is>
          <t>Bund</t>
        </is>
      </c>
      <c r="B36" s="69" t="inlineStr">
        <is>
          <t>Q3</t>
        </is>
      </c>
      <c r="C36" s="68" t="inlineStr">
        <is>
          <t>Gesetz</t>
        </is>
      </c>
      <c r="D36" s="70" t="inlineStr">
        <is>
          <t>Bundesgesetz über sichere Stromversorgung mit erneuerbaren Energien (Mantelerlass; Änderung EnG/StromVG)</t>
        </is>
      </c>
      <c r="E36" s="68" t="inlineStr">
        <is>
          <t>–</t>
        </is>
      </c>
      <c r="F36" s="68" t="inlineStr">
        <is>
          <t>in Kraft 2025</t>
        </is>
      </c>
      <c r="G36" s="68" t="inlineStr">
        <is>
          <t>Bund (BFE)</t>
        </is>
      </c>
      <c r="H36" s="68" t="inlineStr">
        <is>
          <t>öffentlich</t>
        </is>
      </c>
      <c r="I36" s="71" t="inlineStr">
        <is>
          <t>gilt</t>
        </is>
      </c>
      <c r="J36" s="71" t="inlineStr">
        <is>
          <t>gilt</t>
        </is>
      </c>
      <c r="K36" s="71" t="inlineStr">
        <is>
          <t>gilt</t>
        </is>
      </c>
      <c r="L36" s="68" t="inlineStr">
        <is>
          <t>Ausbauziele Erneuerbare, Solaranlagen, Raumplanungsbezüge</t>
        </is>
      </c>
      <c r="M36" s="72" t="inlineStr">
        <is>
          <t>https://www.bfe.admin.ch</t>
        </is>
      </c>
      <c r="N36" s="73" t="inlineStr">
        <is>
          <t>Einstiegsseite · ungetestet</t>
        </is>
      </c>
      <c r="O36" s="68" t="inlineStr">
        <is>
          <t>Ergänzung · mittel</t>
        </is>
      </c>
      <c r="P36" s="68" t="inlineStr">
        <is>
          <t>Fassung/Etappen prüfen</t>
        </is>
      </c>
      <c r="Q36" s="68" t="inlineStr">
        <is>
          <t>Q-Bearbeitung: Dokument-URL auf der Behörden-Website ermitteln (Einstiegsseite verlinkt)</t>
        </is>
      </c>
    </row>
    <row r="37" outlineLevel="1" ht="22.35" customHeight="1" s="45">
      <c r="A37" s="68" t="inlineStr">
        <is>
          <t>Bund</t>
        </is>
      </c>
      <c r="B37" s="69" t="inlineStr">
        <is>
          <t>Q4</t>
        </is>
      </c>
      <c r="C37" s="68" t="inlineStr">
        <is>
          <t>Gesetz</t>
        </is>
      </c>
      <c r="D37" s="70" t="inlineStr">
        <is>
          <t>Wasserbaugesetz (WBG)</t>
        </is>
      </c>
      <c r="E37" s="68" t="inlineStr">
        <is>
          <t>SR 721.100</t>
        </is>
      </c>
      <c r="F37" s="68" t="inlineStr">
        <is>
          <t>–</t>
        </is>
      </c>
      <c r="G37" s="68" t="inlineStr">
        <is>
          <t>Bund (BAFU)</t>
        </is>
      </c>
      <c r="H37" s="68" t="inlineStr">
        <is>
          <t>öffentlich</t>
        </is>
      </c>
      <c r="I37" s="71" t="inlineStr">
        <is>
          <t>gilt</t>
        </is>
      </c>
      <c r="J37" s="71" t="inlineStr">
        <is>
          <t>gilt</t>
        </is>
      </c>
      <c r="K37" s="71" t="inlineStr">
        <is>
          <t>gilt</t>
        </is>
      </c>
      <c r="L37" s="68" t="inlineStr">
        <is>
          <t>Hochwasserschutz, Gefahrenkarten, Raumbedarf Gewässer</t>
        </is>
      </c>
      <c r="M37" s="72" t="inlineStr">
        <is>
          <t>https://www.bafu.admin.ch</t>
        </is>
      </c>
      <c r="N37" s="73" t="inlineStr">
        <is>
          <t>Einstiegsseite · ungetestet</t>
        </is>
      </c>
      <c r="O37" s="68" t="inlineStr">
        <is>
          <t>Ergänzung · hoch</t>
        </is>
      </c>
      <c r="P37" s="68" t="n"/>
      <c r="Q37" s="68" t="inlineStr">
        <is>
          <t>Q-Bearbeitung: Dokument-URL auf der Behörden-Website ermitteln (Einstiegsseite verlinkt)</t>
        </is>
      </c>
    </row>
    <row r="38" outlineLevel="1" ht="22.35" customHeight="1" s="45">
      <c r="A38" s="68" t="inlineStr">
        <is>
          <t>Bund</t>
        </is>
      </c>
      <c r="B38" s="69" t="inlineStr">
        <is>
          <t>Q4</t>
        </is>
      </c>
      <c r="C38" s="68" t="inlineStr">
        <is>
          <t>Gesetz</t>
        </is>
      </c>
      <c r="D38" s="70" t="inlineStr">
        <is>
          <t>Wasserbauverordnung (WBV)</t>
        </is>
      </c>
      <c r="E38" s="68" t="inlineStr">
        <is>
          <t>SR 721.100.1</t>
        </is>
      </c>
      <c r="F38" s="68" t="inlineStr">
        <is>
          <t>–</t>
        </is>
      </c>
      <c r="G38" s="68" t="inlineStr">
        <is>
          <t>Bund (BAFU)</t>
        </is>
      </c>
      <c r="H38" s="68" t="inlineStr">
        <is>
          <t>öffentlich</t>
        </is>
      </c>
      <c r="I38" s="71" t="inlineStr">
        <is>
          <t>gilt</t>
        </is>
      </c>
      <c r="J38" s="71" t="inlineStr">
        <is>
          <t>gilt</t>
        </is>
      </c>
      <c r="K38" s="71" t="inlineStr">
        <is>
          <t>gilt</t>
        </is>
      </c>
      <c r="L38" s="68" t="inlineStr">
        <is>
          <t>Vollzug WBG</t>
        </is>
      </c>
      <c r="M38" s="72" t="inlineStr">
        <is>
          <t>https://www.bafu.admin.ch</t>
        </is>
      </c>
      <c r="N38" s="73" t="inlineStr">
        <is>
          <t>Einstiegsseite · ungetestet</t>
        </is>
      </c>
      <c r="O38" s="68" t="inlineStr">
        <is>
          <t>Ergänzung · hoch</t>
        </is>
      </c>
      <c r="P38" s="68" t="n"/>
      <c r="Q38" s="68" t="inlineStr">
        <is>
          <t>Q-Bearbeitung: Dokument-URL auf der Behörden-Website ermitteln (Einstiegsseite verlinkt)</t>
        </is>
      </c>
    </row>
    <row r="39" outlineLevel="1" ht="32.8" customHeight="1" s="45">
      <c r="A39" s="68" t="inlineStr">
        <is>
          <t>Bund</t>
        </is>
      </c>
      <c r="B39" s="69" t="inlineStr">
        <is>
          <t>Q6</t>
        </is>
      </c>
      <c r="C39" s="68" t="inlineStr">
        <is>
          <t>Gesetz</t>
        </is>
      </c>
      <c r="D39" s="70" t="inlineStr">
        <is>
          <t>Binnenmarktgesetz (BGBM)</t>
        </is>
      </c>
      <c r="E39" s="68" t="inlineStr">
        <is>
          <t>SR 943.02</t>
        </is>
      </c>
      <c r="F39" s="68" t="inlineStr">
        <is>
          <t>–</t>
        </is>
      </c>
      <c r="G39" s="68" t="inlineStr">
        <is>
          <t>Bund (WEKO)</t>
        </is>
      </c>
      <c r="H39" s="68" t="inlineStr">
        <is>
          <t>öffentlich</t>
        </is>
      </c>
      <c r="I39" s="71" t="inlineStr">
        <is>
          <t>gilt</t>
        </is>
      </c>
      <c r="J39" s="71" t="inlineStr">
        <is>
          <t>gilt</t>
        </is>
      </c>
      <c r="K39" s="71" t="inlineStr">
        <is>
          <t>gilt</t>
        </is>
      </c>
      <c r="L39" s="68" t="inlineStr">
        <is>
          <t>Marktzugang, Vergabegrundsätze für Kantone/Gemeinden</t>
        </is>
      </c>
      <c r="M39" s="72" t="inlineStr">
        <is>
          <t>https://www.fedlex.admin.ch/eli/cc/1996/1738_1738_1738/de</t>
        </is>
      </c>
      <c r="N39" s="74" t="inlineStr">
        <is>
          <t>Suchtreffer · Quelle bestätigt (Link von sg.ch)</t>
        </is>
      </c>
      <c r="O39" s="68" t="inlineStr">
        <is>
          <t>Ergänzung · hoch</t>
        </is>
      </c>
      <c r="P39" s="68" t="n"/>
      <c r="Q39" s="68" t="n"/>
    </row>
    <row r="40" outlineLevel="1" ht="22.35" customHeight="1" s="45">
      <c r="A40" s="68" t="inlineStr">
        <is>
          <t>Bund</t>
        </is>
      </c>
      <c r="B40" s="69" t="inlineStr">
        <is>
          <t>Q6</t>
        </is>
      </c>
      <c r="C40" s="68" t="inlineStr">
        <is>
          <t>Gesetz</t>
        </is>
      </c>
      <c r="D40" s="70" t="inlineStr">
        <is>
          <t>Bundesgesetz über das öffentliche Beschaffungswesen (BöB)</t>
        </is>
      </c>
      <c r="E40" s="68" t="inlineStr">
        <is>
          <t>SR 172.056.1</t>
        </is>
      </c>
      <c r="F40" s="68" t="inlineStr">
        <is>
          <t>–</t>
        </is>
      </c>
      <c r="G40" s="68" t="inlineStr">
        <is>
          <t>Bund (BBL / KBOB)</t>
        </is>
      </c>
      <c r="H40" s="68" t="inlineStr">
        <is>
          <t>öffentlich</t>
        </is>
      </c>
      <c r="I40" s="75" t="inlineStr">
        <is>
          <t>n. a.</t>
        </is>
      </c>
      <c r="J40" s="75" t="inlineStr">
        <is>
          <t>n. a.</t>
        </is>
      </c>
      <c r="K40" s="75" t="inlineStr">
        <is>
          <t>n. a.</t>
        </is>
      </c>
      <c r="L40" s="68" t="inlineStr">
        <is>
          <t>Gilt nur für Bundesvergaben – für Gemeinden nur Orientierung</t>
        </is>
      </c>
      <c r="M40" s="72" t="inlineStr">
        <is>
          <t>https://www.fedlex.admin.ch/eli/cc/2020/126/de</t>
        </is>
      </c>
      <c r="N40" s="73" t="inlineStr">
        <is>
          <t>Muster · ungetestet</t>
        </is>
      </c>
      <c r="O40" s="68" t="inlineStr">
        <is>
          <t>Ergänzung · hoch</t>
        </is>
      </c>
      <c r="P40" s="68" t="inlineStr">
        <is>
          <t>Gemeinden unterstehen kantonalem Recht / IVöB</t>
        </is>
      </c>
      <c r="Q40" s="68" t="n"/>
    </row>
    <row r="41" outlineLevel="1" ht="22.35" customHeight="1" s="45">
      <c r="A41" s="68" t="inlineStr">
        <is>
          <t>Bund</t>
        </is>
      </c>
      <c r="B41" s="69" t="inlineStr">
        <is>
          <t>Q3 / Q4</t>
        </is>
      </c>
      <c r="C41" s="68" t="inlineStr">
        <is>
          <t>Verordnung</t>
        </is>
      </c>
      <c r="D41" s="70" t="inlineStr">
        <is>
          <t>Lärmschutz-Verordnung (LSV)</t>
        </is>
      </c>
      <c r="E41" s="68" t="inlineStr">
        <is>
          <t>SR 814.41</t>
        </is>
      </c>
      <c r="F41" s="68" t="inlineStr">
        <is>
          <t>–</t>
        </is>
      </c>
      <c r="G41" s="68" t="inlineStr">
        <is>
          <t>Bund (BAFU)</t>
        </is>
      </c>
      <c r="H41" s="68" t="inlineStr">
        <is>
          <t>öffentlich</t>
        </is>
      </c>
      <c r="I41" s="71" t="inlineStr">
        <is>
          <t>gilt</t>
        </is>
      </c>
      <c r="J41" s="71" t="inlineStr">
        <is>
          <t>gilt</t>
        </is>
      </c>
      <c r="K41" s="71" t="inlineStr">
        <is>
          <t>gilt</t>
        </is>
      </c>
      <c r="L41" s="68" t="inlineStr">
        <is>
          <t>Lärmgrenzwerte, Empfindlichkeitsstufen</t>
        </is>
      </c>
      <c r="M41" s="72" t="inlineStr">
        <is>
          <t>https://www.fedlex.admin.ch/eli/cc/1987/1_1_1/de</t>
        </is>
      </c>
      <c r="N41" s="73" t="inlineStr">
        <is>
          <t>Muster · ungetestet</t>
        </is>
      </c>
      <c r="O41" s="68" t="inlineStr">
        <is>
          <t>Ergänzung · hoch</t>
        </is>
      </c>
      <c r="P41" s="68" t="inlineStr">
        <is>
          <t>Im Katalog nicht geführt</t>
        </is>
      </c>
      <c r="Q41" s="68" t="n"/>
    </row>
    <row r="42" outlineLevel="1" ht="22.35" customHeight="1" s="45">
      <c r="A42" s="68" t="inlineStr">
        <is>
          <t>Bund</t>
        </is>
      </c>
      <c r="B42" s="69" t="inlineStr">
        <is>
          <t>Q3 / Q4</t>
        </is>
      </c>
      <c r="C42" s="68" t="inlineStr">
        <is>
          <t>Verordnung</t>
        </is>
      </c>
      <c r="D42" s="70" t="inlineStr">
        <is>
          <t>Luftreinhalte-Verordnung (LRV)</t>
        </is>
      </c>
      <c r="E42" s="68" t="inlineStr">
        <is>
          <t>SR 814.318.142.1</t>
        </is>
      </c>
      <c r="F42" s="68" t="inlineStr">
        <is>
          <t>–</t>
        </is>
      </c>
      <c r="G42" s="68" t="inlineStr">
        <is>
          <t>Bund (BAFU)</t>
        </is>
      </c>
      <c r="H42" s="68" t="inlineStr">
        <is>
          <t>öffentlich</t>
        </is>
      </c>
      <c r="I42" s="71" t="inlineStr">
        <is>
          <t>gilt</t>
        </is>
      </c>
      <c r="J42" s="71" t="inlineStr">
        <is>
          <t>gilt</t>
        </is>
      </c>
      <c r="K42" s="71" t="inlineStr">
        <is>
          <t>gilt</t>
        </is>
      </c>
      <c r="L42" s="68" t="inlineStr">
        <is>
          <t>Emissionsbegrenzung, Heizungen, Luftqualität</t>
        </is>
      </c>
      <c r="M42" s="72" t="inlineStr">
        <is>
          <t>https://www.fedlex.admin.ch/eli/cc/1986/208_208_208/de</t>
        </is>
      </c>
      <c r="N42" s="73" t="inlineStr">
        <is>
          <t>Muster · ungetestet</t>
        </is>
      </c>
      <c r="O42" s="68" t="inlineStr">
        <is>
          <t>Ergänzung · hoch</t>
        </is>
      </c>
      <c r="P42" s="68" t="inlineStr">
        <is>
          <t>Im Katalog nicht geführt</t>
        </is>
      </c>
      <c r="Q42" s="68" t="n"/>
    </row>
    <row r="43" outlineLevel="1" ht="22.35" customHeight="1" s="45">
      <c r="A43" s="68" t="inlineStr">
        <is>
          <t>Bund</t>
        </is>
      </c>
      <c r="B43" s="69" t="inlineStr">
        <is>
          <t>Q4</t>
        </is>
      </c>
      <c r="C43" s="68" t="inlineStr">
        <is>
          <t>Verordnung</t>
        </is>
      </c>
      <c r="D43" s="70" t="inlineStr">
        <is>
          <t>Störfallverordnung (StFV)</t>
        </is>
      </c>
      <c r="E43" s="68" t="inlineStr">
        <is>
          <t>SR 814.012</t>
        </is>
      </c>
      <c r="F43" s="68" t="inlineStr">
        <is>
          <t>–</t>
        </is>
      </c>
      <c r="G43" s="68" t="inlineStr">
        <is>
          <t>Bund (BAFU)</t>
        </is>
      </c>
      <c r="H43" s="68" t="inlineStr">
        <is>
          <t>öffentlich</t>
        </is>
      </c>
      <c r="I43" s="71" t="inlineStr">
        <is>
          <t>gilt</t>
        </is>
      </c>
      <c r="J43" s="71" t="inlineStr">
        <is>
          <t>gilt</t>
        </is>
      </c>
      <c r="K43" s="71" t="inlineStr">
        <is>
          <t>gilt</t>
        </is>
      </c>
      <c r="L43" s="68" t="inlineStr">
        <is>
          <t>Risikovorsorge bei Anlagen/Verkehrswegen; Koordination Raumplanung</t>
        </is>
      </c>
      <c r="M43" s="72" t="inlineStr">
        <is>
          <t>https://www.fedlex.admin.ch/eli/cc/1991/748_748_748/de</t>
        </is>
      </c>
      <c r="N43" s="73" t="inlineStr">
        <is>
          <t>Muster · ungetestet</t>
        </is>
      </c>
      <c r="O43" s="68" t="inlineStr">
        <is>
          <t>Ergänzung · hoch</t>
        </is>
      </c>
      <c r="P43" s="68" t="inlineStr">
        <is>
          <t>Im Katalog nicht geführt</t>
        </is>
      </c>
      <c r="Q43" s="68" t="n"/>
    </row>
    <row r="44" outlineLevel="1" ht="22.35" customHeight="1" s="45">
      <c r="A44" s="68" t="inlineStr">
        <is>
          <t>Bund</t>
        </is>
      </c>
      <c r="B44" s="69" t="inlineStr">
        <is>
          <t>Q3 / Q4</t>
        </is>
      </c>
      <c r="C44" s="68" t="inlineStr">
        <is>
          <t>Verordnung</t>
        </is>
      </c>
      <c r="D44" s="70" t="inlineStr">
        <is>
          <t>Verordnung über die Umweltverträglichkeitsprüfung (UVPV)</t>
        </is>
      </c>
      <c r="E44" s="68" t="inlineStr">
        <is>
          <t>SR 814.011</t>
        </is>
      </c>
      <c r="F44" s="68" t="inlineStr">
        <is>
          <t>–</t>
        </is>
      </c>
      <c r="G44" s="68" t="inlineStr">
        <is>
          <t>Bund (BAFU)</t>
        </is>
      </c>
      <c r="H44" s="68" t="inlineStr">
        <is>
          <t>öffentlich</t>
        </is>
      </c>
      <c r="I44" s="71" t="inlineStr">
        <is>
          <t>gilt</t>
        </is>
      </c>
      <c r="J44" s="71" t="inlineStr">
        <is>
          <t>gilt</t>
        </is>
      </c>
      <c r="K44" s="71" t="inlineStr">
        <is>
          <t>gilt</t>
        </is>
      </c>
      <c r="L44" s="68" t="inlineStr">
        <is>
          <t>UVP-Pflicht</t>
        </is>
      </c>
      <c r="M44" s="72" t="inlineStr">
        <is>
          <t>https://www.bafu.admin.ch</t>
        </is>
      </c>
      <c r="N44" s="73" t="inlineStr">
        <is>
          <t>Einstiegsseite · ungetestet</t>
        </is>
      </c>
      <c r="O44" s="68" t="inlineStr">
        <is>
          <t>Ergänzung · hoch</t>
        </is>
      </c>
      <c r="P44" s="68" t="inlineStr">
        <is>
          <t>Fedlex-ELI nicht ermittelt → Einstiegsseite BAFU</t>
        </is>
      </c>
      <c r="Q44" s="68" t="inlineStr">
        <is>
          <t>Q-Bearbeitung: Dokument-URL auf der Behörden-Website ermitteln (Einstiegsseite verlinkt)</t>
        </is>
      </c>
    </row>
    <row r="45" outlineLevel="1" ht="22.35" customHeight="1" s="45">
      <c r="A45" s="68" t="inlineStr">
        <is>
          <t>Bund</t>
        </is>
      </c>
      <c r="B45" s="69" t="inlineStr">
        <is>
          <t>Q3 / Q4</t>
        </is>
      </c>
      <c r="C45" s="68" t="inlineStr">
        <is>
          <t>Verordnung</t>
        </is>
      </c>
      <c r="D45" s="70" t="inlineStr">
        <is>
          <t>Altlasten-Verordnung (AltlV)</t>
        </is>
      </c>
      <c r="E45" s="68" t="inlineStr">
        <is>
          <t>SR 814.680</t>
        </is>
      </c>
      <c r="F45" s="68" t="inlineStr">
        <is>
          <t>–</t>
        </is>
      </c>
      <c r="G45" s="68" t="inlineStr">
        <is>
          <t>Bund (BAFU)</t>
        </is>
      </c>
      <c r="H45" s="68" t="inlineStr">
        <is>
          <t>öffentlich</t>
        </is>
      </c>
      <c r="I45" s="71" t="inlineStr">
        <is>
          <t>gilt</t>
        </is>
      </c>
      <c r="J45" s="71" t="inlineStr">
        <is>
          <t>gilt</t>
        </is>
      </c>
      <c r="K45" s="71" t="inlineStr">
        <is>
          <t>gilt</t>
        </is>
      </c>
      <c r="L45" s="68" t="inlineStr">
        <is>
          <t>Belastete Standorte, Kataster</t>
        </is>
      </c>
      <c r="M45" s="72" t="inlineStr">
        <is>
          <t>https://www.bafu.admin.ch</t>
        </is>
      </c>
      <c r="N45" s="73" t="inlineStr">
        <is>
          <t>Einstiegsseite · ungetestet</t>
        </is>
      </c>
      <c r="O45" s="68" t="inlineStr">
        <is>
          <t>Ergänzung · hoch</t>
        </is>
      </c>
      <c r="P45" s="68" t="inlineStr">
        <is>
          <t>Fedlex-ELI nicht ermittelt → Einstiegsseite BAFU</t>
        </is>
      </c>
      <c r="Q45" s="68" t="inlineStr">
        <is>
          <t>Q-Bearbeitung: Dokument-URL auf der Behörden-Website ermitteln (Einstiegsseite verlinkt)</t>
        </is>
      </c>
    </row>
    <row r="46" outlineLevel="1" ht="22.35" customHeight="1" s="45">
      <c r="A46" s="68" t="inlineStr">
        <is>
          <t>Bund</t>
        </is>
      </c>
      <c r="B46" s="69" t="inlineStr">
        <is>
          <t>Q3 / Q4</t>
        </is>
      </c>
      <c r="C46" s="68" t="inlineStr">
        <is>
          <t>Verordnung</t>
        </is>
      </c>
      <c r="D46" s="70" t="inlineStr">
        <is>
          <t>Verordnung über die Vermeidung und die Entsorgung von Abfällen (VVEA)</t>
        </is>
      </c>
      <c r="E46" s="68" t="inlineStr">
        <is>
          <t>SR 814.600</t>
        </is>
      </c>
      <c r="F46" s="68" t="inlineStr">
        <is>
          <t>–</t>
        </is>
      </c>
      <c r="G46" s="68" t="inlineStr">
        <is>
          <t>Bund (BAFU)</t>
        </is>
      </c>
      <c r="H46" s="68" t="inlineStr">
        <is>
          <t>öffentlich</t>
        </is>
      </c>
      <c r="I46" s="71" t="inlineStr">
        <is>
          <t>gilt</t>
        </is>
      </c>
      <c r="J46" s="71" t="inlineStr">
        <is>
          <t>gilt</t>
        </is>
      </c>
      <c r="K46" s="71" t="inlineStr">
        <is>
          <t>gilt</t>
        </is>
      </c>
      <c r="L46" s="68" t="inlineStr">
        <is>
          <t>Abfall, Kreislauf, Rückbaumaterial</t>
        </is>
      </c>
      <c r="M46" s="72" t="inlineStr">
        <is>
          <t>https://www.bafu.admin.ch</t>
        </is>
      </c>
      <c r="N46" s="73" t="inlineStr">
        <is>
          <t>Einstiegsseite · ungetestet</t>
        </is>
      </c>
      <c r="O46" s="68" t="inlineStr">
        <is>
          <t>Ergänzung · hoch</t>
        </is>
      </c>
      <c r="P46" s="68" t="inlineStr">
        <is>
          <t>Fedlex-ELI nicht ermittelt → Einstiegsseite BAFU</t>
        </is>
      </c>
      <c r="Q46" s="68" t="inlineStr">
        <is>
          <t>Q-Bearbeitung: Dokument-URL auf der Behörden-Website ermitteln (Einstiegsseite verlinkt)</t>
        </is>
      </c>
    </row>
    <row r="47" ht="19.5" customHeight="1" s="45">
      <c r="A47" s="66" t="inlineStr">
        <is>
          <t>INTERKANTONAL (Konkordat)</t>
        </is>
      </c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</row>
    <row r="48" outlineLevel="1" ht="43.25" customHeight="1" s="45">
      <c r="A48" s="68" t="inlineStr">
        <is>
          <t>Interkantonal</t>
        </is>
      </c>
      <c r="B48" s="69" t="inlineStr">
        <is>
          <t>Q6</t>
        </is>
      </c>
      <c r="C48" s="68" t="inlineStr">
        <is>
          <t>Konkordat</t>
        </is>
      </c>
      <c r="D48" s="70" t="inlineStr">
        <is>
          <t>Interkantonale Vereinbarung über das öffentliche Beschaffungswesen (IVöB 2019)</t>
        </is>
      </c>
      <c r="E48" s="68" t="inlineStr">
        <is>
          <t>–</t>
        </is>
      </c>
      <c r="F48" s="68" t="inlineStr">
        <is>
          <t>IVöB 2019 vom 15.11.2019 (kantonal gestaffelt in Kraft)</t>
        </is>
      </c>
      <c r="G48" s="68" t="inlineStr">
        <is>
          <t>BPUK</t>
        </is>
      </c>
      <c r="H48" s="68" t="inlineStr">
        <is>
          <t>öffentlich</t>
        </is>
      </c>
      <c r="I48" s="71" t="inlineStr">
        <is>
          <t>belegt</t>
        </is>
      </c>
      <c r="J48" s="71" t="inlineStr">
        <is>
          <t>belegt</t>
        </is>
      </c>
      <c r="K48" s="71" t="inlineStr">
        <is>
          <t>belegt</t>
        </is>
      </c>
      <c r="L48" s="68" t="inlineStr">
        <is>
          <t>Anwendbares kantonales Recht und Schwellenwerte; Zuschlagskriterien inkl. Nachhaltigkeit/Lebenszyklus</t>
        </is>
      </c>
      <c r="M48" s="72" t="inlineStr">
        <is>
          <t>https://www.bpuk.ch/bpuk/konkordate/ivoeb/ivoeb-2019</t>
        </is>
      </c>
      <c r="N48" s="69" t="inlineStr">
        <is>
          <t>Suchtreffer · ungetestet</t>
        </is>
      </c>
      <c r="O48" s="68" t="inlineStr">
        <is>
          <t>Katalog · hoch (korrigiert)</t>
        </is>
      </c>
      <c r="P48" s="68" t="inlineStr">
        <is>
          <t>Katalog-Link zeigt auf die Fassung von 2001 (alte IVöB): https://www.bpuk.ch/fileadmin/Dokumente/bpuk/public/de/konko… – ersetzt. Beitritt SG per 01.06.2023 (sg.ch); UR: Landrat Juni 2022 (ur.ch); BL: Beitritt nicht verifiziert</t>
        </is>
      </c>
      <c r="Q48" s="68" t="n"/>
    </row>
    <row r="49" ht="19.5" customHeight="1" s="45">
      <c r="A49" s="66" t="inlineStr">
        <is>
          <t>KANTON BASEL-LANDSCHAFT  →  Münchenstein</t>
        </is>
      </c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</row>
    <row r="50" outlineLevel="1" ht="22.35" customHeight="1" s="45">
      <c r="A50" s="68" t="inlineStr">
        <is>
          <t>Kanton BL</t>
        </is>
      </c>
      <c r="B50" s="69" t="inlineStr">
        <is>
          <t>Q1</t>
        </is>
      </c>
      <c r="C50" s="68" t="inlineStr">
        <is>
          <t>Gesetz</t>
        </is>
      </c>
      <c r="D50" s="70" t="inlineStr">
        <is>
          <t>Raumplanungs- und Baugesetz BL (RBG)</t>
        </is>
      </c>
      <c r="E50" s="68" t="inlineStr">
        <is>
          <t>SGS 400</t>
        </is>
      </c>
      <c r="F50" s="68" t="inlineStr">
        <is>
          <t>01.01.2024</t>
        </is>
      </c>
      <c r="G50" s="68" t="inlineStr">
        <is>
          <t>Kanton BL (BUD)</t>
        </is>
      </c>
      <c r="H50" s="68" t="inlineStr">
        <is>
          <t>öffentlich</t>
        </is>
      </c>
      <c r="I50" s="71" t="inlineStr">
        <is>
          <t>belegt</t>
        </is>
      </c>
      <c r="J50" s="75" t="inlineStr">
        <is>
          <t>n. a.</t>
        </is>
      </c>
      <c r="K50" s="75" t="inlineStr">
        <is>
          <t>n. a.</t>
        </is>
      </c>
      <c r="L50" s="68" t="inlineStr">
        <is>
          <t>Baubewilligung, Zonenkonformität, Planungsverfahren</t>
        </is>
      </c>
      <c r="M50" s="72" t="inlineStr">
        <is>
          <t>https://bl.clex.ch/app/de/texts_of_law/400</t>
        </is>
      </c>
      <c r="N50" s="69" t="inlineStr">
        <is>
          <t>Kataster · ungetestet</t>
        </is>
      </c>
      <c r="O50" s="68" t="inlineStr">
        <is>
          <t>Katalog · hoch</t>
        </is>
      </c>
      <c r="P50" s="68" t="n"/>
      <c r="Q50" s="68" t="n"/>
    </row>
    <row r="51" outlineLevel="1" ht="22.35" customHeight="1" s="45">
      <c r="A51" s="68" t="inlineStr">
        <is>
          <t>Kanton BL</t>
        </is>
      </c>
      <c r="B51" s="69" t="inlineStr">
        <is>
          <t>Q1</t>
        </is>
      </c>
      <c r="C51" s="68" t="inlineStr">
        <is>
          <t>Richtplan</t>
        </is>
      </c>
      <c r="D51" s="70" t="inlineStr">
        <is>
          <t>Kantonaler Richtplan BL (KRIP, Objektblätter)</t>
        </is>
      </c>
      <c r="E51" s="68" t="inlineStr">
        <is>
          <t>–</t>
        </is>
      </c>
      <c r="F51" s="68" t="inlineStr">
        <is>
          <t>01.07.2025</t>
        </is>
      </c>
      <c r="G51" s="68" t="inlineStr">
        <is>
          <t>Kanton BL (BUD / Raumplanung)</t>
        </is>
      </c>
      <c r="H51" s="68" t="inlineStr">
        <is>
          <t>öffentlich</t>
        </is>
      </c>
      <c r="I51" s="71" t="inlineStr">
        <is>
          <t>belegt</t>
        </is>
      </c>
      <c r="J51" s="75" t="inlineStr">
        <is>
          <t>n. a.</t>
        </is>
      </c>
      <c r="K51" s="75" t="inlineStr">
        <is>
          <t>n. a.</t>
        </is>
      </c>
      <c r="L51" s="68" t="inlineStr">
        <is>
          <t>Festlegungen Siedlung, Landschaft, Verkehr, Infrastruktur</t>
        </is>
      </c>
      <c r="M51" s="72" t="inlineStr">
        <is>
          <t>https://bl-api.webcloud7.ch/politik-und-behorden/direktionen/bau-und-umweltschutzdirektion/raumplanung/raumplanung/richtplanung/downloads-richtplanung/objektblatter.pdf?_t=1786003350618</t>
        </is>
      </c>
      <c r="N51" s="69" t="inlineStr">
        <is>
          <t>Kataster · ungetestet</t>
        </is>
      </c>
      <c r="O51" s="68" t="inlineStr">
        <is>
          <t>Katalog · hoch</t>
        </is>
      </c>
      <c r="P51" s="68" t="n"/>
      <c r="Q51" s="68" t="n"/>
    </row>
    <row r="52" outlineLevel="1" ht="22.35" customHeight="1" s="45">
      <c r="A52" s="68" t="inlineStr">
        <is>
          <t>Kanton BL</t>
        </is>
      </c>
      <c r="B52" s="69" t="inlineStr">
        <is>
          <t>Q3</t>
        </is>
      </c>
      <c r="C52" s="68" t="inlineStr">
        <is>
          <t>Gesetz</t>
        </is>
      </c>
      <c r="D52" s="70" t="inlineStr">
        <is>
          <t>Energiegesetz BL (EnG BL)</t>
        </is>
      </c>
      <c r="E52" s="68" t="inlineStr">
        <is>
          <t>SGS 490</t>
        </is>
      </c>
      <c r="F52" s="68" t="inlineStr">
        <is>
          <t>01.03.2025</t>
        </is>
      </c>
      <c r="G52" s="68" t="inlineStr">
        <is>
          <t>Kanton BL (AUE)</t>
        </is>
      </c>
      <c r="H52" s="68" t="inlineStr">
        <is>
          <t>öffentlich</t>
        </is>
      </c>
      <c r="I52" s="71" t="inlineStr">
        <is>
          <t>belegt</t>
        </is>
      </c>
      <c r="J52" s="75" t="inlineStr">
        <is>
          <t>n. a.</t>
        </is>
      </c>
      <c r="K52" s="75" t="inlineStr">
        <is>
          <t>n. a.</t>
        </is>
      </c>
      <c r="L52" s="68" t="inlineStr">
        <is>
          <t>Gebäudeenergie, Wärmeerzeugung, Solarpflichten</t>
        </is>
      </c>
      <c r="M52" s="72" t="inlineStr">
        <is>
          <t>https://bl.clex.ch/app/de/texts_of_law/490</t>
        </is>
      </c>
      <c r="N52" s="69" t="inlineStr">
        <is>
          <t>Kataster · ungetestet</t>
        </is>
      </c>
      <c r="O52" s="68" t="inlineStr">
        <is>
          <t>Katalog · hoch</t>
        </is>
      </c>
      <c r="P52" s="68" t="n"/>
      <c r="Q52" s="68" t="n"/>
    </row>
    <row r="53" outlineLevel="1" ht="22.35" customHeight="1" s="45">
      <c r="A53" s="68" t="inlineStr">
        <is>
          <t>Kanton BL</t>
        </is>
      </c>
      <c r="B53" s="69" t="inlineStr">
        <is>
          <t>Q6</t>
        </is>
      </c>
      <c r="C53" s="68" t="inlineStr">
        <is>
          <t>Verordnung</t>
        </is>
      </c>
      <c r="D53" s="70" t="inlineStr">
        <is>
          <t>Verordnung zum Einführungsgesetz IVöB (Vo EG IVöB)</t>
        </is>
      </c>
      <c r="E53" s="68" t="inlineStr">
        <is>
          <t>SGS 420.11</t>
        </is>
      </c>
      <c r="F53" s="68" t="inlineStr">
        <is>
          <t>01.01.2026</t>
        </is>
      </c>
      <c r="G53" s="68" t="inlineStr">
        <is>
          <t>Kanton BL</t>
        </is>
      </c>
      <c r="H53" s="68" t="inlineStr">
        <is>
          <t>öffentlich</t>
        </is>
      </c>
      <c r="I53" s="71" t="inlineStr">
        <is>
          <t>belegt</t>
        </is>
      </c>
      <c r="J53" s="75" t="inlineStr">
        <is>
          <t>n. a.</t>
        </is>
      </c>
      <c r="K53" s="75" t="inlineStr">
        <is>
          <t>n. a.</t>
        </is>
      </c>
      <c r="L53" s="68" t="inlineStr">
        <is>
          <t>Vergabeverfahren, Eignungs- und Zuschlagskriterien</t>
        </is>
      </c>
      <c r="M53" s="72" t="inlineStr">
        <is>
          <t>https://bl.clex.ch/app/de/texts_of_law/420.11</t>
        </is>
      </c>
      <c r="N53" s="69" t="inlineStr">
        <is>
          <t>Kataster · ungetestet</t>
        </is>
      </c>
      <c r="O53" s="68" t="inlineStr">
        <is>
          <t>Katalog · hoch</t>
        </is>
      </c>
      <c r="P53" s="68" t="inlineStr">
        <is>
          <t>Zugehöriges EG IVöB (Gesetz) und Beitrittszeitpunkt BL nicht verifiziert</t>
        </is>
      </c>
      <c r="Q53" s="68" t="n"/>
    </row>
    <row r="54" outlineLevel="1" ht="32.8" customHeight="1" s="45">
      <c r="A54" s="68" t="inlineStr">
        <is>
          <t>Kanton BL</t>
        </is>
      </c>
      <c r="B54" s="69" t="inlineStr">
        <is>
          <t>Q2 / Q5</t>
        </is>
      </c>
      <c r="C54" s="68" t="inlineStr">
        <is>
          <t>Gesetz</t>
        </is>
      </c>
      <c r="D54" s="70" t="inlineStr">
        <is>
          <t>Gesetz über den Natur- und Landschaftsschutz (NLG BL)</t>
        </is>
      </c>
      <c r="E54" s="68" t="inlineStr">
        <is>
          <t>SGS 790</t>
        </is>
      </c>
      <c r="F54" s="68" t="inlineStr">
        <is>
          <t>Erlass 20.11.1991</t>
        </is>
      </c>
      <c r="G54" s="68" t="inlineStr">
        <is>
          <t>Kanton BL</t>
        </is>
      </c>
      <c r="H54" s="68" t="inlineStr">
        <is>
          <t>öffentlich</t>
        </is>
      </c>
      <c r="I54" s="71" t="inlineStr">
        <is>
          <t>belegt</t>
        </is>
      </c>
      <c r="J54" s="75" t="inlineStr">
        <is>
          <t>n. a.</t>
        </is>
      </c>
      <c r="K54" s="75" t="inlineStr">
        <is>
          <t>n. a.</t>
        </is>
      </c>
      <c r="L54" s="68" t="inlineStr">
        <is>
          <t>§ 8 Natur- und Landschaftsschutzkonzept; § 12 Schutzgebiete; Inventar der geschützten Naturobjekte (Geoportal BL)</t>
        </is>
      </c>
      <c r="M54" s="72" t="inlineStr">
        <is>
          <t>https://bl.clex.ch/app/de/texts_of_law/790</t>
        </is>
      </c>
      <c r="N54" s="73" t="inlineStr">
        <is>
          <t>Muster · ungetestet</t>
        </is>
      </c>
      <c r="O54" s="68" t="inlineStr">
        <is>
          <t>Ergänzung · hoch</t>
        </is>
      </c>
      <c r="P54" s="68" t="inlineStr">
        <is>
          <t>Suchtreffer: Gesetzestext bl.clex.ch/data/790/de; aktuelle Fassung beim Klick prüfen</t>
        </is>
      </c>
      <c r="Q54" s="68" t="n"/>
    </row>
    <row r="55" outlineLevel="1" ht="22.35" customHeight="1" s="45">
      <c r="A55" s="68" t="inlineStr">
        <is>
          <t>Kanton BL</t>
        </is>
      </c>
      <c r="B55" s="69" t="inlineStr">
        <is>
          <t>Q5</t>
        </is>
      </c>
      <c r="C55" s="68" t="inlineStr">
        <is>
          <t>Gesetz</t>
        </is>
      </c>
      <c r="D55" s="70" t="inlineStr">
        <is>
          <t>Gesetz über den Denkmal- und Heimatschutz (DHG BL)</t>
        </is>
      </c>
      <c r="E55" s="68" t="inlineStr">
        <is>
          <t>SGS 780</t>
        </is>
      </c>
      <c r="F55" s="68" t="inlineStr">
        <is>
          <t>–</t>
        </is>
      </c>
      <c r="G55" s="68" t="inlineStr">
        <is>
          <t>Kanton BL (Denkmalpflege)</t>
        </is>
      </c>
      <c r="H55" s="68" t="inlineStr">
        <is>
          <t>öffentlich</t>
        </is>
      </c>
      <c r="I55" s="71" t="inlineStr">
        <is>
          <t>belegt</t>
        </is>
      </c>
      <c r="J55" s="75" t="inlineStr">
        <is>
          <t>n. a.</t>
        </is>
      </c>
      <c r="K55" s="75" t="inlineStr">
        <is>
          <t>n. a.</t>
        </is>
      </c>
      <c r="L55" s="68" t="inlineStr">
        <is>
          <t>Unterschutzstellung, Bauinventar, Ortsbildschutz</t>
        </is>
      </c>
      <c r="M55" s="72" t="inlineStr">
        <is>
          <t>https://bl.clex.ch/app/de/texts_of_law/780</t>
        </is>
      </c>
      <c r="N55" s="73" t="inlineStr">
        <is>
          <t>Muster · ungetestet</t>
        </is>
      </c>
      <c r="O55" s="68" t="inlineStr">
        <is>
          <t>Ergänzung · mittel</t>
        </is>
      </c>
      <c r="P55" s="68" t="inlineStr">
        <is>
          <t>SGS-Nr. aus Fachwissen; Klick-Test ausstehend</t>
        </is>
      </c>
      <c r="Q55" s="68" t="n"/>
    </row>
    <row r="56" outlineLevel="1" ht="22.35" customHeight="1" s="45">
      <c r="A56" s="68" t="inlineStr">
        <is>
          <t>Kanton BL</t>
        </is>
      </c>
      <c r="B56" s="69" t="inlineStr">
        <is>
          <t>Q4</t>
        </is>
      </c>
      <c r="C56" s="68" t="inlineStr">
        <is>
          <t>Gesetz</t>
        </is>
      </c>
      <c r="D56" s="70" t="inlineStr">
        <is>
          <t>Wasserbaugesetz BL</t>
        </is>
      </c>
      <c r="E56" s="68" t="inlineStr">
        <is>
          <t>SGS 445</t>
        </is>
      </c>
      <c r="F56" s="68" t="inlineStr">
        <is>
          <t>–</t>
        </is>
      </c>
      <c r="G56" s="68" t="inlineStr">
        <is>
          <t>Kanton BL (Tiefbauamt)</t>
        </is>
      </c>
      <c r="H56" s="68" t="inlineStr">
        <is>
          <t>öffentlich</t>
        </is>
      </c>
      <c r="I56" s="71" t="inlineStr">
        <is>
          <t>belegt</t>
        </is>
      </c>
      <c r="J56" s="75" t="inlineStr">
        <is>
          <t>n. a.</t>
        </is>
      </c>
      <c r="K56" s="75" t="inlineStr">
        <is>
          <t>n. a.</t>
        </is>
      </c>
      <c r="L56" s="68" t="inlineStr">
        <is>
          <t>Hochwasserschutz, Gefahrenkarten, Gewässerraum</t>
        </is>
      </c>
      <c r="M56" s="72" t="inlineStr">
        <is>
          <t>https://bl.clex.ch/app/de/texts_of_law/445</t>
        </is>
      </c>
      <c r="N56" s="73" t="inlineStr">
        <is>
          <t>Muster · ungetestet</t>
        </is>
      </c>
      <c r="O56" s="68" t="inlineStr">
        <is>
          <t>Ergänzung · mittel</t>
        </is>
      </c>
      <c r="P56" s="68" t="inlineStr">
        <is>
          <t>SGS-Nr. aus Fachwissen; Klick-Test ausstehend</t>
        </is>
      </c>
      <c r="Q56" s="68" t="n"/>
    </row>
    <row r="57" ht="19.5" customHeight="1" s="45">
      <c r="A57" s="66" t="inlineStr">
        <is>
          <t>KANTON ST. GALLEN  →  Wil</t>
        </is>
      </c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</row>
    <row r="58" outlineLevel="1" ht="22.35" customHeight="1" s="45">
      <c r="A58" s="68" t="inlineStr">
        <is>
          <t>Kanton SG</t>
        </is>
      </c>
      <c r="B58" s="69" t="inlineStr">
        <is>
          <t>Q1</t>
        </is>
      </c>
      <c r="C58" s="68" t="inlineStr">
        <is>
          <t>Gesetz</t>
        </is>
      </c>
      <c r="D58" s="70" t="inlineStr">
        <is>
          <t>Planungs- und Baugesetz SG (PBG)</t>
        </is>
      </c>
      <c r="E58" s="68" t="inlineStr">
        <is>
          <t>sGS 731.1</t>
        </is>
      </c>
      <c r="F58" s="68" t="inlineStr">
        <is>
          <t>01.06.2026</t>
        </is>
      </c>
      <c r="G58" s="68" t="inlineStr">
        <is>
          <t>Kanton SG (Amt für Raumentwicklung)</t>
        </is>
      </c>
      <c r="H58" s="68" t="inlineStr">
        <is>
          <t>öffentlich</t>
        </is>
      </c>
      <c r="I58" s="75" t="inlineStr">
        <is>
          <t>n. a.</t>
        </is>
      </c>
      <c r="J58" s="71" t="inlineStr">
        <is>
          <t>belegt</t>
        </is>
      </c>
      <c r="K58" s="75" t="inlineStr">
        <is>
          <t>n. a.</t>
        </is>
      </c>
      <c r="L58" s="68" t="inlineStr">
        <is>
          <t>Baubewilligung, Zonenkonformität, Planungsverfahren</t>
        </is>
      </c>
      <c r="M58" s="72" t="inlineStr">
        <is>
          <t>https://www.gesetzessammlung.sg.ch/data/731.1/de</t>
        </is>
      </c>
      <c r="N58" s="69" t="inlineStr">
        <is>
          <t>Kataster · ungetestet</t>
        </is>
      </c>
      <c r="O58" s="68" t="inlineStr">
        <is>
          <t>Katalog · hoch</t>
        </is>
      </c>
      <c r="P58" s="68" t="n"/>
      <c r="Q58" s="68" t="n"/>
    </row>
    <row r="59" outlineLevel="1" ht="22.35" customHeight="1" s="45">
      <c r="A59" s="68" t="inlineStr">
        <is>
          <t>Kanton SG</t>
        </is>
      </c>
      <c r="B59" s="69" t="inlineStr">
        <is>
          <t>Q1</t>
        </is>
      </c>
      <c r="C59" s="68" t="inlineStr">
        <is>
          <t>Richtplan</t>
        </is>
      </c>
      <c r="D59" s="70" t="inlineStr">
        <is>
          <t>Kantonaler Richtplan SG</t>
        </is>
      </c>
      <c r="E59" s="68" t="inlineStr">
        <is>
          <t>–</t>
        </is>
      </c>
      <c r="F59" s="68" t="inlineStr">
        <is>
          <t>Katalog: kein Stand</t>
        </is>
      </c>
      <c r="G59" s="68" t="inlineStr">
        <is>
          <t>Kanton SG</t>
        </is>
      </c>
      <c r="H59" s="68" t="inlineStr">
        <is>
          <t>öffentlich</t>
        </is>
      </c>
      <c r="I59" s="75" t="inlineStr">
        <is>
          <t>n. a.</t>
        </is>
      </c>
      <c r="J59" s="71" t="inlineStr">
        <is>
          <t>belegt</t>
        </is>
      </c>
      <c r="K59" s="75" t="inlineStr">
        <is>
          <t>n. a.</t>
        </is>
      </c>
      <c r="L59" s="68" t="inlineStr">
        <is>
          <t>Festlegungen Siedlung, Landschaft, Verkehr, Infrastruktur</t>
        </is>
      </c>
      <c r="M59" s="72" t="inlineStr">
        <is>
          <t>https://www.sg.ch/bauen/raumentwicklung/kantonaleplanung/richtplanung.html</t>
        </is>
      </c>
      <c r="N59" s="69" t="inlineStr">
        <is>
          <t>Kataster · ungetestet</t>
        </is>
      </c>
      <c r="O59" s="68" t="inlineStr">
        <is>
          <t>Katalog · hoch</t>
        </is>
      </c>
      <c r="P59" s="68" t="inlineStr">
        <is>
          <t>Aktuelle Fassung/Genehmigungsstand ergänzen</t>
        </is>
      </c>
      <c r="Q59" s="68" t="n"/>
    </row>
    <row r="60" outlineLevel="1" ht="22.35" customHeight="1" s="45">
      <c r="A60" s="68" t="inlineStr">
        <is>
          <t>Kanton SG</t>
        </is>
      </c>
      <c r="B60" s="69" t="inlineStr">
        <is>
          <t>Q3</t>
        </is>
      </c>
      <c r="C60" s="68" t="inlineStr">
        <is>
          <t>Gesetz</t>
        </is>
      </c>
      <c r="D60" s="70" t="inlineStr">
        <is>
          <t>Energiegesetz SG</t>
        </is>
      </c>
      <c r="E60" s="68" t="inlineStr">
        <is>
          <t>sGS 741.1</t>
        </is>
      </c>
      <c r="F60" s="68" t="inlineStr">
        <is>
          <t>01.07.2021</t>
        </is>
      </c>
      <c r="G60" s="68" t="inlineStr">
        <is>
          <t>Kanton SG (AFU)</t>
        </is>
      </c>
      <c r="H60" s="68" t="inlineStr">
        <is>
          <t>öffentlich</t>
        </is>
      </c>
      <c r="I60" s="75" t="inlineStr">
        <is>
          <t>n. a.</t>
        </is>
      </c>
      <c r="J60" s="71" t="inlineStr">
        <is>
          <t>belegt</t>
        </is>
      </c>
      <c r="K60" s="75" t="inlineStr">
        <is>
          <t>n. a.</t>
        </is>
      </c>
      <c r="L60" s="68" t="inlineStr">
        <is>
          <t>Gebäudeenergie, Wärmeerzeugung, Solarpflichten</t>
        </is>
      </c>
      <c r="M60" s="72" t="inlineStr">
        <is>
          <t>https://www.gesetzessammlung.sg.ch/app/de/texts_of_law/741.1</t>
        </is>
      </c>
      <c r="N60" s="69" t="inlineStr">
        <is>
          <t>Kataster · ungetestet</t>
        </is>
      </c>
      <c r="O60" s="68" t="inlineStr">
        <is>
          <t>Katalog · hoch</t>
        </is>
      </c>
      <c r="P60" s="68" t="n"/>
      <c r="Q60" s="68" t="n"/>
    </row>
    <row r="61" outlineLevel="1" ht="32.8" customHeight="1" s="45">
      <c r="A61" s="68" t="inlineStr">
        <is>
          <t>Kanton SG</t>
        </is>
      </c>
      <c r="B61" s="69" t="inlineStr">
        <is>
          <t>Q4</t>
        </is>
      </c>
      <c r="C61" s="68" t="inlineStr">
        <is>
          <t>Gesetz</t>
        </is>
      </c>
      <c r="D61" s="70" t="inlineStr">
        <is>
          <t>Wasserbaugesetz SG</t>
        </is>
      </c>
      <c r="E61" s="68" t="inlineStr">
        <is>
          <t>sGS-Nr. verifizieren</t>
        </is>
      </c>
      <c r="F61" s="68" t="inlineStr">
        <is>
          <t>–</t>
        </is>
      </c>
      <c r="G61" s="68" t="inlineStr">
        <is>
          <t>Kanton SG (Tiefbauamt)</t>
        </is>
      </c>
      <c r="H61" s="68" t="inlineStr">
        <is>
          <t>öffentlich</t>
        </is>
      </c>
      <c r="I61" s="75" t="inlineStr">
        <is>
          <t>n. a.</t>
        </is>
      </c>
      <c r="J61" s="76" t="inlineStr">
        <is>
          <t>nicht belegt (Recherche offen)</t>
        </is>
      </c>
      <c r="K61" s="75" t="inlineStr">
        <is>
          <t>n. a.</t>
        </is>
      </c>
      <c r="L61" s="68" t="inlineStr">
        <is>
          <t>Hochwasserschutz, Gefahrenkarten, Gewässerraum</t>
        </is>
      </c>
      <c r="M61" s="72" t="inlineStr">
        <is>
          <t>https://www.sg.ch</t>
        </is>
      </c>
      <c r="N61" s="73" t="inlineStr">
        <is>
          <t>Einstiegsseite · ungetestet</t>
        </is>
      </c>
      <c r="O61" s="68" t="inlineStr">
        <is>
          <t>Ergänzung · tief</t>
        </is>
      </c>
      <c r="P61" s="68" t="n"/>
      <c r="Q61" s="68" t="inlineStr">
        <is>
          <t>Q-Bearbeitung: Volltextsuche in kant. Gesetzessammlung bzw. Layerliste im Geoportal; falls ohne Treffer → Anfrage Kantonale Fachstelle</t>
        </is>
      </c>
    </row>
    <row r="62" outlineLevel="1" ht="32.8" customHeight="1" s="45">
      <c r="A62" s="68" t="inlineStr">
        <is>
          <t>Kanton SG</t>
        </is>
      </c>
      <c r="B62" s="69" t="inlineStr">
        <is>
          <t>Q6</t>
        </is>
      </c>
      <c r="C62" s="68" t="inlineStr">
        <is>
          <t>Verordnung</t>
        </is>
      </c>
      <c r="D62" s="70" t="inlineStr">
        <is>
          <t>Einführungsgesetz zur IVöB 2019 vom 15.11.2022 (EGöB)</t>
        </is>
      </c>
      <c r="E62" s="68" t="inlineStr">
        <is>
          <t>sGS 841.1</t>
        </is>
      </c>
      <c r="F62" s="68" t="inlineStr">
        <is>
          <t>15.11.2022; Vollzug ab 01.06.2023</t>
        </is>
      </c>
      <c r="G62" s="68" t="inlineStr">
        <is>
          <t>Kanton SG</t>
        </is>
      </c>
      <c r="H62" s="68" t="inlineStr">
        <is>
          <t>öffentlich</t>
        </is>
      </c>
      <c r="I62" s="75" t="inlineStr">
        <is>
          <t>n. a.</t>
        </is>
      </c>
      <c r="J62" s="71" t="inlineStr">
        <is>
          <t>belegt</t>
        </is>
      </c>
      <c r="K62" s="75" t="inlineStr">
        <is>
          <t>n. a.</t>
        </is>
      </c>
      <c r="L62" s="68" t="inlineStr">
        <is>
          <t>Vergabeverfahren, Eignungs- und Zuschlagskriterien</t>
        </is>
      </c>
      <c r="M62" s="72" t="inlineStr">
        <is>
          <t>https://www.gesetzessammlung.sg.ch/app/de/texts_of_law/841.1</t>
        </is>
      </c>
      <c r="N62" s="74" t="inlineStr">
        <is>
          <t>Suchtreffer · Quelle bestätigt (Link von sg.ch)</t>
        </is>
      </c>
      <c r="O62" s="68" t="inlineStr">
        <is>
          <t>Katalog · hoch</t>
        </is>
      </c>
      <c r="P62" s="68" t="n"/>
      <c r="Q62" s="68" t="n"/>
    </row>
    <row r="63" outlineLevel="1" ht="22.35" customHeight="1" s="45">
      <c r="A63" s="68" t="inlineStr">
        <is>
          <t>Kanton SG</t>
        </is>
      </c>
      <c r="B63" s="69" t="inlineStr">
        <is>
          <t>Q2 / Q5</t>
        </is>
      </c>
      <c r="C63" s="68" t="inlineStr">
        <is>
          <t>Verordnung</t>
        </is>
      </c>
      <c r="D63" s="70" t="inlineStr">
        <is>
          <t>Naturschutzverordnung SG</t>
        </is>
      </c>
      <c r="E63" s="68" t="inlineStr">
        <is>
          <t>sGS 671.1</t>
        </is>
      </c>
      <c r="F63" s="68" t="inlineStr">
        <is>
          <t>Erlass 17.06.1975</t>
        </is>
      </c>
      <c r="G63" s="68" t="inlineStr">
        <is>
          <t>Kanton SG</t>
        </is>
      </c>
      <c r="H63" s="68" t="inlineStr">
        <is>
          <t>öffentlich</t>
        </is>
      </c>
      <c r="I63" s="75" t="inlineStr">
        <is>
          <t>n. a.</t>
        </is>
      </c>
      <c r="J63" s="71" t="inlineStr">
        <is>
          <t>belegt</t>
        </is>
      </c>
      <c r="K63" s="75" t="inlineStr">
        <is>
          <t>n. a.</t>
        </is>
      </c>
      <c r="L63" s="68" t="inlineStr">
        <is>
          <t>Grundlage für Natur-/Landschaftsschutz; Gemeinden erlassen Schutzverordnungen (Art. 98 ff. PBG)</t>
        </is>
      </c>
      <c r="M63" s="72" t="inlineStr">
        <is>
          <t>https://www.gesetzessammlung.sg.ch/app/de/texts_of_law/671.1</t>
        </is>
      </c>
      <c r="N63" s="73" t="inlineStr">
        <is>
          <t>Muster · ungetestet</t>
        </is>
      </c>
      <c r="O63" s="68" t="inlineStr">
        <is>
          <t>Ergänzung · mittel</t>
        </is>
      </c>
      <c r="P63" s="68" t="inlineStr">
        <is>
          <t>Nummer und Erlassdatum aus Gemeinde-Schutzverordnungen (oereblex.sg.ch) belegt; aktuelle Fassung beim Klick prüfen</t>
        </is>
      </c>
      <c r="Q63" s="68" t="n"/>
    </row>
    <row r="64" outlineLevel="1" ht="22.35" customHeight="1" s="45">
      <c r="A64" s="68" t="inlineStr">
        <is>
          <t>Kanton SG</t>
        </is>
      </c>
      <c r="B64" s="69" t="inlineStr">
        <is>
          <t>Q5</t>
        </is>
      </c>
      <c r="C64" s="68" t="inlineStr">
        <is>
          <t>Verordnung</t>
        </is>
      </c>
      <c r="D64" s="70" t="inlineStr">
        <is>
          <t>Verordnung betreffend den Schutz von Naturkörpern und Altertümern</t>
        </is>
      </c>
      <c r="E64" s="68" t="inlineStr">
        <is>
          <t>sGS 271.51</t>
        </is>
      </c>
      <c r="F64" s="68" t="inlineStr">
        <is>
          <t>Erlass 21.03.1933</t>
        </is>
      </c>
      <c r="G64" s="68" t="inlineStr">
        <is>
          <t>Kanton SG</t>
        </is>
      </c>
      <c r="H64" s="68" t="inlineStr">
        <is>
          <t>öffentlich</t>
        </is>
      </c>
      <c r="I64" s="75" t="inlineStr">
        <is>
          <t>n. a.</t>
        </is>
      </c>
      <c r="J64" s="71" t="inlineStr">
        <is>
          <t>belegt</t>
        </is>
      </c>
      <c r="K64" s="75" t="inlineStr">
        <is>
          <t>n. a.</t>
        </is>
      </c>
      <c r="L64" s="68" t="inlineStr">
        <is>
          <t>Schutz von Altertümern (Archäologie/Denkmal)</t>
        </is>
      </c>
      <c r="M64" s="72" t="inlineStr">
        <is>
          <t>https://www.gesetzessammlung.sg.ch/app/de/texts_of_law/271.51</t>
        </is>
      </c>
      <c r="N64" s="73" t="inlineStr">
        <is>
          <t>Muster · ungetestet</t>
        </is>
      </c>
      <c r="O64" s="68" t="inlineStr">
        <is>
          <t>Ergänzung · mittel</t>
        </is>
      </c>
      <c r="P64" s="68" t="inlineStr">
        <is>
          <t>Nummer aus Gemeinde-Schutzverordnung belegt; Geltung beim Klick prüfen</t>
        </is>
      </c>
      <c r="Q64" s="68" t="n"/>
    </row>
    <row r="65" outlineLevel="1" ht="32.8" customHeight="1" s="45">
      <c r="A65" s="68" t="inlineStr">
        <is>
          <t>Kanton SG</t>
        </is>
      </c>
      <c r="B65" s="69" t="inlineStr">
        <is>
          <t>Q6</t>
        </is>
      </c>
      <c r="C65" s="68" t="inlineStr">
        <is>
          <t>Konkordat</t>
        </is>
      </c>
      <c r="D65" s="70" t="inlineStr">
        <is>
          <t>IVöB 2019 (Beitritt SG per 01.06.2023)</t>
        </is>
      </c>
      <c r="E65" s="68" t="inlineStr">
        <is>
          <t>sGS 841.51</t>
        </is>
      </c>
      <c r="F65" s="68" t="inlineStr">
        <is>
          <t>01.06.2023</t>
        </is>
      </c>
      <c r="G65" s="68" t="inlineStr">
        <is>
          <t>Kanton SG</t>
        </is>
      </c>
      <c r="H65" s="68" t="inlineStr">
        <is>
          <t>öffentlich</t>
        </is>
      </c>
      <c r="I65" s="75" t="inlineStr">
        <is>
          <t>n. a.</t>
        </is>
      </c>
      <c r="J65" s="71" t="inlineStr">
        <is>
          <t>belegt</t>
        </is>
      </c>
      <c r="K65" s="75" t="inlineStr">
        <is>
          <t>n. a.</t>
        </is>
      </c>
      <c r="L65" s="68" t="inlineStr">
        <is>
          <t>Massgebend für alle Vergabeverfahren nach dem 31.05.2023</t>
        </is>
      </c>
      <c r="M65" s="72" t="inlineStr">
        <is>
          <t>https://www.gesetzessammlung.sg.ch/app/de/texts_of_law/841.51</t>
        </is>
      </c>
      <c r="N65" s="74" t="inlineStr">
        <is>
          <t>Suchtreffer · Quelle bestätigt (Link von sg.ch)</t>
        </is>
      </c>
      <c r="O65" s="68" t="inlineStr">
        <is>
          <t>Ergänzung · hoch</t>
        </is>
      </c>
      <c r="P65" s="68" t="inlineStr">
        <is>
          <t>Suchtreffer sg.ch</t>
        </is>
      </c>
      <c r="Q65" s="68" t="n"/>
    </row>
    <row r="66" outlineLevel="1" ht="32.8" customHeight="1" s="45">
      <c r="A66" s="68" t="inlineStr">
        <is>
          <t>Kanton SG</t>
        </is>
      </c>
      <c r="B66" s="69" t="inlineStr">
        <is>
          <t>Q6</t>
        </is>
      </c>
      <c r="C66" s="68" t="inlineStr">
        <is>
          <t>Gesetz</t>
        </is>
      </c>
      <c r="D66" s="70" t="inlineStr">
        <is>
          <t>Einführungsgesetz zur IVöB 2019 vom 15.11.2022 (EGöB)</t>
        </is>
      </c>
      <c r="E66" s="68" t="inlineStr">
        <is>
          <t>sGS 841.1</t>
        </is>
      </c>
      <c r="F66" s="68" t="inlineStr">
        <is>
          <t>15.11.2022; Vollzug ab 01.06.2023</t>
        </is>
      </c>
      <c r="G66" s="68" t="inlineStr">
        <is>
          <t>Kanton SG</t>
        </is>
      </c>
      <c r="H66" s="68" t="inlineStr">
        <is>
          <t>öffentlich</t>
        </is>
      </c>
      <c r="I66" s="75" t="inlineStr">
        <is>
          <t>n. a.</t>
        </is>
      </c>
      <c r="J66" s="71" t="inlineStr">
        <is>
          <t>belegt</t>
        </is>
      </c>
      <c r="K66" s="75" t="inlineStr">
        <is>
          <t>n. a.</t>
        </is>
      </c>
      <c r="L66" s="68" t="inlineStr">
        <is>
          <t>Kantonale Umsetzung IVöB</t>
        </is>
      </c>
      <c r="M66" s="72" t="inlineStr">
        <is>
          <t>https://www.gesetzessammlung.sg.ch/app/de/texts_of_law/841.1</t>
        </is>
      </c>
      <c r="N66" s="74" t="inlineStr">
        <is>
          <t>Suchtreffer · Quelle bestätigt (Link von sg.ch)</t>
        </is>
      </c>
      <c r="O66" s="68" t="inlineStr">
        <is>
          <t>Ergänzung · hoch</t>
        </is>
      </c>
      <c r="P66" s="68" t="inlineStr">
        <is>
          <t>Suchtreffer sg.ch (Rechtsgrundlagen-Liste)</t>
        </is>
      </c>
      <c r="Q66" s="68" t="n"/>
    </row>
    <row r="67" ht="19.5" customHeight="1" s="45">
      <c r="A67" s="66" t="inlineStr">
        <is>
          <t>KANTON URI  →  Seelisberg</t>
        </is>
      </c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</row>
    <row r="68" outlineLevel="1" ht="22.35" customHeight="1" s="45">
      <c r="A68" s="68" t="inlineStr">
        <is>
          <t>Kanton UR</t>
        </is>
      </c>
      <c r="B68" s="69" t="inlineStr">
        <is>
          <t>Q1</t>
        </is>
      </c>
      <c r="C68" s="68" t="inlineStr">
        <is>
          <t>Gesetz</t>
        </is>
      </c>
      <c r="D68" s="70" t="inlineStr">
        <is>
          <t>Planungs- und Baugesetz Uri (PBG)</t>
        </is>
      </c>
      <c r="E68" s="68" t="inlineStr">
        <is>
          <t>RB 40.1111</t>
        </is>
      </c>
      <c r="F68" s="68" t="inlineStr">
        <is>
          <t>01.01.2022</t>
        </is>
      </c>
      <c r="G68" s="68" t="inlineStr">
        <is>
          <t>Kanton UR</t>
        </is>
      </c>
      <c r="H68" s="68" t="inlineStr">
        <is>
          <t>öffentlich</t>
        </is>
      </c>
      <c r="I68" s="75" t="inlineStr">
        <is>
          <t>n. a.</t>
        </is>
      </c>
      <c r="J68" s="75" t="inlineStr">
        <is>
          <t>n. a.</t>
        </is>
      </c>
      <c r="K68" s="71" t="inlineStr">
        <is>
          <t>belegt</t>
        </is>
      </c>
      <c r="L68" s="68" t="inlineStr">
        <is>
          <t>Baubewilligung, Zonenkonformität, Planungsverfahren</t>
        </is>
      </c>
      <c r="M68" s="72" t="inlineStr">
        <is>
          <t>https://rechtsbuch.ur.ch/app/de/texts_of_law/40.1111</t>
        </is>
      </c>
      <c r="N68" s="69" t="inlineStr">
        <is>
          <t>Kataster · ungetestet</t>
        </is>
      </c>
      <c r="O68" s="68" t="inlineStr">
        <is>
          <t>Katalog · hoch</t>
        </is>
      </c>
      <c r="P68" s="68" t="n"/>
      <c r="Q68" s="68" t="n"/>
    </row>
    <row r="69" outlineLevel="1" ht="22.35" customHeight="1" s="45">
      <c r="A69" s="68" t="inlineStr">
        <is>
          <t>Kanton UR</t>
        </is>
      </c>
      <c r="B69" s="69" t="inlineStr">
        <is>
          <t>Q1</t>
        </is>
      </c>
      <c r="C69" s="68" t="inlineStr">
        <is>
          <t>Richtplan</t>
        </is>
      </c>
      <c r="D69" s="70" t="inlineStr">
        <is>
          <t>Kantonaler Richtplan Uri</t>
        </is>
      </c>
      <c r="E69" s="68" t="inlineStr">
        <is>
          <t>–</t>
        </is>
      </c>
      <c r="F69" s="68" t="inlineStr">
        <is>
          <t>22.01.2024</t>
        </is>
      </c>
      <c r="G69" s="68" t="inlineStr">
        <is>
          <t>Kanton UR</t>
        </is>
      </c>
      <c r="H69" s="68" t="inlineStr">
        <is>
          <t>öffentlich</t>
        </is>
      </c>
      <c r="I69" s="75" t="inlineStr">
        <is>
          <t>n. a.</t>
        </is>
      </c>
      <c r="J69" s="75" t="inlineStr">
        <is>
          <t>n. a.</t>
        </is>
      </c>
      <c r="K69" s="71" t="inlineStr">
        <is>
          <t>belegt</t>
        </is>
      </c>
      <c r="L69" s="68" t="inlineStr">
        <is>
          <t>Festlegungen Siedlung, Landschaft, Verkehr, Infrastruktur</t>
        </is>
      </c>
      <c r="M69" s="72" t="inlineStr">
        <is>
          <t>https://www.ur.ch/_docn/375874/Richtplantext_240122.pdf</t>
        </is>
      </c>
      <c r="N69" s="69" t="inlineStr">
        <is>
          <t>Kataster · ungetestet</t>
        </is>
      </c>
      <c r="O69" s="68" t="inlineStr">
        <is>
          <t>Katalog · hoch</t>
        </is>
      </c>
      <c r="P69" s="68" t="n"/>
      <c r="Q69" s="68" t="n"/>
    </row>
    <row r="70" outlineLevel="1" ht="32.8" customHeight="1" s="45">
      <c r="A70" s="68" t="inlineStr">
        <is>
          <t>Kanton UR</t>
        </is>
      </c>
      <c r="B70" s="69" t="inlineStr">
        <is>
          <t>Q2 / Q5</t>
        </is>
      </c>
      <c r="C70" s="68" t="inlineStr">
        <is>
          <t>Gesetz</t>
        </is>
      </c>
      <c r="D70" s="70" t="inlineStr">
        <is>
          <t>Natur- und Heimatschutzrecht Uri (kantonale Erlasse)</t>
        </is>
      </c>
      <c r="E70" s="68" t="inlineStr">
        <is>
          <t>RB-Nr. verifizieren</t>
        </is>
      </c>
      <c r="F70" s="68" t="inlineStr">
        <is>
          <t>–</t>
        </is>
      </c>
      <c r="G70" s="68" t="inlineStr">
        <is>
          <t>Kanton UR</t>
        </is>
      </c>
      <c r="H70" s="68" t="inlineStr">
        <is>
          <t>öffentlich</t>
        </is>
      </c>
      <c r="I70" s="75" t="inlineStr">
        <is>
          <t>n. a.</t>
        </is>
      </c>
      <c r="J70" s="75" t="inlineStr">
        <is>
          <t>n. a.</t>
        </is>
      </c>
      <c r="K70" s="76" t="inlineStr">
        <is>
          <t>nicht belegt (Recherche offen)</t>
        </is>
      </c>
      <c r="L70" s="68" t="inlineStr">
        <is>
          <t>Kantonale Schutzobjekte, Schutzinventar</t>
        </is>
      </c>
      <c r="M70" s="72" t="inlineStr">
        <is>
          <t>https://www.ur.ch</t>
        </is>
      </c>
      <c r="N70" s="73" t="inlineStr">
        <is>
          <t>Einstiegsseite · ungetestet</t>
        </is>
      </c>
      <c r="O70" s="68" t="inlineStr">
        <is>
          <t>Ergänzung · tief</t>
        </is>
      </c>
      <c r="P70" s="68" t="n"/>
      <c r="Q70" s="68" t="inlineStr">
        <is>
          <t>Q-Bearbeitung: Volltextsuche in kant. Gesetzessammlung bzw. Layerliste im Geoportal; falls ohne Treffer → Anfrage Kantonale Fachstelle</t>
        </is>
      </c>
    </row>
    <row r="71" outlineLevel="1" ht="22.35" customHeight="1" s="45">
      <c r="A71" s="68" t="inlineStr">
        <is>
          <t>Kanton UR</t>
        </is>
      </c>
      <c r="B71" s="69" t="inlineStr">
        <is>
          <t>Q3</t>
        </is>
      </c>
      <c r="C71" s="68" t="inlineStr">
        <is>
          <t>Gesetz</t>
        </is>
      </c>
      <c r="D71" s="70" t="inlineStr">
        <is>
          <t>Kantonale Energiegesetzgebung Uri</t>
        </is>
      </c>
      <c r="E71" s="68" t="inlineStr">
        <is>
          <t>RB 40.7211</t>
        </is>
      </c>
      <c r="F71" s="68" t="inlineStr">
        <is>
          <t>Katalog: 01.01.2000</t>
        </is>
      </c>
      <c r="G71" s="68" t="inlineStr">
        <is>
          <t>Kanton UR</t>
        </is>
      </c>
      <c r="H71" s="68" t="inlineStr">
        <is>
          <t>öffentlich</t>
        </is>
      </c>
      <c r="I71" s="75" t="inlineStr">
        <is>
          <t>n. a.</t>
        </is>
      </c>
      <c r="J71" s="75" t="inlineStr">
        <is>
          <t>n. a.</t>
        </is>
      </c>
      <c r="K71" s="71" t="inlineStr">
        <is>
          <t>belegt</t>
        </is>
      </c>
      <c r="L71" s="68" t="inlineStr">
        <is>
          <t>Gebäudeenergie, Wärmeerzeugung, Solarpflichten</t>
        </is>
      </c>
      <c r="M71" s="72" t="inlineStr">
        <is>
          <t>https://rechtsbuch.ur.ch/app/de/texts_of_law/40.7211</t>
        </is>
      </c>
      <c r="N71" s="69" t="inlineStr">
        <is>
          <t>Kataster · ungetestet</t>
        </is>
      </c>
      <c r="O71" s="68" t="inlineStr">
        <is>
          <t>Katalog · hoch</t>
        </is>
      </c>
      <c r="P71" s="68" t="inlineStr">
        <is>
          <t>Stand 2000 vermutlich Erstinkrafttreten → aktuelle Fassung/Revisionen prüfen</t>
        </is>
      </c>
      <c r="Q71" s="68" t="n"/>
    </row>
    <row r="72" outlineLevel="1" ht="32.8" customHeight="1" s="45">
      <c r="A72" s="68" t="inlineStr">
        <is>
          <t>Kanton UR</t>
        </is>
      </c>
      <c r="B72" s="69" t="inlineStr">
        <is>
          <t>Q4</t>
        </is>
      </c>
      <c r="C72" s="68" t="inlineStr">
        <is>
          <t>Gesetz</t>
        </is>
      </c>
      <c r="D72" s="70" t="inlineStr">
        <is>
          <t>Wasserbau-/Naturgefahrenrecht Uri</t>
        </is>
      </c>
      <c r="E72" s="68" t="inlineStr">
        <is>
          <t>RB-Nr. verifizieren</t>
        </is>
      </c>
      <c r="F72" s="68" t="inlineStr">
        <is>
          <t>–</t>
        </is>
      </c>
      <c r="G72" s="68" t="inlineStr">
        <is>
          <t>Kanton UR</t>
        </is>
      </c>
      <c r="H72" s="68" t="inlineStr">
        <is>
          <t>öffentlich</t>
        </is>
      </c>
      <c r="I72" s="75" t="inlineStr">
        <is>
          <t>n. a.</t>
        </is>
      </c>
      <c r="J72" s="75" t="inlineStr">
        <is>
          <t>n. a.</t>
        </is>
      </c>
      <c r="K72" s="76" t="inlineStr">
        <is>
          <t>nicht belegt (Recherche offen)</t>
        </is>
      </c>
      <c r="L72" s="68" t="inlineStr">
        <is>
          <t>Hochwasser-/Naturgefahrenschutz, Gefahrenkarten</t>
        </is>
      </c>
      <c r="M72" s="72" t="inlineStr">
        <is>
          <t>https://www.ur.ch</t>
        </is>
      </c>
      <c r="N72" s="73" t="inlineStr">
        <is>
          <t>Einstiegsseite · ungetestet</t>
        </is>
      </c>
      <c r="O72" s="68" t="inlineStr">
        <is>
          <t>Ergänzung · tief</t>
        </is>
      </c>
      <c r="P72" s="68" t="n"/>
      <c r="Q72" s="68" t="inlineStr">
        <is>
          <t>Q-Bearbeitung: Volltextsuche in kant. Gesetzessammlung bzw. Layerliste im Geoportal; falls ohne Treffer → Anfrage Kantonale Fachstelle</t>
        </is>
      </c>
    </row>
    <row r="73" outlineLevel="1" ht="22.35" customHeight="1" s="45">
      <c r="A73" s="68" t="inlineStr">
        <is>
          <t>Kanton UR</t>
        </is>
      </c>
      <c r="B73" s="69" t="inlineStr">
        <is>
          <t>Q6</t>
        </is>
      </c>
      <c r="C73" s="68" t="inlineStr">
        <is>
          <t>Beschluss</t>
        </is>
      </c>
      <c r="D73" s="70" t="inlineStr">
        <is>
          <t>Beitritt Kanton Uri zur IVöB 2019 (Landratsbeschluss vom 15.06.2022)</t>
        </is>
      </c>
      <c r="E73" s="68" t="inlineStr">
        <is>
          <t>IVöB: RB 3.3111</t>
        </is>
      </c>
      <c r="F73" s="68" t="inlineStr">
        <is>
          <t>Inkrafttreten 01.06.2023</t>
        </is>
      </c>
      <c r="G73" s="68" t="inlineStr">
        <is>
          <t>Kanton UR (Baudirektion)</t>
        </is>
      </c>
      <c r="H73" s="68" t="inlineStr">
        <is>
          <t>öffentlich</t>
        </is>
      </c>
      <c r="I73" s="75" t="inlineStr">
        <is>
          <t>n. a.</t>
        </is>
      </c>
      <c r="J73" s="75" t="inlineStr">
        <is>
          <t>n. a.</t>
        </is>
      </c>
      <c r="K73" s="71" t="inlineStr">
        <is>
          <t>belegt</t>
        </is>
      </c>
      <c r="L73" s="68" t="inlineStr">
        <is>
          <t>IVöB 2019 gilt in Uri; frühere Submissionsverordnung aufgehoben</t>
        </is>
      </c>
      <c r="M73" s="72" t="inlineStr">
        <is>
          <t>https://www.ur.ch/_doc/337571</t>
        </is>
      </c>
      <c r="N73" s="74" t="inlineStr">
        <is>
          <t>Suchtreffer · getestet OK</t>
        </is>
      </c>
      <c r="O73" s="68" t="inlineStr">
        <is>
          <t>Ergänzung · hoch</t>
        </is>
      </c>
      <c r="P73" s="68" t="inlineStr">
        <is>
          <t>Beleg: Schulungsunterlage Baudirektion UR vom 08.05.2023 (Link getestet). Submissionsverordnung RB 3.3112 aufgehoben</t>
        </is>
      </c>
      <c r="Q73" s="68" t="n"/>
    </row>
    <row r="74" outlineLevel="1" ht="32.8" customHeight="1" s="45">
      <c r="A74" s="68" t="inlineStr">
        <is>
          <t>Kanton UR</t>
        </is>
      </c>
      <c r="B74" s="69" t="inlineStr">
        <is>
          <t>Q6</t>
        </is>
      </c>
      <c r="C74" s="68" t="inlineStr">
        <is>
          <t>Beschluss</t>
        </is>
      </c>
      <c r="D74" s="70" t="inlineStr">
        <is>
          <t>Gesetz über die Ausnahmen vom Anwendungsbereich der Interkantonalen Vereinbarung über das öffentliche Beschaffungswesen</t>
        </is>
      </c>
      <c r="E74" s="68" t="inlineStr">
        <is>
          <t>RB-Nr. nicht ermittelt</t>
        </is>
      </c>
      <c r="F74" s="68" t="inlineStr">
        <is>
          <t>12.03.2023</t>
        </is>
      </c>
      <c r="G74" s="68" t="inlineStr">
        <is>
          <t>Kanton UR (Baudirektion)</t>
        </is>
      </c>
      <c r="H74" s="68" t="inlineStr">
        <is>
          <t>öffentlich</t>
        </is>
      </c>
      <c r="I74" s="75" t="inlineStr">
        <is>
          <t>n. a.</t>
        </is>
      </c>
      <c r="J74" s="75" t="inlineStr">
        <is>
          <t>n. a.</t>
        </is>
      </c>
      <c r="K74" s="71" t="inlineStr">
        <is>
          <t>belegt</t>
        </is>
      </c>
      <c r="L74" s="68" t="inlineStr">
        <is>
          <t>IVöB 2019 gilt in Uri; frühere Submissionsverordnung aufgehoben</t>
        </is>
      </c>
      <c r="M74" s="72" t="inlineStr">
        <is>
          <t>https://www.ur.ch/_doc/337571</t>
        </is>
      </c>
      <c r="N74" s="74" t="inlineStr">
        <is>
          <t>Suchtreffer · getestet OK</t>
        </is>
      </c>
      <c r="O74" s="68" t="inlineStr">
        <is>
          <t>Ergänzung · hoch</t>
        </is>
      </c>
      <c r="P74" s="68" t="inlineStr">
        <is>
          <t>Beleg: Schulungsunterlage Baudirektion UR vom 08.05.2023 (Link getestet); eigener Gesetzestext-Link nicht ermittelt</t>
        </is>
      </c>
      <c r="Q74" s="68" t="n"/>
    </row>
    <row r="75" outlineLevel="1" ht="22.35" customHeight="1" s="45">
      <c r="A75" s="68" t="inlineStr">
        <is>
          <t>Kanton UR</t>
        </is>
      </c>
      <c r="B75" s="69" t="inlineStr">
        <is>
          <t>Q6</t>
        </is>
      </c>
      <c r="C75" s="68" t="inlineStr">
        <is>
          <t>Beschluss</t>
        </is>
      </c>
      <c r="D75" s="70" t="inlineStr">
        <is>
          <t>Reglement über den Vollzug der IVöB (Submissionsreglement)</t>
        </is>
      </c>
      <c r="E75" s="68" t="inlineStr">
        <is>
          <t>RB 3.3115</t>
        </is>
      </c>
      <c r="F75" s="68" t="inlineStr">
        <is>
          <t>ab 01.06.2023</t>
        </is>
      </c>
      <c r="G75" s="68" t="inlineStr">
        <is>
          <t>Kanton UR (Baudirektion)</t>
        </is>
      </c>
      <c r="H75" s="68" t="inlineStr">
        <is>
          <t>öffentlich</t>
        </is>
      </c>
      <c r="I75" s="75" t="inlineStr">
        <is>
          <t>n. a.</t>
        </is>
      </c>
      <c r="J75" s="75" t="inlineStr">
        <is>
          <t>n. a.</t>
        </is>
      </c>
      <c r="K75" s="71" t="inlineStr">
        <is>
          <t>belegt</t>
        </is>
      </c>
      <c r="L75" s="68" t="inlineStr">
        <is>
          <t>IVöB 2019 gilt in Uri; frühere Submissionsverordnung aufgehoben</t>
        </is>
      </c>
      <c r="M75" s="72" t="inlineStr">
        <is>
          <t>https://www.ur.ch/_doc/337571</t>
        </is>
      </c>
      <c r="N75" s="74" t="inlineStr">
        <is>
          <t>Suchtreffer · getestet OK</t>
        </is>
      </c>
      <c r="O75" s="68" t="inlineStr">
        <is>
          <t>Ergänzung · hoch</t>
        </is>
      </c>
      <c r="P75" s="68" t="inlineStr">
        <is>
          <t>Beleg: Schulungsunterlage Baudirektion UR vom 08.05.2023 (Link getestet); eigener Reglementstext-Link nicht ermittelt</t>
        </is>
      </c>
      <c r="Q75" s="68" t="n"/>
    </row>
    <row r="76" ht="19.5" customHeight="1" s="45">
      <c r="A76" s="66" t="inlineStr">
        <is>
          <t>GEMEINDE MÜNCHENSTEIN (BL)</t>
        </is>
      </c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</row>
    <row r="77" outlineLevel="1" ht="22.35" customHeight="1" s="45">
      <c r="A77" s="68" t="inlineStr">
        <is>
          <t>Gde Münchenstein</t>
        </is>
      </c>
      <c r="B77" s="69" t="inlineStr">
        <is>
          <t>Q1</t>
        </is>
      </c>
      <c r="C77" s="68" t="inlineStr">
        <is>
          <t>Reglement</t>
        </is>
      </c>
      <c r="D77" s="70" t="inlineStr">
        <is>
          <t>Zonenvorschriften Siedlung</t>
        </is>
      </c>
      <c r="E77" s="68" t="inlineStr">
        <is>
          <t>–</t>
        </is>
      </c>
      <c r="F77" s="68" t="inlineStr">
        <is>
          <t>25.02.2025</t>
        </is>
      </c>
      <c r="G77" s="68" t="inlineStr">
        <is>
          <t>Gde Münchenstein</t>
        </is>
      </c>
      <c r="H77" s="68" t="inlineStr">
        <is>
          <t>öffentlich</t>
        </is>
      </c>
      <c r="I77" s="71" t="inlineStr">
        <is>
          <t>belegt</t>
        </is>
      </c>
      <c r="J77" s="75" t="inlineStr">
        <is>
          <t>n. a.</t>
        </is>
      </c>
      <c r="K77" s="75" t="inlineStr">
        <is>
          <t>n. a.</t>
        </is>
      </c>
      <c r="L77" s="68" t="inlineStr">
        <is>
          <t>Bauweise, Abstände, Höhen, Nutzungsvorgaben</t>
        </is>
      </c>
      <c r="M77" s="72" t="inlineStr">
        <is>
          <t>https://oereblex.bl.ch/api/attachments/22718</t>
        </is>
      </c>
      <c r="N77" s="69" t="inlineStr">
        <is>
          <t>Kataster · ungetestet</t>
        </is>
      </c>
      <c r="O77" s="68" t="inlineStr">
        <is>
          <t>Katalog · hoch</t>
        </is>
      </c>
      <c r="P77" s="68" t="n"/>
      <c r="Q77" s="68" t="n"/>
    </row>
    <row r="78" outlineLevel="1" ht="22.35" customHeight="1" s="45">
      <c r="A78" s="68" t="inlineStr">
        <is>
          <t>Gde Münchenstein</t>
        </is>
      </c>
      <c r="B78" s="69" t="inlineStr">
        <is>
          <t>Q2</t>
        </is>
      </c>
      <c r="C78" s="68" t="inlineStr">
        <is>
          <t>Reglement</t>
        </is>
      </c>
      <c r="D78" s="70" t="inlineStr">
        <is>
          <t>Kommunale Natur- und Landschaftsschutzfestlegungen</t>
        </is>
      </c>
      <c r="E78" s="68" t="inlineStr">
        <is>
          <t>–</t>
        </is>
      </c>
      <c r="F78" s="68" t="inlineStr">
        <is>
          <t>25.02.2025</t>
        </is>
      </c>
      <c r="G78" s="68" t="inlineStr">
        <is>
          <t>Gde Münchenstein</t>
        </is>
      </c>
      <c r="H78" s="68" t="inlineStr">
        <is>
          <t>öffentlich</t>
        </is>
      </c>
      <c r="I78" s="71" t="inlineStr">
        <is>
          <t>belegt</t>
        </is>
      </c>
      <c r="J78" s="75" t="inlineStr">
        <is>
          <t>n. a.</t>
        </is>
      </c>
      <c r="K78" s="75" t="inlineStr">
        <is>
          <t>n. a.</t>
        </is>
      </c>
      <c r="L78" s="68" t="inlineStr">
        <is>
          <t>Schutzflächen, Gewässerräume, Grünstrukturen</t>
        </is>
      </c>
      <c r="M78" s="72" t="inlineStr">
        <is>
          <t>https://oereblex.bl.ch/api/attachments/22718</t>
        </is>
      </c>
      <c r="N78" s="69" t="inlineStr">
        <is>
          <t>Kataster · ungetestet</t>
        </is>
      </c>
      <c r="O78" s="68" t="inlineStr">
        <is>
          <t>Katalog · hoch</t>
        </is>
      </c>
      <c r="P78" s="68" t="inlineStr">
        <is>
          <t>Link identisch mit Zonenvorschriften → Inhalt einzeln verifizieren</t>
        </is>
      </c>
      <c r="Q78" s="68" t="n"/>
    </row>
    <row r="79" outlineLevel="1" ht="22.35" customHeight="1" s="45">
      <c r="A79" s="68" t="inlineStr">
        <is>
          <t>Gde Münchenstein</t>
        </is>
      </c>
      <c r="B79" s="69" t="inlineStr">
        <is>
          <t>Q3</t>
        </is>
      </c>
      <c r="C79" s="68" t="inlineStr">
        <is>
          <t>Reglement</t>
        </is>
      </c>
      <c r="D79" s="70" t="inlineStr">
        <is>
          <t>Kommunale Energieplanung / Wärmeversorgung</t>
        </is>
      </c>
      <c r="E79" s="68" t="inlineStr">
        <is>
          <t>–</t>
        </is>
      </c>
      <c r="F79" s="68" t="inlineStr">
        <is>
          <t>25.02.2025</t>
        </is>
      </c>
      <c r="G79" s="68" t="inlineStr">
        <is>
          <t>Gde Münchenstein</t>
        </is>
      </c>
      <c r="H79" s="68" t="inlineStr">
        <is>
          <t>öffentlich</t>
        </is>
      </c>
      <c r="I79" s="71" t="inlineStr">
        <is>
          <t>belegt</t>
        </is>
      </c>
      <c r="J79" s="75" t="inlineStr">
        <is>
          <t>n. a.</t>
        </is>
      </c>
      <c r="K79" s="75" t="inlineStr">
        <is>
          <t>n. a.</t>
        </is>
      </c>
      <c r="L79" s="68" t="inlineStr">
        <is>
          <t>Allfällige Anschluss-/Versorgungsregeln</t>
        </is>
      </c>
      <c r="M79" s="72" t="inlineStr">
        <is>
          <t>https://oereblex.bl.ch/api/attachments/22718</t>
        </is>
      </c>
      <c r="N79" s="69" t="inlineStr">
        <is>
          <t>Kataster · ungetestet</t>
        </is>
      </c>
      <c r="O79" s="68" t="inlineStr">
        <is>
          <t>Katalog · hoch</t>
        </is>
      </c>
      <c r="P79" s="68" t="inlineStr">
        <is>
          <t>Link identisch mit Zonenvorschriften → Inhalt einzeln verifizieren</t>
        </is>
      </c>
      <c r="Q79" s="68" t="n"/>
    </row>
    <row r="80" outlineLevel="1" ht="22.35" customHeight="1" s="45">
      <c r="A80" s="68" t="inlineStr">
        <is>
          <t>Gde Münchenstein</t>
        </is>
      </c>
      <c r="B80" s="69" t="inlineStr">
        <is>
          <t>Q4</t>
        </is>
      </c>
      <c r="C80" s="68" t="inlineStr">
        <is>
          <t>Reglement</t>
        </is>
      </c>
      <c r="D80" s="70" t="inlineStr">
        <is>
          <t>Abwasserreglement (vom 28.10.2020)</t>
        </is>
      </c>
      <c r="E80" s="68" t="inlineStr">
        <is>
          <t>TR 5.4</t>
        </is>
      </c>
      <c r="F80" s="68" t="inlineStr">
        <is>
          <t>07.01.2021</t>
        </is>
      </c>
      <c r="G80" s="68" t="inlineStr">
        <is>
          <t>Gde Münchenstein</t>
        </is>
      </c>
      <c r="H80" s="68" t="inlineStr">
        <is>
          <t>öffentlich</t>
        </is>
      </c>
      <c r="I80" s="71" t="inlineStr">
        <is>
          <t>belegt</t>
        </is>
      </c>
      <c r="J80" s="75" t="inlineStr">
        <is>
          <t>n. a.</t>
        </is>
      </c>
      <c r="K80" s="75" t="inlineStr">
        <is>
          <t>n. a.</t>
        </is>
      </c>
      <c r="L80" s="68" t="inlineStr">
        <is>
          <t>Entwässerungs- und Retentionsanforderungen</t>
        </is>
      </c>
      <c r="M80" s="72" t="inlineStr">
        <is>
          <t>https://www.muenchenstein.ch/_docn/5130739/TR_5.4_Abwasserreglement_vom_28._Oktober_2020_-_Stand_07.01.2021.pdf</t>
        </is>
      </c>
      <c r="N80" s="69" t="inlineStr">
        <is>
          <t>Kataster · ungetestet</t>
        </is>
      </c>
      <c r="O80" s="68" t="inlineStr">
        <is>
          <t>Katalog · hoch</t>
        </is>
      </c>
      <c r="P80" s="68" t="n"/>
      <c r="Q80" s="68" t="n"/>
    </row>
    <row r="81" outlineLevel="1" ht="22.35" customHeight="1" s="45">
      <c r="A81" s="68" t="inlineStr">
        <is>
          <t>Gde Münchenstein</t>
        </is>
      </c>
      <c r="B81" s="69" t="inlineStr">
        <is>
          <t>Q5</t>
        </is>
      </c>
      <c r="C81" s="68" t="inlineStr">
        <is>
          <t>Reglement</t>
        </is>
      </c>
      <c r="D81" s="70" t="inlineStr">
        <is>
          <t>Kommunale Schutzverordnung / Ortsbildvorgaben</t>
        </is>
      </c>
      <c r="E81" s="68" t="inlineStr">
        <is>
          <t>–</t>
        </is>
      </c>
      <c r="F81" s="68" t="inlineStr">
        <is>
          <t>25.02.2025</t>
        </is>
      </c>
      <c r="G81" s="68" t="inlineStr">
        <is>
          <t>Gde Münchenstein</t>
        </is>
      </c>
      <c r="H81" s="68" t="inlineStr">
        <is>
          <t>öffentlich</t>
        </is>
      </c>
      <c r="I81" s="71" t="inlineStr">
        <is>
          <t>belegt</t>
        </is>
      </c>
      <c r="J81" s="75" t="inlineStr">
        <is>
          <t>n. a.</t>
        </is>
      </c>
      <c r="K81" s="75" t="inlineStr">
        <is>
          <t>n. a.</t>
        </is>
      </c>
      <c r="L81" s="68" t="inlineStr">
        <is>
          <t>Schutzobjekte, Erhaltungs- und Gestaltungsauflagen</t>
        </is>
      </c>
      <c r="M81" s="72" t="inlineStr">
        <is>
          <t>https://oereblex.bl.ch/api/attachments/22718</t>
        </is>
      </c>
      <c r="N81" s="69" t="inlineStr">
        <is>
          <t>Kataster · ungetestet</t>
        </is>
      </c>
      <c r="O81" s="68" t="inlineStr">
        <is>
          <t>Katalog · hoch</t>
        </is>
      </c>
      <c r="P81" s="68" t="inlineStr">
        <is>
          <t>Link identisch mit Zonenvorschriften → Inhalt einzeln verifizieren</t>
        </is>
      </c>
      <c r="Q81" s="68" t="n"/>
    </row>
    <row r="82" outlineLevel="1" ht="22.35" customHeight="1" s="45">
      <c r="A82" s="68" t="inlineStr">
        <is>
          <t>Gde Münchenstein</t>
        </is>
      </c>
      <c r="B82" s="69" t="inlineStr">
        <is>
          <t>Q6</t>
        </is>
      </c>
      <c r="C82" s="68" t="inlineStr">
        <is>
          <t>Reglement</t>
        </is>
      </c>
      <c r="D82" s="70" t="inlineStr">
        <is>
          <t>Gemeindeordnung / Finanzhaushalt- und Beschaffungsreglement</t>
        </is>
      </c>
      <c r="E82" s="68" t="inlineStr">
        <is>
          <t>–</t>
        </is>
      </c>
      <c r="F82" s="68" t="inlineStr">
        <is>
          <t>–</t>
        </is>
      </c>
      <c r="G82" s="68" t="inlineStr">
        <is>
          <t>Gde Münchenstein</t>
        </is>
      </c>
      <c r="H82" s="68" t="inlineStr">
        <is>
          <t>öffentlich</t>
        </is>
      </c>
      <c r="I82" s="76" t="inlineStr">
        <is>
          <t>nicht belegt (Recherche offen)</t>
        </is>
      </c>
      <c r="J82" s="75" t="inlineStr">
        <is>
          <t>n. a.</t>
        </is>
      </c>
      <c r="K82" s="75" t="inlineStr">
        <is>
          <t>n. a.</t>
        </is>
      </c>
      <c r="L82" s="68" t="inlineStr">
        <is>
          <t>Ausgaben-/Vertragskompetenzen, kommunale Vergaberegeln</t>
        </is>
      </c>
      <c r="M82" s="72" t="inlineStr">
        <is>
          <t>https://www.muenchenstein.ch</t>
        </is>
      </c>
      <c r="N82" s="73" t="inlineStr">
        <is>
          <t>Einstiegsseite · ungetestet</t>
        </is>
      </c>
      <c r="O82" s="68" t="inlineStr">
        <is>
          <t>Ergänzung · tief</t>
        </is>
      </c>
      <c r="P82" s="68" t="inlineStr">
        <is>
          <t>Im Katalog nicht belegt</t>
        </is>
      </c>
      <c r="Q82" s="68" t="inlineStr">
        <is>
          <t>Q-Bearbeitung: Website/Gesetzessammlung der Gemeinde; falls ohne Treffer → Datenanfrage Gemeinde</t>
        </is>
      </c>
    </row>
    <row r="83" ht="19.5" customHeight="1" s="45">
      <c r="A83" s="66" t="inlineStr">
        <is>
          <t>GEMEINDE WIL (SG)</t>
        </is>
      </c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</row>
    <row r="84" outlineLevel="1" ht="22.35" customHeight="1" s="45">
      <c r="A84" s="68" t="inlineStr">
        <is>
          <t>Gde Wil</t>
        </is>
      </c>
      <c r="B84" s="69" t="inlineStr">
        <is>
          <t>Q1</t>
        </is>
      </c>
      <c r="C84" s="68" t="inlineStr">
        <is>
          <t>Plan</t>
        </is>
      </c>
      <c r="D84" s="70" t="inlineStr">
        <is>
          <t>Zonenplan</t>
        </is>
      </c>
      <c r="E84" s="68" t="inlineStr">
        <is>
          <t>–</t>
        </is>
      </c>
      <c r="F84" s="68" t="inlineStr">
        <is>
          <t>Katalog: kein Stand</t>
        </is>
      </c>
      <c r="G84" s="68" t="inlineStr">
        <is>
          <t>Gde Wil</t>
        </is>
      </c>
      <c r="H84" s="68" t="inlineStr">
        <is>
          <t>öffentlich</t>
        </is>
      </c>
      <c r="I84" s="75" t="inlineStr">
        <is>
          <t>n. a.</t>
        </is>
      </c>
      <c r="J84" s="71" t="inlineStr">
        <is>
          <t>belegt</t>
        </is>
      </c>
      <c r="K84" s="75" t="inlineStr">
        <is>
          <t>n. a.</t>
        </is>
      </c>
      <c r="L84" s="68" t="inlineStr">
        <is>
          <t>Bauweise, Abstände, Höhen, Nutzungsvorgaben</t>
        </is>
      </c>
      <c r="M84" s="72" t="inlineStr">
        <is>
          <t>https://www.geoportal.ch/wil_sg/map/101?y=2719905.16&amp;x=1258486.88&amp;scale=25000&amp;rotation=0</t>
        </is>
      </c>
      <c r="N84" s="69" t="inlineStr">
        <is>
          <t>Kataster · ungetestet</t>
        </is>
      </c>
      <c r="O84" s="68" t="inlineStr">
        <is>
          <t>Katalog · hoch</t>
        </is>
      </c>
      <c r="P84" s="68" t="inlineStr">
        <is>
          <t>Stand/Rechtskraft ergänzen</t>
        </is>
      </c>
      <c r="Q84" s="68" t="n"/>
    </row>
    <row r="85" outlineLevel="1" ht="22.35" customHeight="1" s="45">
      <c r="A85" s="68" t="inlineStr">
        <is>
          <t>Gde Wil</t>
        </is>
      </c>
      <c r="B85" s="69" t="inlineStr">
        <is>
          <t>Q1</t>
        </is>
      </c>
      <c r="C85" s="68" t="inlineStr">
        <is>
          <t>Reglement</t>
        </is>
      </c>
      <c r="D85" s="70" t="inlineStr">
        <is>
          <t>Baureglement Stadt Wil</t>
        </is>
      </c>
      <c r="E85" s="68" t="inlineStr">
        <is>
          <t>SRS 7.1-1</t>
        </is>
      </c>
      <c r="F85" s="68" t="inlineStr">
        <is>
          <t>01.03.2021</t>
        </is>
      </c>
      <c r="G85" s="68" t="inlineStr">
        <is>
          <t>Gde Wil</t>
        </is>
      </c>
      <c r="H85" s="68" t="inlineStr">
        <is>
          <t>öffentlich</t>
        </is>
      </c>
      <c r="I85" s="75" t="inlineStr">
        <is>
          <t>n. a.</t>
        </is>
      </c>
      <c r="J85" s="71" t="inlineStr">
        <is>
          <t>belegt</t>
        </is>
      </c>
      <c r="K85" s="75" t="inlineStr">
        <is>
          <t>n. a.</t>
        </is>
      </c>
      <c r="L85" s="68" t="inlineStr">
        <is>
          <t>Bauweise, Abstände, Höhen, Nutzungsvorgaben</t>
        </is>
      </c>
      <c r="M85" s="72" t="inlineStr">
        <is>
          <t>https://wil-sg.tlex.ch/app/de/texts_of_law/7.1-1</t>
        </is>
      </c>
      <c r="N85" s="69" t="inlineStr">
        <is>
          <t>Kataster · ungetestet</t>
        </is>
      </c>
      <c r="O85" s="68" t="inlineStr">
        <is>
          <t>Katalog · hoch</t>
        </is>
      </c>
      <c r="P85" s="68" t="n"/>
      <c r="Q85" s="68" t="n"/>
    </row>
    <row r="86" outlineLevel="1" ht="22.35" customHeight="1" s="45">
      <c r="A86" s="68" t="inlineStr">
        <is>
          <t>Gde Wil</t>
        </is>
      </c>
      <c r="B86" s="69" t="inlineStr">
        <is>
          <t>Q2 / Q5</t>
        </is>
      </c>
      <c r="C86" s="68" t="inlineStr">
        <is>
          <t>Reglement</t>
        </is>
      </c>
      <c r="D86" s="70" t="inlineStr">
        <is>
          <t>Reglement zur Schutzverordnung</t>
        </is>
      </c>
      <c r="E86" s="68" t="inlineStr">
        <is>
          <t>–</t>
        </is>
      </c>
      <c r="F86" s="68" t="inlineStr">
        <is>
          <t>31.08.2022</t>
        </is>
      </c>
      <c r="G86" s="68" t="inlineStr">
        <is>
          <t>Gde Wil (Katalog: «Wil + St. Gallen»)</t>
        </is>
      </c>
      <c r="H86" s="68" t="inlineStr">
        <is>
          <t>öffentlich</t>
        </is>
      </c>
      <c r="I86" s="75" t="inlineStr">
        <is>
          <t>n. a.</t>
        </is>
      </c>
      <c r="J86" s="71" t="inlineStr">
        <is>
          <t>belegt</t>
        </is>
      </c>
      <c r="K86" s="75" t="inlineStr">
        <is>
          <t>n. a.</t>
        </is>
      </c>
      <c r="L86" s="68" t="inlineStr">
        <is>
          <t>Schutzflächen, Gewässerräume, Grünstrukturen; Schutzobjekte, Gestaltungsauflagen</t>
        </is>
      </c>
      <c r="M86" s="72" t="inlineStr">
        <is>
          <t>https://cms.e-mitwirkung.ch/media/wil/Reglement_221013.pdf</t>
        </is>
      </c>
      <c r="N86" s="69" t="inlineStr">
        <is>
          <t>Kataster · ungetestet</t>
        </is>
      </c>
      <c r="O86" s="68" t="inlineStr">
        <is>
          <t>Katalog · hoch</t>
        </is>
      </c>
      <c r="P86" s="68" t="inlineStr">
        <is>
          <t>Zuständigkeit «Wil + St. Gallen» klären (Genehmigung Kanton?)</t>
        </is>
      </c>
      <c r="Q86" s="68" t="n"/>
    </row>
    <row r="87" outlineLevel="1" ht="22.35" customHeight="1" s="45">
      <c r="A87" s="68" t="inlineStr">
        <is>
          <t>Gde Wil</t>
        </is>
      </c>
      <c r="B87" s="69" t="inlineStr">
        <is>
          <t>Q3</t>
        </is>
      </c>
      <c r="C87" s="68" t="inlineStr">
        <is>
          <t>Reglement</t>
        </is>
      </c>
      <c r="D87" s="70" t="inlineStr">
        <is>
          <t>Kommunale Energieplanung / Wärmeversorgung</t>
        </is>
      </c>
      <c r="E87" s="68" t="inlineStr">
        <is>
          <t>SRS 7.1-1</t>
        </is>
      </c>
      <c r="F87" s="68" t="inlineStr">
        <is>
          <t>01.03.2021</t>
        </is>
      </c>
      <c r="G87" s="68" t="inlineStr">
        <is>
          <t>Gde Wil</t>
        </is>
      </c>
      <c r="H87" s="68" t="inlineStr">
        <is>
          <t>öffentlich</t>
        </is>
      </c>
      <c r="I87" s="75" t="inlineStr">
        <is>
          <t>n. a.</t>
        </is>
      </c>
      <c r="J87" s="71" t="inlineStr">
        <is>
          <t>belegt</t>
        </is>
      </c>
      <c r="K87" s="75" t="inlineStr">
        <is>
          <t>n. a.</t>
        </is>
      </c>
      <c r="L87" s="68" t="inlineStr">
        <is>
          <t>Allfällige Anschluss-/Versorgungsregeln</t>
        </is>
      </c>
      <c r="M87" s="72" t="inlineStr">
        <is>
          <t>https://wil-sg.tlex.ch/app/de/texts_of_law/7.1-1</t>
        </is>
      </c>
      <c r="N87" s="69" t="inlineStr">
        <is>
          <t>Kataster · ungetestet</t>
        </is>
      </c>
      <c r="O87" s="68" t="inlineStr">
        <is>
          <t>Katalog · hoch</t>
        </is>
      </c>
      <c r="P87" s="68" t="inlineStr">
        <is>
          <t>Link identisch mit Baureglement → Inhalt verifizieren</t>
        </is>
      </c>
      <c r="Q87" s="68" t="n"/>
    </row>
    <row r="88" outlineLevel="1" ht="22.35" customHeight="1" s="45">
      <c r="A88" s="68" t="inlineStr">
        <is>
          <t>Gde Wil</t>
        </is>
      </c>
      <c r="B88" s="69" t="inlineStr">
        <is>
          <t>Q4</t>
        </is>
      </c>
      <c r="C88" s="68" t="inlineStr">
        <is>
          <t>Reglement</t>
        </is>
      </c>
      <c r="D88" s="70" t="inlineStr">
        <is>
          <t>Abwasserreglement</t>
        </is>
      </c>
      <c r="E88" s="68" t="inlineStr">
        <is>
          <t>–</t>
        </is>
      </c>
      <c r="F88" s="68" t="inlineStr">
        <is>
          <t>Katalog: kein Stand</t>
        </is>
      </c>
      <c r="G88" s="68" t="inlineStr">
        <is>
          <t>Gde Wil</t>
        </is>
      </c>
      <c r="H88" s="68" t="inlineStr">
        <is>
          <t>öffentlich</t>
        </is>
      </c>
      <c r="I88" s="75" t="inlineStr">
        <is>
          <t>n. a.</t>
        </is>
      </c>
      <c r="J88" s="71" t="inlineStr">
        <is>
          <t>belegt</t>
        </is>
      </c>
      <c r="K88" s="75" t="inlineStr">
        <is>
          <t>n. a.</t>
        </is>
      </c>
      <c r="L88" s="68" t="inlineStr">
        <is>
          <t>Entwässerungs- und Retentionsanforderungen</t>
        </is>
      </c>
      <c r="M88" s="72" t="inlineStr">
        <is>
          <t>https://www.stadtwil.ch/storage/8ae27a52e6272acbe7a00ddad257f439fbae9a367f80166a75d97ea28f6771cf</t>
        </is>
      </c>
      <c r="N88" s="69" t="inlineStr">
        <is>
          <t>Kataster · ungetestet</t>
        </is>
      </c>
      <c r="O88" s="68" t="inlineStr">
        <is>
          <t>Katalog · hoch</t>
        </is>
      </c>
      <c r="P88" s="68" t="inlineStr">
        <is>
          <t>Stand ergänzen</t>
        </is>
      </c>
      <c r="Q88" s="68" t="n"/>
    </row>
    <row r="89" outlineLevel="1" ht="22.35" customHeight="1" s="45">
      <c r="A89" s="68" t="inlineStr">
        <is>
          <t>Gde Wil</t>
        </is>
      </c>
      <c r="B89" s="69" t="inlineStr">
        <is>
          <t>Q6</t>
        </is>
      </c>
      <c r="C89" s="68" t="inlineStr">
        <is>
          <t>Reglement</t>
        </is>
      </c>
      <c r="D89" s="70" t="inlineStr">
        <is>
          <t>Reglement über die Ausgaben- und Vertragskompetenzen der Departemente und Dienststellen</t>
        </is>
      </c>
      <c r="E89" s="68" t="inlineStr">
        <is>
          <t>SRS 1.6-4</t>
        </is>
      </c>
      <c r="F89" s="68" t="inlineStr">
        <is>
          <t>Katalog: kein Stand</t>
        </is>
      </c>
      <c r="G89" s="68" t="inlineStr">
        <is>
          <t>Gde Wil</t>
        </is>
      </c>
      <c r="H89" s="68" t="inlineStr">
        <is>
          <t>öffentlich</t>
        </is>
      </c>
      <c r="I89" s="75" t="inlineStr">
        <is>
          <t>n. a.</t>
        </is>
      </c>
      <c r="J89" s="71" t="inlineStr">
        <is>
          <t>belegt</t>
        </is>
      </c>
      <c r="K89" s="75" t="inlineStr">
        <is>
          <t>n. a.</t>
        </is>
      </c>
      <c r="L89" s="68" t="inlineStr">
        <is>
          <t>Lebenszykluskosten und Verantwortlichkeiten projektspezifisch festlegen</t>
        </is>
      </c>
      <c r="M89" s="72" t="inlineStr">
        <is>
          <t>https://wil-sg.tlex.ch/app/de/texts_of_law/1.6-4</t>
        </is>
      </c>
      <c r="N89" s="69" t="inlineStr">
        <is>
          <t>Kataster · ungetestet</t>
        </is>
      </c>
      <c r="O89" s="68" t="inlineStr">
        <is>
          <t>Katalog · hoch</t>
        </is>
      </c>
      <c r="P89" s="68" t="n"/>
      <c r="Q89" s="68" t="n"/>
    </row>
    <row r="90" ht="19.5" customHeight="1" s="45">
      <c r="A90" s="66" t="inlineStr">
        <is>
          <t>GEMEINDE SEELISBERG (UR)</t>
        </is>
      </c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</row>
    <row r="91" outlineLevel="1" ht="32.8" customHeight="1" s="45">
      <c r="A91" s="68" t="inlineStr">
        <is>
          <t>Gde Seelisberg</t>
        </is>
      </c>
      <c r="B91" s="69" t="inlineStr">
        <is>
          <t>Q1</t>
        </is>
      </c>
      <c r="C91" s="68" t="inlineStr">
        <is>
          <t>Reglement</t>
        </is>
      </c>
      <c r="D91" s="70" t="inlineStr">
        <is>
          <t>Bau- und Zonenordnung (BZO) Seelisberg</t>
        </is>
      </c>
      <c r="E91" s="68" t="inlineStr">
        <is>
          <t>–</t>
        </is>
      </c>
      <c r="F91" s="68" t="inlineStr">
        <is>
          <t>01.01.2015</t>
        </is>
      </c>
      <c r="G91" s="68" t="inlineStr">
        <is>
          <t>Gde Seelisberg</t>
        </is>
      </c>
      <c r="H91" s="68" t="inlineStr">
        <is>
          <t>öffentlich</t>
        </is>
      </c>
      <c r="I91" s="75" t="inlineStr">
        <is>
          <t>n. a.</t>
        </is>
      </c>
      <c r="J91" s="75" t="inlineStr">
        <is>
          <t>n. a.</t>
        </is>
      </c>
      <c r="K91" s="71" t="inlineStr">
        <is>
          <t>belegt</t>
        </is>
      </c>
      <c r="L91" s="68" t="inlineStr">
        <is>
          <t>Art. 5–7 Nutzungsplan; Art. 8a Kernzone Sonnenberg (Quartiergestaltungsplanpflicht); Art. 20–23 Schutz; Art. 24 Gefahrenzonen; Art. 26a Quartier-/Gestaltungsplanpflicht</t>
        </is>
      </c>
      <c r="M91" s="72" t="inlineStr">
        <is>
          <t>https://www.seelisberg.ch/files/pdf/Bau-und-Zonenordnung-Seelisberg.pdf</t>
        </is>
      </c>
      <c r="N91" s="69" t="inlineStr">
        <is>
          <t>Kataster · ungetestet</t>
        </is>
      </c>
      <c r="O91" s="68" t="inlineStr">
        <is>
          <t>Katalog · hoch</t>
        </is>
      </c>
      <c r="P91" s="68" t="inlineStr">
        <is>
          <t>Revisionsstand prüfen (Zonenplan 2026 jünger als BZO 2015)</t>
        </is>
      </c>
      <c r="Q91" s="68" t="n"/>
    </row>
    <row r="92" outlineLevel="1" ht="22.35" customHeight="1" s="45">
      <c r="A92" s="68" t="inlineStr">
        <is>
          <t>Gde Seelisberg</t>
        </is>
      </c>
      <c r="B92" s="69" t="inlineStr">
        <is>
          <t>Q1</t>
        </is>
      </c>
      <c r="C92" s="68" t="inlineStr">
        <is>
          <t>Plan</t>
        </is>
      </c>
      <c r="D92" s="70" t="inlineStr">
        <is>
          <t>Rechtskräftiger Zonenplan / Nutzungsplanung</t>
        </is>
      </c>
      <c r="E92" s="68" t="inlineStr">
        <is>
          <t>–</t>
        </is>
      </c>
      <c r="F92" s="68" t="inlineStr">
        <is>
          <t>08.01.2026</t>
        </is>
      </c>
      <c r="G92" s="68" t="inlineStr">
        <is>
          <t>Gde Seelisberg</t>
        </is>
      </c>
      <c r="H92" s="68" t="inlineStr">
        <is>
          <t>öffentlich</t>
        </is>
      </c>
      <c r="I92" s="75" t="inlineStr">
        <is>
          <t>n. a.</t>
        </is>
      </c>
      <c r="J92" s="75" t="inlineStr">
        <is>
          <t>n. a.</t>
        </is>
      </c>
      <c r="K92" s="71" t="inlineStr">
        <is>
          <t>belegt</t>
        </is>
      </c>
      <c r="L92" s="68" t="inlineStr">
        <is>
          <t>Zulässige Nutzungen, Zonen, Sondernutzungen</t>
        </is>
      </c>
      <c r="M92" s="72" t="inlineStr">
        <is>
          <t>https://geo.ur.ch/</t>
        </is>
      </c>
      <c r="N92" s="69" t="inlineStr">
        <is>
          <t>Kataster · ungetestet</t>
        </is>
      </c>
      <c r="O92" s="68" t="inlineStr">
        <is>
          <t>Katalog · hoch</t>
        </is>
      </c>
      <c r="P92" s="68" t="inlineStr">
        <is>
          <t>Katalog-Link = geo.ur.ch (Kartenviewer mit Layern)</t>
        </is>
      </c>
      <c r="Q92" s="68" t="n"/>
    </row>
    <row r="93" outlineLevel="1" ht="22.35" customHeight="1" s="45">
      <c r="A93" s="68" t="inlineStr">
        <is>
          <t>Gde Seelisberg</t>
        </is>
      </c>
      <c r="B93" s="69" t="inlineStr">
        <is>
          <t>Q2</t>
        </is>
      </c>
      <c r="C93" s="68" t="inlineStr">
        <is>
          <t>Inventar</t>
        </is>
      </c>
      <c r="D93" s="70" t="inlineStr">
        <is>
          <t>Kommunales Schutzinventar (Inventarliste Seelisberg)</t>
        </is>
      </c>
      <c r="E93" s="68" t="inlineStr">
        <is>
          <t>–</t>
        </is>
      </c>
      <c r="F93" s="68" t="inlineStr">
        <is>
          <t>20.12.2022</t>
        </is>
      </c>
      <c r="G93" s="68" t="inlineStr">
        <is>
          <t>Gde Seelisberg</t>
        </is>
      </c>
      <c r="H93" s="68" t="inlineStr">
        <is>
          <t>öffentlich</t>
        </is>
      </c>
      <c r="I93" s="75" t="inlineStr">
        <is>
          <t>n. a.</t>
        </is>
      </c>
      <c r="J93" s="75" t="inlineStr">
        <is>
          <t>n. a.</t>
        </is>
      </c>
      <c r="K93" s="71" t="inlineStr">
        <is>
          <t>belegt</t>
        </is>
      </c>
      <c r="L93" s="68" t="inlineStr">
        <is>
          <t>Schutzflächen, Gewässerräume, Grünstrukturen</t>
        </is>
      </c>
      <c r="M93" s="72" t="inlineStr">
        <is>
          <t>https://www.ur.ch/_docn/385540/Inventarliste_Seelisberg_Website.pdf</t>
        </is>
      </c>
      <c r="N93" s="69" t="inlineStr">
        <is>
          <t>Kataster · ungetestet</t>
        </is>
      </c>
      <c r="O93" s="68" t="inlineStr">
        <is>
          <t>Katalog · hoch</t>
        </is>
      </c>
      <c r="P93" s="68" t="n"/>
      <c r="Q93" s="68" t="n"/>
    </row>
    <row r="94" outlineLevel="1" ht="22.35" customHeight="1" s="45">
      <c r="A94" s="68" t="inlineStr">
        <is>
          <t>Gde Seelisberg</t>
        </is>
      </c>
      <c r="B94" s="69" t="inlineStr">
        <is>
          <t>Q3</t>
        </is>
      </c>
      <c r="C94" s="68" t="inlineStr">
        <is>
          <t>Reglement</t>
        </is>
      </c>
      <c r="D94" s="70" t="inlineStr">
        <is>
          <t>Kommunale Energie-/Klimavorgaben</t>
        </is>
      </c>
      <c r="E94" s="68" t="inlineStr">
        <is>
          <t>–</t>
        </is>
      </c>
      <c r="F94" s="68" t="inlineStr">
        <is>
          <t>–</t>
        </is>
      </c>
      <c r="G94" s="68" t="inlineStr">
        <is>
          <t>Gde Seelisberg</t>
        </is>
      </c>
      <c r="H94" s="68" t="inlineStr">
        <is>
          <t>öffentlich</t>
        </is>
      </c>
      <c r="I94" s="75" t="inlineStr">
        <is>
          <t>n. a.</t>
        </is>
      </c>
      <c r="J94" s="75" t="inlineStr">
        <is>
          <t>n. a.</t>
        </is>
      </c>
      <c r="K94" s="76" t="inlineStr">
        <is>
          <t>nicht belegt (Recherche offen)</t>
        </is>
      </c>
      <c r="L94" s="68" t="inlineStr">
        <is>
          <t>Im Katalog keine Gemeindeebene für Q3</t>
        </is>
      </c>
      <c r="M94" s="72" t="inlineStr">
        <is>
          <t>https://www.seelisberg.ch</t>
        </is>
      </c>
      <c r="N94" s="73" t="inlineStr">
        <is>
          <t>Einstiegsseite · ungetestet</t>
        </is>
      </c>
      <c r="O94" s="68" t="inlineStr">
        <is>
          <t>Ergänzung · tief</t>
        </is>
      </c>
      <c r="P94" s="68" t="n"/>
      <c r="Q94" s="68" t="inlineStr">
        <is>
          <t>Q-Bearbeitung: Website/Gesetzessammlung der Gemeinde; falls ohne Treffer → Datenanfrage Gemeinde</t>
        </is>
      </c>
    </row>
    <row r="95" outlineLevel="1" ht="22.35" customHeight="1" s="45">
      <c r="A95" s="68" t="inlineStr">
        <is>
          <t>Gde Seelisberg</t>
        </is>
      </c>
      <c r="B95" s="69" t="inlineStr">
        <is>
          <t>Q4</t>
        </is>
      </c>
      <c r="C95" s="68" t="inlineStr">
        <is>
          <t>Verordnung</t>
        </is>
      </c>
      <c r="D95" s="70" t="inlineStr">
        <is>
          <t>Verordnung über die Wasserversorgung</t>
        </is>
      </c>
      <c r="E95" s="68" t="inlineStr">
        <is>
          <t>–</t>
        </is>
      </c>
      <c r="F95" s="68" t="inlineStr">
        <is>
          <t>01.01.2020</t>
        </is>
      </c>
      <c r="G95" s="68" t="inlineStr">
        <is>
          <t>Gde Seelisberg</t>
        </is>
      </c>
      <c r="H95" s="68" t="inlineStr">
        <is>
          <t>öffentlich</t>
        </is>
      </c>
      <c r="I95" s="75" t="inlineStr">
        <is>
          <t>n. a.</t>
        </is>
      </c>
      <c r="J95" s="75" t="inlineStr">
        <is>
          <t>n. a.</t>
        </is>
      </c>
      <c r="K95" s="71" t="inlineStr">
        <is>
          <t>belegt</t>
        </is>
      </c>
      <c r="L95" s="68" t="inlineStr">
        <is>
          <t>Entwässerungs-/Retentionsanforderungen standortbezogen klären</t>
        </is>
      </c>
      <c r="M95" s="72" t="inlineStr">
        <is>
          <t>https://www.seelisberg.ch/files/pdf/Verordnung_%C3%BCber_die_Wasserversorgung.pdf</t>
        </is>
      </c>
      <c r="N95" s="69" t="inlineStr">
        <is>
          <t>Kataster · ungetestet</t>
        </is>
      </c>
      <c r="O95" s="68" t="inlineStr">
        <is>
          <t>Katalog · hoch</t>
        </is>
      </c>
      <c r="P95" s="68" t="inlineStr">
        <is>
          <t>Inhaltlich Wasserversorgung, nicht Entwässerung/Retention → Abwasserreglement/GEP fehlt</t>
        </is>
      </c>
      <c r="Q95" s="68" t="n"/>
    </row>
    <row r="96" outlineLevel="1" ht="22.35" customHeight="1" s="45">
      <c r="A96" s="68" t="inlineStr">
        <is>
          <t>Gde Seelisberg</t>
        </is>
      </c>
      <c r="B96" s="69" t="inlineStr">
        <is>
          <t>Q5</t>
        </is>
      </c>
      <c r="C96" s="68" t="inlineStr">
        <is>
          <t>Verordnung</t>
        </is>
      </c>
      <c r="D96" s="70" t="inlineStr">
        <is>
          <t>Kommunale Schutzverordnung / Ortsbildvorgaben</t>
        </is>
      </c>
      <c r="E96" s="68" t="inlineStr">
        <is>
          <t>–</t>
        </is>
      </c>
      <c r="F96" s="68" t="inlineStr">
        <is>
          <t>18.02.2025</t>
        </is>
      </c>
      <c r="G96" s="68" t="inlineStr">
        <is>
          <t>Gde Seelisberg</t>
        </is>
      </c>
      <c r="H96" s="68" t="inlineStr">
        <is>
          <t>öffentlich</t>
        </is>
      </c>
      <c r="I96" s="75" t="inlineStr">
        <is>
          <t>n. a.</t>
        </is>
      </c>
      <c r="J96" s="75" t="inlineStr">
        <is>
          <t>n. a.</t>
        </is>
      </c>
      <c r="K96" s="71" t="inlineStr">
        <is>
          <t>belegt</t>
        </is>
      </c>
      <c r="L96" s="68" t="inlineStr">
        <is>
          <t>Schutzobjekte, Erhaltungs- und Gestaltungsauflagen</t>
        </is>
      </c>
      <c r="M96" s="72" t="inlineStr">
        <is>
          <t>https://www.seelisberg.ch/files/pdf/Bau-und-Zonenordnung-Seelisberg.pdf</t>
        </is>
      </c>
      <c r="N96" s="69" t="inlineStr">
        <is>
          <t>Kataster · ungetestet</t>
        </is>
      </c>
      <c r="O96" s="68" t="inlineStr">
        <is>
          <t>Katalog · hoch</t>
        </is>
      </c>
      <c r="P96" s="68" t="inlineStr">
        <is>
          <t>Link = BZO (Stand 2015) vs. Datum 2025 → Widerspruch klären</t>
        </is>
      </c>
      <c r="Q96" s="68" t="n"/>
    </row>
    <row r="97" outlineLevel="1" ht="22.35" customHeight="1" s="45">
      <c r="A97" s="68" t="inlineStr">
        <is>
          <t>Gde Seelisberg</t>
        </is>
      </c>
      <c r="B97" s="69" t="inlineStr">
        <is>
          <t>Q6</t>
        </is>
      </c>
      <c r="C97" s="68" t="inlineStr">
        <is>
          <t>Reglement</t>
        </is>
      </c>
      <c r="D97" s="70" t="inlineStr">
        <is>
          <t>Gemeindeordnung / Finanzhaushalt- und Beschaffungsreglement</t>
        </is>
      </c>
      <c r="E97" s="68" t="inlineStr">
        <is>
          <t>–</t>
        </is>
      </c>
      <c r="F97" s="68" t="inlineStr">
        <is>
          <t>–</t>
        </is>
      </c>
      <c r="G97" s="68" t="inlineStr">
        <is>
          <t>Gde Seelisberg</t>
        </is>
      </c>
      <c r="H97" s="68" t="inlineStr">
        <is>
          <t>öffentlich</t>
        </is>
      </c>
      <c r="I97" s="75" t="inlineStr">
        <is>
          <t>n. a.</t>
        </is>
      </c>
      <c r="J97" s="75" t="inlineStr">
        <is>
          <t>n. a.</t>
        </is>
      </c>
      <c r="K97" s="76" t="inlineStr">
        <is>
          <t>nicht belegt (Recherche offen)</t>
        </is>
      </c>
      <c r="L97" s="68" t="inlineStr">
        <is>
          <t>Ausgaben-/Vertragskompetenzen, kommunale Vergaberegeln</t>
        </is>
      </c>
      <c r="M97" s="72" t="inlineStr">
        <is>
          <t>https://www.seelisberg.ch</t>
        </is>
      </c>
      <c r="N97" s="73" t="inlineStr">
        <is>
          <t>Einstiegsseite · ungetestet</t>
        </is>
      </c>
      <c r="O97" s="68" t="inlineStr">
        <is>
          <t>Ergänzung · tief</t>
        </is>
      </c>
      <c r="P97" s="68" t="inlineStr">
        <is>
          <t>Im Katalog nicht belegt</t>
        </is>
      </c>
      <c r="Q97" s="68" t="inlineStr">
        <is>
          <t>Q-Bearbeitung: Website/Gesetzessammlung der Gemeinde; falls ohne Treffer → Datenanfrage Gemeinde</t>
        </is>
      </c>
    </row>
  </sheetData>
  <autoFilter ref="A5:Q97"/>
  <hyperlinks>
    <hyperlink xmlns:r="http://schemas.openxmlformats.org/officeDocument/2006/relationships" ref="M7" display="https://www.fedlex.admin.ch/eli/cc/1999/404/de" r:id="rId1"/>
    <hyperlink xmlns:r="http://schemas.openxmlformats.org/officeDocument/2006/relationships" ref="M8" display="https://www.fedlex.admin.ch/eli/cc/1979/1573_1573_1573/de" r:id="rId2"/>
    <hyperlink xmlns:r="http://schemas.openxmlformats.org/officeDocument/2006/relationships" ref="M9" display="https://www.fedlex.admin.ch/eli/cc/2000/310/de" r:id="rId3"/>
    <hyperlink xmlns:r="http://schemas.openxmlformats.org/officeDocument/2006/relationships" ref="M10" display="https://www.fedlex.admin.ch/eli/cc/2015/886/de" r:id="rId4"/>
    <hyperlink xmlns:r="http://schemas.openxmlformats.org/officeDocument/2006/relationships" ref="M11" display="https://www.are.admin.ch" r:id="rId5"/>
    <hyperlink xmlns:r="http://schemas.openxmlformats.org/officeDocument/2006/relationships" ref="M12" display="https://www.fedlex.admin.ch/eli/cc/1966/1637_1694_1679/de" r:id="rId6"/>
    <hyperlink xmlns:r="http://schemas.openxmlformats.org/officeDocument/2006/relationships" ref="M13" display="https://www.fedlex.admin.ch/eli/cc/1991/249_249_249/de" r:id="rId7"/>
    <hyperlink xmlns:r="http://schemas.openxmlformats.org/officeDocument/2006/relationships" ref="M14" display="https://www.bafu.admin.ch" r:id="rId8"/>
    <hyperlink xmlns:r="http://schemas.openxmlformats.org/officeDocument/2006/relationships" ref="M15" display="https://www.bak.admin.ch" r:id="rId9"/>
    <hyperlink xmlns:r="http://schemas.openxmlformats.org/officeDocument/2006/relationships" ref="M16" display="https://www.astra.admin.ch" r:id="rId10"/>
    <hyperlink xmlns:r="http://schemas.openxmlformats.org/officeDocument/2006/relationships" ref="M17" display="https://www.bafu.admin.ch" r:id="rId11"/>
    <hyperlink xmlns:r="http://schemas.openxmlformats.org/officeDocument/2006/relationships" ref="M18" display="https://www.bafu.admin.ch" r:id="rId12"/>
    <hyperlink xmlns:r="http://schemas.openxmlformats.org/officeDocument/2006/relationships" ref="M19" display="https://www.bafu.admin.ch" r:id="rId13"/>
    <hyperlink xmlns:r="http://schemas.openxmlformats.org/officeDocument/2006/relationships" ref="M20" display="https://www.bafu.admin.ch" r:id="rId14"/>
    <hyperlink xmlns:r="http://schemas.openxmlformats.org/officeDocument/2006/relationships" ref="M21" display="https://www.bafu.admin.ch" r:id="rId15"/>
    <hyperlink xmlns:r="http://schemas.openxmlformats.org/officeDocument/2006/relationships" ref="M22" display="https://www.bafu.admin.ch" r:id="rId16"/>
    <hyperlink xmlns:r="http://schemas.openxmlformats.org/officeDocument/2006/relationships" ref="M23" display="https://www.bafu.admin.ch" r:id="rId17"/>
    <hyperlink xmlns:r="http://schemas.openxmlformats.org/officeDocument/2006/relationships" ref="M24" display="https://www.fedlex.admin.ch/eli/cc/1992/1860_1860_1860/de" r:id="rId18"/>
    <hyperlink xmlns:r="http://schemas.openxmlformats.org/officeDocument/2006/relationships" ref="M25" display="https://www.fedlex.admin.ch/eli/cc/1998/2863_2863_2863/de" r:id="rId19"/>
    <hyperlink xmlns:r="http://schemas.openxmlformats.org/officeDocument/2006/relationships" ref="M26" display="https://www.fedlex.admin.ch/eli/cc/1992/2521_2521_2521/de" r:id="rId20"/>
    <hyperlink xmlns:r="http://schemas.openxmlformats.org/officeDocument/2006/relationships" ref="M27" display="https://www.bafu.admin.ch" r:id="rId21"/>
    <hyperlink xmlns:r="http://schemas.openxmlformats.org/officeDocument/2006/relationships" ref="M28" display="https://www.fedlex.admin.ch/eli/cc/1988/506_506_506/de" r:id="rId22"/>
    <hyperlink xmlns:r="http://schemas.openxmlformats.org/officeDocument/2006/relationships" ref="M29" display="https://www.bafu.admin.ch" r:id="rId23"/>
    <hyperlink xmlns:r="http://schemas.openxmlformats.org/officeDocument/2006/relationships" ref="M30" display="https://www.fedlex.admin.ch/eli/cc/1984/1122_1122_1122/de" r:id="rId24"/>
    <hyperlink xmlns:r="http://schemas.openxmlformats.org/officeDocument/2006/relationships" ref="M31" display="https://www.fedlex.admin.ch/eli/cc/2017/762/de" r:id="rId25"/>
    <hyperlink xmlns:r="http://schemas.openxmlformats.org/officeDocument/2006/relationships" ref="M32" display="https://www.fedlex.admin.ch/eli/cc/2017/763/de" r:id="rId26"/>
    <hyperlink xmlns:r="http://schemas.openxmlformats.org/officeDocument/2006/relationships" ref="M33" display="https://www.fedlex.admin.ch/eli/cc/2012/855/de" r:id="rId27"/>
    <hyperlink xmlns:r="http://schemas.openxmlformats.org/officeDocument/2006/relationships" ref="M34" display="https://www.fedlex.admin.ch/eli/cc/2012/856/de" r:id="rId28"/>
    <hyperlink xmlns:r="http://schemas.openxmlformats.org/officeDocument/2006/relationships" ref="M35" display="https://www.fedlex.admin.ch/eli/cc/2023/655/de" r:id="rId29"/>
    <hyperlink xmlns:r="http://schemas.openxmlformats.org/officeDocument/2006/relationships" ref="M36" display="https://www.bfe.admin.ch" r:id="rId30"/>
    <hyperlink xmlns:r="http://schemas.openxmlformats.org/officeDocument/2006/relationships" ref="M37" display="https://www.bafu.admin.ch" r:id="rId31"/>
    <hyperlink xmlns:r="http://schemas.openxmlformats.org/officeDocument/2006/relationships" ref="M38" display="https://www.bafu.admin.ch" r:id="rId32"/>
    <hyperlink xmlns:r="http://schemas.openxmlformats.org/officeDocument/2006/relationships" ref="M39" display="https://www.fedlex.admin.ch/eli/cc/1996/1738_1738_1738/de" r:id="rId33"/>
    <hyperlink xmlns:r="http://schemas.openxmlformats.org/officeDocument/2006/relationships" ref="M40" display="https://www.fedlex.admin.ch/eli/cc/2020/126/de" r:id="rId34"/>
    <hyperlink xmlns:r="http://schemas.openxmlformats.org/officeDocument/2006/relationships" ref="M41" display="https://www.fedlex.admin.ch/eli/cc/1987/1_1_1/de" r:id="rId35"/>
    <hyperlink xmlns:r="http://schemas.openxmlformats.org/officeDocument/2006/relationships" ref="M42" display="https://www.fedlex.admin.ch/eli/cc/1986/208_208_208/de" r:id="rId36"/>
    <hyperlink xmlns:r="http://schemas.openxmlformats.org/officeDocument/2006/relationships" ref="M43" display="https://www.fedlex.admin.ch/eli/cc/1991/748_748_748/de" r:id="rId37"/>
    <hyperlink xmlns:r="http://schemas.openxmlformats.org/officeDocument/2006/relationships" ref="M44" display="https://www.bafu.admin.ch" r:id="rId38"/>
    <hyperlink xmlns:r="http://schemas.openxmlformats.org/officeDocument/2006/relationships" ref="M45" display="https://www.bafu.admin.ch" r:id="rId39"/>
    <hyperlink xmlns:r="http://schemas.openxmlformats.org/officeDocument/2006/relationships" ref="M46" display="https://www.bafu.admin.ch" r:id="rId40"/>
    <hyperlink xmlns:r="http://schemas.openxmlformats.org/officeDocument/2006/relationships" ref="M48" display="https://www.bpuk.ch/bpuk/konkordate/ivoeb/ivoeb-2019" r:id="rId41"/>
    <hyperlink xmlns:r="http://schemas.openxmlformats.org/officeDocument/2006/relationships" ref="M50" display="https://bl.clex.ch/app/de/texts_of_law/400" r:id="rId42"/>
    <hyperlink xmlns:r="http://schemas.openxmlformats.org/officeDocument/2006/relationships" ref="M51" display="https://bl-api.webcloud7.ch/politik-und-behorden/direktionen/bau-und-umweltschutzdirektion/raumplanung/raumplanung/richtplanung/downloads-richtplanung/objektblatter.pdf?_t=1786003350618" r:id="rId43"/>
    <hyperlink xmlns:r="http://schemas.openxmlformats.org/officeDocument/2006/relationships" ref="M52" display="https://bl.clex.ch/app/de/texts_of_law/490" r:id="rId44"/>
    <hyperlink xmlns:r="http://schemas.openxmlformats.org/officeDocument/2006/relationships" ref="M53" display="https://bl.clex.ch/app/de/texts_of_law/420.11" r:id="rId45"/>
    <hyperlink xmlns:r="http://schemas.openxmlformats.org/officeDocument/2006/relationships" ref="M54" display="https://bl.clex.ch/app/de/texts_of_law/790" r:id="rId46"/>
    <hyperlink xmlns:r="http://schemas.openxmlformats.org/officeDocument/2006/relationships" ref="M55" display="https://bl.clex.ch/app/de/texts_of_law/780" r:id="rId47"/>
    <hyperlink xmlns:r="http://schemas.openxmlformats.org/officeDocument/2006/relationships" ref="M56" display="https://bl.clex.ch/app/de/texts_of_law/445" r:id="rId48"/>
    <hyperlink xmlns:r="http://schemas.openxmlformats.org/officeDocument/2006/relationships" ref="M58" display="https://www.gesetzessammlung.sg.ch/data/731.1/de" r:id="rId49"/>
    <hyperlink xmlns:r="http://schemas.openxmlformats.org/officeDocument/2006/relationships" ref="M59" display="https://www.sg.ch/bauen/raumentwicklung/kantonaleplanung/richtplanung.html" r:id="rId50"/>
    <hyperlink xmlns:r="http://schemas.openxmlformats.org/officeDocument/2006/relationships" ref="M60" display="https://www.gesetzessammlung.sg.ch/app/de/texts_of_law/741.1" r:id="rId51"/>
    <hyperlink xmlns:r="http://schemas.openxmlformats.org/officeDocument/2006/relationships" ref="M61" display="https://www.sg.ch" r:id="rId52"/>
    <hyperlink xmlns:r="http://schemas.openxmlformats.org/officeDocument/2006/relationships" ref="M62" display="https://www.gesetzessammlung.sg.ch/app/de/texts_of_law/841.1" r:id="rId53"/>
    <hyperlink xmlns:r="http://schemas.openxmlformats.org/officeDocument/2006/relationships" ref="M63" display="https://www.gesetzessammlung.sg.ch/app/de/texts_of_law/671.1" r:id="rId54"/>
    <hyperlink xmlns:r="http://schemas.openxmlformats.org/officeDocument/2006/relationships" ref="M64" display="https://www.gesetzessammlung.sg.ch/app/de/texts_of_law/271.51" r:id="rId55"/>
    <hyperlink xmlns:r="http://schemas.openxmlformats.org/officeDocument/2006/relationships" ref="M65" display="https://www.gesetzessammlung.sg.ch/app/de/texts_of_law/841.51" r:id="rId56"/>
    <hyperlink xmlns:r="http://schemas.openxmlformats.org/officeDocument/2006/relationships" ref="M66" display="https://www.gesetzessammlung.sg.ch/app/de/texts_of_law/841.1" r:id="rId57"/>
    <hyperlink xmlns:r="http://schemas.openxmlformats.org/officeDocument/2006/relationships" ref="M68" display="https://rechtsbuch.ur.ch/app/de/texts_of_law/40.1111" r:id="rId58"/>
    <hyperlink xmlns:r="http://schemas.openxmlformats.org/officeDocument/2006/relationships" ref="M69" display="https://www.ur.ch/_docn/375874/Richtplantext_240122.pdf" r:id="rId59"/>
    <hyperlink xmlns:r="http://schemas.openxmlformats.org/officeDocument/2006/relationships" ref="M70" display="https://www.ur.ch" r:id="rId60"/>
    <hyperlink xmlns:r="http://schemas.openxmlformats.org/officeDocument/2006/relationships" ref="M71" display="https://rechtsbuch.ur.ch/app/de/texts_of_law/40.7211" r:id="rId61"/>
    <hyperlink xmlns:r="http://schemas.openxmlformats.org/officeDocument/2006/relationships" ref="M72" display="https://www.ur.ch" r:id="rId62"/>
    <hyperlink xmlns:r="http://schemas.openxmlformats.org/officeDocument/2006/relationships" ref="M73" display="https://www.ur.ch/_doc/337571" r:id="rId63"/>
    <hyperlink xmlns:r="http://schemas.openxmlformats.org/officeDocument/2006/relationships" ref="M74" display="https://www.ur.ch/_doc/337571" r:id="rId64"/>
    <hyperlink xmlns:r="http://schemas.openxmlformats.org/officeDocument/2006/relationships" ref="M75" display="https://www.ur.ch/_doc/337571" r:id="rId65"/>
    <hyperlink xmlns:r="http://schemas.openxmlformats.org/officeDocument/2006/relationships" ref="M77" display="https://oereblex.bl.ch/api/attachments/22718" r:id="rId66"/>
    <hyperlink xmlns:r="http://schemas.openxmlformats.org/officeDocument/2006/relationships" ref="M78" display="https://oereblex.bl.ch/api/attachments/22718" r:id="rId67"/>
    <hyperlink xmlns:r="http://schemas.openxmlformats.org/officeDocument/2006/relationships" ref="M79" display="https://oereblex.bl.ch/api/attachments/22718" r:id="rId68"/>
    <hyperlink xmlns:r="http://schemas.openxmlformats.org/officeDocument/2006/relationships" ref="M80" display="https://www.muenchenstein.ch/_docn/5130739/TR_5.4_Abwasserreglement_vom_28._Oktober_2020_-_Stand_07.01.2021.pdf" r:id="rId69"/>
    <hyperlink xmlns:r="http://schemas.openxmlformats.org/officeDocument/2006/relationships" ref="M81" display="https://oereblex.bl.ch/api/attachments/22718" r:id="rId70"/>
    <hyperlink xmlns:r="http://schemas.openxmlformats.org/officeDocument/2006/relationships" ref="M82" display="https://www.muenchenstein.ch" r:id="rId71"/>
    <hyperlink xmlns:r="http://schemas.openxmlformats.org/officeDocument/2006/relationships" ref="M84" display="https://www.geoportal.ch/wil_sg/map/101?y=2719905.16&amp;x=1258486.88&amp;scale=25000&amp;rotation=0" r:id="rId72"/>
    <hyperlink xmlns:r="http://schemas.openxmlformats.org/officeDocument/2006/relationships" ref="M85" display="https://wil-sg.tlex.ch/app/de/texts_of_law/7.1-1" r:id="rId73"/>
    <hyperlink xmlns:r="http://schemas.openxmlformats.org/officeDocument/2006/relationships" ref="M86" display="https://cms.e-mitwirkung.ch/media/wil/Reglement_221013.pdf" r:id="rId74"/>
    <hyperlink xmlns:r="http://schemas.openxmlformats.org/officeDocument/2006/relationships" ref="M87" display="https://wil-sg.tlex.ch/app/de/texts_of_law/7.1-1" r:id="rId75"/>
    <hyperlink xmlns:r="http://schemas.openxmlformats.org/officeDocument/2006/relationships" ref="M88" display="https://www.stadtwil.ch/storage/8ae27a52e6272acbe7a00ddad257f439fbae9a367f80166a75d97ea28f6771cf" r:id="rId76"/>
    <hyperlink xmlns:r="http://schemas.openxmlformats.org/officeDocument/2006/relationships" ref="M89" display="https://wil-sg.tlex.ch/app/de/texts_of_law/1.6-4" r:id="rId77"/>
    <hyperlink xmlns:r="http://schemas.openxmlformats.org/officeDocument/2006/relationships" ref="M91" display="https://www.seelisberg.ch/files/pdf/Bau-und-Zonenordnung-Seelisberg.pdf" r:id="rId78"/>
    <hyperlink xmlns:r="http://schemas.openxmlformats.org/officeDocument/2006/relationships" ref="M92" display="https://geo.ur.ch/" r:id="rId79"/>
    <hyperlink xmlns:r="http://schemas.openxmlformats.org/officeDocument/2006/relationships" ref="M93" display="https://www.ur.ch/_docn/385540/Inventarliste_Seelisberg_Website.pdf" r:id="rId80"/>
    <hyperlink xmlns:r="http://schemas.openxmlformats.org/officeDocument/2006/relationships" ref="M94" display="https://www.seelisberg.ch" r:id="rId81"/>
    <hyperlink xmlns:r="http://schemas.openxmlformats.org/officeDocument/2006/relationships" ref="M95" display="https://www.seelisberg.ch/files/pdf/Verordnung_%C3%BCber_die_Wasserversorgung.pdf" r:id="rId82"/>
    <hyperlink xmlns:r="http://schemas.openxmlformats.org/officeDocument/2006/relationships" ref="M96" display="https://www.seelisberg.ch/files/pdf/Bau-und-Zonenordnung-Seelisberg.pdf" r:id="rId83"/>
    <hyperlink xmlns:r="http://schemas.openxmlformats.org/officeDocument/2006/relationships" ref="M97" display="https://www.seelisberg.ch" r:id="rId84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Q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2 · Q2 Landschaft, Kulturland und Biodiversität – Dokumente, Inventare, Geodaten</t>
        </is>
      </c>
    </row>
    <row r="2" ht="15" customHeight="1" s="45">
      <c r="A2" s="47" t="inlineStr">
        <is>
          <t>Öffentliche Quellen je Ebene; nicht öffentliche Daten sind separat markiert (orange).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32.8" customHeight="1" s="45">
      <c r="A7" s="68" t="inlineStr">
        <is>
          <t>Bund</t>
        </is>
      </c>
      <c r="B7" s="69" t="inlineStr">
        <is>
          <t>Q2</t>
        </is>
      </c>
      <c r="C7" s="68" t="inlineStr">
        <is>
          <t>Inventar / Layer</t>
        </is>
      </c>
      <c r="D7" s="70" t="inlineStr">
        <is>
          <t>BLN – Bundesinventar der Landschaften und Naturdenkmäler</t>
        </is>
      </c>
      <c r="E7" s="68" t="inlineStr">
        <is>
          <t>VBLN</t>
        </is>
      </c>
      <c r="F7" s="68" t="inlineStr">
        <is>
          <t>–</t>
        </is>
      </c>
      <c r="G7" s="68" t="inlineStr">
        <is>
          <t>BAFU / swisstopo</t>
        </is>
      </c>
      <c r="H7" s="68" t="inlineStr">
        <is>
          <t>öffentlich</t>
        </is>
      </c>
      <c r="I7" s="77" t="inlineStr">
        <is>
          <t>belegt – Betroffenheit offen</t>
        </is>
      </c>
      <c r="J7" s="77" t="inlineStr">
        <is>
          <t>belegt – Betroffenheit offen</t>
        </is>
      </c>
      <c r="K7" s="77" t="inlineStr">
        <is>
          <t>belegt – Betroffenheit offen</t>
        </is>
      </c>
      <c r="L7" s="68" t="inlineStr">
        <is>
          <t>Landschaften von nationaler Bedeutung; Bundesaufgaben-Bindung</t>
        </is>
      </c>
      <c r="M7" s="72" t="inlineStr">
        <is>
          <t>https://map.geo.admin.ch/#/map?lang=de&amp;center=2660000,1190000&amp;z=1&amp;bgLayer=ch.swisstopo.pixelkarte-grau&amp;layers=ch.bafu.bundesinventare-bln</t>
        </is>
      </c>
      <c r="N7" s="73" t="inlineStr">
        <is>
          <t>Muster · ungetestet</t>
        </is>
      </c>
      <c r="O7" s="68" t="inlineStr">
        <is>
          <t>Ergänzung · mittel</t>
        </is>
      </c>
      <c r="P7" s="68" t="inlineStr">
        <is>
          <t>Seelisberg: Lage im BLN-Gebiet Vierwaldstättersee wahrscheinlich → verifizieren</t>
        </is>
      </c>
      <c r="Q7" s="68" t="inlineStr">
        <is>
          <t>Niklas/Nikolaos (GIS): Overlay mit Gemeindeperimeter – Layer-Link in Blatt 7_GIS_Layers; Ergebnis dort eintragen (ja/nein)</t>
        </is>
      </c>
    </row>
    <row r="8" outlineLevel="1" ht="32.8" customHeight="1" s="45">
      <c r="A8" s="68" t="inlineStr">
        <is>
          <t>Bund</t>
        </is>
      </c>
      <c r="B8" s="69" t="inlineStr">
        <is>
          <t>Q2</t>
        </is>
      </c>
      <c r="C8" s="68" t="inlineStr">
        <is>
          <t>Inventar / Layer</t>
        </is>
      </c>
      <c r="D8" s="70" t="inlineStr">
        <is>
          <t>Bundesinventare Moore, Moorlandschaften, Auen, Amphibienlaichgebiete, Trockenwiesen/-weiden (TWW)</t>
        </is>
      </c>
      <c r="E8" s="68" t="inlineStr">
        <is>
          <t>NHG / Inventarverordnungen</t>
        </is>
      </c>
      <c r="F8" s="68" t="inlineStr">
        <is>
          <t>–</t>
        </is>
      </c>
      <c r="G8" s="68" t="inlineStr">
        <is>
          <t>BAFU</t>
        </is>
      </c>
      <c r="H8" s="68" t="inlineStr">
        <is>
          <t>öffentlich</t>
        </is>
      </c>
      <c r="I8" s="77" t="inlineStr">
        <is>
          <t>belegt – Betroffenheit offen</t>
        </is>
      </c>
      <c r="J8" s="77" t="inlineStr">
        <is>
          <t>belegt – Betroffenheit offen</t>
        </is>
      </c>
      <c r="K8" s="77" t="inlineStr">
        <is>
          <t>belegt – Betroffenheit offen</t>
        </is>
      </c>
      <c r="L8" s="68" t="inlineStr">
        <is>
          <t>Biotope von nationaler Bedeutung, Pufferzonen</t>
        </is>
      </c>
      <c r="M8" s="72" t="inlineStr">
        <is>
          <t>https://map.geo.admin.ch/#/map?lang=de&amp;center=2660000,1190000&amp;z=1&amp;bgLayer=ch.swisstopo.pixelkarte-grau&amp;layers=ch.bafu.bundesinventare-hochmoore</t>
        </is>
      </c>
      <c r="N8" s="73" t="inlineStr">
        <is>
          <t>Muster · ungetestet</t>
        </is>
      </c>
      <c r="O8" s="68" t="inlineStr">
        <is>
          <t>Ergänzung · mittel</t>
        </is>
      </c>
      <c r="P8" s="68" t="inlineStr">
        <is>
          <t>Betroffenheit je Gemeinde per Geodaten-Overlay prüfen</t>
        </is>
      </c>
      <c r="Q8" s="68" t="inlineStr">
        <is>
          <t>Niklas/Nikolaos (GIS): Overlay mit Gemeindeperimeter – Layer-Link in Blatt 7_GIS_Layers; Ergebnis dort eintragen (ja/nein)</t>
        </is>
      </c>
    </row>
    <row r="9" outlineLevel="1" ht="32.8" customHeight="1" s="45">
      <c r="A9" s="68" t="inlineStr">
        <is>
          <t>Bund</t>
        </is>
      </c>
      <c r="B9" s="69" t="inlineStr">
        <is>
          <t>Q2</t>
        </is>
      </c>
      <c r="C9" s="68" t="inlineStr">
        <is>
          <t>Inventar / Layer</t>
        </is>
      </c>
      <c r="D9" s="70" t="inlineStr">
        <is>
          <t>Jagdbanngebiete, Wasser- und Zugvogelreservate, Smaragd-Gebiete</t>
        </is>
      </c>
      <c r="E9" s="68" t="inlineStr">
        <is>
          <t>JSG</t>
        </is>
      </c>
      <c r="F9" s="68" t="inlineStr">
        <is>
          <t>–</t>
        </is>
      </c>
      <c r="G9" s="68" t="inlineStr">
        <is>
          <t>BAFU</t>
        </is>
      </c>
      <c r="H9" s="68" t="inlineStr">
        <is>
          <t>öffentlich</t>
        </is>
      </c>
      <c r="I9" s="77" t="inlineStr">
        <is>
          <t>belegt – Betroffenheit offen</t>
        </is>
      </c>
      <c r="J9" s="77" t="inlineStr">
        <is>
          <t>belegt – Betroffenheit offen</t>
        </is>
      </c>
      <c r="K9" s="77" t="inlineStr">
        <is>
          <t>belegt – Betroffenheit offen</t>
        </is>
      </c>
      <c r="L9" s="68" t="inlineStr">
        <is>
          <t>Wildtier- und Vogelschutz</t>
        </is>
      </c>
      <c r="M9" s="72" t="inlineStr">
        <is>
          <t>https://map.geo.admin.ch/#/map?lang=de&amp;center=2660000,1190000&amp;z=1&amp;bgLayer=ch.swisstopo.pixelkarte-grau&amp;layers=ch.bafu.bundesinventare-jagdbanngebiete</t>
        </is>
      </c>
      <c r="N9" s="73" t="inlineStr">
        <is>
          <t>Muster · ungetestet</t>
        </is>
      </c>
      <c r="O9" s="68" t="inlineStr">
        <is>
          <t>Ergänzung · mittel</t>
        </is>
      </c>
      <c r="P9" s="68" t="n"/>
      <c r="Q9" s="68" t="inlineStr">
        <is>
          <t>Niklas/Nikolaos (GIS): Overlay mit Gemeindeperimeter – Layer-Link in Blatt 7_GIS_Layers; Ergebnis dort eintragen (ja/nein)</t>
        </is>
      </c>
    </row>
    <row r="10" outlineLevel="1" ht="32.8" customHeight="1" s="45">
      <c r="A10" s="68" t="inlineStr">
        <is>
          <t>Bund</t>
        </is>
      </c>
      <c r="B10" s="69" t="inlineStr">
        <is>
          <t>Q2</t>
        </is>
      </c>
      <c r="C10" s="68" t="inlineStr">
        <is>
          <t>Layer</t>
        </is>
      </c>
      <c r="D10" s="70" t="inlineStr">
        <is>
          <t>Wildtierkorridore / Landschaftsverbindungen (überregional)</t>
        </is>
      </c>
      <c r="E10" s="68" t="inlineStr">
        <is>
          <t>–</t>
        </is>
      </c>
      <c r="F10" s="68" t="inlineStr">
        <is>
          <t>–</t>
        </is>
      </c>
      <c r="G10" s="68" t="inlineStr">
        <is>
          <t>BAFU / ASTRA</t>
        </is>
      </c>
      <c r="H10" s="68" t="inlineStr">
        <is>
          <t>öffentlich</t>
        </is>
      </c>
      <c r="I10" s="77" t="inlineStr">
        <is>
          <t>belegt – Betroffenheit offen</t>
        </is>
      </c>
      <c r="J10" s="77" t="inlineStr">
        <is>
          <t>belegt – Betroffenheit offen</t>
        </is>
      </c>
      <c r="K10" s="77" t="inlineStr">
        <is>
          <t>belegt – Betroffenheit offen</t>
        </is>
      </c>
      <c r="L10" s="68" t="inlineStr">
        <is>
          <t>Vernetzung, Konfliktpotenzial bei Siedlungsentwicklung</t>
        </is>
      </c>
      <c r="M10" s="72" t="inlineStr">
        <is>
          <t>https://map.geo.admin.ch/#/map?lang=de&amp;center=2660000,1190000&amp;z=1&amp;bgLayer=ch.swisstopo.pixelkarte-grau&amp;layers=ch.bafu.fauna-wildtierkorridore_national</t>
        </is>
      </c>
      <c r="N10" s="73" t="inlineStr">
        <is>
          <t>Muster · ungetestet</t>
        </is>
      </c>
      <c r="O10" s="68" t="inlineStr">
        <is>
          <t>Ergänzung · mittel</t>
        </is>
      </c>
      <c r="P10" s="68" t="n"/>
      <c r="Q10" s="68" t="inlineStr">
        <is>
          <t>Niklas/Nikolaos (GIS): Overlay mit Gemeindeperimeter – Layer-Link in Blatt 7_GIS_Layers; Ergebnis dort eintragen (ja/nein)</t>
        </is>
      </c>
    </row>
    <row r="11" outlineLevel="1" ht="32.8" customHeight="1" s="45">
      <c r="A11" s="68" t="inlineStr">
        <is>
          <t>Bund</t>
        </is>
      </c>
      <c r="B11" s="69" t="inlineStr">
        <is>
          <t>Q2</t>
        </is>
      </c>
      <c r="C11" s="68" t="inlineStr">
        <is>
          <t>Layer</t>
        </is>
      </c>
      <c r="D11" s="70" t="inlineStr">
        <is>
          <t>Wald: Waldareal, Waldreservate, Schutzwald (Bundesgeodaten)</t>
        </is>
      </c>
      <c r="E11" s="68" t="inlineStr">
        <is>
          <t>WaG</t>
        </is>
      </c>
      <c r="F11" s="68" t="inlineStr">
        <is>
          <t>–</t>
        </is>
      </c>
      <c r="G11" s="68" t="inlineStr">
        <is>
          <t>BAFU</t>
        </is>
      </c>
      <c r="H11" s="68" t="inlineStr">
        <is>
          <t>öffentlich</t>
        </is>
      </c>
      <c r="I11" s="77" t="inlineStr">
        <is>
          <t>belegt – Betroffenheit offen</t>
        </is>
      </c>
      <c r="J11" s="77" t="inlineStr">
        <is>
          <t>belegt – Betroffenheit offen</t>
        </is>
      </c>
      <c r="K11" s="77" t="inlineStr">
        <is>
          <t>belegt – Betroffenheit offen</t>
        </is>
      </c>
      <c r="L11" s="68" t="inlineStr">
        <is>
          <t>Waldabstand, Rodungsrestriktion</t>
        </is>
      </c>
      <c r="M11" s="72" t="inlineStr">
        <is>
          <t>https://map.geo.admin.ch/#/map?lang=de&amp;center=2660000,1190000&amp;z=1&amp;bgLayer=ch.swisstopo.pixelkarte-grau&amp;layers=ch.bafu.waldreservate</t>
        </is>
      </c>
      <c r="N11" s="73" t="inlineStr">
        <is>
          <t>Muster · ungetestet</t>
        </is>
      </c>
      <c r="O11" s="68" t="inlineStr">
        <is>
          <t>Ergänzung · mittel</t>
        </is>
      </c>
      <c r="P11" s="68" t="n"/>
      <c r="Q11" s="68" t="inlineStr">
        <is>
          <t>Niklas/Nikolaos (GIS): Overlay mit Gemeindeperimeter – Layer-Link in Blatt 7_GIS_Layers; Ergebnis dort eintragen (ja/nein)</t>
        </is>
      </c>
    </row>
    <row r="12" outlineLevel="1" ht="22.35" customHeight="1" s="45">
      <c r="A12" s="68" t="inlineStr">
        <is>
          <t>Bund</t>
        </is>
      </c>
      <c r="B12" s="69" t="inlineStr">
        <is>
          <t>Q2</t>
        </is>
      </c>
      <c r="C12" s="68" t="inlineStr">
        <is>
          <t>Dokument</t>
        </is>
      </c>
      <c r="D12" s="70" t="inlineStr">
        <is>
          <t>Sachplan Fruchtfolgeflächen (SP FFF, 2020) und kantonale Mindestkontingente</t>
        </is>
      </c>
      <c r="E12" s="68" t="inlineStr">
        <is>
          <t>RPV Art. 26–30</t>
        </is>
      </c>
      <c r="F12" s="68" t="inlineStr">
        <is>
          <t>2020</t>
        </is>
      </c>
      <c r="G12" s="68" t="inlineStr">
        <is>
          <t>ARE</t>
        </is>
      </c>
      <c r="H12" s="68" t="inlineStr">
        <is>
          <t>öffentlich</t>
        </is>
      </c>
      <c r="I12" s="71" t="inlineStr">
        <is>
          <t>belegt</t>
        </is>
      </c>
      <c r="J12" s="71" t="inlineStr">
        <is>
          <t>belegt</t>
        </is>
      </c>
      <c r="K12" s="71" t="inlineStr">
        <is>
          <t>belegt</t>
        </is>
      </c>
      <c r="L12" s="68" t="inlineStr">
        <is>
          <t>Kontingent je Kanton; Beanspruchung nur mit Kompensation</t>
        </is>
      </c>
      <c r="M12" s="72" t="inlineStr">
        <is>
          <t>https://www.are.admin.ch</t>
        </is>
      </c>
      <c r="N12" s="73" t="inlineStr">
        <is>
          <t>Einstiegsseite · ungetestet</t>
        </is>
      </c>
      <c r="O12" s="68" t="inlineStr">
        <is>
          <t>Ergänzung · mittel</t>
        </is>
      </c>
      <c r="P12" s="68" t="n"/>
      <c r="Q12" s="68" t="inlineStr">
        <is>
          <t>Q-Bearbeitung: Dokument-URL auf der Behörden-Website ermitteln (Einstiegsseite verlinkt)</t>
        </is>
      </c>
    </row>
    <row r="13" outlineLevel="1" ht="22.35" customHeight="1" s="45">
      <c r="A13" s="68" t="inlineStr">
        <is>
          <t>Bund</t>
        </is>
      </c>
      <c r="B13" s="69" t="inlineStr">
        <is>
          <t>Q2</t>
        </is>
      </c>
      <c r="C13" s="68" t="inlineStr">
        <is>
          <t>Dokument</t>
        </is>
      </c>
      <c r="D13" s="70" t="inlineStr">
        <is>
          <t>Landschaftskonzept Schweiz / Strategie Biodiversität Schweiz / Aktionsplan</t>
        </is>
      </c>
      <c r="E13" s="68" t="inlineStr">
        <is>
          <t>–</t>
        </is>
      </c>
      <c r="F13" s="68" t="inlineStr">
        <is>
          <t>–</t>
        </is>
      </c>
      <c r="G13" s="68" t="inlineStr">
        <is>
          <t>BAFU</t>
        </is>
      </c>
      <c r="H13" s="68" t="inlineStr">
        <is>
          <t>öffentlich</t>
        </is>
      </c>
      <c r="I13" s="71" t="inlineStr">
        <is>
          <t>belegt</t>
        </is>
      </c>
      <c r="J13" s="71" t="inlineStr">
        <is>
          <t>belegt</t>
        </is>
      </c>
      <c r="K13" s="71" t="inlineStr">
        <is>
          <t>belegt</t>
        </is>
      </c>
      <c r="L13" s="68" t="inlineStr">
        <is>
          <t>Strategische Leitplanken für Landschaft und Biodiversität</t>
        </is>
      </c>
      <c r="M13" s="72" t="inlineStr">
        <is>
          <t>https://www.bafu.admin.ch</t>
        </is>
      </c>
      <c r="N13" s="73" t="inlineStr">
        <is>
          <t>Einstiegsseite · ungetestet</t>
        </is>
      </c>
      <c r="O13" s="68" t="inlineStr">
        <is>
          <t>Ergänzung · mittel</t>
        </is>
      </c>
      <c r="P13" s="68" t="n"/>
      <c r="Q13" s="68" t="inlineStr">
        <is>
          <t>Q-Bearbeitung: Dokument-URL auf der Behörden-Website ermitteln (Einstiegsseite verlinkt)</t>
        </is>
      </c>
    </row>
    <row r="14" outlineLevel="1" ht="32.8" customHeight="1" s="45">
      <c r="A14" s="68" t="inlineStr">
        <is>
          <t>Bund</t>
        </is>
      </c>
      <c r="B14" s="69" t="inlineStr">
        <is>
          <t>Q2</t>
        </is>
      </c>
      <c r="C14" s="68" t="inlineStr">
        <is>
          <t>Layer</t>
        </is>
      </c>
      <c r="D14" s="70" t="inlineStr">
        <is>
          <t>Gewässernetz, Gewässerschutzkarten, Grundwasserschutzzonen (Bundesdienste)</t>
        </is>
      </c>
      <c r="E14" s="68" t="inlineStr">
        <is>
          <t>GSchG</t>
        </is>
      </c>
      <c r="F14" s="68" t="inlineStr">
        <is>
          <t>–</t>
        </is>
      </c>
      <c r="G14" s="68" t="inlineStr">
        <is>
          <t>BAFU / swisstopo</t>
        </is>
      </c>
      <c r="H14" s="68" t="inlineStr">
        <is>
          <t>öffentlich</t>
        </is>
      </c>
      <c r="I14" s="77" t="inlineStr">
        <is>
          <t>belegt – Betroffenheit offen</t>
        </is>
      </c>
      <c r="J14" s="77" t="inlineStr">
        <is>
          <t>belegt – Betroffenheit offen</t>
        </is>
      </c>
      <c r="K14" s="77" t="inlineStr">
        <is>
          <t>belegt – Betroffenheit offen</t>
        </is>
      </c>
      <c r="L14" s="68" t="inlineStr">
        <is>
          <t>Gewässerraum, Grundwasserschutz</t>
        </is>
      </c>
      <c r="M14" s="72" t="inlineStr">
        <is>
          <t>https://map.geo.admin.ch</t>
        </is>
      </c>
      <c r="N14" s="73" t="inlineStr">
        <is>
          <t>Muster · ungetestet</t>
        </is>
      </c>
      <c r="O14" s="68" t="inlineStr">
        <is>
          <t>Ergänzung · mittel</t>
        </is>
      </c>
      <c r="P14" s="68" t="n"/>
      <c r="Q14" s="68" t="inlineStr">
        <is>
          <t>Niklas/Nikolaos (GIS): Overlay mit Gemeindeperimeter – Layer-Link in Blatt 7_GIS_Layers; Ergebnis dort eintragen (ja/nein)</t>
        </is>
      </c>
    </row>
    <row r="15" outlineLevel="1" ht="32.8" customHeight="1" s="45">
      <c r="A15" s="68" t="inlineStr">
        <is>
          <t>Bund</t>
        </is>
      </c>
      <c r="B15" s="69" t="inlineStr">
        <is>
          <t>Q2</t>
        </is>
      </c>
      <c r="C15" s="68" t="inlineStr">
        <is>
          <t>Layer</t>
        </is>
      </c>
      <c r="D15" s="70" t="inlineStr">
        <is>
          <t>Arealstatistik / Bodenbedeckung / Landschaftstypologie</t>
        </is>
      </c>
      <c r="E15" s="68" t="inlineStr">
        <is>
          <t>–</t>
        </is>
      </c>
      <c r="F15" s="68" t="inlineStr">
        <is>
          <t>–</t>
        </is>
      </c>
      <c r="G15" s="68" t="inlineStr">
        <is>
          <t>BFS / ARE</t>
        </is>
      </c>
      <c r="H15" s="68" t="inlineStr">
        <is>
          <t>öffentlich</t>
        </is>
      </c>
      <c r="I15" s="77" t="inlineStr">
        <is>
          <t>belegt – Betroffenheit offen</t>
        </is>
      </c>
      <c r="J15" s="77" t="inlineStr">
        <is>
          <t>belegt – Betroffenheit offen</t>
        </is>
      </c>
      <c r="K15" s="77" t="inlineStr">
        <is>
          <t>belegt – Betroffenheit offen</t>
        </is>
      </c>
      <c r="L15" s="68" t="inlineStr">
        <is>
          <t>Flächenbilanz, Siedlungsflächenverbrauch</t>
        </is>
      </c>
      <c r="M15" s="72" t="inlineStr">
        <is>
          <t>https://www.are.admin.ch</t>
        </is>
      </c>
      <c r="N15" s="73" t="inlineStr">
        <is>
          <t>Einstiegsseite · ungetestet</t>
        </is>
      </c>
      <c r="O15" s="68" t="inlineStr">
        <is>
          <t>Ergänzung · mittel</t>
        </is>
      </c>
      <c r="P15" s="68" t="n"/>
      <c r="Q15" s="68" t="inlineStr">
        <is>
          <t>Niklas/Nikolaos (GIS): Overlay mit Gemeindeperimeter – Layer-Link in Blatt 7_GIS_Layers; Ergebnis dort eintragen (ja/nein)</t>
        </is>
      </c>
    </row>
    <row r="16" ht="19.5" customHeight="1" s="45">
      <c r="A16" s="66" t="inlineStr">
        <is>
          <t>KANTON BASEL-LANDSCHAFT  →  Münchenstein</t>
        </is>
      </c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</row>
    <row r="17" outlineLevel="1" ht="22.35" customHeight="1" s="45">
      <c r="A17" s="68" t="inlineStr">
        <is>
          <t>Kanton BL</t>
        </is>
      </c>
      <c r="B17" s="69" t="inlineStr">
        <is>
          <t>Q2</t>
        </is>
      </c>
      <c r="C17" s="68" t="inlineStr">
        <is>
          <t>Inventar / Layer</t>
        </is>
      </c>
      <c r="D17" s="70" t="inlineStr">
        <is>
          <t>Kantonale Schutzinventare / Fruchtfolgeflächen BL</t>
        </is>
      </c>
      <c r="E17" s="68" t="inlineStr">
        <is>
          <t>–</t>
        </is>
      </c>
      <c r="F17" s="68" t="inlineStr">
        <is>
          <t>Katalog: kein Stand</t>
        </is>
      </c>
      <c r="G17" s="68" t="inlineStr">
        <is>
          <t>Kanton BL (Raumplanung / ARP)</t>
        </is>
      </c>
      <c r="H17" s="68" t="inlineStr">
        <is>
          <t>öffentlich</t>
        </is>
      </c>
      <c r="I17" s="71" t="inlineStr">
        <is>
          <t>belegt</t>
        </is>
      </c>
      <c r="J17" s="75" t="inlineStr">
        <is>
          <t>n. a.</t>
        </is>
      </c>
      <c r="K17" s="75" t="inlineStr">
        <is>
          <t>n. a.</t>
        </is>
      </c>
      <c r="L17" s="68" t="inlineStr">
        <is>
          <t>Schutzobjekte, Kulturlandrestriktionen standortspezifisch erheben (GIS-Overlay, Flächenbilanz)</t>
        </is>
      </c>
      <c r="M17" s="72" t="inlineStr">
        <is>
          <t>https://arp-daten.bl.ch/</t>
        </is>
      </c>
      <c r="N17" s="69" t="inlineStr">
        <is>
          <t>Kataster · ungetestet</t>
        </is>
      </c>
      <c r="O17" s="68" t="inlineStr">
        <is>
          <t>Katalog · hoch</t>
        </is>
      </c>
      <c r="P17" s="68" t="inlineStr">
        <is>
          <t>Stand ergänzen; FFF und Schutzinventare separat ausweisen</t>
        </is>
      </c>
      <c r="Q17" s="68" t="n"/>
    </row>
    <row r="18" outlineLevel="1" ht="32.8" customHeight="1" s="45">
      <c r="A18" s="68" t="inlineStr">
        <is>
          <t>Kanton BL</t>
        </is>
      </c>
      <c r="B18" s="69" t="inlineStr">
        <is>
          <t>Q2</t>
        </is>
      </c>
      <c r="C18" s="68" t="inlineStr">
        <is>
          <t>Konzept / Layer</t>
        </is>
      </c>
      <c r="D18" s="70" t="inlineStr">
        <is>
          <t>Inventar der geschützten Naturobjekte und Natur- und Landschaftsschutzkonzept BL</t>
        </is>
      </c>
      <c r="E18" s="68" t="inlineStr">
        <is>
          <t>–</t>
        </is>
      </c>
      <c r="F18" s="68" t="inlineStr">
        <is>
          <t>–</t>
        </is>
      </c>
      <c r="G18" s="68" t="inlineStr">
        <is>
          <t>Kanton BL</t>
        </is>
      </c>
      <c r="H18" s="68" t="inlineStr">
        <is>
          <t>öffentlich</t>
        </is>
      </c>
      <c r="I18" s="76" t="inlineStr">
        <is>
          <t>nicht belegt (Recherche offen)</t>
        </is>
      </c>
      <c r="J18" s="75" t="inlineStr">
        <is>
          <t>n. a.</t>
        </is>
      </c>
      <c r="K18" s="75" t="inlineStr">
        <is>
          <t>n. a.</t>
        </is>
      </c>
      <c r="L18" s="68" t="inlineStr">
        <is>
          <t>Biotopvernetzung, Landschaftsqualität</t>
        </is>
      </c>
      <c r="M18" s="72" t="inlineStr">
        <is>
          <t>https://geoview.bl.ch</t>
        </is>
      </c>
      <c r="N18" s="69" t="inlineStr">
        <is>
          <t>Kataster · ungetestet</t>
        </is>
      </c>
      <c r="O18" s="68" t="inlineStr">
        <is>
          <t>Ergänzung · tief</t>
        </is>
      </c>
      <c r="P18" s="68" t="inlineStr">
        <is>
          <t>Rechtsgrundlage: § 8 und § 12 NLG (SGS 790); Naturschutzgebiets-Verordnungen verweisen auf Geoportal BL</t>
        </is>
      </c>
      <c r="Q18" s="68" t="inlineStr">
        <is>
          <t>Q-Bearbeitung: Volltextsuche in kant. Gesetzessammlung bzw. Layerliste im Geoportal; falls ohne Treffer → Anfrage Kantonale Fachstelle</t>
        </is>
      </c>
    </row>
    <row r="19" ht="19.5" customHeight="1" s="45">
      <c r="A19" s="66" t="inlineStr">
        <is>
          <t>KANTON ST. GALLEN  →  Wil</t>
        </is>
      </c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</row>
    <row r="20" outlineLevel="1" ht="32.8" customHeight="1" s="45">
      <c r="A20" s="68" t="inlineStr">
        <is>
          <t>Kanton SG</t>
        </is>
      </c>
      <c r="B20" s="69" t="inlineStr">
        <is>
          <t>Q2</t>
        </is>
      </c>
      <c r="C20" s="68" t="inlineStr">
        <is>
          <t>Inventar / Layer</t>
        </is>
      </c>
      <c r="D20" s="70" t="inlineStr">
        <is>
          <t>Kantonale Natur-/Landschaftsschutzgebiete, Biotope, Vernetzung SG</t>
        </is>
      </c>
      <c r="E20" s="68" t="inlineStr">
        <is>
          <t>–</t>
        </is>
      </c>
      <c r="F20" s="68" t="inlineStr">
        <is>
          <t>–</t>
        </is>
      </c>
      <c r="G20" s="68" t="inlineStr">
        <is>
          <t>Kanton SG</t>
        </is>
      </c>
      <c r="H20" s="68" t="inlineStr">
        <is>
          <t>öffentlich</t>
        </is>
      </c>
      <c r="I20" s="75" t="inlineStr">
        <is>
          <t>n. a.</t>
        </is>
      </c>
      <c r="J20" s="76" t="inlineStr">
        <is>
          <t>nicht belegt (Recherche offen)</t>
        </is>
      </c>
      <c r="K20" s="75" t="inlineStr">
        <is>
          <t>n. a.</t>
        </is>
      </c>
      <c r="L20" s="68" t="inlineStr">
        <is>
          <t>Im Katalog keine Kantonsebene für Q2</t>
        </is>
      </c>
      <c r="M20" s="72" t="inlineStr">
        <is>
          <t>https://www.geoportal.ch/ktsg</t>
        </is>
      </c>
      <c r="N20" s="69" t="inlineStr">
        <is>
          <t>Kataster · ungetestet</t>
        </is>
      </c>
      <c r="O20" s="68" t="inlineStr">
        <is>
          <t>Ergänzung · tief</t>
        </is>
      </c>
      <c r="P20" s="68" t="inlineStr">
        <is>
          <t>Rechtsgrundlage vorhanden (Naturschutzverordnung sGS 671.1, Schutzverordnungen der Gemeinden nach Art. 98 ff. PBG); konkrete kantonale Inventar-/Layerliste noch nicht gesichtet</t>
        </is>
      </c>
      <c r="Q20" s="68" t="inlineStr">
        <is>
          <t>Q-Bearbeitung: Volltextsuche in kant. Gesetzessammlung bzw. Layerliste im Geoportal; falls ohne Treffer → Anfrage Kantonale Fachstelle</t>
        </is>
      </c>
    </row>
    <row r="21" outlineLevel="1" ht="32.8" customHeight="1" s="45">
      <c r="A21" s="68" t="inlineStr">
        <is>
          <t>Kanton SG</t>
        </is>
      </c>
      <c r="B21" s="69" t="inlineStr">
        <is>
          <t>Q2</t>
        </is>
      </c>
      <c r="C21" s="68" t="inlineStr">
        <is>
          <t>Layer</t>
        </is>
      </c>
      <c r="D21" s="70" t="inlineStr">
        <is>
          <t>Fruchtfolgeflächen (FFF) SG</t>
        </is>
      </c>
      <c r="E21" s="68" t="inlineStr">
        <is>
          <t>–</t>
        </is>
      </c>
      <c r="F21" s="68" t="inlineStr">
        <is>
          <t>–</t>
        </is>
      </c>
      <c r="G21" s="68" t="inlineStr">
        <is>
          <t>Kanton SG</t>
        </is>
      </c>
      <c r="H21" s="68" t="inlineStr">
        <is>
          <t>öffentlich</t>
        </is>
      </c>
      <c r="I21" s="75" t="inlineStr">
        <is>
          <t>n. a.</t>
        </is>
      </c>
      <c r="J21" s="76" t="inlineStr">
        <is>
          <t>nicht belegt (Recherche offen)</t>
        </is>
      </c>
      <c r="K21" s="75" t="inlineStr">
        <is>
          <t>n. a.</t>
        </is>
      </c>
      <c r="L21" s="68" t="inlineStr">
        <is>
          <t>FFF-Inventar/Kontingent für Wil prüfen</t>
        </is>
      </c>
      <c r="M21" s="72" t="inlineStr">
        <is>
          <t>https://www.geoportal.ch/ktsg</t>
        </is>
      </c>
      <c r="N21" s="69" t="inlineStr">
        <is>
          <t>Kataster · ungetestet</t>
        </is>
      </c>
      <c r="O21" s="68" t="inlineStr">
        <is>
          <t>Ergänzung · tief</t>
        </is>
      </c>
      <c r="P21" s="68" t="inlineStr">
        <is>
          <t>Rechtsgrundlage vorhanden (Naturschutzverordnung sGS 671.1, Schutzverordnungen der Gemeinden nach Art. 98 ff. PBG); konkrete kantonale Inventar-/Layerliste noch nicht gesichtet</t>
        </is>
      </c>
      <c r="Q21" s="68" t="inlineStr">
        <is>
          <t>Q-Bearbeitung: Volltextsuche in kant. Gesetzessammlung bzw. Layerliste im Geoportal; falls ohne Treffer → Anfrage Kantonale Fachstelle</t>
        </is>
      </c>
    </row>
    <row r="22" ht="19.5" customHeight="1" s="45">
      <c r="A22" s="66" t="inlineStr">
        <is>
          <t>KANTON URI  →  Seelisberg</t>
        </is>
      </c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</row>
    <row r="23" outlineLevel="1" ht="22.35" customHeight="1" s="45">
      <c r="A23" s="68" t="inlineStr">
        <is>
          <t>Kanton UR</t>
        </is>
      </c>
      <c r="B23" s="69" t="inlineStr">
        <is>
          <t>Q2</t>
        </is>
      </c>
      <c r="C23" s="68" t="inlineStr">
        <is>
          <t>Inventar / Layer</t>
        </is>
      </c>
      <c r="D23" s="70" t="inlineStr">
        <is>
          <t>Schutzinventare Uri (Schutzobjekte, Kulturlandrestriktionen)</t>
        </is>
      </c>
      <c r="E23" s="68" t="inlineStr">
        <is>
          <t>–</t>
        </is>
      </c>
      <c r="F23" s="68" t="inlineStr">
        <is>
          <t>20.03.2026</t>
        </is>
      </c>
      <c r="G23" s="68" t="inlineStr">
        <is>
          <t>Kanton UR</t>
        </is>
      </c>
      <c r="H23" s="68" t="inlineStr">
        <is>
          <t>öffentlich</t>
        </is>
      </c>
      <c r="I23" s="75" t="inlineStr">
        <is>
          <t>n. a.</t>
        </is>
      </c>
      <c r="J23" s="75" t="inlineStr">
        <is>
          <t>n. a.</t>
        </is>
      </c>
      <c r="K23" s="71" t="inlineStr">
        <is>
          <t>belegt</t>
        </is>
      </c>
      <c r="L23" s="68" t="inlineStr">
        <is>
          <t>Standortspezifisch erheben (GIS-Overlay, Flächenbilanz)</t>
        </is>
      </c>
      <c r="M23" s="72" t="inlineStr">
        <is>
          <t>https://geo.ur.ch</t>
        </is>
      </c>
      <c r="N23" s="69" t="inlineStr">
        <is>
          <t>Kataster · ungetestet</t>
        </is>
      </c>
      <c r="O23" s="68" t="inlineStr">
        <is>
          <t>Katalog · hoch</t>
        </is>
      </c>
      <c r="P23" s="68" t="n"/>
      <c r="Q23" s="68" t="n"/>
    </row>
    <row r="24" outlineLevel="1" ht="32.8" customHeight="1" s="45">
      <c r="A24" s="68" t="inlineStr">
        <is>
          <t>Kanton UR</t>
        </is>
      </c>
      <c r="B24" s="69" t="inlineStr">
        <is>
          <t>Q2</t>
        </is>
      </c>
      <c r="C24" s="68" t="inlineStr">
        <is>
          <t>Layer</t>
        </is>
      </c>
      <c r="D24" s="70" t="inlineStr">
        <is>
          <t>Fruchtfolgeflächen, Natur-/Landschaftsinventare Uri</t>
        </is>
      </c>
      <c r="E24" s="68" t="inlineStr">
        <is>
          <t>–</t>
        </is>
      </c>
      <c r="F24" s="68" t="inlineStr">
        <is>
          <t>–</t>
        </is>
      </c>
      <c r="G24" s="68" t="inlineStr">
        <is>
          <t>Kanton UR</t>
        </is>
      </c>
      <c r="H24" s="68" t="inlineStr">
        <is>
          <t>öffentlich</t>
        </is>
      </c>
      <c r="I24" s="75" t="inlineStr">
        <is>
          <t>n. a.</t>
        </is>
      </c>
      <c r="J24" s="75" t="inlineStr">
        <is>
          <t>n. a.</t>
        </is>
      </c>
      <c r="K24" s="76" t="inlineStr">
        <is>
          <t>nicht belegt (Recherche offen)</t>
        </is>
      </c>
      <c r="L24" s="68" t="inlineStr">
        <is>
          <t>Landwirtschaft/FFF; Vernetzung</t>
        </is>
      </c>
      <c r="M24" s="72" t="inlineStr">
        <is>
          <t>https://geo.ur.ch</t>
        </is>
      </c>
      <c r="N24" s="73" t="inlineStr">
        <is>
          <t>Muster · ungetestet</t>
        </is>
      </c>
      <c r="O24" s="68" t="inlineStr">
        <is>
          <t>Ergänzung · tief</t>
        </is>
      </c>
      <c r="P24" s="68" t="n"/>
      <c r="Q24" s="68" t="inlineStr">
        <is>
          <t>Q-Bearbeitung: Volltextsuche in kant. Gesetzessammlung bzw. Layerliste im Geoportal; falls ohne Treffer → Anfrage Kantonale Fachstelle</t>
        </is>
      </c>
    </row>
    <row r="25" ht="19.5" customHeight="1" s="45">
      <c r="A25" s="66" t="inlineStr">
        <is>
          <t>GEMEINDE MÜNCHENSTEIN (BL)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</row>
    <row r="26" outlineLevel="1" ht="22.35" customHeight="1" s="45">
      <c r="A26" s="68" t="inlineStr">
        <is>
          <t>Gde Münchenstein</t>
        </is>
      </c>
      <c r="B26" s="69" t="inlineStr">
        <is>
          <t>Q2</t>
        </is>
      </c>
      <c r="C26" s="68" t="inlineStr">
        <is>
          <t>Plan / Reglement</t>
        </is>
      </c>
      <c r="D26" s="70" t="inlineStr">
        <is>
          <t>Natur- und Landschaftsschutzfestlegungen (Zonenvorschriften)</t>
        </is>
      </c>
      <c r="E26" s="68" t="inlineStr">
        <is>
          <t>–</t>
        </is>
      </c>
      <c r="F26" s="68" t="inlineStr">
        <is>
          <t>25.02.2025</t>
        </is>
      </c>
      <c r="G26" s="68" t="inlineStr">
        <is>
          <t>Gde Münchenstein</t>
        </is>
      </c>
      <c r="H26" s="68" t="inlineStr">
        <is>
          <t>öffentlich</t>
        </is>
      </c>
      <c r="I26" s="71" t="inlineStr">
        <is>
          <t>belegt</t>
        </is>
      </c>
      <c r="J26" s="75" t="inlineStr">
        <is>
          <t>n. a.</t>
        </is>
      </c>
      <c r="K26" s="75" t="inlineStr">
        <is>
          <t>n. a.</t>
        </is>
      </c>
      <c r="L26" s="68" t="inlineStr">
        <is>
          <t>Schutzflächen, Gewässerräume, Grünstrukturen prüfen (Schutzplan und GIS)</t>
        </is>
      </c>
      <c r="M26" s="72" t="inlineStr">
        <is>
          <t>https://oereblex.bl.ch/api/attachments/22718</t>
        </is>
      </c>
      <c r="N26" s="69" t="inlineStr">
        <is>
          <t>Kataster · ungetestet</t>
        </is>
      </c>
      <c r="O26" s="68" t="inlineStr">
        <is>
          <t>Katalog · hoch</t>
        </is>
      </c>
      <c r="P26" s="68" t="inlineStr">
        <is>
          <t>Zonenplan Landschaft / Gewässerraum als Layer prüfen</t>
        </is>
      </c>
      <c r="Q26" s="68" t="n"/>
    </row>
    <row r="27" outlineLevel="1" ht="22.35" customHeight="1" s="45">
      <c r="A27" s="68" t="inlineStr">
        <is>
          <t>Gde Münchenstein</t>
        </is>
      </c>
      <c r="B27" s="69" t="inlineStr">
        <is>
          <t>Q2</t>
        </is>
      </c>
      <c r="C27" s="68" t="inlineStr">
        <is>
          <t>Layer</t>
        </is>
      </c>
      <c r="D27" s="70" t="inlineStr">
        <is>
          <t>Geoportal Münchenstein (Nutzungsplanung, Grünstrukturen)</t>
        </is>
      </c>
      <c r="E27" s="68" t="inlineStr">
        <is>
          <t>–</t>
        </is>
      </c>
      <c r="F27" s="68" t="inlineStr">
        <is>
          <t>–</t>
        </is>
      </c>
      <c r="G27" s="68" t="inlineStr">
        <is>
          <t>Gde Münchenstein</t>
        </is>
      </c>
      <c r="H27" s="68" t="inlineStr">
        <is>
          <t>öffentlich</t>
        </is>
      </c>
      <c r="I27" s="76" t="inlineStr">
        <is>
          <t>nicht belegt (Recherche offen)</t>
        </is>
      </c>
      <c r="J27" s="75" t="inlineStr">
        <is>
          <t>n. a.</t>
        </is>
      </c>
      <c r="K27" s="75" t="inlineStr">
        <is>
          <t>n. a.</t>
        </is>
      </c>
      <c r="L27" s="68" t="inlineStr">
        <is>
          <t>Kommunale Layer</t>
        </is>
      </c>
      <c r="M27" s="72" t="inlineStr">
        <is>
          <t>https://www.geoportal.ch/muenchenstein</t>
        </is>
      </c>
      <c r="N27" s="73" t="inlineStr">
        <is>
          <t>Muster · ungetestet</t>
        </is>
      </c>
      <c r="O27" s="68" t="inlineStr">
        <is>
          <t>Ergänzung · tief</t>
        </is>
      </c>
      <c r="P27" s="68" t="n"/>
      <c r="Q27" s="68" t="inlineStr">
        <is>
          <t>Q-Bearbeitung: Website/Gesetzessammlung der Gemeinde; falls ohne Treffer → Datenanfrage Gemeinde</t>
        </is>
      </c>
    </row>
    <row r="28" ht="19.5" customHeight="1" s="45">
      <c r="A28" s="66" t="inlineStr">
        <is>
          <t>GEMEINDE WIL (SG)</t>
        </is>
      </c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</row>
    <row r="29" outlineLevel="1" ht="22.35" customHeight="1" s="45">
      <c r="A29" s="68" t="inlineStr">
        <is>
          <t>Gde Wil</t>
        </is>
      </c>
      <c r="B29" s="69" t="inlineStr">
        <is>
          <t>Q2</t>
        </is>
      </c>
      <c r="C29" s="68" t="inlineStr">
        <is>
          <t>Reglement / Plan</t>
        </is>
      </c>
      <c r="D29" s="70" t="inlineStr">
        <is>
          <t>Reglement zur Schutzverordnung und Schutzplan</t>
        </is>
      </c>
      <c r="E29" s="68" t="inlineStr">
        <is>
          <t>–</t>
        </is>
      </c>
      <c r="F29" s="68" t="inlineStr">
        <is>
          <t>31.08.2022</t>
        </is>
      </c>
      <c r="G29" s="68" t="inlineStr">
        <is>
          <t>Gde Wil</t>
        </is>
      </c>
      <c r="H29" s="68" t="inlineStr">
        <is>
          <t>öffentlich</t>
        </is>
      </c>
      <c r="I29" s="75" t="inlineStr">
        <is>
          <t>n. a.</t>
        </is>
      </c>
      <c r="J29" s="71" t="inlineStr">
        <is>
          <t>belegt</t>
        </is>
      </c>
      <c r="K29" s="75" t="inlineStr">
        <is>
          <t>n. a.</t>
        </is>
      </c>
      <c r="L29" s="68" t="inlineStr">
        <is>
          <t>Schutzflächen, Gewässerräume, Grünstrukturen prüfen</t>
        </is>
      </c>
      <c r="M29" s="72" t="inlineStr">
        <is>
          <t>https://cms.e-mitwirkung.ch/media/wil/Reglement_221013.pdf</t>
        </is>
      </c>
      <c r="N29" s="69" t="inlineStr">
        <is>
          <t>Kataster · ungetestet</t>
        </is>
      </c>
      <c r="O29" s="68" t="inlineStr">
        <is>
          <t>Katalog · hoch</t>
        </is>
      </c>
      <c r="P29" s="68" t="inlineStr">
        <is>
          <t>Schutzplan als Geodaten verifizieren</t>
        </is>
      </c>
      <c r="Q29" s="68" t="n"/>
    </row>
    <row r="30" outlineLevel="1" ht="22.35" customHeight="1" s="45">
      <c r="A30" s="68" t="inlineStr">
        <is>
          <t>Gde Wil</t>
        </is>
      </c>
      <c r="B30" s="69" t="inlineStr">
        <is>
          <t>Q2</t>
        </is>
      </c>
      <c r="C30" s="68" t="inlineStr">
        <is>
          <t>Layer</t>
        </is>
      </c>
      <c r="D30" s="70" t="inlineStr">
        <is>
          <t>Geoportal Wil (Nutzungsplanung, Schutzzonen)</t>
        </is>
      </c>
      <c r="E30" s="68" t="inlineStr">
        <is>
          <t>–</t>
        </is>
      </c>
      <c r="F30" s="68" t="inlineStr">
        <is>
          <t>–</t>
        </is>
      </c>
      <c r="G30" s="68" t="inlineStr">
        <is>
          <t>Gde Wil</t>
        </is>
      </c>
      <c r="H30" s="68" t="inlineStr">
        <is>
          <t>öffentlich</t>
        </is>
      </c>
      <c r="I30" s="75" t="inlineStr">
        <is>
          <t>n. a.</t>
        </is>
      </c>
      <c r="J30" s="76" t="inlineStr">
        <is>
          <t>nicht belegt (Recherche offen)</t>
        </is>
      </c>
      <c r="K30" s="75" t="inlineStr">
        <is>
          <t>n. a.</t>
        </is>
      </c>
      <c r="L30" s="68" t="inlineStr">
        <is>
          <t>Kommunale Layer</t>
        </is>
      </c>
      <c r="M30" s="72" t="inlineStr">
        <is>
          <t>https://www.geoportal.ch/wil_sg</t>
        </is>
      </c>
      <c r="N30" s="73" t="inlineStr">
        <is>
          <t>Muster · ungetestet</t>
        </is>
      </c>
      <c r="O30" s="68" t="inlineStr">
        <is>
          <t>Ergänzung · tief</t>
        </is>
      </c>
      <c r="P30" s="68" t="n"/>
      <c r="Q30" s="68" t="inlineStr">
        <is>
          <t>Q-Bearbeitung: Website/Gesetzessammlung der Gemeinde; falls ohne Treffer → Datenanfrage Gemeinde</t>
        </is>
      </c>
    </row>
    <row r="31" ht="19.5" customHeight="1" s="45">
      <c r="A31" s="66" t="inlineStr">
        <is>
          <t>GEMEINDE SEELISBERG (UR)</t>
        </is>
      </c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</row>
    <row r="32" outlineLevel="1" ht="22.35" customHeight="1" s="45">
      <c r="A32" s="68" t="inlineStr">
        <is>
          <t>Gde Seelisberg</t>
        </is>
      </c>
      <c r="B32" s="69" t="inlineStr">
        <is>
          <t>Q2</t>
        </is>
      </c>
      <c r="C32" s="68" t="inlineStr">
        <is>
          <t>Inventar</t>
        </is>
      </c>
      <c r="D32" s="70" t="inlineStr">
        <is>
          <t>Kommunales Schutzinventar Seelisberg (Inventarliste)</t>
        </is>
      </c>
      <c r="E32" s="68" t="inlineStr">
        <is>
          <t>–</t>
        </is>
      </c>
      <c r="F32" s="68" t="inlineStr">
        <is>
          <t>20.12.2022</t>
        </is>
      </c>
      <c r="G32" s="68" t="inlineStr">
        <is>
          <t>Gde Seelisberg</t>
        </is>
      </c>
      <c r="H32" s="68" t="inlineStr">
        <is>
          <t>öffentlich</t>
        </is>
      </c>
      <c r="I32" s="75" t="inlineStr">
        <is>
          <t>n. a.</t>
        </is>
      </c>
      <c r="J32" s="75" t="inlineStr">
        <is>
          <t>n. a.</t>
        </is>
      </c>
      <c r="K32" s="71" t="inlineStr">
        <is>
          <t>belegt</t>
        </is>
      </c>
      <c r="L32" s="68" t="inlineStr">
        <is>
          <t>Schutzflächen, Gewässerräume, Grünstrukturen prüfen (Schutzplan und GIS)</t>
        </is>
      </c>
      <c r="M32" s="72" t="inlineStr">
        <is>
          <t>https://www.ur.ch/_docn/385540/Inventarliste_Seelisberg_Website.pdf</t>
        </is>
      </c>
      <c r="N32" s="69" t="inlineStr">
        <is>
          <t>Kataster · ungetestet</t>
        </is>
      </c>
      <c r="O32" s="68" t="inlineStr">
        <is>
          <t>Katalog · hoch</t>
        </is>
      </c>
      <c r="P32" s="68" t="n"/>
      <c r="Q32" s="68" t="n"/>
    </row>
    <row r="33" outlineLevel="1" ht="22.35" customHeight="1" s="45">
      <c r="A33" s="68" t="inlineStr">
        <is>
          <t>Gde Seelisberg</t>
        </is>
      </c>
      <c r="B33" s="69" t="inlineStr">
        <is>
          <t>Q2</t>
        </is>
      </c>
      <c r="C33" s="68" t="inlineStr">
        <is>
          <t>Reglement</t>
        </is>
      </c>
      <c r="D33" s="70" t="inlineStr">
        <is>
          <t>BZO Art. 20–23 Schutzbestimmungen</t>
        </is>
      </c>
      <c r="E33" s="68" t="inlineStr">
        <is>
          <t>–</t>
        </is>
      </c>
      <c r="F33" s="68" t="inlineStr">
        <is>
          <t>01.01.2015</t>
        </is>
      </c>
      <c r="G33" s="68" t="inlineStr">
        <is>
          <t>Gde Seelisberg</t>
        </is>
      </c>
      <c r="H33" s="68" t="inlineStr">
        <is>
          <t>öffentlich</t>
        </is>
      </c>
      <c r="I33" s="75" t="inlineStr">
        <is>
          <t>n. a.</t>
        </is>
      </c>
      <c r="J33" s="75" t="inlineStr">
        <is>
          <t>n. a.</t>
        </is>
      </c>
      <c r="K33" s="71" t="inlineStr">
        <is>
          <t>belegt</t>
        </is>
      </c>
      <c r="L33" s="68" t="inlineStr">
        <is>
          <t>Schutzbestimmungen Landschaft/Natur</t>
        </is>
      </c>
      <c r="M33" s="72" t="inlineStr">
        <is>
          <t>https://www.seelisberg.ch/files/pdf/Bau-und-Zonenordnung-Seelisberg.pdf</t>
        </is>
      </c>
      <c r="N33" s="69" t="inlineStr">
        <is>
          <t>Kataster · ungetestet</t>
        </is>
      </c>
      <c r="O33" s="68" t="inlineStr">
        <is>
          <t>Katalog · hoch</t>
        </is>
      </c>
      <c r="P33" s="68" t="n"/>
      <c r="Q33" s="68" t="n"/>
    </row>
    <row r="34" ht="19.5" customHeight="1" s="45">
      <c r="A34" s="66" t="inlineStr">
        <is>
          <t>GEMEINDEN – nicht öffentliche Daten (Lieferung durch Gemeinde / Kanton)</t>
        </is>
      </c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</row>
    <row r="35" outlineLevel="1" ht="32.8" customHeight="1" s="45">
      <c r="A35" s="68" t="inlineStr">
        <is>
          <t>Gemeinden (alle)</t>
        </is>
      </c>
      <c r="B35" s="69" t="inlineStr">
        <is>
          <t>Q2</t>
        </is>
      </c>
      <c r="C35" s="68" t="inlineStr">
        <is>
          <t>Datensatz</t>
        </is>
      </c>
      <c r="D35" s="70" t="inlineStr">
        <is>
          <t>Detaillierte Biotop-/Artenfunddaten (z. B. Info Species), Naturschutzverträge, BFF-Bewirtschaftungsverträge</t>
        </is>
      </c>
      <c r="E35" s="68" t="inlineStr">
        <is>
          <t>–</t>
        </is>
      </c>
      <c r="F35" s="68" t="inlineStr">
        <is>
          <t>–</t>
        </is>
      </c>
      <c r="G35" s="68" t="inlineStr">
        <is>
          <t>Kanton / Fachstellen</t>
        </is>
      </c>
      <c r="H35" s="78" t="inlineStr">
        <is>
          <t>nicht öffentlich</t>
        </is>
      </c>
      <c r="I35" s="79" t="inlineStr">
        <is>
          <t>Datenanfrage (nicht öffentlich)</t>
        </is>
      </c>
      <c r="J35" s="79" t="inlineStr">
        <is>
          <t>Datenanfrage (nicht öffentlich)</t>
        </is>
      </c>
      <c r="K35" s="79" t="inlineStr">
        <is>
          <t>Datenanfrage (nicht öffentlich)</t>
        </is>
      </c>
      <c r="L35" s="68" t="inlineStr">
        <is>
          <t>Standortgenaue Artdaten und Verträge nur eingeschränkt zugänglich</t>
        </is>
      </c>
      <c r="M35" s="72" t="inlineStr">
        <is>
          <t>https://www.fedlex.admin.ch</t>
        </is>
      </c>
      <c r="N35" s="73" t="inlineStr">
        <is>
          <t>Einstiegsseite · ungetestet</t>
        </is>
      </c>
      <c r="O35" s="68" t="inlineStr">
        <is>
          <t>Ergänzung · mittel</t>
        </is>
      </c>
      <c r="P35" s="68" t="inlineStr">
        <is>
          <t>Existenz: hoch (Kanton führt Biotop-/Artdaten und Bewirtschaftungsverträge; NHG Art. 18b). Zugang: Auskunft Fachstelle, teils gesperrt</t>
        </is>
      </c>
      <c r="Q35" s="68" t="inlineStr">
        <is>
          <t>Datenanfrage an Gemeinde/Kanton (Vorlage: Liste «Daten, die die Gemeinde liefern muss»)</t>
        </is>
      </c>
    </row>
    <row r="36" outlineLevel="1" ht="22.35" customHeight="1" s="45">
      <c r="A36" s="68" t="inlineStr">
        <is>
          <t>Gemeinden (alle)</t>
        </is>
      </c>
      <c r="B36" s="69" t="inlineStr">
        <is>
          <t>Q2</t>
        </is>
      </c>
      <c r="C36" s="68" t="inlineStr">
        <is>
          <t>Datensatz</t>
        </is>
      </c>
      <c r="D36" s="70" t="inlineStr">
        <is>
          <t>Kommunale Pflege-/Unterhaltskonzepte Grünräume, Baumkataster</t>
        </is>
      </c>
      <c r="E36" s="68" t="inlineStr">
        <is>
          <t>–</t>
        </is>
      </c>
      <c r="F36" s="68" t="inlineStr">
        <is>
          <t>–</t>
        </is>
      </c>
      <c r="G36" s="68" t="inlineStr">
        <is>
          <t>Gemeinde</t>
        </is>
      </c>
      <c r="H36" s="78" t="inlineStr">
        <is>
          <t>nicht öffentlich</t>
        </is>
      </c>
      <c r="I36" s="79" t="inlineStr">
        <is>
          <t>Datenanfrage (nicht öffentlich)</t>
        </is>
      </c>
      <c r="J36" s="79" t="inlineStr">
        <is>
          <t>Datenanfrage (nicht öffentlich)</t>
        </is>
      </c>
      <c r="K36" s="79" t="inlineStr">
        <is>
          <t>Datenanfrage (nicht öffentlich)</t>
        </is>
      </c>
      <c r="L36" s="68" t="inlineStr">
        <is>
          <t>Grünraumbewirtschaftung</t>
        </is>
      </c>
      <c r="M36" s="72" t="inlineStr">
        <is>
          <t>https://www.fedlex.admin.ch</t>
        </is>
      </c>
      <c r="N36" s="73" t="inlineStr">
        <is>
          <t>Einstiegsseite · ungetestet</t>
        </is>
      </c>
      <c r="O36" s="68" t="inlineStr">
        <is>
          <t>Ergänzung · tief</t>
        </is>
      </c>
      <c r="P36" s="68" t="inlineStr">
        <is>
          <t>Existenz: unbekannt (fakultativ, Gemeindegrösse abhängig)</t>
        </is>
      </c>
      <c r="Q36" s="68" t="inlineStr">
        <is>
          <t>Datenanfrage an Gemeinde/Kanton (Vorlage: Liste «Daten, die die Gemeinde liefern muss»)</t>
        </is>
      </c>
    </row>
  </sheetData>
  <autoFilter ref="A5:Q36"/>
  <hyperlinks>
    <hyperlink xmlns:r="http://schemas.openxmlformats.org/officeDocument/2006/relationships" ref="M7" location="/map?lang=de&amp;center=2660000,1190000&amp;z=1&amp;bgLayer=ch.swisstopo.pixelkarte-grau&amp;layers=ch.bafu.bundesinventare-bln" display="https://map.geo.admin.ch/#/map?lang=de&amp;center=2660000,1190000&amp;z=1&amp;bgLayer=ch.swisstopo.pixelkarte-grau&amp;layers=ch.bafu.bundesinventare-bln" r:id="rId1"/>
    <hyperlink xmlns:r="http://schemas.openxmlformats.org/officeDocument/2006/relationships" ref="M8" location="/map?lang=de&amp;center=2660000,1190000&amp;z=1&amp;bgLayer=ch.swisstopo.pixelkarte-grau&amp;layers=ch.bafu.bundesinventare-hochmoore" display="https://map.geo.admin.ch/#/map?lang=de&amp;center=2660000,1190000&amp;z=1&amp;bgLayer=ch.swisstopo.pixelkarte-grau&amp;layers=ch.bafu.bundesinventare-hochmoore" r:id="rId2"/>
    <hyperlink xmlns:r="http://schemas.openxmlformats.org/officeDocument/2006/relationships" ref="M9" location="/map?lang=de&amp;center=2660000,1190000&amp;z=1&amp;bgLayer=ch.swisstopo.pixelkarte-grau&amp;layers=ch.bafu.bundesinventare-jagdbanngebiete" display="https://map.geo.admin.ch/#/map?lang=de&amp;center=2660000,1190000&amp;z=1&amp;bgLayer=ch.swisstopo.pixelkarte-grau&amp;layers=ch.bafu.bundesinventare-jagdbanngebiete" r:id="rId3"/>
    <hyperlink xmlns:r="http://schemas.openxmlformats.org/officeDocument/2006/relationships" ref="M10" location="/map?lang=de&amp;center=2660000,1190000&amp;z=1&amp;bgLayer=ch.swisstopo.pixelkarte-grau&amp;layers=ch.bafu.fauna-wildtierkorridore_national" display="https://map.geo.admin.ch/#/map?lang=de&amp;center=2660000,1190000&amp;z=1&amp;bgLayer=ch.swisstopo.pixelkarte-grau&amp;layers=ch.bafu.fauna-wildtierkorridore_national" r:id="rId4"/>
    <hyperlink xmlns:r="http://schemas.openxmlformats.org/officeDocument/2006/relationships" ref="M11" location="/map?lang=de&amp;center=2660000,1190000&amp;z=1&amp;bgLayer=ch.swisstopo.pixelkarte-grau&amp;layers=ch.bafu.waldreservate" display="https://map.geo.admin.ch/#/map?lang=de&amp;center=2660000,1190000&amp;z=1&amp;bgLayer=ch.swisstopo.pixelkarte-grau&amp;layers=ch.bafu.waldreservate" r:id="rId5"/>
    <hyperlink xmlns:r="http://schemas.openxmlformats.org/officeDocument/2006/relationships" ref="M12" display="https://www.are.admin.ch" r:id="rId6"/>
    <hyperlink xmlns:r="http://schemas.openxmlformats.org/officeDocument/2006/relationships" ref="M13" display="https://www.bafu.admin.ch" r:id="rId7"/>
    <hyperlink xmlns:r="http://schemas.openxmlformats.org/officeDocument/2006/relationships" ref="M14" display="https://map.geo.admin.ch" r:id="rId8"/>
    <hyperlink xmlns:r="http://schemas.openxmlformats.org/officeDocument/2006/relationships" ref="M15" display="https://www.are.admin.ch" r:id="rId9"/>
    <hyperlink xmlns:r="http://schemas.openxmlformats.org/officeDocument/2006/relationships" ref="M17" display="https://arp-daten.bl.ch/" r:id="rId10"/>
    <hyperlink xmlns:r="http://schemas.openxmlformats.org/officeDocument/2006/relationships" ref="M18" display="https://geoview.bl.ch" r:id="rId11"/>
    <hyperlink xmlns:r="http://schemas.openxmlformats.org/officeDocument/2006/relationships" ref="M20" display="https://www.geoportal.ch/ktsg" r:id="rId12"/>
    <hyperlink xmlns:r="http://schemas.openxmlformats.org/officeDocument/2006/relationships" ref="M21" display="https://www.geoportal.ch/ktsg" r:id="rId13"/>
    <hyperlink xmlns:r="http://schemas.openxmlformats.org/officeDocument/2006/relationships" ref="M23" display="https://geo.ur.ch" r:id="rId14"/>
    <hyperlink xmlns:r="http://schemas.openxmlformats.org/officeDocument/2006/relationships" ref="M24" display="https://geo.ur.ch" r:id="rId15"/>
    <hyperlink xmlns:r="http://schemas.openxmlformats.org/officeDocument/2006/relationships" ref="M26" display="https://oereblex.bl.ch/api/attachments/22718" r:id="rId16"/>
    <hyperlink xmlns:r="http://schemas.openxmlformats.org/officeDocument/2006/relationships" ref="M27" display="https://www.geoportal.ch/muenchenstein" r:id="rId17"/>
    <hyperlink xmlns:r="http://schemas.openxmlformats.org/officeDocument/2006/relationships" ref="M29" display="https://cms.e-mitwirkung.ch/media/wil/Reglement_221013.pdf" r:id="rId18"/>
    <hyperlink xmlns:r="http://schemas.openxmlformats.org/officeDocument/2006/relationships" ref="M30" display="https://www.geoportal.ch/wil_sg" r:id="rId19"/>
    <hyperlink xmlns:r="http://schemas.openxmlformats.org/officeDocument/2006/relationships" ref="M32" display="https://www.ur.ch/_docn/385540/Inventarliste_Seelisberg_Website.pdf" r:id="rId20"/>
    <hyperlink xmlns:r="http://schemas.openxmlformats.org/officeDocument/2006/relationships" ref="M33" display="https://www.seelisberg.ch/files/pdf/Bau-und-Zonenordnung-Seelisberg.pdf" r:id="rId21"/>
    <hyperlink xmlns:r="http://schemas.openxmlformats.org/officeDocument/2006/relationships" ref="M35" display="https://www.fedlex.admin.ch" r:id="rId22"/>
    <hyperlink xmlns:r="http://schemas.openxmlformats.org/officeDocument/2006/relationships" ref="M36" display="https://www.fedlex.admin.ch" r:id="rId23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3 · Q3 Klimaschutz, Energie und Ressourcen – Dokumente, Inventare, Geodaten</t>
        </is>
      </c>
    </row>
    <row r="2" ht="15" customHeight="1" s="45">
      <c r="A2" s="47" t="inlineStr">
        <is>
          <t>Kontext Raumentwicklung, Städteplanung, Bauvorschriften.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Q3</t>
        </is>
      </c>
      <c r="C7" s="68" t="inlineStr">
        <is>
          <t>Strategie</t>
        </is>
      </c>
      <c r="D7" s="70" t="inlineStr">
        <is>
          <t>Langfristige Klimastrategie der Schweiz 2050; Energieperspektiven 2050+</t>
        </is>
      </c>
      <c r="E7" s="68" t="inlineStr">
        <is>
          <t>–</t>
        </is>
      </c>
      <c r="F7" s="68" t="inlineStr">
        <is>
          <t>–</t>
        </is>
      </c>
      <c r="G7" s="68" t="inlineStr">
        <is>
          <t>BAFU / BFE</t>
        </is>
      </c>
      <c r="H7" s="68" t="inlineStr">
        <is>
          <t>öffentlich</t>
        </is>
      </c>
      <c r="I7" s="71" t="inlineStr">
        <is>
          <t>belegt</t>
        </is>
      </c>
      <c r="J7" s="71" t="inlineStr">
        <is>
          <t>belegt</t>
        </is>
      </c>
      <c r="K7" s="71" t="inlineStr">
        <is>
          <t>belegt</t>
        </is>
      </c>
      <c r="L7" s="68" t="inlineStr">
        <is>
          <t>Zielpfade Netto-Null, Gebäude- und Wärmesektor</t>
        </is>
      </c>
      <c r="M7" s="72" t="inlineStr">
        <is>
          <t>https://www.bafu.admin.ch</t>
        </is>
      </c>
      <c r="N7" s="73" t="inlineStr">
        <is>
          <t>Einstiegsseite · ungetestet</t>
        </is>
      </c>
      <c r="O7" s="68" t="inlineStr">
        <is>
          <t>Ergänzung · mittel</t>
        </is>
      </c>
      <c r="P7" s="68" t="n"/>
      <c r="Q7" s="68" t="inlineStr">
        <is>
          <t>Q-Bearbeitung: Dokument-URL auf der Behörden-Website ermitteln (Einstiegsseite verlinkt)</t>
        </is>
      </c>
    </row>
    <row r="8" outlineLevel="1" ht="32.8" customHeight="1" s="45">
      <c r="A8" s="68" t="inlineStr">
        <is>
          <t>Bund</t>
        </is>
      </c>
      <c r="B8" s="69" t="inlineStr">
        <is>
          <t>Q3</t>
        </is>
      </c>
      <c r="C8" s="68" t="inlineStr">
        <is>
          <t>Layer</t>
        </is>
      </c>
      <c r="D8" s="70" t="inlineStr">
        <is>
          <t>Sonnendach.ch / Sonnenfassade.ch (Solarpotenzial Dächer und Fassaden)</t>
        </is>
      </c>
      <c r="E8" s="68" t="inlineStr">
        <is>
          <t>–</t>
        </is>
      </c>
      <c r="F8" s="68" t="inlineStr">
        <is>
          <t>–</t>
        </is>
      </c>
      <c r="G8" s="68" t="inlineStr">
        <is>
          <t>BFE</t>
        </is>
      </c>
      <c r="H8" s="68" t="inlineStr">
        <is>
          <t>öffentlich</t>
        </is>
      </c>
      <c r="I8" s="77" t="inlineStr">
        <is>
          <t>belegt – Betroffenheit offen</t>
        </is>
      </c>
      <c r="J8" s="77" t="inlineStr">
        <is>
          <t>belegt – Betroffenheit offen</t>
        </is>
      </c>
      <c r="K8" s="77" t="inlineStr">
        <is>
          <t>belegt – Betroffenheit offen</t>
        </is>
      </c>
      <c r="L8" s="68" t="inlineStr">
        <is>
          <t>Solarpotenzial je Gebäude</t>
        </is>
      </c>
      <c r="M8" s="72" t="inlineStr">
        <is>
          <t>https://map.geo.admin.ch/#/map?lang=de&amp;center=2660000,1190000&amp;z=1&amp;bgLayer=ch.swisstopo.pixelkarte-grau&amp;layers=ch.bfe.solarenergie-eignung-daecher</t>
        </is>
      </c>
      <c r="N8" s="73" t="inlineStr">
        <is>
          <t>Muster · ungetestet</t>
        </is>
      </c>
      <c r="O8" s="68" t="inlineStr">
        <is>
          <t>Ergänzung · hoch</t>
        </is>
      </c>
      <c r="P8" s="68" t="n"/>
      <c r="Q8" s="68" t="inlineStr">
        <is>
          <t>Niklas/Nikolaos (GIS): Overlay mit Gemeindeperimeter – Layer-Link in Blatt 7_GIS_Layers; Ergebnis dort eintragen (ja/nein)</t>
        </is>
      </c>
    </row>
    <row r="9" outlineLevel="1" ht="22.35" customHeight="1" s="45">
      <c r="A9" s="68" t="inlineStr">
        <is>
          <t>Bund</t>
        </is>
      </c>
      <c r="B9" s="69" t="inlineStr">
        <is>
          <t>Q3</t>
        </is>
      </c>
      <c r="C9" s="68" t="inlineStr">
        <is>
          <t>Layer</t>
        </is>
      </c>
      <c r="D9" s="70" t="inlineStr">
        <is>
          <t>Geothermie-/Erdwärmesonden-Eignung, Windatlas, Wärmenetz-/Fernwärme-Potenzial</t>
        </is>
      </c>
      <c r="E9" s="68" t="inlineStr">
        <is>
          <t>–</t>
        </is>
      </c>
      <c r="F9" s="68" t="inlineStr">
        <is>
          <t>–</t>
        </is>
      </c>
      <c r="G9" s="68" t="inlineStr">
        <is>
          <t>BFE / swisstopo</t>
        </is>
      </c>
      <c r="H9" s="68" t="inlineStr">
        <is>
          <t>öffentlich</t>
        </is>
      </c>
      <c r="I9" s="76" t="inlineStr">
        <is>
          <t>nicht belegt (Recherche offen)</t>
        </is>
      </c>
      <c r="J9" s="76" t="inlineStr">
        <is>
          <t>nicht belegt (Recherche offen)</t>
        </is>
      </c>
      <c r="K9" s="76" t="inlineStr">
        <is>
          <t>nicht belegt (Recherche offen)</t>
        </is>
      </c>
      <c r="L9" s="68" t="inlineStr">
        <is>
          <t>Energieträger-Potenziale (Wärmeplanung)</t>
        </is>
      </c>
      <c r="M9" s="72" t="inlineStr">
        <is>
          <t>https://map.geo.admin.ch</t>
        </is>
      </c>
      <c r="N9" s="73" t="inlineStr">
        <is>
          <t>Muster · ungetestet</t>
        </is>
      </c>
      <c r="O9" s="68" t="inlineStr">
        <is>
          <t>Ergänzung · tief</t>
        </is>
      </c>
      <c r="P9" s="68" t="inlineStr">
        <is>
          <t>Verfügbarkeit je Layer prüfen</t>
        </is>
      </c>
      <c r="Q9" s="68" t="inlineStr">
        <is>
          <t>Q-Bearbeitung: Dokument-URL auf der Behörden-Website ermitteln (Einstiegsseite verlinkt)</t>
        </is>
      </c>
    </row>
    <row r="10" outlineLevel="1" ht="22.35" customHeight="1" s="45">
      <c r="A10" s="68" t="inlineStr">
        <is>
          <t>Bund</t>
        </is>
      </c>
      <c r="B10" s="69" t="inlineStr">
        <is>
          <t>Q3</t>
        </is>
      </c>
      <c r="C10" s="68" t="inlineStr">
        <is>
          <t>Statistik</t>
        </is>
      </c>
      <c r="D10" s="70" t="inlineStr">
        <is>
          <t>Gebäude- und Wohnungsregister (GWR): Heizungsart, Energieträger, Baujahr</t>
        </is>
      </c>
      <c r="E10" s="68" t="inlineStr">
        <is>
          <t>–</t>
        </is>
      </c>
      <c r="F10" s="68" t="inlineStr">
        <is>
          <t>–</t>
        </is>
      </c>
      <c r="G10" s="68" t="inlineStr">
        <is>
          <t>BFS</t>
        </is>
      </c>
      <c r="H10" s="68" t="inlineStr">
        <is>
          <t>öffentlich</t>
        </is>
      </c>
      <c r="I10" s="71" t="inlineStr">
        <is>
          <t>belegt</t>
        </is>
      </c>
      <c r="J10" s="71" t="inlineStr">
        <is>
          <t>belegt</t>
        </is>
      </c>
      <c r="K10" s="71" t="inlineStr">
        <is>
          <t>belegt</t>
        </is>
      </c>
      <c r="L10" s="68" t="inlineStr">
        <is>
          <t>Energieträger- und Gebäudebestand je Gemeinde</t>
        </is>
      </c>
      <c r="M10" s="72" t="inlineStr">
        <is>
          <t>https://map.geo.admin.ch/#/map?lang=de&amp;center=2660000,1190000&amp;z=1&amp;bgLayer=ch.swisstopo.pixelkarte-grau&amp;layers=ch.bfs.gebaeude_wohnungs_register</t>
        </is>
      </c>
      <c r="N10" s="73" t="inlineStr">
        <is>
          <t>Muster · ungetestet</t>
        </is>
      </c>
      <c r="O10" s="68" t="inlineStr">
        <is>
          <t>Ergänzung · hoch</t>
        </is>
      </c>
      <c r="P10" s="68" t="n"/>
      <c r="Q10" s="68" t="n"/>
    </row>
    <row r="11" outlineLevel="1" ht="22.35" customHeight="1" s="45">
      <c r="A11" s="68" t="inlineStr">
        <is>
          <t>Bund</t>
        </is>
      </c>
      <c r="B11" s="69" t="inlineStr">
        <is>
          <t>Q3</t>
        </is>
      </c>
      <c r="C11" s="68" t="inlineStr">
        <is>
          <t>Statistik</t>
        </is>
      </c>
      <c r="D11" s="70" t="inlineStr">
        <is>
          <t>Treibhausgasinventar / Gemeinde-Energie- und CO₂-Bilanzen</t>
        </is>
      </c>
      <c r="E11" s="68" t="inlineStr">
        <is>
          <t>–</t>
        </is>
      </c>
      <c r="F11" s="68" t="inlineStr">
        <is>
          <t>–</t>
        </is>
      </c>
      <c r="G11" s="68" t="inlineStr">
        <is>
          <t>BAFU / BFE</t>
        </is>
      </c>
      <c r="H11" s="68" t="inlineStr">
        <is>
          <t>teilw. öffentlich</t>
        </is>
      </c>
      <c r="I11" s="76" t="inlineStr">
        <is>
          <t>nicht belegt (Recherche offen)</t>
        </is>
      </c>
      <c r="J11" s="76" t="inlineStr">
        <is>
          <t>nicht belegt (Recherche offen)</t>
        </is>
      </c>
      <c r="K11" s="76" t="inlineStr">
        <is>
          <t>nicht belegt (Recherche offen)</t>
        </is>
      </c>
      <c r="L11" s="68" t="inlineStr">
        <is>
          <t>Ausgangslage für CO₂-Absenkpfad</t>
        </is>
      </c>
      <c r="M11" s="72" t="inlineStr">
        <is>
          <t>https://www.bafu.admin.ch</t>
        </is>
      </c>
      <c r="N11" s="73" t="inlineStr">
        <is>
          <t>Einstiegsseite · ungetestet</t>
        </is>
      </c>
      <c r="O11" s="68" t="inlineStr">
        <is>
          <t>Ergänzung · tief</t>
        </is>
      </c>
      <c r="P11" s="68" t="n"/>
      <c r="Q11" s="68" t="inlineStr">
        <is>
          <t>Q-Bearbeitung: Dokument-URL auf der Behörden-Website ermitteln (Einstiegsseite verlinkt)</t>
        </is>
      </c>
    </row>
    <row r="12" outlineLevel="1" ht="22.35" customHeight="1" s="45">
      <c r="A12" s="68" t="inlineStr">
        <is>
          <t>Bund</t>
        </is>
      </c>
      <c r="B12" s="69" t="inlineStr">
        <is>
          <t>Q3</t>
        </is>
      </c>
      <c r="C12" s="68" t="inlineStr">
        <is>
          <t>Norm / Standard</t>
        </is>
      </c>
      <c r="D12" s="70" t="inlineStr">
        <is>
          <t>MuKEn 2014 (Mustervorschriften der Kantone), SIA 2040, SIA 2032 (Graue Energie), SNBS Hochbau, Minergie</t>
        </is>
      </c>
      <c r="E12" s="68" t="inlineStr">
        <is>
          <t>–</t>
        </is>
      </c>
      <c r="F12" s="68" t="inlineStr">
        <is>
          <t>–</t>
        </is>
      </c>
      <c r="G12" s="68" t="inlineStr">
        <is>
          <t>EnDK / SIA / NNBS</t>
        </is>
      </c>
      <c r="H12" s="68" t="inlineStr">
        <is>
          <t>kostenpflichtig (Norm)</t>
        </is>
      </c>
      <c r="I12" s="71" t="inlineStr">
        <is>
          <t>belegt</t>
        </is>
      </c>
      <c r="J12" s="71" t="inlineStr">
        <is>
          <t>belegt</t>
        </is>
      </c>
      <c r="K12" s="71" t="inlineStr">
        <is>
          <t>belegt</t>
        </is>
      </c>
      <c r="L12" s="68" t="inlineStr">
        <is>
          <t>Referenzrahmen Gebäudestandard, graue Energie, Ressourcen</t>
        </is>
      </c>
      <c r="M12" s="72" t="inlineStr">
        <is>
          <t>https://www.sia.ch</t>
        </is>
      </c>
      <c r="N12" s="73" t="inlineStr">
        <is>
          <t>Einstiegsseite · ungetestet</t>
        </is>
      </c>
      <c r="O12" s="68" t="inlineStr">
        <is>
          <t>Ergänzung · mittel</t>
        </is>
      </c>
      <c r="P12" s="68" t="inlineStr">
        <is>
          <t>Normen kostenpflichtig; Anwendung gemeindespezifisch</t>
        </is>
      </c>
      <c r="Q12" s="68" t="inlineStr">
        <is>
          <t>Q-Bearbeitung: Dokument-URL auf der Behörden-Website ermitteln (Einstiegsseite verlinkt)</t>
        </is>
      </c>
    </row>
    <row r="13" ht="19.5" customHeight="1" s="45">
      <c r="A13" s="66" t="inlineStr">
        <is>
          <t>KANTON BASEL-LANDSCHAFT  →  Münchenstein</t>
        </is>
      </c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</row>
    <row r="14" outlineLevel="1" ht="22.35" customHeight="1" s="45">
      <c r="A14" s="68" t="inlineStr">
        <is>
          <t>Kanton BL</t>
        </is>
      </c>
      <c r="B14" s="69" t="inlineStr">
        <is>
          <t>Q3</t>
        </is>
      </c>
      <c r="C14" s="68" t="inlineStr">
        <is>
          <t>Gesetz</t>
        </is>
      </c>
      <c r="D14" s="70" t="inlineStr">
        <is>
          <t>Energiegesetz BL (EnG BL)</t>
        </is>
      </c>
      <c r="E14" s="68" t="inlineStr">
        <is>
          <t>SGS 490</t>
        </is>
      </c>
      <c r="F14" s="68" t="inlineStr">
        <is>
          <t>01.03.2025</t>
        </is>
      </c>
      <c r="G14" s="68" t="inlineStr">
        <is>
          <t>Kanton BL</t>
        </is>
      </c>
      <c r="H14" s="68" t="inlineStr">
        <is>
          <t>öffentlich</t>
        </is>
      </c>
      <c r="I14" s="71" t="inlineStr">
        <is>
          <t>belegt</t>
        </is>
      </c>
      <c r="J14" s="75" t="inlineStr">
        <is>
          <t>n. a.</t>
        </is>
      </c>
      <c r="K14" s="75" t="inlineStr">
        <is>
          <t>n. a.</t>
        </is>
      </c>
      <c r="L14" s="68" t="inlineStr">
        <is>
          <t>Gebäudeenergie, Wärmeerzeugung, Solarpflichten</t>
        </is>
      </c>
      <c r="M14" s="72" t="inlineStr">
        <is>
          <t>https://bl.clex.ch/app/de/texts_of_law/490</t>
        </is>
      </c>
      <c r="N14" s="69" t="inlineStr">
        <is>
          <t>Kataster · ungetestet</t>
        </is>
      </c>
      <c r="O14" s="68" t="inlineStr">
        <is>
          <t>Katalog · hoch</t>
        </is>
      </c>
      <c r="P14" s="68" t="n"/>
      <c r="Q14" s="68" t="n"/>
    </row>
    <row r="15" outlineLevel="1" ht="32.8" customHeight="1" s="45">
      <c r="A15" s="68" t="inlineStr">
        <is>
          <t>Kanton BL</t>
        </is>
      </c>
      <c r="B15" s="69" t="inlineStr">
        <is>
          <t>Q3</t>
        </is>
      </c>
      <c r="C15" s="68" t="inlineStr">
        <is>
          <t>Konzept / Layer</t>
        </is>
      </c>
      <c r="D15" s="70" t="inlineStr">
        <is>
          <t>Kantonale Energieplanung BL, Energie-/Klimastrategie, Solar-/Wärmepotenzial im Geoportal</t>
        </is>
      </c>
      <c r="E15" s="68" t="inlineStr">
        <is>
          <t>–</t>
        </is>
      </c>
      <c r="F15" s="68" t="inlineStr">
        <is>
          <t>–</t>
        </is>
      </c>
      <c r="G15" s="68" t="inlineStr">
        <is>
          <t>Kanton BL</t>
        </is>
      </c>
      <c r="H15" s="68" t="inlineStr">
        <is>
          <t>öffentlich</t>
        </is>
      </c>
      <c r="I15" s="76" t="inlineStr">
        <is>
          <t>nicht belegt (Recherche offen)</t>
        </is>
      </c>
      <c r="J15" s="75" t="inlineStr">
        <is>
          <t>n. a.</t>
        </is>
      </c>
      <c r="K15" s="75" t="inlineStr">
        <is>
          <t>n. a.</t>
        </is>
      </c>
      <c r="L15" s="68" t="inlineStr">
        <is>
          <t>Kantonale Zielpfade, Planungsgrundlagen</t>
        </is>
      </c>
      <c r="M15" s="72" t="inlineStr">
        <is>
          <t>https://geoview.bl.ch</t>
        </is>
      </c>
      <c r="N15" s="73" t="inlineStr">
        <is>
          <t>Muster · ungetestet</t>
        </is>
      </c>
      <c r="O15" s="68" t="inlineStr">
        <is>
          <t>Ergänzung · tief</t>
        </is>
      </c>
      <c r="P15" s="68" t="n"/>
      <c r="Q15" s="68" t="inlineStr">
        <is>
          <t>Q-Bearbeitung: Volltextsuche in kant. Gesetzessammlung bzw. Layerliste im Geoportal; falls ohne Treffer → Anfrage Kantonale Fachstelle</t>
        </is>
      </c>
    </row>
    <row r="16" ht="19.5" customHeight="1" s="45">
      <c r="A16" s="66" t="inlineStr">
        <is>
          <t>KANTON ST. GALLEN  →  Wil</t>
        </is>
      </c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</row>
    <row r="17" outlineLevel="1" ht="22.35" customHeight="1" s="45">
      <c r="A17" s="68" t="inlineStr">
        <is>
          <t>Kanton SG</t>
        </is>
      </c>
      <c r="B17" s="69" t="inlineStr">
        <is>
          <t>Q3</t>
        </is>
      </c>
      <c r="C17" s="68" t="inlineStr">
        <is>
          <t>Gesetz</t>
        </is>
      </c>
      <c r="D17" s="70" t="inlineStr">
        <is>
          <t>Energiegesetz SG</t>
        </is>
      </c>
      <c r="E17" s="68" t="inlineStr">
        <is>
          <t>sGS 741.1</t>
        </is>
      </c>
      <c r="F17" s="68" t="inlineStr">
        <is>
          <t>01.07.2021</t>
        </is>
      </c>
      <c r="G17" s="68" t="inlineStr">
        <is>
          <t>Kanton SG</t>
        </is>
      </c>
      <c r="H17" s="68" t="inlineStr">
        <is>
          <t>öffentlich</t>
        </is>
      </c>
      <c r="I17" s="75" t="inlineStr">
        <is>
          <t>n. a.</t>
        </is>
      </c>
      <c r="J17" s="71" t="inlineStr">
        <is>
          <t>belegt</t>
        </is>
      </c>
      <c r="K17" s="75" t="inlineStr">
        <is>
          <t>n. a.</t>
        </is>
      </c>
      <c r="L17" s="68" t="inlineStr">
        <is>
          <t>Gebäudeenergie, Wärmeerzeugung, Solarpflichten</t>
        </is>
      </c>
      <c r="M17" s="72" t="inlineStr">
        <is>
          <t>https://www.gesetzessammlung.sg.ch/app/de/texts_of_law/741.1</t>
        </is>
      </c>
      <c r="N17" s="69" t="inlineStr">
        <is>
          <t>Kataster · ungetestet</t>
        </is>
      </c>
      <c r="O17" s="68" t="inlineStr">
        <is>
          <t>Katalog · hoch</t>
        </is>
      </c>
      <c r="P17" s="68" t="n"/>
      <c r="Q17" s="68" t="n"/>
    </row>
    <row r="18" outlineLevel="1" ht="32.8" customHeight="1" s="45">
      <c r="A18" s="68" t="inlineStr">
        <is>
          <t>Kanton SG</t>
        </is>
      </c>
      <c r="B18" s="69" t="inlineStr">
        <is>
          <t>Q3</t>
        </is>
      </c>
      <c r="C18" s="68" t="inlineStr">
        <is>
          <t>Konzept / Layer</t>
        </is>
      </c>
      <c r="D18" s="70" t="inlineStr">
        <is>
          <t>Kantonales Energiekonzept SG, Wärme-/Solarpotenzial im Geoportal</t>
        </is>
      </c>
      <c r="E18" s="68" t="inlineStr">
        <is>
          <t>–</t>
        </is>
      </c>
      <c r="F18" s="68" t="inlineStr">
        <is>
          <t>–</t>
        </is>
      </c>
      <c r="G18" s="68" t="inlineStr">
        <is>
          <t>Kanton SG</t>
        </is>
      </c>
      <c r="H18" s="68" t="inlineStr">
        <is>
          <t>öffentlich</t>
        </is>
      </c>
      <c r="I18" s="75" t="inlineStr">
        <is>
          <t>n. a.</t>
        </is>
      </c>
      <c r="J18" s="76" t="inlineStr">
        <is>
          <t>nicht belegt (Recherche offen)</t>
        </is>
      </c>
      <c r="K18" s="75" t="inlineStr">
        <is>
          <t>n. a.</t>
        </is>
      </c>
      <c r="L18" s="68" t="inlineStr">
        <is>
          <t>Kantonale Zielpfade, Planungsgrundlagen</t>
        </is>
      </c>
      <c r="M18" s="72" t="inlineStr">
        <is>
          <t>https://www.geoportal.ch/ktsg</t>
        </is>
      </c>
      <c r="N18" s="73" t="inlineStr">
        <is>
          <t>Muster · ungetestet</t>
        </is>
      </c>
      <c r="O18" s="68" t="inlineStr">
        <is>
          <t>Ergänzung · tief</t>
        </is>
      </c>
      <c r="P18" s="68" t="n"/>
      <c r="Q18" s="68" t="inlineStr">
        <is>
          <t>Q-Bearbeitung: Volltextsuche in kant. Gesetzessammlung bzw. Layerliste im Geoportal; falls ohne Treffer → Anfrage Kantonale Fachstelle</t>
        </is>
      </c>
    </row>
    <row r="19" ht="19.5" customHeight="1" s="45">
      <c r="A19" s="66" t="inlineStr">
        <is>
          <t>KANTON URI  →  Seelisberg</t>
        </is>
      </c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</row>
    <row r="20" outlineLevel="1" ht="22.35" customHeight="1" s="45">
      <c r="A20" s="68" t="inlineStr">
        <is>
          <t>Kanton UR</t>
        </is>
      </c>
      <c r="B20" s="69" t="inlineStr">
        <is>
          <t>Q3</t>
        </is>
      </c>
      <c r="C20" s="68" t="inlineStr">
        <is>
          <t>Gesetz</t>
        </is>
      </c>
      <c r="D20" s="70" t="inlineStr">
        <is>
          <t>Kantonale Energiegesetzgebung Uri</t>
        </is>
      </c>
      <c r="E20" s="68" t="inlineStr">
        <is>
          <t>RB 40.7211</t>
        </is>
      </c>
      <c r="F20" s="68" t="inlineStr">
        <is>
          <t>Katalog: 01.01.2000</t>
        </is>
      </c>
      <c r="G20" s="68" t="inlineStr">
        <is>
          <t>Kanton UR</t>
        </is>
      </c>
      <c r="H20" s="68" t="inlineStr">
        <is>
          <t>öffentlich</t>
        </is>
      </c>
      <c r="I20" s="75" t="inlineStr">
        <is>
          <t>n. a.</t>
        </is>
      </c>
      <c r="J20" s="75" t="inlineStr">
        <is>
          <t>n. a.</t>
        </is>
      </c>
      <c r="K20" s="71" t="inlineStr">
        <is>
          <t>belegt</t>
        </is>
      </c>
      <c r="L20" s="68" t="inlineStr">
        <is>
          <t>Gebäudeenergie, Wärmeerzeugung, Solarpflichten</t>
        </is>
      </c>
      <c r="M20" s="72" t="inlineStr">
        <is>
          <t>https://rechtsbuch.ur.ch/app/de/texts_of_law/40.7211</t>
        </is>
      </c>
      <c r="N20" s="69" t="inlineStr">
        <is>
          <t>Kataster · ungetestet</t>
        </is>
      </c>
      <c r="O20" s="68" t="inlineStr">
        <is>
          <t>Katalog · hoch</t>
        </is>
      </c>
      <c r="P20" s="68" t="inlineStr">
        <is>
          <t>Aktuelle Fassung prüfen</t>
        </is>
      </c>
      <c r="Q20" s="68" t="n"/>
    </row>
    <row r="21" outlineLevel="1" ht="32.8" customHeight="1" s="45">
      <c r="A21" s="68" t="inlineStr">
        <is>
          <t>Kanton UR</t>
        </is>
      </c>
      <c r="B21" s="69" t="inlineStr">
        <is>
          <t>Q3</t>
        </is>
      </c>
      <c r="C21" s="68" t="inlineStr">
        <is>
          <t>Konzept</t>
        </is>
      </c>
      <c r="D21" s="70" t="inlineStr">
        <is>
          <t>Energie-/Klimastrategie Uri, kantonale Energieplanung</t>
        </is>
      </c>
      <c r="E21" s="68" t="inlineStr">
        <is>
          <t>–</t>
        </is>
      </c>
      <c r="F21" s="68" t="inlineStr">
        <is>
          <t>–</t>
        </is>
      </c>
      <c r="G21" s="68" t="inlineStr">
        <is>
          <t>Kanton UR</t>
        </is>
      </c>
      <c r="H21" s="68" t="inlineStr">
        <is>
          <t>öffentlich</t>
        </is>
      </c>
      <c r="I21" s="75" t="inlineStr">
        <is>
          <t>n. a.</t>
        </is>
      </c>
      <c r="J21" s="75" t="inlineStr">
        <is>
          <t>n. a.</t>
        </is>
      </c>
      <c r="K21" s="76" t="inlineStr">
        <is>
          <t>nicht belegt (Recherche offen)</t>
        </is>
      </c>
      <c r="L21" s="68" t="inlineStr">
        <is>
          <t>Kantonale Zielpfade</t>
        </is>
      </c>
      <c r="M21" s="72" t="inlineStr">
        <is>
          <t>https://www.ur.ch</t>
        </is>
      </c>
      <c r="N21" s="73" t="inlineStr">
        <is>
          <t>Einstiegsseite · ungetestet</t>
        </is>
      </c>
      <c r="O21" s="68" t="inlineStr">
        <is>
          <t>Ergänzung · tief</t>
        </is>
      </c>
      <c r="P21" s="68" t="n"/>
      <c r="Q21" s="68" t="inlineStr">
        <is>
          <t>Q-Bearbeitung: Volltextsuche in kant. Gesetzessammlung bzw. Layerliste im Geoportal; falls ohne Treffer → Anfrage Kantonale Fachstelle</t>
        </is>
      </c>
    </row>
    <row r="22" ht="19.5" customHeight="1" s="45">
      <c r="A22" s="66" t="inlineStr">
        <is>
          <t>GEMEINDE MÜNCHENSTEIN (BL)</t>
        </is>
      </c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</row>
    <row r="23" outlineLevel="1" ht="22.35" customHeight="1" s="45">
      <c r="A23" s="68" t="inlineStr">
        <is>
          <t>Gde Münchenstein</t>
        </is>
      </c>
      <c r="B23" s="69" t="inlineStr">
        <is>
          <t>Q3</t>
        </is>
      </c>
      <c r="C23" s="68" t="inlineStr">
        <is>
          <t>Plan / Reglement</t>
        </is>
      </c>
      <c r="D23" s="70" t="inlineStr">
        <is>
          <t>Kommunale Energieplanung / Wärmeversorgung</t>
        </is>
      </c>
      <c r="E23" s="68" t="inlineStr">
        <is>
          <t>–</t>
        </is>
      </c>
      <c r="F23" s="68" t="inlineStr">
        <is>
          <t>25.02.2025</t>
        </is>
      </c>
      <c r="G23" s="68" t="inlineStr">
        <is>
          <t>Gde Münchenstein</t>
        </is>
      </c>
      <c r="H23" s="68" t="inlineStr">
        <is>
          <t>öffentlich</t>
        </is>
      </c>
      <c r="I23" s="71" t="inlineStr">
        <is>
          <t>belegt</t>
        </is>
      </c>
      <c r="J23" s="75" t="inlineStr">
        <is>
          <t>n. a.</t>
        </is>
      </c>
      <c r="K23" s="75" t="inlineStr">
        <is>
          <t>n. a.</t>
        </is>
      </c>
      <c r="L23" s="68" t="inlineStr">
        <is>
          <t>Allfällige verbindliche Anschluss- oder Versorgungsregeln (Energie-/Wärmeplanabgleich)</t>
        </is>
      </c>
      <c r="M23" s="72" t="inlineStr">
        <is>
          <t>https://oereblex.bl.ch/api/attachments/22718</t>
        </is>
      </c>
      <c r="N23" s="69" t="inlineStr">
        <is>
          <t>Kataster · ungetestet</t>
        </is>
      </c>
      <c r="O23" s="68" t="inlineStr">
        <is>
          <t>Katalog · hoch</t>
        </is>
      </c>
      <c r="P23" s="68" t="inlineStr">
        <is>
          <t>Link identisch mit Zonenvorschriften → eigene Energieplanung separat suchen</t>
        </is>
      </c>
      <c r="Q23" s="68" t="n"/>
    </row>
    <row r="24" outlineLevel="1" ht="22.35" customHeight="1" s="45">
      <c r="A24" s="68" t="inlineStr">
        <is>
          <t>Gde Münchenstein</t>
        </is>
      </c>
      <c r="B24" s="69" t="inlineStr">
        <is>
          <t>Q3</t>
        </is>
      </c>
      <c r="C24" s="68" t="inlineStr">
        <is>
          <t>Label</t>
        </is>
      </c>
      <c r="D24" s="70" t="inlineStr">
        <is>
          <t>Energiestadt-Label / kommunale Klimaziele</t>
        </is>
      </c>
      <c r="E24" s="68" t="inlineStr">
        <is>
          <t>–</t>
        </is>
      </c>
      <c r="F24" s="68" t="inlineStr">
        <is>
          <t>–</t>
        </is>
      </c>
      <c r="G24" s="68" t="inlineStr">
        <is>
          <t>Gde Münchenstein</t>
        </is>
      </c>
      <c r="H24" s="68" t="inlineStr">
        <is>
          <t>öffentlich</t>
        </is>
      </c>
      <c r="I24" s="76" t="inlineStr">
        <is>
          <t>nicht belegt (Recherche offen)</t>
        </is>
      </c>
      <c r="J24" s="75" t="inlineStr">
        <is>
          <t>n. a.</t>
        </is>
      </c>
      <c r="K24" s="75" t="inlineStr">
        <is>
          <t>n. a.</t>
        </is>
      </c>
      <c r="L24" s="68" t="inlineStr">
        <is>
          <t>Energiepolitisches Leitbild</t>
        </is>
      </c>
      <c r="M24" s="72" t="inlineStr">
        <is>
          <t>https://www.muenchenstein.ch</t>
        </is>
      </c>
      <c r="N24" s="73" t="inlineStr">
        <is>
          <t>Einstiegsseite · ungetestet</t>
        </is>
      </c>
      <c r="O24" s="68" t="inlineStr">
        <is>
          <t>Ergänzung · tief</t>
        </is>
      </c>
      <c r="P24" s="68" t="n"/>
      <c r="Q24" s="68" t="inlineStr">
        <is>
          <t>Q-Bearbeitung: Website/Gesetzessammlung der Gemeinde; falls ohne Treffer → Datenanfrage Gemeinde</t>
        </is>
      </c>
    </row>
    <row r="25" ht="19.5" customHeight="1" s="45">
      <c r="A25" s="66" t="inlineStr">
        <is>
          <t>GEMEINDE WIL (SG)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</row>
    <row r="26" outlineLevel="1" ht="22.35" customHeight="1" s="45">
      <c r="A26" s="68" t="inlineStr">
        <is>
          <t>Gde Wil</t>
        </is>
      </c>
      <c r="B26" s="69" t="inlineStr">
        <is>
          <t>Q3</t>
        </is>
      </c>
      <c r="C26" s="68" t="inlineStr">
        <is>
          <t>Programm</t>
        </is>
      </c>
      <c r="D26" s="70" t="inlineStr">
        <is>
          <t>Kommunales Klimaprogramm Stadt Wil</t>
        </is>
      </c>
      <c r="E26" s="68" t="inlineStr">
        <is>
          <t>–</t>
        </is>
      </c>
      <c r="F26" s="68" t="inlineStr">
        <is>
          <t>Katalog: kein Stand</t>
        </is>
      </c>
      <c r="G26" s="68" t="inlineStr">
        <is>
          <t>Gde Wil</t>
        </is>
      </c>
      <c r="H26" s="68" t="inlineStr">
        <is>
          <t>öffentlich</t>
        </is>
      </c>
      <c r="I26" s="75" t="inlineStr">
        <is>
          <t>n. a.</t>
        </is>
      </c>
      <c r="J26" s="71" t="inlineStr">
        <is>
          <t>belegt</t>
        </is>
      </c>
      <c r="K26" s="75" t="inlineStr">
        <is>
          <t>n. a.</t>
        </is>
      </c>
      <c r="L26" s="68" t="inlineStr">
        <is>
          <t>Klimaziele, Massnahmen; Verbindlichkeit prüfen (Programm ≠ Erlass)</t>
        </is>
      </c>
      <c r="M26" s="72" t="inlineStr">
        <is>
          <t>https://www.stadtwil.ch/storage/0c6b26d62a364629241b9c9e4535a6b58c82d46aeb166b034ae96c29862a1331</t>
        </is>
      </c>
      <c r="N26" s="69" t="inlineStr">
        <is>
          <t>Kataster · ungetestet</t>
        </is>
      </c>
      <c r="O26" s="68" t="inlineStr">
        <is>
          <t>Katalog · hoch</t>
        </is>
      </c>
      <c r="P26" s="68" t="inlineStr">
        <is>
          <t>Stand ergänzen</t>
        </is>
      </c>
      <c r="Q26" s="68" t="n"/>
    </row>
    <row r="27" outlineLevel="1" ht="22.35" customHeight="1" s="45">
      <c r="A27" s="68" t="inlineStr">
        <is>
          <t>Gde Wil</t>
        </is>
      </c>
      <c r="B27" s="69" t="inlineStr">
        <is>
          <t>Q3</t>
        </is>
      </c>
      <c r="C27" s="68" t="inlineStr">
        <is>
          <t>Plan / Reglement</t>
        </is>
      </c>
      <c r="D27" s="70" t="inlineStr">
        <is>
          <t>Kommunale Energieplanung / Wärmeversorgung</t>
        </is>
      </c>
      <c r="E27" s="68" t="inlineStr">
        <is>
          <t>SRS 7.1-1</t>
        </is>
      </c>
      <c r="F27" s="68" t="inlineStr">
        <is>
          <t>01.03.2021</t>
        </is>
      </c>
      <c r="G27" s="68" t="inlineStr">
        <is>
          <t>Gde Wil</t>
        </is>
      </c>
      <c r="H27" s="68" t="inlineStr">
        <is>
          <t>öffentlich</t>
        </is>
      </c>
      <c r="I27" s="75" t="inlineStr">
        <is>
          <t>n. a.</t>
        </is>
      </c>
      <c r="J27" s="71" t="inlineStr">
        <is>
          <t>belegt</t>
        </is>
      </c>
      <c r="K27" s="75" t="inlineStr">
        <is>
          <t>n. a.</t>
        </is>
      </c>
      <c r="L27" s="68" t="inlineStr">
        <is>
          <t>Allfällige Anschluss-/Versorgungsregeln (Energie-/Wärmeplanabgleich)</t>
        </is>
      </c>
      <c r="M27" s="72" t="inlineStr">
        <is>
          <t>https://wil-sg.tlex.ch/app/de/texts_of_law/7.1-1</t>
        </is>
      </c>
      <c r="N27" s="69" t="inlineStr">
        <is>
          <t>Kataster · ungetestet</t>
        </is>
      </c>
      <c r="O27" s="68" t="inlineStr">
        <is>
          <t>Katalog · hoch</t>
        </is>
      </c>
      <c r="P27" s="68" t="inlineStr">
        <is>
          <t>Link identisch mit Baureglement → eigene Energieplanung separat suchen</t>
        </is>
      </c>
      <c r="Q27" s="68" t="n"/>
    </row>
    <row r="28" outlineLevel="1" ht="22.35" customHeight="1" s="45">
      <c r="A28" s="68" t="inlineStr">
        <is>
          <t>Gde Wil</t>
        </is>
      </c>
      <c r="B28" s="69" t="inlineStr">
        <is>
          <t>Q3</t>
        </is>
      </c>
      <c r="C28" s="68" t="inlineStr">
        <is>
          <t>Label</t>
        </is>
      </c>
      <c r="D28" s="70" t="inlineStr">
        <is>
          <t>Energiestadt-Label Wil</t>
        </is>
      </c>
      <c r="E28" s="68" t="inlineStr">
        <is>
          <t>–</t>
        </is>
      </c>
      <c r="F28" s="68" t="inlineStr">
        <is>
          <t>–</t>
        </is>
      </c>
      <c r="G28" s="68" t="inlineStr">
        <is>
          <t>Gde Wil</t>
        </is>
      </c>
      <c r="H28" s="68" t="inlineStr">
        <is>
          <t>öffentlich</t>
        </is>
      </c>
      <c r="I28" s="75" t="inlineStr">
        <is>
          <t>n. a.</t>
        </is>
      </c>
      <c r="J28" s="76" t="inlineStr">
        <is>
          <t>nicht belegt (Recherche offen)</t>
        </is>
      </c>
      <c r="K28" s="75" t="inlineStr">
        <is>
          <t>n. a.</t>
        </is>
      </c>
      <c r="L28" s="68" t="inlineStr">
        <is>
          <t>Energiepolitisches Leitbild</t>
        </is>
      </c>
      <c r="M28" s="72" t="inlineStr">
        <is>
          <t>https://www.stadtwil.ch</t>
        </is>
      </c>
      <c r="N28" s="73" t="inlineStr">
        <is>
          <t>Einstiegsseite · ungetestet</t>
        </is>
      </c>
      <c r="O28" s="68" t="inlineStr">
        <is>
          <t>Ergänzung · tief</t>
        </is>
      </c>
      <c r="P28" s="68" t="n"/>
      <c r="Q28" s="68" t="inlineStr">
        <is>
          <t>Q-Bearbeitung: Website/Gesetzessammlung der Gemeinde; falls ohne Treffer → Datenanfrage Gemeinde</t>
        </is>
      </c>
    </row>
    <row r="29" ht="19.5" customHeight="1" s="45">
      <c r="A29" s="66" t="inlineStr">
        <is>
          <t>GEMEINDE SEELISBERG (UR)</t>
        </is>
      </c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</row>
    <row r="30" outlineLevel="1" ht="22.35" customHeight="1" s="45">
      <c r="A30" s="68" t="inlineStr">
        <is>
          <t>Gde Seelisberg</t>
        </is>
      </c>
      <c r="B30" s="69" t="inlineStr">
        <is>
          <t>Q3</t>
        </is>
      </c>
      <c r="C30" s="68" t="inlineStr">
        <is>
          <t>Plan / Konzept</t>
        </is>
      </c>
      <c r="D30" s="70" t="inlineStr">
        <is>
          <t>Kommunale Energieplanung / Klimavorgaben Seelisberg</t>
        </is>
      </c>
      <c r="E30" s="68" t="inlineStr">
        <is>
          <t>–</t>
        </is>
      </c>
      <c r="F30" s="68" t="inlineStr">
        <is>
          <t>–</t>
        </is>
      </c>
      <c r="G30" s="68" t="inlineStr">
        <is>
          <t>Gde Seelisberg</t>
        </is>
      </c>
      <c r="H30" s="68" t="inlineStr">
        <is>
          <t>öffentlich</t>
        </is>
      </c>
      <c r="I30" s="75" t="inlineStr">
        <is>
          <t>n. a.</t>
        </is>
      </c>
      <c r="J30" s="75" t="inlineStr">
        <is>
          <t>n. a.</t>
        </is>
      </c>
      <c r="K30" s="76" t="inlineStr">
        <is>
          <t>nicht belegt (Recherche offen)</t>
        </is>
      </c>
      <c r="L30" s="68" t="inlineStr">
        <is>
          <t>Im Katalog keine Gemeindeebene für Q3 → ggf. nur kantonale Vorgaben</t>
        </is>
      </c>
      <c r="M30" s="72" t="inlineStr">
        <is>
          <t>https://www.seelisberg.ch</t>
        </is>
      </c>
      <c r="N30" s="73" t="inlineStr">
        <is>
          <t>Einstiegsseite · ungetestet</t>
        </is>
      </c>
      <c r="O30" s="68" t="inlineStr">
        <is>
          <t>Ergänzung · tief</t>
        </is>
      </c>
      <c r="P30" s="68" t="n"/>
      <c r="Q30" s="68" t="inlineStr">
        <is>
          <t>Q-Bearbeitung: Website/Gesetzessammlung der Gemeinde; falls ohne Treffer → Datenanfrage Gemeinde</t>
        </is>
      </c>
    </row>
    <row r="31" ht="19.5" customHeight="1" s="45">
      <c r="A31" s="66" t="inlineStr">
        <is>
          <t>GEMEINDEN – nicht öffentliche Daten (Lieferung durch Gemeinde / Kanton)</t>
        </is>
      </c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</row>
    <row r="32" outlineLevel="1" ht="22.35" customHeight="1" s="45">
      <c r="A32" s="68" t="inlineStr">
        <is>
          <t>Gemeinden (alle)</t>
        </is>
      </c>
      <c r="B32" s="69" t="inlineStr">
        <is>
          <t>Q3</t>
        </is>
      </c>
      <c r="C32" s="68" t="inlineStr">
        <is>
          <t>Datensatz</t>
        </is>
      </c>
      <c r="D32" s="70" t="inlineStr">
        <is>
          <t>Energieversorger-Daten (Verbrauch, Netzgebiete, Wärmenetze, Anschlussdichte)</t>
        </is>
      </c>
      <c r="E32" s="68" t="inlineStr">
        <is>
          <t>–</t>
        </is>
      </c>
      <c r="F32" s="68" t="inlineStr">
        <is>
          <t>–</t>
        </is>
      </c>
      <c r="G32" s="68" t="inlineStr">
        <is>
          <t>Energieversorger / Gemeinde</t>
        </is>
      </c>
      <c r="H32" s="78" t="inlineStr">
        <is>
          <t>nicht öffentlich</t>
        </is>
      </c>
      <c r="I32" s="79" t="inlineStr">
        <is>
          <t>Datenanfrage (nicht öffentlich)</t>
        </is>
      </c>
      <c r="J32" s="79" t="inlineStr">
        <is>
          <t>Datenanfrage (nicht öffentlich)</t>
        </is>
      </c>
      <c r="K32" s="79" t="inlineStr">
        <is>
          <t>Datenanfrage (nicht öffentlich)</t>
        </is>
      </c>
      <c r="L32" s="68" t="inlineStr">
        <is>
          <t>Grundlage Wärmeplanung, Absenkpfad</t>
        </is>
      </c>
      <c r="M32" s="72" t="inlineStr">
        <is>
          <t>https://www.fedlex.admin.ch</t>
        </is>
      </c>
      <c r="N32" s="73" t="inlineStr">
        <is>
          <t>Einstiegsseite · ungetestet</t>
        </is>
      </c>
      <c r="O32" s="68" t="inlineStr">
        <is>
          <t>Ergänzung · mittel</t>
        </is>
      </c>
      <c r="P32" s="68" t="inlineStr">
        <is>
          <t>Existenz: hoch (Versorger je Gemeinde vorhanden). Zugang: Datenschutz/Geschäftsgeheimnis → Anfrage</t>
        </is>
      </c>
      <c r="Q32" s="68" t="inlineStr">
        <is>
          <t>Datenanfrage an Gemeinde/Kanton (Vorlage: Liste «Daten, die die Gemeinde liefern muss»)</t>
        </is>
      </c>
    </row>
    <row r="33" outlineLevel="1" ht="22.35" customHeight="1" s="45">
      <c r="A33" s="68" t="inlineStr">
        <is>
          <t>Gemeinden (alle)</t>
        </is>
      </c>
      <c r="B33" s="69" t="inlineStr">
        <is>
          <t>Q3</t>
        </is>
      </c>
      <c r="C33" s="68" t="inlineStr">
        <is>
          <t>Datensatz</t>
        </is>
      </c>
      <c r="D33" s="70" t="inlineStr">
        <is>
          <t>Gebäudebezogener Sanierungsstand, Heizungsregister, kommunale Gebäude-Energiebuchhaltung</t>
        </is>
      </c>
      <c r="E33" s="68" t="inlineStr">
        <is>
          <t>–</t>
        </is>
      </c>
      <c r="F33" s="68" t="inlineStr">
        <is>
          <t>–</t>
        </is>
      </c>
      <c r="G33" s="68" t="inlineStr">
        <is>
          <t>Gemeinde / Kanton</t>
        </is>
      </c>
      <c r="H33" s="78" t="inlineStr">
        <is>
          <t>nicht öffentlich</t>
        </is>
      </c>
      <c r="I33" s="79" t="inlineStr">
        <is>
          <t>Datenanfrage (nicht öffentlich)</t>
        </is>
      </c>
      <c r="J33" s="79" t="inlineStr">
        <is>
          <t>Datenanfrage (nicht öffentlich)</t>
        </is>
      </c>
      <c r="K33" s="79" t="inlineStr">
        <is>
          <t>Datenanfrage (nicht öffentlich)</t>
        </is>
      </c>
      <c r="L33" s="68" t="inlineStr">
        <is>
          <t>Gemeindeeigene Bauten, CO₂-Ausgangslage</t>
        </is>
      </c>
      <c r="M33" s="72" t="inlineStr">
        <is>
          <t>https://www.fedlex.admin.ch</t>
        </is>
      </c>
      <c r="N33" s="73" t="inlineStr">
        <is>
          <t>Einstiegsseite · ungetestet</t>
        </is>
      </c>
      <c r="O33" s="68" t="inlineStr">
        <is>
          <t>Ergänzung · mittel</t>
        </is>
      </c>
      <c r="P33" s="68" t="inlineStr">
        <is>
          <t>Existenz: mittel (Gebäudeprogramm/Feuerungskontrolle vorhanden, Aufbereitung offen)</t>
        </is>
      </c>
      <c r="Q33" s="68" t="inlineStr">
        <is>
          <t>Datenanfrage an Gemeinde/Kanton (Vorlage: Liste «Daten, die die Gemeinde liefern muss»)</t>
        </is>
      </c>
    </row>
  </sheetData>
  <autoFilter ref="A5:Q33"/>
  <hyperlinks>
    <hyperlink xmlns:r="http://schemas.openxmlformats.org/officeDocument/2006/relationships" ref="M7" display="https://www.bafu.admin.ch" r:id="rId1"/>
    <hyperlink xmlns:r="http://schemas.openxmlformats.org/officeDocument/2006/relationships" ref="M8" location="/map?lang=de&amp;center=2660000,1190000&amp;z=1&amp;bgLayer=ch.swisstopo.pixelkarte-grau&amp;layers=ch.bfe.solarenergie-eignung-daecher" display="https://map.geo.admin.ch/#/map?lang=de&amp;center=2660000,1190000&amp;z=1&amp;bgLayer=ch.swisstopo.pixelkarte-grau&amp;layers=ch.bfe.solarenergie-eignung-daecher" r:id="rId2"/>
    <hyperlink xmlns:r="http://schemas.openxmlformats.org/officeDocument/2006/relationships" ref="M9" display="https://map.geo.admin.ch" r:id="rId3"/>
    <hyperlink xmlns:r="http://schemas.openxmlformats.org/officeDocument/2006/relationships" ref="M10" location="/map?lang=de&amp;center=2660000,1190000&amp;z=1&amp;bgLayer=ch.swisstopo.pixelkarte-grau&amp;layers=ch.bfs.gebaeude_wohnungs_register" display="https://map.geo.admin.ch/#/map?lang=de&amp;center=2660000,1190000&amp;z=1&amp;bgLayer=ch.swisstopo.pixelkarte-grau&amp;layers=ch.bfs.gebaeude_wohnungs_register" r:id="rId4"/>
    <hyperlink xmlns:r="http://schemas.openxmlformats.org/officeDocument/2006/relationships" ref="M11" display="https://www.bafu.admin.ch" r:id="rId5"/>
    <hyperlink xmlns:r="http://schemas.openxmlformats.org/officeDocument/2006/relationships" ref="M12" display="https://www.sia.ch" r:id="rId6"/>
    <hyperlink xmlns:r="http://schemas.openxmlformats.org/officeDocument/2006/relationships" ref="M14" display="https://bl.clex.ch/app/de/texts_of_law/490" r:id="rId7"/>
    <hyperlink xmlns:r="http://schemas.openxmlformats.org/officeDocument/2006/relationships" ref="M15" display="https://geoview.bl.ch" r:id="rId8"/>
    <hyperlink xmlns:r="http://schemas.openxmlformats.org/officeDocument/2006/relationships" ref="M17" display="https://www.gesetzessammlung.sg.ch/app/de/texts_of_law/741.1" r:id="rId9"/>
    <hyperlink xmlns:r="http://schemas.openxmlformats.org/officeDocument/2006/relationships" ref="M18" display="https://www.geoportal.ch/ktsg" r:id="rId10"/>
    <hyperlink xmlns:r="http://schemas.openxmlformats.org/officeDocument/2006/relationships" ref="M20" display="https://rechtsbuch.ur.ch/app/de/texts_of_law/40.7211" r:id="rId11"/>
    <hyperlink xmlns:r="http://schemas.openxmlformats.org/officeDocument/2006/relationships" ref="M21" display="https://www.ur.ch" r:id="rId12"/>
    <hyperlink xmlns:r="http://schemas.openxmlformats.org/officeDocument/2006/relationships" ref="M23" display="https://oereblex.bl.ch/api/attachments/22718" r:id="rId13"/>
    <hyperlink xmlns:r="http://schemas.openxmlformats.org/officeDocument/2006/relationships" ref="M24" display="https://www.muenchenstein.ch" r:id="rId14"/>
    <hyperlink xmlns:r="http://schemas.openxmlformats.org/officeDocument/2006/relationships" ref="M26" display="https://www.stadtwil.ch/storage/0c6b26d62a364629241b9c9e4535a6b58c82d46aeb166b034ae96c29862a1331" r:id="rId15"/>
    <hyperlink xmlns:r="http://schemas.openxmlformats.org/officeDocument/2006/relationships" ref="M27" display="https://wil-sg.tlex.ch/app/de/texts_of_law/7.1-1" r:id="rId16"/>
    <hyperlink xmlns:r="http://schemas.openxmlformats.org/officeDocument/2006/relationships" ref="M28" display="https://www.stadtwil.ch" r:id="rId17"/>
    <hyperlink xmlns:r="http://schemas.openxmlformats.org/officeDocument/2006/relationships" ref="M30" display="https://www.seelisberg.ch" r:id="rId18"/>
    <hyperlink xmlns:r="http://schemas.openxmlformats.org/officeDocument/2006/relationships" ref="M32" display="https://www.fedlex.admin.ch" r:id="rId19"/>
    <hyperlink xmlns:r="http://schemas.openxmlformats.org/officeDocument/2006/relationships" ref="M33" display="https://www.fedlex.admin.ch" r:id="rId20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Q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4 · Q4 Klimaanpassung und Resilienz – Dokumente, Inventare, Geodaten</t>
        </is>
      </c>
    </row>
    <row r="2" ht="15" customHeight="1" s="45">
      <c r="A2" s="47" t="inlineStr">
        <is>
          <t>Kontext Raumentwicklung, Städteplanung, Bauvorschriften.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Q4</t>
        </is>
      </c>
      <c r="C7" s="68" t="inlineStr">
        <is>
          <t>Layer</t>
        </is>
      </c>
      <c r="D7" s="70" t="inlineStr">
        <is>
          <t>Naturgefahren: Gefahrenhinweiskarte / Portal (Daten der Kantone, via geo.admin.ch)</t>
        </is>
      </c>
      <c r="E7" s="68" t="inlineStr">
        <is>
          <t>–</t>
        </is>
      </c>
      <c r="F7" s="68" t="inlineStr">
        <is>
          <t>Katalog: 04.02.2026</t>
        </is>
      </c>
      <c r="G7" s="68" t="inlineStr">
        <is>
          <t>BAFU (Portal) / Kantone</t>
        </is>
      </c>
      <c r="H7" s="68" t="inlineStr">
        <is>
          <t>öffentlich</t>
        </is>
      </c>
      <c r="I7" s="71" t="inlineStr">
        <is>
          <t>belegt</t>
        </is>
      </c>
      <c r="J7" s="71" t="inlineStr">
        <is>
          <t>belegt</t>
        </is>
      </c>
      <c r="K7" s="71" t="inlineStr">
        <is>
          <t>belegt</t>
        </is>
      </c>
      <c r="L7" s="68" t="inlineStr">
        <is>
          <t>Gefahren und Nutzungseinschränkungen standortspezifisch prüfen</t>
        </is>
      </c>
      <c r="M7" s="72" t="inlineStr">
        <is>
          <t>https://www.geo.admin.ch/</t>
        </is>
      </c>
      <c r="N7" s="69" t="inlineStr">
        <is>
          <t>Kataster · ungetestet</t>
        </is>
      </c>
      <c r="O7" s="68" t="inlineStr">
        <is>
          <t>Katalog · hoch</t>
        </is>
      </c>
      <c r="P7" s="68" t="inlineStr">
        <is>
          <t>Gefahrenkarten sind kantonale Daten; Bund stellt Hinweiskarte/Portal</t>
        </is>
      </c>
      <c r="Q7" s="68" t="n"/>
    </row>
    <row r="8" outlineLevel="1" ht="32.8" customHeight="1" s="45">
      <c r="A8" s="68" t="inlineStr">
        <is>
          <t>Bund</t>
        </is>
      </c>
      <c r="B8" s="69" t="inlineStr">
        <is>
          <t>Q4</t>
        </is>
      </c>
      <c r="C8" s="68" t="inlineStr">
        <is>
          <t>Layer</t>
        </is>
      </c>
      <c r="D8" s="70" t="inlineStr">
        <is>
          <t>Gefährdungskarte Oberflächenabfluss (Starkregen)</t>
        </is>
      </c>
      <c r="E8" s="68" t="inlineStr">
        <is>
          <t>–</t>
        </is>
      </c>
      <c r="F8" s="68" t="inlineStr">
        <is>
          <t>–</t>
        </is>
      </c>
      <c r="G8" s="68" t="inlineStr">
        <is>
          <t>BAFU / VKF</t>
        </is>
      </c>
      <c r="H8" s="68" t="inlineStr">
        <is>
          <t>öffentlich</t>
        </is>
      </c>
      <c r="I8" s="77" t="inlineStr">
        <is>
          <t>belegt – Betroffenheit offen</t>
        </is>
      </c>
      <c r="J8" s="77" t="inlineStr">
        <is>
          <t>belegt – Betroffenheit offen</t>
        </is>
      </c>
      <c r="K8" s="77" t="inlineStr">
        <is>
          <t>belegt – Betroffenheit offen</t>
        </is>
      </c>
      <c r="L8" s="68" t="inlineStr">
        <is>
          <t>Starkregen-/Oberflächenabfluss-Gefährdung</t>
        </is>
      </c>
      <c r="M8" s="72" t="inlineStr">
        <is>
          <t>https://map.geo.admin.ch/#/map?lang=de&amp;center=2660000,1190000&amp;z=1&amp;bgLayer=ch.swisstopo.pixelkarte-grau&amp;layers=ch.bafu.gefahren-oberflaechenabfluss</t>
        </is>
      </c>
      <c r="N8" s="73" t="inlineStr">
        <is>
          <t>Muster · ungetestet</t>
        </is>
      </c>
      <c r="O8" s="68" t="inlineStr">
        <is>
          <t>Ergänzung · mittel</t>
        </is>
      </c>
      <c r="P8" s="68" t="n"/>
      <c r="Q8" s="68" t="inlineStr">
        <is>
          <t>Niklas/Nikolaos (GIS): Overlay mit Gemeindeperimeter – Layer-Link in Blatt 7_GIS_Layers; Ergebnis dort eintragen (ja/nein)</t>
        </is>
      </c>
    </row>
    <row r="9" outlineLevel="1" ht="22.35" customHeight="1" s="45">
      <c r="A9" s="68" t="inlineStr">
        <is>
          <t>Bund</t>
        </is>
      </c>
      <c r="B9" s="69" t="inlineStr">
        <is>
          <t>Q4</t>
        </is>
      </c>
      <c r="C9" s="68" t="inlineStr">
        <is>
          <t>Dokument / Daten</t>
        </is>
      </c>
      <c r="D9" s="70" t="inlineStr">
        <is>
          <t>Klimaszenarien CH2018 / Hydro-CH2018 / Klimaszenarien 2025; Strategie Anpassung an den Klimawandel</t>
        </is>
      </c>
      <c r="E9" s="68" t="inlineStr">
        <is>
          <t>–</t>
        </is>
      </c>
      <c r="F9" s="68" t="inlineStr">
        <is>
          <t>–</t>
        </is>
      </c>
      <c r="G9" s="68" t="inlineStr">
        <is>
          <t>MeteoSchweiz / BAFU</t>
        </is>
      </c>
      <c r="H9" s="68" t="inlineStr">
        <is>
          <t>öffentlich</t>
        </is>
      </c>
      <c r="I9" s="71" t="inlineStr">
        <is>
          <t>belegt</t>
        </is>
      </c>
      <c r="J9" s="71" t="inlineStr">
        <is>
          <t>belegt</t>
        </is>
      </c>
      <c r="K9" s="71" t="inlineStr">
        <is>
          <t>belegt</t>
        </is>
      </c>
      <c r="L9" s="68" t="inlineStr">
        <is>
          <t>Klimaprojektionen, Hitze, Trockenheit, Starkniederschlag</t>
        </is>
      </c>
      <c r="M9" s="72" t="inlineStr">
        <is>
          <t>https://www.bafu.admin.ch</t>
        </is>
      </c>
      <c r="N9" s="73" t="inlineStr">
        <is>
          <t>Einstiegsseite · ungetestet</t>
        </is>
      </c>
      <c r="O9" s="68" t="inlineStr">
        <is>
          <t>Ergänzung · mittel</t>
        </is>
      </c>
      <c r="P9" s="68" t="n"/>
      <c r="Q9" s="68" t="inlineStr">
        <is>
          <t>Q-Bearbeitung: Dokument-URL auf der Behörden-Website ermitteln (Einstiegsseite verlinkt)</t>
        </is>
      </c>
    </row>
    <row r="10" outlineLevel="1" ht="22.35" customHeight="1" s="45">
      <c r="A10" s="68" t="inlineStr">
        <is>
          <t>Bund</t>
        </is>
      </c>
      <c r="B10" s="69" t="inlineStr">
        <is>
          <t>Q4</t>
        </is>
      </c>
      <c r="C10" s="68" t="inlineStr">
        <is>
          <t>Layer</t>
        </is>
      </c>
      <c r="D10" s="70" t="inlineStr">
        <is>
          <t>Hitzebelastung / Klimaanalyse (urbane Wärmeinseln, Bundesdaten)</t>
        </is>
      </c>
      <c r="E10" s="68" t="inlineStr">
        <is>
          <t>–</t>
        </is>
      </c>
      <c r="F10" s="68" t="inlineStr">
        <is>
          <t>–</t>
        </is>
      </c>
      <c r="G10" s="68" t="inlineStr">
        <is>
          <t>BAFU / MeteoSchweiz</t>
        </is>
      </c>
      <c r="H10" s="68" t="inlineStr">
        <is>
          <t>öffentlich</t>
        </is>
      </c>
      <c r="I10" s="76" t="inlineStr">
        <is>
          <t>nicht belegt (Recherche offen)</t>
        </is>
      </c>
      <c r="J10" s="76" t="inlineStr">
        <is>
          <t>nicht belegt (Recherche offen)</t>
        </is>
      </c>
      <c r="K10" s="76" t="inlineStr">
        <is>
          <t>nicht belegt (Recherche offen)</t>
        </is>
      </c>
      <c r="L10" s="68" t="inlineStr">
        <is>
          <t>Hitzevorsorge Siedlungsgebiet</t>
        </is>
      </c>
      <c r="M10" s="72" t="inlineStr">
        <is>
          <t>https://www.bafu.admin.ch</t>
        </is>
      </c>
      <c r="N10" s="73" t="inlineStr">
        <is>
          <t>Einstiegsseite · ungetestet</t>
        </is>
      </c>
      <c r="O10" s="68" t="inlineStr">
        <is>
          <t>Ergänzung · tief</t>
        </is>
      </c>
      <c r="P10" s="68" t="inlineStr">
        <is>
          <t>Abdeckung für kleine Gemeinden prüfen</t>
        </is>
      </c>
      <c r="Q10" s="68" t="inlineStr">
        <is>
          <t>Q-Bearbeitung: Dokument-URL auf der Behörden-Website ermitteln (Einstiegsseite verlinkt)</t>
        </is>
      </c>
    </row>
    <row r="11" outlineLevel="1" ht="32.8" customHeight="1" s="45">
      <c r="A11" s="68" t="inlineStr">
        <is>
          <t>Bund</t>
        </is>
      </c>
      <c r="B11" s="69" t="inlineStr">
        <is>
          <t>Q4</t>
        </is>
      </c>
      <c r="C11" s="68" t="inlineStr">
        <is>
          <t>Layer / Norm</t>
        </is>
      </c>
      <c r="D11" s="70" t="inlineStr">
        <is>
          <t>Erdbebengefährdung / Mikrozonierung (SED), SIA 261 Bauwerksklassen</t>
        </is>
      </c>
      <c r="E11" s="68" t="inlineStr">
        <is>
          <t>–</t>
        </is>
      </c>
      <c r="F11" s="68" t="inlineStr">
        <is>
          <t>–</t>
        </is>
      </c>
      <c r="G11" s="68" t="inlineStr">
        <is>
          <t>SED / SIA</t>
        </is>
      </c>
      <c r="H11" s="68" t="inlineStr">
        <is>
          <t>teilw. öffentlich</t>
        </is>
      </c>
      <c r="I11" s="77" t="inlineStr">
        <is>
          <t>belegt – Betroffenheit offen</t>
        </is>
      </c>
      <c r="J11" s="77" t="inlineStr">
        <is>
          <t>belegt – Betroffenheit offen</t>
        </is>
      </c>
      <c r="K11" s="77" t="inlineStr">
        <is>
          <t>belegt – Betroffenheit offen</t>
        </is>
      </c>
      <c r="L11" s="68" t="inlineStr">
        <is>
          <t>Baugrund-Klassen, Bauvorschriften</t>
        </is>
      </c>
      <c r="M11" s="72" t="inlineStr">
        <is>
          <t>https://map.geo.admin.ch/#/map?lang=de&amp;center=2660000,1190000&amp;z=1&amp;bgLayer=ch.swisstopo.pixelkarte-grau&amp;layers=ch.bafu.gefahren-baugrundklassen</t>
        </is>
      </c>
      <c r="N11" s="73" t="inlineStr">
        <is>
          <t>Muster · ungetestet</t>
        </is>
      </c>
      <c r="O11" s="68" t="inlineStr">
        <is>
          <t>Ergänzung · mittel</t>
        </is>
      </c>
      <c r="P11" s="68" t="n"/>
      <c r="Q11" s="68" t="inlineStr">
        <is>
          <t>Niklas/Nikolaos (GIS): Overlay mit Gemeindeperimeter – Layer-Link in Blatt 7_GIS_Layers; Ergebnis dort eintragen (ja/nein)</t>
        </is>
      </c>
    </row>
    <row r="12" outlineLevel="1" ht="32.8" customHeight="1" s="45">
      <c r="A12" s="68" t="inlineStr">
        <is>
          <t>Bund</t>
        </is>
      </c>
      <c r="B12" s="69" t="inlineStr">
        <is>
          <t>Q4</t>
        </is>
      </c>
      <c r="C12" s="68" t="inlineStr">
        <is>
          <t>Layer</t>
        </is>
      </c>
      <c r="D12" s="70" t="inlineStr">
        <is>
          <t>Lärmbelastung (sonBASE), Störfall-Risikokataster, Kataster belasteter Standorte (Bundesbezug)</t>
        </is>
      </c>
      <c r="E12" s="68" t="inlineStr">
        <is>
          <t>USG / StFV / AltlV</t>
        </is>
      </c>
      <c r="F12" s="68" t="inlineStr">
        <is>
          <t>–</t>
        </is>
      </c>
      <c r="G12" s="68" t="inlineStr">
        <is>
          <t>BAFU / Kantone</t>
        </is>
      </c>
      <c r="H12" s="68" t="inlineStr">
        <is>
          <t>teilw. öffentlich</t>
        </is>
      </c>
      <c r="I12" s="77" t="inlineStr">
        <is>
          <t>belegt – Betroffenheit offen</t>
        </is>
      </c>
      <c r="J12" s="77" t="inlineStr">
        <is>
          <t>belegt – Betroffenheit offen</t>
        </is>
      </c>
      <c r="K12" s="77" t="inlineStr">
        <is>
          <t>belegt – Betroffenheit offen</t>
        </is>
      </c>
      <c r="L12" s="68" t="inlineStr">
        <is>
          <t>Belastungen, Standortrestriktionen</t>
        </is>
      </c>
      <c r="M12" s="72" t="inlineStr">
        <is>
          <t>https://map.geo.admin.ch/#/map?lang=de&amp;center=2660000,1190000&amp;z=1&amp;bgLayer=ch.swisstopo.pixelkarte-grau&amp;layers=ch.bafu.laerm-strassenlaerm_tag</t>
        </is>
      </c>
      <c r="N12" s="73" t="inlineStr">
        <is>
          <t>Muster · ungetestet</t>
        </is>
      </c>
      <c r="O12" s="68" t="inlineStr">
        <is>
          <t>Ergänzung · mittel</t>
        </is>
      </c>
      <c r="P12" s="68" t="n"/>
      <c r="Q12" s="68" t="inlineStr">
        <is>
          <t>Niklas/Nikolaos (GIS): Overlay mit Gemeindeperimeter – Layer-Link in Blatt 7_GIS_Layers; Ergebnis dort eintragen (ja/nein)</t>
        </is>
      </c>
    </row>
    <row r="13" ht="19.5" customHeight="1" s="45">
      <c r="A13" s="66" t="inlineStr">
        <is>
          <t>KANTON BASEL-LANDSCHAFT  →  Münchenstein</t>
        </is>
      </c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</row>
    <row r="14" outlineLevel="1" ht="22.35" customHeight="1" s="45">
      <c r="A14" s="68" t="inlineStr">
        <is>
          <t>Kanton BL</t>
        </is>
      </c>
      <c r="B14" s="69" t="inlineStr">
        <is>
          <t>Q4</t>
        </is>
      </c>
      <c r="C14" s="68" t="inlineStr">
        <is>
          <t>Layer</t>
        </is>
      </c>
      <c r="D14" s="70" t="inlineStr">
        <is>
          <t>Kantonale Naturgefahrenkarten BL (Wasser-, Sturz-, Rutschgefahren)</t>
        </is>
      </c>
      <c r="E14" s="68" t="inlineStr">
        <is>
          <t>–</t>
        </is>
      </c>
      <c r="F14" s="68" t="inlineStr">
        <is>
          <t>Katalog: 28.11.2005</t>
        </is>
      </c>
      <c r="G14" s="68" t="inlineStr">
        <is>
          <t>Kanton BL</t>
        </is>
      </c>
      <c r="H14" s="68" t="inlineStr">
        <is>
          <t>öffentlich</t>
        </is>
      </c>
      <c r="I14" s="71" t="inlineStr">
        <is>
          <t>belegt</t>
        </is>
      </c>
      <c r="J14" s="75" t="inlineStr">
        <is>
          <t>n. a.</t>
        </is>
      </c>
      <c r="K14" s="75" t="inlineStr">
        <is>
          <t>n. a.</t>
        </is>
      </c>
      <c r="L14" s="68" t="inlineStr">
        <is>
          <t>Gefährdung und allfällige Nutzungsauflagen prüfen</t>
        </is>
      </c>
      <c r="M14" s="72" t="inlineStr">
        <is>
          <t>https://geoview.bl.ch/</t>
        </is>
      </c>
      <c r="N14" s="69" t="inlineStr">
        <is>
          <t>Kataster · ungetestet</t>
        </is>
      </c>
      <c r="O14" s="68" t="inlineStr">
        <is>
          <t>Katalog · hoch</t>
        </is>
      </c>
      <c r="P14" s="68" t="inlineStr">
        <is>
          <t>Stand 2005 → Aktualität prüfen</t>
        </is>
      </c>
      <c r="Q14" s="68" t="n"/>
    </row>
    <row r="15" outlineLevel="1" ht="32.8" customHeight="1" s="45">
      <c r="A15" s="68" t="inlineStr">
        <is>
          <t>Kanton BL</t>
        </is>
      </c>
      <c r="B15" s="69" t="inlineStr">
        <is>
          <t>Q4</t>
        </is>
      </c>
      <c r="C15" s="68" t="inlineStr">
        <is>
          <t>Layer</t>
        </is>
      </c>
      <c r="D15" s="70" t="inlineStr">
        <is>
          <t>Kantonale Hitze-/Klimaanalyse, Oberflächenabfluss, Lärm- und Altlastenkataster BL</t>
        </is>
      </c>
      <c r="E15" s="68" t="inlineStr">
        <is>
          <t>–</t>
        </is>
      </c>
      <c r="F15" s="68" t="inlineStr">
        <is>
          <t>–</t>
        </is>
      </c>
      <c r="G15" s="68" t="inlineStr">
        <is>
          <t>Kanton BL</t>
        </is>
      </c>
      <c r="H15" s="68" t="inlineStr">
        <is>
          <t>öffentlich</t>
        </is>
      </c>
      <c r="I15" s="76" t="inlineStr">
        <is>
          <t>nicht belegt (Recherche offen)</t>
        </is>
      </c>
      <c r="J15" s="75" t="inlineStr">
        <is>
          <t>n. a.</t>
        </is>
      </c>
      <c r="K15" s="75" t="inlineStr">
        <is>
          <t>n. a.</t>
        </is>
      </c>
      <c r="L15" s="68" t="inlineStr">
        <is>
          <t>Hitze, Starkregen, Belastungen</t>
        </is>
      </c>
      <c r="M15" s="72" t="inlineStr">
        <is>
          <t>https://geoview.bl.ch</t>
        </is>
      </c>
      <c r="N15" s="73" t="inlineStr">
        <is>
          <t>Muster · ungetestet</t>
        </is>
      </c>
      <c r="O15" s="68" t="inlineStr">
        <is>
          <t>Ergänzung · tief</t>
        </is>
      </c>
      <c r="P15" s="68" t="n"/>
      <c r="Q15" s="68" t="inlineStr">
        <is>
          <t>Q-Bearbeitung: Volltextsuche in kant. Gesetzessammlung bzw. Layerliste im Geoportal; falls ohne Treffer → Anfrage Kantonale Fachstelle</t>
        </is>
      </c>
    </row>
    <row r="16" ht="19.5" customHeight="1" s="45">
      <c r="A16" s="66" t="inlineStr">
        <is>
          <t>KANTON ST. GALLEN  →  Wil</t>
        </is>
      </c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</row>
    <row r="17" outlineLevel="1" ht="22.35" customHeight="1" s="45">
      <c r="A17" s="68" t="inlineStr">
        <is>
          <t>Kanton SG</t>
        </is>
      </c>
      <c r="B17" s="69" t="inlineStr">
        <is>
          <t>Q4</t>
        </is>
      </c>
      <c r="C17" s="68" t="inlineStr">
        <is>
          <t>Layer</t>
        </is>
      </c>
      <c r="D17" s="70" t="inlineStr">
        <is>
          <t>Kantonale Naturgefahrenkarten SG</t>
        </is>
      </c>
      <c r="E17" s="68" t="inlineStr">
        <is>
          <t>–</t>
        </is>
      </c>
      <c r="F17" s="68" t="inlineStr">
        <is>
          <t>Katalog: 03.09.2026</t>
        </is>
      </c>
      <c r="G17" s="68" t="inlineStr">
        <is>
          <t>Kanton SG</t>
        </is>
      </c>
      <c r="H17" s="68" t="inlineStr">
        <is>
          <t>öffentlich</t>
        </is>
      </c>
      <c r="I17" s="75" t="inlineStr">
        <is>
          <t>n. a.</t>
        </is>
      </c>
      <c r="J17" s="71" t="inlineStr">
        <is>
          <t>belegt</t>
        </is>
      </c>
      <c r="K17" s="75" t="inlineStr">
        <is>
          <t>n. a.</t>
        </is>
      </c>
      <c r="L17" s="68" t="inlineStr">
        <is>
          <t>Gefährdung und allfällige Nutzungsauflagen prüfen</t>
        </is>
      </c>
      <c r="M17" s="72" t="inlineStr">
        <is>
          <t>https://www.geoportal.ch/ktsg/map/3502?y=2717572.22&amp;x=1252351.20&amp;scale=50000&amp;rotation=0</t>
        </is>
      </c>
      <c r="N17" s="69" t="inlineStr">
        <is>
          <t>Kataster · ungetestet</t>
        </is>
      </c>
      <c r="O17" s="68" t="inlineStr">
        <is>
          <t>Katalog · hoch</t>
        </is>
      </c>
      <c r="P17" s="68" t="n"/>
      <c r="Q17" s="68" t="n"/>
    </row>
    <row r="18" outlineLevel="1" ht="32.8" customHeight="1" s="45">
      <c r="A18" s="68" t="inlineStr">
        <is>
          <t>Kanton SG</t>
        </is>
      </c>
      <c r="B18" s="69" t="inlineStr">
        <is>
          <t>Q4</t>
        </is>
      </c>
      <c r="C18" s="68" t="inlineStr">
        <is>
          <t>Layer</t>
        </is>
      </c>
      <c r="D18" s="70" t="inlineStr">
        <is>
          <t>Hitze-/Klimaanalyse, Oberflächenabfluss, Lärm- und Altlastenkataster SG</t>
        </is>
      </c>
      <c r="E18" s="68" t="inlineStr">
        <is>
          <t>–</t>
        </is>
      </c>
      <c r="F18" s="68" t="inlineStr">
        <is>
          <t>–</t>
        </is>
      </c>
      <c r="G18" s="68" t="inlineStr">
        <is>
          <t>Kanton SG</t>
        </is>
      </c>
      <c r="H18" s="68" t="inlineStr">
        <is>
          <t>öffentlich</t>
        </is>
      </c>
      <c r="I18" s="75" t="inlineStr">
        <is>
          <t>n. a.</t>
        </is>
      </c>
      <c r="J18" s="76" t="inlineStr">
        <is>
          <t>nicht belegt (Recherche offen)</t>
        </is>
      </c>
      <c r="K18" s="75" t="inlineStr">
        <is>
          <t>n. a.</t>
        </is>
      </c>
      <c r="L18" s="68" t="inlineStr">
        <is>
          <t>Hitze, Starkregen, Belastungen</t>
        </is>
      </c>
      <c r="M18" s="72" t="inlineStr">
        <is>
          <t>https://www.geoportal.ch/ktsg</t>
        </is>
      </c>
      <c r="N18" s="73" t="inlineStr">
        <is>
          <t>Muster · ungetestet</t>
        </is>
      </c>
      <c r="O18" s="68" t="inlineStr">
        <is>
          <t>Ergänzung · tief</t>
        </is>
      </c>
      <c r="P18" s="68" t="n"/>
      <c r="Q18" s="68" t="inlineStr">
        <is>
          <t>Q-Bearbeitung: Volltextsuche in kant. Gesetzessammlung bzw. Layerliste im Geoportal; falls ohne Treffer → Anfrage Kantonale Fachstelle</t>
        </is>
      </c>
    </row>
    <row r="19" ht="19.5" customHeight="1" s="45">
      <c r="A19" s="66" t="inlineStr">
        <is>
          <t>KANTON URI  →  Seelisberg</t>
        </is>
      </c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</row>
    <row r="20" outlineLevel="1" ht="22.35" customHeight="1" s="45">
      <c r="A20" s="68" t="inlineStr">
        <is>
          <t>Kanton UR</t>
        </is>
      </c>
      <c r="B20" s="69" t="inlineStr">
        <is>
          <t>Q4</t>
        </is>
      </c>
      <c r="C20" s="68" t="inlineStr">
        <is>
          <t>Layer</t>
        </is>
      </c>
      <c r="D20" s="70" t="inlineStr">
        <is>
          <t>Kantonale Naturgefahrenkarten Uri</t>
        </is>
      </c>
      <c r="E20" s="68" t="inlineStr">
        <is>
          <t>–</t>
        </is>
      </c>
      <c r="F20" s="68" t="inlineStr">
        <is>
          <t>22.08.2023</t>
        </is>
      </c>
      <c r="G20" s="68" t="inlineStr">
        <is>
          <t>Kanton UR</t>
        </is>
      </c>
      <c r="H20" s="68" t="inlineStr">
        <is>
          <t>öffentlich</t>
        </is>
      </c>
      <c r="I20" s="75" t="inlineStr">
        <is>
          <t>n. a.</t>
        </is>
      </c>
      <c r="J20" s="75" t="inlineStr">
        <is>
          <t>n. a.</t>
        </is>
      </c>
      <c r="K20" s="71" t="inlineStr">
        <is>
          <t>belegt</t>
        </is>
      </c>
      <c r="L20" s="68" t="inlineStr">
        <is>
          <t>Gefährdung und allfällige Nutzungsauflagen prüfen</t>
        </is>
      </c>
      <c r="M20" s="72" t="inlineStr">
        <is>
          <t>https://geo.ur.ch/</t>
        </is>
      </c>
      <c r="N20" s="69" t="inlineStr">
        <is>
          <t>Kataster · ungetestet</t>
        </is>
      </c>
      <c r="O20" s="68" t="inlineStr">
        <is>
          <t>Katalog · hoch</t>
        </is>
      </c>
      <c r="P20" s="68" t="inlineStr">
        <is>
          <t>Seelisberg: Sturz-/Rutschgefahr erwartbar → Gefahrenstufen im Perimeter auswerten</t>
        </is>
      </c>
      <c r="Q20" s="68" t="n"/>
    </row>
    <row r="21" outlineLevel="1" ht="32.8" customHeight="1" s="45">
      <c r="A21" s="68" t="inlineStr">
        <is>
          <t>Kanton UR</t>
        </is>
      </c>
      <c r="B21" s="69" t="inlineStr">
        <is>
          <t>Q4</t>
        </is>
      </c>
      <c r="C21" s="68" t="inlineStr">
        <is>
          <t>Layer</t>
        </is>
      </c>
      <c r="D21" s="70" t="inlineStr">
        <is>
          <t>Schutzwald, Lawinen-/Steinschlagschutz, Lärm-/Altlastenkataster Uri</t>
        </is>
      </c>
      <c r="E21" s="68" t="inlineStr">
        <is>
          <t>–</t>
        </is>
      </c>
      <c r="F21" s="68" t="inlineStr">
        <is>
          <t>–</t>
        </is>
      </c>
      <c r="G21" s="68" t="inlineStr">
        <is>
          <t>Kanton UR</t>
        </is>
      </c>
      <c r="H21" s="68" t="inlineStr">
        <is>
          <t>öffentlich</t>
        </is>
      </c>
      <c r="I21" s="75" t="inlineStr">
        <is>
          <t>n. a.</t>
        </is>
      </c>
      <c r="J21" s="75" t="inlineStr">
        <is>
          <t>n. a.</t>
        </is>
      </c>
      <c r="K21" s="76" t="inlineStr">
        <is>
          <t>nicht belegt (Recherche offen)</t>
        </is>
      </c>
      <c r="L21" s="68" t="inlineStr">
        <is>
          <t>Schutzbauten, Belastungen</t>
        </is>
      </c>
      <c r="M21" s="72" t="inlineStr">
        <is>
          <t>https://geo.ur.ch/</t>
        </is>
      </c>
      <c r="N21" s="73" t="inlineStr">
        <is>
          <t>Muster · ungetestet</t>
        </is>
      </c>
      <c r="O21" s="68" t="inlineStr">
        <is>
          <t>Ergänzung · tief</t>
        </is>
      </c>
      <c r="P21" s="68" t="n"/>
      <c r="Q21" s="68" t="inlineStr">
        <is>
          <t>Q-Bearbeitung: Volltextsuche in kant. Gesetzessammlung bzw. Layerliste im Geoportal; falls ohne Treffer → Anfrage Kantonale Fachstelle</t>
        </is>
      </c>
    </row>
    <row r="22" ht="19.5" customHeight="1" s="45">
      <c r="A22" s="66" t="inlineStr">
        <is>
          <t>GEMEINDE MÜNCHENSTEIN (BL)</t>
        </is>
      </c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</row>
    <row r="23" outlineLevel="1" ht="22.35" customHeight="1" s="45">
      <c r="A23" s="68" t="inlineStr">
        <is>
          <t>Gde Münchenstein</t>
        </is>
      </c>
      <c r="B23" s="69" t="inlineStr">
        <is>
          <t>Q4</t>
        </is>
      </c>
      <c r="C23" s="68" t="inlineStr">
        <is>
          <t>Reglement</t>
        </is>
      </c>
      <c r="D23" s="70" t="inlineStr">
        <is>
          <t>Abwasserreglement (28.10.2020)</t>
        </is>
      </c>
      <c r="E23" s="68" t="inlineStr">
        <is>
          <t>TR 5.4</t>
        </is>
      </c>
      <c r="F23" s="68" t="inlineStr">
        <is>
          <t>07.01.2021</t>
        </is>
      </c>
      <c r="G23" s="68" t="inlineStr">
        <is>
          <t>Gde Münchenstein</t>
        </is>
      </c>
      <c r="H23" s="68" t="inlineStr">
        <is>
          <t>öffentlich</t>
        </is>
      </c>
      <c r="I23" s="71" t="inlineStr">
        <is>
          <t>belegt</t>
        </is>
      </c>
      <c r="J23" s="75" t="inlineStr">
        <is>
          <t>n. a.</t>
        </is>
      </c>
      <c r="K23" s="75" t="inlineStr">
        <is>
          <t>n. a.</t>
        </is>
      </c>
      <c r="L23" s="68" t="inlineStr">
        <is>
          <t>Entwässerungs- und Retentionsanforderungen</t>
        </is>
      </c>
      <c r="M23" s="72" t="inlineStr">
        <is>
          <t>https://www.muenchenstein.ch/_docn/5130739/TR_5.4_Abwasserreglement_vom_28._Oktober_2020_-_Stand_07.01.2021.pdf</t>
        </is>
      </c>
      <c r="N23" s="69" t="inlineStr">
        <is>
          <t>Kataster · ungetestet</t>
        </is>
      </c>
      <c r="O23" s="68" t="inlineStr">
        <is>
          <t>Katalog · hoch</t>
        </is>
      </c>
      <c r="P23" s="68" t="n"/>
      <c r="Q23" s="68" t="n"/>
    </row>
    <row r="24" outlineLevel="1" ht="22.35" customHeight="1" s="45">
      <c r="A24" s="68" t="inlineStr">
        <is>
          <t>Gde Münchenstein</t>
        </is>
      </c>
      <c r="B24" s="69" t="inlineStr">
        <is>
          <t>Q4</t>
        </is>
      </c>
      <c r="C24" s="68" t="inlineStr">
        <is>
          <t>Layer</t>
        </is>
      </c>
      <c r="D24" s="70" t="inlineStr">
        <is>
          <t>Generelle Entwässerungsplanung (GEP) / Starkregengrundlagen (Geoportal)</t>
        </is>
      </c>
      <c r="E24" s="68" t="inlineStr">
        <is>
          <t>–</t>
        </is>
      </c>
      <c r="F24" s="68" t="inlineStr">
        <is>
          <t>Katalog: kein Stand</t>
        </is>
      </c>
      <c r="G24" s="68" t="inlineStr">
        <is>
          <t>Gde Münchenstein</t>
        </is>
      </c>
      <c r="H24" s="68" t="inlineStr">
        <is>
          <t>teilw. öffentlich</t>
        </is>
      </c>
      <c r="I24" s="71" t="inlineStr">
        <is>
          <t>belegt</t>
        </is>
      </c>
      <c r="J24" s="75" t="inlineStr">
        <is>
          <t>n. a.</t>
        </is>
      </c>
      <c r="K24" s="75" t="inlineStr">
        <is>
          <t>n. a.</t>
        </is>
      </c>
      <c r="L24" s="68" t="inlineStr">
        <is>
          <t>GEP- und Starkregenprüfung</t>
        </is>
      </c>
      <c r="M24" s="72" t="inlineStr">
        <is>
          <t>https://www.geoportal.ch/muenchenstein/map/1037?y=2611563.50&amp;x=1263436.40&amp;scale=25000&amp;rotation=0</t>
        </is>
      </c>
      <c r="N24" s="69" t="inlineStr">
        <is>
          <t>Kataster · ungetestet</t>
        </is>
      </c>
      <c r="O24" s="68" t="inlineStr">
        <is>
          <t>Katalog · hoch</t>
        </is>
      </c>
      <c r="P24" s="68" t="inlineStr">
        <is>
          <t>Einsehbar ohne Attribute, externe Legende; Bezug bei Baudirektion</t>
        </is>
      </c>
      <c r="Q24" s="68" t="n"/>
    </row>
    <row r="25" ht="19.5" customHeight="1" s="45">
      <c r="A25" s="66" t="inlineStr">
        <is>
          <t>GEMEINDE WIL (SG)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</row>
    <row r="26" outlineLevel="1" ht="22.35" customHeight="1" s="45">
      <c r="A26" s="68" t="inlineStr">
        <is>
          <t>Gde Wil</t>
        </is>
      </c>
      <c r="B26" s="69" t="inlineStr">
        <is>
          <t>Q4</t>
        </is>
      </c>
      <c r="C26" s="68" t="inlineStr">
        <is>
          <t>Reglement</t>
        </is>
      </c>
      <c r="D26" s="70" t="inlineStr">
        <is>
          <t>Abwasserreglement</t>
        </is>
      </c>
      <c r="E26" s="68" t="inlineStr">
        <is>
          <t>–</t>
        </is>
      </c>
      <c r="F26" s="68" t="inlineStr">
        <is>
          <t>Katalog: kein Stand</t>
        </is>
      </c>
      <c r="G26" s="68" t="inlineStr">
        <is>
          <t>Gde Wil</t>
        </is>
      </c>
      <c r="H26" s="68" t="inlineStr">
        <is>
          <t>öffentlich</t>
        </is>
      </c>
      <c r="I26" s="75" t="inlineStr">
        <is>
          <t>n. a.</t>
        </is>
      </c>
      <c r="J26" s="71" t="inlineStr">
        <is>
          <t>belegt</t>
        </is>
      </c>
      <c r="K26" s="75" t="inlineStr">
        <is>
          <t>n. a.</t>
        </is>
      </c>
      <c r="L26" s="68" t="inlineStr">
        <is>
          <t>Entwässerungs- und Retentionsanforderungen</t>
        </is>
      </c>
      <c r="M26" s="72" t="inlineStr">
        <is>
          <t>https://www.stadtwil.ch/storage/8ae27a52e6272acbe7a00ddad257f439fbae9a367f80166a75d97ea28f6771cf</t>
        </is>
      </c>
      <c r="N26" s="69" t="inlineStr">
        <is>
          <t>Kataster · ungetestet</t>
        </is>
      </c>
      <c r="O26" s="68" t="inlineStr">
        <is>
          <t>Katalog · hoch</t>
        </is>
      </c>
      <c r="P26" s="68" t="n"/>
      <c r="Q26" s="68" t="n"/>
    </row>
    <row r="27" outlineLevel="1" ht="22.35" customHeight="1" s="45">
      <c r="A27" s="68" t="inlineStr">
        <is>
          <t>Gde Wil</t>
        </is>
      </c>
      <c r="B27" s="69" t="inlineStr">
        <is>
          <t>Q4</t>
        </is>
      </c>
      <c r="C27" s="68" t="inlineStr">
        <is>
          <t>Plan</t>
        </is>
      </c>
      <c r="D27" s="70" t="inlineStr">
        <is>
          <t>GEP / Starkregenkarte Wil</t>
        </is>
      </c>
      <c r="E27" s="68" t="inlineStr">
        <is>
          <t>–</t>
        </is>
      </c>
      <c r="F27" s="68" t="inlineStr">
        <is>
          <t>–</t>
        </is>
      </c>
      <c r="G27" s="68" t="inlineStr">
        <is>
          <t>Gde Wil</t>
        </is>
      </c>
      <c r="H27" s="68" t="inlineStr">
        <is>
          <t>öffentlich</t>
        </is>
      </c>
      <c r="I27" s="75" t="inlineStr">
        <is>
          <t>n. a.</t>
        </is>
      </c>
      <c r="J27" s="76" t="inlineStr">
        <is>
          <t>nicht belegt (Recherche offen)</t>
        </is>
      </c>
      <c r="K27" s="75" t="inlineStr">
        <is>
          <t>n. a.</t>
        </is>
      </c>
      <c r="L27" s="68" t="inlineStr">
        <is>
          <t>Im Katalog nicht belegt</t>
        </is>
      </c>
      <c r="M27" s="72" t="inlineStr">
        <is>
          <t>https://www.stadtwil.ch</t>
        </is>
      </c>
      <c r="N27" s="73" t="inlineStr">
        <is>
          <t>Einstiegsseite · ungetestet</t>
        </is>
      </c>
      <c r="O27" s="68" t="inlineStr">
        <is>
          <t>Ergänzung · tief</t>
        </is>
      </c>
      <c r="P27" s="68" t="n"/>
      <c r="Q27" s="68" t="inlineStr">
        <is>
          <t>Q-Bearbeitung: Website/Gesetzessammlung der Gemeinde; falls ohne Treffer → Datenanfrage Gemeinde</t>
        </is>
      </c>
    </row>
    <row r="28" ht="19.5" customHeight="1" s="45">
      <c r="A28" s="66" t="inlineStr">
        <is>
          <t>GEMEINDE SEELISBERG (UR)</t>
        </is>
      </c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</row>
    <row r="29" outlineLevel="1" ht="22.35" customHeight="1" s="45">
      <c r="A29" s="68" t="inlineStr">
        <is>
          <t>Gde Seelisberg</t>
        </is>
      </c>
      <c r="B29" s="69" t="inlineStr">
        <is>
          <t>Q4</t>
        </is>
      </c>
      <c r="C29" s="68" t="inlineStr">
        <is>
          <t>Verordnung</t>
        </is>
      </c>
      <c r="D29" s="70" t="inlineStr">
        <is>
          <t>Verordnung über die Wasserversorgung</t>
        </is>
      </c>
      <c r="E29" s="68" t="inlineStr">
        <is>
          <t>–</t>
        </is>
      </c>
      <c r="F29" s="68" t="inlineStr">
        <is>
          <t>01.01.2020</t>
        </is>
      </c>
      <c r="G29" s="68" t="inlineStr">
        <is>
          <t>Gde Seelisberg</t>
        </is>
      </c>
      <c r="H29" s="68" t="inlineStr">
        <is>
          <t>öffentlich</t>
        </is>
      </c>
      <c r="I29" s="75" t="inlineStr">
        <is>
          <t>n. a.</t>
        </is>
      </c>
      <c r="J29" s="75" t="inlineStr">
        <is>
          <t>n. a.</t>
        </is>
      </c>
      <c r="K29" s="71" t="inlineStr">
        <is>
          <t>belegt</t>
        </is>
      </c>
      <c r="L29" s="68" t="inlineStr">
        <is>
          <t>Wasserversorgung; Entwässerung/Retention damit nicht abgedeckt</t>
        </is>
      </c>
      <c r="M29" s="72" t="inlineStr">
        <is>
          <t>https://www.seelisberg.ch/files/pdf/Verordnung_%C3%BCber_die_Wasserversorgung.pdf</t>
        </is>
      </c>
      <c r="N29" s="69" t="inlineStr">
        <is>
          <t>Kataster · ungetestet</t>
        </is>
      </c>
      <c r="O29" s="68" t="inlineStr">
        <is>
          <t>Katalog · hoch</t>
        </is>
      </c>
      <c r="P29" s="68" t="n"/>
      <c r="Q29" s="68" t="n"/>
    </row>
    <row r="30" outlineLevel="1" ht="22.35" customHeight="1" s="45">
      <c r="A30" s="68" t="inlineStr">
        <is>
          <t>Gde Seelisberg</t>
        </is>
      </c>
      <c r="B30" s="69" t="inlineStr">
        <is>
          <t>Q4</t>
        </is>
      </c>
      <c r="C30" s="68" t="inlineStr">
        <is>
          <t>Reglement</t>
        </is>
      </c>
      <c r="D30" s="70" t="inlineStr">
        <is>
          <t>BZO Art. 24 Gefahrenzonen</t>
        </is>
      </c>
      <c r="E30" s="68" t="inlineStr">
        <is>
          <t>–</t>
        </is>
      </c>
      <c r="F30" s="68" t="inlineStr">
        <is>
          <t>01.01.2015</t>
        </is>
      </c>
      <c r="G30" s="68" t="inlineStr">
        <is>
          <t>Gde Seelisberg</t>
        </is>
      </c>
      <c r="H30" s="68" t="inlineStr">
        <is>
          <t>öffentlich</t>
        </is>
      </c>
      <c r="I30" s="75" t="inlineStr">
        <is>
          <t>n. a.</t>
        </is>
      </c>
      <c r="J30" s="75" t="inlineStr">
        <is>
          <t>n. a.</t>
        </is>
      </c>
      <c r="K30" s="71" t="inlineStr">
        <is>
          <t>belegt</t>
        </is>
      </c>
      <c r="L30" s="68" t="inlineStr">
        <is>
          <t>Gefahrenzonen in der Nutzungsplanung</t>
        </is>
      </c>
      <c r="M30" s="72" t="inlineStr">
        <is>
          <t>https://www.seelisberg.ch/files/pdf/Bau-und-Zonenordnung-Seelisberg.pdf</t>
        </is>
      </c>
      <c r="N30" s="69" t="inlineStr">
        <is>
          <t>Kataster · ungetestet</t>
        </is>
      </c>
      <c r="O30" s="68" t="inlineStr">
        <is>
          <t>Katalog · hoch</t>
        </is>
      </c>
      <c r="P30" s="68" t="n"/>
      <c r="Q30" s="68" t="n"/>
    </row>
    <row r="31" outlineLevel="1" ht="22.35" customHeight="1" s="45">
      <c r="A31" s="68" t="inlineStr">
        <is>
          <t>Gde Seelisberg</t>
        </is>
      </c>
      <c r="B31" s="69" t="inlineStr">
        <is>
          <t>Q4</t>
        </is>
      </c>
      <c r="C31" s="68" t="inlineStr">
        <is>
          <t>Plan</t>
        </is>
      </c>
      <c r="D31" s="70" t="inlineStr">
        <is>
          <t>Abwasserreglement / GEP Seelisberg</t>
        </is>
      </c>
      <c r="E31" s="68" t="inlineStr">
        <is>
          <t>–</t>
        </is>
      </c>
      <c r="F31" s="68" t="inlineStr">
        <is>
          <t>–</t>
        </is>
      </c>
      <c r="G31" s="68" t="inlineStr">
        <is>
          <t>Gde Seelisberg</t>
        </is>
      </c>
      <c r="H31" s="68" t="inlineStr">
        <is>
          <t>öffentlich</t>
        </is>
      </c>
      <c r="I31" s="75" t="inlineStr">
        <is>
          <t>n. a.</t>
        </is>
      </c>
      <c r="J31" s="75" t="inlineStr">
        <is>
          <t>n. a.</t>
        </is>
      </c>
      <c r="K31" s="76" t="inlineStr">
        <is>
          <t>nicht belegt (Recherche offen)</t>
        </is>
      </c>
      <c r="L31" s="68" t="inlineStr">
        <is>
          <t>Im Katalog nicht belegt</t>
        </is>
      </c>
      <c r="M31" s="72" t="inlineStr">
        <is>
          <t>https://www.seelisberg.ch</t>
        </is>
      </c>
      <c r="N31" s="73" t="inlineStr">
        <is>
          <t>Einstiegsseite · ungetestet</t>
        </is>
      </c>
      <c r="O31" s="68" t="inlineStr">
        <is>
          <t>Ergänzung · tief</t>
        </is>
      </c>
      <c r="P31" s="68" t="n"/>
      <c r="Q31" s="68" t="inlineStr">
        <is>
          <t>Q-Bearbeitung: Website/Gesetzessammlung der Gemeinde; falls ohne Treffer → Datenanfrage Gemeinde</t>
        </is>
      </c>
    </row>
    <row r="32" ht="19.5" customHeight="1" s="45">
      <c r="A32" s="66" t="inlineStr">
        <is>
          <t>GEMEINDEN – nicht öffentliche Daten (Lieferung durch Gemeinde / Kanton)</t>
        </is>
      </c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</row>
    <row r="33" outlineLevel="1" ht="32.8" customHeight="1" s="45">
      <c r="A33" s="68" t="inlineStr">
        <is>
          <t>Gemeinden (alle)</t>
        </is>
      </c>
      <c r="B33" s="69" t="inlineStr">
        <is>
          <t>Q4</t>
        </is>
      </c>
      <c r="C33" s="68" t="inlineStr">
        <is>
          <t>Datensatz</t>
        </is>
      </c>
      <c r="D33" s="70" t="inlineStr">
        <is>
          <t>GEP-Sachdaten, Notfall-/Katastrophenkonzepte, Gefährdungsanalysen (KATAPLAN), Hochwasser-Einsatzplanung</t>
        </is>
      </c>
      <c r="E33" s="68" t="inlineStr">
        <is>
          <t>–</t>
        </is>
      </c>
      <c r="F33" s="68" t="inlineStr">
        <is>
          <t>–</t>
        </is>
      </c>
      <c r="G33" s="68" t="inlineStr">
        <is>
          <t>Gemeinde / Kanton</t>
        </is>
      </c>
      <c r="H33" s="78" t="inlineStr">
        <is>
          <t>nicht öffentlich</t>
        </is>
      </c>
      <c r="I33" s="79" t="inlineStr">
        <is>
          <t>Datenanfrage (nicht öffentlich)</t>
        </is>
      </c>
      <c r="J33" s="79" t="inlineStr">
        <is>
          <t>Datenanfrage (nicht öffentlich)</t>
        </is>
      </c>
      <c r="K33" s="79" t="inlineStr">
        <is>
          <t>Datenanfrage (nicht öffentlich)</t>
        </is>
      </c>
      <c r="L33" s="68" t="inlineStr">
        <is>
          <t>Operative Resilienz-Grundlagen</t>
        </is>
      </c>
      <c r="M33" s="72" t="inlineStr">
        <is>
          <t>https://www.fedlex.admin.ch</t>
        </is>
      </c>
      <c r="N33" s="73" t="inlineStr">
        <is>
          <t>Einstiegsseite · ungetestet</t>
        </is>
      </c>
      <c r="O33" s="68" t="inlineStr">
        <is>
          <t>Ergänzung · mittel</t>
        </is>
      </c>
      <c r="P33" s="68" t="inlineStr">
        <is>
          <t>Existenz: mittel bis hoch (Gefährdungsanalyse/Bevölkerungsschutz Pflicht auf kantonaler Ebene, Detailstand offen)</t>
        </is>
      </c>
      <c r="Q33" s="68" t="inlineStr">
        <is>
          <t>Datenanfrage an Gemeinde/Kanton (Vorlage: Liste «Daten, die die Gemeinde liefern muss»)</t>
        </is>
      </c>
    </row>
    <row r="34" outlineLevel="1" ht="22.35" customHeight="1" s="45">
      <c r="A34" s="68" t="inlineStr">
        <is>
          <t>Gemeinden (alle)</t>
        </is>
      </c>
      <c r="B34" s="69" t="inlineStr">
        <is>
          <t>Q4</t>
        </is>
      </c>
      <c r="C34" s="68" t="inlineStr">
        <is>
          <t>Datensatz</t>
        </is>
      </c>
      <c r="D34" s="70" t="inlineStr">
        <is>
          <t>Gebäudeversicherung: Elementarschaden-Daten, Objektschutz-Nachweise</t>
        </is>
      </c>
      <c r="E34" s="68" t="inlineStr">
        <is>
          <t>–</t>
        </is>
      </c>
      <c r="F34" s="68" t="inlineStr">
        <is>
          <t>–</t>
        </is>
      </c>
      <c r="G34" s="68" t="inlineStr">
        <is>
          <t>Kant. Gebäudeversicherung</t>
        </is>
      </c>
      <c r="H34" s="78" t="inlineStr">
        <is>
          <t>nicht öffentlich</t>
        </is>
      </c>
      <c r="I34" s="79" t="inlineStr">
        <is>
          <t>Datenanfrage (nicht öffentlich)</t>
        </is>
      </c>
      <c r="J34" s="79" t="inlineStr">
        <is>
          <t>Datenanfrage (nicht öffentlich)</t>
        </is>
      </c>
      <c r="K34" s="79" t="inlineStr">
        <is>
          <t>Datenanfrage (nicht öffentlich)</t>
        </is>
      </c>
      <c r="L34" s="68" t="inlineStr">
        <is>
          <t>Schadenshistorie</t>
        </is>
      </c>
      <c r="M34" s="72" t="inlineStr">
        <is>
          <t>https://www.fedlex.admin.ch</t>
        </is>
      </c>
      <c r="N34" s="73" t="inlineStr">
        <is>
          <t>Einstiegsseite · ungetestet</t>
        </is>
      </c>
      <c r="O34" s="68" t="inlineStr">
        <is>
          <t>Ergänzung · tief</t>
        </is>
      </c>
      <c r="P34" s="68" t="inlineStr">
        <is>
          <t>Existenz: hoch (kantonale Gebäudeversicherungen führen Schadendaten; Zugang nur auf Anfrage)</t>
        </is>
      </c>
      <c r="Q34" s="68" t="inlineStr">
        <is>
          <t>Datenanfrage an Gemeinde/Kanton (Vorlage: Liste «Daten, die die Gemeinde liefern muss»)</t>
        </is>
      </c>
    </row>
  </sheetData>
  <autoFilter ref="A5:Q34"/>
  <hyperlinks>
    <hyperlink xmlns:r="http://schemas.openxmlformats.org/officeDocument/2006/relationships" ref="M7" display="https://www.geo.admin.ch/" r:id="rId1"/>
    <hyperlink xmlns:r="http://schemas.openxmlformats.org/officeDocument/2006/relationships" ref="M8" location="/map?lang=de&amp;center=2660000,1190000&amp;z=1&amp;bgLayer=ch.swisstopo.pixelkarte-grau&amp;layers=ch.bafu.gefahren-oberflaechenabfluss" display="https://map.geo.admin.ch/#/map?lang=de&amp;center=2660000,1190000&amp;z=1&amp;bgLayer=ch.swisstopo.pixelkarte-grau&amp;layers=ch.bafu.gefahren-oberflaechenabfluss" r:id="rId2"/>
    <hyperlink xmlns:r="http://schemas.openxmlformats.org/officeDocument/2006/relationships" ref="M9" display="https://www.bafu.admin.ch" r:id="rId3"/>
    <hyperlink xmlns:r="http://schemas.openxmlformats.org/officeDocument/2006/relationships" ref="M10" display="https://www.bafu.admin.ch" r:id="rId4"/>
    <hyperlink xmlns:r="http://schemas.openxmlformats.org/officeDocument/2006/relationships" ref="M11" location="/map?lang=de&amp;center=2660000,1190000&amp;z=1&amp;bgLayer=ch.swisstopo.pixelkarte-grau&amp;layers=ch.bafu.gefahren-baugrundklassen" display="https://map.geo.admin.ch/#/map?lang=de&amp;center=2660000,1190000&amp;z=1&amp;bgLayer=ch.swisstopo.pixelkarte-grau&amp;layers=ch.bafu.gefahren-baugrundklassen" r:id="rId5"/>
    <hyperlink xmlns:r="http://schemas.openxmlformats.org/officeDocument/2006/relationships" ref="M12" location="/map?lang=de&amp;center=2660000,1190000&amp;z=1&amp;bgLayer=ch.swisstopo.pixelkarte-grau&amp;layers=ch.bafu.laerm-strassenlaerm_tag" display="https://map.geo.admin.ch/#/map?lang=de&amp;center=2660000,1190000&amp;z=1&amp;bgLayer=ch.swisstopo.pixelkarte-grau&amp;layers=ch.bafu.laerm-strassenlaerm_tag" r:id="rId6"/>
    <hyperlink xmlns:r="http://schemas.openxmlformats.org/officeDocument/2006/relationships" ref="M14" display="https://geoview.bl.ch/" r:id="rId7"/>
    <hyperlink xmlns:r="http://schemas.openxmlformats.org/officeDocument/2006/relationships" ref="M15" display="https://geoview.bl.ch" r:id="rId8"/>
    <hyperlink xmlns:r="http://schemas.openxmlformats.org/officeDocument/2006/relationships" ref="M17" display="https://www.geoportal.ch/ktsg/map/3502?y=2717572.22&amp;x=1252351.20&amp;scale=50000&amp;rotation=0" r:id="rId9"/>
    <hyperlink xmlns:r="http://schemas.openxmlformats.org/officeDocument/2006/relationships" ref="M18" display="https://www.geoportal.ch/ktsg" r:id="rId10"/>
    <hyperlink xmlns:r="http://schemas.openxmlformats.org/officeDocument/2006/relationships" ref="M20" display="https://geo.ur.ch/" r:id="rId11"/>
    <hyperlink xmlns:r="http://schemas.openxmlformats.org/officeDocument/2006/relationships" ref="M21" display="https://geo.ur.ch/" r:id="rId12"/>
    <hyperlink xmlns:r="http://schemas.openxmlformats.org/officeDocument/2006/relationships" ref="M23" display="https://www.muenchenstein.ch/_docn/5130739/TR_5.4_Abwasserreglement_vom_28._Oktober_2020_-_Stand_07.01.2021.pdf" r:id="rId13"/>
    <hyperlink xmlns:r="http://schemas.openxmlformats.org/officeDocument/2006/relationships" ref="M24" display="https://www.geoportal.ch/muenchenstein/map/1037?y=2611563.50&amp;x=1263436.40&amp;scale=25000&amp;rotation=0" r:id="rId14"/>
    <hyperlink xmlns:r="http://schemas.openxmlformats.org/officeDocument/2006/relationships" ref="M26" display="https://www.stadtwil.ch/storage/8ae27a52e6272acbe7a00ddad257f439fbae9a367f80166a75d97ea28f6771cf" r:id="rId15"/>
    <hyperlink xmlns:r="http://schemas.openxmlformats.org/officeDocument/2006/relationships" ref="M27" display="https://www.stadtwil.ch" r:id="rId16"/>
    <hyperlink xmlns:r="http://schemas.openxmlformats.org/officeDocument/2006/relationships" ref="M29" display="https://www.seelisberg.ch/files/pdf/Verordnung_%C3%BCber_die_Wasserversorgung.pdf" r:id="rId17"/>
    <hyperlink xmlns:r="http://schemas.openxmlformats.org/officeDocument/2006/relationships" ref="M30" display="https://www.seelisberg.ch/files/pdf/Bau-und-Zonenordnung-Seelisberg.pdf" r:id="rId18"/>
    <hyperlink xmlns:r="http://schemas.openxmlformats.org/officeDocument/2006/relationships" ref="M31" display="https://www.seelisberg.ch" r:id="rId19"/>
    <hyperlink xmlns:r="http://schemas.openxmlformats.org/officeDocument/2006/relationships" ref="M33" display="https://www.fedlex.admin.ch" r:id="rId20"/>
    <hyperlink xmlns:r="http://schemas.openxmlformats.org/officeDocument/2006/relationships" ref="M34" display="https://www.fedlex.admin.ch" r:id="rId21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Q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5 · Q5 Ortsbild und Baukultur – Dokumente, Inventare, Geodaten</t>
        </is>
      </c>
    </row>
    <row r="2" ht="15" customHeight="1" s="45">
      <c r="A2" s="47" t="inlineStr">
        <is>
          <t>Kontext Raumentwicklung, Städteplanung, Bauvorschriften.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Q5</t>
        </is>
      </c>
      <c r="C7" s="68" t="inlineStr">
        <is>
          <t>Inventar / Layer</t>
        </is>
      </c>
      <c r="D7" s="70" t="inlineStr">
        <is>
          <t>ISOS – Bundesinventar schützenswerter Ortsbilder der Schweiz</t>
        </is>
      </c>
      <c r="E7" s="68" t="inlineStr">
        <is>
          <t>VISOS</t>
        </is>
      </c>
      <c r="F7" s="68" t="inlineStr">
        <is>
          <t>Katalog: 01.06.2026</t>
        </is>
      </c>
      <c r="G7" s="68" t="inlineStr">
        <is>
          <t>BAK</t>
        </is>
      </c>
      <c r="H7" s="68" t="inlineStr">
        <is>
          <t>öffentlich</t>
        </is>
      </c>
      <c r="I7" s="71" t="inlineStr">
        <is>
          <t>belegt</t>
        </is>
      </c>
      <c r="J7" s="71" t="inlineStr">
        <is>
          <t>belegt</t>
        </is>
      </c>
      <c r="K7" s="71" t="inlineStr">
        <is>
          <t>belegt</t>
        </is>
      </c>
      <c r="L7" s="68" t="inlineStr">
        <is>
          <t>Schutz- und Abwägungspflichten je nach Vorhaben und Rechtskontext (ISOS-/Ortsbildprüfung)</t>
        </is>
      </c>
      <c r="M7" s="72" t="inlineStr">
        <is>
          <t>https://map.geo.admin.ch/#/map?lang=de&amp;center=2660000,1190000&amp;z=1&amp;bgLayer=ch.swisstopo.pixelkarte-grau&amp;layers=ch.bak.bundesinventar-schuetzenswerte-ortsbilder</t>
        </is>
      </c>
      <c r="N7" s="73" t="inlineStr">
        <is>
          <t>Muster · ungetestet</t>
        </is>
      </c>
      <c r="O7" s="68" t="inlineStr">
        <is>
          <t>Katalog · hoch</t>
        </is>
      </c>
      <c r="P7" s="68" t="inlineStr">
        <is>
          <t>Einstufung je Ortsbild (Aufnahmekategorie, Erhaltungsziele) je Gemeinde auswerten</t>
        </is>
      </c>
      <c r="Q7" s="68" t="n"/>
    </row>
    <row r="8" outlineLevel="1" ht="32.8" customHeight="1" s="45">
      <c r="A8" s="68" t="inlineStr">
        <is>
          <t>Bund</t>
        </is>
      </c>
      <c r="B8" s="69" t="inlineStr">
        <is>
          <t>Q5</t>
        </is>
      </c>
      <c r="C8" s="68" t="inlineStr">
        <is>
          <t>Inventar / Layer</t>
        </is>
      </c>
      <c r="D8" s="70" t="inlineStr">
        <is>
          <t>IVS – Inventar historischer Verkehrswege der Schweiz</t>
        </is>
      </c>
      <c r="E8" s="68" t="inlineStr">
        <is>
          <t>VIVS</t>
        </is>
      </c>
      <c r="F8" s="68" t="inlineStr">
        <is>
          <t>–</t>
        </is>
      </c>
      <c r="G8" s="68" t="inlineStr">
        <is>
          <t>ASTRA</t>
        </is>
      </c>
      <c r="H8" s="68" t="inlineStr">
        <is>
          <t>öffentlich</t>
        </is>
      </c>
      <c r="I8" s="77" t="inlineStr">
        <is>
          <t>belegt – Betroffenheit offen</t>
        </is>
      </c>
      <c r="J8" s="77" t="inlineStr">
        <is>
          <t>belegt – Betroffenheit offen</t>
        </is>
      </c>
      <c r="K8" s="77" t="inlineStr">
        <is>
          <t>belegt – Betroffenheit offen</t>
        </is>
      </c>
      <c r="L8" s="68" t="inlineStr">
        <is>
          <t>Historische Wege, Substanz-/Verlaufsschutz</t>
        </is>
      </c>
      <c r="M8" s="72" t="inlineStr">
        <is>
          <t>https://map.geo.admin.ch/#/map?lang=de&amp;center=2660000,1190000&amp;z=1&amp;bgLayer=ch.swisstopo.pixelkarte-grau&amp;layers=ch.astra.ivs-nat</t>
        </is>
      </c>
      <c r="N8" s="73" t="inlineStr">
        <is>
          <t>Muster · ungetestet</t>
        </is>
      </c>
      <c r="O8" s="68" t="inlineStr">
        <is>
          <t>Ergänzung · mittel</t>
        </is>
      </c>
      <c r="P8" s="68" t="n"/>
      <c r="Q8" s="68" t="inlineStr">
        <is>
          <t>Niklas/Nikolaos (GIS): Overlay mit Gemeindeperimeter – Layer-Link in Blatt 7_GIS_Layers; Ergebnis dort eintragen (ja/nein)</t>
        </is>
      </c>
    </row>
    <row r="9" outlineLevel="1" ht="32.8" customHeight="1" s="45">
      <c r="A9" s="68" t="inlineStr">
        <is>
          <t>Bund</t>
        </is>
      </c>
      <c r="B9" s="69" t="inlineStr">
        <is>
          <t>Q5</t>
        </is>
      </c>
      <c r="C9" s="68" t="inlineStr">
        <is>
          <t>Inventar / Layer</t>
        </is>
      </c>
      <c r="D9" s="70" t="inlineStr">
        <is>
          <t>KGS-Inventar (Kulturgüter von nationaler/regionaler Bedeutung)</t>
        </is>
      </c>
      <c r="E9" s="68" t="inlineStr">
        <is>
          <t>–</t>
        </is>
      </c>
      <c r="F9" s="68" t="inlineStr">
        <is>
          <t>–</t>
        </is>
      </c>
      <c r="G9" s="68" t="inlineStr">
        <is>
          <t>BABS</t>
        </is>
      </c>
      <c r="H9" s="68" t="inlineStr">
        <is>
          <t>öffentlich</t>
        </is>
      </c>
      <c r="I9" s="77" t="inlineStr">
        <is>
          <t>belegt – Betroffenheit offen</t>
        </is>
      </c>
      <c r="J9" s="77" t="inlineStr">
        <is>
          <t>belegt – Betroffenheit offen</t>
        </is>
      </c>
      <c r="K9" s="77" t="inlineStr">
        <is>
          <t>belegt – Betroffenheit offen</t>
        </is>
      </c>
      <c r="L9" s="68" t="inlineStr">
        <is>
          <t>Schutzobjekte, Pufferbereiche</t>
        </is>
      </c>
      <c r="M9" s="72" t="inlineStr">
        <is>
          <t>https://map.geo.admin.ch/#/map?lang=de&amp;center=2660000,1190000&amp;z=1&amp;bgLayer=ch.swisstopo.pixelkarte-grau&amp;layers=ch.babs.kulturgueter</t>
        </is>
      </c>
      <c r="N9" s="73" t="inlineStr">
        <is>
          <t>Muster · ungetestet</t>
        </is>
      </c>
      <c r="O9" s="68" t="inlineStr">
        <is>
          <t>Ergänzung · mittel</t>
        </is>
      </c>
      <c r="P9" s="68" t="n"/>
      <c r="Q9" s="68" t="inlineStr">
        <is>
          <t>Niklas/Nikolaos (GIS): Overlay mit Gemeindeperimeter – Layer-Link in Blatt 7_GIS_Layers; Ergebnis dort eintragen (ja/nein)</t>
        </is>
      </c>
    </row>
    <row r="10" outlineLevel="1" ht="32.8" customHeight="1" s="45">
      <c r="A10" s="68" t="inlineStr">
        <is>
          <t>Bund</t>
        </is>
      </c>
      <c r="B10" s="69" t="inlineStr">
        <is>
          <t>Q5</t>
        </is>
      </c>
      <c r="C10" s="68" t="inlineStr">
        <is>
          <t>Inventar / Layer</t>
        </is>
      </c>
      <c r="D10" s="70" t="inlineStr">
        <is>
          <t>BLN (Landschaftsbild / Kulturlandschaft) – Querbezug Q2</t>
        </is>
      </c>
      <c r="E10" s="68" t="inlineStr">
        <is>
          <t>VBLN</t>
        </is>
      </c>
      <c r="F10" s="68" t="inlineStr">
        <is>
          <t>–</t>
        </is>
      </c>
      <c r="G10" s="68" t="inlineStr">
        <is>
          <t>BAFU</t>
        </is>
      </c>
      <c r="H10" s="68" t="inlineStr">
        <is>
          <t>öffentlich</t>
        </is>
      </c>
      <c r="I10" s="77" t="inlineStr">
        <is>
          <t>belegt – Betroffenheit offen</t>
        </is>
      </c>
      <c r="J10" s="77" t="inlineStr">
        <is>
          <t>belegt – Betroffenheit offen</t>
        </is>
      </c>
      <c r="K10" s="77" t="inlineStr">
        <is>
          <t>belegt – Betroffenheit offen</t>
        </is>
      </c>
      <c r="L10" s="68" t="inlineStr">
        <is>
          <t>Landschaftsprägende Elemente</t>
        </is>
      </c>
      <c r="M10" s="72" t="inlineStr">
        <is>
          <t>https://map.geo.admin.ch/#/map?lang=de&amp;center=2660000,1190000&amp;z=1&amp;bgLayer=ch.swisstopo.pixelkarte-grau&amp;layers=ch.bafu.bundesinventare-bln</t>
        </is>
      </c>
      <c r="N10" s="73" t="inlineStr">
        <is>
          <t>Muster · ungetestet</t>
        </is>
      </c>
      <c r="O10" s="68" t="inlineStr">
        <is>
          <t>Ergänzung · mittel</t>
        </is>
      </c>
      <c r="P10" s="68" t="n"/>
      <c r="Q10" s="68" t="inlineStr">
        <is>
          <t>Niklas/Nikolaos (GIS): Overlay mit Gemeindeperimeter – Layer-Link in Blatt 7_GIS_Layers; Ergebnis dort eintragen (ja/nein)</t>
        </is>
      </c>
    </row>
    <row r="11" outlineLevel="1" ht="22.35" customHeight="1" s="45">
      <c r="A11" s="68" t="inlineStr">
        <is>
          <t>Bund</t>
        </is>
      </c>
      <c r="B11" s="69" t="inlineStr">
        <is>
          <t>Q5</t>
        </is>
      </c>
      <c r="C11" s="68" t="inlineStr">
        <is>
          <t>Strategie / Leitfaden</t>
        </is>
      </c>
      <c r="D11" s="70" t="inlineStr">
        <is>
          <t>Strategie Baukultur des Bundes; Davos Qualitätssystem; Leitfäden BAK</t>
        </is>
      </c>
      <c r="E11" s="68" t="inlineStr">
        <is>
          <t>–</t>
        </is>
      </c>
      <c r="F11" s="68" t="inlineStr">
        <is>
          <t>–</t>
        </is>
      </c>
      <c r="G11" s="68" t="inlineStr">
        <is>
          <t>BAK</t>
        </is>
      </c>
      <c r="H11" s="68" t="inlineStr">
        <is>
          <t>öffentlich</t>
        </is>
      </c>
      <c r="I11" s="71" t="inlineStr">
        <is>
          <t>belegt</t>
        </is>
      </c>
      <c r="J11" s="71" t="inlineStr">
        <is>
          <t>belegt</t>
        </is>
      </c>
      <c r="K11" s="71" t="inlineStr">
        <is>
          <t>belegt</t>
        </is>
      </c>
      <c r="L11" s="68" t="inlineStr">
        <is>
          <t>Qualitätskriterien für Baukultur</t>
        </is>
      </c>
      <c r="M11" s="72" t="inlineStr">
        <is>
          <t>https://www.bak.admin.ch</t>
        </is>
      </c>
      <c r="N11" s="73" t="inlineStr">
        <is>
          <t>Einstiegsseite · ungetestet</t>
        </is>
      </c>
      <c r="O11" s="68" t="inlineStr">
        <is>
          <t>Ergänzung · mittel</t>
        </is>
      </c>
      <c r="P11" s="68" t="n"/>
      <c r="Q11" s="68" t="inlineStr">
        <is>
          <t>Q-Bearbeitung: Dokument-URL auf der Behörden-Website ermitteln (Einstiegsseite verlinkt)</t>
        </is>
      </c>
    </row>
    <row r="12" ht="19.5" customHeight="1" s="45">
      <c r="A12" s="66" t="inlineStr">
        <is>
          <t>KANTON BASEL-LANDSCHAFT  →  Münchenstein</t>
        </is>
      </c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</row>
    <row r="13" outlineLevel="1" ht="22.35" customHeight="1" s="45">
      <c r="A13" s="68" t="inlineStr">
        <is>
          <t>Kanton BL</t>
        </is>
      </c>
      <c r="B13" s="69" t="inlineStr">
        <is>
          <t>Q5</t>
        </is>
      </c>
      <c r="C13" s="68" t="inlineStr">
        <is>
          <t>Inventar / Layer</t>
        </is>
      </c>
      <c r="D13" s="70" t="inlineStr">
        <is>
          <t>Inventar der Kulturdenkmäler (IKD) BL</t>
        </is>
      </c>
      <c r="E13" s="68" t="inlineStr">
        <is>
          <t>–</t>
        </is>
      </c>
      <c r="F13" s="68" t="inlineStr">
        <is>
          <t>Katalog: kein Stand</t>
        </is>
      </c>
      <c r="G13" s="68" t="inlineStr">
        <is>
          <t>Kanton BL (Denkmalpflege)</t>
        </is>
      </c>
      <c r="H13" s="68" t="inlineStr">
        <is>
          <t>öffentlich</t>
        </is>
      </c>
      <c r="I13" s="71" t="inlineStr">
        <is>
          <t>belegt</t>
        </is>
      </c>
      <c r="J13" s="75" t="inlineStr">
        <is>
          <t>n. a.</t>
        </is>
      </c>
      <c r="K13" s="75" t="inlineStr">
        <is>
          <t>n. a.</t>
        </is>
      </c>
      <c r="L13" s="68" t="inlineStr">
        <is>
          <t>Schutzwürdigkeit und Schutzstatus betroffener Objekte prüfen (Inventarabgleich)</t>
        </is>
      </c>
      <c r="M13" s="72" t="inlineStr">
        <is>
          <t>https://www.geoportal.ch/muenchenstein/map/912?y=2611965.69&amp;x=1263213.43&amp;scale=17500&amp;rotation=0</t>
        </is>
      </c>
      <c r="N13" s="69" t="inlineStr">
        <is>
          <t>Kataster · ungetestet</t>
        </is>
      </c>
      <c r="O13" s="68" t="inlineStr">
        <is>
          <t>Katalog · hoch</t>
        </is>
      </c>
      <c r="P13" s="68" t="inlineStr">
        <is>
          <t>Stand ergänzen</t>
        </is>
      </c>
      <c r="Q13" s="68" t="n"/>
    </row>
    <row r="14" outlineLevel="1" ht="32.8" customHeight="1" s="45">
      <c r="A14" s="68" t="inlineStr">
        <is>
          <t>Kanton BL</t>
        </is>
      </c>
      <c r="B14" s="69" t="inlineStr">
        <is>
          <t>Q5</t>
        </is>
      </c>
      <c r="C14" s="68" t="inlineStr">
        <is>
          <t>Inventar</t>
        </is>
      </c>
      <c r="D14" s="70" t="inlineStr">
        <is>
          <t>Kantonales Bauinventar BL (BIB) / Denkmalverzeichnis</t>
        </is>
      </c>
      <c r="E14" s="68" t="inlineStr">
        <is>
          <t>–</t>
        </is>
      </c>
      <c r="F14" s="68" t="inlineStr">
        <is>
          <t>–</t>
        </is>
      </c>
      <c r="G14" s="68" t="inlineStr">
        <is>
          <t>Kanton BL</t>
        </is>
      </c>
      <c r="H14" s="68" t="inlineStr">
        <is>
          <t>öffentlich</t>
        </is>
      </c>
      <c r="I14" s="76" t="inlineStr">
        <is>
          <t>nicht belegt (Recherche offen)</t>
        </is>
      </c>
      <c r="J14" s="75" t="inlineStr">
        <is>
          <t>n. a.</t>
        </is>
      </c>
      <c r="K14" s="75" t="inlineStr">
        <is>
          <t>n. a.</t>
        </is>
      </c>
      <c r="L14" s="68" t="inlineStr">
        <is>
          <t>Schützenswerte/erhaltenswerte Bauten</t>
        </is>
      </c>
      <c r="M14" s="72" t="inlineStr">
        <is>
          <t>https://www.baselland.ch</t>
        </is>
      </c>
      <c r="N14" s="73" t="inlineStr">
        <is>
          <t>Einstiegsseite · ungetestet</t>
        </is>
      </c>
      <c r="O14" s="68" t="inlineStr">
        <is>
          <t>Ergänzung · tief</t>
        </is>
      </c>
      <c r="P14" s="68" t="n"/>
      <c r="Q14" s="68" t="inlineStr">
        <is>
          <t>Q-Bearbeitung: Volltextsuche in kant. Gesetzessammlung bzw. Layerliste im Geoportal; falls ohne Treffer → Anfrage Kantonale Fachstelle</t>
        </is>
      </c>
    </row>
    <row r="15" ht="19.5" customHeight="1" s="45">
      <c r="A15" s="66" t="inlineStr">
        <is>
          <t>KANTON ST. GALLEN  →  Wil</t>
        </is>
      </c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</row>
    <row r="16" outlineLevel="1" ht="32.8" customHeight="1" s="45">
      <c r="A16" s="68" t="inlineStr">
        <is>
          <t>Kanton SG</t>
        </is>
      </c>
      <c r="B16" s="69" t="inlineStr">
        <is>
          <t>Q5</t>
        </is>
      </c>
      <c r="C16" s="68" t="inlineStr">
        <is>
          <t>Inventar / Layer</t>
        </is>
      </c>
      <c r="D16" s="70" t="inlineStr">
        <is>
          <t>Kantonales Denkmalverzeichnis / Hinweisinventar SG</t>
        </is>
      </c>
      <c r="E16" s="68" t="inlineStr">
        <is>
          <t>–</t>
        </is>
      </c>
      <c r="F16" s="68" t="inlineStr">
        <is>
          <t>–</t>
        </is>
      </c>
      <c r="G16" s="68" t="inlineStr">
        <is>
          <t>Kanton SG (Denkmalpflege)</t>
        </is>
      </c>
      <c r="H16" s="68" t="inlineStr">
        <is>
          <t>öffentlich</t>
        </is>
      </c>
      <c r="I16" s="75" t="inlineStr">
        <is>
          <t>n. a.</t>
        </is>
      </c>
      <c r="J16" s="76" t="inlineStr">
        <is>
          <t>nicht belegt (Recherche offen)</t>
        </is>
      </c>
      <c r="K16" s="75" t="inlineStr">
        <is>
          <t>n. a.</t>
        </is>
      </c>
      <c r="L16" s="68" t="inlineStr">
        <is>
          <t>Im Katalog keine Kantonsebene für Q5</t>
        </is>
      </c>
      <c r="M16" s="72" t="inlineStr">
        <is>
          <t>https://www.geoportal.ch/ktsg</t>
        </is>
      </c>
      <c r="N16" s="73" t="inlineStr">
        <is>
          <t>Muster · ungetestet</t>
        </is>
      </c>
      <c r="O16" s="68" t="inlineStr">
        <is>
          <t>Ergänzung · tief</t>
        </is>
      </c>
      <c r="P16" s="68" t="inlineStr">
        <is>
          <t>Wil: Altstadt, historische Bauten → Inventar sichten</t>
        </is>
      </c>
      <c r="Q16" s="68" t="inlineStr">
        <is>
          <t>Q-Bearbeitung: Volltextsuche in kant. Gesetzessammlung bzw. Layerliste im Geoportal; falls ohne Treffer → Anfrage Kantonale Fachstelle</t>
        </is>
      </c>
    </row>
    <row r="17" ht="19.5" customHeight="1" s="45">
      <c r="A17" s="66" t="inlineStr">
        <is>
          <t>KANTON URI  →  Seelisberg</t>
        </is>
      </c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</row>
    <row r="18" outlineLevel="1" ht="22.35" customHeight="1" s="45">
      <c r="A18" s="68" t="inlineStr">
        <is>
          <t>Kanton UR</t>
        </is>
      </c>
      <c r="B18" s="69" t="inlineStr">
        <is>
          <t>Q5</t>
        </is>
      </c>
      <c r="C18" s="68" t="inlineStr">
        <is>
          <t>Inventar / Layer</t>
        </is>
      </c>
      <c r="D18" s="70" t="inlineStr">
        <is>
          <t>Kantonale Denkmal- und Ortsbildinventare Uri</t>
        </is>
      </c>
      <c r="E18" s="68" t="inlineStr">
        <is>
          <t>–</t>
        </is>
      </c>
      <c r="F18" s="68" t="inlineStr">
        <is>
          <t>20.03.2026</t>
        </is>
      </c>
      <c r="G18" s="68" t="inlineStr">
        <is>
          <t>Kanton UR</t>
        </is>
      </c>
      <c r="H18" s="68" t="inlineStr">
        <is>
          <t>öffentlich</t>
        </is>
      </c>
      <c r="I18" s="75" t="inlineStr">
        <is>
          <t>n. a.</t>
        </is>
      </c>
      <c r="J18" s="75" t="inlineStr">
        <is>
          <t>n. a.</t>
        </is>
      </c>
      <c r="K18" s="71" t="inlineStr">
        <is>
          <t>belegt</t>
        </is>
      </c>
      <c r="L18" s="68" t="inlineStr">
        <is>
          <t>Schutzwürdigkeit und Schutzstatus betroffener Objekte prüfen (Inventarabgleich)</t>
        </is>
      </c>
      <c r="M18" s="72" t="inlineStr">
        <is>
          <t>https://geo.ur.ch</t>
        </is>
      </c>
      <c r="N18" s="69" t="inlineStr">
        <is>
          <t>Kataster · ungetestet</t>
        </is>
      </c>
      <c r="O18" s="68" t="inlineStr">
        <is>
          <t>Katalog · hoch</t>
        </is>
      </c>
      <c r="P18" s="68" t="n"/>
      <c r="Q18" s="68" t="n"/>
    </row>
    <row r="19" outlineLevel="1" ht="22.35" customHeight="1" s="45">
      <c r="A19" s="68" t="inlineStr">
        <is>
          <t>Kanton UR</t>
        </is>
      </c>
      <c r="B19" s="69" t="inlineStr">
        <is>
          <t>Q5</t>
        </is>
      </c>
      <c r="C19" s="68" t="inlineStr">
        <is>
          <t>Inventar / Layer</t>
        </is>
      </c>
      <c r="D19" s="70" t="inlineStr">
        <is>
          <t>Kantonales Schutzinventar Seelisberg</t>
        </is>
      </c>
      <c r="E19" s="68" t="inlineStr">
        <is>
          <t>–</t>
        </is>
      </c>
      <c r="F19" s="68" t="inlineStr">
        <is>
          <t>20.03.2026</t>
        </is>
      </c>
      <c r="G19" s="68" t="inlineStr">
        <is>
          <t>Kanton UR / Gde Seelisberg</t>
        </is>
      </c>
      <c r="H19" s="68" t="inlineStr">
        <is>
          <t>öffentlich</t>
        </is>
      </c>
      <c r="I19" s="75" t="inlineStr">
        <is>
          <t>n. a.</t>
        </is>
      </c>
      <c r="J19" s="75" t="inlineStr">
        <is>
          <t>n. a.</t>
        </is>
      </c>
      <c r="K19" s="71" t="inlineStr">
        <is>
          <t>belegt</t>
        </is>
      </c>
      <c r="L19" s="68" t="inlineStr">
        <is>
          <t>Geschützte Objekte und Landschaftsteile identifizieren</t>
        </is>
      </c>
      <c r="M19" s="72" t="inlineStr">
        <is>
          <t>https://geo.ur.ch</t>
        </is>
      </c>
      <c r="N19" s="69" t="inlineStr">
        <is>
          <t>Kataster · ungetestet</t>
        </is>
      </c>
      <c r="O19" s="68" t="inlineStr">
        <is>
          <t>Katalog · hoch</t>
        </is>
      </c>
      <c r="P19" s="68" t="n"/>
      <c r="Q19" s="68" t="n"/>
    </row>
    <row r="20" ht="19.5" customHeight="1" s="45">
      <c r="A20" s="66" t="inlineStr">
        <is>
          <t>GEMEINDE MÜNCHENSTEIN (BL)</t>
        </is>
      </c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</row>
    <row r="21" outlineLevel="1" ht="22.35" customHeight="1" s="45">
      <c r="A21" s="68" t="inlineStr">
        <is>
          <t>Gde Münchenstein</t>
        </is>
      </c>
      <c r="B21" s="69" t="inlineStr">
        <is>
          <t>Q5</t>
        </is>
      </c>
      <c r="C21" s="68" t="inlineStr">
        <is>
          <t>Reglement</t>
        </is>
      </c>
      <c r="D21" s="70" t="inlineStr">
        <is>
          <t>Kommunale Schutzverordnung / Ortsbildvorgaben (Zonenvorschriften)</t>
        </is>
      </c>
      <c r="E21" s="68" t="inlineStr">
        <is>
          <t>–</t>
        </is>
      </c>
      <c r="F21" s="68" t="inlineStr">
        <is>
          <t>25.02.2025</t>
        </is>
      </c>
      <c r="G21" s="68" t="inlineStr">
        <is>
          <t>Gde Münchenstein</t>
        </is>
      </c>
      <c r="H21" s="68" t="inlineStr">
        <is>
          <t>öffentlich</t>
        </is>
      </c>
      <c r="I21" s="71" t="inlineStr">
        <is>
          <t>belegt</t>
        </is>
      </c>
      <c r="J21" s="75" t="inlineStr">
        <is>
          <t>n. a.</t>
        </is>
      </c>
      <c r="K21" s="75" t="inlineStr">
        <is>
          <t>n. a.</t>
        </is>
      </c>
      <c r="L21" s="68" t="inlineStr">
        <is>
          <t>Schutzobjekte, Erhaltungs- und Gestaltungsauflagen (Schutzplan und Gestaltungsnachweis)</t>
        </is>
      </c>
      <c r="M21" s="72" t="inlineStr">
        <is>
          <t>https://oereblex.bl.ch/api/attachments/22718</t>
        </is>
      </c>
      <c r="N21" s="69" t="inlineStr">
        <is>
          <t>Kataster · ungetestet</t>
        </is>
      </c>
      <c r="O21" s="68" t="inlineStr">
        <is>
          <t>Katalog · hoch</t>
        </is>
      </c>
      <c r="P21" s="68" t="inlineStr">
        <is>
          <t>Link identisch mit Zonenvorschriften → Inhalt verifizieren</t>
        </is>
      </c>
      <c r="Q21" s="68" t="n"/>
    </row>
    <row r="22" outlineLevel="1" ht="22.35" customHeight="1" s="45">
      <c r="A22" s="68" t="inlineStr">
        <is>
          <t>Gde Münchenstein</t>
        </is>
      </c>
      <c r="B22" s="69" t="inlineStr">
        <is>
          <t>Q5</t>
        </is>
      </c>
      <c r="C22" s="68" t="inlineStr">
        <is>
          <t>Layer</t>
        </is>
      </c>
      <c r="D22" s="70" t="inlineStr">
        <is>
          <t>Geoportal Münchenstein: Ortsbild-/Denkmal-Layer</t>
        </is>
      </c>
      <c r="E22" s="68" t="inlineStr">
        <is>
          <t>–</t>
        </is>
      </c>
      <c r="F22" s="68" t="inlineStr">
        <is>
          <t>–</t>
        </is>
      </c>
      <c r="G22" s="68" t="inlineStr">
        <is>
          <t>Gde Münchenstein</t>
        </is>
      </c>
      <c r="H22" s="68" t="inlineStr">
        <is>
          <t>öffentlich</t>
        </is>
      </c>
      <c r="I22" s="76" t="inlineStr">
        <is>
          <t>nicht belegt (Recherche offen)</t>
        </is>
      </c>
      <c r="J22" s="75" t="inlineStr">
        <is>
          <t>n. a.</t>
        </is>
      </c>
      <c r="K22" s="75" t="inlineStr">
        <is>
          <t>n. a.</t>
        </is>
      </c>
      <c r="L22" s="68" t="inlineStr">
        <is>
          <t>Kommunale Layer</t>
        </is>
      </c>
      <c r="M22" s="72" t="inlineStr">
        <is>
          <t>https://www.geoportal.ch/muenchenstein</t>
        </is>
      </c>
      <c r="N22" s="73" t="inlineStr">
        <is>
          <t>Muster · ungetestet</t>
        </is>
      </c>
      <c r="O22" s="68" t="inlineStr">
        <is>
          <t>Ergänzung · tief</t>
        </is>
      </c>
      <c r="P22" s="68" t="n"/>
      <c r="Q22" s="68" t="inlineStr">
        <is>
          <t>Q-Bearbeitung: Website/Gesetzessammlung der Gemeinde; falls ohne Treffer → Datenanfrage Gemeinde</t>
        </is>
      </c>
    </row>
    <row r="23" ht="19.5" customHeight="1" s="45">
      <c r="A23" s="66" t="inlineStr">
        <is>
          <t>GEMEINDE WIL (SG)</t>
        </is>
      </c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</row>
    <row r="24" outlineLevel="1" ht="22.35" customHeight="1" s="45">
      <c r="A24" s="68" t="inlineStr">
        <is>
          <t>Gde Wil</t>
        </is>
      </c>
      <c r="B24" s="69" t="inlineStr">
        <is>
          <t>Q5</t>
        </is>
      </c>
      <c r="C24" s="68" t="inlineStr">
        <is>
          <t>Reglement</t>
        </is>
      </c>
      <c r="D24" s="70" t="inlineStr">
        <is>
          <t>Reglement zur Schutzverordnung (Schutzobjekte, Gestaltungsauflagen)</t>
        </is>
      </c>
      <c r="E24" s="68" t="inlineStr">
        <is>
          <t>–</t>
        </is>
      </c>
      <c r="F24" s="68" t="inlineStr">
        <is>
          <t>31.08.2022</t>
        </is>
      </c>
      <c r="G24" s="68" t="inlineStr">
        <is>
          <t>Gde Wil</t>
        </is>
      </c>
      <c r="H24" s="68" t="inlineStr">
        <is>
          <t>öffentlich</t>
        </is>
      </c>
      <c r="I24" s="75" t="inlineStr">
        <is>
          <t>n. a.</t>
        </is>
      </c>
      <c r="J24" s="71" t="inlineStr">
        <is>
          <t>belegt</t>
        </is>
      </c>
      <c r="K24" s="75" t="inlineStr">
        <is>
          <t>n. a.</t>
        </is>
      </c>
      <c r="L24" s="68" t="inlineStr">
        <is>
          <t>Schutzobjekte, Erhaltungs- und Gestaltungsauflagen</t>
        </is>
      </c>
      <c r="M24" s="72" t="inlineStr">
        <is>
          <t>https://cms.e-mitwirkung.ch/media/wil/Reglement_221013.pdf</t>
        </is>
      </c>
      <c r="N24" s="69" t="inlineStr">
        <is>
          <t>Kataster · ungetestet</t>
        </is>
      </c>
      <c r="O24" s="68" t="inlineStr">
        <is>
          <t>Katalog · hoch</t>
        </is>
      </c>
      <c r="P24" s="68" t="n"/>
      <c r="Q24" s="68" t="n"/>
    </row>
    <row r="25" outlineLevel="1" ht="22.35" customHeight="1" s="45">
      <c r="A25" s="68" t="inlineStr">
        <is>
          <t>Gde Wil</t>
        </is>
      </c>
      <c r="B25" s="69" t="inlineStr">
        <is>
          <t>Q5</t>
        </is>
      </c>
      <c r="C25" s="68" t="inlineStr">
        <is>
          <t>Layer</t>
        </is>
      </c>
      <c r="D25" s="70" t="inlineStr">
        <is>
          <t>Geoportal Wil: Ortsbild-/Schutzobjekt-Layer, Kernzonen</t>
        </is>
      </c>
      <c r="E25" s="68" t="inlineStr">
        <is>
          <t>–</t>
        </is>
      </c>
      <c r="F25" s="68" t="inlineStr">
        <is>
          <t>–</t>
        </is>
      </c>
      <c r="G25" s="68" t="inlineStr">
        <is>
          <t>Gde Wil</t>
        </is>
      </c>
      <c r="H25" s="68" t="inlineStr">
        <is>
          <t>öffentlich</t>
        </is>
      </c>
      <c r="I25" s="75" t="inlineStr">
        <is>
          <t>n. a.</t>
        </is>
      </c>
      <c r="J25" s="76" t="inlineStr">
        <is>
          <t>nicht belegt (Recherche offen)</t>
        </is>
      </c>
      <c r="K25" s="75" t="inlineStr">
        <is>
          <t>n. a.</t>
        </is>
      </c>
      <c r="L25" s="68" t="inlineStr">
        <is>
          <t>Kommunale Layer</t>
        </is>
      </c>
      <c r="M25" s="72" t="inlineStr">
        <is>
          <t>https://www.geoportal.ch/wil_sg</t>
        </is>
      </c>
      <c r="N25" s="73" t="inlineStr">
        <is>
          <t>Muster · ungetestet</t>
        </is>
      </c>
      <c r="O25" s="68" t="inlineStr">
        <is>
          <t>Ergänzung · tief</t>
        </is>
      </c>
      <c r="P25" s="68" t="n"/>
      <c r="Q25" s="68" t="inlineStr">
        <is>
          <t>Q-Bearbeitung: Website/Gesetzessammlung der Gemeinde; falls ohne Treffer → Datenanfrage Gemeinde</t>
        </is>
      </c>
    </row>
    <row r="26" ht="19.5" customHeight="1" s="45">
      <c r="A26" s="66" t="inlineStr">
        <is>
          <t>GEMEINDE SEELISBERG (UR)</t>
        </is>
      </c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</row>
    <row r="27" outlineLevel="1" ht="22.35" customHeight="1" s="45">
      <c r="A27" s="68" t="inlineStr">
        <is>
          <t>Gde Seelisberg</t>
        </is>
      </c>
      <c r="B27" s="69" t="inlineStr">
        <is>
          <t>Q5</t>
        </is>
      </c>
      <c r="C27" s="68" t="inlineStr">
        <is>
          <t>Verordnung</t>
        </is>
      </c>
      <c r="D27" s="70" t="inlineStr">
        <is>
          <t>Kommunale Schutzverordnung / Ortsbildvorgaben</t>
        </is>
      </c>
      <c r="E27" s="68" t="inlineStr">
        <is>
          <t>–</t>
        </is>
      </c>
      <c r="F27" s="68" t="inlineStr">
        <is>
          <t>18.02.2025</t>
        </is>
      </c>
      <c r="G27" s="68" t="inlineStr">
        <is>
          <t>Gde Seelisberg</t>
        </is>
      </c>
      <c r="H27" s="68" t="inlineStr">
        <is>
          <t>öffentlich</t>
        </is>
      </c>
      <c r="I27" s="75" t="inlineStr">
        <is>
          <t>n. a.</t>
        </is>
      </c>
      <c r="J27" s="75" t="inlineStr">
        <is>
          <t>n. a.</t>
        </is>
      </c>
      <c r="K27" s="71" t="inlineStr">
        <is>
          <t>belegt</t>
        </is>
      </c>
      <c r="L27" s="68" t="inlineStr">
        <is>
          <t>Schutzobjekte, Erhaltungs- und Gestaltungsauflagen</t>
        </is>
      </c>
      <c r="M27" s="72" t="inlineStr">
        <is>
          <t>https://www.seelisberg.ch/files/pdf/Bau-und-Zonenordnung-Seelisberg.pdf</t>
        </is>
      </c>
      <c r="N27" s="69" t="inlineStr">
        <is>
          <t>Kataster · ungetestet</t>
        </is>
      </c>
      <c r="O27" s="68" t="inlineStr">
        <is>
          <t>Katalog · hoch</t>
        </is>
      </c>
      <c r="P27" s="68" t="inlineStr">
        <is>
          <t>Link = BZO (2015) → Widerspruch zum Datum klären</t>
        </is>
      </c>
      <c r="Q27" s="68" t="n"/>
    </row>
    <row r="28" outlineLevel="1" ht="22.35" customHeight="1" s="45">
      <c r="A28" s="68" t="inlineStr">
        <is>
          <t>Gde Seelisberg</t>
        </is>
      </c>
      <c r="B28" s="69" t="inlineStr">
        <is>
          <t>Q5</t>
        </is>
      </c>
      <c r="C28" s="68" t="inlineStr">
        <is>
          <t>Reglement</t>
        </is>
      </c>
      <c r="D28" s="70" t="inlineStr">
        <is>
          <t>BZO Art. 8a Kernzone Sonnenberg (Quartiergestaltungsplanpflicht), Art. 26a</t>
        </is>
      </c>
      <c r="E28" s="68" t="inlineStr">
        <is>
          <t>–</t>
        </is>
      </c>
      <c r="F28" s="68" t="inlineStr">
        <is>
          <t>01.01.2015</t>
        </is>
      </c>
      <c r="G28" s="68" t="inlineStr">
        <is>
          <t>Gde Seelisberg</t>
        </is>
      </c>
      <c r="H28" s="68" t="inlineStr">
        <is>
          <t>öffentlich</t>
        </is>
      </c>
      <c r="I28" s="75" t="inlineStr">
        <is>
          <t>n. a.</t>
        </is>
      </c>
      <c r="J28" s="75" t="inlineStr">
        <is>
          <t>n. a.</t>
        </is>
      </c>
      <c r="K28" s="71" t="inlineStr">
        <is>
          <t>belegt</t>
        </is>
      </c>
      <c r="L28" s="68" t="inlineStr">
        <is>
          <t>Gestaltungsplanpflicht als baukulturelles Qualitätsinstrument</t>
        </is>
      </c>
      <c r="M28" s="72" t="inlineStr">
        <is>
          <t>https://www.seelisberg.ch/files/pdf/Bau-und-Zonenordnung-Seelisberg.pdf</t>
        </is>
      </c>
      <c r="N28" s="69" t="inlineStr">
        <is>
          <t>Kataster · ungetestet</t>
        </is>
      </c>
      <c r="O28" s="68" t="inlineStr">
        <is>
          <t>Katalog · hoch</t>
        </is>
      </c>
      <c r="P28" s="68" t="n"/>
      <c r="Q28" s="68" t="n"/>
    </row>
    <row r="29" ht="19.5" customHeight="1" s="45">
      <c r="A29" s="66" t="inlineStr">
        <is>
          <t>GEMEINDEN – nicht öffentliche Daten (Lieferung durch Gemeinde / Kanton)</t>
        </is>
      </c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</row>
    <row r="30" outlineLevel="1" ht="22.35" customHeight="1" s="45">
      <c r="A30" s="68" t="inlineStr">
        <is>
          <t>Gemeinden (alle)</t>
        </is>
      </c>
      <c r="B30" s="69" t="inlineStr">
        <is>
          <t>Q5</t>
        </is>
      </c>
      <c r="C30" s="68" t="inlineStr">
        <is>
          <t>Datensatz</t>
        </is>
      </c>
      <c r="D30" s="70" t="inlineStr">
        <is>
          <t>Archäologische Fundstellen / Verdachtsflächen</t>
        </is>
      </c>
      <c r="E30" s="68" t="inlineStr">
        <is>
          <t>–</t>
        </is>
      </c>
      <c r="F30" s="68" t="inlineStr">
        <is>
          <t>–</t>
        </is>
      </c>
      <c r="G30" s="68" t="inlineStr">
        <is>
          <t>Kantonsarchäologie</t>
        </is>
      </c>
      <c r="H30" s="78" t="inlineStr">
        <is>
          <t>nicht öffentlich</t>
        </is>
      </c>
      <c r="I30" s="79" t="inlineStr">
        <is>
          <t>Datenanfrage (nicht öffentlich)</t>
        </is>
      </c>
      <c r="J30" s="79" t="inlineStr">
        <is>
          <t>Datenanfrage (nicht öffentlich)</t>
        </is>
      </c>
      <c r="K30" s="79" t="inlineStr">
        <is>
          <t>Datenanfrage (nicht öffentlich)</t>
        </is>
      </c>
      <c r="L30" s="68" t="inlineStr">
        <is>
          <t>Fundstellen aus Schutzgründen nicht öffentlich</t>
        </is>
      </c>
      <c r="M30" s="72" t="inlineStr">
        <is>
          <t>https://www.fedlex.admin.ch</t>
        </is>
      </c>
      <c r="N30" s="73" t="inlineStr">
        <is>
          <t>Einstiegsseite · ungetestet</t>
        </is>
      </c>
      <c r="O30" s="68" t="inlineStr">
        <is>
          <t>Ergänzung · mittel</t>
        </is>
      </c>
      <c r="P30" s="68" t="inlineStr">
        <is>
          <t>Existenz: hoch (kantonale Fachstellen; ZGB Art. 724). Zugang: aus Schutzgründen nicht öffentlich</t>
        </is>
      </c>
      <c r="Q30" s="68" t="inlineStr">
        <is>
          <t>Datenanfrage an Gemeinde/Kanton (Vorlage: Liste «Daten, die die Gemeinde liefern muss»)</t>
        </is>
      </c>
    </row>
    <row r="31" outlineLevel="1" ht="22.35" customHeight="1" s="45">
      <c r="A31" s="68" t="inlineStr">
        <is>
          <t>Gemeinden (alle)</t>
        </is>
      </c>
      <c r="B31" s="69" t="inlineStr">
        <is>
          <t>Q5</t>
        </is>
      </c>
      <c r="C31" s="68" t="inlineStr">
        <is>
          <t>Datensatz</t>
        </is>
      </c>
      <c r="D31" s="70" t="inlineStr">
        <is>
          <t>Denkmalpflegerische Gutachten, Einzelobjekt-Inventarblätter, Bauberatungs-Protokolle, Gestaltungsbeirat</t>
        </is>
      </c>
      <c r="E31" s="68" t="inlineStr">
        <is>
          <t>–</t>
        </is>
      </c>
      <c r="F31" s="68" t="inlineStr">
        <is>
          <t>–</t>
        </is>
      </c>
      <c r="G31" s="68" t="inlineStr">
        <is>
          <t>Gemeinde / Kanton</t>
        </is>
      </c>
      <c r="H31" s="78" t="inlineStr">
        <is>
          <t>nicht öffentlich</t>
        </is>
      </c>
      <c r="I31" s="79" t="inlineStr">
        <is>
          <t>Datenanfrage (nicht öffentlich)</t>
        </is>
      </c>
      <c r="J31" s="79" t="inlineStr">
        <is>
          <t>Datenanfrage (nicht öffentlich)</t>
        </is>
      </c>
      <c r="K31" s="79" t="inlineStr">
        <is>
          <t>Datenanfrage (nicht öffentlich)</t>
        </is>
      </c>
      <c r="L31" s="68" t="inlineStr">
        <is>
          <t>Detailgrundlagen für Ortsbildprüfung</t>
        </is>
      </c>
      <c r="M31" s="72" t="inlineStr">
        <is>
          <t>https://www.fedlex.admin.ch</t>
        </is>
      </c>
      <c r="N31" s="73" t="inlineStr">
        <is>
          <t>Einstiegsseite · ungetestet</t>
        </is>
      </c>
      <c r="O31" s="68" t="inlineStr">
        <is>
          <t>Ergänzung · tief</t>
        </is>
      </c>
      <c r="P31" s="68" t="inlineStr">
        <is>
          <t>Existenz: mittel (nur bei Unterschutzstellung/Verfahren)</t>
        </is>
      </c>
      <c r="Q31" s="68" t="inlineStr">
        <is>
          <t>Datenanfrage an Gemeinde/Kanton (Vorlage: Liste «Daten, die die Gemeinde liefern muss»)</t>
        </is>
      </c>
    </row>
  </sheetData>
  <autoFilter ref="A5:Q31"/>
  <hyperlinks>
    <hyperlink xmlns:r="http://schemas.openxmlformats.org/officeDocument/2006/relationships" ref="M7" location="/map?lang=de&amp;center=2660000,1190000&amp;z=1&amp;bgLayer=ch.swisstopo.pixelkarte-grau&amp;layers=ch.bak.bundesinventar-schuetzenswerte-ortsbilder" display="https://map.geo.admin.ch/#/map?lang=de&amp;center=2660000,1190000&amp;z=1&amp;bgLayer=ch.swisstopo.pixelkarte-grau&amp;layers=ch.bak.bundesinventar-schuetzenswerte-ortsbilder" r:id="rId1"/>
    <hyperlink xmlns:r="http://schemas.openxmlformats.org/officeDocument/2006/relationships" ref="M8" location="/map?lang=de&amp;center=2660000,1190000&amp;z=1&amp;bgLayer=ch.swisstopo.pixelkarte-grau&amp;layers=ch.astra.ivs-nat" display="https://map.geo.admin.ch/#/map?lang=de&amp;center=2660000,1190000&amp;z=1&amp;bgLayer=ch.swisstopo.pixelkarte-grau&amp;layers=ch.astra.ivs-nat" r:id="rId2"/>
    <hyperlink xmlns:r="http://schemas.openxmlformats.org/officeDocument/2006/relationships" ref="M9" location="/map?lang=de&amp;center=2660000,1190000&amp;z=1&amp;bgLayer=ch.swisstopo.pixelkarte-grau&amp;layers=ch.babs.kulturgueter" display="https://map.geo.admin.ch/#/map?lang=de&amp;center=2660000,1190000&amp;z=1&amp;bgLayer=ch.swisstopo.pixelkarte-grau&amp;layers=ch.babs.kulturgueter" r:id="rId3"/>
    <hyperlink xmlns:r="http://schemas.openxmlformats.org/officeDocument/2006/relationships" ref="M10" location="/map?lang=de&amp;center=2660000,1190000&amp;z=1&amp;bgLayer=ch.swisstopo.pixelkarte-grau&amp;layers=ch.bafu.bundesinventare-bln" display="https://map.geo.admin.ch/#/map?lang=de&amp;center=2660000,1190000&amp;z=1&amp;bgLayer=ch.swisstopo.pixelkarte-grau&amp;layers=ch.bafu.bundesinventare-bln" r:id="rId4"/>
    <hyperlink xmlns:r="http://schemas.openxmlformats.org/officeDocument/2006/relationships" ref="M11" display="https://www.bak.admin.ch" r:id="rId5"/>
    <hyperlink xmlns:r="http://schemas.openxmlformats.org/officeDocument/2006/relationships" ref="M13" display="https://www.geoportal.ch/muenchenstein/map/912?y=2611965.69&amp;x=1263213.43&amp;scale=17500&amp;rotation=0" r:id="rId6"/>
    <hyperlink xmlns:r="http://schemas.openxmlformats.org/officeDocument/2006/relationships" ref="M14" display="https://www.baselland.ch" r:id="rId7"/>
    <hyperlink xmlns:r="http://schemas.openxmlformats.org/officeDocument/2006/relationships" ref="M16" display="https://www.geoportal.ch/ktsg" r:id="rId8"/>
    <hyperlink xmlns:r="http://schemas.openxmlformats.org/officeDocument/2006/relationships" ref="M18" display="https://geo.ur.ch" r:id="rId9"/>
    <hyperlink xmlns:r="http://schemas.openxmlformats.org/officeDocument/2006/relationships" ref="M19" display="https://geo.ur.ch" r:id="rId10"/>
    <hyperlink xmlns:r="http://schemas.openxmlformats.org/officeDocument/2006/relationships" ref="M21" display="https://oereblex.bl.ch/api/attachments/22718" r:id="rId11"/>
    <hyperlink xmlns:r="http://schemas.openxmlformats.org/officeDocument/2006/relationships" ref="M22" display="https://www.geoportal.ch/muenchenstein" r:id="rId12"/>
    <hyperlink xmlns:r="http://schemas.openxmlformats.org/officeDocument/2006/relationships" ref="M24" display="https://cms.e-mitwirkung.ch/media/wil/Reglement_221013.pdf" r:id="rId13"/>
    <hyperlink xmlns:r="http://schemas.openxmlformats.org/officeDocument/2006/relationships" ref="M25" display="https://www.geoportal.ch/wil_sg" r:id="rId14"/>
    <hyperlink xmlns:r="http://schemas.openxmlformats.org/officeDocument/2006/relationships" ref="M27" display="https://www.seelisberg.ch/files/pdf/Bau-und-Zonenordnung-Seelisberg.pdf" r:id="rId15"/>
    <hyperlink xmlns:r="http://schemas.openxmlformats.org/officeDocument/2006/relationships" ref="M28" display="https://www.seelisberg.ch/files/pdf/Bau-und-Zonenordnung-Seelisberg.pdf" r:id="rId16"/>
    <hyperlink xmlns:r="http://schemas.openxmlformats.org/officeDocument/2006/relationships" ref="M30" display="https://www.fedlex.admin.ch" r:id="rId17"/>
    <hyperlink xmlns:r="http://schemas.openxmlformats.org/officeDocument/2006/relationships" ref="M31" display="https://www.fedlex.admin.ch" r:id="rId18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Q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6 · Q6 Integrierte, lebenszyklusorientierte Bestellung und Umsetzung – Dokumente, Grundlagen</t>
        </is>
      </c>
    </row>
    <row r="2" ht="15" customHeight="1" s="45">
      <c r="A2" s="47" t="inlineStr">
        <is>
          <t>Kontext Projektvergabe bei Raumentwicklung, Städteplanung, Bauvorschriften.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Q6</t>
        </is>
      </c>
      <c r="C7" s="68" t="inlineStr">
        <is>
          <t>Plattform</t>
        </is>
      </c>
      <c r="D7" s="70" t="inlineStr">
        <is>
          <t>simap.ch – Beschaffungsplattform (Ausschreibungen, Zuschläge)</t>
        </is>
      </c>
      <c r="E7" s="68" t="inlineStr">
        <is>
          <t>–</t>
        </is>
      </c>
      <c r="F7" s="68" t="inlineStr">
        <is>
          <t>–</t>
        </is>
      </c>
      <c r="G7" s="68" t="inlineStr">
        <is>
          <t>Bund / Kantone / Gemeinden</t>
        </is>
      </c>
      <c r="H7" s="68" t="inlineStr">
        <is>
          <t>öffentlich</t>
        </is>
      </c>
      <c r="I7" s="71" t="inlineStr">
        <is>
          <t>belegt</t>
        </is>
      </c>
      <c r="J7" s="71" t="inlineStr">
        <is>
          <t>belegt</t>
        </is>
      </c>
      <c r="K7" s="71" t="inlineStr">
        <is>
          <t>belegt</t>
        </is>
      </c>
      <c r="L7" s="68" t="inlineStr">
        <is>
          <t>Referenzprojekte, Vergabepraxis der Gemeinden recherchierbar</t>
        </is>
      </c>
      <c r="M7" s="72" t="inlineStr">
        <is>
          <t>https://www.simap.ch</t>
        </is>
      </c>
      <c r="N7" s="73" t="inlineStr">
        <is>
          <t>Muster · ungetestet</t>
        </is>
      </c>
      <c r="O7" s="68" t="inlineStr">
        <is>
          <t>Ergänzung · hoch</t>
        </is>
      </c>
      <c r="P7" s="68" t="inlineStr">
        <is>
          <t>Gemeinde-Vergaben auswerten (Verfahrensart, Zuschlagskriterien)</t>
        </is>
      </c>
      <c r="Q7" s="68" t="n"/>
    </row>
    <row r="8" outlineLevel="1" ht="22.35" customHeight="1" s="45">
      <c r="A8" s="68" t="inlineStr">
        <is>
          <t>Bund</t>
        </is>
      </c>
      <c r="B8" s="69" t="inlineStr">
        <is>
          <t>Q6</t>
        </is>
      </c>
      <c r="C8" s="68" t="inlineStr">
        <is>
          <t>Leitfaden</t>
        </is>
      </c>
      <c r="D8" s="70" t="inlineStr">
        <is>
          <t>KBOB-Empfehlungen (Beschaffung, Lebenszykluskosten, Nachhaltigkeit); Leitfaden Nachhaltige Beschaffung</t>
        </is>
      </c>
      <c r="E8" s="68" t="inlineStr">
        <is>
          <t>–</t>
        </is>
      </c>
      <c r="F8" s="68" t="inlineStr">
        <is>
          <t>–</t>
        </is>
      </c>
      <c r="G8" s="68" t="inlineStr">
        <is>
          <t>KBOB / BBL</t>
        </is>
      </c>
      <c r="H8" s="68" t="inlineStr">
        <is>
          <t>öffentlich</t>
        </is>
      </c>
      <c r="I8" s="71" t="inlineStr">
        <is>
          <t>belegt</t>
        </is>
      </c>
      <c r="J8" s="71" t="inlineStr">
        <is>
          <t>belegt</t>
        </is>
      </c>
      <c r="K8" s="71" t="inlineStr">
        <is>
          <t>belegt</t>
        </is>
      </c>
      <c r="L8" s="68" t="inlineStr">
        <is>
          <t>Referenz für lebenszyklusorientierte Beschaffung und Verantwortlichkeiten</t>
        </is>
      </c>
      <c r="M8" s="72" t="inlineStr">
        <is>
          <t>https://www.kbob.admin.ch</t>
        </is>
      </c>
      <c r="N8" s="73" t="inlineStr">
        <is>
          <t>Einstiegsseite · ungetestet</t>
        </is>
      </c>
      <c r="O8" s="68" t="inlineStr">
        <is>
          <t>Ergänzung · mittel</t>
        </is>
      </c>
      <c r="P8" s="68" t="n"/>
      <c r="Q8" s="68" t="inlineStr">
        <is>
          <t>Q-Bearbeitung: Dokument-URL auf der Behörden-Website ermitteln (Einstiegsseite verlinkt)</t>
        </is>
      </c>
    </row>
    <row r="9" outlineLevel="1" ht="22.35" customHeight="1" s="45">
      <c r="A9" s="68" t="inlineStr">
        <is>
          <t>Bund</t>
        </is>
      </c>
      <c r="B9" s="69" t="inlineStr">
        <is>
          <t>Q6</t>
        </is>
      </c>
      <c r="C9" s="68" t="inlineStr">
        <is>
          <t>Norm</t>
        </is>
      </c>
      <c r="D9" s="70" t="inlineStr">
        <is>
          <t>SIA 142 (Wettbewerbe), SIA 143 (Studienaufträge), SIA 112 (Leistungsmodell), SIA 118, SIA 480 (Wirtschaftlichkeit)</t>
        </is>
      </c>
      <c r="E9" s="68" t="inlineStr">
        <is>
          <t>–</t>
        </is>
      </c>
      <c r="F9" s="68" t="inlineStr">
        <is>
          <t>–</t>
        </is>
      </c>
      <c r="G9" s="68" t="inlineStr">
        <is>
          <t>SIA</t>
        </is>
      </c>
      <c r="H9" s="68" t="inlineStr">
        <is>
          <t>kostenpflichtig (Norm)</t>
        </is>
      </c>
      <c r="I9" s="71" t="inlineStr">
        <is>
          <t>belegt</t>
        </is>
      </c>
      <c r="J9" s="71" t="inlineStr">
        <is>
          <t>belegt</t>
        </is>
      </c>
      <c r="K9" s="71" t="inlineStr">
        <is>
          <t>belegt</t>
        </is>
      </c>
      <c r="L9" s="68" t="inlineStr">
        <is>
          <t>Verfahrens- und Vertragsstandards für Planerleistungen und Bauausführung</t>
        </is>
      </c>
      <c r="M9" s="72" t="inlineStr">
        <is>
          <t>https://www.sia.ch</t>
        </is>
      </c>
      <c r="N9" s="73" t="inlineStr">
        <is>
          <t>Einstiegsseite · ungetestet</t>
        </is>
      </c>
      <c r="O9" s="68" t="inlineStr">
        <is>
          <t>Ergänzung · mittel</t>
        </is>
      </c>
      <c r="P9" s="68" t="inlineStr">
        <is>
          <t>Kostenpflichtig; Anwendung gemeindespezifisch</t>
        </is>
      </c>
      <c r="Q9" s="68" t="inlineStr">
        <is>
          <t>Q-Bearbeitung: Dokument-URL auf der Behörden-Website ermitteln (Einstiegsseite verlinkt)</t>
        </is>
      </c>
    </row>
    <row r="10" ht="19.5" customHeight="1" s="45">
      <c r="A10" s="66" t="inlineStr">
        <is>
          <t>INTERKANTONAL (Konkordat)</t>
        </is>
      </c>
      <c r="B10" s="67" t="n"/>
      <c r="C10" s="67" t="n"/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</row>
    <row r="11" outlineLevel="1" ht="22.35" customHeight="1" s="45">
      <c r="A11" s="68" t="inlineStr">
        <is>
          <t>Interkantonal</t>
        </is>
      </c>
      <c r="B11" s="69" t="inlineStr">
        <is>
          <t>Q6</t>
        </is>
      </c>
      <c r="C11" s="68" t="inlineStr">
        <is>
          <t>Konkordat</t>
        </is>
      </c>
      <c r="D11" s="70" t="inlineStr">
        <is>
          <t>IVöB 2019 inkl. Schwellenwerte</t>
        </is>
      </c>
      <c r="E11" s="68" t="inlineStr">
        <is>
          <t>–</t>
        </is>
      </c>
      <c r="F11" s="68" t="inlineStr">
        <is>
          <t>Katalog: 15.03.2001</t>
        </is>
      </c>
      <c r="G11" s="68" t="inlineStr">
        <is>
          <t>BPUK</t>
        </is>
      </c>
      <c r="H11" s="68" t="inlineStr">
        <is>
          <t>öffentlich</t>
        </is>
      </c>
      <c r="I11" s="71" t="inlineStr">
        <is>
          <t>belegt</t>
        </is>
      </c>
      <c r="J11" s="71" t="inlineStr">
        <is>
          <t>belegt</t>
        </is>
      </c>
      <c r="K11" s="71" t="inlineStr">
        <is>
          <t>belegt</t>
        </is>
      </c>
      <c r="L11" s="68" t="inlineStr">
        <is>
          <t>Anwendbares kantonales Recht und Schwellenwerte prüfen (Vergaberechtliche Prüfung)</t>
        </is>
      </c>
      <c r="M11" s="72" t="inlineStr">
        <is>
          <t>https://www.bpuk.ch/fileadmin/Dokumente/bpuk/public/de/konkordate/ivoeb/INTERKANTONALE%2BVEREINBARUNG%2B%25c3%259cBER%2BDAS%2B%25c3%2596FFENTLICHE%2BBESCHAFFUNGSWESEN%2B%28IV%25c3%25b6B%29.pdf</t>
        </is>
      </c>
      <c r="N11" s="69" t="inlineStr">
        <is>
          <t>Kataster · ungetestet</t>
        </is>
      </c>
      <c r="O11" s="68" t="inlineStr">
        <is>
          <t>Katalog · hoch</t>
        </is>
      </c>
      <c r="P11" s="68" t="inlineStr">
        <is>
          <t>Katalog-Datum betrifft alte IVöB → IVöB 2019 verifizieren</t>
        </is>
      </c>
      <c r="Q11" s="68" t="n"/>
    </row>
    <row r="12" outlineLevel="1" ht="22.35" customHeight="1" s="45">
      <c r="A12" s="68" t="inlineStr">
        <is>
          <t>Interkantonal</t>
        </is>
      </c>
      <c r="B12" s="69" t="inlineStr">
        <is>
          <t>Q6</t>
        </is>
      </c>
      <c r="C12" s="68" t="inlineStr">
        <is>
          <t>Leitfaden</t>
        </is>
      </c>
      <c r="D12" s="70" t="inlineStr">
        <is>
          <t>Leitfaden/Kommentar zur IVöB 2019 (BPUK / Beschaffungskonferenz)</t>
        </is>
      </c>
      <c r="E12" s="68" t="inlineStr">
        <is>
          <t>–</t>
        </is>
      </c>
      <c r="F12" s="68" t="inlineStr">
        <is>
          <t>–</t>
        </is>
      </c>
      <c r="G12" s="68" t="inlineStr">
        <is>
          <t>BPUK / BKB</t>
        </is>
      </c>
      <c r="H12" s="68" t="inlineStr">
        <is>
          <t>öffentlich</t>
        </is>
      </c>
      <c r="I12" s="76" t="inlineStr">
        <is>
          <t>nicht belegt (Recherche offen)</t>
        </is>
      </c>
      <c r="J12" s="76" t="inlineStr">
        <is>
          <t>nicht belegt (Recherche offen)</t>
        </is>
      </c>
      <c r="K12" s="76" t="inlineStr">
        <is>
          <t>nicht belegt (Recherche offen)</t>
        </is>
      </c>
      <c r="L12" s="68" t="inlineStr">
        <is>
          <t>Auslegungshilfe: Zuschlagskriterien, Nachhaltigkeit, Lebenszyklus</t>
        </is>
      </c>
      <c r="M12" s="72" t="inlineStr">
        <is>
          <t>https://www.bpuk.ch</t>
        </is>
      </c>
      <c r="N12" s="73" t="inlineStr">
        <is>
          <t>Einstiegsseite · ungetestet</t>
        </is>
      </c>
      <c r="O12" s="68" t="inlineStr">
        <is>
          <t>Ergänzung · tief</t>
        </is>
      </c>
      <c r="P12" s="68" t="n"/>
      <c r="Q12" s="68" t="inlineStr">
        <is>
          <t>Q-Bearbeitung: Dokument-URL auf der Behörden-Website ermitteln (Einstiegsseite verlinkt)</t>
        </is>
      </c>
    </row>
    <row r="13" ht="19.5" customHeight="1" s="45">
      <c r="A13" s="66" t="inlineStr">
        <is>
          <t>KANTON BASEL-LANDSCHAFT  →  Münchenstein</t>
        </is>
      </c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</row>
    <row r="14" outlineLevel="1" ht="22.35" customHeight="1" s="45">
      <c r="A14" s="68" t="inlineStr">
        <is>
          <t>Kanton BL</t>
        </is>
      </c>
      <c r="B14" s="69" t="inlineStr">
        <is>
          <t>Q6</t>
        </is>
      </c>
      <c r="C14" s="68" t="inlineStr">
        <is>
          <t>Verordnung</t>
        </is>
      </c>
      <c r="D14" s="70" t="inlineStr">
        <is>
          <t>Verordnung zum EG IVöB (Vo EG IVöB)</t>
        </is>
      </c>
      <c r="E14" s="68" t="inlineStr">
        <is>
          <t>SGS 420.11</t>
        </is>
      </c>
      <c r="F14" s="68" t="inlineStr">
        <is>
          <t>01.01.2026</t>
        </is>
      </c>
      <c r="G14" s="68" t="inlineStr">
        <is>
          <t>Kanton BL</t>
        </is>
      </c>
      <c r="H14" s="68" t="inlineStr">
        <is>
          <t>öffentlich</t>
        </is>
      </c>
      <c r="I14" s="71" t="inlineStr">
        <is>
          <t>belegt</t>
        </is>
      </c>
      <c r="J14" s="75" t="inlineStr">
        <is>
          <t>n. a.</t>
        </is>
      </c>
      <c r="K14" s="75" t="inlineStr">
        <is>
          <t>n. a.</t>
        </is>
      </c>
      <c r="L14" s="68" t="inlineStr">
        <is>
          <t>Vergabeverfahren, Eignungs- und Zuschlagskriterien (Vergabekonzept)</t>
        </is>
      </c>
      <c r="M14" s="72" t="inlineStr">
        <is>
          <t>https://bl.clex.ch/app/de/texts_of_law/420.11</t>
        </is>
      </c>
      <c r="N14" s="69" t="inlineStr">
        <is>
          <t>Kataster · ungetestet</t>
        </is>
      </c>
      <c r="O14" s="68" t="inlineStr">
        <is>
          <t>Katalog · hoch</t>
        </is>
      </c>
      <c r="P14" s="68" t="n"/>
      <c r="Q14" s="68" t="n"/>
    </row>
    <row r="15" outlineLevel="1" ht="32.8" customHeight="1" s="45">
      <c r="A15" s="68" t="inlineStr">
        <is>
          <t>Kanton BL</t>
        </is>
      </c>
      <c r="B15" s="69" t="inlineStr">
        <is>
          <t>Q6</t>
        </is>
      </c>
      <c r="C15" s="68" t="inlineStr">
        <is>
          <t>Gesetz / Leitfaden</t>
        </is>
      </c>
      <c r="D15" s="70" t="inlineStr">
        <is>
          <t>EG IVöB BL (Gesetz) und kantonale Beschaffungsleitfäden</t>
        </is>
      </c>
      <c r="E15" s="68" t="inlineStr">
        <is>
          <t>–</t>
        </is>
      </c>
      <c r="F15" s="68" t="inlineStr">
        <is>
          <t>–</t>
        </is>
      </c>
      <c r="G15" s="68" t="inlineStr">
        <is>
          <t>Kanton BL</t>
        </is>
      </c>
      <c r="H15" s="68" t="inlineStr">
        <is>
          <t>öffentlich</t>
        </is>
      </c>
      <c r="I15" s="76" t="inlineStr">
        <is>
          <t>nicht belegt (Recherche offen)</t>
        </is>
      </c>
      <c r="J15" s="75" t="inlineStr">
        <is>
          <t>n. a.</t>
        </is>
      </c>
      <c r="K15" s="75" t="inlineStr">
        <is>
          <t>n. a.</t>
        </is>
      </c>
      <c r="L15" s="68" t="inlineStr">
        <is>
          <t>Kantonale Umsetzung, Praxis</t>
        </is>
      </c>
      <c r="M15" s="72" t="inlineStr">
        <is>
          <t>https://www.baselland.ch</t>
        </is>
      </c>
      <c r="N15" s="73" t="inlineStr">
        <is>
          <t>Einstiegsseite · ungetestet</t>
        </is>
      </c>
      <c r="O15" s="68" t="inlineStr">
        <is>
          <t>Ergänzung · tief</t>
        </is>
      </c>
      <c r="P15" s="68" t="n"/>
      <c r="Q15" s="68" t="inlineStr">
        <is>
          <t>Q-Bearbeitung: Volltextsuche in kant. Gesetzessammlung bzw. Layerliste im Geoportal; falls ohne Treffer → Anfrage Kantonale Fachstelle</t>
        </is>
      </c>
    </row>
    <row r="16" outlineLevel="1" ht="32.8" customHeight="1" s="45">
      <c r="A16" s="68" t="inlineStr">
        <is>
          <t>Kanton BL</t>
        </is>
      </c>
      <c r="B16" s="69" t="inlineStr">
        <is>
          <t>Q6</t>
        </is>
      </c>
      <c r="C16" s="68" t="inlineStr">
        <is>
          <t>Planungsrecht</t>
        </is>
      </c>
      <c r="D16" s="70" t="inlineStr">
        <is>
          <t>RBG BL: Qualitätssicherungsverfahren / Gestaltungsplanverfahren (Konkurrenzverfahren)</t>
        </is>
      </c>
      <c r="E16" s="68" t="inlineStr">
        <is>
          <t>SGS 400</t>
        </is>
      </c>
      <c r="F16" s="68" t="inlineStr">
        <is>
          <t>01.01.2024</t>
        </is>
      </c>
      <c r="G16" s="68" t="inlineStr">
        <is>
          <t>Kanton BL</t>
        </is>
      </c>
      <c r="H16" s="68" t="inlineStr">
        <is>
          <t>öffentlich</t>
        </is>
      </c>
      <c r="I16" s="76" t="inlineStr">
        <is>
          <t>nicht belegt (Recherche offen)</t>
        </is>
      </c>
      <c r="J16" s="75" t="inlineStr">
        <is>
          <t>n. a.</t>
        </is>
      </c>
      <c r="K16" s="75" t="inlineStr">
        <is>
          <t>n. a.</t>
        </is>
      </c>
      <c r="L16" s="68" t="inlineStr">
        <is>
          <t>Planungsrechtliche Verknüpfung Verfahren ↔ Qualität</t>
        </is>
      </c>
      <c r="M16" s="72" t="inlineStr">
        <is>
          <t>https://bl.clex.ch/app/de/texts_of_law/400</t>
        </is>
      </c>
      <c r="N16" s="73" t="inlineStr">
        <is>
          <t>Muster · ungetestet</t>
        </is>
      </c>
      <c r="O16" s="68" t="inlineStr">
        <is>
          <t>Ergänzung · tief</t>
        </is>
      </c>
      <c r="P16" s="68" t="inlineStr">
        <is>
          <t>Entsprechende Artikel im RBG identifizieren</t>
        </is>
      </c>
      <c r="Q16" s="68" t="inlineStr">
        <is>
          <t>Q-Bearbeitung: Volltextsuche in kant. Gesetzessammlung bzw. Layerliste im Geoportal; falls ohne Treffer → Anfrage Kantonale Fachstelle</t>
        </is>
      </c>
    </row>
    <row r="17" ht="19.5" customHeight="1" s="45">
      <c r="A17" s="66" t="inlineStr">
        <is>
          <t>KANTON ST. GALLEN  →  Wil</t>
        </is>
      </c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</row>
    <row r="18" outlineLevel="1" ht="32.8" customHeight="1" s="45">
      <c r="A18" s="68" t="inlineStr">
        <is>
          <t>Kanton SG</t>
        </is>
      </c>
      <c r="B18" s="69" t="inlineStr">
        <is>
          <t>Q6</t>
        </is>
      </c>
      <c r="C18" s="68" t="inlineStr">
        <is>
          <t>Verordnung</t>
        </is>
      </c>
      <c r="D18" s="70" t="inlineStr">
        <is>
          <t>Kantonales Beschaffungsrecht / VöB SG</t>
        </is>
      </c>
      <c r="E18" s="68" t="inlineStr">
        <is>
          <t>sGS 841.11</t>
        </is>
      </c>
      <c r="F18" s="68" t="inlineStr">
        <is>
          <t>Katalog: kein Stand</t>
        </is>
      </c>
      <c r="G18" s="68" t="inlineStr">
        <is>
          <t>Kanton SG</t>
        </is>
      </c>
      <c r="H18" s="68" t="inlineStr">
        <is>
          <t>öffentlich</t>
        </is>
      </c>
      <c r="I18" s="75" t="inlineStr">
        <is>
          <t>n. a.</t>
        </is>
      </c>
      <c r="J18" s="71" t="inlineStr">
        <is>
          <t>belegt</t>
        </is>
      </c>
      <c r="K18" s="75" t="inlineStr">
        <is>
          <t>n. a.</t>
        </is>
      </c>
      <c r="L18" s="68" t="inlineStr">
        <is>
          <t>Vergabeverfahren, Eignungs- und Zuschlagskriterien (Vergabekonzept)</t>
        </is>
      </c>
      <c r="M18" s="72" t="inlineStr">
        <is>
          <t>https://www.gesetzessammlung.sg.ch/app/de/texts_of_law/841.11</t>
        </is>
      </c>
      <c r="N18" s="74" t="inlineStr">
        <is>
          <t>Kataster · Quelle bestätigt (Link von sg.ch)</t>
        </is>
      </c>
      <c r="O18" s="68" t="inlineStr">
        <is>
          <t>Katalog · hoch</t>
        </is>
      </c>
      <c r="P18" s="68" t="n"/>
      <c r="Q18" s="68" t="n"/>
    </row>
    <row r="19" outlineLevel="1" ht="32.8" customHeight="1" s="45">
      <c r="A19" s="68" t="inlineStr">
        <is>
          <t>Kanton SG</t>
        </is>
      </c>
      <c r="B19" s="69" t="inlineStr">
        <is>
          <t>Q6</t>
        </is>
      </c>
      <c r="C19" s="68" t="inlineStr">
        <is>
          <t>Gesetz</t>
        </is>
      </c>
      <c r="D19" s="70" t="inlineStr">
        <is>
          <t>Einführungsgesetz zur IVöB 2019 vom 15.11.2022 (EGöB)</t>
        </is>
      </c>
      <c r="E19" s="68" t="inlineStr">
        <is>
          <t>sGS 841.1</t>
        </is>
      </c>
      <c r="F19" s="68" t="inlineStr">
        <is>
          <t>01.06.2023</t>
        </is>
      </c>
      <c r="G19" s="68" t="inlineStr">
        <is>
          <t>Kanton SG</t>
        </is>
      </c>
      <c r="H19" s="68" t="inlineStr">
        <is>
          <t>öffentlich</t>
        </is>
      </c>
      <c r="I19" s="75" t="inlineStr">
        <is>
          <t>n. a.</t>
        </is>
      </c>
      <c r="J19" s="71" t="inlineStr">
        <is>
          <t>belegt</t>
        </is>
      </c>
      <c r="K19" s="75" t="inlineStr">
        <is>
          <t>n. a.</t>
        </is>
      </c>
      <c r="L19" s="68" t="inlineStr">
        <is>
          <t>Kantonale Umsetzung IVöB</t>
        </is>
      </c>
      <c r="M19" s="72" t="inlineStr">
        <is>
          <t>https://www.gesetzessammlung.sg.ch/app/de/texts_of_law/841.1</t>
        </is>
      </c>
      <c r="N19" s="74" t="inlineStr">
        <is>
          <t>Suchtreffer · Quelle bestätigt (Link von sg.ch)</t>
        </is>
      </c>
      <c r="O19" s="68" t="inlineStr">
        <is>
          <t>Ergänzung · mittel</t>
        </is>
      </c>
      <c r="P19" s="68" t="n"/>
      <c r="Q19" s="68" t="n"/>
    </row>
    <row r="20" outlineLevel="1" ht="32.8" customHeight="1" s="45">
      <c r="A20" s="68" t="inlineStr">
        <is>
          <t>Kanton SG</t>
        </is>
      </c>
      <c r="B20" s="69" t="inlineStr">
        <is>
          <t>Q6</t>
        </is>
      </c>
      <c r="C20" s="68" t="inlineStr">
        <is>
          <t>Planungsrecht</t>
        </is>
      </c>
      <c r="D20" s="70" t="inlineStr">
        <is>
          <t>PBG SG: Sondernutzungsplanung / Qualitätsverfahren</t>
        </is>
      </c>
      <c r="E20" s="68" t="inlineStr">
        <is>
          <t>sGS 731.1</t>
        </is>
      </c>
      <c r="F20" s="68" t="inlineStr">
        <is>
          <t>01.06.2026</t>
        </is>
      </c>
      <c r="G20" s="68" t="inlineStr">
        <is>
          <t>Kanton SG</t>
        </is>
      </c>
      <c r="H20" s="68" t="inlineStr">
        <is>
          <t>öffentlich</t>
        </is>
      </c>
      <c r="I20" s="75" t="inlineStr">
        <is>
          <t>n. a.</t>
        </is>
      </c>
      <c r="J20" s="76" t="inlineStr">
        <is>
          <t>nicht belegt (Recherche offen)</t>
        </is>
      </c>
      <c r="K20" s="75" t="inlineStr">
        <is>
          <t>n. a.</t>
        </is>
      </c>
      <c r="L20" s="68" t="inlineStr">
        <is>
          <t>Planungsrechtliche Verknüpfung Verfahren ↔ Qualität</t>
        </is>
      </c>
      <c r="M20" s="72" t="inlineStr">
        <is>
          <t>https://www.gesetzessammlung.sg.ch/data/731.1/de</t>
        </is>
      </c>
      <c r="N20" s="73" t="inlineStr">
        <is>
          <t>Muster · ungetestet</t>
        </is>
      </c>
      <c r="O20" s="68" t="inlineStr">
        <is>
          <t>Ergänzung · tief</t>
        </is>
      </c>
      <c r="P20" s="68" t="n"/>
      <c r="Q20" s="68" t="inlineStr">
        <is>
          <t>Q-Bearbeitung: Volltextsuche in kant. Gesetzessammlung bzw. Layerliste im Geoportal; falls ohne Treffer → Anfrage Kantonale Fachstelle</t>
        </is>
      </c>
    </row>
    <row r="21" ht="19.5" customHeight="1" s="45">
      <c r="A21" s="66" t="inlineStr">
        <is>
          <t>KANTON URI  →  Seelisberg</t>
        </is>
      </c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</row>
    <row r="22" outlineLevel="1" ht="22.35" customHeight="1" s="45">
      <c r="A22" s="68" t="inlineStr">
        <is>
          <t>Kanton UR</t>
        </is>
      </c>
      <c r="B22" s="69" t="inlineStr">
        <is>
          <t>Q6</t>
        </is>
      </c>
      <c r="C22" s="68" t="inlineStr">
        <is>
          <t>Gesetz</t>
        </is>
      </c>
      <c r="D22" s="70" t="inlineStr">
        <is>
          <t>Beitritt Kanton Uri zur IVöB 2019 (Landratsbeschluss vom 15.06.2022)</t>
        </is>
      </c>
      <c r="E22" s="68" t="inlineStr">
        <is>
          <t>IVöB: RB 3.3111</t>
        </is>
      </c>
      <c r="F22" s="68" t="inlineStr">
        <is>
          <t>Inkrafttreten 01.06.2023</t>
        </is>
      </c>
      <c r="G22" s="68" t="inlineStr">
        <is>
          <t>Kanton UR</t>
        </is>
      </c>
      <c r="H22" s="68" t="inlineStr">
        <is>
          <t>öffentlich</t>
        </is>
      </c>
      <c r="I22" s="75" t="inlineStr">
        <is>
          <t>n. a.</t>
        </is>
      </c>
      <c r="J22" s="75" t="inlineStr">
        <is>
          <t>n. a.</t>
        </is>
      </c>
      <c r="K22" s="71" t="inlineStr">
        <is>
          <t>belegt</t>
        </is>
      </c>
      <c r="L22" s="68" t="inlineStr">
        <is>
          <t>Im Katalog nur IVöB; kantonale Umsetzung fehlt</t>
        </is>
      </c>
      <c r="M22" s="72" t="inlineStr">
        <is>
          <t>https://www.ur.ch/_doc/337571</t>
        </is>
      </c>
      <c r="N22" s="74" t="inlineStr">
        <is>
          <t>Suchtreffer · getestet OK</t>
        </is>
      </c>
      <c r="O22" s="68" t="inlineStr">
        <is>
          <t>Ergänzung · tief</t>
        </is>
      </c>
      <c r="P22" s="68" t="inlineStr">
        <is>
          <t>Beleg: Schulungsunterlage Baudirektion UR vom 08.05.2023 (Link getestet). Submissionsverordnung RB 3.3112 aufgehoben</t>
        </is>
      </c>
      <c r="Q22" s="68" t="n"/>
    </row>
    <row r="23" outlineLevel="1" ht="32.8" customHeight="1" s="45">
      <c r="A23" s="68" t="inlineStr">
        <is>
          <t>Kanton UR</t>
        </is>
      </c>
      <c r="B23" s="69" t="inlineStr">
        <is>
          <t>Q6</t>
        </is>
      </c>
      <c r="C23" s="68" t="inlineStr">
        <is>
          <t>Gesetz</t>
        </is>
      </c>
      <c r="D23" s="70" t="inlineStr">
        <is>
          <t>Gesetz über die Ausnahmen vom Anwendungsbereich der Interkantonalen Vereinbarung über das öffentliche Beschaffungswesen</t>
        </is>
      </c>
      <c r="E23" s="68" t="inlineStr">
        <is>
          <t>RB-Nr. nicht ermittelt</t>
        </is>
      </c>
      <c r="F23" s="68" t="inlineStr">
        <is>
          <t>12.03.2023</t>
        </is>
      </c>
      <c r="G23" s="68" t="inlineStr">
        <is>
          <t>Kanton UR</t>
        </is>
      </c>
      <c r="H23" s="68" t="inlineStr">
        <is>
          <t>öffentlich</t>
        </is>
      </c>
      <c r="I23" s="75" t="inlineStr">
        <is>
          <t>n. a.</t>
        </is>
      </c>
      <c r="J23" s="75" t="inlineStr">
        <is>
          <t>n. a.</t>
        </is>
      </c>
      <c r="K23" s="71" t="inlineStr">
        <is>
          <t>belegt</t>
        </is>
      </c>
      <c r="L23" s="68" t="inlineStr">
        <is>
          <t>Im Katalog nur IVöB; kantonale Umsetzung fehlt</t>
        </is>
      </c>
      <c r="M23" s="72" t="inlineStr">
        <is>
          <t>https://www.ur.ch/_doc/337571</t>
        </is>
      </c>
      <c r="N23" s="74" t="inlineStr">
        <is>
          <t>Suchtreffer · getestet OK</t>
        </is>
      </c>
      <c r="O23" s="68" t="inlineStr">
        <is>
          <t>Ergänzung · tief</t>
        </is>
      </c>
      <c r="P23" s="68" t="inlineStr">
        <is>
          <t>Beleg: Schulungsunterlage Baudirektion UR vom 08.05.2023 (Link getestet); eigener Gesetzestext-Link nicht ermittelt</t>
        </is>
      </c>
      <c r="Q23" s="68" t="n"/>
    </row>
    <row r="24" outlineLevel="1" ht="22.35" customHeight="1" s="45">
      <c r="A24" s="68" t="inlineStr">
        <is>
          <t>Kanton UR</t>
        </is>
      </c>
      <c r="B24" s="69" t="inlineStr">
        <is>
          <t>Q6</t>
        </is>
      </c>
      <c r="C24" s="68" t="inlineStr">
        <is>
          <t>Gesetz</t>
        </is>
      </c>
      <c r="D24" s="70" t="inlineStr">
        <is>
          <t>Reglement über den Vollzug der IVöB (Submissionsreglement)</t>
        </is>
      </c>
      <c r="E24" s="68" t="inlineStr">
        <is>
          <t>RB 3.3115</t>
        </is>
      </c>
      <c r="F24" s="68" t="inlineStr">
        <is>
          <t>ab 01.06.2023</t>
        </is>
      </c>
      <c r="G24" s="68" t="inlineStr">
        <is>
          <t>Kanton UR</t>
        </is>
      </c>
      <c r="H24" s="68" t="inlineStr">
        <is>
          <t>öffentlich</t>
        </is>
      </c>
      <c r="I24" s="75" t="inlineStr">
        <is>
          <t>n. a.</t>
        </is>
      </c>
      <c r="J24" s="75" t="inlineStr">
        <is>
          <t>n. a.</t>
        </is>
      </c>
      <c r="K24" s="71" t="inlineStr">
        <is>
          <t>belegt</t>
        </is>
      </c>
      <c r="L24" s="68" t="inlineStr">
        <is>
          <t>Im Katalog nur IVöB; kantonale Umsetzung fehlt</t>
        </is>
      </c>
      <c r="M24" s="72" t="inlineStr">
        <is>
          <t>https://www.ur.ch/_doc/337571</t>
        </is>
      </c>
      <c r="N24" s="74" t="inlineStr">
        <is>
          <t>Suchtreffer · getestet OK</t>
        </is>
      </c>
      <c r="O24" s="68" t="inlineStr">
        <is>
          <t>Ergänzung · tief</t>
        </is>
      </c>
      <c r="P24" s="68" t="inlineStr">
        <is>
          <t>Beleg: Schulungsunterlage Baudirektion UR vom 08.05.2023 (Link getestet); eigener Reglementstext-Link nicht ermittelt</t>
        </is>
      </c>
      <c r="Q24" s="68" t="n"/>
    </row>
    <row r="25" outlineLevel="1" ht="32.8" customHeight="1" s="45">
      <c r="A25" s="68" t="inlineStr">
        <is>
          <t>Kanton UR</t>
        </is>
      </c>
      <c r="B25" s="69" t="inlineStr">
        <is>
          <t>Q6</t>
        </is>
      </c>
      <c r="C25" s="68" t="inlineStr">
        <is>
          <t>Planungsrecht</t>
        </is>
      </c>
      <c r="D25" s="70" t="inlineStr">
        <is>
          <t>PBG Uri: Gestaltungsplan-/Quartierplan-Verfahren</t>
        </is>
      </c>
      <c r="E25" s="68" t="inlineStr">
        <is>
          <t>IVöB: RB 3.3111; Reglement: RB 3.3115</t>
        </is>
      </c>
      <c r="F25" s="68" t="inlineStr">
        <is>
          <t>Inkrafttreten 01.06.2023</t>
        </is>
      </c>
      <c r="G25" s="68" t="inlineStr">
        <is>
          <t>Kanton UR</t>
        </is>
      </c>
      <c r="H25" s="68" t="inlineStr">
        <is>
          <t>öffentlich</t>
        </is>
      </c>
      <c r="I25" s="75" t="inlineStr">
        <is>
          <t>n. a.</t>
        </is>
      </c>
      <c r="J25" s="75" t="inlineStr">
        <is>
          <t>n. a.</t>
        </is>
      </c>
      <c r="K25" s="76" t="inlineStr">
        <is>
          <t>nicht belegt (Recherche offen)</t>
        </is>
      </c>
      <c r="L25" s="68" t="inlineStr">
        <is>
          <t>Planungsrechtliche Verknüpfung Verfahren ↔ Qualität</t>
        </is>
      </c>
      <c r="M25" s="72" t="inlineStr">
        <is>
          <t>https://rechtsbuch.ur.ch/app/de/texts_of_law/40.1111</t>
        </is>
      </c>
      <c r="N25" s="73" t="inlineStr">
        <is>
          <t>Muster · ungetestet</t>
        </is>
      </c>
      <c r="O25" s="68" t="inlineStr">
        <is>
          <t>Ergänzung · tief</t>
        </is>
      </c>
      <c r="P25" s="68" t="inlineStr">
        <is>
          <t>Beleg: Schulungsunterlage Baudirektion UR vom 08.05.2023 (Link getestet); Submissionsverordnung RB 3.3112 aufgehoben</t>
        </is>
      </c>
      <c r="Q25" s="68" t="inlineStr">
        <is>
          <t>Q-Bearbeitung: Volltextsuche in kant. Gesetzessammlung bzw. Layerliste im Geoportal; falls ohne Treffer → Anfrage Kantonale Fachstelle</t>
        </is>
      </c>
    </row>
    <row r="26" ht="19.5" customHeight="1" s="45">
      <c r="A26" s="66" t="inlineStr">
        <is>
          <t>GEMEINDE MÜNCHENSTEIN (BL)</t>
        </is>
      </c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</row>
    <row r="27" outlineLevel="1" ht="22.35" customHeight="1" s="45">
      <c r="A27" s="68" t="inlineStr">
        <is>
          <t>Gde Münchenstein</t>
        </is>
      </c>
      <c r="B27" s="69" t="inlineStr">
        <is>
          <t>Q6</t>
        </is>
      </c>
      <c r="C27" s="68" t="inlineStr">
        <is>
          <t>Reglement</t>
        </is>
      </c>
      <c r="D27" s="70" t="inlineStr">
        <is>
          <t>Gemeindeordnung, Finanzhaushalt- und Beschaffungsreglement</t>
        </is>
      </c>
      <c r="E27" s="68" t="inlineStr">
        <is>
          <t>–</t>
        </is>
      </c>
      <c r="F27" s="68" t="inlineStr">
        <is>
          <t>–</t>
        </is>
      </c>
      <c r="G27" s="68" t="inlineStr">
        <is>
          <t>Gde Münchenstein</t>
        </is>
      </c>
      <c r="H27" s="68" t="inlineStr">
        <is>
          <t>öffentlich</t>
        </is>
      </c>
      <c r="I27" s="76" t="inlineStr">
        <is>
          <t>nicht belegt (Recherche offen)</t>
        </is>
      </c>
      <c r="J27" s="75" t="inlineStr">
        <is>
          <t>n. a.</t>
        </is>
      </c>
      <c r="K27" s="75" t="inlineStr">
        <is>
          <t>n. a.</t>
        </is>
      </c>
      <c r="L27" s="68" t="inlineStr">
        <is>
          <t>Ausgaben-/Vertragskompetenzen, Bestellerorganisation</t>
        </is>
      </c>
      <c r="M27" s="72" t="inlineStr">
        <is>
          <t>https://www.muenchenstein.ch</t>
        </is>
      </c>
      <c r="N27" s="73" t="inlineStr">
        <is>
          <t>Einstiegsseite · ungetestet</t>
        </is>
      </c>
      <c r="O27" s="68" t="inlineStr">
        <is>
          <t>Ergänzung · tief</t>
        </is>
      </c>
      <c r="P27" s="68" t="inlineStr">
        <is>
          <t>Im Katalog nicht belegt</t>
        </is>
      </c>
      <c r="Q27" s="68" t="inlineStr">
        <is>
          <t>Q-Bearbeitung: Website/Gesetzessammlung der Gemeinde; falls ohne Treffer → Datenanfrage Gemeinde</t>
        </is>
      </c>
    </row>
    <row r="28" outlineLevel="1" ht="22.35" customHeight="1" s="45">
      <c r="A28" s="68" t="inlineStr">
        <is>
          <t>Gde Münchenstein</t>
        </is>
      </c>
      <c r="B28" s="69" t="inlineStr">
        <is>
          <t>Q6</t>
        </is>
      </c>
      <c r="C28" s="68" t="inlineStr">
        <is>
          <t>Plattform</t>
        </is>
      </c>
      <c r="D28" s="70" t="inlineStr">
        <is>
          <t>Vergaben Münchenstein auf simap.ch</t>
        </is>
      </c>
      <c r="E28" s="68" t="inlineStr">
        <is>
          <t>–</t>
        </is>
      </c>
      <c r="F28" s="68" t="inlineStr">
        <is>
          <t>–</t>
        </is>
      </c>
      <c r="G28" s="68" t="inlineStr">
        <is>
          <t>Gde Münchenstein</t>
        </is>
      </c>
      <c r="H28" s="68" t="inlineStr">
        <is>
          <t>öffentlich</t>
        </is>
      </c>
      <c r="I28" s="76" t="inlineStr">
        <is>
          <t>nicht belegt (Recherche offen)</t>
        </is>
      </c>
      <c r="J28" s="75" t="inlineStr">
        <is>
          <t>n. a.</t>
        </is>
      </c>
      <c r="K28" s="75" t="inlineStr">
        <is>
          <t>n. a.</t>
        </is>
      </c>
      <c r="L28" s="68" t="inlineStr">
        <is>
          <t>Praxisreferenz Bestellung/Vergabe</t>
        </is>
      </c>
      <c r="M28" s="72" t="inlineStr">
        <is>
          <t>https://www.simap.ch</t>
        </is>
      </c>
      <c r="N28" s="73" t="inlineStr">
        <is>
          <t>Muster · ungetestet</t>
        </is>
      </c>
      <c r="O28" s="68" t="inlineStr">
        <is>
          <t>Ergänzung · tief</t>
        </is>
      </c>
      <c r="P28" s="68" t="n"/>
      <c r="Q28" s="68" t="inlineStr">
        <is>
          <t>Q-Bearbeitung: Website/Gesetzessammlung der Gemeinde; falls ohne Treffer → Datenanfrage Gemeinde</t>
        </is>
      </c>
    </row>
    <row r="29" ht="19.5" customHeight="1" s="45">
      <c r="A29" s="66" t="inlineStr">
        <is>
          <t>GEMEINDE WIL (SG)</t>
        </is>
      </c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</row>
    <row r="30" outlineLevel="1" ht="22.35" customHeight="1" s="45">
      <c r="A30" s="68" t="inlineStr">
        <is>
          <t>Gde Wil</t>
        </is>
      </c>
      <c r="B30" s="69" t="inlineStr">
        <is>
          <t>Q6</t>
        </is>
      </c>
      <c r="C30" s="68" t="inlineStr">
        <is>
          <t>Reglement</t>
        </is>
      </c>
      <c r="D30" s="70" t="inlineStr">
        <is>
          <t>Reglement über die Ausgaben- und Vertragskompetenzen der Departemente und Dienststellen</t>
        </is>
      </c>
      <c r="E30" s="68" t="inlineStr">
        <is>
          <t>SRS 1.6-4</t>
        </is>
      </c>
      <c r="F30" s="68" t="inlineStr">
        <is>
          <t>Katalog: kein Stand</t>
        </is>
      </c>
      <c r="G30" s="68" t="inlineStr">
        <is>
          <t>Gde Wil</t>
        </is>
      </c>
      <c r="H30" s="68" t="inlineStr">
        <is>
          <t>öffentlich</t>
        </is>
      </c>
      <c r="I30" s="75" t="inlineStr">
        <is>
          <t>n. a.</t>
        </is>
      </c>
      <c r="J30" s="71" t="inlineStr">
        <is>
          <t>belegt</t>
        </is>
      </c>
      <c r="K30" s="75" t="inlineStr">
        <is>
          <t>n. a.</t>
        </is>
      </c>
      <c r="L30" s="68" t="inlineStr">
        <is>
          <t>Lebenszykluskosten und Verantwortlichkeiten projektspezifisch festlegen (Besteller-/LCC-Konzept)</t>
        </is>
      </c>
      <c r="M30" s="72" t="inlineStr">
        <is>
          <t>https://wil-sg.tlex.ch/app/de/texts_of_law/1.6-4</t>
        </is>
      </c>
      <c r="N30" s="69" t="inlineStr">
        <is>
          <t>Kataster · ungetestet</t>
        </is>
      </c>
      <c r="O30" s="68" t="inlineStr">
        <is>
          <t>Katalog · hoch</t>
        </is>
      </c>
      <c r="P30" s="68" t="inlineStr">
        <is>
          <t>Stand ergänzen; LCC-Bezug im Text prüfen</t>
        </is>
      </c>
      <c r="Q30" s="68" t="n"/>
    </row>
    <row r="31" outlineLevel="1" ht="22.35" customHeight="1" s="45">
      <c r="A31" s="68" t="inlineStr">
        <is>
          <t>Gde Wil</t>
        </is>
      </c>
      <c r="B31" s="69" t="inlineStr">
        <is>
          <t>Q6</t>
        </is>
      </c>
      <c r="C31" s="68" t="inlineStr">
        <is>
          <t>Plattform</t>
        </is>
      </c>
      <c r="D31" s="70" t="inlineStr">
        <is>
          <t>Vergaben Wil auf simap.ch</t>
        </is>
      </c>
      <c r="E31" s="68" t="inlineStr">
        <is>
          <t>–</t>
        </is>
      </c>
      <c r="F31" s="68" t="inlineStr">
        <is>
          <t>–</t>
        </is>
      </c>
      <c r="G31" s="68" t="inlineStr">
        <is>
          <t>Gde Wil</t>
        </is>
      </c>
      <c r="H31" s="68" t="inlineStr">
        <is>
          <t>öffentlich</t>
        </is>
      </c>
      <c r="I31" s="75" t="inlineStr">
        <is>
          <t>n. a.</t>
        </is>
      </c>
      <c r="J31" s="76" t="inlineStr">
        <is>
          <t>nicht belegt (Recherche offen)</t>
        </is>
      </c>
      <c r="K31" s="75" t="inlineStr">
        <is>
          <t>n. a.</t>
        </is>
      </c>
      <c r="L31" s="68" t="inlineStr">
        <is>
          <t>Praxisreferenz Bestellung/Vergabe</t>
        </is>
      </c>
      <c r="M31" s="72" t="inlineStr">
        <is>
          <t>https://www.simap.ch</t>
        </is>
      </c>
      <c r="N31" s="73" t="inlineStr">
        <is>
          <t>Muster · ungetestet</t>
        </is>
      </c>
      <c r="O31" s="68" t="inlineStr">
        <is>
          <t>Ergänzung · tief</t>
        </is>
      </c>
      <c r="P31" s="68" t="n"/>
      <c r="Q31" s="68" t="inlineStr">
        <is>
          <t>Q-Bearbeitung: Website/Gesetzessammlung der Gemeinde; falls ohne Treffer → Datenanfrage Gemeinde</t>
        </is>
      </c>
    </row>
    <row r="32" ht="19.5" customHeight="1" s="45">
      <c r="A32" s="66" t="inlineStr">
        <is>
          <t>GEMEINDE SEELISBERG (UR)</t>
        </is>
      </c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</row>
    <row r="33" outlineLevel="1" ht="22.35" customHeight="1" s="45">
      <c r="A33" s="68" t="inlineStr">
        <is>
          <t>Gde Seelisberg</t>
        </is>
      </c>
      <c r="B33" s="69" t="inlineStr">
        <is>
          <t>Q6</t>
        </is>
      </c>
      <c r="C33" s="68" t="inlineStr">
        <is>
          <t>Reglement</t>
        </is>
      </c>
      <c r="D33" s="70" t="inlineStr">
        <is>
          <t>Gemeindeordnung, Finanzhaushalt- und Beschaffungsreglement</t>
        </is>
      </c>
      <c r="E33" s="68" t="inlineStr">
        <is>
          <t>–</t>
        </is>
      </c>
      <c r="F33" s="68" t="inlineStr">
        <is>
          <t>–</t>
        </is>
      </c>
      <c r="G33" s="68" t="inlineStr">
        <is>
          <t>Gde Seelisberg</t>
        </is>
      </c>
      <c r="H33" s="68" t="inlineStr">
        <is>
          <t>öffentlich</t>
        </is>
      </c>
      <c r="I33" s="75" t="inlineStr">
        <is>
          <t>n. a.</t>
        </is>
      </c>
      <c r="J33" s="75" t="inlineStr">
        <is>
          <t>n. a.</t>
        </is>
      </c>
      <c r="K33" s="76" t="inlineStr">
        <is>
          <t>nicht belegt (Recherche offen)</t>
        </is>
      </c>
      <c r="L33" s="68" t="inlineStr">
        <is>
          <t>Ausgaben-/Vertragskompetenzen, Bestellerorganisation</t>
        </is>
      </c>
      <c r="M33" s="72" t="inlineStr">
        <is>
          <t>https://www.seelisberg.ch</t>
        </is>
      </c>
      <c r="N33" s="73" t="inlineStr">
        <is>
          <t>Einstiegsseite · ungetestet</t>
        </is>
      </c>
      <c r="O33" s="68" t="inlineStr">
        <is>
          <t>Ergänzung · tief</t>
        </is>
      </c>
      <c r="P33" s="68" t="inlineStr">
        <is>
          <t>Im Katalog nicht belegt</t>
        </is>
      </c>
      <c r="Q33" s="68" t="inlineStr">
        <is>
          <t>Q-Bearbeitung: Website/Gesetzessammlung der Gemeinde; falls ohne Treffer → Datenanfrage Gemeinde</t>
        </is>
      </c>
    </row>
    <row r="34" outlineLevel="1" ht="22.35" customHeight="1" s="45">
      <c r="A34" s="68" t="inlineStr">
        <is>
          <t>Gde Seelisberg</t>
        </is>
      </c>
      <c r="B34" s="69" t="inlineStr">
        <is>
          <t>Q6</t>
        </is>
      </c>
      <c r="C34" s="68" t="inlineStr">
        <is>
          <t>Plattform</t>
        </is>
      </c>
      <c r="D34" s="70" t="inlineStr">
        <is>
          <t>Vergaben Seelisberg auf simap.ch</t>
        </is>
      </c>
      <c r="E34" s="68" t="inlineStr">
        <is>
          <t>–</t>
        </is>
      </c>
      <c r="F34" s="68" t="inlineStr">
        <is>
          <t>–</t>
        </is>
      </c>
      <c r="G34" s="68" t="inlineStr">
        <is>
          <t>Gde Seelisberg</t>
        </is>
      </c>
      <c r="H34" s="68" t="inlineStr">
        <is>
          <t>öffentlich</t>
        </is>
      </c>
      <c r="I34" s="75" t="inlineStr">
        <is>
          <t>n. a.</t>
        </is>
      </c>
      <c r="J34" s="75" t="inlineStr">
        <is>
          <t>n. a.</t>
        </is>
      </c>
      <c r="K34" s="76" t="inlineStr">
        <is>
          <t>nicht belegt (Recherche offen)</t>
        </is>
      </c>
      <c r="L34" s="68" t="inlineStr">
        <is>
          <t>Praxisreferenz Bestellung/Vergabe</t>
        </is>
      </c>
      <c r="M34" s="72" t="inlineStr">
        <is>
          <t>https://www.simap.ch</t>
        </is>
      </c>
      <c r="N34" s="73" t="inlineStr">
        <is>
          <t>Muster · ungetestet</t>
        </is>
      </c>
      <c r="O34" s="68" t="inlineStr">
        <is>
          <t>Ergänzung · tief</t>
        </is>
      </c>
      <c r="P34" s="68" t="n"/>
      <c r="Q34" s="68" t="inlineStr">
        <is>
          <t>Q-Bearbeitung: Website/Gesetzessammlung der Gemeinde; falls ohne Treffer → Datenanfrage Gemeinde</t>
        </is>
      </c>
    </row>
    <row r="35" ht="19.5" customHeight="1" s="45">
      <c r="A35" s="66" t="inlineStr">
        <is>
          <t>GEMEINDEN – nicht öffentliche Daten (Lieferung durch Gemeinde / Kanton)</t>
        </is>
      </c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</row>
    <row r="36" outlineLevel="1" ht="22.35" customHeight="1" s="45">
      <c r="A36" s="68" t="inlineStr">
        <is>
          <t>Gemeinden (alle)</t>
        </is>
      </c>
      <c r="B36" s="69" t="inlineStr">
        <is>
          <t>Q6</t>
        </is>
      </c>
      <c r="C36" s="68" t="inlineStr">
        <is>
          <t>Datensatz</t>
        </is>
      </c>
      <c r="D36" s="70" t="inlineStr">
        <is>
          <t>Laufende Vergaben, Verträge, Bestellorganisation, Projektabläufe, Beschaffungsstatistik</t>
        </is>
      </c>
      <c r="E36" s="68" t="inlineStr">
        <is>
          <t>–</t>
        </is>
      </c>
      <c r="F36" s="68" t="inlineStr">
        <is>
          <t>–</t>
        </is>
      </c>
      <c r="G36" s="68" t="inlineStr">
        <is>
          <t>Gemeinde</t>
        </is>
      </c>
      <c r="H36" s="78" t="inlineStr">
        <is>
          <t>nicht öffentlich</t>
        </is>
      </c>
      <c r="I36" s="79" t="inlineStr">
        <is>
          <t>Datenanfrage (nicht öffentlich)</t>
        </is>
      </c>
      <c r="J36" s="79" t="inlineStr">
        <is>
          <t>Datenanfrage (nicht öffentlich)</t>
        </is>
      </c>
      <c r="K36" s="79" t="inlineStr">
        <is>
          <t>Datenanfrage (nicht öffentlich)</t>
        </is>
      </c>
      <c r="L36" s="68" t="inlineStr">
        <is>
          <t>Bestellerkompetenz (C4) und Vergabepraxis</t>
        </is>
      </c>
      <c r="M36" s="72" t="inlineStr">
        <is>
          <t>https://www.fedlex.admin.ch</t>
        </is>
      </c>
      <c r="N36" s="73" t="inlineStr">
        <is>
          <t>Einstiegsseite · ungetestet</t>
        </is>
      </c>
      <c r="O36" s="68" t="inlineStr">
        <is>
          <t>Ergänzung · mittel</t>
        </is>
      </c>
      <c r="P36" s="68" t="inlineStr">
        <is>
          <t>Existenz: hoch (Vergaben sind zu dokumentieren), Zugang nicht öffentlich</t>
        </is>
      </c>
      <c r="Q36" s="68" t="inlineStr">
        <is>
          <t>Datenanfrage an Gemeinde/Kanton (Vorlage: Liste «Daten, die die Gemeinde liefern muss»)</t>
        </is>
      </c>
    </row>
    <row r="37" outlineLevel="1" ht="22.35" customHeight="1" s="45">
      <c r="A37" s="68" t="inlineStr">
        <is>
          <t>Gemeinden (alle)</t>
        </is>
      </c>
      <c r="B37" s="69" t="inlineStr">
        <is>
          <t>Q6</t>
        </is>
      </c>
      <c r="C37" s="68" t="inlineStr">
        <is>
          <t>Datensatz</t>
        </is>
      </c>
      <c r="D37" s="70" t="inlineStr">
        <is>
          <t>Lebenszykluskosten-Vorgaben, Bestellerhandbücher, Projektleitungs-Standards der Gemeinde</t>
        </is>
      </c>
      <c r="E37" s="68" t="inlineStr">
        <is>
          <t>–</t>
        </is>
      </c>
      <c r="F37" s="68" t="inlineStr">
        <is>
          <t>–</t>
        </is>
      </c>
      <c r="G37" s="68" t="inlineStr">
        <is>
          <t>Gemeinde</t>
        </is>
      </c>
      <c r="H37" s="78" t="inlineStr">
        <is>
          <t>nicht öffentlich</t>
        </is>
      </c>
      <c r="I37" s="79" t="inlineStr">
        <is>
          <t>Datenanfrage (nicht öffentlich)</t>
        </is>
      </c>
      <c r="J37" s="79" t="inlineStr">
        <is>
          <t>Datenanfrage (nicht öffentlich)</t>
        </is>
      </c>
      <c r="K37" s="79" t="inlineStr">
        <is>
          <t>Datenanfrage (nicht öffentlich)</t>
        </is>
      </c>
      <c r="L37" s="68" t="inlineStr">
        <is>
          <t>Q6-Schwelle: integrierte Gesamtlösung</t>
        </is>
      </c>
      <c r="M37" s="72" t="inlineStr">
        <is>
          <t>https://www.fedlex.admin.ch</t>
        </is>
      </c>
      <c r="N37" s="73" t="inlineStr">
        <is>
          <t>Einstiegsseite · ungetestet</t>
        </is>
      </c>
      <c r="O37" s="68" t="inlineStr">
        <is>
          <t>Ergänzung · tief</t>
        </is>
      </c>
      <c r="P37" s="68" t="inlineStr">
        <is>
          <t>Existenz: unbekannt (Hypothese: nur bei grösseren Gemeinden, z. B. Wil)</t>
        </is>
      </c>
      <c r="Q37" s="68" t="inlineStr">
        <is>
          <t>Datenanfrage an Gemeinde/Kanton (Vorlage: Liste «Daten, die die Gemeinde liefern muss»)</t>
        </is>
      </c>
    </row>
  </sheetData>
  <autoFilter ref="A5:Q37"/>
  <hyperlinks>
    <hyperlink xmlns:r="http://schemas.openxmlformats.org/officeDocument/2006/relationships" ref="M7" display="https://www.simap.ch" r:id="rId1"/>
    <hyperlink xmlns:r="http://schemas.openxmlformats.org/officeDocument/2006/relationships" ref="M8" display="https://www.kbob.admin.ch" r:id="rId2"/>
    <hyperlink xmlns:r="http://schemas.openxmlformats.org/officeDocument/2006/relationships" ref="M9" display="https://www.sia.ch" r:id="rId3"/>
    <hyperlink xmlns:r="http://schemas.openxmlformats.org/officeDocument/2006/relationships" ref="M11" display="https://www.bpuk.ch/fileadmin/Dokumente/bpuk/public/de/konkordate/ivoeb/INTERKANTONALE%2BVEREINBARUNG%2B%25c3%259cBER%2BDAS%2B%25c3%2596FFENTLICHE%2BBESCHAFFUNGSWESEN%2B%28IV%25c3%25b6B%29.pdf" r:id="rId4"/>
    <hyperlink xmlns:r="http://schemas.openxmlformats.org/officeDocument/2006/relationships" ref="M12" display="https://www.bpuk.ch" r:id="rId5"/>
    <hyperlink xmlns:r="http://schemas.openxmlformats.org/officeDocument/2006/relationships" ref="M14" display="https://bl.clex.ch/app/de/texts_of_law/420.11" r:id="rId6"/>
    <hyperlink xmlns:r="http://schemas.openxmlformats.org/officeDocument/2006/relationships" ref="M15" display="https://www.baselland.ch" r:id="rId7"/>
    <hyperlink xmlns:r="http://schemas.openxmlformats.org/officeDocument/2006/relationships" ref="M16" display="https://bl.clex.ch/app/de/texts_of_law/400" r:id="rId8"/>
    <hyperlink xmlns:r="http://schemas.openxmlformats.org/officeDocument/2006/relationships" ref="M18" display="https://www.gesetzessammlung.sg.ch/app/de/texts_of_law/841.11" r:id="rId9"/>
    <hyperlink xmlns:r="http://schemas.openxmlformats.org/officeDocument/2006/relationships" ref="M19" display="https://www.gesetzessammlung.sg.ch/app/de/texts_of_law/841.1" r:id="rId10"/>
    <hyperlink xmlns:r="http://schemas.openxmlformats.org/officeDocument/2006/relationships" ref="M20" display="https://www.gesetzessammlung.sg.ch/data/731.1/de" r:id="rId11"/>
    <hyperlink xmlns:r="http://schemas.openxmlformats.org/officeDocument/2006/relationships" ref="M22" display="https://www.ur.ch/_doc/337571" r:id="rId12"/>
    <hyperlink xmlns:r="http://schemas.openxmlformats.org/officeDocument/2006/relationships" ref="M23" display="https://www.ur.ch/_doc/337571" r:id="rId13"/>
    <hyperlink xmlns:r="http://schemas.openxmlformats.org/officeDocument/2006/relationships" ref="M24" display="https://www.ur.ch/_doc/337571" r:id="rId14"/>
    <hyperlink xmlns:r="http://schemas.openxmlformats.org/officeDocument/2006/relationships" ref="M25" display="https://rechtsbuch.ur.ch/app/de/texts_of_law/40.1111" r:id="rId15"/>
    <hyperlink xmlns:r="http://schemas.openxmlformats.org/officeDocument/2006/relationships" ref="M27" display="https://www.muenchenstein.ch" r:id="rId16"/>
    <hyperlink xmlns:r="http://schemas.openxmlformats.org/officeDocument/2006/relationships" ref="M28" display="https://www.simap.ch" r:id="rId17"/>
    <hyperlink xmlns:r="http://schemas.openxmlformats.org/officeDocument/2006/relationships" ref="M30" display="https://wil-sg.tlex.ch/app/de/texts_of_law/1.6-4" r:id="rId18"/>
    <hyperlink xmlns:r="http://schemas.openxmlformats.org/officeDocument/2006/relationships" ref="M31" display="https://www.simap.ch" r:id="rId19"/>
    <hyperlink xmlns:r="http://schemas.openxmlformats.org/officeDocument/2006/relationships" ref="M33" display="https://www.seelisberg.ch" r:id="rId20"/>
    <hyperlink xmlns:r="http://schemas.openxmlformats.org/officeDocument/2006/relationships" ref="M34" display="https://www.simap.ch" r:id="rId21"/>
    <hyperlink xmlns:r="http://schemas.openxmlformats.org/officeDocument/2006/relationships" ref="M36" display="https://www.fedlex.admin.ch" r:id="rId22"/>
    <hyperlink xmlns:r="http://schemas.openxmlformats.org/officeDocument/2006/relationships" ref="M37" display="https://www.fedlex.admin.ch" r:id="rId23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44" min="1" max="1"/>
    <col width="14" customWidth="1" style="44" min="2" max="2"/>
    <col width="50" customWidth="1" style="44" min="3" max="3"/>
    <col width="14" customWidth="1" style="44" min="4" max="4"/>
    <col width="38" customWidth="1" style="44" min="5" max="5"/>
    <col width="14" customWidth="1" style="44" min="6" max="6"/>
    <col width="16" customWidth="1" style="44" min="7" max="7"/>
    <col width="12" customWidth="1" style="44" min="8" max="8"/>
    <col width="16" customWidth="1" style="44" min="9" max="9"/>
    <col width="15" customWidth="1" style="44" min="10" max="10"/>
    <col width="13" customWidth="1" style="44" min="11" max="11"/>
    <col width="15" customWidth="1" style="44" min="12" max="12"/>
    <col width="52" customWidth="1" style="44" min="13" max="13"/>
  </cols>
  <sheetData>
    <row r="1" ht="17.35" customHeight="1" s="45">
      <c r="A1" s="64" t="inlineStr">
        <is>
          <t>7 · Überprüfung GIS-Layers – Sammlung der Layer und Links</t>
        </is>
      </c>
    </row>
    <row r="2" ht="15" customHeight="1" s="45">
      <c r="A2" s="47" t="inlineStr">
        <is>
          <t>Links öffnen map.geo.admin.ch mit aktivem Layer, zentriert auf die Gemeinde (Zoom nach Bedarf anpassen). Betroffenheit ausgefüllt am 14.10.2026 per GIS-Abfrage (api3.geo.admin.ch): Gemeindefläche swissBOUNDARIES3D, 5 m nach innen gepuffert, mit den Objekten des Layers verschnitten («ja» = mindestens ein Objekt in der Gemeinde). Rasterlayer und kantonale Portale bleiben «offen» (siehe Hinweis-Spalte). Links per HTTP getestet (Status 200); Layer-IDs gegen layersConfig geprüft. Trefferliste je Layer: Betroffenheit_Details.md im Repository.</t>
        </is>
      </c>
    </row>
    <row r="4" ht="31.5" customHeight="1" s="45">
      <c r="A4" s="51" t="inlineStr">
        <is>
          <t>Q</t>
        </is>
      </c>
      <c r="B4" s="51" t="inlineStr">
        <is>
          <t>Thema</t>
        </is>
      </c>
      <c r="C4" s="51" t="inlineStr">
        <is>
          <t>Layer / Datensatz</t>
        </is>
      </c>
      <c r="D4" s="51" t="inlineStr">
        <is>
          <t>Anbieter</t>
        </is>
      </c>
      <c r="E4" s="51" t="inlineStr">
        <is>
          <t>Layer-ID</t>
        </is>
      </c>
      <c r="F4" s="51" t="inlineStr">
        <is>
          <t>Link CH-weit</t>
        </is>
      </c>
      <c r="G4" s="51" t="inlineStr">
        <is>
          <t>Link Münchenstein</t>
        </is>
      </c>
      <c r="H4" s="51" t="inlineStr">
        <is>
          <t>Link Wil</t>
        </is>
      </c>
      <c r="I4" s="51" t="inlineStr">
        <is>
          <t>Link Seelisberg</t>
        </is>
      </c>
      <c r="J4" s="51" t="inlineStr">
        <is>
          <t>Betroffenheit Münchenstein</t>
        </is>
      </c>
      <c r="K4" s="51" t="inlineStr">
        <is>
          <t>Betroffenheit Wil</t>
        </is>
      </c>
      <c r="L4" s="51" t="inlineStr">
        <is>
          <t>Betroffenheit Seelisberg</t>
        </is>
      </c>
      <c r="M4" s="51" t="inlineStr">
        <is>
          <t>Hinweis / Suchbegriff</t>
        </is>
      </c>
    </row>
    <row r="5" ht="15" customHeight="1" s="45">
      <c r="A5" s="66" t="inlineStr">
        <is>
          <t>BUND – map.geo.admin.ch (gilt für alle drei Gemeinden)</t>
        </is>
      </c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</row>
    <row r="6" ht="22.35" customHeight="1" s="45">
      <c r="A6" s="69" t="inlineStr">
        <is>
          <t>Q2</t>
        </is>
      </c>
      <c r="B6" s="68" t="inlineStr">
        <is>
          <t>Landschaft</t>
        </is>
      </c>
      <c r="C6" s="68" t="inlineStr">
        <is>
          <t>BLN – Landschaften und Naturdenkmäler von nationaler Bedeutung</t>
        </is>
      </c>
      <c r="D6" s="68" t="inlineStr">
        <is>
          <t>BAFU</t>
        </is>
      </c>
      <c r="E6" s="68" t="inlineStr">
        <is>
          <t>ch.bafu.bundesinventare-bln</t>
        </is>
      </c>
      <c r="F6" s="80" t="inlineStr">
        <is>
          <t>CH-weit</t>
        </is>
      </c>
      <c r="G6" s="80" t="inlineStr">
        <is>
          <t>Münchenstein</t>
        </is>
      </c>
      <c r="H6" s="80" t="inlineStr">
        <is>
          <t>Wil</t>
        </is>
      </c>
      <c r="I6" s="80" t="inlineStr">
        <is>
          <t>Seelisberg</t>
        </is>
      </c>
      <c r="J6" s="81" t="inlineStr">
        <is>
          <t>ja</t>
        </is>
      </c>
      <c r="K6" s="81" t="inlineStr">
        <is>
          <t>nein</t>
        </is>
      </c>
      <c r="L6" s="81" t="inlineStr">
        <is>
          <t>ja</t>
        </is>
      </c>
      <c r="M6" s="68" t="inlineStr">
        <is>
          <t>GIS-Abfrage: Münchenstein «Gempenplateau», Seelisberg «Vierwaldstättersee mit Kernwald, Bürgenstock und Rigi». Wil: manuell «nein», die GIS-Abfrage findet aber «Thurlandschaft zwischen Lichtensteig und Schwarzenbach» → Abweichung prüfen</t>
        </is>
      </c>
    </row>
    <row r="7" ht="15" customHeight="1" s="45">
      <c r="A7" s="69" t="inlineStr">
        <is>
          <t>Q2</t>
        </is>
      </c>
      <c r="B7" s="68" t="inlineStr">
        <is>
          <t>Landschaft</t>
        </is>
      </c>
      <c r="C7" s="68" t="inlineStr">
        <is>
          <t>Moorlandschaften von besonderer Schönheit</t>
        </is>
      </c>
      <c r="D7" s="68" t="inlineStr">
        <is>
          <t>BAFU</t>
        </is>
      </c>
      <c r="E7" s="68" t="inlineStr">
        <is>
          <t>ch.bafu.bundesinventare-moorlandschaften</t>
        </is>
      </c>
      <c r="F7" s="80" t="inlineStr">
        <is>
          <t>CH-weit</t>
        </is>
      </c>
      <c r="G7" s="80" t="inlineStr">
        <is>
          <t>Münchenstein</t>
        </is>
      </c>
      <c r="H7" s="80" t="inlineStr">
        <is>
          <t>Wil</t>
        </is>
      </c>
      <c r="I7" s="80" t="inlineStr">
        <is>
          <t>Seelisberg</t>
        </is>
      </c>
      <c r="J7" s="81" t="inlineStr">
        <is>
          <t>nein</t>
        </is>
      </c>
      <c r="K7" s="81" t="inlineStr">
        <is>
          <t>nein</t>
        </is>
      </c>
      <c r="L7" s="81" t="inlineStr">
        <is>
          <t>ja</t>
        </is>
      </c>
      <c r="M7" s="68" t="n"/>
    </row>
    <row r="8" ht="15" customHeight="1" s="45">
      <c r="A8" s="69" t="inlineStr">
        <is>
          <t>Q2</t>
        </is>
      </c>
      <c r="B8" s="68" t="inlineStr">
        <is>
          <t>Biodiversität</t>
        </is>
      </c>
      <c r="C8" s="68" t="inlineStr">
        <is>
          <t>Hochmoore</t>
        </is>
      </c>
      <c r="D8" s="68" t="inlineStr">
        <is>
          <t>BAFU</t>
        </is>
      </c>
      <c r="E8" s="68" t="inlineStr">
        <is>
          <t>ch.bafu.bundesinventare-hochmoore</t>
        </is>
      </c>
      <c r="F8" s="80" t="inlineStr">
        <is>
          <t>CH-weit</t>
        </is>
      </c>
      <c r="G8" s="80" t="inlineStr">
        <is>
          <t>Münchenstein</t>
        </is>
      </c>
      <c r="H8" s="80" t="inlineStr">
        <is>
          <t>Wil</t>
        </is>
      </c>
      <c r="I8" s="80" t="inlineStr">
        <is>
          <t>Seelisberg</t>
        </is>
      </c>
      <c r="J8" s="81" t="inlineStr">
        <is>
          <t>nein</t>
        </is>
      </c>
      <c r="K8" s="81" t="inlineStr">
        <is>
          <t>nein</t>
        </is>
      </c>
      <c r="L8" s="81" t="inlineStr">
        <is>
          <t>nein</t>
        </is>
      </c>
      <c r="M8" s="68" t="n"/>
    </row>
    <row r="9" ht="15" customHeight="1" s="45">
      <c r="A9" s="69" t="inlineStr">
        <is>
          <t>Q2</t>
        </is>
      </c>
      <c r="B9" s="68" t="inlineStr">
        <is>
          <t>Biodiversität</t>
        </is>
      </c>
      <c r="C9" s="68" t="inlineStr">
        <is>
          <t>Flachmoore</t>
        </is>
      </c>
      <c r="D9" s="68" t="inlineStr">
        <is>
          <t>BAFU</t>
        </is>
      </c>
      <c r="E9" s="68" t="inlineStr">
        <is>
          <t>ch.bafu.bundesinventare-flachmoore</t>
        </is>
      </c>
      <c r="F9" s="80" t="inlineStr">
        <is>
          <t>CH-weit</t>
        </is>
      </c>
      <c r="G9" s="80" t="inlineStr">
        <is>
          <t>Münchenstein</t>
        </is>
      </c>
      <c r="H9" s="80" t="inlineStr">
        <is>
          <t>Wil</t>
        </is>
      </c>
      <c r="I9" s="80" t="inlineStr">
        <is>
          <t>Seelisberg</t>
        </is>
      </c>
      <c r="J9" s="81" t="inlineStr">
        <is>
          <t>nein</t>
        </is>
      </c>
      <c r="K9" s="81" t="inlineStr">
        <is>
          <t>ja</t>
        </is>
      </c>
      <c r="L9" s="81" t="inlineStr">
        <is>
          <t>nein</t>
        </is>
      </c>
      <c r="M9" s="68" t="n"/>
    </row>
    <row r="10" ht="15" customHeight="1" s="45">
      <c r="A10" s="69" t="inlineStr">
        <is>
          <t>Q2</t>
        </is>
      </c>
      <c r="B10" s="68" t="inlineStr">
        <is>
          <t>Biodiversität</t>
        </is>
      </c>
      <c r="C10" s="68" t="inlineStr">
        <is>
          <t>Auengebiete</t>
        </is>
      </c>
      <c r="D10" s="68" t="inlineStr">
        <is>
          <t>BAFU</t>
        </is>
      </c>
      <c r="E10" s="68" t="inlineStr">
        <is>
          <t>ch.bafu.bundesinventare-auen</t>
        </is>
      </c>
      <c r="F10" s="80" t="inlineStr">
        <is>
          <t>CH-weit</t>
        </is>
      </c>
      <c r="G10" s="80" t="inlineStr">
        <is>
          <t>Münchenstein</t>
        </is>
      </c>
      <c r="H10" s="80" t="inlineStr">
        <is>
          <t>Wil</t>
        </is>
      </c>
      <c r="I10" s="80" t="inlineStr">
        <is>
          <t>Seelisberg</t>
        </is>
      </c>
      <c r="J10" s="81" t="inlineStr">
        <is>
          <t>nein</t>
        </is>
      </c>
      <c r="K10" s="81" t="inlineStr">
        <is>
          <t>ja</t>
        </is>
      </c>
      <c r="L10" s="81" t="inlineStr">
        <is>
          <t>nein</t>
        </is>
      </c>
      <c r="M10" s="68" t="n"/>
    </row>
    <row r="11" ht="15" customHeight="1" s="45">
      <c r="A11" s="69" t="inlineStr">
        <is>
          <t>Q2</t>
        </is>
      </c>
      <c r="B11" s="68" t="inlineStr">
        <is>
          <t>Biodiversität</t>
        </is>
      </c>
      <c r="C11" s="68" t="inlineStr">
        <is>
          <t>Amphibienlaichgebiete (ortsfest)</t>
        </is>
      </c>
      <c r="D11" s="68" t="inlineStr">
        <is>
          <t>BAFU</t>
        </is>
      </c>
      <c r="E11" s="68" t="inlineStr">
        <is>
          <t>ch.bafu.bundesinventare-amphibien</t>
        </is>
      </c>
      <c r="F11" s="80" t="inlineStr">
        <is>
          <t>CH-weit</t>
        </is>
      </c>
      <c r="G11" s="80" t="inlineStr">
        <is>
          <t>Münchenstein</t>
        </is>
      </c>
      <c r="H11" s="80" t="inlineStr">
        <is>
          <t>Wil</t>
        </is>
      </c>
      <c r="I11" s="80" t="inlineStr">
        <is>
          <t>Seelisberg</t>
        </is>
      </c>
      <c r="J11" s="81" t="inlineStr">
        <is>
          <t>nein</t>
        </is>
      </c>
      <c r="K11" s="81" t="inlineStr">
        <is>
          <t>ja</t>
        </is>
      </c>
      <c r="L11" s="81" t="inlineStr">
        <is>
          <t>nein</t>
        </is>
      </c>
      <c r="M11" s="68" t="n"/>
    </row>
    <row r="12" ht="22.35" customHeight="1" s="45">
      <c r="A12" s="69" t="inlineStr">
        <is>
          <t>Q2</t>
        </is>
      </c>
      <c r="B12" s="68" t="inlineStr">
        <is>
          <t>Biodiversität</t>
        </is>
      </c>
      <c r="C12" s="68" t="inlineStr">
        <is>
          <t>Trockenwiesen und -weiden (TWW)</t>
        </is>
      </c>
      <c r="D12" s="68" t="inlineStr">
        <is>
          <t>BAFU</t>
        </is>
      </c>
      <c r="E12" s="68" t="inlineStr">
        <is>
          <t>ch.bafu.bundesinventare-trockenwiesen_trockenweiden</t>
        </is>
      </c>
      <c r="F12" s="80" t="inlineStr">
        <is>
          <t>CH-weit</t>
        </is>
      </c>
      <c r="G12" s="80" t="inlineStr">
        <is>
          <t>Münchenstein</t>
        </is>
      </c>
      <c r="H12" s="80" t="inlineStr">
        <is>
          <t>Wil</t>
        </is>
      </c>
      <c r="I12" s="80" t="inlineStr">
        <is>
          <t>Seelisberg</t>
        </is>
      </c>
      <c r="J12" s="81" t="inlineStr">
        <is>
          <t>ja</t>
        </is>
      </c>
      <c r="K12" s="81" t="inlineStr">
        <is>
          <t>nein</t>
        </is>
      </c>
      <c r="L12" s="81" t="inlineStr">
        <is>
          <t>ja</t>
        </is>
      </c>
      <c r="M12" s="68" t="n"/>
    </row>
    <row r="13" ht="15" customHeight="1" s="45">
      <c r="A13" s="69" t="inlineStr">
        <is>
          <t>Q2</t>
        </is>
      </c>
      <c r="B13" s="68" t="inlineStr">
        <is>
          <t>Biodiversität</t>
        </is>
      </c>
      <c r="C13" s="68" t="inlineStr">
        <is>
          <t>Eidg. Jagdbanngebiete</t>
        </is>
      </c>
      <c r="D13" s="68" t="inlineStr">
        <is>
          <t>BAFU</t>
        </is>
      </c>
      <c r="E13" s="68" t="inlineStr">
        <is>
          <t>ch.bafu.bundesinventare-jagdbanngebiete</t>
        </is>
      </c>
      <c r="F13" s="80" t="inlineStr">
        <is>
          <t>CH-weit</t>
        </is>
      </c>
      <c r="G13" s="80" t="inlineStr">
        <is>
          <t>Münchenstein</t>
        </is>
      </c>
      <c r="H13" s="80" t="inlineStr">
        <is>
          <t>Wil</t>
        </is>
      </c>
      <c r="I13" s="80" t="inlineStr">
        <is>
          <t>Seelisberg</t>
        </is>
      </c>
      <c r="J13" s="81" t="inlineStr">
        <is>
          <t>nein</t>
        </is>
      </c>
      <c r="K13" s="81" t="inlineStr">
        <is>
          <t>nein</t>
        </is>
      </c>
      <c r="L13" s="81" t="inlineStr">
        <is>
          <t>nein</t>
        </is>
      </c>
      <c r="M13" s="68" t="n"/>
    </row>
    <row r="14" ht="15" customHeight="1" s="45">
      <c r="A14" s="69" t="inlineStr">
        <is>
          <t>Q2</t>
        </is>
      </c>
      <c r="B14" s="68" t="inlineStr">
        <is>
          <t>Biodiversität</t>
        </is>
      </c>
      <c r="C14" s="68" t="inlineStr">
        <is>
          <t>Wasser- und Zugvogelreservate</t>
        </is>
      </c>
      <c r="D14" s="68" t="inlineStr">
        <is>
          <t>BAFU</t>
        </is>
      </c>
      <c r="E14" s="68" t="inlineStr">
        <is>
          <t>ch.bafu.bundesinventare-vogelreservate</t>
        </is>
      </c>
      <c r="F14" s="80" t="inlineStr">
        <is>
          <t>CH-weit</t>
        </is>
      </c>
      <c r="G14" s="80" t="inlineStr">
        <is>
          <t>Münchenstein</t>
        </is>
      </c>
      <c r="H14" s="80" t="inlineStr">
        <is>
          <t>Wil</t>
        </is>
      </c>
      <c r="I14" s="80" t="inlineStr">
        <is>
          <t>Seelisberg</t>
        </is>
      </c>
      <c r="J14" s="81" t="inlineStr">
        <is>
          <t>nein</t>
        </is>
      </c>
      <c r="K14" s="81" t="inlineStr">
        <is>
          <t>nein</t>
        </is>
      </c>
      <c r="L14" s="81" t="inlineStr">
        <is>
          <t>nein</t>
        </is>
      </c>
      <c r="M14" s="68" t="inlineStr">
        <is>
          <t>Layer-ID ergänzt</t>
        </is>
      </c>
    </row>
    <row r="15" ht="15" customHeight="1" s="45">
      <c r="A15" s="69" t="inlineStr">
        <is>
          <t>Q2</t>
        </is>
      </c>
      <c r="B15" s="68" t="inlineStr">
        <is>
          <t>Biodiversität</t>
        </is>
      </c>
      <c r="C15" s="68" t="inlineStr">
        <is>
          <t>Wildtierkorridore (überregional)</t>
        </is>
      </c>
      <c r="D15" s="68" t="inlineStr">
        <is>
          <t>BAFU</t>
        </is>
      </c>
      <c r="E15" s="68" t="inlineStr">
        <is>
          <t>ch.bafu.fauna-wildtierkorridor_national</t>
        </is>
      </c>
      <c r="F15" s="80" t="inlineStr">
        <is>
          <t>CH-weit</t>
        </is>
      </c>
      <c r="G15" s="80" t="inlineStr">
        <is>
          <t>Münchenstein</t>
        </is>
      </c>
      <c r="H15" s="80" t="inlineStr">
        <is>
          <t>Wil</t>
        </is>
      </c>
      <c r="I15" s="80" t="inlineStr">
        <is>
          <t>Seelisberg</t>
        </is>
      </c>
      <c r="J15" s="81" t="inlineStr">
        <is>
          <t>nein</t>
        </is>
      </c>
      <c r="K15" s="81" t="inlineStr">
        <is>
          <t>ja</t>
        </is>
      </c>
      <c r="L15" s="81" t="inlineStr">
        <is>
          <t>nein</t>
        </is>
      </c>
      <c r="M15" s="68" t="inlineStr">
        <is>
          <t>Layer-ID korrigiert (vorher ch.bafu.fauna-wildtierkorridore_national, ungültig)</t>
        </is>
      </c>
    </row>
    <row r="16" ht="15" customHeight="1" s="45">
      <c r="A16" s="69" t="inlineStr">
        <is>
          <t>Q2</t>
        </is>
      </c>
      <c r="B16" s="68" t="inlineStr">
        <is>
          <t>Wald</t>
        </is>
      </c>
      <c r="C16" s="68" t="inlineStr">
        <is>
          <t>Waldreservate</t>
        </is>
      </c>
      <c r="D16" s="68" t="inlineStr">
        <is>
          <t>BAFU</t>
        </is>
      </c>
      <c r="E16" s="68" t="inlineStr">
        <is>
          <t>ch.bafu.waldreservate</t>
        </is>
      </c>
      <c r="F16" s="80" t="inlineStr">
        <is>
          <t>CH-weit</t>
        </is>
      </c>
      <c r="G16" s="80" t="inlineStr">
        <is>
          <t>Münchenstein</t>
        </is>
      </c>
      <c r="H16" s="80" t="inlineStr">
        <is>
          <t>Wil</t>
        </is>
      </c>
      <c r="I16" s="80" t="inlineStr">
        <is>
          <t>Seelisberg</t>
        </is>
      </c>
      <c r="J16" s="81" t="inlineStr">
        <is>
          <t>ja</t>
        </is>
      </c>
      <c r="K16" s="81" t="inlineStr">
        <is>
          <t>ja</t>
        </is>
      </c>
      <c r="L16" s="81" t="inlineStr">
        <is>
          <t>ja</t>
        </is>
      </c>
      <c r="M16" s="68" t="n"/>
    </row>
    <row r="17" ht="15" customHeight="1" s="45">
      <c r="A17" s="69" t="inlineStr">
        <is>
          <t>Q2</t>
        </is>
      </c>
      <c r="B17" s="68" t="inlineStr">
        <is>
          <t>Wald</t>
        </is>
      </c>
      <c r="C17" s="68" t="inlineStr">
        <is>
          <t>Waldareal / Schutzwald</t>
        </is>
      </c>
      <c r="D17" s="68" t="inlineStr">
        <is>
          <t>BAFU</t>
        </is>
      </c>
      <c r="E17" s="68" t="inlineStr">
        <is>
          <t>—</t>
        </is>
      </c>
      <c r="F17" s="80" t="inlineStr">
        <is>
          <t>CH-weit</t>
        </is>
      </c>
      <c r="G17" s="80" t="inlineStr">
        <is>
          <t>Münchenstein</t>
        </is>
      </c>
      <c r="H17" s="80" t="inlineStr">
        <is>
          <t>Wil</t>
        </is>
      </c>
      <c r="I17" s="80" t="inlineStr">
        <is>
          <t>Seelisberg</t>
        </is>
      </c>
      <c r="J17" s="81" t="inlineStr">
        <is>
          <t>ja</t>
        </is>
      </c>
      <c r="K17" s="81" t="inlineStr">
        <is>
          <t>ja</t>
        </is>
      </c>
      <c r="L17" s="81" t="inlineStr">
        <is>
          <t>ja</t>
        </is>
      </c>
      <c r="M17" s="68" t="inlineStr">
        <is>
          <t>Waldareal abgeleitet: Waldreservate (Zeile Waldreservate) liegen in allen drei Gemeinden; swissTLM3D-Wald ist ein Rasterlayer. Schutzwald ist kantonal ausgeschieden → kantonales Geoportal</t>
        </is>
      </c>
    </row>
    <row r="18" ht="15" customHeight="1" s="45">
      <c r="A18" s="69" t="inlineStr">
        <is>
          <t>Q1/Q2</t>
        </is>
      </c>
      <c r="B18" s="68" t="inlineStr">
        <is>
          <t>Planung</t>
        </is>
      </c>
      <c r="C18" s="68" t="inlineStr">
        <is>
          <t>Bauzonen Schweiz (harmonisiert)</t>
        </is>
      </c>
      <c r="D18" s="68" t="inlineStr">
        <is>
          <t>ARE</t>
        </is>
      </c>
      <c r="E18" s="68" t="inlineStr">
        <is>
          <t>ch.are.bauzonen</t>
        </is>
      </c>
      <c r="F18" s="80" t="inlineStr">
        <is>
          <t>CH-weit</t>
        </is>
      </c>
      <c r="G18" s="80" t="inlineStr">
        <is>
          <t>Münchenstein</t>
        </is>
      </c>
      <c r="H18" s="80" t="inlineStr">
        <is>
          <t>Wil</t>
        </is>
      </c>
      <c r="I18" s="80" t="inlineStr">
        <is>
          <t>Seelisberg</t>
        </is>
      </c>
      <c r="J18" s="81" t="inlineStr">
        <is>
          <t>ja</t>
        </is>
      </c>
      <c r="K18" s="81" t="inlineStr">
        <is>
          <t>ja</t>
        </is>
      </c>
      <c r="L18" s="81" t="inlineStr">
        <is>
          <t>ja</t>
        </is>
      </c>
      <c r="M18" s="68" t="n"/>
    </row>
    <row r="19" ht="15" customHeight="1" s="45">
      <c r="A19" s="69" t="inlineStr">
        <is>
          <t>Q3</t>
        </is>
      </c>
      <c r="B19" s="68" t="inlineStr">
        <is>
          <t>Energie</t>
        </is>
      </c>
      <c r="C19" s="68" t="inlineStr">
        <is>
          <t>Solarenergie: Eignung Dächer</t>
        </is>
      </c>
      <c r="D19" s="68" t="inlineStr">
        <is>
          <t>BFE</t>
        </is>
      </c>
      <c r="E19" s="68" t="inlineStr">
        <is>
          <t>ch.bfe.solarenergie-eignung-daecher</t>
        </is>
      </c>
      <c r="F19" s="80" t="inlineStr">
        <is>
          <t>CH-weit</t>
        </is>
      </c>
      <c r="G19" s="80" t="inlineStr">
        <is>
          <t>Münchenstein</t>
        </is>
      </c>
      <c r="H19" s="80" t="inlineStr">
        <is>
          <t>Wil</t>
        </is>
      </c>
      <c r="I19" s="80" t="inlineStr">
        <is>
          <t>Seelisberg</t>
        </is>
      </c>
      <c r="J19" s="81" t="inlineStr">
        <is>
          <t>ja</t>
        </is>
      </c>
      <c r="K19" s="81" t="inlineStr">
        <is>
          <t>ja</t>
        </is>
      </c>
      <c r="L19" s="81" t="inlineStr">
        <is>
          <t>ja</t>
        </is>
      </c>
      <c r="M19" s="68" t="n"/>
    </row>
    <row r="20" ht="15" customHeight="1" s="45">
      <c r="A20" s="69" t="inlineStr">
        <is>
          <t>Q3</t>
        </is>
      </c>
      <c r="B20" s="68" t="inlineStr">
        <is>
          <t>Energie</t>
        </is>
      </c>
      <c r="C20" s="68" t="inlineStr">
        <is>
          <t>Solarenergie: Eignung Fassaden</t>
        </is>
      </c>
      <c r="D20" s="68" t="inlineStr">
        <is>
          <t>BFE</t>
        </is>
      </c>
      <c r="E20" s="68" t="inlineStr">
        <is>
          <t>ch.bfe.solarenergie-eignung-fassaden</t>
        </is>
      </c>
      <c r="F20" s="80" t="inlineStr">
        <is>
          <t>CH-weit</t>
        </is>
      </c>
      <c r="G20" s="80" t="inlineStr">
        <is>
          <t>Münchenstein</t>
        </is>
      </c>
      <c r="H20" s="80" t="inlineStr">
        <is>
          <t>Wil</t>
        </is>
      </c>
      <c r="I20" s="80" t="inlineStr">
        <is>
          <t>Seelisberg</t>
        </is>
      </c>
      <c r="J20" s="81" t="inlineStr">
        <is>
          <t>ja</t>
        </is>
      </c>
      <c r="K20" s="81" t="inlineStr">
        <is>
          <t>ja</t>
        </is>
      </c>
      <c r="L20" s="81" t="inlineStr">
        <is>
          <t>ja</t>
        </is>
      </c>
      <c r="M20" s="68" t="n"/>
    </row>
    <row r="21" ht="15" customHeight="1" s="45">
      <c r="A21" s="69" t="inlineStr">
        <is>
          <t>Q3</t>
        </is>
      </c>
      <c r="B21" s="68" t="inlineStr">
        <is>
          <t>Energie</t>
        </is>
      </c>
      <c r="C21" s="68" t="inlineStr">
        <is>
          <t>Gebäude- und Wohnungsregister (Heizung, Energieträger)</t>
        </is>
      </c>
      <c r="D21" s="68" t="inlineStr">
        <is>
          <t>BFS</t>
        </is>
      </c>
      <c r="E21" s="68" t="inlineStr">
        <is>
          <t>ch.bfs.gebaeude_wohnungs_register</t>
        </is>
      </c>
      <c r="F21" s="80" t="inlineStr">
        <is>
          <t>CH-weit</t>
        </is>
      </c>
      <c r="G21" s="80" t="inlineStr">
        <is>
          <t>Münchenstein</t>
        </is>
      </c>
      <c r="H21" s="80" t="inlineStr">
        <is>
          <t>Wil</t>
        </is>
      </c>
      <c r="I21" s="80" t="inlineStr">
        <is>
          <t>Seelisberg</t>
        </is>
      </c>
      <c r="J21" s="81" t="inlineStr">
        <is>
          <t>ja</t>
        </is>
      </c>
      <c r="K21" s="81" t="inlineStr">
        <is>
          <t>ja</t>
        </is>
      </c>
      <c r="L21" s="81" t="inlineStr">
        <is>
          <t>ja</t>
        </is>
      </c>
      <c r="M21" s="68" t="n"/>
    </row>
    <row r="22" ht="15" customHeight="1" s="45">
      <c r="A22" s="69" t="inlineStr">
        <is>
          <t>Q3</t>
        </is>
      </c>
      <c r="B22" s="68" t="inlineStr">
        <is>
          <t>Energie</t>
        </is>
      </c>
      <c r="C22" s="68" t="inlineStr">
        <is>
          <t>Windenergie / Geothermie / Wärmenetz-Potenzial</t>
        </is>
      </c>
      <c r="D22" s="68" t="inlineStr">
        <is>
          <t>BFE</t>
        </is>
      </c>
      <c r="E22" s="68" t="inlineStr">
        <is>
          <t>ch.bfe.thermische-netze</t>
        </is>
      </c>
      <c r="F22" s="80" t="inlineStr">
        <is>
          <t>CH-weit</t>
        </is>
      </c>
      <c r="G22" s="80" t="inlineStr">
        <is>
          <t>Münchenstein</t>
        </is>
      </c>
      <c r="H22" s="80" t="inlineStr">
        <is>
          <t>Wil</t>
        </is>
      </c>
      <c r="I22" s="80" t="inlineStr">
        <is>
          <t>Seelisberg</t>
        </is>
      </c>
      <c r="J22" s="81" t="inlineStr">
        <is>
          <t>ja</t>
        </is>
      </c>
      <c r="K22" s="81" t="inlineStr">
        <is>
          <t>nein</t>
        </is>
      </c>
      <c r="L22" s="81" t="inlineStr">
        <is>
          <t>nein</t>
        </is>
      </c>
      <c r="M22" s="68" t="inlineStr">
        <is>
          <t>Abgefragt: Thermische Netze (BFE). Windpotenzialgebiete = Rasterlayer → visuell prüfen; Geothermische Potenzialstudien decken ganze Kantone ab (nicht aussagekräftig)</t>
        </is>
      </c>
    </row>
    <row r="23" ht="15" customHeight="1" s="45">
      <c r="A23" s="69" t="inlineStr">
        <is>
          <t>Q3/B3</t>
        </is>
      </c>
      <c r="B23" s="68" t="inlineStr">
        <is>
          <t>Mobilität</t>
        </is>
      </c>
      <c r="C23" s="68" t="inlineStr">
        <is>
          <t>ÖV-Güteklassen</t>
        </is>
      </c>
      <c r="D23" s="68" t="inlineStr">
        <is>
          <t>ARE</t>
        </is>
      </c>
      <c r="E23" s="68" t="inlineStr">
        <is>
          <t>ch.are.gueteklassen_oev</t>
        </is>
      </c>
      <c r="F23" s="80" t="inlineStr">
        <is>
          <t>CH-weit</t>
        </is>
      </c>
      <c r="G23" s="80" t="inlineStr">
        <is>
          <t>Münchenstein</t>
        </is>
      </c>
      <c r="H23" s="80" t="inlineStr">
        <is>
          <t>Wil</t>
        </is>
      </c>
      <c r="I23" s="80" t="inlineStr">
        <is>
          <t>Seelisberg</t>
        </is>
      </c>
      <c r="J23" s="81" t="inlineStr">
        <is>
          <t>ja</t>
        </is>
      </c>
      <c r="K23" s="81" t="inlineStr">
        <is>
          <t>ja</t>
        </is>
      </c>
      <c r="L23" s="81" t="inlineStr">
        <is>
          <t>ja</t>
        </is>
      </c>
      <c r="M23" s="68" t="n"/>
    </row>
    <row r="24" ht="22.35" customHeight="1" s="45">
      <c r="A24" s="69" t="inlineStr">
        <is>
          <t>Q4</t>
        </is>
      </c>
      <c r="B24" s="68" t="inlineStr">
        <is>
          <t>Naturgefahren</t>
        </is>
      </c>
      <c r="C24" s="68" t="inlineStr">
        <is>
          <t>Gefahrenkarten / Gefahrenhinweiskarte (Daten der Kantone)</t>
        </is>
      </c>
      <c r="D24" s="68" t="inlineStr">
        <is>
          <t>BAFU / Kantone</t>
        </is>
      </c>
      <c r="E24" s="68" t="inlineStr">
        <is>
          <t>—</t>
        </is>
      </c>
      <c r="F24" s="80" t="inlineStr">
        <is>
          <t>CH-weit</t>
        </is>
      </c>
      <c r="G24" s="80" t="inlineStr">
        <is>
          <t>Münchenstein</t>
        </is>
      </c>
      <c r="H24" s="80" t="inlineStr">
        <is>
          <t>Wil</t>
        </is>
      </c>
      <c r="I24" s="80" t="inlineStr">
        <is>
          <t>Seelisberg</t>
        </is>
      </c>
      <c r="J24" s="81" t="inlineStr">
        <is>
          <t>offen</t>
        </is>
      </c>
      <c r="K24" s="81" t="inlineStr">
        <is>
          <t>offen</t>
        </is>
      </c>
      <c r="L24" s="81" t="inlineStr">
        <is>
          <t>offen</t>
        </is>
      </c>
      <c r="M24" s="68" t="inlineStr">
        <is>
          <t>Kein Bundeslayer: Gefahrenkarten sind kantonal (siehe Kantonsblöcke unten)</t>
        </is>
      </c>
    </row>
    <row r="25" ht="15" customHeight="1" s="45">
      <c r="A25" s="69" t="inlineStr">
        <is>
          <t>Q4</t>
        </is>
      </c>
      <c r="B25" s="68" t="inlineStr">
        <is>
          <t>Starkregen</t>
        </is>
      </c>
      <c r="C25" s="68" t="inlineStr">
        <is>
          <t>Gefährdungskarte Oberflächenabfluss</t>
        </is>
      </c>
      <c r="D25" s="68" t="inlineStr">
        <is>
          <t>BAFU / VKF</t>
        </is>
      </c>
      <c r="E25" s="68" t="inlineStr">
        <is>
          <t>ch.bafu.gefaehrdungskarte-oberflaechenabfluss</t>
        </is>
      </c>
      <c r="F25" s="80" t="inlineStr">
        <is>
          <t>CH-weit</t>
        </is>
      </c>
      <c r="G25" s="80" t="inlineStr">
        <is>
          <t>Münchenstein</t>
        </is>
      </c>
      <c r="H25" s="80" t="inlineStr">
        <is>
          <t>Wil</t>
        </is>
      </c>
      <c r="I25" s="80" t="inlineStr">
        <is>
          <t>Seelisberg</t>
        </is>
      </c>
      <c r="J25" s="81" t="inlineStr">
        <is>
          <t>offen</t>
        </is>
      </c>
      <c r="K25" s="81" t="inlineStr">
        <is>
          <t>offen</t>
        </is>
      </c>
      <c r="L25" s="81" t="inlineStr">
        <is>
          <t>offen</t>
        </is>
      </c>
      <c r="M25" s="68" t="inlineStr">
        <is>
          <t>Layer-ID korrigiert (vorher ch.bafu.gefahren-oberflaechenabfluss, ungültig). Rasterlayer → per Abfrage nicht auswertbar, im Viewer visuell prüfen</t>
        </is>
      </c>
    </row>
    <row r="26" ht="15" customHeight="1" s="45">
      <c r="A26" s="69" t="inlineStr">
        <is>
          <t>Q4</t>
        </is>
      </c>
      <c r="B26" s="68" t="inlineStr">
        <is>
          <t>Erdbeben</t>
        </is>
      </c>
      <c r="C26" s="68" t="inlineStr">
        <is>
          <t>Baugrundklassen (Erdbeben)</t>
        </is>
      </c>
      <c r="D26" s="68" t="inlineStr">
        <is>
          <t>BAFU</t>
        </is>
      </c>
      <c r="E26" s="68" t="inlineStr">
        <is>
          <t>ch.bafu.gefahren-baugrundklassen</t>
        </is>
      </c>
      <c r="F26" s="80" t="inlineStr">
        <is>
          <t>CH-weit</t>
        </is>
      </c>
      <c r="G26" s="80" t="inlineStr">
        <is>
          <t>Münchenstein</t>
        </is>
      </c>
      <c r="H26" s="80" t="inlineStr">
        <is>
          <t>Wil</t>
        </is>
      </c>
      <c r="I26" s="80" t="inlineStr">
        <is>
          <t>Seelisberg</t>
        </is>
      </c>
      <c r="J26" s="81" t="inlineStr">
        <is>
          <t>ja</t>
        </is>
      </c>
      <c r="K26" s="81" t="inlineStr">
        <is>
          <t>nein</t>
        </is>
      </c>
      <c r="L26" s="81" t="inlineStr">
        <is>
          <t>ja</t>
        </is>
      </c>
      <c r="M26" s="68" t="n"/>
    </row>
    <row r="27" ht="15" customHeight="1" s="45">
      <c r="A27" s="69" t="inlineStr">
        <is>
          <t>Q4</t>
        </is>
      </c>
      <c r="B27" s="68" t="inlineStr">
        <is>
          <t>Lärm</t>
        </is>
      </c>
      <c r="C27" s="68" t="inlineStr">
        <is>
          <t>Strassenlärm Tag</t>
        </is>
      </c>
      <c r="D27" s="68" t="inlineStr">
        <is>
          <t>BAFU</t>
        </is>
      </c>
      <c r="E27" s="68" t="inlineStr">
        <is>
          <t>ch.bafu.laerm-strassenlaerm_tag</t>
        </is>
      </c>
      <c r="F27" s="80" t="inlineStr">
        <is>
          <t>CH-weit</t>
        </is>
      </c>
      <c r="G27" s="80" t="inlineStr">
        <is>
          <t>Münchenstein</t>
        </is>
      </c>
      <c r="H27" s="80" t="inlineStr">
        <is>
          <t>Wil</t>
        </is>
      </c>
      <c r="I27" s="80" t="inlineStr">
        <is>
          <t>Seelisberg</t>
        </is>
      </c>
      <c r="J27" s="81" t="inlineStr">
        <is>
          <t>offen</t>
        </is>
      </c>
      <c r="K27" s="81" t="inlineStr">
        <is>
          <t>offen</t>
        </is>
      </c>
      <c r="L27" s="81" t="inlineStr">
        <is>
          <t>offen</t>
        </is>
      </c>
      <c r="M27" s="68" t="inlineStr">
        <is>
          <t>Rasterlayer → per Abfrage nicht auswertbar, im Viewer visuell prüfen</t>
        </is>
      </c>
    </row>
    <row r="28" ht="15" customHeight="1" s="45">
      <c r="A28" s="69" t="inlineStr">
        <is>
          <t>Q4</t>
        </is>
      </c>
      <c r="B28" s="68" t="inlineStr">
        <is>
          <t>Lärm</t>
        </is>
      </c>
      <c r="C28" s="68" t="inlineStr">
        <is>
          <t>Bahnlärm Tag</t>
        </is>
      </c>
      <c r="D28" s="68" t="inlineStr">
        <is>
          <t>BAFU</t>
        </is>
      </c>
      <c r="E28" s="68" t="inlineStr">
        <is>
          <t>ch.bafu.laerm-bahnlaerm_tag</t>
        </is>
      </c>
      <c r="F28" s="80" t="inlineStr">
        <is>
          <t>CH-weit</t>
        </is>
      </c>
      <c r="G28" s="80" t="inlineStr">
        <is>
          <t>Münchenstein</t>
        </is>
      </c>
      <c r="H28" s="80" t="inlineStr">
        <is>
          <t>Wil</t>
        </is>
      </c>
      <c r="I28" s="80" t="inlineStr">
        <is>
          <t>Seelisberg</t>
        </is>
      </c>
      <c r="J28" s="81" t="inlineStr">
        <is>
          <t>offen</t>
        </is>
      </c>
      <c r="K28" s="81" t="inlineStr">
        <is>
          <t>offen</t>
        </is>
      </c>
      <c r="L28" s="81" t="inlineStr">
        <is>
          <t>offen</t>
        </is>
      </c>
      <c r="M28" s="68" t="inlineStr">
        <is>
          <t>Rasterlayer → per Abfrage nicht auswertbar, im Viewer visuell prüfen; vektorielle Alternative: ch.bav.laermbelastung-eisenbahn_tatsaechliche_emissionen_tag</t>
        </is>
      </c>
    </row>
    <row r="29" ht="15" customHeight="1" s="45">
      <c r="A29" s="69" t="inlineStr">
        <is>
          <t>Q4</t>
        </is>
      </c>
      <c r="B29" s="68" t="inlineStr">
        <is>
          <t>Hitze</t>
        </is>
      </c>
      <c r="C29" s="68" t="inlineStr">
        <is>
          <t>Hitzebelastung / Klimaanalyse</t>
        </is>
      </c>
      <c r="D29" s="68" t="inlineStr">
        <is>
          <t>BAFU / Kantone</t>
        </is>
      </c>
      <c r="E29" s="68" t="inlineStr">
        <is>
          <t>—</t>
        </is>
      </c>
      <c r="F29" s="80" t="inlineStr">
        <is>
          <t>CH-weit</t>
        </is>
      </c>
      <c r="G29" s="80" t="inlineStr">
        <is>
          <t>Münchenstein</t>
        </is>
      </c>
      <c r="H29" s="80" t="inlineStr">
        <is>
          <t>Wil</t>
        </is>
      </c>
      <c r="I29" s="80" t="inlineStr">
        <is>
          <t>Seelisberg</t>
        </is>
      </c>
      <c r="J29" s="81" t="inlineStr">
        <is>
          <t>offen</t>
        </is>
      </c>
      <c r="K29" s="81" t="inlineStr">
        <is>
          <t>offen</t>
        </is>
      </c>
      <c r="L29" s="81" t="inlineStr">
        <is>
          <t>offen</t>
        </is>
      </c>
      <c r="M29" s="68" t="inlineStr">
        <is>
          <t>Kein abfragbarer Bundeslayer: Hitze-/Klimaanalysekarten sind kantonal</t>
        </is>
      </c>
    </row>
    <row r="30" ht="15" customHeight="1" s="45">
      <c r="A30" s="69" t="inlineStr">
        <is>
          <t>Q4</t>
        </is>
      </c>
      <c r="B30" s="68" t="inlineStr">
        <is>
          <t>Risiko</t>
        </is>
      </c>
      <c r="C30" s="68" t="inlineStr">
        <is>
          <t>Störfall-Risikokataster / belastete Standorte</t>
        </is>
      </c>
      <c r="D30" s="68" t="inlineStr">
        <is>
          <t>BAFU / Kantone</t>
        </is>
      </c>
      <c r="E30" s="68" t="inlineStr">
        <is>
          <t>ch.bav.lage-stoerfallverordnung_eisenbahnanlagen, ch.bav.betriebe-stoerfallverordnung_eisenbahnanlagen, ch.bav.kataster-belasteter-standorte-oev, ch.vbs.kataster-belasteter-standorte-militaer, ch.bazl.kataster-belasteter-standorte-zivilflugplaetze</t>
        </is>
      </c>
      <c r="F30" s="80" t="inlineStr">
        <is>
          <t>CH-weit</t>
        </is>
      </c>
      <c r="G30" s="80" t="inlineStr">
        <is>
          <t>Münchenstein</t>
        </is>
      </c>
      <c r="H30" s="80" t="inlineStr">
        <is>
          <t>Wil</t>
        </is>
      </c>
      <c r="I30" s="80" t="inlineStr">
        <is>
          <t>Seelisberg</t>
        </is>
      </c>
      <c r="J30" s="81" t="inlineStr">
        <is>
          <t>nein</t>
        </is>
      </c>
      <c r="K30" s="81" t="inlineStr">
        <is>
          <t>ja</t>
        </is>
      </c>
      <c r="L30" s="81" t="inlineStr">
        <is>
          <t>ja</t>
        </is>
      </c>
      <c r="M30" s="68" t="inlineStr">
        <is>
          <t>Abgefragt: nur Bundesdaten (Störfall Eisenbahn, KbS öV / Militär / Zivilflugplätze). Kantonaler Kataster belasteter Standorte und Störfallbetriebe separat prüfen</t>
        </is>
      </c>
    </row>
    <row r="31" ht="15" customHeight="1" s="45">
      <c r="A31" s="69" t="inlineStr">
        <is>
          <t>Q5</t>
        </is>
      </c>
      <c r="B31" s="68" t="inlineStr">
        <is>
          <t>Ortsbild</t>
        </is>
      </c>
      <c r="C31" s="68" t="inlineStr">
        <is>
          <t>ISOS – Ortsbilder von nationaler Bedeutung</t>
        </is>
      </c>
      <c r="D31" s="68" t="inlineStr">
        <is>
          <t>BAK</t>
        </is>
      </c>
      <c r="E31" s="68" t="inlineStr">
        <is>
          <t>ch.bak.bundesinventar-schuetzenswerte-ortsbilder</t>
        </is>
      </c>
      <c r="F31" s="80" t="inlineStr">
        <is>
          <t>CH-weit</t>
        </is>
      </c>
      <c r="G31" s="80" t="inlineStr">
        <is>
          <t>Münchenstein</t>
        </is>
      </c>
      <c r="H31" s="80" t="inlineStr">
        <is>
          <t>Wil</t>
        </is>
      </c>
      <c r="I31" s="80" t="inlineStr">
        <is>
          <t>Seelisberg</t>
        </is>
      </c>
      <c r="J31" s="81" t="inlineStr">
        <is>
          <t>ja</t>
        </is>
      </c>
      <c r="K31" s="81" t="inlineStr">
        <is>
          <t>ja</t>
        </is>
      </c>
      <c r="L31" s="81" t="inlineStr">
        <is>
          <t>nein</t>
        </is>
      </c>
      <c r="M31" s="68" t="n"/>
    </row>
    <row r="32" ht="15" customHeight="1" s="45">
      <c r="A32" s="69" t="inlineStr">
        <is>
          <t>Q5</t>
        </is>
      </c>
      <c r="B32" s="68" t="inlineStr">
        <is>
          <t>Verkehrswege</t>
        </is>
      </c>
      <c r="C32" s="68" t="inlineStr">
        <is>
          <t>IVS – Historische Verkehrswege (national)</t>
        </is>
      </c>
      <c r="D32" s="68" t="inlineStr">
        <is>
          <t>ASTRA</t>
        </is>
      </c>
      <c r="E32" s="68" t="inlineStr">
        <is>
          <t>ch.astra.ivs-nat</t>
        </is>
      </c>
      <c r="F32" s="80" t="inlineStr">
        <is>
          <t>CH-weit</t>
        </is>
      </c>
      <c r="G32" s="80" t="inlineStr">
        <is>
          <t>Münchenstein</t>
        </is>
      </c>
      <c r="H32" s="80" t="inlineStr">
        <is>
          <t>Wil</t>
        </is>
      </c>
      <c r="I32" s="80" t="inlineStr">
        <is>
          <t>Seelisberg</t>
        </is>
      </c>
      <c r="J32" s="81" t="inlineStr">
        <is>
          <t>ja</t>
        </is>
      </c>
      <c r="K32" s="81" t="inlineStr">
        <is>
          <t>ja</t>
        </is>
      </c>
      <c r="L32" s="81" t="inlineStr">
        <is>
          <t>ja</t>
        </is>
      </c>
      <c r="M32" s="68" t="n"/>
    </row>
    <row r="33" ht="15" customHeight="1" s="45">
      <c r="A33" s="69" t="inlineStr">
        <is>
          <t>Q5</t>
        </is>
      </c>
      <c r="B33" s="68" t="inlineStr">
        <is>
          <t>Kulturgüter</t>
        </is>
      </c>
      <c r="C33" s="68" t="inlineStr">
        <is>
          <t>KGS-Inventar (Kulturgüter von nationaler/regionaler Bedeutung)</t>
        </is>
      </c>
      <c r="D33" s="68" t="inlineStr">
        <is>
          <t>BABS</t>
        </is>
      </c>
      <c r="E33" s="68" t="inlineStr">
        <is>
          <t>ch.babs.kulturgueter</t>
        </is>
      </c>
      <c r="F33" s="80" t="inlineStr">
        <is>
          <t>CH-weit</t>
        </is>
      </c>
      <c r="G33" s="80" t="inlineStr">
        <is>
          <t>Münchenstein</t>
        </is>
      </c>
      <c r="H33" s="80" t="inlineStr">
        <is>
          <t>Wil</t>
        </is>
      </c>
      <c r="I33" s="80" t="inlineStr">
        <is>
          <t>Seelisberg</t>
        </is>
      </c>
      <c r="J33" s="81" t="inlineStr">
        <is>
          <t>ja</t>
        </is>
      </c>
      <c r="K33" s="81" t="inlineStr">
        <is>
          <t>ja</t>
        </is>
      </c>
      <c r="L33" s="81" t="inlineStr">
        <is>
          <t>ja</t>
        </is>
      </c>
      <c r="M33" s="68" t="n"/>
    </row>
    <row r="34" ht="15" customHeight="1" s="45">
      <c r="A34" s="66" t="inlineStr">
        <is>
          <t>KANTONE UND GEMEINDEN – kantonale / kommunale Geoportale (aus Kataster, Layerliste im Viewer sichten)</t>
        </is>
      </c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</row>
    <row r="35" ht="22.35" customHeight="1" s="45">
      <c r="A35" s="69" t="inlineStr">
        <is>
          <t>Q4</t>
        </is>
      </c>
      <c r="B35" s="68" t="inlineStr">
        <is>
          <t>Naturgefahren</t>
        </is>
      </c>
      <c r="C35" s="68" t="inlineStr">
        <is>
          <t>Naturgefahrenkarten BL (Überschwemmung, Murgang, Steinschlag, Rutschung)</t>
        </is>
      </c>
      <c r="D35" s="68" t="inlineStr">
        <is>
          <t>Kanton BL</t>
        </is>
      </c>
      <c r="E35" s="68" t="inlineStr">
        <is>
          <t>—</t>
        </is>
      </c>
      <c r="F35" s="69" t="n"/>
      <c r="G35" s="80" t="inlineStr">
        <is>
          <t>Münchenstein</t>
        </is>
      </c>
      <c r="H35" s="69" t="n"/>
      <c r="I35" s="69" t="n"/>
      <c r="J35" s="81" t="inlineStr">
        <is>
          <t>offen</t>
        </is>
      </c>
      <c r="K35" s="82" t="inlineStr">
        <is>
          <t>n. a.</t>
        </is>
      </c>
      <c r="L35" s="82" t="inlineStr">
        <is>
          <t>n. a.</t>
        </is>
      </c>
      <c r="M35" s="68" t="inlineStr">
        <is>
          <t>Layer-IDs aus Kataster; Stand der Karte 2005 → Aktualität in den Layer-Metadaten prüfen | Link korrigiert: Ausschnitt zeigte auf Liestal</t>
        </is>
      </c>
    </row>
    <row r="36" ht="22.35" customHeight="1" s="45">
      <c r="A36" s="69" t="inlineStr">
        <is>
          <t>Q2</t>
        </is>
      </c>
      <c r="B36" s="68" t="inlineStr">
        <is>
          <t>Schutzinventare / FFF</t>
        </is>
      </c>
      <c r="C36" s="68" t="inlineStr">
        <is>
          <t>Kantonale Schutzinventare und Fruchtfolgeflächen BL (ARP-Daten)</t>
        </is>
      </c>
      <c r="D36" s="68" t="inlineStr">
        <is>
          <t>Kanton BL</t>
        </is>
      </c>
      <c r="E36" s="68" t="inlineStr">
        <is>
          <t>—</t>
        </is>
      </c>
      <c r="F36" s="69" t="n"/>
      <c r="G36" s="80" t="inlineStr">
        <is>
          <t>Münchenstein</t>
        </is>
      </c>
      <c r="H36" s="69" t="n"/>
      <c r="I36" s="69" t="n"/>
      <c r="J36" s="81" t="inlineStr">
        <is>
          <t>offen</t>
        </is>
      </c>
      <c r="K36" s="82" t="inlineStr">
        <is>
          <t>n. a.</t>
        </is>
      </c>
      <c r="L36" s="82" t="inlineStr">
        <is>
          <t>n. a.</t>
        </is>
      </c>
      <c r="M36" s="68" t="inlineStr">
        <is>
          <t>Layerliste sichten; FFF und Schutzobjekte getrennt auswerten | Link führt nur auf die Startseite</t>
        </is>
      </c>
    </row>
    <row r="37" ht="22.35" customHeight="1" s="45">
      <c r="A37" s="69" t="inlineStr">
        <is>
          <t>Q2</t>
        </is>
      </c>
      <c r="B37" s="68" t="inlineStr">
        <is>
          <t>Naturobjekte</t>
        </is>
      </c>
      <c r="C37" s="68" t="inlineStr">
        <is>
          <t>Inventar der geschützten Naturobjekte BL / Naturschutzgebiete (Geoportal BL)</t>
        </is>
      </c>
      <c r="D37" s="68" t="inlineStr">
        <is>
          <t>Kanton BL</t>
        </is>
      </c>
      <c r="E37" s="68" t="inlineStr">
        <is>
          <t>—</t>
        </is>
      </c>
      <c r="F37" s="69" t="n"/>
      <c r="G37" s="80" t="inlineStr">
        <is>
          <t>Münchenstein</t>
        </is>
      </c>
      <c r="H37" s="69" t="n"/>
      <c r="I37" s="69" t="n"/>
      <c r="J37" s="81" t="inlineStr">
        <is>
          <t>offen</t>
        </is>
      </c>
      <c r="K37" s="82" t="inlineStr">
        <is>
          <t>n. a.</t>
        </is>
      </c>
      <c r="L37" s="82" t="inlineStr">
        <is>
          <t>n. a.</t>
        </is>
      </c>
      <c r="M37" s="68" t="inlineStr">
        <is>
          <t>Rechtsgrundlage § 12 NLG (SGS 790); Layer im Viewer unter Natur/Landschaft suchen | Link führt nur auf die Startseite</t>
        </is>
      </c>
    </row>
    <row r="38" ht="15" customHeight="1" s="45">
      <c r="A38" s="69" t="inlineStr">
        <is>
          <t>Q5</t>
        </is>
      </c>
      <c r="B38" s="68" t="inlineStr">
        <is>
          <t>Denkmal</t>
        </is>
      </c>
      <c r="C38" s="68" t="inlineStr">
        <is>
          <t>Inventar der Kulturdenkmäler (IKD) im Geoportal Münchenstein</t>
        </is>
      </c>
      <c r="D38" s="68" t="inlineStr">
        <is>
          <t>Kanton BL / Gde</t>
        </is>
      </c>
      <c r="E38" s="68" t="inlineStr">
        <is>
          <t>—</t>
        </is>
      </c>
      <c r="F38" s="69" t="n"/>
      <c r="G38" s="80" t="inlineStr">
        <is>
          <t>Münchenstein</t>
        </is>
      </c>
      <c r="H38" s="69" t="n"/>
      <c r="I38" s="69" t="n"/>
      <c r="J38" s="81" t="inlineStr">
        <is>
          <t>offen</t>
        </is>
      </c>
      <c r="K38" s="82" t="inlineStr">
        <is>
          <t>n. a.</t>
        </is>
      </c>
      <c r="L38" s="82" t="inlineStr">
        <is>
          <t>n. a.</t>
        </is>
      </c>
      <c r="M38" s="68" t="n"/>
    </row>
    <row r="39" ht="22.35" customHeight="1" s="45">
      <c r="A39" s="69" t="inlineStr">
        <is>
          <t>Q4</t>
        </is>
      </c>
      <c r="B39" s="68" t="inlineStr">
        <is>
          <t>Entwässerung</t>
        </is>
      </c>
      <c r="C39" s="68" t="inlineStr">
        <is>
          <t>GEP / Starkregengrundlagen im Geoportal Münchenstein</t>
        </is>
      </c>
      <c r="D39" s="68" t="inlineStr">
        <is>
          <t>Gde Münchenstein</t>
        </is>
      </c>
      <c r="E39" s="68" t="inlineStr">
        <is>
          <t>—</t>
        </is>
      </c>
      <c r="F39" s="69" t="n"/>
      <c r="G39" s="80" t="inlineStr">
        <is>
          <t>Münchenstein</t>
        </is>
      </c>
      <c r="H39" s="69" t="n"/>
      <c r="I39" s="69" t="n"/>
      <c r="J39" s="81" t="inlineStr">
        <is>
          <t>offen</t>
        </is>
      </c>
      <c r="K39" s="82" t="inlineStr">
        <is>
          <t>n. a.</t>
        </is>
      </c>
      <c r="L39" s="82" t="inlineStr">
        <is>
          <t>n. a.</t>
        </is>
      </c>
      <c r="M39" s="68" t="inlineStr">
        <is>
          <t>Einsehbar ohne Attribute, externe Legende; Datenbezug bei Baudirektion</t>
        </is>
      </c>
    </row>
    <row r="40" ht="15" customHeight="1" s="45">
      <c r="A40" s="69" t="inlineStr">
        <is>
          <t>Q1</t>
        </is>
      </c>
      <c r="B40" s="68" t="inlineStr">
        <is>
          <t>Nutzungsplanung</t>
        </is>
      </c>
      <c r="C40" s="68" t="inlineStr">
        <is>
          <t>Zonenplan Wil (Geoportal)</t>
        </is>
      </c>
      <c r="D40" s="68" t="inlineStr">
        <is>
          <t>Gde Wil</t>
        </is>
      </c>
      <c r="E40" s="68" t="inlineStr">
        <is>
          <t>—</t>
        </is>
      </c>
      <c r="F40" s="69" t="n"/>
      <c r="G40" s="69" t="n"/>
      <c r="H40" s="80" t="inlineStr">
        <is>
          <t>Wil</t>
        </is>
      </c>
      <c r="I40" s="69" t="n"/>
      <c r="J40" s="82" t="inlineStr">
        <is>
          <t>n. a.</t>
        </is>
      </c>
      <c r="K40" s="81" t="inlineStr">
        <is>
          <t>offen</t>
        </is>
      </c>
      <c r="L40" s="82" t="inlineStr">
        <is>
          <t>n. a.</t>
        </is>
      </c>
      <c r="M40" s="68" t="inlineStr">
        <is>
          <t>Weitere Wil-Layer (Schutzobjekte, Ortsbild) im Layerbaum sichten</t>
        </is>
      </c>
    </row>
    <row r="41" ht="15" customHeight="1" s="45">
      <c r="A41" s="69" t="inlineStr">
        <is>
          <t>Q4</t>
        </is>
      </c>
      <c r="B41" s="68" t="inlineStr">
        <is>
          <t>Naturgefahren</t>
        </is>
      </c>
      <c r="C41" s="68" t="inlineStr">
        <is>
          <t>Naturgefahrenkarten SG (Geoportal SG)</t>
        </is>
      </c>
      <c r="D41" s="68" t="inlineStr">
        <is>
          <t>Kanton SG</t>
        </is>
      </c>
      <c r="E41" s="68" t="inlineStr">
        <is>
          <t>—</t>
        </is>
      </c>
      <c r="F41" s="69" t="n"/>
      <c r="G41" s="69" t="n"/>
      <c r="H41" s="80" t="inlineStr">
        <is>
          <t>Wil</t>
        </is>
      </c>
      <c r="I41" s="69" t="n"/>
      <c r="J41" s="82" t="inlineStr">
        <is>
          <t>n. a.</t>
        </is>
      </c>
      <c r="K41" s="81" t="inlineStr">
        <is>
          <t>offen</t>
        </is>
      </c>
      <c r="L41" s="82" t="inlineStr">
        <is>
          <t>n. a.</t>
        </is>
      </c>
      <c r="M41" s="68" t="inlineStr">
        <is>
          <t>Karte im Katalog mit Stand 03.09.2026 | Link korrigiert: Ausschnitt lag ca. 6 km südlich von Wil</t>
        </is>
      </c>
    </row>
    <row r="42" ht="15" customHeight="1" s="45">
      <c r="A42" s="69" t="inlineStr">
        <is>
          <t>Q2/Q5</t>
        </is>
      </c>
      <c r="B42" s="68" t="inlineStr">
        <is>
          <t>Natur/Denkmal</t>
        </is>
      </c>
      <c r="C42" s="68" t="inlineStr">
        <is>
          <t>Weitere kantonale Layer SG (Schutzgebiete, Inventare, FFF)</t>
        </is>
      </c>
      <c r="D42" s="68" t="inlineStr">
        <is>
          <t>Kanton SG</t>
        </is>
      </c>
      <c r="E42" s="68" t="inlineStr">
        <is>
          <t>—</t>
        </is>
      </c>
      <c r="F42" s="69" t="n"/>
      <c r="G42" s="69" t="n"/>
      <c r="H42" s="80" t="inlineStr">
        <is>
          <t>Wil</t>
        </is>
      </c>
      <c r="I42" s="69" t="n"/>
      <c r="J42" s="82" t="inlineStr">
        <is>
          <t>n. a.</t>
        </is>
      </c>
      <c r="K42" s="81" t="inlineStr">
        <is>
          <t>offen</t>
        </is>
      </c>
      <c r="L42" s="82" t="inlineStr">
        <is>
          <t>n. a.</t>
        </is>
      </c>
      <c r="M42" s="68" t="inlineStr">
        <is>
          <t>Layerliste sichten | Link führt nur auf die Startseite</t>
        </is>
      </c>
    </row>
    <row r="43" ht="22.35" customHeight="1" s="45">
      <c r="A43" s="69" t="inlineStr">
        <is>
          <t>Q1/Q2/Q4/Q5</t>
        </is>
      </c>
      <c r="B43" s="68" t="inlineStr">
        <is>
          <t>Geoportal UR</t>
        </is>
      </c>
      <c r="C43" s="68" t="inlineStr">
        <is>
          <t>Geoportal Uri: Nutzungsplanung, Schutzinventare, Naturgefahrenkarten (Seelisberg)</t>
        </is>
      </c>
      <c r="D43" s="68" t="inlineStr">
        <is>
          <t>Kanton UR</t>
        </is>
      </c>
      <c r="E43" s="68" t="inlineStr">
        <is>
          <t>—</t>
        </is>
      </c>
      <c r="F43" s="69" t="n"/>
      <c r="G43" s="69" t="n"/>
      <c r="H43" s="69" t="n"/>
      <c r="I43" s="80" t="inlineStr">
        <is>
          <t>Seelisberg</t>
        </is>
      </c>
      <c r="J43" s="82" t="inlineStr">
        <is>
          <t>n. a.</t>
        </is>
      </c>
      <c r="K43" s="82" t="inlineStr">
        <is>
          <t>n. a.</t>
        </is>
      </c>
      <c r="L43" s="81" t="inlineStr">
        <is>
          <t>offen</t>
        </is>
      </c>
      <c r="M43" s="68" t="inlineStr">
        <is>
          <t>Naturgefahrenkarten UR Stand 22.08.2023; Schutzinventare Stand 20.03.2026 (Kataster) | Link korrigiert: URL war beschädigt und zeigte auf Altdorf</t>
        </is>
      </c>
    </row>
  </sheetData>
  <autoFilter ref="A4:M43"/>
  <dataValidations count="1">
    <dataValidation sqref="J6:L33 J35:L43" showDropDown="0" showInputMessage="0" showErrorMessage="0" allowBlank="0" type="list" errorStyle="stop" operator="between">
      <formula1>"offen,ja,nein,n. a."</formula1>
      <formula2>0</formula2>
    </dataValidation>
  </dataValidations>
  <hyperlinks>
    <hyperlink xmlns:r="http://schemas.openxmlformats.org/officeDocument/2006/relationships" ref="F6" location="/map?lang=de&amp;center=2660000,1190000&amp;z=1&amp;bgLayer=ch.swisstopo.pixelkarte-grau&amp;layers=ch.bafu.bundesinventare-bln" display="CH-weit" r:id="rId1"/>
    <hyperlink xmlns:r="http://schemas.openxmlformats.org/officeDocument/2006/relationships" ref="G6" location="/map?lang=de&amp;center=2613308,1263110&amp;z=9&amp;bgLayer=ch.swisstopo.pixelkarte-grau&amp;layers=ch.bafu.bundesinventare-bln" display="Münchenstein" r:id="rId2"/>
    <hyperlink xmlns:r="http://schemas.openxmlformats.org/officeDocument/2006/relationships" ref="H6" location="/map?lang=de&amp;center=2721138,1258009&amp;z=9&amp;bgLayer=ch.swisstopo.pixelkarte-grau&amp;layers=ch.bafu.bundesinventare-bln" display="Wil" r:id="rId3"/>
    <hyperlink xmlns:r="http://schemas.openxmlformats.org/officeDocument/2006/relationships" ref="I6" location="/map?lang=de&amp;center=2687333,1203124&amp;z=9&amp;bgLayer=ch.swisstopo.pixelkarte-grau&amp;layers=ch.bafu.bundesinventare-bln" display="Seelisberg" r:id="rId4"/>
    <hyperlink xmlns:r="http://schemas.openxmlformats.org/officeDocument/2006/relationships" ref="F7" location="/map?lang=de&amp;center=2660000,1190000&amp;z=1&amp;bgLayer=ch.swisstopo.pixelkarte-grau&amp;layers=ch.bafu.bundesinventare-moorlandschaften" display="CH-weit" r:id="rId5"/>
    <hyperlink xmlns:r="http://schemas.openxmlformats.org/officeDocument/2006/relationships" ref="G7" location="/map?lang=de&amp;center=2613308,1263110&amp;z=9&amp;bgLayer=ch.swisstopo.pixelkarte-grau&amp;layers=ch.bafu.bundesinventare-moorlandschaften" display="Münchenstein" r:id="rId6"/>
    <hyperlink xmlns:r="http://schemas.openxmlformats.org/officeDocument/2006/relationships" ref="H7" location="/map?lang=de&amp;center=2721138,1258009&amp;z=9&amp;bgLayer=ch.swisstopo.pixelkarte-grau&amp;layers=ch.bafu.bundesinventare-moorlandschaften" display="Wil" r:id="rId7"/>
    <hyperlink xmlns:r="http://schemas.openxmlformats.org/officeDocument/2006/relationships" ref="I7" location="/map?lang=de&amp;center=2687333,1203124&amp;z=9&amp;bgLayer=ch.swisstopo.pixelkarte-grau&amp;layers=ch.bafu.bundesinventare-moorlandschaften" display="Seelisberg" r:id="rId8"/>
    <hyperlink xmlns:r="http://schemas.openxmlformats.org/officeDocument/2006/relationships" ref="F8" location="/map?lang=de&amp;center=2660000,1190000&amp;z=1&amp;bgLayer=ch.swisstopo.pixelkarte-grau&amp;layers=ch.bafu.bundesinventare-hochmoore" display="CH-weit" r:id="rId9"/>
    <hyperlink xmlns:r="http://schemas.openxmlformats.org/officeDocument/2006/relationships" ref="G8" location="/map?lang=de&amp;center=2613308,1263110&amp;z=9&amp;bgLayer=ch.swisstopo.pixelkarte-grau&amp;layers=ch.bafu.bundesinventare-hochmoore" display="Münchenstein" r:id="rId10"/>
    <hyperlink xmlns:r="http://schemas.openxmlformats.org/officeDocument/2006/relationships" ref="H8" location="/map?lang=de&amp;center=2721138,1258009&amp;z=9&amp;bgLayer=ch.swisstopo.pixelkarte-grau&amp;layers=ch.bafu.bundesinventare-hochmoore" display="Wil" r:id="rId11"/>
    <hyperlink xmlns:r="http://schemas.openxmlformats.org/officeDocument/2006/relationships" ref="I8" location="/map?lang=de&amp;center=2687333,1203124&amp;z=9&amp;bgLayer=ch.swisstopo.pixelkarte-grau&amp;layers=ch.bafu.bundesinventare-hochmoore" display="Seelisberg" r:id="rId12"/>
    <hyperlink xmlns:r="http://schemas.openxmlformats.org/officeDocument/2006/relationships" ref="F9" location="/map?lang=de&amp;center=2660000,1190000&amp;z=1&amp;bgLayer=ch.swisstopo.pixelkarte-grau&amp;layers=ch.bafu.bundesinventare-flachmoore" display="CH-weit" r:id="rId13"/>
    <hyperlink xmlns:r="http://schemas.openxmlformats.org/officeDocument/2006/relationships" ref="G9" location="/map?lang=de&amp;center=2613308,1263110&amp;z=9&amp;bgLayer=ch.swisstopo.pixelkarte-grau&amp;layers=ch.bafu.bundesinventare-flachmoore" display="Münchenstein" r:id="rId14"/>
    <hyperlink xmlns:r="http://schemas.openxmlformats.org/officeDocument/2006/relationships" ref="H9" location="/map?lang=de&amp;center=2721138,1258009&amp;z=9&amp;bgLayer=ch.swisstopo.pixelkarte-grau&amp;layers=ch.bafu.bundesinventare-flachmoore" display="Wil" r:id="rId15"/>
    <hyperlink xmlns:r="http://schemas.openxmlformats.org/officeDocument/2006/relationships" ref="I9" location="/map?lang=de&amp;center=2687333,1203124&amp;z=9&amp;bgLayer=ch.swisstopo.pixelkarte-grau&amp;layers=ch.bafu.bundesinventare-flachmoore" display="Seelisberg" r:id="rId16"/>
    <hyperlink xmlns:r="http://schemas.openxmlformats.org/officeDocument/2006/relationships" ref="F10" location="/map?lang=de&amp;center=2660000,1190000&amp;z=1&amp;bgLayer=ch.swisstopo.pixelkarte-grau&amp;layers=ch.bafu.bundesinventare-auen" display="CH-weit" r:id="rId17"/>
    <hyperlink xmlns:r="http://schemas.openxmlformats.org/officeDocument/2006/relationships" ref="G10" location="/map?lang=de&amp;center=2613308,1263110&amp;z=9&amp;bgLayer=ch.swisstopo.pixelkarte-grau&amp;layers=ch.bafu.bundesinventare-auen" display="Münchenstein" r:id="rId18"/>
    <hyperlink xmlns:r="http://schemas.openxmlformats.org/officeDocument/2006/relationships" ref="H10" location="/map?lang=de&amp;center=2721138,1258009&amp;z=9&amp;bgLayer=ch.swisstopo.pixelkarte-grau&amp;layers=ch.bafu.bundesinventare-auen" display="Wil" r:id="rId19"/>
    <hyperlink xmlns:r="http://schemas.openxmlformats.org/officeDocument/2006/relationships" ref="I10" location="/map?lang=de&amp;center=2687333,1203124&amp;z=9&amp;bgLayer=ch.swisstopo.pixelkarte-grau&amp;layers=ch.bafu.bundesinventare-auen" display="Seelisberg" r:id="rId20"/>
    <hyperlink xmlns:r="http://schemas.openxmlformats.org/officeDocument/2006/relationships" ref="F11" location="/map?lang=de&amp;center=2660000,1190000&amp;z=1&amp;bgLayer=ch.swisstopo.pixelkarte-grau&amp;layers=ch.bafu.bundesinventare-amphibien" display="CH-weit" r:id="rId21"/>
    <hyperlink xmlns:r="http://schemas.openxmlformats.org/officeDocument/2006/relationships" ref="G11" location="/map?lang=de&amp;center=2613308,1263110&amp;z=9&amp;bgLayer=ch.swisstopo.pixelkarte-grau&amp;layers=ch.bafu.bundesinventare-amphibien" display="Münchenstein" r:id="rId22"/>
    <hyperlink xmlns:r="http://schemas.openxmlformats.org/officeDocument/2006/relationships" ref="H11" location="/map?lang=de&amp;center=2721138,1258009&amp;z=9&amp;bgLayer=ch.swisstopo.pixelkarte-grau&amp;layers=ch.bafu.bundesinventare-amphibien" display="Wil" r:id="rId23"/>
    <hyperlink xmlns:r="http://schemas.openxmlformats.org/officeDocument/2006/relationships" ref="I11" location="/map?lang=de&amp;center=2687333,1203124&amp;z=9&amp;bgLayer=ch.swisstopo.pixelkarte-grau&amp;layers=ch.bafu.bundesinventare-amphibien" display="Seelisberg" r:id="rId24"/>
    <hyperlink xmlns:r="http://schemas.openxmlformats.org/officeDocument/2006/relationships" ref="F12" location="/map?lang=de&amp;center=2660000,1190000&amp;z=1&amp;bgLayer=ch.swisstopo.pixelkarte-grau&amp;layers=ch.bafu.bundesinventare-trockenwiesen_trockenweiden" display="CH-weit" r:id="rId25"/>
    <hyperlink xmlns:r="http://schemas.openxmlformats.org/officeDocument/2006/relationships" ref="G12" location="/map?lang=de&amp;center=2613308,1263110&amp;z=9&amp;bgLayer=ch.swisstopo.pixelkarte-grau&amp;layers=ch.bafu.bundesinventare-trockenwiesen_trockenweiden" display="Münchenstein" r:id="rId26"/>
    <hyperlink xmlns:r="http://schemas.openxmlformats.org/officeDocument/2006/relationships" ref="H12" location="/map?lang=de&amp;center=2721138,1258009&amp;z=9&amp;bgLayer=ch.swisstopo.pixelkarte-grau&amp;layers=ch.bafu.bundesinventare-trockenwiesen_trockenweiden" display="Wil" r:id="rId27"/>
    <hyperlink xmlns:r="http://schemas.openxmlformats.org/officeDocument/2006/relationships" ref="I12" location="/map?lang=de&amp;center=2687333,1203124&amp;z=9&amp;bgLayer=ch.swisstopo.pixelkarte-grau&amp;layers=ch.bafu.bundesinventare-trockenwiesen_trockenweiden" display="Seelisberg" r:id="rId28"/>
    <hyperlink xmlns:r="http://schemas.openxmlformats.org/officeDocument/2006/relationships" ref="F13" location="/map?lang=de&amp;center=2660000,1190000&amp;z=1&amp;bgLayer=ch.swisstopo.pixelkarte-grau&amp;layers=ch.bafu.bundesinventare-jagdbanngebiete" display="CH-weit" r:id="rId29"/>
    <hyperlink xmlns:r="http://schemas.openxmlformats.org/officeDocument/2006/relationships" ref="G13" location="/map?lang=de&amp;center=2613308,1263110&amp;z=9&amp;bgLayer=ch.swisstopo.pixelkarte-grau&amp;layers=ch.bafu.bundesinventare-jagdbanngebiete" display="Münchenstein" r:id="rId30"/>
    <hyperlink xmlns:r="http://schemas.openxmlformats.org/officeDocument/2006/relationships" ref="H13" location="/map?lang=de&amp;center=2721138,1258009&amp;z=9&amp;bgLayer=ch.swisstopo.pixelkarte-grau&amp;layers=ch.bafu.bundesinventare-jagdbanngebiete" display="Wil" r:id="rId31"/>
    <hyperlink xmlns:r="http://schemas.openxmlformats.org/officeDocument/2006/relationships" ref="I13" location="/map?lang=de&amp;center=2687333,1203124&amp;z=9&amp;bgLayer=ch.swisstopo.pixelkarte-grau&amp;layers=ch.bafu.bundesinventare-jagdbanngebiete" display="Seelisberg" r:id="rId32"/>
    <hyperlink xmlns:r="http://schemas.openxmlformats.org/officeDocument/2006/relationships" ref="F14" location="/map?lang=de&amp;center=2660000,1190000&amp;z=1&amp;bgLayer=ch.swisstopo.pixelkarte-grau&amp;layers=ch.bafu.bundesinventare-vogelreservate" display="CH-weit" r:id="rId33"/>
    <hyperlink xmlns:r="http://schemas.openxmlformats.org/officeDocument/2006/relationships" ref="G14" location="/map?lang=de&amp;center=2613308,1263110&amp;z=9&amp;bgLayer=ch.swisstopo.pixelkarte-grau&amp;layers=ch.bafu.bundesinventare-vogelreservate" display="Münchenstein" r:id="rId34"/>
    <hyperlink xmlns:r="http://schemas.openxmlformats.org/officeDocument/2006/relationships" ref="H14" location="/map?lang=de&amp;center=2721138,1258009&amp;z=9&amp;bgLayer=ch.swisstopo.pixelkarte-grau&amp;layers=ch.bafu.bundesinventare-vogelreservate" display="Wil" r:id="rId35"/>
    <hyperlink xmlns:r="http://schemas.openxmlformats.org/officeDocument/2006/relationships" ref="I14" location="/map?lang=de&amp;center=2687333,1203124&amp;z=9&amp;bgLayer=ch.swisstopo.pixelkarte-grau&amp;layers=ch.bafu.bundesinventare-vogelreservate" display="Seelisberg" r:id="rId36"/>
    <hyperlink xmlns:r="http://schemas.openxmlformats.org/officeDocument/2006/relationships" ref="F15" location="/map?lang=de&amp;center=2660000,1190000&amp;z=1&amp;bgLayer=ch.swisstopo.pixelkarte-grau&amp;layers=ch.bafu.fauna-wildtierkorridor_national" display="CH-weit" r:id="rId37"/>
    <hyperlink xmlns:r="http://schemas.openxmlformats.org/officeDocument/2006/relationships" ref="G15" location="/map?lang=de&amp;center=2613308,1263110&amp;z=9&amp;bgLayer=ch.swisstopo.pixelkarte-grau&amp;layers=ch.bafu.fauna-wildtierkorridor_national" display="Münchenstein" r:id="rId38"/>
    <hyperlink xmlns:r="http://schemas.openxmlformats.org/officeDocument/2006/relationships" ref="H15" location="/map?lang=de&amp;center=2721138,1258009&amp;z=9&amp;bgLayer=ch.swisstopo.pixelkarte-grau&amp;layers=ch.bafu.fauna-wildtierkorridor_national" display="Wil" r:id="rId39"/>
    <hyperlink xmlns:r="http://schemas.openxmlformats.org/officeDocument/2006/relationships" ref="I15" location="/map?lang=de&amp;center=2687333,1203124&amp;z=9&amp;bgLayer=ch.swisstopo.pixelkarte-grau&amp;layers=ch.bafu.fauna-wildtierkorridor_national" display="Seelisberg" r:id="rId40"/>
    <hyperlink xmlns:r="http://schemas.openxmlformats.org/officeDocument/2006/relationships" ref="F16" location="/map?lang=de&amp;center=2660000,1190000&amp;z=1&amp;bgLayer=ch.swisstopo.pixelkarte-grau&amp;layers=ch.bafu.waldreservate" display="CH-weit" r:id="rId41"/>
    <hyperlink xmlns:r="http://schemas.openxmlformats.org/officeDocument/2006/relationships" ref="G16" location="/map?lang=de&amp;center=2613308,1263110&amp;z=9&amp;bgLayer=ch.swisstopo.pixelkarte-grau&amp;layers=ch.bafu.waldreservate" display="Münchenstein" r:id="rId42"/>
    <hyperlink xmlns:r="http://schemas.openxmlformats.org/officeDocument/2006/relationships" ref="H16" location="/map?lang=de&amp;center=2721138,1258009&amp;z=9&amp;bgLayer=ch.swisstopo.pixelkarte-grau&amp;layers=ch.bafu.waldreservate" display="Wil" r:id="rId43"/>
    <hyperlink xmlns:r="http://schemas.openxmlformats.org/officeDocument/2006/relationships" ref="I16" location="/map?lang=de&amp;center=2687333,1203124&amp;z=9&amp;bgLayer=ch.swisstopo.pixelkarte-grau&amp;layers=ch.bafu.waldreservate" display="Seelisberg" r:id="rId44"/>
    <hyperlink xmlns:r="http://schemas.openxmlformats.org/officeDocument/2006/relationships" ref="F17" location="/map?lang=de&amp;center=2660000,1190000&amp;z=1&amp;bgLayer=ch.swisstopo.pixelkarte-grau" display="CH-weit" r:id="rId45"/>
    <hyperlink xmlns:r="http://schemas.openxmlformats.org/officeDocument/2006/relationships" ref="G17" location="/map?lang=de&amp;center=2613308,1263110&amp;z=9&amp;bgLayer=ch.swisstopo.pixelkarte-grau" display="Münchenstein" r:id="rId46"/>
    <hyperlink xmlns:r="http://schemas.openxmlformats.org/officeDocument/2006/relationships" ref="H17" location="/map?lang=de&amp;center=2721138,1258009&amp;z=9&amp;bgLayer=ch.swisstopo.pixelkarte-grau" display="Wil" r:id="rId47"/>
    <hyperlink xmlns:r="http://schemas.openxmlformats.org/officeDocument/2006/relationships" ref="I17" location="/map?lang=de&amp;center=2687333,1203124&amp;z=9&amp;bgLayer=ch.swisstopo.pixelkarte-grau" display="Seelisberg" r:id="rId48"/>
    <hyperlink xmlns:r="http://schemas.openxmlformats.org/officeDocument/2006/relationships" ref="F18" location="/map?lang=de&amp;center=2660000,1190000&amp;z=1&amp;bgLayer=ch.swisstopo.pixelkarte-grau&amp;layers=ch.are.bauzonen" display="CH-weit" r:id="rId49"/>
    <hyperlink xmlns:r="http://schemas.openxmlformats.org/officeDocument/2006/relationships" ref="G18" location="/map?lang=de&amp;center=2613308,1263110&amp;z=9&amp;bgLayer=ch.swisstopo.pixelkarte-grau&amp;layers=ch.are.bauzonen" display="Münchenstein" r:id="rId50"/>
    <hyperlink xmlns:r="http://schemas.openxmlformats.org/officeDocument/2006/relationships" ref="H18" location="/map?lang=de&amp;center=2721138,1258009&amp;z=9&amp;bgLayer=ch.swisstopo.pixelkarte-grau&amp;layers=ch.are.bauzonen" display="Wil" r:id="rId51"/>
    <hyperlink xmlns:r="http://schemas.openxmlformats.org/officeDocument/2006/relationships" ref="I18" location="/map?lang=de&amp;center=2687333,1203124&amp;z=9&amp;bgLayer=ch.swisstopo.pixelkarte-grau&amp;layers=ch.are.bauzonen" display="Seelisberg" r:id="rId52"/>
    <hyperlink xmlns:r="http://schemas.openxmlformats.org/officeDocument/2006/relationships" ref="F19" location="/map?lang=de&amp;center=2660000,1190000&amp;z=1&amp;bgLayer=ch.swisstopo.pixelkarte-grau&amp;layers=ch.bfe.solarenergie-eignung-daecher" display="CH-weit" r:id="rId53"/>
    <hyperlink xmlns:r="http://schemas.openxmlformats.org/officeDocument/2006/relationships" ref="G19" location="/map?lang=de&amp;center=2613308,1263110&amp;z=9&amp;bgLayer=ch.swisstopo.pixelkarte-grau&amp;layers=ch.bfe.solarenergie-eignung-daecher" display="Münchenstein" r:id="rId54"/>
    <hyperlink xmlns:r="http://schemas.openxmlformats.org/officeDocument/2006/relationships" ref="H19" location="/map?lang=de&amp;center=2721138,1258009&amp;z=9&amp;bgLayer=ch.swisstopo.pixelkarte-grau&amp;layers=ch.bfe.solarenergie-eignung-daecher" display="Wil" r:id="rId55"/>
    <hyperlink xmlns:r="http://schemas.openxmlformats.org/officeDocument/2006/relationships" ref="I19" location="/map?lang=de&amp;center=2687333,1203124&amp;z=9&amp;bgLayer=ch.swisstopo.pixelkarte-grau&amp;layers=ch.bfe.solarenergie-eignung-daecher" display="Seelisberg" r:id="rId56"/>
    <hyperlink xmlns:r="http://schemas.openxmlformats.org/officeDocument/2006/relationships" ref="F20" location="/map?lang=de&amp;center=2660000,1190000&amp;z=1&amp;bgLayer=ch.swisstopo.pixelkarte-grau&amp;layers=ch.bfe.solarenergie-eignung-fassaden" display="CH-weit" r:id="rId57"/>
    <hyperlink xmlns:r="http://schemas.openxmlformats.org/officeDocument/2006/relationships" ref="G20" location="/map?lang=de&amp;center=2613308,1263110&amp;z=9&amp;bgLayer=ch.swisstopo.pixelkarte-grau&amp;layers=ch.bfe.solarenergie-eignung-fassaden" display="Münchenstein" r:id="rId58"/>
    <hyperlink xmlns:r="http://schemas.openxmlformats.org/officeDocument/2006/relationships" ref="H20" location="/map?lang=de&amp;center=2721138,1258009&amp;z=9&amp;bgLayer=ch.swisstopo.pixelkarte-grau&amp;layers=ch.bfe.solarenergie-eignung-fassaden" display="Wil" r:id="rId59"/>
    <hyperlink xmlns:r="http://schemas.openxmlformats.org/officeDocument/2006/relationships" ref="I20" location="/map?lang=de&amp;center=2687333,1203124&amp;z=9&amp;bgLayer=ch.swisstopo.pixelkarte-grau&amp;layers=ch.bfe.solarenergie-eignung-fassaden" display="Seelisberg" r:id="rId60"/>
    <hyperlink xmlns:r="http://schemas.openxmlformats.org/officeDocument/2006/relationships" ref="F21" location="/map?lang=de&amp;center=2660000,1190000&amp;z=1&amp;bgLayer=ch.swisstopo.pixelkarte-grau&amp;layers=ch.bfs.gebaeude_wohnungs_register" display="CH-weit" r:id="rId61"/>
    <hyperlink xmlns:r="http://schemas.openxmlformats.org/officeDocument/2006/relationships" ref="G21" location="/map?lang=de&amp;center=2613308,1263110&amp;z=9&amp;bgLayer=ch.swisstopo.pixelkarte-grau&amp;layers=ch.bfs.gebaeude_wohnungs_register" display="Münchenstein" r:id="rId62"/>
    <hyperlink xmlns:r="http://schemas.openxmlformats.org/officeDocument/2006/relationships" ref="H21" location="/map?lang=de&amp;center=2721138,1258009&amp;z=9&amp;bgLayer=ch.swisstopo.pixelkarte-grau&amp;layers=ch.bfs.gebaeude_wohnungs_register" display="Wil" r:id="rId63"/>
    <hyperlink xmlns:r="http://schemas.openxmlformats.org/officeDocument/2006/relationships" ref="I21" location="/map?lang=de&amp;center=2687333,1203124&amp;z=9&amp;bgLayer=ch.swisstopo.pixelkarte-grau&amp;layers=ch.bfs.gebaeude_wohnungs_register" display="Seelisberg" r:id="rId64"/>
    <hyperlink xmlns:r="http://schemas.openxmlformats.org/officeDocument/2006/relationships" ref="F22" location="/map?lang=de&amp;center=2660000,1190000&amp;z=1&amp;bgLayer=ch.swisstopo.pixelkarte-grau&amp;layers=ch.bfe.thermische-netze" display="CH-weit" r:id="rId65"/>
    <hyperlink xmlns:r="http://schemas.openxmlformats.org/officeDocument/2006/relationships" ref="G22" location="/map?lang=de&amp;center=2613308,1263110&amp;z=9&amp;bgLayer=ch.swisstopo.pixelkarte-grau&amp;layers=ch.bfe.thermische-netze" display="Münchenstein" r:id="rId66"/>
    <hyperlink xmlns:r="http://schemas.openxmlformats.org/officeDocument/2006/relationships" ref="H22" location="/map?lang=de&amp;center=2721138,1258009&amp;z=9&amp;bgLayer=ch.swisstopo.pixelkarte-grau&amp;layers=ch.bfe.thermische-netze" display="Wil" r:id="rId67"/>
    <hyperlink xmlns:r="http://schemas.openxmlformats.org/officeDocument/2006/relationships" ref="I22" location="/map?lang=de&amp;center=2687333,1203124&amp;z=9&amp;bgLayer=ch.swisstopo.pixelkarte-grau&amp;layers=ch.bfe.thermische-netze" display="Seelisberg" r:id="rId68"/>
    <hyperlink xmlns:r="http://schemas.openxmlformats.org/officeDocument/2006/relationships" ref="F23" location="/map?lang=de&amp;center=2660000,1190000&amp;z=1&amp;bgLayer=ch.swisstopo.pixelkarte-grau&amp;layers=ch.are.gueteklassen_oev" display="CH-weit" r:id="rId69"/>
    <hyperlink xmlns:r="http://schemas.openxmlformats.org/officeDocument/2006/relationships" ref="G23" location="/map?lang=de&amp;center=2613308,1263110&amp;z=9&amp;bgLayer=ch.swisstopo.pixelkarte-grau&amp;layers=ch.are.gueteklassen_oev" display="Münchenstein" r:id="rId70"/>
    <hyperlink xmlns:r="http://schemas.openxmlformats.org/officeDocument/2006/relationships" ref="H23" location="/map?lang=de&amp;center=2721138,1258009&amp;z=9&amp;bgLayer=ch.swisstopo.pixelkarte-grau&amp;layers=ch.are.gueteklassen_oev" display="Wil" r:id="rId71"/>
    <hyperlink xmlns:r="http://schemas.openxmlformats.org/officeDocument/2006/relationships" ref="I23" location="/map?lang=de&amp;center=2687333,1203124&amp;z=9&amp;bgLayer=ch.swisstopo.pixelkarte-grau&amp;layers=ch.are.gueteklassen_oev" display="Seelisberg" r:id="rId72"/>
    <hyperlink xmlns:r="http://schemas.openxmlformats.org/officeDocument/2006/relationships" ref="F24" location="/map?lang=de&amp;center=2660000,1190000&amp;z=1&amp;bgLayer=ch.swisstopo.pixelkarte-grau" display="CH-weit" r:id="rId73"/>
    <hyperlink xmlns:r="http://schemas.openxmlformats.org/officeDocument/2006/relationships" ref="G24" location="/map?lang=de&amp;center=2613308,1263110&amp;z=9&amp;bgLayer=ch.swisstopo.pixelkarte-grau" display="Münchenstein" r:id="rId74"/>
    <hyperlink xmlns:r="http://schemas.openxmlformats.org/officeDocument/2006/relationships" ref="H24" location="/map?lang=de&amp;center=2721138,1258009&amp;z=9&amp;bgLayer=ch.swisstopo.pixelkarte-grau" display="Wil" r:id="rId75"/>
    <hyperlink xmlns:r="http://schemas.openxmlformats.org/officeDocument/2006/relationships" ref="I24" location="/map?lang=de&amp;center=2687333,1203124&amp;z=9&amp;bgLayer=ch.swisstopo.pixelkarte-grau" display="Seelisberg" r:id="rId76"/>
    <hyperlink xmlns:r="http://schemas.openxmlformats.org/officeDocument/2006/relationships" ref="F25" location="/map?lang=de&amp;center=2660000,1190000&amp;z=1&amp;bgLayer=ch.swisstopo.pixelkarte-grau&amp;layers=ch.bafu.gefaehrdungskarte-oberflaechenabfluss" display="CH-weit" r:id="rId77"/>
    <hyperlink xmlns:r="http://schemas.openxmlformats.org/officeDocument/2006/relationships" ref="G25" location="/map?lang=de&amp;center=2613308,1263110&amp;z=9&amp;bgLayer=ch.swisstopo.pixelkarte-grau&amp;layers=ch.bafu.gefaehrdungskarte-oberflaechenabfluss" display="Münchenstein" r:id="rId78"/>
    <hyperlink xmlns:r="http://schemas.openxmlformats.org/officeDocument/2006/relationships" ref="H25" location="/map?lang=de&amp;center=2721138,1258009&amp;z=9&amp;bgLayer=ch.swisstopo.pixelkarte-grau&amp;layers=ch.bafu.gefaehrdungskarte-oberflaechenabfluss" display="Wil" r:id="rId79"/>
    <hyperlink xmlns:r="http://schemas.openxmlformats.org/officeDocument/2006/relationships" ref="I25" location="/map?lang=de&amp;center=2687333,1203124&amp;z=9&amp;bgLayer=ch.swisstopo.pixelkarte-grau&amp;layers=ch.bafu.gefaehrdungskarte-oberflaechenabfluss" display="Seelisberg" r:id="rId80"/>
    <hyperlink xmlns:r="http://schemas.openxmlformats.org/officeDocument/2006/relationships" ref="F26" location="/map?lang=de&amp;center=2660000,1190000&amp;z=1&amp;bgLayer=ch.swisstopo.pixelkarte-grau&amp;layers=ch.bafu.gefahren-baugrundklassen" display="CH-weit" r:id="rId81"/>
    <hyperlink xmlns:r="http://schemas.openxmlformats.org/officeDocument/2006/relationships" ref="G26" location="/map?lang=de&amp;center=2613308,1263110&amp;z=9&amp;bgLayer=ch.swisstopo.pixelkarte-grau&amp;layers=ch.bafu.gefahren-baugrundklassen" display="Münchenstein" r:id="rId82"/>
    <hyperlink xmlns:r="http://schemas.openxmlformats.org/officeDocument/2006/relationships" ref="H26" location="/map?lang=de&amp;center=2721138,1258009&amp;z=9&amp;bgLayer=ch.swisstopo.pixelkarte-grau&amp;layers=ch.bafu.gefahren-baugrundklassen" display="Wil" r:id="rId83"/>
    <hyperlink xmlns:r="http://schemas.openxmlformats.org/officeDocument/2006/relationships" ref="I26" location="/map?lang=de&amp;center=2687333,1203124&amp;z=9&amp;bgLayer=ch.swisstopo.pixelkarte-grau&amp;layers=ch.bafu.gefahren-baugrundklassen" display="Seelisberg" r:id="rId84"/>
    <hyperlink xmlns:r="http://schemas.openxmlformats.org/officeDocument/2006/relationships" ref="F27" location="/map?lang=de&amp;center=2660000,1190000&amp;z=1&amp;bgLayer=ch.swisstopo.pixelkarte-grau&amp;layers=ch.bafu.laerm-strassenlaerm_tag" display="CH-weit" r:id="rId85"/>
    <hyperlink xmlns:r="http://schemas.openxmlformats.org/officeDocument/2006/relationships" ref="G27" location="/map?lang=de&amp;center=2613308,1263110&amp;z=9&amp;bgLayer=ch.swisstopo.pixelkarte-grau&amp;layers=ch.bafu.laerm-strassenlaerm_tag" display="Münchenstein" r:id="rId86"/>
    <hyperlink xmlns:r="http://schemas.openxmlformats.org/officeDocument/2006/relationships" ref="H27" location="/map?lang=de&amp;center=2721138,1258009&amp;z=9&amp;bgLayer=ch.swisstopo.pixelkarte-grau&amp;layers=ch.bafu.laerm-strassenlaerm_tag" display="Wil" r:id="rId87"/>
    <hyperlink xmlns:r="http://schemas.openxmlformats.org/officeDocument/2006/relationships" ref="I27" location="/map?lang=de&amp;center=2687333,1203124&amp;z=9&amp;bgLayer=ch.swisstopo.pixelkarte-grau&amp;layers=ch.bafu.laerm-strassenlaerm_tag" display="Seelisberg" r:id="rId88"/>
    <hyperlink xmlns:r="http://schemas.openxmlformats.org/officeDocument/2006/relationships" ref="F28" location="/map?lang=de&amp;center=2660000,1190000&amp;z=1&amp;bgLayer=ch.swisstopo.pixelkarte-grau&amp;layers=ch.bafu.laerm-bahnlaerm_tag" display="CH-weit" r:id="rId89"/>
    <hyperlink xmlns:r="http://schemas.openxmlformats.org/officeDocument/2006/relationships" ref="G28" location="/map?lang=de&amp;center=2613308,1263110&amp;z=9&amp;bgLayer=ch.swisstopo.pixelkarte-grau&amp;layers=ch.bafu.laerm-bahnlaerm_tag" display="Münchenstein" r:id="rId90"/>
    <hyperlink xmlns:r="http://schemas.openxmlformats.org/officeDocument/2006/relationships" ref="H28" location="/map?lang=de&amp;center=2721138,1258009&amp;z=9&amp;bgLayer=ch.swisstopo.pixelkarte-grau&amp;layers=ch.bafu.laerm-bahnlaerm_tag" display="Wil" r:id="rId91"/>
    <hyperlink xmlns:r="http://schemas.openxmlformats.org/officeDocument/2006/relationships" ref="I28" location="/map?lang=de&amp;center=2687333,1203124&amp;z=9&amp;bgLayer=ch.swisstopo.pixelkarte-grau&amp;layers=ch.bafu.laerm-bahnlaerm_tag" display="Seelisberg" r:id="rId92"/>
    <hyperlink xmlns:r="http://schemas.openxmlformats.org/officeDocument/2006/relationships" ref="F29" location="/map?lang=de&amp;center=2660000,1190000&amp;z=1&amp;bgLayer=ch.swisstopo.pixelkarte-grau" display="CH-weit" r:id="rId93"/>
    <hyperlink xmlns:r="http://schemas.openxmlformats.org/officeDocument/2006/relationships" ref="G29" location="/map?lang=de&amp;center=2613308,1263110&amp;z=9&amp;bgLayer=ch.swisstopo.pixelkarte-grau" display="Münchenstein" r:id="rId94"/>
    <hyperlink xmlns:r="http://schemas.openxmlformats.org/officeDocument/2006/relationships" ref="H29" location="/map?lang=de&amp;center=2721138,1258009&amp;z=9&amp;bgLayer=ch.swisstopo.pixelkarte-grau" display="Wil" r:id="rId95"/>
    <hyperlink xmlns:r="http://schemas.openxmlformats.org/officeDocument/2006/relationships" ref="I29" location="/map?lang=de&amp;center=2687333,1203124&amp;z=9&amp;bgLayer=ch.swisstopo.pixelkarte-grau" display="Seelisberg" r:id="rId96"/>
    <hyperlink xmlns:r="http://schemas.openxmlformats.org/officeDocument/2006/relationships" ref="F30" location="/map?lang=de&amp;center=2660000,1190000&amp;z=1&amp;bgLayer=ch.swisstopo.pixelkarte-grau&amp;layers=ch.bav.lage-stoerfallverordnung_eisenbahnanlagen" display="CH-weit" r:id="rId97"/>
    <hyperlink xmlns:r="http://schemas.openxmlformats.org/officeDocument/2006/relationships" ref="G30" location="/map?lang=de&amp;center=2613308,1263110&amp;z=9&amp;bgLayer=ch.swisstopo.pixelkarte-grau&amp;layers=ch.bav.lage-stoerfallverordnung_eisenbahnanlagen" display="Münchenstein" r:id="rId98"/>
    <hyperlink xmlns:r="http://schemas.openxmlformats.org/officeDocument/2006/relationships" ref="H30" location="/map?lang=de&amp;center=2721138,1258009&amp;z=9&amp;bgLayer=ch.swisstopo.pixelkarte-grau&amp;layers=ch.bav.lage-stoerfallverordnung_eisenbahnanlagen" display="Wil" r:id="rId99"/>
    <hyperlink xmlns:r="http://schemas.openxmlformats.org/officeDocument/2006/relationships" ref="I30" location="/map?lang=de&amp;center=2687333,1203124&amp;z=9&amp;bgLayer=ch.swisstopo.pixelkarte-grau&amp;layers=ch.bav.lage-stoerfallverordnung_eisenbahnanlagen" display="Seelisberg" r:id="rId100"/>
    <hyperlink xmlns:r="http://schemas.openxmlformats.org/officeDocument/2006/relationships" ref="F31" location="/map?lang=de&amp;center=2660000,1190000&amp;z=1&amp;bgLayer=ch.swisstopo.pixelkarte-grau&amp;layers=ch.bak.bundesinventar-schuetzenswerte-ortsbilder" display="CH-weit" r:id="rId101"/>
    <hyperlink xmlns:r="http://schemas.openxmlformats.org/officeDocument/2006/relationships" ref="G31" location="/map?lang=de&amp;center=2613308,1263110&amp;z=9&amp;bgLayer=ch.swisstopo.pixelkarte-grau&amp;layers=ch.bak.bundesinventar-schuetzenswerte-ortsbilder" display="Münchenstein" r:id="rId102"/>
    <hyperlink xmlns:r="http://schemas.openxmlformats.org/officeDocument/2006/relationships" ref="H31" location="/map?lang=de&amp;center=2721138,1258009&amp;z=9&amp;bgLayer=ch.swisstopo.pixelkarte-grau&amp;layers=ch.bak.bundesinventar-schuetzenswerte-ortsbilder" display="Wil" r:id="rId103"/>
    <hyperlink xmlns:r="http://schemas.openxmlformats.org/officeDocument/2006/relationships" ref="I31" location="/map?lang=de&amp;center=2687333,1203124&amp;z=9&amp;bgLayer=ch.swisstopo.pixelkarte-grau&amp;layers=ch.bak.bundesinventar-schuetzenswerte-ortsbilder" display="Seelisberg" r:id="rId104"/>
    <hyperlink xmlns:r="http://schemas.openxmlformats.org/officeDocument/2006/relationships" ref="F32" location="/map?lang=de&amp;center=2660000,1190000&amp;z=1&amp;bgLayer=ch.swisstopo.pixelkarte-grau&amp;layers=ch.astra.ivs-nat" display="CH-weit" r:id="rId105"/>
    <hyperlink xmlns:r="http://schemas.openxmlformats.org/officeDocument/2006/relationships" ref="G32" location="/map?lang=de&amp;center=2613308,1263110&amp;z=9&amp;bgLayer=ch.swisstopo.pixelkarte-grau&amp;layers=ch.astra.ivs-nat" display="Münchenstein" r:id="rId106"/>
    <hyperlink xmlns:r="http://schemas.openxmlformats.org/officeDocument/2006/relationships" ref="H32" location="/map?lang=de&amp;center=2721138,1258009&amp;z=9&amp;bgLayer=ch.swisstopo.pixelkarte-grau&amp;layers=ch.astra.ivs-nat" display="Wil" r:id="rId107"/>
    <hyperlink xmlns:r="http://schemas.openxmlformats.org/officeDocument/2006/relationships" ref="I32" location="/map?lang=de&amp;center=2687333,1203124&amp;z=9&amp;bgLayer=ch.swisstopo.pixelkarte-grau&amp;layers=ch.astra.ivs-nat" display="Seelisberg" r:id="rId108"/>
    <hyperlink xmlns:r="http://schemas.openxmlformats.org/officeDocument/2006/relationships" ref="F33" location="/map?lang=de&amp;center=2660000,1190000&amp;z=1&amp;bgLayer=ch.swisstopo.pixelkarte-grau&amp;layers=ch.babs.kulturgueter" display="CH-weit" r:id="rId109"/>
    <hyperlink xmlns:r="http://schemas.openxmlformats.org/officeDocument/2006/relationships" ref="G33" location="/map?lang=de&amp;center=2613308,1263110&amp;z=9&amp;bgLayer=ch.swisstopo.pixelkarte-grau&amp;layers=ch.babs.kulturgueter" display="Münchenstein" r:id="rId110"/>
    <hyperlink xmlns:r="http://schemas.openxmlformats.org/officeDocument/2006/relationships" ref="H33" location="/map?lang=de&amp;center=2721138,1258009&amp;z=9&amp;bgLayer=ch.swisstopo.pixelkarte-grau&amp;layers=ch.babs.kulturgueter" display="Wil" r:id="rId111"/>
    <hyperlink xmlns:r="http://schemas.openxmlformats.org/officeDocument/2006/relationships" ref="I33" location="/map?lang=de&amp;center=2687333,1203124&amp;z=9&amp;bgLayer=ch.swisstopo.pixelkarte-grau&amp;layers=ch.babs.kulturgueter" display="Seelisberg" r:id="rId112"/>
    <hyperlink xmlns:r="http://schemas.openxmlformats.org/officeDocument/2006/relationships" ref="G35" display="Münchenstein" r:id="rId113"/>
    <hyperlink xmlns:r="http://schemas.openxmlformats.org/officeDocument/2006/relationships" ref="G36" display="Münchenstein" r:id="rId114"/>
    <hyperlink xmlns:r="http://schemas.openxmlformats.org/officeDocument/2006/relationships" ref="G37" display="Münchenstein" r:id="rId115"/>
    <hyperlink xmlns:r="http://schemas.openxmlformats.org/officeDocument/2006/relationships" ref="G38" display="Münchenstein" r:id="rId116"/>
    <hyperlink xmlns:r="http://schemas.openxmlformats.org/officeDocument/2006/relationships" ref="G39" display="Münchenstein" r:id="rId117"/>
    <hyperlink xmlns:r="http://schemas.openxmlformats.org/officeDocument/2006/relationships" ref="H40" display="Wil" r:id="rId118"/>
    <hyperlink xmlns:r="http://schemas.openxmlformats.org/officeDocument/2006/relationships" ref="H41" display="Wil" r:id="rId119"/>
    <hyperlink xmlns:r="http://schemas.openxmlformats.org/officeDocument/2006/relationships" ref="H42" display="Wil" r:id="rId120"/>
    <hyperlink xmlns:r="http://schemas.openxmlformats.org/officeDocument/2006/relationships" ref="I43" display="Seelisberg" r:id="rId12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4" min="1" max="1"/>
    <col width="9" customWidth="1" style="44" min="2" max="2"/>
    <col width="20" customWidth="1" style="44" min="3" max="3"/>
    <col width="62" customWidth="1" style="44" min="4" max="4"/>
    <col width="46" customWidth="1" style="44" min="5" max="5"/>
    <col width="14" customWidth="1" style="44" min="6" max="6"/>
    <col width="70" customWidth="1" style="44" min="7" max="7"/>
  </cols>
  <sheetData>
    <row r="1" ht="17.35" customHeight="1" s="45">
      <c r="A1" s="64" t="inlineStr">
        <is>
          <t>Auffälligkeiten im Q-Grundlagenkataster – Umsetzungsstand</t>
        </is>
      </c>
    </row>
    <row r="3" ht="15" customHeight="1" s="45">
      <c r="A3" s="83" t="inlineStr">
        <is>
          <t>Nr.</t>
        </is>
      </c>
      <c r="B3" s="83" t="inlineStr">
        <is>
          <t>Q</t>
        </is>
      </c>
      <c r="C3" s="83" t="inlineStr">
        <is>
          <t>Gemeinde / Ebene</t>
        </is>
      </c>
      <c r="D3" s="83" t="inlineStr">
        <is>
          <t>Befund</t>
        </is>
      </c>
      <c r="E3" s="83" t="inlineStr">
        <is>
          <t>Massnahme</t>
        </is>
      </c>
      <c r="F3" s="83" t="inlineStr">
        <is>
          <t>Stand</t>
        </is>
      </c>
      <c r="G3" s="83" t="inlineStr">
        <is>
          <t>Ergebnis / Rest</t>
        </is>
      </c>
    </row>
    <row r="4" ht="32.8" customHeight="1" s="45">
      <c r="A4" s="84" t="n">
        <v>1</v>
      </c>
      <c r="B4" s="84" t="inlineStr">
        <is>
          <t>Q6</t>
        </is>
      </c>
      <c r="C4" s="84" t="inlineStr">
        <is>
          <t>Bund / alle</t>
        </is>
      </c>
      <c r="D4" s="84" t="inlineStr">
        <is>
          <t>IVöB: Katalog nennt «Inkrafttreten 15.03.2001» (alte IVöB).</t>
        </is>
      </c>
      <c r="E4" s="84" t="inlineStr">
        <is>
          <t>IVöB 2019 verifizieren, Beitritt je Kanton ermitteln</t>
        </is>
      </c>
      <c r="F4" s="85" t="inlineStr">
        <is>
          <t>teilweise</t>
        </is>
      </c>
      <c r="G4" s="84" t="inlineStr">
        <is>
          <t>Link auf IVöB 2019 (BPUK) ersetzt. SG: Beitritt 01.06.2023 belegt (EGöB sGS 841.1, VöB sGS 841.11). UR: Landrat 15.06.2022, Inkrafttreten 01.06.2023, Submissionsverordnung RB 3.3112 aufgehoben. BL: Beitrittsdatum nicht verifiziert.</t>
        </is>
      </c>
    </row>
    <row r="5" ht="22.35" customHeight="1" s="45">
      <c r="A5" s="84" t="n">
        <v>2</v>
      </c>
      <c r="B5" s="84" t="inlineStr">
        <is>
          <t>Q1–Q6</t>
        </is>
      </c>
      <c r="C5" s="84" t="inlineStr">
        <is>
          <t>Bund / alle</t>
        </is>
      </c>
      <c r="D5" s="84" t="inlineStr">
        <is>
          <t>Stände der Bundesgesetze je Gemeinde uneinheitlich.</t>
        </is>
      </c>
      <c r="E5" s="84" t="inlineStr">
        <is>
          <t>Auf konsolidierte Fassung vereinheitlichen</t>
        </is>
      </c>
      <c r="F5" s="86" t="inlineStr">
        <is>
          <t>erledigt</t>
        </is>
      </c>
      <c r="G5" s="84" t="inlineStr">
        <is>
          <t>Spalte «Stand» = «konsolidierte Fassung (Fedlex)»; Katalogstände im Prüfhinweis erhalten. Einzelstände nur dort, wo verifiziert (ZWG 01.10.2024, GSchV 01.08.2025).</t>
        </is>
      </c>
    </row>
    <row r="6" ht="22.35" customHeight="1" s="45">
      <c r="A6" s="84" t="n">
        <v>3</v>
      </c>
      <c r="B6" s="84" t="inlineStr">
        <is>
          <t>Q1/Q2/Q3/Q5</t>
        </is>
      </c>
      <c r="C6" s="84" t="inlineStr">
        <is>
          <t>Münchenstein, Wil</t>
        </is>
      </c>
      <c r="D6" s="84" t="inlineStr">
        <is>
          <t>Mehrere Katalogzeilen verweisen auf dasselbe Dokument.</t>
        </is>
      </c>
      <c r="E6" s="84" t="inlineStr">
        <is>
          <t>–</t>
        </is>
      </c>
      <c r="F6" s="86" t="inlineStr">
        <is>
          <t>erledigt</t>
        </is>
      </c>
      <c r="G6" s="84" t="inlineStr">
        <is>
          <t>Kein Mangel: ein Dokument deckt mehrere Q-Dimensionen ab (Hinweis des Teams). Zeilen bleiben bestehen; Artikel-/Kapitelfundstellen je Q wären eine spätere Verfeinerung.</t>
        </is>
      </c>
    </row>
    <row r="7" ht="32.8" customHeight="1" s="45">
      <c r="A7" s="84" t="n">
        <v>4</v>
      </c>
      <c r="B7" s="84" t="inlineStr">
        <is>
          <t>Q2/Q5</t>
        </is>
      </c>
      <c r="C7" s="84" t="inlineStr">
        <is>
          <t>Wil</t>
        </is>
      </c>
      <c r="D7" s="84" t="inlineStr">
        <is>
          <t>Zuständigkeit «Gemeinde Wil + St. Gallen» beim Reglement zur Schutzverordnung unklar.</t>
        </is>
      </c>
      <c r="E7" s="84" t="inlineStr">
        <is>
          <t>Zuständigkeit klären</t>
        </is>
      </c>
      <c r="F7" s="85" t="inlineStr">
        <is>
          <t>teilweise</t>
        </is>
      </c>
      <c r="G7" s="84" t="inlineStr">
        <is>
          <t>Nach SG-Muster erlassen Gemeinden Schutzverordnungen auf Grundlage Art. 98 ff. PBG (sGS 731.1) und Naturschutzverordnung (sGS 671.1); Genehmigung durch Kanton ist wahrscheinlich, für Wil nicht belegt.</t>
        </is>
      </c>
    </row>
    <row r="8" ht="15" customHeight="1" s="45">
      <c r="A8" s="84" t="n">
        <v>5</v>
      </c>
      <c r="B8" s="84" t="inlineStr">
        <is>
          <t>Q5</t>
        </is>
      </c>
      <c r="C8" s="84" t="inlineStr">
        <is>
          <t>Seelisberg</t>
        </is>
      </c>
      <c r="D8" s="84" t="inlineStr">
        <is>
          <t>«Kommunale Schutzverordnung» (18.02.2025) verlinkt auf BZO (2015).</t>
        </is>
      </c>
      <c r="E8" s="84" t="inlineStr">
        <is>
          <t>Separate Schutzverordnung suchen</t>
        </is>
      </c>
      <c r="F8" s="87" t="inlineStr">
        <is>
          <t>offen (Anfrage)</t>
        </is>
      </c>
      <c r="G8" s="84" t="inlineStr">
        <is>
          <t>Websuche ohne Treffer; Anfrage an Gemeinde (Datenanfrage-Liste).</t>
        </is>
      </c>
    </row>
    <row r="9" ht="15" customHeight="1" s="45">
      <c r="A9" s="84" t="n">
        <v>6</v>
      </c>
      <c r="B9" s="84" t="inlineStr">
        <is>
          <t>Q4</t>
        </is>
      </c>
      <c r="C9" s="84" t="inlineStr">
        <is>
          <t>Seelisberg</t>
        </is>
      </c>
      <c r="D9" s="84" t="inlineStr">
        <is>
          <t>Nur Wasserversorgungsverordnung; Entwässerung/Retention/GEP fehlen.</t>
        </is>
      </c>
      <c r="E9" s="84" t="inlineStr">
        <is>
          <t>Abwasserreglement/GEP beschaffen</t>
        </is>
      </c>
      <c r="F9" s="87" t="inlineStr">
        <is>
          <t>offen (Anfrage)</t>
        </is>
      </c>
      <c r="G9" s="84" t="inlineStr">
        <is>
          <t>GEP ist rechtlich vorgesehen (GSchV Art. 5) → Existenz hoch; Anfrage an Gemeinde.</t>
        </is>
      </c>
    </row>
    <row r="10" ht="22.35" customHeight="1" s="45">
      <c r="A10" s="84" t="n">
        <v>7</v>
      </c>
      <c r="B10" s="84" t="inlineStr">
        <is>
          <t>Q4</t>
        </is>
      </c>
      <c r="C10" s="84" t="inlineStr">
        <is>
          <t>Bund</t>
        </is>
      </c>
      <c r="D10" s="84" t="inlineStr">
        <is>
          <t>Gefahrenkarten auf Bundesebene geführt, obwohl kantonal.</t>
        </is>
      </c>
      <c r="E10" s="84" t="inlineStr">
        <is>
          <t>Als Portal/Hinweiskarte kennzeichnen</t>
        </is>
      </c>
      <c r="F10" s="86" t="inlineStr">
        <is>
          <t>erledigt</t>
        </is>
      </c>
      <c r="G10" s="84" t="inlineStr">
        <is>
          <t>Zeile angepasst: Bund = Portal geo.admin.ch (Daten der Kantone); massgebend sind die kantonalen Karten (Blatt 7).</t>
        </is>
      </c>
    </row>
    <row r="11" ht="15" customHeight="1" s="45">
      <c r="A11" s="84" t="n">
        <v>8</v>
      </c>
      <c r="B11" s="84" t="inlineStr">
        <is>
          <t>Q4</t>
        </is>
      </c>
      <c r="C11" s="84" t="inlineStr">
        <is>
          <t>BL</t>
        </is>
      </c>
      <c r="D11" s="84" t="inlineStr">
        <is>
          <t>Naturgefahrenkarte BL mit Stand 28.11.2005.</t>
        </is>
      </c>
      <c r="E11" s="84" t="inlineStr">
        <is>
          <t>Aktualität prüfen</t>
        </is>
      </c>
      <c r="F11" s="85" t="inlineStr">
        <is>
          <t>teilweise</t>
        </is>
      </c>
      <c r="G11" s="84" t="inlineStr">
        <is>
          <t>Aktualität nur im Geoportal BL (Layer-Metadaten) ersichtlich; in Blatt 7 mit Hinweis verlinkt.</t>
        </is>
      </c>
    </row>
    <row r="12" ht="22.35" customHeight="1" s="45">
      <c r="A12" s="84" t="n">
        <v>9</v>
      </c>
      <c r="B12" s="84" t="inlineStr">
        <is>
          <t>Q3</t>
        </is>
      </c>
      <c r="C12" s="84" t="inlineStr">
        <is>
          <t>UR</t>
        </is>
      </c>
      <c r="D12" s="84" t="inlineStr">
        <is>
          <t>Energiegesetz Uri mit Stand 01.01.2000.</t>
        </is>
      </c>
      <c r="E12" s="84" t="inlineStr">
        <is>
          <t>Aktuelle Fassung prüfen</t>
        </is>
      </c>
      <c r="F12" s="85" t="inlineStr">
        <is>
          <t>teilweise</t>
        </is>
      </c>
      <c r="G12" s="84" t="inlineStr">
        <is>
          <t>Link auf Rechtsbuch UR (Katalog) bleibt; Versionsstand nicht abgefragt → beim Öffnen der Fassung im Rechtsbuch bestätigen.</t>
        </is>
      </c>
    </row>
    <row r="13" ht="22.35" customHeight="1" s="45">
      <c r="A13" s="84" t="n">
        <v>10</v>
      </c>
      <c r="B13" s="84" t="inlineStr">
        <is>
          <t>Q2/Q5</t>
        </is>
      </c>
      <c r="C13" s="84" t="inlineStr">
        <is>
          <t>SG</t>
        </is>
      </c>
      <c r="D13" s="84" t="inlineStr">
        <is>
          <t>Keine Kantonsebene für Q2/Q5.</t>
        </is>
      </c>
      <c r="E13" s="84" t="inlineStr">
        <is>
          <t>Kantonale Erlasse und Inventare ergänzen</t>
        </is>
      </c>
      <c r="F13" s="85" t="inlineStr">
        <is>
          <t>teilweise</t>
        </is>
      </c>
      <c r="G13" s="84" t="inlineStr">
        <is>
          <t>Ergänzt: Naturschutzverordnung sGS 671.1, Verordnung Naturkörper/Altertümer sGS 271.51, Geoportal SG. Konkrete Inventar-/Layerliste noch offen (Blatt 2/5, Blatt 7).</t>
        </is>
      </c>
    </row>
    <row r="14" ht="22.35" customHeight="1" s="45">
      <c r="A14" s="84" t="n">
        <v>11</v>
      </c>
      <c r="B14" s="84" t="inlineStr">
        <is>
          <t>Q6</t>
        </is>
      </c>
      <c r="C14" s="84" t="inlineStr">
        <is>
          <t>UR / Gemeinden</t>
        </is>
      </c>
      <c r="D14" s="84" t="inlineStr">
        <is>
          <t>Kantonales Einführungsrecht Uri fehlt; kommunale Reglemente Münchenstein/Seelisberg fehlen.</t>
        </is>
      </c>
      <c r="E14" s="84" t="inlineStr">
        <is>
          <t>Beschaffen</t>
        </is>
      </c>
      <c r="F14" s="85" t="inlineStr">
        <is>
          <t>teilweise</t>
        </is>
      </c>
      <c r="G14" s="84" t="inlineStr">
        <is>
          <t>UR erledigt (Beitrittsbeschluss belegt). Kommunale Reglemente: Anfrage an Gemeinden.</t>
        </is>
      </c>
    </row>
    <row r="15" ht="15" customHeight="1" s="45">
      <c r="A15" s="84" t="n">
        <v>12</v>
      </c>
      <c r="B15" s="84" t="inlineStr">
        <is>
          <t>Q3</t>
        </is>
      </c>
      <c r="C15" s="84" t="inlineStr">
        <is>
          <t>Seelisberg</t>
        </is>
      </c>
      <c r="D15" s="84" t="inlineStr">
        <is>
          <t>Keine Gemeindeebene für Q3.</t>
        </is>
      </c>
      <c r="E15" s="84" t="inlineStr">
        <is>
          <t>Klären</t>
        </is>
      </c>
      <c r="F15" s="87" t="inlineStr">
        <is>
          <t>offen (Anfrage)</t>
        </is>
      </c>
      <c r="G15" s="84" t="inlineStr">
        <is>
          <t>Anfrage an Gemeinde, ob kommunale Energie-/Klimavorgaben bestehen.</t>
        </is>
      </c>
    </row>
    <row r="16" ht="32.8" customHeight="1" s="45">
      <c r="A16" s="84" t="n">
        <v>13</v>
      </c>
      <c r="B16" s="84" t="inlineStr">
        <is>
          <t>Q1</t>
        </is>
      </c>
      <c r="C16" s="84" t="inlineStr">
        <is>
          <t>Seelisberg</t>
        </is>
      </c>
      <c r="D16" s="84" t="inlineStr">
        <is>
          <t>Zweitwohnungsgesetz nicht geführt.</t>
        </is>
      </c>
      <c r="E16" s="84" t="inlineStr">
        <is>
          <t>Zweitwohnungsanteil prüfen</t>
        </is>
      </c>
      <c r="F16" s="86" t="inlineStr">
        <is>
          <t>erledigt</t>
        </is>
      </c>
      <c r="G16" s="84" t="inlineStr">
        <is>
          <t>ZWG + ZWV (Fedlex) ergänzt. Seelisberg ist im Anhang der ZWV (vermuteter Anteil &gt;20 %) aufgeführt; Wil nicht in der SG-Liste. Massgebend: jährliche Feststellung des Bundes (Art. 5 ZWG).</t>
        </is>
      </c>
    </row>
    <row r="17" ht="15" customHeight="1" s="45">
      <c r="A17" s="84" t="n">
        <v>14</v>
      </c>
      <c r="B17" s="84" t="inlineStr">
        <is>
          <t>Q1–Q5</t>
        </is>
      </c>
      <c r="C17" s="84" t="inlineStr">
        <is>
          <t>Alle</t>
        </is>
      </c>
      <c r="D17" s="84" t="inlineStr">
        <is>
          <t>Bundesinventare als «zu prüfen» ergänzt; Betroffenheit unbekannt.</t>
        </is>
      </c>
      <c r="E17" s="84" t="inlineStr">
        <is>
          <t>Layer-Sammlung mit Links</t>
        </is>
      </c>
      <c r="F17" s="86" t="inlineStr">
        <is>
          <t>erledigt</t>
        </is>
      </c>
      <c r="G17" s="84" t="inlineStr">
        <is>
          <t>Blatt 7 mit Layer-Links CH-weit und je Gemeinde; Betroffenheit als Dropdown zum Ausfüllen.</t>
        </is>
      </c>
    </row>
    <row r="18" ht="22.35" customHeight="1" s="45">
      <c r="A18" s="84" t="n">
        <v>15</v>
      </c>
      <c r="B18" s="84" t="inlineStr">
        <is>
          <t>Alle</t>
        </is>
      </c>
      <c r="C18" s="84" t="inlineStr">
        <is>
          <t>Alle</t>
        </is>
      </c>
      <c r="D18" s="84" t="inlineStr">
        <is>
          <t>Status «zu prüfen» und «Lücke» waren unscharf.</t>
        </is>
      </c>
      <c r="E18" s="84" t="inlineStr">
        <is>
          <t>Status-Modell präzisieren</t>
        </is>
      </c>
      <c r="F18" s="86" t="inlineStr">
        <is>
          <t>erledigt</t>
        </is>
      </c>
      <c r="G18" s="84" t="inlineStr">
        <is>
          <t>Neu: belegt / belegt – Betroffenheit offen / keine Regelung (geprüft) / nicht belegt (Recherche offen) / Datenanfrage. Spalte «Offene Prüfung (wer / wie)» ergänzt.</t>
        </is>
      </c>
    </row>
    <row r="19" ht="32.8" customHeight="1" s="45">
      <c r="A19" s="84" t="n">
        <v>16</v>
      </c>
      <c r="B19" s="84" t="inlineStr">
        <is>
          <t>Alle</t>
        </is>
      </c>
      <c r="C19" s="84" t="inlineStr">
        <is>
          <t>Bund</t>
        </is>
      </c>
      <c r="D19" s="84" t="inlineStr">
        <is>
          <t>Links fehlten bei öffentlichen Erlassen.</t>
        </is>
      </c>
      <c r="E19" s="84" t="inlineStr">
        <is>
          <t>Links ergänzen</t>
        </is>
      </c>
      <c r="F19" s="85" t="inlineStr">
        <is>
          <t>teilweise</t>
        </is>
      </c>
      <c r="G19" s="84" t="inlineStr">
        <is>
          <t>Alle Erlasse mit Link. Dokument-URL nicht ermittelt (Einstiegsseite): ZWV, VBLN, VISOS, VIVS, SR 451.31–451.37, WaV, BGF, WBG, WBV, UVPV, AltlV, VVEA, Mantelerlass. BGBM jetzt mit ELI aus sg.ch (Quelle bestätigt).</t>
        </is>
      </c>
    </row>
    <row r="20" ht="43.25" customHeight="1" s="45">
      <c r="A20" s="84" t="n">
        <v>17</v>
      </c>
      <c r="B20" s="84" t="inlineStr">
        <is>
          <t>Q1–Q6</t>
        </is>
      </c>
      <c r="C20" s="84" t="inlineStr">
        <is>
          <t>Bund / UR</t>
        </is>
      </c>
      <c r="D20" s="84" t="inlineStr">
        <is>
          <t>Gesetze und Verordnungen waren teilweise in einer Zeile zusammengefasst.</t>
        </is>
      </c>
      <c r="E20" s="84" t="inlineStr">
        <is>
          <t>Trennen; KGSG entfernen</t>
        </is>
      </c>
      <c r="F20" s="86" t="inlineStr">
        <is>
          <t>erledigt</t>
        </is>
      </c>
      <c r="G20" s="84" t="inlineStr">
        <is>
          <t>Jedes Gesetz und jede Verordnung hat eine eigene Zeile (ZWG/ZWV, NHV/VBLN/VISOS/VIVS, GSchG/GSchV, WaG/WaV, JSG/BGF, EnG/EnV, CO₂-G/V, WBG/WBV, UVPV/AltlV/VVEA; UR: IVöB-Beitritt, Ausnahmengesetz, Submissionsreglement). KGSG auf Vorgabe des Teams entfernt.</t>
        </is>
      </c>
    </row>
    <row r="21" ht="43.25" customHeight="1" s="45">
      <c r="A21" s="84" t="n">
        <v>18</v>
      </c>
      <c r="B21" s="84" t="inlineStr">
        <is>
          <t>Alle</t>
        </is>
      </c>
      <c r="C21" s="84" t="inlineStr">
        <is>
          <t>Alle</t>
        </is>
      </c>
      <c r="D21" s="84" t="inlineStr">
        <is>
          <t>Linktest (14.10.2026): Sandbox ohne Internetzugriff; Abruf nur für Seiten aus der Recherche möglich. Fedlex lädt ohne JavaScript nur eine Hülle, Inhalt/Richtigkeit eines ELI ist so nicht prüfbar.</t>
        </is>
      </c>
      <c r="E21" s="84" t="inlineStr">
        <is>
          <t>Links testen</t>
        </is>
      </c>
      <c r="F21" s="85" t="inlineStr">
        <is>
          <t>teilweise</t>
        </is>
      </c>
      <c r="G21" s="84" t="inlineStr">
        <is>
          <t>Getestet OK: sg.ch Beschaffungs-Grundlagen, ur.ch Schulungsunterlage. Quelle bestätigt (Link von sg.ch): BGBM-ELI, sGS 841.51 / 841.1 / 841.11. Alle übrigen Links «ungetestet»; kein Link als defekt festgestellt. Bitte Klick-Test im Browser (Spalte «Link-Status» filtern auf «ungetestet»).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2026-10-14T11:44:02Z</dcterms:created>
  <dcterms:modified xmlns:dcterms="http://purl.org/dc/terms/" xmlns:xsi="http://www.w3.org/2001/XMLSchema-instance" xsi:type="dcterms:W3CDTF">2026-10-14T12:41:10Z</dcterms:modified>
  <cp:revision>0</cp:revision>
</cp:coreProperties>
</file>