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\\pu1.uktsg.ch\User\Userhomes_P\iaa9495\Desktop\"/>
    </mc:Choice>
  </mc:AlternateContent>
  <xr:revisionPtr revIDLastSave="0" documentId="8_{A70ACC28-1C0B-43EE-9E35-DC424EE2D9EE}" xr6:coauthVersionLast="47" xr6:coauthVersionMax="47" xr10:uidLastSave="{00000000-0000-0000-0000-000000000000}"/>
  <workbookProtection workbookAlgorithmName="SHA-512" workbookHashValue="jpwK+zDBQCNIhg32qlXrUbqe1siHEWfJczlJBAZp+R5odvSZNlq4JBVF5aYfJ7t2qZ7C1C8wa6IeuDUTeBObKg==" workbookSaltValue="fw6sSNSj8qfo5W/K/qEG7w==" workbookSpinCount="100000" lockStructure="1"/>
  <bookViews>
    <workbookView xWindow="28680" yWindow="-120" windowWidth="29040" windowHeight="15720" firstSheet="11" activeTab="11" xr2:uid="{00000000-000D-0000-FFFF-FFFF00000000}"/>
  </bookViews>
  <sheets>
    <sheet name="Anleitung" sheetId="25" state="hidden" r:id="rId1"/>
    <sheet name="Ressourcenausgleich Basis" sheetId="1" state="hidden" r:id="rId2"/>
    <sheet name="SL Weite Basis" sheetId="10" state="hidden" r:id="rId3"/>
    <sheet name="SL Schule Basis" sheetId="9" state="hidden" r:id="rId4"/>
    <sheet name="SL Sozio Basis" sheetId="11" state="hidden" r:id="rId5"/>
    <sheet name="SL Stadt SG Basis" sheetId="8" state="hidden" r:id="rId6"/>
    <sheet name="Total" sheetId="19" state="hidden" r:id="rId7"/>
    <sheet name="Auszahlungen" sheetId="23" state="hidden" r:id="rId8"/>
    <sheet name="Kreditorenbelege" sheetId="20" state="hidden" r:id="rId9"/>
    <sheet name="Kontierungsbelege" sheetId="24" state="hidden" r:id="rId10"/>
    <sheet name="Serienbrief Verfügung" sheetId="26" state="hidden" r:id="rId11"/>
    <sheet name="Finanzausgleichsbeiträge" sheetId="14" r:id="rId12"/>
    <sheet name="Details Ressourcenausgleich" sheetId="13" r:id="rId13"/>
    <sheet name="Details SL Weite" sheetId="15" r:id="rId14"/>
    <sheet name="Details SL Schule" sheetId="17" r:id="rId15"/>
    <sheet name="Details SL Sozio" sheetId="16" r:id="rId16"/>
    <sheet name="Details SL Stadt SG" sheetId="18" r:id="rId17"/>
  </sheets>
  <definedNames>
    <definedName name="_xlnm.Print_Area" localSheetId="7">Auszahlungen!$A$1:$H$84,Auszahlungen!$J$1:$Q$84,Auszahlungen!$S$1:$Z$84,Auszahlungen!$AB$1:$AI$84</definedName>
    <definedName name="_xlnm.Print_Area" localSheetId="9">Kontierungsbelege!$A$1:$E$30,Kontierungsbelege!$G$1:$K$30,Kontierungsbelege!$M$1:$Q$30,Kontierungsbelege!$S$1:$W$30</definedName>
    <definedName name="_xlnm.Print_Area" localSheetId="8">Kreditorenbelege!$A$1:$G$84,Kreditorenbelege!$I$1:$O$84,Kreditorenbelege!$Q$1:$W$84,Kreditorenbelege!$Y$1:$AE$84</definedName>
    <definedName name="_xlnm.Print_Area" localSheetId="6">Total!$A$5:$H$83,Total!#REF!,Total!#REF!,Total!#REF!,Total!#REF!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4" l="1"/>
  <c r="D17" i="14"/>
  <c r="D16" i="14"/>
  <c r="D15" i="14"/>
  <c r="D14" i="14"/>
  <c r="D13" i="14"/>
  <c r="J83" i="19"/>
  <c r="K83" i="19"/>
  <c r="L83" i="19"/>
  <c r="M83" i="19"/>
  <c r="N83" i="19"/>
  <c r="O83" i="19"/>
  <c r="D18" i="14" l="1"/>
  <c r="H17" i="14" l="1"/>
  <c r="H16" i="14"/>
  <c r="H15" i="14"/>
  <c r="H14" i="14"/>
  <c r="H13" i="14"/>
  <c r="G17" i="14"/>
  <c r="G16" i="14"/>
  <c r="G15" i="14"/>
  <c r="G14" i="14"/>
  <c r="G13" i="14"/>
  <c r="F13" i="14"/>
  <c r="F17" i="14"/>
  <c r="F16" i="14"/>
  <c r="F15" i="14"/>
  <c r="F14" i="14"/>
  <c r="G8" i="19"/>
  <c r="BR32" i="1" l="1"/>
  <c r="B19" i="18" l="1"/>
  <c r="C43" i="16" l="1"/>
  <c r="C42" i="16"/>
  <c r="C32" i="16"/>
  <c r="C31" i="16"/>
  <c r="C21" i="16"/>
  <c r="B21" i="16"/>
  <c r="D20" i="9" l="1"/>
  <c r="D33" i="9"/>
  <c r="C41" i="17" l="1"/>
  <c r="C40" i="17"/>
  <c r="C31" i="17"/>
  <c r="C30" i="17"/>
  <c r="BH58" i="1" l="1"/>
  <c r="BH53" i="1"/>
  <c r="BH48" i="1"/>
  <c r="BH39" i="1"/>
  <c r="BH41" i="1" s="1"/>
  <c r="BH32" i="1"/>
  <c r="BH26" i="1"/>
  <c r="BH17" i="1"/>
  <c r="BH19" i="1" l="1"/>
  <c r="F58" i="26"/>
  <c r="BH33" i="9"/>
  <c r="BH20" i="9"/>
  <c r="BH12" i="9"/>
  <c r="BH41" i="9" s="1"/>
  <c r="BH39" i="10"/>
  <c r="BH12" i="10"/>
  <c r="BH29" i="10" s="1"/>
  <c r="BH31" i="10" s="1"/>
  <c r="BH33" i="10" s="1"/>
  <c r="BH31" i="9" l="1"/>
  <c r="BH41" i="10"/>
  <c r="BH46" i="10"/>
  <c r="BH48" i="10" s="1"/>
  <c r="BH50" i="10" s="1"/>
  <c r="BH56" i="10"/>
  <c r="BH20" i="10"/>
  <c r="BH22" i="10" s="1"/>
  <c r="BH24" i="10" s="1"/>
  <c r="AH64" i="23"/>
  <c r="BH58" i="10" l="1"/>
  <c r="BH70" i="10" s="1"/>
  <c r="BH12" i="11"/>
  <c r="BH45" i="11" s="1"/>
  <c r="BH23" i="11" l="1"/>
  <c r="BH34" i="11"/>
  <c r="BH109" i="1"/>
  <c r="BH135" i="1" s="1"/>
  <c r="BH104" i="1"/>
  <c r="BH134" i="1" s="1"/>
  <c r="BH83" i="1"/>
  <c r="BH131" i="1" s="1"/>
  <c r="BH116" i="1"/>
  <c r="BH117" i="1"/>
  <c r="BH119" i="1"/>
  <c r="BH120" i="1"/>
  <c r="BH121" i="1"/>
  <c r="BH90" i="1"/>
  <c r="BH92" i="1" s="1"/>
  <c r="BH77" i="1"/>
  <c r="BH130" i="1" s="1"/>
  <c r="BH99" i="1" l="1"/>
  <c r="BH133" i="1" s="1"/>
  <c r="BH68" i="1"/>
  <c r="BH70" i="1" s="1"/>
  <c r="F3" i="26" l="1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B13" i="18" l="1"/>
  <c r="B14" i="18"/>
  <c r="B16" i="18"/>
  <c r="B17" i="18"/>
  <c r="B11" i="18"/>
  <c r="B16" i="16"/>
  <c r="B18" i="16"/>
  <c r="B20" i="16"/>
  <c r="B23" i="16"/>
  <c r="B24" i="16"/>
  <c r="B26" i="16"/>
  <c r="B29" i="16"/>
  <c r="B31" i="16"/>
  <c r="B32" i="16"/>
  <c r="B34" i="16"/>
  <c r="B35" i="16"/>
  <c r="B37" i="16"/>
  <c r="B40" i="16"/>
  <c r="B42" i="16"/>
  <c r="B43" i="16"/>
  <c r="B45" i="16"/>
  <c r="B46" i="16"/>
  <c r="B48" i="16"/>
  <c r="B51" i="16"/>
  <c r="B53" i="16"/>
  <c r="B54" i="16"/>
  <c r="B55" i="16"/>
  <c r="B57" i="16"/>
  <c r="B11" i="16"/>
  <c r="B15" i="17"/>
  <c r="B16" i="17"/>
  <c r="B18" i="17"/>
  <c r="B19" i="17"/>
  <c r="B20" i="17"/>
  <c r="B21" i="17"/>
  <c r="B23" i="17"/>
  <c r="B26" i="17"/>
  <c r="B28" i="17"/>
  <c r="B30" i="17"/>
  <c r="B31" i="17"/>
  <c r="B32" i="17"/>
  <c r="B33" i="17"/>
  <c r="B34" i="17"/>
  <c r="B36" i="17"/>
  <c r="B38" i="17"/>
  <c r="B40" i="17"/>
  <c r="B41" i="17"/>
  <c r="B42" i="17"/>
  <c r="B44" i="17"/>
  <c r="B46" i="17"/>
  <c r="B48" i="17"/>
  <c r="B50" i="17"/>
  <c r="B52" i="17"/>
  <c r="B53" i="17"/>
  <c r="B56" i="17"/>
  <c r="B58" i="17"/>
  <c r="B59" i="17"/>
  <c r="B61" i="17"/>
  <c r="B63" i="17"/>
  <c r="B65" i="17"/>
  <c r="B11" i="17"/>
  <c r="B16" i="15"/>
  <c r="B18" i="15"/>
  <c r="B20" i="15"/>
  <c r="B21" i="15"/>
  <c r="B22" i="15"/>
  <c r="B23" i="15"/>
  <c r="B25" i="15"/>
  <c r="B27" i="15"/>
  <c r="B29" i="15"/>
  <c r="B30" i="15"/>
  <c r="B31" i="15"/>
  <c r="B32" i="15"/>
  <c r="B34" i="15"/>
  <c r="B36" i="15"/>
  <c r="B38" i="15"/>
  <c r="B39" i="15"/>
  <c r="B40" i="15"/>
  <c r="B42" i="15"/>
  <c r="B44" i="15"/>
  <c r="B46" i="15"/>
  <c r="B47" i="15"/>
  <c r="B48" i="15"/>
  <c r="B49" i="15"/>
  <c r="B51" i="15"/>
  <c r="B53" i="15"/>
  <c r="B55" i="15"/>
  <c r="B57" i="15"/>
  <c r="B59" i="15"/>
  <c r="B61" i="15"/>
  <c r="B63" i="15"/>
  <c r="B65" i="15"/>
  <c r="B66" i="15"/>
  <c r="B69" i="15"/>
  <c r="B71" i="15"/>
  <c r="B73" i="15"/>
  <c r="B75" i="15"/>
  <c r="B11" i="15"/>
  <c r="B144" i="13"/>
  <c r="B145" i="13"/>
  <c r="B148" i="13"/>
  <c r="B150" i="13"/>
  <c r="B152" i="13"/>
  <c r="B113" i="13"/>
  <c r="B115" i="13"/>
  <c r="B116" i="13"/>
  <c r="B117" i="13"/>
  <c r="B118" i="13"/>
  <c r="B119" i="13"/>
  <c r="B120" i="13"/>
  <c r="B121" i="13"/>
  <c r="B122" i="13"/>
  <c r="B123" i="13"/>
  <c r="B125" i="13"/>
  <c r="B127" i="13"/>
  <c r="B129" i="13"/>
  <c r="B130" i="13"/>
  <c r="B131" i="13"/>
  <c r="B132" i="13"/>
  <c r="B133" i="13"/>
  <c r="B134" i="13"/>
  <c r="B135" i="13"/>
  <c r="B136" i="13"/>
  <c r="B137" i="13"/>
  <c r="B139" i="13"/>
  <c r="B141" i="13"/>
  <c r="B97" i="13"/>
  <c r="B98" i="13"/>
  <c r="B99" i="13"/>
  <c r="B100" i="13"/>
  <c r="B102" i="13"/>
  <c r="B103" i="13"/>
  <c r="B104" i="13"/>
  <c r="B105" i="13"/>
  <c r="B107" i="13"/>
  <c r="B108" i="13"/>
  <c r="B109" i="13"/>
  <c r="B110" i="13"/>
  <c r="B84" i="13"/>
  <c r="B64" i="13"/>
  <c r="B65" i="13"/>
  <c r="B67" i="13"/>
  <c r="B68" i="13"/>
  <c r="B69" i="13"/>
  <c r="B71" i="13"/>
  <c r="B73" i="13"/>
  <c r="B75" i="13"/>
  <c r="B76" i="13"/>
  <c r="B77" i="13"/>
  <c r="B78" i="13"/>
  <c r="B80" i="13"/>
  <c r="B81" i="13"/>
  <c r="B82" i="13"/>
  <c r="B83" i="13"/>
  <c r="B86" i="13"/>
  <c r="B87" i="13"/>
  <c r="B89" i="13"/>
  <c r="B90" i="13"/>
  <c r="B91" i="13"/>
  <c r="B93" i="13"/>
  <c r="B95" i="13"/>
  <c r="B46" i="13"/>
  <c r="B47" i="13"/>
  <c r="B48" i="13"/>
  <c r="B49" i="13"/>
  <c r="B51" i="13"/>
  <c r="B52" i="13"/>
  <c r="B53" i="13"/>
  <c r="B54" i="13"/>
  <c r="B56" i="13"/>
  <c r="B57" i="13"/>
  <c r="B58" i="13"/>
  <c r="B59" i="13"/>
  <c r="B62" i="13"/>
  <c r="B24" i="13"/>
  <c r="B25" i="13"/>
  <c r="B26" i="13"/>
  <c r="B27" i="13"/>
  <c r="B29" i="13"/>
  <c r="B30" i="13"/>
  <c r="B31" i="13"/>
  <c r="B32" i="13"/>
  <c r="B33" i="13"/>
  <c r="B35" i="13"/>
  <c r="B36" i="13"/>
  <c r="B38" i="13"/>
  <c r="B39" i="13"/>
  <c r="B40" i="13"/>
  <c r="B42" i="13"/>
  <c r="B44" i="13"/>
  <c r="B13" i="13"/>
  <c r="B14" i="13"/>
  <c r="B16" i="13"/>
  <c r="B17" i="13"/>
  <c r="B18" i="13"/>
  <c r="B20" i="13"/>
  <c r="B22" i="13"/>
  <c r="B11" i="13"/>
  <c r="D12" i="11" l="1"/>
  <c r="D45" i="11" l="1"/>
  <c r="D34" i="11"/>
  <c r="AH66" i="23" l="1"/>
  <c r="AH60" i="23"/>
  <c r="AH52" i="23"/>
  <c r="AH82" i="23"/>
  <c r="AH74" i="23"/>
  <c r="AH48" i="23"/>
  <c r="AH72" i="23"/>
  <c r="AH80" i="23"/>
  <c r="AH76" i="23"/>
  <c r="AH68" i="23"/>
  <c r="AH62" i="23"/>
  <c r="AH58" i="23"/>
  <c r="AH54" i="23"/>
  <c r="AH50" i="23"/>
  <c r="AH46" i="23"/>
  <c r="AH44" i="23"/>
  <c r="AH40" i="23"/>
  <c r="AH38" i="23"/>
  <c r="AH36" i="23"/>
  <c r="AH34" i="23"/>
  <c r="AH32" i="23"/>
  <c r="AH30" i="23"/>
  <c r="AH28" i="23"/>
  <c r="AH24" i="23"/>
  <c r="AH22" i="23"/>
  <c r="AH20" i="23"/>
  <c r="AH18" i="23"/>
  <c r="AH16" i="23"/>
  <c r="AH14" i="23"/>
  <c r="AH12" i="23"/>
  <c r="AH81" i="23"/>
  <c r="AH79" i="23"/>
  <c r="AH77" i="23"/>
  <c r="AH75" i="23"/>
  <c r="AH73" i="23"/>
  <c r="AH71" i="23"/>
  <c r="AH69" i="23"/>
  <c r="AH67" i="23"/>
  <c r="AH65" i="23"/>
  <c r="AH63" i="23"/>
  <c r="AH61" i="23"/>
  <c r="AH59" i="23"/>
  <c r="AH57" i="23"/>
  <c r="AH55" i="23"/>
  <c r="AH53" i="23"/>
  <c r="AH51" i="23"/>
  <c r="AH49" i="23"/>
  <c r="AH47" i="23"/>
  <c r="AH45" i="23"/>
  <c r="AH43" i="23"/>
  <c r="AH41" i="23"/>
  <c r="AH39" i="23"/>
  <c r="AH37" i="23"/>
  <c r="AH35" i="23"/>
  <c r="AH33" i="23"/>
  <c r="AH29" i="23"/>
  <c r="AH27" i="23"/>
  <c r="AH25" i="23"/>
  <c r="AH23" i="23"/>
  <c r="AH19" i="23"/>
  <c r="AH17" i="23"/>
  <c r="AH15" i="23"/>
  <c r="AH13" i="23"/>
  <c r="AH11" i="23"/>
  <c r="AH9" i="23"/>
  <c r="AH78" i="23"/>
  <c r="AH70" i="23"/>
  <c r="AH56" i="23"/>
  <c r="AH42" i="23"/>
  <c r="AH26" i="23"/>
  <c r="AH10" i="23"/>
  <c r="AH31" i="23"/>
  <c r="AH21" i="23"/>
  <c r="C18" i="8"/>
  <c r="P83" i="23" l="1"/>
  <c r="K27" i="24" s="1"/>
  <c r="F2" i="26"/>
  <c r="F77" i="26" s="1"/>
  <c r="Y83" i="23"/>
  <c r="Q27" i="24" s="1"/>
  <c r="G83" i="23"/>
  <c r="E27" i="24" s="1"/>
  <c r="G83" i="19"/>
  <c r="AH8" i="23" l="1"/>
  <c r="AH83" i="23" s="1"/>
  <c r="W27" i="24" s="1"/>
  <c r="D9" i="13"/>
  <c r="D16" i="13" s="1"/>
  <c r="C9" i="18"/>
  <c r="C124" i="1"/>
  <c r="C12" i="9" s="1"/>
  <c r="C14" i="9"/>
  <c r="C15" i="17" s="1"/>
  <c r="C17" i="9"/>
  <c r="C18" i="17" s="1"/>
  <c r="C18" i="9"/>
  <c r="C19" i="17" s="1"/>
  <c r="C19" i="9"/>
  <c r="C20" i="17" s="1"/>
  <c r="D9" i="17"/>
  <c r="AS20" i="9"/>
  <c r="AS12" i="9"/>
  <c r="AS41" i="9" s="1"/>
  <c r="AS33" i="9"/>
  <c r="D12" i="9"/>
  <c r="E12" i="9"/>
  <c r="E41" i="9" s="1"/>
  <c r="E33" i="9"/>
  <c r="F12" i="9"/>
  <c r="F33" i="9"/>
  <c r="G12" i="9"/>
  <c r="G33" i="9"/>
  <c r="H12" i="9"/>
  <c r="H31" i="9" s="1"/>
  <c r="H33" i="9"/>
  <c r="I12" i="9"/>
  <c r="I41" i="9" s="1"/>
  <c r="I33" i="9"/>
  <c r="J12" i="9"/>
  <c r="J41" i="9" s="1"/>
  <c r="J33" i="9"/>
  <c r="K12" i="9"/>
  <c r="K31" i="9" s="1"/>
  <c r="K33" i="9"/>
  <c r="L12" i="9"/>
  <c r="L31" i="9" s="1"/>
  <c r="L33" i="9"/>
  <c r="M12" i="9"/>
  <c r="M31" i="9" s="1"/>
  <c r="M33" i="9"/>
  <c r="N12" i="9"/>
  <c r="N33" i="9"/>
  <c r="O12" i="9"/>
  <c r="O33" i="9"/>
  <c r="P12" i="9"/>
  <c r="P31" i="9" s="1"/>
  <c r="P33" i="9"/>
  <c r="Q12" i="9"/>
  <c r="Q31" i="9" s="1"/>
  <c r="Q33" i="9"/>
  <c r="R12" i="9"/>
  <c r="R33" i="9"/>
  <c r="S12" i="9"/>
  <c r="S31" i="9" s="1"/>
  <c r="S33" i="9"/>
  <c r="T12" i="9"/>
  <c r="T41" i="9" s="1"/>
  <c r="T33" i="9"/>
  <c r="U12" i="9"/>
  <c r="U41" i="9" s="1"/>
  <c r="U33" i="9"/>
  <c r="V12" i="9"/>
  <c r="V33" i="9"/>
  <c r="W12" i="9"/>
  <c r="W33" i="9"/>
  <c r="X12" i="9"/>
  <c r="X31" i="9" s="1"/>
  <c r="X33" i="9"/>
  <c r="Y12" i="9"/>
  <c r="Y31" i="9" s="1"/>
  <c r="Y33" i="9"/>
  <c r="Z12" i="9"/>
  <c r="Z41" i="9" s="1"/>
  <c r="Z33" i="9"/>
  <c r="AA12" i="9"/>
  <c r="AA31" i="9" s="1"/>
  <c r="AA33" i="9"/>
  <c r="AB12" i="9"/>
  <c r="AB31" i="9" s="1"/>
  <c r="AB33" i="9"/>
  <c r="AC12" i="9"/>
  <c r="AC31" i="9" s="1"/>
  <c r="AC33" i="9"/>
  <c r="AD12" i="9"/>
  <c r="AD33" i="9"/>
  <c r="AE12" i="9"/>
  <c r="AE33" i="9"/>
  <c r="AF12" i="9"/>
  <c r="AF31" i="9" s="1"/>
  <c r="AF33" i="9"/>
  <c r="AG12" i="9"/>
  <c r="AG31" i="9" s="1"/>
  <c r="AG33" i="9"/>
  <c r="AH12" i="9"/>
  <c r="AH33" i="9"/>
  <c r="AI12" i="9"/>
  <c r="AI31" i="9" s="1"/>
  <c r="AI33" i="9"/>
  <c r="AJ12" i="9"/>
  <c r="AJ31" i="9" s="1"/>
  <c r="AJ33" i="9"/>
  <c r="AK12" i="9"/>
  <c r="AK31" i="9" s="1"/>
  <c r="AK33" i="9"/>
  <c r="AL12" i="9"/>
  <c r="AL33" i="9"/>
  <c r="AM12" i="9"/>
  <c r="AM33" i="9"/>
  <c r="AN12" i="9"/>
  <c r="AN31" i="9" s="1"/>
  <c r="AN33" i="9"/>
  <c r="AO12" i="9"/>
  <c r="AO41" i="9" s="1"/>
  <c r="AO33" i="9"/>
  <c r="AP12" i="9"/>
  <c r="AP41" i="9" s="1"/>
  <c r="AP33" i="9"/>
  <c r="AQ12" i="9"/>
  <c r="AQ31" i="9" s="1"/>
  <c r="AQ33" i="9"/>
  <c r="AR12" i="9"/>
  <c r="AR31" i="9" s="1"/>
  <c r="AR33" i="9"/>
  <c r="AT12" i="9"/>
  <c r="AT31" i="9" s="1"/>
  <c r="AT33" i="9"/>
  <c r="AU12" i="9"/>
  <c r="AU31" i="9" s="1"/>
  <c r="AU33" i="9"/>
  <c r="AV12" i="9"/>
  <c r="AV41" i="9" s="1"/>
  <c r="AV33" i="9"/>
  <c r="AW12" i="9"/>
  <c r="AW33" i="9"/>
  <c r="AX12" i="9"/>
  <c r="AX31" i="9" s="1"/>
  <c r="AX33" i="9"/>
  <c r="AY12" i="9"/>
  <c r="AY31" i="9" s="1"/>
  <c r="AY33" i="9"/>
  <c r="AZ12" i="9"/>
  <c r="AZ31" i="9" s="1"/>
  <c r="AZ33" i="9"/>
  <c r="BA12" i="9"/>
  <c r="BA33" i="9"/>
  <c r="BB12" i="9"/>
  <c r="BB31" i="9" s="1"/>
  <c r="BB33" i="9"/>
  <c r="BC12" i="9"/>
  <c r="BC31" i="9" s="1"/>
  <c r="BC33" i="9"/>
  <c r="BD12" i="9"/>
  <c r="BD41" i="9" s="1"/>
  <c r="BD33" i="9"/>
  <c r="BE12" i="9"/>
  <c r="BE41" i="9" s="1"/>
  <c r="BE33" i="9"/>
  <c r="BF12" i="9"/>
  <c r="BF31" i="9" s="1"/>
  <c r="BF33" i="9"/>
  <c r="BG12" i="9"/>
  <c r="BG31" i="9" s="1"/>
  <c r="BG33" i="9"/>
  <c r="BI12" i="9"/>
  <c r="BI31" i="9" s="1"/>
  <c r="BI33" i="9"/>
  <c r="BJ12" i="9"/>
  <c r="BJ41" i="9" s="1"/>
  <c r="BJ33" i="9"/>
  <c r="BK12" i="9"/>
  <c r="BK33" i="9"/>
  <c r="BL12" i="9"/>
  <c r="BL31" i="9" s="1"/>
  <c r="BL33" i="9"/>
  <c r="BM12" i="9"/>
  <c r="BM31" i="9" s="1"/>
  <c r="BM33" i="9"/>
  <c r="BN12" i="9"/>
  <c r="BN31" i="9" s="1"/>
  <c r="BN33" i="9"/>
  <c r="BO12" i="9"/>
  <c r="BO33" i="9"/>
  <c r="BP12" i="9"/>
  <c r="BP31" i="9" s="1"/>
  <c r="BP33" i="9"/>
  <c r="BQ12" i="9"/>
  <c r="BQ41" i="9" s="1"/>
  <c r="BQ33" i="9"/>
  <c r="BR12" i="9"/>
  <c r="BR41" i="9" s="1"/>
  <c r="BR33" i="9"/>
  <c r="BS12" i="9"/>
  <c r="BS41" i="9" s="1"/>
  <c r="BS33" i="9"/>
  <c r="BT12" i="9"/>
  <c r="BT31" i="9" s="1"/>
  <c r="BT33" i="9"/>
  <c r="BU12" i="9"/>
  <c r="BU31" i="9" s="1"/>
  <c r="BU33" i="9"/>
  <c r="BV12" i="9"/>
  <c r="BV31" i="9" s="1"/>
  <c r="BV33" i="9"/>
  <c r="BW12" i="9"/>
  <c r="BW33" i="9"/>
  <c r="BX12" i="9"/>
  <c r="BX33" i="9"/>
  <c r="BY12" i="9"/>
  <c r="BY41" i="9" s="1"/>
  <c r="BY33" i="9"/>
  <c r="BZ12" i="9"/>
  <c r="BZ41" i="9" s="1"/>
  <c r="BZ33" i="9"/>
  <c r="C15" i="9"/>
  <c r="C16" i="17" s="1"/>
  <c r="D17" i="1"/>
  <c r="E17" i="1"/>
  <c r="E19" i="1" s="1"/>
  <c r="F17" i="1"/>
  <c r="F19" i="1" s="1"/>
  <c r="G17" i="1"/>
  <c r="G19" i="1" s="1"/>
  <c r="H17" i="1"/>
  <c r="I17" i="1"/>
  <c r="I19" i="1" s="1"/>
  <c r="J17" i="1"/>
  <c r="J19" i="1" s="1"/>
  <c r="K17" i="1"/>
  <c r="K19" i="1" s="1"/>
  <c r="L17" i="1"/>
  <c r="L19" i="1" s="1"/>
  <c r="M17" i="1"/>
  <c r="M19" i="1" s="1"/>
  <c r="N17" i="1"/>
  <c r="N19" i="1" s="1"/>
  <c r="O17" i="1"/>
  <c r="O19" i="1" s="1"/>
  <c r="P17" i="1"/>
  <c r="P19" i="1" s="1"/>
  <c r="Q17" i="1"/>
  <c r="Q19" i="1" s="1"/>
  <c r="R17" i="1"/>
  <c r="R19" i="1" s="1"/>
  <c r="S17" i="1"/>
  <c r="S19" i="1" s="1"/>
  <c r="T17" i="1"/>
  <c r="T19" i="1" s="1"/>
  <c r="U17" i="1"/>
  <c r="U19" i="1" s="1"/>
  <c r="V17" i="1"/>
  <c r="V19" i="1" s="1"/>
  <c r="W17" i="1"/>
  <c r="W19" i="1" s="1"/>
  <c r="X17" i="1"/>
  <c r="Y17" i="1"/>
  <c r="Y19" i="1" s="1"/>
  <c r="Z17" i="1"/>
  <c r="Z19" i="1" s="1"/>
  <c r="AA17" i="1"/>
  <c r="AA19" i="1" s="1"/>
  <c r="AB17" i="1"/>
  <c r="AB19" i="1" s="1"/>
  <c r="AC17" i="1"/>
  <c r="AC19" i="1" s="1"/>
  <c r="AD17" i="1"/>
  <c r="AD19" i="1" s="1"/>
  <c r="AE17" i="1"/>
  <c r="AE19" i="1" s="1"/>
  <c r="AF17" i="1"/>
  <c r="AF19" i="1" s="1"/>
  <c r="AG17" i="1"/>
  <c r="AG19" i="1" s="1"/>
  <c r="AH17" i="1"/>
  <c r="AH19" i="1" s="1"/>
  <c r="AI17" i="1"/>
  <c r="AI19" i="1" s="1"/>
  <c r="AJ17" i="1"/>
  <c r="AJ19" i="1" s="1"/>
  <c r="AK17" i="1"/>
  <c r="AK19" i="1" s="1"/>
  <c r="AL17" i="1"/>
  <c r="AL19" i="1" s="1"/>
  <c r="AM17" i="1"/>
  <c r="AM19" i="1" s="1"/>
  <c r="AN17" i="1"/>
  <c r="AO17" i="1"/>
  <c r="AO19" i="1" s="1"/>
  <c r="AP17" i="1"/>
  <c r="AP19" i="1" s="1"/>
  <c r="AQ17" i="1"/>
  <c r="AQ19" i="1" s="1"/>
  <c r="AR17" i="1"/>
  <c r="AR19" i="1" s="1"/>
  <c r="AS17" i="1"/>
  <c r="AS19" i="1" s="1"/>
  <c r="AT17" i="1"/>
  <c r="AT19" i="1" s="1"/>
  <c r="AU17" i="1"/>
  <c r="AU19" i="1" s="1"/>
  <c r="AV17" i="1"/>
  <c r="AV19" i="1" s="1"/>
  <c r="AW17" i="1"/>
  <c r="AW19" i="1" s="1"/>
  <c r="AX17" i="1"/>
  <c r="AX19" i="1" s="1"/>
  <c r="AY17" i="1"/>
  <c r="AY19" i="1" s="1"/>
  <c r="AZ17" i="1"/>
  <c r="AZ19" i="1" s="1"/>
  <c r="BA17" i="1"/>
  <c r="BA19" i="1" s="1"/>
  <c r="BB17" i="1"/>
  <c r="BB19" i="1" s="1"/>
  <c r="BC17" i="1"/>
  <c r="BC19" i="1" s="1"/>
  <c r="BD17" i="1"/>
  <c r="BE17" i="1"/>
  <c r="BE19" i="1" s="1"/>
  <c r="BF17" i="1"/>
  <c r="BF19" i="1" s="1"/>
  <c r="BG17" i="1"/>
  <c r="BG19" i="1" s="1"/>
  <c r="BI17" i="1"/>
  <c r="BI19" i="1" s="1"/>
  <c r="BJ17" i="1"/>
  <c r="BJ19" i="1" s="1"/>
  <c r="BK17" i="1"/>
  <c r="BK19" i="1" s="1"/>
  <c r="BL17" i="1"/>
  <c r="BL19" i="1" s="1"/>
  <c r="BM17" i="1"/>
  <c r="BN17" i="1"/>
  <c r="BN19" i="1" s="1"/>
  <c r="BO17" i="1"/>
  <c r="BO19" i="1" s="1"/>
  <c r="BP17" i="1"/>
  <c r="BP19" i="1" s="1"/>
  <c r="BQ17" i="1"/>
  <c r="BR17" i="1"/>
  <c r="BR19" i="1" s="1"/>
  <c r="BS17" i="1"/>
  <c r="BS19" i="1" s="1"/>
  <c r="BT17" i="1"/>
  <c r="BT19" i="1" s="1"/>
  <c r="BU17" i="1"/>
  <c r="BV17" i="1"/>
  <c r="BV19" i="1" s="1"/>
  <c r="BW17" i="1"/>
  <c r="BW19" i="1" s="1"/>
  <c r="BX17" i="1"/>
  <c r="BX19" i="1" s="1"/>
  <c r="BY17" i="1"/>
  <c r="BY19" i="1" s="1"/>
  <c r="BZ17" i="1"/>
  <c r="BZ19" i="1" s="1"/>
  <c r="D26" i="1"/>
  <c r="D116" i="1" s="1"/>
  <c r="D32" i="1"/>
  <c r="D117" i="1" s="1"/>
  <c r="D39" i="1"/>
  <c r="D41" i="1" s="1"/>
  <c r="E39" i="1"/>
  <c r="E41" i="1" s="1"/>
  <c r="F39" i="1"/>
  <c r="F41" i="1" s="1"/>
  <c r="G39" i="1"/>
  <c r="H39" i="1"/>
  <c r="H41" i="1" s="1"/>
  <c r="I39" i="1"/>
  <c r="I41" i="1" s="1"/>
  <c r="J39" i="1"/>
  <c r="J41" i="1" s="1"/>
  <c r="K39" i="1"/>
  <c r="K41" i="1" s="1"/>
  <c r="L39" i="1"/>
  <c r="L41" i="1" s="1"/>
  <c r="M39" i="1"/>
  <c r="M41" i="1" s="1"/>
  <c r="N39" i="1"/>
  <c r="N41" i="1" s="1"/>
  <c r="O39" i="1"/>
  <c r="O41" i="1" s="1"/>
  <c r="P39" i="1"/>
  <c r="P41" i="1" s="1"/>
  <c r="Q39" i="1"/>
  <c r="Q41" i="1" s="1"/>
  <c r="R39" i="1"/>
  <c r="R41" i="1" s="1"/>
  <c r="S39" i="1"/>
  <c r="S41" i="1" s="1"/>
  <c r="T39" i="1"/>
  <c r="T41" i="1" s="1"/>
  <c r="U39" i="1"/>
  <c r="U41" i="1" s="1"/>
  <c r="V39" i="1"/>
  <c r="V41" i="1" s="1"/>
  <c r="W39" i="1"/>
  <c r="W41" i="1" s="1"/>
  <c r="X39" i="1"/>
  <c r="X41" i="1" s="1"/>
  <c r="Y39" i="1"/>
  <c r="Y41" i="1" s="1"/>
  <c r="Z39" i="1"/>
  <c r="Z41" i="1" s="1"/>
  <c r="AA39" i="1"/>
  <c r="AA41" i="1" s="1"/>
  <c r="AB39" i="1"/>
  <c r="AB41" i="1" s="1"/>
  <c r="AC39" i="1"/>
  <c r="AC41" i="1" s="1"/>
  <c r="AD39" i="1"/>
  <c r="AD41" i="1" s="1"/>
  <c r="AE39" i="1"/>
  <c r="AE41" i="1" s="1"/>
  <c r="AF39" i="1"/>
  <c r="AF41" i="1" s="1"/>
  <c r="AG39" i="1"/>
  <c r="AG41" i="1" s="1"/>
  <c r="AH39" i="1"/>
  <c r="AH41" i="1" s="1"/>
  <c r="AI39" i="1"/>
  <c r="AI41" i="1" s="1"/>
  <c r="AJ39" i="1"/>
  <c r="AJ41" i="1" s="1"/>
  <c r="AK39" i="1"/>
  <c r="AK41" i="1" s="1"/>
  <c r="AL39" i="1"/>
  <c r="AL41" i="1" s="1"/>
  <c r="AM39" i="1"/>
  <c r="AM41" i="1" s="1"/>
  <c r="AN39" i="1"/>
  <c r="AN41" i="1" s="1"/>
  <c r="AO39" i="1"/>
  <c r="AO41" i="1" s="1"/>
  <c r="AP39" i="1"/>
  <c r="AP41" i="1" s="1"/>
  <c r="AQ39" i="1"/>
  <c r="AQ41" i="1" s="1"/>
  <c r="AR39" i="1"/>
  <c r="AR41" i="1" s="1"/>
  <c r="AS39" i="1"/>
  <c r="AS41" i="1" s="1"/>
  <c r="AT39" i="1"/>
  <c r="AT41" i="1" s="1"/>
  <c r="AU39" i="1"/>
  <c r="AU41" i="1" s="1"/>
  <c r="AV39" i="1"/>
  <c r="AV41" i="1" s="1"/>
  <c r="AW39" i="1"/>
  <c r="AW41" i="1" s="1"/>
  <c r="AX39" i="1"/>
  <c r="AX41" i="1" s="1"/>
  <c r="AY39" i="1"/>
  <c r="AY41" i="1" s="1"/>
  <c r="AZ39" i="1"/>
  <c r="AZ41" i="1" s="1"/>
  <c r="BA39" i="1"/>
  <c r="BA41" i="1" s="1"/>
  <c r="BB39" i="1"/>
  <c r="BB41" i="1" s="1"/>
  <c r="BC39" i="1"/>
  <c r="BC41" i="1" s="1"/>
  <c r="BD39" i="1"/>
  <c r="BD41" i="1" s="1"/>
  <c r="BE39" i="1"/>
  <c r="BE41" i="1" s="1"/>
  <c r="BF39" i="1"/>
  <c r="BF41" i="1" s="1"/>
  <c r="BG39" i="1"/>
  <c r="BG41" i="1" s="1"/>
  <c r="BI39" i="1"/>
  <c r="BI41" i="1" s="1"/>
  <c r="BJ39" i="1"/>
  <c r="BJ41" i="1" s="1"/>
  <c r="BK39" i="1"/>
  <c r="BK41" i="1" s="1"/>
  <c r="BL39" i="1"/>
  <c r="BL41" i="1" s="1"/>
  <c r="BM39" i="1"/>
  <c r="BM41" i="1" s="1"/>
  <c r="BN39" i="1"/>
  <c r="BN41" i="1" s="1"/>
  <c r="BO39" i="1"/>
  <c r="BO41" i="1" s="1"/>
  <c r="BP39" i="1"/>
  <c r="BP41" i="1" s="1"/>
  <c r="BQ39" i="1"/>
  <c r="BQ41" i="1" s="1"/>
  <c r="BR39" i="1"/>
  <c r="BR41" i="1" s="1"/>
  <c r="BS39" i="1"/>
  <c r="BS41" i="1" s="1"/>
  <c r="BT39" i="1"/>
  <c r="BT41" i="1" s="1"/>
  <c r="BU39" i="1"/>
  <c r="BU41" i="1" s="1"/>
  <c r="BV39" i="1"/>
  <c r="BV41" i="1" s="1"/>
  <c r="BW39" i="1"/>
  <c r="BW41" i="1" s="1"/>
  <c r="BX39" i="1"/>
  <c r="BX41" i="1" s="1"/>
  <c r="BY39" i="1"/>
  <c r="BY41" i="1" s="1"/>
  <c r="BZ39" i="1"/>
  <c r="BZ41" i="1" s="1"/>
  <c r="D48" i="1"/>
  <c r="D119" i="1" s="1"/>
  <c r="D53" i="1"/>
  <c r="D120" i="1" s="1"/>
  <c r="D58" i="1"/>
  <c r="D121" i="1" s="1"/>
  <c r="D68" i="1"/>
  <c r="D70" i="1" s="1"/>
  <c r="E68" i="1"/>
  <c r="E70" i="1" s="1"/>
  <c r="F68" i="1"/>
  <c r="F70" i="1" s="1"/>
  <c r="G68" i="1"/>
  <c r="G70" i="1" s="1"/>
  <c r="H68" i="1"/>
  <c r="H70" i="1" s="1"/>
  <c r="I68" i="1"/>
  <c r="I70" i="1" s="1"/>
  <c r="J68" i="1"/>
  <c r="J70" i="1" s="1"/>
  <c r="K68" i="1"/>
  <c r="K70" i="1" s="1"/>
  <c r="L68" i="1"/>
  <c r="L70" i="1" s="1"/>
  <c r="M68" i="1"/>
  <c r="M70" i="1" s="1"/>
  <c r="N68" i="1"/>
  <c r="N70" i="1" s="1"/>
  <c r="O68" i="1"/>
  <c r="O70" i="1" s="1"/>
  <c r="P68" i="1"/>
  <c r="P70" i="1" s="1"/>
  <c r="Q68" i="1"/>
  <c r="Q70" i="1" s="1"/>
  <c r="R68" i="1"/>
  <c r="R70" i="1" s="1"/>
  <c r="S68" i="1"/>
  <c r="S70" i="1" s="1"/>
  <c r="T68" i="1"/>
  <c r="T70" i="1" s="1"/>
  <c r="U68" i="1"/>
  <c r="U70" i="1" s="1"/>
  <c r="V68" i="1"/>
  <c r="V70" i="1" s="1"/>
  <c r="W68" i="1"/>
  <c r="W70" i="1" s="1"/>
  <c r="X68" i="1"/>
  <c r="X70" i="1" s="1"/>
  <c r="Y68" i="1"/>
  <c r="Y70" i="1" s="1"/>
  <c r="Z68" i="1"/>
  <c r="Z70" i="1" s="1"/>
  <c r="AA68" i="1"/>
  <c r="AA70" i="1" s="1"/>
  <c r="AB68" i="1"/>
  <c r="AB70" i="1" s="1"/>
  <c r="AC68" i="1"/>
  <c r="AC70" i="1" s="1"/>
  <c r="AD68" i="1"/>
  <c r="AD70" i="1" s="1"/>
  <c r="AE68" i="1"/>
  <c r="AE70" i="1" s="1"/>
  <c r="AF68" i="1"/>
  <c r="AF70" i="1" s="1"/>
  <c r="AG68" i="1"/>
  <c r="AG70" i="1" s="1"/>
  <c r="AH68" i="1"/>
  <c r="AH70" i="1" s="1"/>
  <c r="AI68" i="1"/>
  <c r="AI70" i="1" s="1"/>
  <c r="AJ68" i="1"/>
  <c r="AJ70" i="1" s="1"/>
  <c r="AK68" i="1"/>
  <c r="AK70" i="1" s="1"/>
  <c r="AL68" i="1"/>
  <c r="AL70" i="1" s="1"/>
  <c r="AM68" i="1"/>
  <c r="AM70" i="1" s="1"/>
  <c r="AN68" i="1"/>
  <c r="AN70" i="1" s="1"/>
  <c r="AO68" i="1"/>
  <c r="AO70" i="1" s="1"/>
  <c r="AP68" i="1"/>
  <c r="AP70" i="1" s="1"/>
  <c r="AQ68" i="1"/>
  <c r="AQ70" i="1" s="1"/>
  <c r="AR68" i="1"/>
  <c r="AR70" i="1" s="1"/>
  <c r="AS68" i="1"/>
  <c r="AS70" i="1" s="1"/>
  <c r="AT68" i="1"/>
  <c r="AT70" i="1" s="1"/>
  <c r="AU68" i="1"/>
  <c r="AU70" i="1" s="1"/>
  <c r="AV68" i="1"/>
  <c r="AV70" i="1" s="1"/>
  <c r="AW68" i="1"/>
  <c r="AW70" i="1" s="1"/>
  <c r="AX68" i="1"/>
  <c r="AX70" i="1" s="1"/>
  <c r="AY68" i="1"/>
  <c r="AY70" i="1" s="1"/>
  <c r="AZ68" i="1"/>
  <c r="AZ70" i="1" s="1"/>
  <c r="BA68" i="1"/>
  <c r="BA70" i="1" s="1"/>
  <c r="BB68" i="1"/>
  <c r="BB70" i="1" s="1"/>
  <c r="BC68" i="1"/>
  <c r="BC70" i="1" s="1"/>
  <c r="BD68" i="1"/>
  <c r="BD70" i="1" s="1"/>
  <c r="BE68" i="1"/>
  <c r="BE70" i="1" s="1"/>
  <c r="BF68" i="1"/>
  <c r="BF70" i="1" s="1"/>
  <c r="BG68" i="1"/>
  <c r="BG70" i="1" s="1"/>
  <c r="BI68" i="1"/>
  <c r="BI70" i="1" s="1"/>
  <c r="BJ68" i="1"/>
  <c r="BJ70" i="1" s="1"/>
  <c r="BK68" i="1"/>
  <c r="BK70" i="1" s="1"/>
  <c r="BL68" i="1"/>
  <c r="BL70" i="1" s="1"/>
  <c r="BM68" i="1"/>
  <c r="BM70" i="1" s="1"/>
  <c r="BN68" i="1"/>
  <c r="BN70" i="1" s="1"/>
  <c r="BO68" i="1"/>
  <c r="BO70" i="1" s="1"/>
  <c r="BP68" i="1"/>
  <c r="BP70" i="1" s="1"/>
  <c r="BQ68" i="1"/>
  <c r="BQ70" i="1" s="1"/>
  <c r="BR68" i="1"/>
  <c r="BR70" i="1" s="1"/>
  <c r="BS68" i="1"/>
  <c r="BS70" i="1" s="1"/>
  <c r="BT68" i="1"/>
  <c r="BT70" i="1" s="1"/>
  <c r="BU68" i="1"/>
  <c r="BU70" i="1" s="1"/>
  <c r="BV68" i="1"/>
  <c r="BV70" i="1" s="1"/>
  <c r="BW68" i="1"/>
  <c r="BW70" i="1" s="1"/>
  <c r="BX68" i="1"/>
  <c r="BX70" i="1" s="1"/>
  <c r="BY68" i="1"/>
  <c r="BY70" i="1" s="1"/>
  <c r="BZ68" i="1"/>
  <c r="BZ70" i="1" s="1"/>
  <c r="D77" i="1"/>
  <c r="D130" i="1" s="1"/>
  <c r="D83" i="1"/>
  <c r="D131" i="1" s="1"/>
  <c r="D90" i="1"/>
  <c r="D92" i="1" s="1"/>
  <c r="E90" i="1"/>
  <c r="E92" i="1" s="1"/>
  <c r="F90" i="1"/>
  <c r="F92" i="1" s="1"/>
  <c r="G90" i="1"/>
  <c r="G92" i="1" s="1"/>
  <c r="H90" i="1"/>
  <c r="H92" i="1" s="1"/>
  <c r="I90" i="1"/>
  <c r="I92" i="1" s="1"/>
  <c r="J90" i="1"/>
  <c r="J92" i="1" s="1"/>
  <c r="K90" i="1"/>
  <c r="K92" i="1" s="1"/>
  <c r="L90" i="1"/>
  <c r="L92" i="1" s="1"/>
  <c r="M90" i="1"/>
  <c r="M92" i="1" s="1"/>
  <c r="N90" i="1"/>
  <c r="N92" i="1" s="1"/>
  <c r="O90" i="1"/>
  <c r="O92" i="1" s="1"/>
  <c r="P90" i="1"/>
  <c r="P92" i="1" s="1"/>
  <c r="Q90" i="1"/>
  <c r="Q92" i="1" s="1"/>
  <c r="R90" i="1"/>
  <c r="R92" i="1" s="1"/>
  <c r="S90" i="1"/>
  <c r="S92" i="1" s="1"/>
  <c r="T90" i="1"/>
  <c r="T92" i="1" s="1"/>
  <c r="U90" i="1"/>
  <c r="U92" i="1" s="1"/>
  <c r="V90" i="1"/>
  <c r="V92" i="1" s="1"/>
  <c r="W90" i="1"/>
  <c r="W92" i="1" s="1"/>
  <c r="X90" i="1"/>
  <c r="X92" i="1" s="1"/>
  <c r="Y90" i="1"/>
  <c r="Y92" i="1" s="1"/>
  <c r="Z90" i="1"/>
  <c r="Z92" i="1" s="1"/>
  <c r="AA90" i="1"/>
  <c r="AA92" i="1" s="1"/>
  <c r="AB90" i="1"/>
  <c r="AB92" i="1" s="1"/>
  <c r="AC90" i="1"/>
  <c r="AC92" i="1" s="1"/>
  <c r="AD90" i="1"/>
  <c r="AD92" i="1" s="1"/>
  <c r="AE90" i="1"/>
  <c r="AE92" i="1" s="1"/>
  <c r="AF90" i="1"/>
  <c r="AF92" i="1" s="1"/>
  <c r="AG90" i="1"/>
  <c r="AG92" i="1" s="1"/>
  <c r="AH90" i="1"/>
  <c r="AH92" i="1" s="1"/>
  <c r="AI90" i="1"/>
  <c r="AI92" i="1" s="1"/>
  <c r="AJ90" i="1"/>
  <c r="AJ92" i="1" s="1"/>
  <c r="AK90" i="1"/>
  <c r="AK92" i="1" s="1"/>
  <c r="AL90" i="1"/>
  <c r="AL92" i="1" s="1"/>
  <c r="AM90" i="1"/>
  <c r="AM92" i="1" s="1"/>
  <c r="AN90" i="1"/>
  <c r="AN92" i="1" s="1"/>
  <c r="AO90" i="1"/>
  <c r="AO92" i="1" s="1"/>
  <c r="AP90" i="1"/>
  <c r="AP92" i="1" s="1"/>
  <c r="AQ90" i="1"/>
  <c r="AQ92" i="1" s="1"/>
  <c r="AR90" i="1"/>
  <c r="AR92" i="1" s="1"/>
  <c r="AS90" i="1"/>
  <c r="AS92" i="1" s="1"/>
  <c r="AT90" i="1"/>
  <c r="AT92" i="1" s="1"/>
  <c r="AU90" i="1"/>
  <c r="AU92" i="1" s="1"/>
  <c r="AV90" i="1"/>
  <c r="AV92" i="1" s="1"/>
  <c r="AW90" i="1"/>
  <c r="AW92" i="1" s="1"/>
  <c r="AX90" i="1"/>
  <c r="AX92" i="1" s="1"/>
  <c r="AY90" i="1"/>
  <c r="AY92" i="1" s="1"/>
  <c r="AZ90" i="1"/>
  <c r="AZ92" i="1" s="1"/>
  <c r="BA90" i="1"/>
  <c r="BA92" i="1" s="1"/>
  <c r="BB90" i="1"/>
  <c r="BB92" i="1" s="1"/>
  <c r="BC90" i="1"/>
  <c r="BC92" i="1" s="1"/>
  <c r="BD90" i="1"/>
  <c r="BD92" i="1" s="1"/>
  <c r="BE90" i="1"/>
  <c r="BE92" i="1" s="1"/>
  <c r="BF90" i="1"/>
  <c r="BF92" i="1" s="1"/>
  <c r="BG90" i="1"/>
  <c r="BG92" i="1" s="1"/>
  <c r="BI90" i="1"/>
  <c r="BI92" i="1" s="1"/>
  <c r="BJ90" i="1"/>
  <c r="BJ92" i="1" s="1"/>
  <c r="BK90" i="1"/>
  <c r="BK92" i="1" s="1"/>
  <c r="BL90" i="1"/>
  <c r="BL92" i="1" s="1"/>
  <c r="BM90" i="1"/>
  <c r="BM92" i="1" s="1"/>
  <c r="BN90" i="1"/>
  <c r="BN92" i="1" s="1"/>
  <c r="BO90" i="1"/>
  <c r="BO92" i="1" s="1"/>
  <c r="BP90" i="1"/>
  <c r="BP92" i="1" s="1"/>
  <c r="BQ90" i="1"/>
  <c r="BQ92" i="1" s="1"/>
  <c r="BR90" i="1"/>
  <c r="BR92" i="1" s="1"/>
  <c r="BS90" i="1"/>
  <c r="BS92" i="1" s="1"/>
  <c r="BT90" i="1"/>
  <c r="BT92" i="1" s="1"/>
  <c r="BU90" i="1"/>
  <c r="BU92" i="1" s="1"/>
  <c r="BV90" i="1"/>
  <c r="BV92" i="1" s="1"/>
  <c r="BW90" i="1"/>
  <c r="BW92" i="1" s="1"/>
  <c r="BX90" i="1"/>
  <c r="BX92" i="1" s="1"/>
  <c r="BY90" i="1"/>
  <c r="BY92" i="1" s="1"/>
  <c r="BZ90" i="1"/>
  <c r="BZ92" i="1" s="1"/>
  <c r="D99" i="1"/>
  <c r="D133" i="1" s="1"/>
  <c r="D104" i="1"/>
  <c r="D134" i="1" s="1"/>
  <c r="D109" i="1"/>
  <c r="D135" i="1" s="1"/>
  <c r="E26" i="1"/>
  <c r="E116" i="1" s="1"/>
  <c r="F26" i="1"/>
  <c r="F116" i="1" s="1"/>
  <c r="G26" i="1"/>
  <c r="G116" i="1" s="1"/>
  <c r="H26" i="1"/>
  <c r="H116" i="1" s="1"/>
  <c r="I26" i="1"/>
  <c r="I116" i="1" s="1"/>
  <c r="J26" i="1"/>
  <c r="J116" i="1" s="1"/>
  <c r="K26" i="1"/>
  <c r="K116" i="1" s="1"/>
  <c r="L26" i="1"/>
  <c r="L116" i="1" s="1"/>
  <c r="M26" i="1"/>
  <c r="M116" i="1" s="1"/>
  <c r="N26" i="1"/>
  <c r="N116" i="1" s="1"/>
  <c r="O26" i="1"/>
  <c r="O116" i="1" s="1"/>
  <c r="P26" i="1"/>
  <c r="P116" i="1" s="1"/>
  <c r="Q26" i="1"/>
  <c r="Q116" i="1" s="1"/>
  <c r="R26" i="1"/>
  <c r="R116" i="1" s="1"/>
  <c r="S26" i="1"/>
  <c r="S116" i="1" s="1"/>
  <c r="T26" i="1"/>
  <c r="T116" i="1" s="1"/>
  <c r="U26" i="1"/>
  <c r="U116" i="1" s="1"/>
  <c r="V26" i="1"/>
  <c r="V116" i="1" s="1"/>
  <c r="W26" i="1"/>
  <c r="W116" i="1" s="1"/>
  <c r="X26" i="1"/>
  <c r="X116" i="1" s="1"/>
  <c r="Y26" i="1"/>
  <c r="Y116" i="1" s="1"/>
  <c r="Z26" i="1"/>
  <c r="Z116" i="1" s="1"/>
  <c r="AA26" i="1"/>
  <c r="AA116" i="1" s="1"/>
  <c r="AB26" i="1"/>
  <c r="AB116" i="1" s="1"/>
  <c r="AC26" i="1"/>
  <c r="AC116" i="1" s="1"/>
  <c r="AD26" i="1"/>
  <c r="AD116" i="1" s="1"/>
  <c r="AE26" i="1"/>
  <c r="AE116" i="1" s="1"/>
  <c r="AF26" i="1"/>
  <c r="AF116" i="1" s="1"/>
  <c r="AG26" i="1"/>
  <c r="AG116" i="1" s="1"/>
  <c r="AH26" i="1"/>
  <c r="AH116" i="1" s="1"/>
  <c r="AI26" i="1"/>
  <c r="AI116" i="1" s="1"/>
  <c r="AJ26" i="1"/>
  <c r="AJ116" i="1" s="1"/>
  <c r="AK26" i="1"/>
  <c r="AK116" i="1" s="1"/>
  <c r="AL26" i="1"/>
  <c r="AL116" i="1" s="1"/>
  <c r="AM26" i="1"/>
  <c r="AM116" i="1" s="1"/>
  <c r="AN26" i="1"/>
  <c r="AN116" i="1" s="1"/>
  <c r="AO26" i="1"/>
  <c r="AO116" i="1" s="1"/>
  <c r="AP26" i="1"/>
  <c r="AP116" i="1" s="1"/>
  <c r="AQ26" i="1"/>
  <c r="AQ116" i="1" s="1"/>
  <c r="AR26" i="1"/>
  <c r="AR116" i="1" s="1"/>
  <c r="AS26" i="1"/>
  <c r="AS116" i="1" s="1"/>
  <c r="AT26" i="1"/>
  <c r="AT116" i="1" s="1"/>
  <c r="AU26" i="1"/>
  <c r="AV26" i="1"/>
  <c r="AV116" i="1" s="1"/>
  <c r="AW26" i="1"/>
  <c r="AW116" i="1" s="1"/>
  <c r="AX26" i="1"/>
  <c r="AX116" i="1" s="1"/>
  <c r="AY26" i="1"/>
  <c r="AY116" i="1" s="1"/>
  <c r="AZ26" i="1"/>
  <c r="AZ116" i="1" s="1"/>
  <c r="BA26" i="1"/>
  <c r="BA116" i="1" s="1"/>
  <c r="BB26" i="1"/>
  <c r="BB116" i="1" s="1"/>
  <c r="BC26" i="1"/>
  <c r="BC116" i="1" s="1"/>
  <c r="BD26" i="1"/>
  <c r="BD116" i="1" s="1"/>
  <c r="BE26" i="1"/>
  <c r="BE116" i="1" s="1"/>
  <c r="BF26" i="1"/>
  <c r="BF116" i="1" s="1"/>
  <c r="BG26" i="1"/>
  <c r="BG116" i="1" s="1"/>
  <c r="BI26" i="1"/>
  <c r="BI116" i="1" s="1"/>
  <c r="BJ26" i="1"/>
  <c r="BJ116" i="1" s="1"/>
  <c r="BK26" i="1"/>
  <c r="BK116" i="1" s="1"/>
  <c r="BL26" i="1"/>
  <c r="BL116" i="1" s="1"/>
  <c r="BM26" i="1"/>
  <c r="BM116" i="1" s="1"/>
  <c r="BN26" i="1"/>
  <c r="BN116" i="1" s="1"/>
  <c r="BO26" i="1"/>
  <c r="BO116" i="1" s="1"/>
  <c r="BP26" i="1"/>
  <c r="BP116" i="1" s="1"/>
  <c r="BQ26" i="1"/>
  <c r="BQ116" i="1" s="1"/>
  <c r="BR26" i="1"/>
  <c r="BR116" i="1" s="1"/>
  <c r="BS26" i="1"/>
  <c r="BS116" i="1" s="1"/>
  <c r="BT26" i="1"/>
  <c r="BU26" i="1"/>
  <c r="BU116" i="1" s="1"/>
  <c r="BV26" i="1"/>
  <c r="BV116" i="1" s="1"/>
  <c r="BW26" i="1"/>
  <c r="BW116" i="1" s="1"/>
  <c r="BX26" i="1"/>
  <c r="BX116" i="1" s="1"/>
  <c r="BY26" i="1"/>
  <c r="BY116" i="1" s="1"/>
  <c r="BZ26" i="1"/>
  <c r="BZ116" i="1" s="1"/>
  <c r="E32" i="1"/>
  <c r="E117" i="1" s="1"/>
  <c r="F32" i="1"/>
  <c r="F117" i="1" s="1"/>
  <c r="G32" i="1"/>
  <c r="G117" i="1" s="1"/>
  <c r="H32" i="1"/>
  <c r="I32" i="1"/>
  <c r="I117" i="1" s="1"/>
  <c r="J32" i="1"/>
  <c r="J117" i="1" s="1"/>
  <c r="K32" i="1"/>
  <c r="K117" i="1" s="1"/>
  <c r="L32" i="1"/>
  <c r="L117" i="1" s="1"/>
  <c r="M32" i="1"/>
  <c r="M117" i="1" s="1"/>
  <c r="N32" i="1"/>
  <c r="N117" i="1" s="1"/>
  <c r="O32" i="1"/>
  <c r="O117" i="1" s="1"/>
  <c r="P32" i="1"/>
  <c r="P117" i="1" s="1"/>
  <c r="Q32" i="1"/>
  <c r="Q117" i="1" s="1"/>
  <c r="R32" i="1"/>
  <c r="R117" i="1" s="1"/>
  <c r="S32" i="1"/>
  <c r="S117" i="1" s="1"/>
  <c r="T32" i="1"/>
  <c r="T117" i="1" s="1"/>
  <c r="U32" i="1"/>
  <c r="U117" i="1" s="1"/>
  <c r="V32" i="1"/>
  <c r="V117" i="1" s="1"/>
  <c r="W32" i="1"/>
  <c r="W117" i="1" s="1"/>
  <c r="X32" i="1"/>
  <c r="X117" i="1" s="1"/>
  <c r="Y32" i="1"/>
  <c r="Y117" i="1" s="1"/>
  <c r="Z32" i="1"/>
  <c r="Z117" i="1" s="1"/>
  <c r="AA32" i="1"/>
  <c r="AA117" i="1" s="1"/>
  <c r="AB32" i="1"/>
  <c r="AB117" i="1" s="1"/>
  <c r="AC32" i="1"/>
  <c r="AC117" i="1" s="1"/>
  <c r="AD32" i="1"/>
  <c r="AD117" i="1" s="1"/>
  <c r="AE32" i="1"/>
  <c r="AE117" i="1" s="1"/>
  <c r="AF32" i="1"/>
  <c r="AF117" i="1" s="1"/>
  <c r="AG32" i="1"/>
  <c r="AG117" i="1" s="1"/>
  <c r="AH32" i="1"/>
  <c r="AH117" i="1" s="1"/>
  <c r="AI32" i="1"/>
  <c r="AI117" i="1" s="1"/>
  <c r="AJ32" i="1"/>
  <c r="AJ117" i="1" s="1"/>
  <c r="AK32" i="1"/>
  <c r="AK117" i="1" s="1"/>
  <c r="AL32" i="1"/>
  <c r="AL117" i="1" s="1"/>
  <c r="AM32" i="1"/>
  <c r="AM117" i="1" s="1"/>
  <c r="AN32" i="1"/>
  <c r="AN117" i="1" s="1"/>
  <c r="AO32" i="1"/>
  <c r="AO117" i="1" s="1"/>
  <c r="AP32" i="1"/>
  <c r="AP117" i="1" s="1"/>
  <c r="AQ32" i="1"/>
  <c r="AQ117" i="1" s="1"/>
  <c r="AR32" i="1"/>
  <c r="AR117" i="1" s="1"/>
  <c r="AS32" i="1"/>
  <c r="AS117" i="1" s="1"/>
  <c r="AT32" i="1"/>
  <c r="AT117" i="1" s="1"/>
  <c r="AU32" i="1"/>
  <c r="AU117" i="1" s="1"/>
  <c r="AV32" i="1"/>
  <c r="AV117" i="1" s="1"/>
  <c r="AW32" i="1"/>
  <c r="AW117" i="1" s="1"/>
  <c r="AX32" i="1"/>
  <c r="AX117" i="1" s="1"/>
  <c r="AY32" i="1"/>
  <c r="AY117" i="1" s="1"/>
  <c r="AZ32" i="1"/>
  <c r="AZ117" i="1" s="1"/>
  <c r="BA32" i="1"/>
  <c r="BA117" i="1" s="1"/>
  <c r="BB32" i="1"/>
  <c r="BB117" i="1" s="1"/>
  <c r="BC32" i="1"/>
  <c r="BC117" i="1" s="1"/>
  <c r="BD32" i="1"/>
  <c r="BD117" i="1" s="1"/>
  <c r="BE32" i="1"/>
  <c r="BE117" i="1" s="1"/>
  <c r="BF32" i="1"/>
  <c r="BF117" i="1" s="1"/>
  <c r="BG32" i="1"/>
  <c r="BG117" i="1" s="1"/>
  <c r="BI32" i="1"/>
  <c r="BI117" i="1" s="1"/>
  <c r="BJ32" i="1"/>
  <c r="BJ117" i="1" s="1"/>
  <c r="BK32" i="1"/>
  <c r="BK117" i="1" s="1"/>
  <c r="BL32" i="1"/>
  <c r="BM32" i="1"/>
  <c r="BM117" i="1" s="1"/>
  <c r="BN32" i="1"/>
  <c r="BN117" i="1" s="1"/>
  <c r="BO32" i="1"/>
  <c r="BO117" i="1" s="1"/>
  <c r="BP32" i="1"/>
  <c r="BP117" i="1" s="1"/>
  <c r="BQ32" i="1"/>
  <c r="BQ117" i="1" s="1"/>
  <c r="BR117" i="1"/>
  <c r="BS32" i="1"/>
  <c r="BS117" i="1" s="1"/>
  <c r="BT32" i="1"/>
  <c r="BT117" i="1" s="1"/>
  <c r="BU32" i="1"/>
  <c r="BU117" i="1" s="1"/>
  <c r="BV32" i="1"/>
  <c r="BV117" i="1" s="1"/>
  <c r="BW32" i="1"/>
  <c r="BW117" i="1" s="1"/>
  <c r="BX32" i="1"/>
  <c r="BX117" i="1" s="1"/>
  <c r="BY32" i="1"/>
  <c r="BY117" i="1" s="1"/>
  <c r="BZ32" i="1"/>
  <c r="BZ117" i="1" s="1"/>
  <c r="E48" i="1"/>
  <c r="E119" i="1" s="1"/>
  <c r="F48" i="1"/>
  <c r="F119" i="1" s="1"/>
  <c r="G48" i="1"/>
  <c r="G119" i="1" s="1"/>
  <c r="H48" i="1"/>
  <c r="H119" i="1" s="1"/>
  <c r="I48" i="1"/>
  <c r="I119" i="1" s="1"/>
  <c r="J48" i="1"/>
  <c r="J119" i="1" s="1"/>
  <c r="K48" i="1"/>
  <c r="K119" i="1" s="1"/>
  <c r="L48" i="1"/>
  <c r="L119" i="1" s="1"/>
  <c r="M48" i="1"/>
  <c r="M119" i="1" s="1"/>
  <c r="N48" i="1"/>
  <c r="N119" i="1" s="1"/>
  <c r="O48" i="1"/>
  <c r="O119" i="1" s="1"/>
  <c r="P48" i="1"/>
  <c r="P119" i="1" s="1"/>
  <c r="Q48" i="1"/>
  <c r="Q119" i="1" s="1"/>
  <c r="R48" i="1"/>
  <c r="R119" i="1" s="1"/>
  <c r="S48" i="1"/>
  <c r="S119" i="1" s="1"/>
  <c r="T48" i="1"/>
  <c r="T119" i="1" s="1"/>
  <c r="U48" i="1"/>
  <c r="U119" i="1" s="1"/>
  <c r="V48" i="1"/>
  <c r="V119" i="1" s="1"/>
  <c r="W48" i="1"/>
  <c r="W119" i="1" s="1"/>
  <c r="X48" i="1"/>
  <c r="X119" i="1" s="1"/>
  <c r="Y48" i="1"/>
  <c r="Y119" i="1" s="1"/>
  <c r="Z48" i="1"/>
  <c r="Z119" i="1" s="1"/>
  <c r="AA48" i="1"/>
  <c r="AA119" i="1" s="1"/>
  <c r="AB48" i="1"/>
  <c r="AC48" i="1"/>
  <c r="AC119" i="1" s="1"/>
  <c r="AD48" i="1"/>
  <c r="AD119" i="1" s="1"/>
  <c r="AE48" i="1"/>
  <c r="AE119" i="1" s="1"/>
  <c r="AF48" i="1"/>
  <c r="AF119" i="1" s="1"/>
  <c r="AG48" i="1"/>
  <c r="AG119" i="1" s="1"/>
  <c r="AH48" i="1"/>
  <c r="AH119" i="1" s="1"/>
  <c r="AI48" i="1"/>
  <c r="AI119" i="1" s="1"/>
  <c r="AJ48" i="1"/>
  <c r="AJ119" i="1" s="1"/>
  <c r="AK48" i="1"/>
  <c r="AK119" i="1" s="1"/>
  <c r="AL48" i="1"/>
  <c r="AL119" i="1" s="1"/>
  <c r="AM48" i="1"/>
  <c r="AM119" i="1" s="1"/>
  <c r="AN48" i="1"/>
  <c r="AN119" i="1" s="1"/>
  <c r="AO48" i="1"/>
  <c r="AO119" i="1" s="1"/>
  <c r="AP48" i="1"/>
  <c r="AP119" i="1" s="1"/>
  <c r="AQ48" i="1"/>
  <c r="AQ119" i="1" s="1"/>
  <c r="AR48" i="1"/>
  <c r="AS48" i="1"/>
  <c r="AS119" i="1" s="1"/>
  <c r="AT48" i="1"/>
  <c r="AT119" i="1" s="1"/>
  <c r="AU48" i="1"/>
  <c r="AU119" i="1" s="1"/>
  <c r="AV48" i="1"/>
  <c r="AV119" i="1" s="1"/>
  <c r="AW48" i="1"/>
  <c r="AW119" i="1" s="1"/>
  <c r="AX48" i="1"/>
  <c r="AX119" i="1" s="1"/>
  <c r="AY48" i="1"/>
  <c r="AY119" i="1" s="1"/>
  <c r="AZ48" i="1"/>
  <c r="BA48" i="1"/>
  <c r="BA119" i="1" s="1"/>
  <c r="BB48" i="1"/>
  <c r="BB119" i="1" s="1"/>
  <c r="BC48" i="1"/>
  <c r="BC119" i="1" s="1"/>
  <c r="BD48" i="1"/>
  <c r="BD119" i="1" s="1"/>
  <c r="BE48" i="1"/>
  <c r="BE119" i="1" s="1"/>
  <c r="BF48" i="1"/>
  <c r="BF119" i="1" s="1"/>
  <c r="BG48" i="1"/>
  <c r="BG119" i="1" s="1"/>
  <c r="BI48" i="1"/>
  <c r="BI119" i="1" s="1"/>
  <c r="BJ48" i="1"/>
  <c r="BJ119" i="1" s="1"/>
  <c r="BK48" i="1"/>
  <c r="BK119" i="1" s="1"/>
  <c r="BL48" i="1"/>
  <c r="BL119" i="1" s="1"/>
  <c r="BM48" i="1"/>
  <c r="BM119" i="1" s="1"/>
  <c r="BN48" i="1"/>
  <c r="BN119" i="1" s="1"/>
  <c r="BO48" i="1"/>
  <c r="BO119" i="1" s="1"/>
  <c r="BP48" i="1"/>
  <c r="BP119" i="1" s="1"/>
  <c r="BQ48" i="1"/>
  <c r="BQ119" i="1" s="1"/>
  <c r="BR48" i="1"/>
  <c r="BR119" i="1" s="1"/>
  <c r="BS48" i="1"/>
  <c r="BS119" i="1" s="1"/>
  <c r="BT48" i="1"/>
  <c r="BT119" i="1" s="1"/>
  <c r="BU48" i="1"/>
  <c r="BU119" i="1" s="1"/>
  <c r="BV48" i="1"/>
  <c r="BV119" i="1" s="1"/>
  <c r="BW48" i="1"/>
  <c r="BW119" i="1" s="1"/>
  <c r="BX48" i="1"/>
  <c r="BX119" i="1" s="1"/>
  <c r="BY48" i="1"/>
  <c r="BY119" i="1" s="1"/>
  <c r="BZ48" i="1"/>
  <c r="BZ119" i="1" s="1"/>
  <c r="E53" i="1"/>
  <c r="E120" i="1" s="1"/>
  <c r="F53" i="1"/>
  <c r="F120" i="1" s="1"/>
  <c r="G53" i="1"/>
  <c r="G120" i="1" s="1"/>
  <c r="H53" i="1"/>
  <c r="H120" i="1" s="1"/>
  <c r="I53" i="1"/>
  <c r="I120" i="1" s="1"/>
  <c r="J53" i="1"/>
  <c r="J120" i="1" s="1"/>
  <c r="K53" i="1"/>
  <c r="K120" i="1" s="1"/>
  <c r="L53" i="1"/>
  <c r="L120" i="1" s="1"/>
  <c r="M53" i="1"/>
  <c r="M120" i="1" s="1"/>
  <c r="N53" i="1"/>
  <c r="N120" i="1" s="1"/>
  <c r="O53" i="1"/>
  <c r="O120" i="1" s="1"/>
  <c r="P53" i="1"/>
  <c r="P120" i="1" s="1"/>
  <c r="Q53" i="1"/>
  <c r="R53" i="1"/>
  <c r="R120" i="1" s="1"/>
  <c r="S53" i="1"/>
  <c r="S120" i="1" s="1"/>
  <c r="T53" i="1"/>
  <c r="T120" i="1" s="1"/>
  <c r="U53" i="1"/>
  <c r="U120" i="1" s="1"/>
  <c r="V53" i="1"/>
  <c r="V120" i="1" s="1"/>
  <c r="W53" i="1"/>
  <c r="W120" i="1" s="1"/>
  <c r="X53" i="1"/>
  <c r="X120" i="1" s="1"/>
  <c r="Y53" i="1"/>
  <c r="Y120" i="1" s="1"/>
  <c r="Z53" i="1"/>
  <c r="Z120" i="1" s="1"/>
  <c r="AA53" i="1"/>
  <c r="AA120" i="1" s="1"/>
  <c r="AB53" i="1"/>
  <c r="AB120" i="1" s="1"/>
  <c r="AC53" i="1"/>
  <c r="AC120" i="1" s="1"/>
  <c r="AD53" i="1"/>
  <c r="AD120" i="1" s="1"/>
  <c r="AE53" i="1"/>
  <c r="AE120" i="1" s="1"/>
  <c r="AF53" i="1"/>
  <c r="AF120" i="1" s="1"/>
  <c r="AG53" i="1"/>
  <c r="AG120" i="1" s="1"/>
  <c r="AH53" i="1"/>
  <c r="AH120" i="1" s="1"/>
  <c r="AI53" i="1"/>
  <c r="AI120" i="1" s="1"/>
  <c r="AJ53" i="1"/>
  <c r="AJ120" i="1" s="1"/>
  <c r="AK53" i="1"/>
  <c r="AK120" i="1" s="1"/>
  <c r="AL53" i="1"/>
  <c r="AL120" i="1" s="1"/>
  <c r="AM53" i="1"/>
  <c r="AM120" i="1" s="1"/>
  <c r="AN53" i="1"/>
  <c r="AN120" i="1" s="1"/>
  <c r="AO53" i="1"/>
  <c r="AO120" i="1" s="1"/>
  <c r="AP53" i="1"/>
  <c r="AP120" i="1" s="1"/>
  <c r="AQ53" i="1"/>
  <c r="AQ120" i="1" s="1"/>
  <c r="AR53" i="1"/>
  <c r="AR120" i="1" s="1"/>
  <c r="AS53" i="1"/>
  <c r="AS120" i="1" s="1"/>
  <c r="AT53" i="1"/>
  <c r="AT120" i="1" s="1"/>
  <c r="AU53" i="1"/>
  <c r="AU120" i="1" s="1"/>
  <c r="AV53" i="1"/>
  <c r="AV120" i="1" s="1"/>
  <c r="AW53" i="1"/>
  <c r="AW120" i="1" s="1"/>
  <c r="AX53" i="1"/>
  <c r="AX120" i="1" s="1"/>
  <c r="AY53" i="1"/>
  <c r="AY120" i="1" s="1"/>
  <c r="AZ53" i="1"/>
  <c r="AZ120" i="1" s="1"/>
  <c r="BA53" i="1"/>
  <c r="BA120" i="1" s="1"/>
  <c r="BB53" i="1"/>
  <c r="BB120" i="1" s="1"/>
  <c r="BC53" i="1"/>
  <c r="BC120" i="1" s="1"/>
  <c r="BD53" i="1"/>
  <c r="BD120" i="1" s="1"/>
  <c r="BE53" i="1"/>
  <c r="BE120" i="1" s="1"/>
  <c r="BF53" i="1"/>
  <c r="BF120" i="1" s="1"/>
  <c r="BG53" i="1"/>
  <c r="BG120" i="1" s="1"/>
  <c r="BI53" i="1"/>
  <c r="BI120" i="1" s="1"/>
  <c r="BJ53" i="1"/>
  <c r="BJ120" i="1" s="1"/>
  <c r="BK53" i="1"/>
  <c r="BK120" i="1" s="1"/>
  <c r="BL53" i="1"/>
  <c r="BL120" i="1" s="1"/>
  <c r="BM53" i="1"/>
  <c r="BM120" i="1" s="1"/>
  <c r="BN53" i="1"/>
  <c r="BN120" i="1" s="1"/>
  <c r="BO53" i="1"/>
  <c r="BO120" i="1" s="1"/>
  <c r="BP53" i="1"/>
  <c r="BP120" i="1" s="1"/>
  <c r="BQ53" i="1"/>
  <c r="BQ120" i="1" s="1"/>
  <c r="BR53" i="1"/>
  <c r="BR120" i="1" s="1"/>
  <c r="BS53" i="1"/>
  <c r="BS120" i="1" s="1"/>
  <c r="BT53" i="1"/>
  <c r="BT120" i="1" s="1"/>
  <c r="BU53" i="1"/>
  <c r="BU120" i="1" s="1"/>
  <c r="BV53" i="1"/>
  <c r="BV120" i="1" s="1"/>
  <c r="BW53" i="1"/>
  <c r="BW120" i="1" s="1"/>
  <c r="BX53" i="1"/>
  <c r="BX120" i="1" s="1"/>
  <c r="BY53" i="1"/>
  <c r="BY120" i="1" s="1"/>
  <c r="BZ53" i="1"/>
  <c r="BZ120" i="1" s="1"/>
  <c r="E58" i="1"/>
  <c r="F58" i="1"/>
  <c r="F121" i="1" s="1"/>
  <c r="G58" i="1"/>
  <c r="G121" i="1" s="1"/>
  <c r="H58" i="1"/>
  <c r="H121" i="1" s="1"/>
  <c r="I58" i="1"/>
  <c r="I121" i="1" s="1"/>
  <c r="J58" i="1"/>
  <c r="J121" i="1" s="1"/>
  <c r="K58" i="1"/>
  <c r="K121" i="1" s="1"/>
  <c r="L58" i="1"/>
  <c r="L121" i="1" s="1"/>
  <c r="M58" i="1"/>
  <c r="M121" i="1" s="1"/>
  <c r="N58" i="1"/>
  <c r="N121" i="1" s="1"/>
  <c r="O58" i="1"/>
  <c r="O121" i="1" s="1"/>
  <c r="P58" i="1"/>
  <c r="P121" i="1" s="1"/>
  <c r="Q58" i="1"/>
  <c r="Q121" i="1" s="1"/>
  <c r="R58" i="1"/>
  <c r="R121" i="1" s="1"/>
  <c r="S58" i="1"/>
  <c r="S121" i="1" s="1"/>
  <c r="T58" i="1"/>
  <c r="T121" i="1" s="1"/>
  <c r="U58" i="1"/>
  <c r="U121" i="1" s="1"/>
  <c r="V58" i="1"/>
  <c r="V121" i="1" s="1"/>
  <c r="W58" i="1"/>
  <c r="W121" i="1" s="1"/>
  <c r="X58" i="1"/>
  <c r="X121" i="1" s="1"/>
  <c r="Y58" i="1"/>
  <c r="Y121" i="1" s="1"/>
  <c r="Z58" i="1"/>
  <c r="Z121" i="1" s="1"/>
  <c r="AA58" i="1"/>
  <c r="AA121" i="1" s="1"/>
  <c r="AB58" i="1"/>
  <c r="AB121" i="1" s="1"/>
  <c r="AC58" i="1"/>
  <c r="AC121" i="1" s="1"/>
  <c r="AD58" i="1"/>
  <c r="AD121" i="1" s="1"/>
  <c r="AE58" i="1"/>
  <c r="AE121" i="1" s="1"/>
  <c r="AF58" i="1"/>
  <c r="AF121" i="1" s="1"/>
  <c r="AG58" i="1"/>
  <c r="AG121" i="1" s="1"/>
  <c r="AH58" i="1"/>
  <c r="AH121" i="1" s="1"/>
  <c r="AI58" i="1"/>
  <c r="AI121" i="1" s="1"/>
  <c r="AJ58" i="1"/>
  <c r="AJ121" i="1" s="1"/>
  <c r="AK58" i="1"/>
  <c r="AK121" i="1" s="1"/>
  <c r="AL58" i="1"/>
  <c r="AL121" i="1" s="1"/>
  <c r="AM58" i="1"/>
  <c r="AM121" i="1" s="1"/>
  <c r="AN58" i="1"/>
  <c r="AN121" i="1" s="1"/>
  <c r="AO58" i="1"/>
  <c r="AO121" i="1" s="1"/>
  <c r="AP58" i="1"/>
  <c r="AP121" i="1" s="1"/>
  <c r="AQ58" i="1"/>
  <c r="AQ121" i="1" s="1"/>
  <c r="AR58" i="1"/>
  <c r="AR121" i="1" s="1"/>
  <c r="AS58" i="1"/>
  <c r="AS121" i="1" s="1"/>
  <c r="AT58" i="1"/>
  <c r="AT121" i="1" s="1"/>
  <c r="AU58" i="1"/>
  <c r="AU121" i="1" s="1"/>
  <c r="AV58" i="1"/>
  <c r="AV121" i="1" s="1"/>
  <c r="AW58" i="1"/>
  <c r="AW121" i="1" s="1"/>
  <c r="AX58" i="1"/>
  <c r="AX121" i="1" s="1"/>
  <c r="AY58" i="1"/>
  <c r="AY121" i="1" s="1"/>
  <c r="AZ58" i="1"/>
  <c r="AZ121" i="1" s="1"/>
  <c r="BA58" i="1"/>
  <c r="BA121" i="1" s="1"/>
  <c r="BB58" i="1"/>
  <c r="BB121" i="1" s="1"/>
  <c r="BC58" i="1"/>
  <c r="BC121" i="1" s="1"/>
  <c r="BD58" i="1"/>
  <c r="BD121" i="1" s="1"/>
  <c r="BE58" i="1"/>
  <c r="BE121" i="1" s="1"/>
  <c r="BF58" i="1"/>
  <c r="BF121" i="1" s="1"/>
  <c r="BG58" i="1"/>
  <c r="BG121" i="1" s="1"/>
  <c r="BI58" i="1"/>
  <c r="BI121" i="1" s="1"/>
  <c r="BJ58" i="1"/>
  <c r="BJ121" i="1" s="1"/>
  <c r="BK58" i="1"/>
  <c r="BK121" i="1" s="1"/>
  <c r="BL58" i="1"/>
  <c r="BL121" i="1" s="1"/>
  <c r="BM58" i="1"/>
  <c r="BM121" i="1" s="1"/>
  <c r="BN58" i="1"/>
  <c r="BN121" i="1" s="1"/>
  <c r="BO58" i="1"/>
  <c r="BO121" i="1" s="1"/>
  <c r="BP58" i="1"/>
  <c r="BP121" i="1" s="1"/>
  <c r="BQ58" i="1"/>
  <c r="BQ121" i="1" s="1"/>
  <c r="BR58" i="1"/>
  <c r="BR121" i="1" s="1"/>
  <c r="BS58" i="1"/>
  <c r="BS121" i="1" s="1"/>
  <c r="BT58" i="1"/>
  <c r="BT121" i="1" s="1"/>
  <c r="BU58" i="1"/>
  <c r="BU121" i="1" s="1"/>
  <c r="BV58" i="1"/>
  <c r="BV121" i="1" s="1"/>
  <c r="BW58" i="1"/>
  <c r="BW121" i="1" s="1"/>
  <c r="BX58" i="1"/>
  <c r="BX121" i="1" s="1"/>
  <c r="BY58" i="1"/>
  <c r="BY121" i="1" s="1"/>
  <c r="BZ58" i="1"/>
  <c r="BZ121" i="1" s="1"/>
  <c r="E77" i="1"/>
  <c r="E130" i="1" s="1"/>
  <c r="F77" i="1"/>
  <c r="F130" i="1" s="1"/>
  <c r="G77" i="1"/>
  <c r="G130" i="1" s="1"/>
  <c r="H77" i="1"/>
  <c r="H130" i="1" s="1"/>
  <c r="I77" i="1"/>
  <c r="I130" i="1" s="1"/>
  <c r="J77" i="1"/>
  <c r="J130" i="1" s="1"/>
  <c r="K77" i="1"/>
  <c r="K130" i="1" s="1"/>
  <c r="L77" i="1"/>
  <c r="L130" i="1" s="1"/>
  <c r="M77" i="1"/>
  <c r="M130" i="1" s="1"/>
  <c r="N77" i="1"/>
  <c r="N130" i="1" s="1"/>
  <c r="O77" i="1"/>
  <c r="O130" i="1" s="1"/>
  <c r="P77" i="1"/>
  <c r="P130" i="1" s="1"/>
  <c r="Q77" i="1"/>
  <c r="Q130" i="1" s="1"/>
  <c r="R77" i="1"/>
  <c r="R130" i="1" s="1"/>
  <c r="S77" i="1"/>
  <c r="S130" i="1" s="1"/>
  <c r="T77" i="1"/>
  <c r="T130" i="1" s="1"/>
  <c r="U77" i="1"/>
  <c r="U130" i="1" s="1"/>
  <c r="V77" i="1"/>
  <c r="V130" i="1" s="1"/>
  <c r="W77" i="1"/>
  <c r="W130" i="1" s="1"/>
  <c r="X77" i="1"/>
  <c r="X130" i="1" s="1"/>
  <c r="Y77" i="1"/>
  <c r="Y130" i="1" s="1"/>
  <c r="Z77" i="1"/>
  <c r="Z130" i="1" s="1"/>
  <c r="AA77" i="1"/>
  <c r="AA130" i="1" s="1"/>
  <c r="AB77" i="1"/>
  <c r="AB130" i="1" s="1"/>
  <c r="AC77" i="1"/>
  <c r="AC130" i="1" s="1"/>
  <c r="AD77" i="1"/>
  <c r="AD130" i="1" s="1"/>
  <c r="AE77" i="1"/>
  <c r="AE130" i="1" s="1"/>
  <c r="AF77" i="1"/>
  <c r="AF130" i="1" s="1"/>
  <c r="AG77" i="1"/>
  <c r="AG130" i="1" s="1"/>
  <c r="AH77" i="1"/>
  <c r="AH130" i="1" s="1"/>
  <c r="AI77" i="1"/>
  <c r="AI130" i="1" s="1"/>
  <c r="AJ77" i="1"/>
  <c r="AJ130" i="1" s="1"/>
  <c r="AK77" i="1"/>
  <c r="AK130" i="1" s="1"/>
  <c r="AL77" i="1"/>
  <c r="AL130" i="1" s="1"/>
  <c r="AM77" i="1"/>
  <c r="AM130" i="1" s="1"/>
  <c r="AN77" i="1"/>
  <c r="AN130" i="1" s="1"/>
  <c r="AO77" i="1"/>
  <c r="AO130" i="1" s="1"/>
  <c r="AP77" i="1"/>
  <c r="AP130" i="1" s="1"/>
  <c r="AQ77" i="1"/>
  <c r="AQ130" i="1" s="1"/>
  <c r="AR77" i="1"/>
  <c r="AR130" i="1" s="1"/>
  <c r="AS77" i="1"/>
  <c r="AS130" i="1" s="1"/>
  <c r="AT77" i="1"/>
  <c r="AT130" i="1" s="1"/>
  <c r="AU77" i="1"/>
  <c r="AU130" i="1" s="1"/>
  <c r="AV77" i="1"/>
  <c r="AV130" i="1" s="1"/>
  <c r="AW77" i="1"/>
  <c r="AW130" i="1" s="1"/>
  <c r="AX77" i="1"/>
  <c r="AX130" i="1" s="1"/>
  <c r="AY77" i="1"/>
  <c r="AY130" i="1" s="1"/>
  <c r="AZ77" i="1"/>
  <c r="AZ130" i="1" s="1"/>
  <c r="BA77" i="1"/>
  <c r="BA130" i="1" s="1"/>
  <c r="BB77" i="1"/>
  <c r="BB130" i="1" s="1"/>
  <c r="BC77" i="1"/>
  <c r="BC130" i="1" s="1"/>
  <c r="BD77" i="1"/>
  <c r="BD130" i="1" s="1"/>
  <c r="BE77" i="1"/>
  <c r="BE130" i="1" s="1"/>
  <c r="BF77" i="1"/>
  <c r="BF130" i="1" s="1"/>
  <c r="BG77" i="1"/>
  <c r="BG130" i="1" s="1"/>
  <c r="BI77" i="1"/>
  <c r="BI130" i="1" s="1"/>
  <c r="BJ77" i="1"/>
  <c r="BJ130" i="1" s="1"/>
  <c r="BK77" i="1"/>
  <c r="BK130" i="1" s="1"/>
  <c r="BL77" i="1"/>
  <c r="BM77" i="1"/>
  <c r="BM130" i="1" s="1"/>
  <c r="BN77" i="1"/>
  <c r="BN130" i="1" s="1"/>
  <c r="BO77" i="1"/>
  <c r="BO130" i="1" s="1"/>
  <c r="BP77" i="1"/>
  <c r="BP130" i="1" s="1"/>
  <c r="BQ77" i="1"/>
  <c r="BQ130" i="1" s="1"/>
  <c r="BR77" i="1"/>
  <c r="BR130" i="1" s="1"/>
  <c r="BS77" i="1"/>
  <c r="BS130" i="1" s="1"/>
  <c r="BT77" i="1"/>
  <c r="BT130" i="1" s="1"/>
  <c r="BU77" i="1"/>
  <c r="BU130" i="1" s="1"/>
  <c r="BV77" i="1"/>
  <c r="BV130" i="1" s="1"/>
  <c r="BW77" i="1"/>
  <c r="BW130" i="1" s="1"/>
  <c r="BX77" i="1"/>
  <c r="BX130" i="1" s="1"/>
  <c r="BY77" i="1"/>
  <c r="BY130" i="1" s="1"/>
  <c r="BZ77" i="1"/>
  <c r="BZ130" i="1" s="1"/>
  <c r="E83" i="1"/>
  <c r="E131" i="1" s="1"/>
  <c r="F83" i="1"/>
  <c r="F131" i="1" s="1"/>
  <c r="G83" i="1"/>
  <c r="G131" i="1" s="1"/>
  <c r="H83" i="1"/>
  <c r="H131" i="1" s="1"/>
  <c r="I83" i="1"/>
  <c r="I131" i="1" s="1"/>
  <c r="J83" i="1"/>
  <c r="J131" i="1" s="1"/>
  <c r="K83" i="1"/>
  <c r="K131" i="1" s="1"/>
  <c r="L83" i="1"/>
  <c r="L131" i="1" s="1"/>
  <c r="M83" i="1"/>
  <c r="M131" i="1" s="1"/>
  <c r="N83" i="1"/>
  <c r="N131" i="1" s="1"/>
  <c r="O83" i="1"/>
  <c r="O131" i="1" s="1"/>
  <c r="P83" i="1"/>
  <c r="P131" i="1" s="1"/>
  <c r="Q83" i="1"/>
  <c r="Q131" i="1" s="1"/>
  <c r="R83" i="1"/>
  <c r="R131" i="1" s="1"/>
  <c r="S83" i="1"/>
  <c r="S131" i="1" s="1"/>
  <c r="T83" i="1"/>
  <c r="T131" i="1" s="1"/>
  <c r="U83" i="1"/>
  <c r="U131" i="1" s="1"/>
  <c r="V83" i="1"/>
  <c r="V131" i="1" s="1"/>
  <c r="W83" i="1"/>
  <c r="W131" i="1" s="1"/>
  <c r="X83" i="1"/>
  <c r="X131" i="1" s="1"/>
  <c r="Y83" i="1"/>
  <c r="Y131" i="1" s="1"/>
  <c r="Z83" i="1"/>
  <c r="Z131" i="1" s="1"/>
  <c r="AA83" i="1"/>
  <c r="AA131" i="1" s="1"/>
  <c r="AB83" i="1"/>
  <c r="AB131" i="1" s="1"/>
  <c r="AC83" i="1"/>
  <c r="AC131" i="1" s="1"/>
  <c r="AD83" i="1"/>
  <c r="AD131" i="1" s="1"/>
  <c r="AE83" i="1"/>
  <c r="AE131" i="1" s="1"/>
  <c r="AF83" i="1"/>
  <c r="AF131" i="1" s="1"/>
  <c r="AG83" i="1"/>
  <c r="AG131" i="1" s="1"/>
  <c r="AH83" i="1"/>
  <c r="AH131" i="1" s="1"/>
  <c r="AI83" i="1"/>
  <c r="AI131" i="1" s="1"/>
  <c r="AJ83" i="1"/>
  <c r="AJ131" i="1" s="1"/>
  <c r="AK83" i="1"/>
  <c r="AK131" i="1" s="1"/>
  <c r="AL83" i="1"/>
  <c r="AL131" i="1" s="1"/>
  <c r="AM83" i="1"/>
  <c r="AM131" i="1" s="1"/>
  <c r="AN83" i="1"/>
  <c r="AN131" i="1" s="1"/>
  <c r="AO83" i="1"/>
  <c r="AO131" i="1" s="1"/>
  <c r="AP83" i="1"/>
  <c r="AP131" i="1" s="1"/>
  <c r="AQ83" i="1"/>
  <c r="AQ131" i="1" s="1"/>
  <c r="AR83" i="1"/>
  <c r="AR131" i="1" s="1"/>
  <c r="AS83" i="1"/>
  <c r="AS131" i="1" s="1"/>
  <c r="AT83" i="1"/>
  <c r="AT131" i="1" s="1"/>
  <c r="AU83" i="1"/>
  <c r="AU131" i="1" s="1"/>
  <c r="AV83" i="1"/>
  <c r="AV131" i="1" s="1"/>
  <c r="AW83" i="1"/>
  <c r="AW131" i="1" s="1"/>
  <c r="AX83" i="1"/>
  <c r="AX131" i="1" s="1"/>
  <c r="AY83" i="1"/>
  <c r="AY131" i="1" s="1"/>
  <c r="AZ83" i="1"/>
  <c r="AZ131" i="1" s="1"/>
  <c r="BA83" i="1"/>
  <c r="BA131" i="1" s="1"/>
  <c r="BB83" i="1"/>
  <c r="BB131" i="1" s="1"/>
  <c r="BC83" i="1"/>
  <c r="BC131" i="1" s="1"/>
  <c r="BD83" i="1"/>
  <c r="BD131" i="1" s="1"/>
  <c r="BE83" i="1"/>
  <c r="BE131" i="1" s="1"/>
  <c r="BF83" i="1"/>
  <c r="BF131" i="1" s="1"/>
  <c r="BG83" i="1"/>
  <c r="BG131" i="1" s="1"/>
  <c r="BI83" i="1"/>
  <c r="BI131" i="1" s="1"/>
  <c r="BJ83" i="1"/>
  <c r="BJ131" i="1" s="1"/>
  <c r="BK83" i="1"/>
  <c r="BK131" i="1" s="1"/>
  <c r="BL83" i="1"/>
  <c r="BL131" i="1" s="1"/>
  <c r="BM83" i="1"/>
  <c r="BM131" i="1" s="1"/>
  <c r="BN83" i="1"/>
  <c r="BN131" i="1" s="1"/>
  <c r="BO83" i="1"/>
  <c r="BO131" i="1" s="1"/>
  <c r="BP83" i="1"/>
  <c r="BP131" i="1" s="1"/>
  <c r="BQ83" i="1"/>
  <c r="BQ131" i="1" s="1"/>
  <c r="BR83" i="1"/>
  <c r="BR131" i="1" s="1"/>
  <c r="BS83" i="1"/>
  <c r="BS131" i="1" s="1"/>
  <c r="BT83" i="1"/>
  <c r="BT131" i="1" s="1"/>
  <c r="BU83" i="1"/>
  <c r="BU131" i="1" s="1"/>
  <c r="BV83" i="1"/>
  <c r="BV131" i="1" s="1"/>
  <c r="BW83" i="1"/>
  <c r="BW131" i="1" s="1"/>
  <c r="BX83" i="1"/>
  <c r="BX131" i="1" s="1"/>
  <c r="BY83" i="1"/>
  <c r="BY131" i="1" s="1"/>
  <c r="BZ83" i="1"/>
  <c r="BZ131" i="1" s="1"/>
  <c r="E99" i="1"/>
  <c r="E133" i="1" s="1"/>
  <c r="F99" i="1"/>
  <c r="F133" i="1" s="1"/>
  <c r="G99" i="1"/>
  <c r="G133" i="1" s="1"/>
  <c r="H99" i="1"/>
  <c r="H133" i="1" s="1"/>
  <c r="I99" i="1"/>
  <c r="I133" i="1" s="1"/>
  <c r="J99" i="1"/>
  <c r="J133" i="1" s="1"/>
  <c r="K99" i="1"/>
  <c r="K133" i="1" s="1"/>
  <c r="L99" i="1"/>
  <c r="L133" i="1" s="1"/>
  <c r="M99" i="1"/>
  <c r="M133" i="1" s="1"/>
  <c r="N99" i="1"/>
  <c r="N133" i="1" s="1"/>
  <c r="O99" i="1"/>
  <c r="P99" i="1"/>
  <c r="P133" i="1" s="1"/>
  <c r="Q99" i="1"/>
  <c r="Q133" i="1" s="1"/>
  <c r="R99" i="1"/>
  <c r="R133" i="1" s="1"/>
  <c r="S99" i="1"/>
  <c r="S133" i="1" s="1"/>
  <c r="T99" i="1"/>
  <c r="T133" i="1" s="1"/>
  <c r="U99" i="1"/>
  <c r="U133" i="1" s="1"/>
  <c r="V99" i="1"/>
  <c r="V133" i="1" s="1"/>
  <c r="W99" i="1"/>
  <c r="W133" i="1" s="1"/>
  <c r="X99" i="1"/>
  <c r="X133" i="1" s="1"/>
  <c r="Y99" i="1"/>
  <c r="Y133" i="1" s="1"/>
  <c r="Z99" i="1"/>
  <c r="Z133" i="1" s="1"/>
  <c r="AA99" i="1"/>
  <c r="AA133" i="1" s="1"/>
  <c r="AB99" i="1"/>
  <c r="AB133" i="1" s="1"/>
  <c r="AC99" i="1"/>
  <c r="AC133" i="1" s="1"/>
  <c r="AD99" i="1"/>
  <c r="AD133" i="1" s="1"/>
  <c r="AE99" i="1"/>
  <c r="AE133" i="1" s="1"/>
  <c r="AF99" i="1"/>
  <c r="AF133" i="1" s="1"/>
  <c r="AG99" i="1"/>
  <c r="AG133" i="1" s="1"/>
  <c r="AH99" i="1"/>
  <c r="AH133" i="1" s="1"/>
  <c r="AI99" i="1"/>
  <c r="AI133" i="1" s="1"/>
  <c r="AJ99" i="1"/>
  <c r="AJ133" i="1" s="1"/>
  <c r="AK99" i="1"/>
  <c r="AK133" i="1" s="1"/>
  <c r="AL99" i="1"/>
  <c r="AL133" i="1" s="1"/>
  <c r="AM99" i="1"/>
  <c r="AM133" i="1" s="1"/>
  <c r="AN99" i="1"/>
  <c r="AN133" i="1" s="1"/>
  <c r="AO99" i="1"/>
  <c r="AO133" i="1" s="1"/>
  <c r="AP99" i="1"/>
  <c r="AP133" i="1" s="1"/>
  <c r="AQ99" i="1"/>
  <c r="AQ133" i="1" s="1"/>
  <c r="AR99" i="1"/>
  <c r="AR133" i="1" s="1"/>
  <c r="AS99" i="1"/>
  <c r="AS133" i="1" s="1"/>
  <c r="AT99" i="1"/>
  <c r="AT133" i="1" s="1"/>
  <c r="AU99" i="1"/>
  <c r="AU133" i="1" s="1"/>
  <c r="AV99" i="1"/>
  <c r="AV133" i="1" s="1"/>
  <c r="AW99" i="1"/>
  <c r="AW133" i="1" s="1"/>
  <c r="AX99" i="1"/>
  <c r="AX133" i="1" s="1"/>
  <c r="AY99" i="1"/>
  <c r="AY133" i="1" s="1"/>
  <c r="AZ99" i="1"/>
  <c r="AZ133" i="1" s="1"/>
  <c r="BA99" i="1"/>
  <c r="BA133" i="1" s="1"/>
  <c r="BB99" i="1"/>
  <c r="BB133" i="1" s="1"/>
  <c r="BC99" i="1"/>
  <c r="BC133" i="1" s="1"/>
  <c r="BD99" i="1"/>
  <c r="BD133" i="1" s="1"/>
  <c r="BE99" i="1"/>
  <c r="BE133" i="1" s="1"/>
  <c r="BF99" i="1"/>
  <c r="BF133" i="1" s="1"/>
  <c r="BG99" i="1"/>
  <c r="BG133" i="1" s="1"/>
  <c r="BI99" i="1"/>
  <c r="BI133" i="1" s="1"/>
  <c r="BJ99" i="1"/>
  <c r="BJ133" i="1" s="1"/>
  <c r="BK99" i="1"/>
  <c r="BL99" i="1"/>
  <c r="BL133" i="1" s="1"/>
  <c r="BM99" i="1"/>
  <c r="BM133" i="1" s="1"/>
  <c r="BN99" i="1"/>
  <c r="BN133" i="1" s="1"/>
  <c r="BO99" i="1"/>
  <c r="BO133" i="1" s="1"/>
  <c r="BP99" i="1"/>
  <c r="BP133" i="1" s="1"/>
  <c r="BQ99" i="1"/>
  <c r="BQ133" i="1" s="1"/>
  <c r="BR99" i="1"/>
  <c r="BR133" i="1" s="1"/>
  <c r="BS99" i="1"/>
  <c r="BS133" i="1" s="1"/>
  <c r="BT99" i="1"/>
  <c r="BT133" i="1" s="1"/>
  <c r="BU99" i="1"/>
  <c r="BU133" i="1" s="1"/>
  <c r="BV99" i="1"/>
  <c r="BV133" i="1" s="1"/>
  <c r="BW99" i="1"/>
  <c r="BW133" i="1" s="1"/>
  <c r="BX99" i="1"/>
  <c r="BX133" i="1" s="1"/>
  <c r="BY99" i="1"/>
  <c r="BY133" i="1" s="1"/>
  <c r="BZ99" i="1"/>
  <c r="BZ133" i="1" s="1"/>
  <c r="E104" i="1"/>
  <c r="E134" i="1" s="1"/>
  <c r="F104" i="1"/>
  <c r="F134" i="1" s="1"/>
  <c r="G104" i="1"/>
  <c r="G134" i="1" s="1"/>
  <c r="H104" i="1"/>
  <c r="H134" i="1" s="1"/>
  <c r="I104" i="1"/>
  <c r="I134" i="1" s="1"/>
  <c r="J104" i="1"/>
  <c r="J134" i="1" s="1"/>
  <c r="K104" i="1"/>
  <c r="K134" i="1" s="1"/>
  <c r="L104" i="1"/>
  <c r="L134" i="1" s="1"/>
  <c r="M104" i="1"/>
  <c r="M134" i="1" s="1"/>
  <c r="N104" i="1"/>
  <c r="N134" i="1" s="1"/>
  <c r="O104" i="1"/>
  <c r="O134" i="1" s="1"/>
  <c r="P104" i="1"/>
  <c r="P134" i="1" s="1"/>
  <c r="Q104" i="1"/>
  <c r="Q134" i="1" s="1"/>
  <c r="R104" i="1"/>
  <c r="R134" i="1" s="1"/>
  <c r="S104" i="1"/>
  <c r="S134" i="1" s="1"/>
  <c r="T104" i="1"/>
  <c r="T134" i="1" s="1"/>
  <c r="U104" i="1"/>
  <c r="U134" i="1" s="1"/>
  <c r="V104" i="1"/>
  <c r="V134" i="1" s="1"/>
  <c r="W104" i="1"/>
  <c r="W134" i="1" s="1"/>
  <c r="X104" i="1"/>
  <c r="X134" i="1" s="1"/>
  <c r="Y104" i="1"/>
  <c r="Y134" i="1" s="1"/>
  <c r="Z104" i="1"/>
  <c r="Z134" i="1" s="1"/>
  <c r="AA104" i="1"/>
  <c r="AA134" i="1" s="1"/>
  <c r="AB104" i="1"/>
  <c r="AB134" i="1" s="1"/>
  <c r="AC104" i="1"/>
  <c r="AC134" i="1" s="1"/>
  <c r="AD104" i="1"/>
  <c r="AD134" i="1" s="1"/>
  <c r="AE104" i="1"/>
  <c r="AE134" i="1" s="1"/>
  <c r="AF104" i="1"/>
  <c r="AF134" i="1" s="1"/>
  <c r="AG104" i="1"/>
  <c r="AG134" i="1" s="1"/>
  <c r="AH104" i="1"/>
  <c r="AH134" i="1" s="1"/>
  <c r="AI104" i="1"/>
  <c r="AI134" i="1" s="1"/>
  <c r="AJ104" i="1"/>
  <c r="AJ134" i="1" s="1"/>
  <c r="AK104" i="1"/>
  <c r="AK134" i="1" s="1"/>
  <c r="AL104" i="1"/>
  <c r="AL134" i="1" s="1"/>
  <c r="AM104" i="1"/>
  <c r="AM134" i="1" s="1"/>
  <c r="AN104" i="1"/>
  <c r="AN134" i="1" s="1"/>
  <c r="AO104" i="1"/>
  <c r="AO134" i="1" s="1"/>
  <c r="AP104" i="1"/>
  <c r="AP134" i="1" s="1"/>
  <c r="AQ104" i="1"/>
  <c r="AQ134" i="1" s="1"/>
  <c r="AR104" i="1"/>
  <c r="AR134" i="1" s="1"/>
  <c r="AS104" i="1"/>
  <c r="AS134" i="1" s="1"/>
  <c r="AT104" i="1"/>
  <c r="AT134" i="1" s="1"/>
  <c r="AU104" i="1"/>
  <c r="AU134" i="1" s="1"/>
  <c r="AV104" i="1"/>
  <c r="AV134" i="1" s="1"/>
  <c r="AW104" i="1"/>
  <c r="AW134" i="1" s="1"/>
  <c r="AX104" i="1"/>
  <c r="AX134" i="1" s="1"/>
  <c r="AY104" i="1"/>
  <c r="AY134" i="1" s="1"/>
  <c r="AZ104" i="1"/>
  <c r="AZ134" i="1" s="1"/>
  <c r="BA104" i="1"/>
  <c r="BA134" i="1" s="1"/>
  <c r="BB104" i="1"/>
  <c r="BB134" i="1" s="1"/>
  <c r="BC104" i="1"/>
  <c r="BC134" i="1" s="1"/>
  <c r="BD104" i="1"/>
  <c r="BD134" i="1" s="1"/>
  <c r="BE104" i="1"/>
  <c r="BE134" i="1" s="1"/>
  <c r="BF104" i="1"/>
  <c r="BF134" i="1" s="1"/>
  <c r="BG104" i="1"/>
  <c r="BG134" i="1" s="1"/>
  <c r="BI104" i="1"/>
  <c r="BI134" i="1" s="1"/>
  <c r="BJ104" i="1"/>
  <c r="BJ134" i="1" s="1"/>
  <c r="BK104" i="1"/>
  <c r="BK134" i="1" s="1"/>
  <c r="BL104" i="1"/>
  <c r="BL134" i="1" s="1"/>
  <c r="BM104" i="1"/>
  <c r="BM134" i="1" s="1"/>
  <c r="BN104" i="1"/>
  <c r="BN134" i="1" s="1"/>
  <c r="BO104" i="1"/>
  <c r="BO134" i="1" s="1"/>
  <c r="BP104" i="1"/>
  <c r="BP134" i="1" s="1"/>
  <c r="BQ104" i="1"/>
  <c r="BQ134" i="1" s="1"/>
  <c r="BR104" i="1"/>
  <c r="BR134" i="1" s="1"/>
  <c r="BS104" i="1"/>
  <c r="BS134" i="1" s="1"/>
  <c r="BT104" i="1"/>
  <c r="BT134" i="1" s="1"/>
  <c r="BU104" i="1"/>
  <c r="BU134" i="1" s="1"/>
  <c r="BV104" i="1"/>
  <c r="BV134" i="1" s="1"/>
  <c r="BW104" i="1"/>
  <c r="BW134" i="1" s="1"/>
  <c r="BX104" i="1"/>
  <c r="BX134" i="1" s="1"/>
  <c r="BY104" i="1"/>
  <c r="BY134" i="1" s="1"/>
  <c r="BZ104" i="1"/>
  <c r="BZ134" i="1" s="1"/>
  <c r="E109" i="1"/>
  <c r="E135" i="1" s="1"/>
  <c r="F109" i="1"/>
  <c r="F135" i="1" s="1"/>
  <c r="G109" i="1"/>
  <c r="G135" i="1" s="1"/>
  <c r="H109" i="1"/>
  <c r="H135" i="1" s="1"/>
  <c r="I109" i="1"/>
  <c r="I135" i="1" s="1"/>
  <c r="J109" i="1"/>
  <c r="J135" i="1" s="1"/>
  <c r="K109" i="1"/>
  <c r="K135" i="1" s="1"/>
  <c r="L109" i="1"/>
  <c r="L135" i="1" s="1"/>
  <c r="M109" i="1"/>
  <c r="M135" i="1" s="1"/>
  <c r="N109" i="1"/>
  <c r="N135" i="1" s="1"/>
  <c r="O109" i="1"/>
  <c r="O135" i="1" s="1"/>
  <c r="P109" i="1"/>
  <c r="P135" i="1" s="1"/>
  <c r="Q109" i="1"/>
  <c r="Q135" i="1" s="1"/>
  <c r="R109" i="1"/>
  <c r="R135" i="1" s="1"/>
  <c r="S109" i="1"/>
  <c r="S135" i="1" s="1"/>
  <c r="T109" i="1"/>
  <c r="T135" i="1" s="1"/>
  <c r="U109" i="1"/>
  <c r="U135" i="1" s="1"/>
  <c r="V109" i="1"/>
  <c r="V135" i="1" s="1"/>
  <c r="W109" i="1"/>
  <c r="W135" i="1" s="1"/>
  <c r="X109" i="1"/>
  <c r="X135" i="1" s="1"/>
  <c r="Y109" i="1"/>
  <c r="Y135" i="1" s="1"/>
  <c r="Z109" i="1"/>
  <c r="Z135" i="1" s="1"/>
  <c r="AA109" i="1"/>
  <c r="AA135" i="1" s="1"/>
  <c r="AB109" i="1"/>
  <c r="AB135" i="1" s="1"/>
  <c r="AC109" i="1"/>
  <c r="AC135" i="1" s="1"/>
  <c r="AD109" i="1"/>
  <c r="AD135" i="1" s="1"/>
  <c r="AE109" i="1"/>
  <c r="AE135" i="1" s="1"/>
  <c r="AF109" i="1"/>
  <c r="AF135" i="1" s="1"/>
  <c r="AG109" i="1"/>
  <c r="AG135" i="1" s="1"/>
  <c r="AH109" i="1"/>
  <c r="AH135" i="1" s="1"/>
  <c r="AI109" i="1"/>
  <c r="AI135" i="1" s="1"/>
  <c r="AJ109" i="1"/>
  <c r="AJ135" i="1" s="1"/>
  <c r="AK109" i="1"/>
  <c r="AK135" i="1" s="1"/>
  <c r="AL109" i="1"/>
  <c r="AL135" i="1" s="1"/>
  <c r="AM109" i="1"/>
  <c r="AM135" i="1" s="1"/>
  <c r="AN109" i="1"/>
  <c r="AN135" i="1" s="1"/>
  <c r="AO109" i="1"/>
  <c r="AO135" i="1" s="1"/>
  <c r="AP109" i="1"/>
  <c r="AP135" i="1" s="1"/>
  <c r="AQ109" i="1"/>
  <c r="AQ135" i="1" s="1"/>
  <c r="AR109" i="1"/>
  <c r="AR135" i="1" s="1"/>
  <c r="AS109" i="1"/>
  <c r="AS135" i="1" s="1"/>
  <c r="AT109" i="1"/>
  <c r="AT135" i="1" s="1"/>
  <c r="AU109" i="1"/>
  <c r="AU135" i="1" s="1"/>
  <c r="AV109" i="1"/>
  <c r="AV135" i="1" s="1"/>
  <c r="AW109" i="1"/>
  <c r="AW135" i="1" s="1"/>
  <c r="AX109" i="1"/>
  <c r="AX135" i="1" s="1"/>
  <c r="AY109" i="1"/>
  <c r="AY135" i="1" s="1"/>
  <c r="AZ109" i="1"/>
  <c r="AZ135" i="1" s="1"/>
  <c r="BA109" i="1"/>
  <c r="BA135" i="1" s="1"/>
  <c r="BB109" i="1"/>
  <c r="BB135" i="1" s="1"/>
  <c r="BC109" i="1"/>
  <c r="BC135" i="1" s="1"/>
  <c r="BD109" i="1"/>
  <c r="BD135" i="1" s="1"/>
  <c r="BE109" i="1"/>
  <c r="BE135" i="1" s="1"/>
  <c r="BF109" i="1"/>
  <c r="BF135" i="1" s="1"/>
  <c r="BG109" i="1"/>
  <c r="BG135" i="1" s="1"/>
  <c r="BI109" i="1"/>
  <c r="BI135" i="1" s="1"/>
  <c r="BJ109" i="1"/>
  <c r="BJ135" i="1" s="1"/>
  <c r="BK109" i="1"/>
  <c r="BK135" i="1" s="1"/>
  <c r="BL109" i="1"/>
  <c r="BL135" i="1" s="1"/>
  <c r="BM109" i="1"/>
  <c r="BM135" i="1" s="1"/>
  <c r="BN109" i="1"/>
  <c r="BN135" i="1" s="1"/>
  <c r="BO109" i="1"/>
  <c r="BO135" i="1" s="1"/>
  <c r="BP109" i="1"/>
  <c r="BP135" i="1" s="1"/>
  <c r="BQ109" i="1"/>
  <c r="BQ135" i="1" s="1"/>
  <c r="BR109" i="1"/>
  <c r="BR135" i="1" s="1"/>
  <c r="BS109" i="1"/>
  <c r="BS135" i="1" s="1"/>
  <c r="BT109" i="1"/>
  <c r="BT135" i="1" s="1"/>
  <c r="BU109" i="1"/>
  <c r="BU135" i="1" s="1"/>
  <c r="BV109" i="1"/>
  <c r="BV135" i="1" s="1"/>
  <c r="BW109" i="1"/>
  <c r="BW135" i="1" s="1"/>
  <c r="BX109" i="1"/>
  <c r="BX135" i="1" s="1"/>
  <c r="BY109" i="1"/>
  <c r="BY135" i="1" s="1"/>
  <c r="BZ109" i="1"/>
  <c r="BZ135" i="1" s="1"/>
  <c r="C138" i="1"/>
  <c r="C139" i="13" s="1"/>
  <c r="O133" i="1"/>
  <c r="Q120" i="1"/>
  <c r="AB119" i="1"/>
  <c r="AR119" i="1"/>
  <c r="AU116" i="1"/>
  <c r="AZ119" i="1"/>
  <c r="BT116" i="1"/>
  <c r="C44" i="11"/>
  <c r="C45" i="16" s="1"/>
  <c r="C33" i="11"/>
  <c r="C34" i="16" s="1"/>
  <c r="C22" i="11"/>
  <c r="C23" i="16" s="1"/>
  <c r="E12" i="11"/>
  <c r="E23" i="11" s="1"/>
  <c r="F12" i="11"/>
  <c r="F45" i="11" s="1"/>
  <c r="G12" i="11"/>
  <c r="G45" i="11" s="1"/>
  <c r="H12" i="11"/>
  <c r="H45" i="11" s="1"/>
  <c r="I12" i="11"/>
  <c r="I34" i="11" s="1"/>
  <c r="J12" i="11"/>
  <c r="K12" i="11"/>
  <c r="K45" i="11" s="1"/>
  <c r="L12" i="11"/>
  <c r="L34" i="11" s="1"/>
  <c r="M12" i="11"/>
  <c r="N12" i="11"/>
  <c r="N45" i="11" s="1"/>
  <c r="O12" i="11"/>
  <c r="O23" i="11" s="1"/>
  <c r="P12" i="11"/>
  <c r="P45" i="11" s="1"/>
  <c r="Q12" i="11"/>
  <c r="R12" i="11"/>
  <c r="R45" i="11" s="1"/>
  <c r="S12" i="11"/>
  <c r="S23" i="11" s="1"/>
  <c r="T12" i="11"/>
  <c r="T23" i="11" s="1"/>
  <c r="U12" i="11"/>
  <c r="U34" i="11" s="1"/>
  <c r="V12" i="11"/>
  <c r="V23" i="11" s="1"/>
  <c r="W12" i="11"/>
  <c r="X12" i="11"/>
  <c r="X34" i="11" s="1"/>
  <c r="Y12" i="11"/>
  <c r="Y34" i="11" s="1"/>
  <c r="Z12" i="11"/>
  <c r="Z45" i="11" s="1"/>
  <c r="AA12" i="11"/>
  <c r="AB12" i="11"/>
  <c r="AB23" i="11" s="1"/>
  <c r="AC12" i="11"/>
  <c r="AC45" i="11" s="1"/>
  <c r="AD12" i="11"/>
  <c r="AE12" i="11"/>
  <c r="AF12" i="11"/>
  <c r="AF34" i="11" s="1"/>
  <c r="AG12" i="11"/>
  <c r="AH12" i="11"/>
  <c r="AH45" i="11" s="1"/>
  <c r="AI12" i="11"/>
  <c r="AI34" i="11" s="1"/>
  <c r="AJ12" i="11"/>
  <c r="AK12" i="11"/>
  <c r="AK23" i="11" s="1"/>
  <c r="AL12" i="11"/>
  <c r="AL23" i="11" s="1"/>
  <c r="AM12" i="11"/>
  <c r="AN12" i="11"/>
  <c r="AN34" i="11" s="1"/>
  <c r="AO12" i="11"/>
  <c r="AO34" i="11" s="1"/>
  <c r="AP12" i="11"/>
  <c r="AP45" i="11" s="1"/>
  <c r="AQ12" i="11"/>
  <c r="AR12" i="11"/>
  <c r="AR23" i="11" s="1"/>
  <c r="AS12" i="11"/>
  <c r="AS34" i="11" s="1"/>
  <c r="AT12" i="11"/>
  <c r="AT23" i="11" s="1"/>
  <c r="AU12" i="11"/>
  <c r="AV12" i="11"/>
  <c r="AV23" i="11" s="1"/>
  <c r="AW12" i="11"/>
  <c r="AW34" i="11" s="1"/>
  <c r="AX12" i="11"/>
  <c r="AY12" i="11"/>
  <c r="AY34" i="11" s="1"/>
  <c r="AZ12" i="11"/>
  <c r="AZ23" i="11" s="1"/>
  <c r="BA12" i="11"/>
  <c r="BA34" i="11" s="1"/>
  <c r="BB12" i="11"/>
  <c r="BB23" i="11" s="1"/>
  <c r="BC12" i="11"/>
  <c r="BC34" i="11" s="1"/>
  <c r="BD12" i="11"/>
  <c r="BD34" i="11" s="1"/>
  <c r="BE12" i="11"/>
  <c r="BE45" i="11" s="1"/>
  <c r="BF12" i="11"/>
  <c r="BG12" i="11"/>
  <c r="BG34" i="11" s="1"/>
  <c r="BI12" i="11"/>
  <c r="BJ12" i="11"/>
  <c r="BJ34" i="11" s="1"/>
  <c r="BK12" i="11"/>
  <c r="BK34" i="11" s="1"/>
  <c r="BL12" i="11"/>
  <c r="BM12" i="11"/>
  <c r="BM23" i="11" s="1"/>
  <c r="BN12" i="11"/>
  <c r="BN23" i="11" s="1"/>
  <c r="BO12" i="11"/>
  <c r="BO34" i="11" s="1"/>
  <c r="BP12" i="11"/>
  <c r="BP45" i="11" s="1"/>
  <c r="BQ12" i="11"/>
  <c r="BQ34" i="11" s="1"/>
  <c r="BR12" i="11"/>
  <c r="BR34" i="11" s="1"/>
  <c r="BS12" i="11"/>
  <c r="BT12" i="11"/>
  <c r="BU12" i="11"/>
  <c r="BU23" i="11" s="1"/>
  <c r="BV12" i="11"/>
  <c r="BV23" i="11" s="1"/>
  <c r="BW12" i="11"/>
  <c r="BW34" i="11" s="1"/>
  <c r="BX12" i="11"/>
  <c r="BX45" i="11" s="1"/>
  <c r="BY12" i="11"/>
  <c r="BY45" i="11" s="1"/>
  <c r="BZ12" i="11"/>
  <c r="C20" i="16"/>
  <c r="D9" i="16"/>
  <c r="D12" i="10"/>
  <c r="D20" i="10" s="1"/>
  <c r="D22" i="10" s="1"/>
  <c r="D39" i="10"/>
  <c r="E12" i="10"/>
  <c r="E39" i="10"/>
  <c r="F12" i="10"/>
  <c r="F20" i="10" s="1"/>
  <c r="F22" i="10" s="1"/>
  <c r="F39" i="10"/>
  <c r="G12" i="10"/>
  <c r="G20" i="10" s="1"/>
  <c r="G22" i="10" s="1"/>
  <c r="G24" i="10" s="1"/>
  <c r="G39" i="10"/>
  <c r="H12" i="10"/>
  <c r="H20" i="10" s="1"/>
  <c r="H22" i="10" s="1"/>
  <c r="H39" i="10"/>
  <c r="I12" i="10"/>
  <c r="I46" i="10" s="1"/>
  <c r="I48" i="10" s="1"/>
  <c r="I50" i="10" s="1"/>
  <c r="I39" i="10"/>
  <c r="J12" i="10"/>
  <c r="J29" i="10" s="1"/>
  <c r="J31" i="10" s="1"/>
  <c r="J33" i="10" s="1"/>
  <c r="J39" i="10"/>
  <c r="K12" i="10"/>
  <c r="K39" i="10"/>
  <c r="L12" i="10"/>
  <c r="L20" i="10" s="1"/>
  <c r="L22" i="10" s="1"/>
  <c r="L39" i="10"/>
  <c r="M12" i="10"/>
  <c r="M39" i="10"/>
  <c r="N12" i="10"/>
  <c r="N46" i="10" s="1"/>
  <c r="N48" i="10" s="1"/>
  <c r="N50" i="10" s="1"/>
  <c r="N39" i="10"/>
  <c r="O12" i="10"/>
  <c r="O56" i="10" s="1"/>
  <c r="O39" i="10"/>
  <c r="P12" i="10"/>
  <c r="P20" i="10" s="1"/>
  <c r="P22" i="10" s="1"/>
  <c r="P39" i="10"/>
  <c r="Q12" i="10"/>
  <c r="Q29" i="10" s="1"/>
  <c r="Q31" i="10" s="1"/>
  <c r="Q33" i="10" s="1"/>
  <c r="Q39" i="10"/>
  <c r="R12" i="10"/>
  <c r="R29" i="10" s="1"/>
  <c r="R31" i="10" s="1"/>
  <c r="R33" i="10" s="1"/>
  <c r="R39" i="10"/>
  <c r="S12" i="10"/>
  <c r="S39" i="10"/>
  <c r="T12" i="10"/>
  <c r="T29" i="10" s="1"/>
  <c r="T31" i="10" s="1"/>
  <c r="T33" i="10" s="1"/>
  <c r="T39" i="10"/>
  <c r="U12" i="10"/>
  <c r="U39" i="10"/>
  <c r="V12" i="10"/>
  <c r="V39" i="10"/>
  <c r="W12" i="10"/>
  <c r="W46" i="10" s="1"/>
  <c r="W48" i="10" s="1"/>
  <c r="W50" i="10" s="1"/>
  <c r="W39" i="10"/>
  <c r="X12" i="10"/>
  <c r="X46" i="10" s="1"/>
  <c r="X48" i="10" s="1"/>
  <c r="X50" i="10" s="1"/>
  <c r="X39" i="10"/>
  <c r="Y12" i="10"/>
  <c r="Y39" i="10"/>
  <c r="Z12" i="10"/>
  <c r="Z39" i="10"/>
  <c r="AA12" i="10"/>
  <c r="AA39" i="10"/>
  <c r="AB12" i="10"/>
  <c r="AB56" i="10" s="1"/>
  <c r="AB39" i="10"/>
  <c r="AC12" i="10"/>
  <c r="AC39" i="10"/>
  <c r="AD12" i="10"/>
  <c r="AD39" i="10"/>
  <c r="AE12" i="10"/>
  <c r="AE56" i="10" s="1"/>
  <c r="AE39" i="10"/>
  <c r="AF12" i="10"/>
  <c r="AF39" i="10"/>
  <c r="AG12" i="10"/>
  <c r="AG39" i="10"/>
  <c r="AH12" i="10"/>
  <c r="AH39" i="10"/>
  <c r="AI12" i="10"/>
  <c r="AI20" i="10" s="1"/>
  <c r="AI22" i="10" s="1"/>
  <c r="AI24" i="10" s="1"/>
  <c r="AI39" i="10"/>
  <c r="AJ12" i="10"/>
  <c r="AJ29" i="10" s="1"/>
  <c r="AJ31" i="10" s="1"/>
  <c r="AJ33" i="10" s="1"/>
  <c r="AJ39" i="10"/>
  <c r="AK12" i="10"/>
  <c r="AK39" i="10"/>
  <c r="AL12" i="10"/>
  <c r="AL39" i="10"/>
  <c r="AM12" i="10"/>
  <c r="AM46" i="10" s="1"/>
  <c r="AM48" i="10" s="1"/>
  <c r="AM50" i="10" s="1"/>
  <c r="AM39" i="10"/>
  <c r="AN12" i="10"/>
  <c r="AN39" i="10"/>
  <c r="AO12" i="10"/>
  <c r="AO39" i="10"/>
  <c r="AP12" i="10"/>
  <c r="AP20" i="10" s="1"/>
  <c r="AP22" i="10" s="1"/>
  <c r="AP39" i="10"/>
  <c r="AQ12" i="10"/>
  <c r="AQ29" i="10" s="1"/>
  <c r="AQ31" i="10" s="1"/>
  <c r="AQ33" i="10" s="1"/>
  <c r="AQ39" i="10"/>
  <c r="AR12" i="10"/>
  <c r="AR29" i="10" s="1"/>
  <c r="AR31" i="10" s="1"/>
  <c r="AR33" i="10" s="1"/>
  <c r="AR39" i="10"/>
  <c r="AS12" i="10"/>
  <c r="AS39" i="10"/>
  <c r="AT12" i="10"/>
  <c r="AT39" i="10"/>
  <c r="AU12" i="10"/>
  <c r="AU20" i="10" s="1"/>
  <c r="AU22" i="10" s="1"/>
  <c r="AU39" i="10"/>
  <c r="AV12" i="10"/>
  <c r="AV39" i="10"/>
  <c r="AW12" i="10"/>
  <c r="AW20" i="10" s="1"/>
  <c r="AW22" i="10" s="1"/>
  <c r="AW39" i="10"/>
  <c r="AX12" i="10"/>
  <c r="AX20" i="10" s="1"/>
  <c r="AX22" i="10" s="1"/>
  <c r="AX39" i="10"/>
  <c r="AY12" i="10"/>
  <c r="AY46" i="10" s="1"/>
  <c r="AY48" i="10" s="1"/>
  <c r="AY50" i="10" s="1"/>
  <c r="AY39" i="10"/>
  <c r="AZ12" i="10"/>
  <c r="AZ29" i="10" s="1"/>
  <c r="AZ31" i="10" s="1"/>
  <c r="AZ33" i="10" s="1"/>
  <c r="AZ39" i="10"/>
  <c r="BA12" i="10"/>
  <c r="BA39" i="10"/>
  <c r="BB12" i="10"/>
  <c r="BB20" i="10" s="1"/>
  <c r="BB22" i="10" s="1"/>
  <c r="BB39" i="10"/>
  <c r="BC12" i="10"/>
  <c r="BC46" i="10" s="1"/>
  <c r="BC48" i="10" s="1"/>
  <c r="BC50" i="10" s="1"/>
  <c r="BC39" i="10"/>
  <c r="BD12" i="10"/>
  <c r="BD39" i="10"/>
  <c r="BE12" i="10"/>
  <c r="BE20" i="10" s="1"/>
  <c r="BE22" i="10" s="1"/>
  <c r="BE39" i="10"/>
  <c r="BF12" i="10"/>
  <c r="BF39" i="10"/>
  <c r="BG12" i="10"/>
  <c r="BG46" i="10" s="1"/>
  <c r="BG48" i="10" s="1"/>
  <c r="BG50" i="10" s="1"/>
  <c r="BG39" i="10"/>
  <c r="BI12" i="10"/>
  <c r="BI39" i="10"/>
  <c r="BJ12" i="10"/>
  <c r="BJ46" i="10" s="1"/>
  <c r="BJ48" i="10" s="1"/>
  <c r="BJ50" i="10" s="1"/>
  <c r="BJ39" i="10"/>
  <c r="BK12" i="10"/>
  <c r="BK56" i="10" s="1"/>
  <c r="BK39" i="10"/>
  <c r="BL12" i="10"/>
  <c r="BL39" i="10"/>
  <c r="BM12" i="10"/>
  <c r="BM29" i="10" s="1"/>
  <c r="BM31" i="10" s="1"/>
  <c r="BM33" i="10" s="1"/>
  <c r="BM39" i="10"/>
  <c r="BN12" i="10"/>
  <c r="BN29" i="10" s="1"/>
  <c r="BN31" i="10" s="1"/>
  <c r="BN33" i="10" s="1"/>
  <c r="BN39" i="10"/>
  <c r="BO12" i="10"/>
  <c r="BO39" i="10"/>
  <c r="BP12" i="10"/>
  <c r="BP20" i="10" s="1"/>
  <c r="BP22" i="10" s="1"/>
  <c r="BP39" i="10"/>
  <c r="BQ12" i="10"/>
  <c r="BQ20" i="10" s="1"/>
  <c r="BQ22" i="10" s="1"/>
  <c r="BQ39" i="10"/>
  <c r="BR12" i="10"/>
  <c r="BR39" i="10"/>
  <c r="BS12" i="10"/>
  <c r="BS39" i="10"/>
  <c r="BT12" i="10"/>
  <c r="BT20" i="10" s="1"/>
  <c r="BT22" i="10" s="1"/>
  <c r="BT39" i="10"/>
  <c r="BU12" i="10"/>
  <c r="BU29" i="10" s="1"/>
  <c r="BU31" i="10" s="1"/>
  <c r="BU33" i="10" s="1"/>
  <c r="BU39" i="10"/>
  <c r="BV12" i="10"/>
  <c r="BV29" i="10" s="1"/>
  <c r="BV31" i="10" s="1"/>
  <c r="BV33" i="10" s="1"/>
  <c r="BV39" i="10"/>
  <c r="BW12" i="10"/>
  <c r="BW39" i="10"/>
  <c r="BX12" i="10"/>
  <c r="BX29" i="10" s="1"/>
  <c r="BX31" i="10" s="1"/>
  <c r="BX33" i="10" s="1"/>
  <c r="BX39" i="10"/>
  <c r="BY12" i="10"/>
  <c r="BY39" i="10"/>
  <c r="BZ12" i="10"/>
  <c r="BZ39" i="10"/>
  <c r="C55" i="15"/>
  <c r="C48" i="15"/>
  <c r="C45" i="10"/>
  <c r="C46" i="15" s="1"/>
  <c r="C39" i="15"/>
  <c r="C37" i="10"/>
  <c r="C38" i="15" s="1"/>
  <c r="C31" i="15"/>
  <c r="C28" i="10"/>
  <c r="C29" i="15" s="1"/>
  <c r="C22" i="15"/>
  <c r="C19" i="10"/>
  <c r="C20" i="15" s="1"/>
  <c r="D9" i="15"/>
  <c r="C150" i="13"/>
  <c r="C15" i="1"/>
  <c r="C16" i="13" s="1"/>
  <c r="C16" i="1"/>
  <c r="C17" i="13" s="1"/>
  <c r="C24" i="1"/>
  <c r="C25" i="13" s="1"/>
  <c r="C25" i="1"/>
  <c r="C26" i="13" s="1"/>
  <c r="C29" i="1"/>
  <c r="C30" i="13" s="1"/>
  <c r="C30" i="1"/>
  <c r="C31" i="13" s="1"/>
  <c r="C31" i="1"/>
  <c r="C32" i="13" s="1"/>
  <c r="C37" i="1"/>
  <c r="C38" i="13" s="1"/>
  <c r="C38" i="1"/>
  <c r="C39" i="13" s="1"/>
  <c r="C46" i="1"/>
  <c r="C47" i="13" s="1"/>
  <c r="C47" i="1"/>
  <c r="C48" i="13" s="1"/>
  <c r="C51" i="1"/>
  <c r="C52" i="13" s="1"/>
  <c r="C52" i="1"/>
  <c r="C53" i="13" s="1"/>
  <c r="C56" i="1"/>
  <c r="C57" i="13" s="1"/>
  <c r="C57" i="1"/>
  <c r="C58" i="13" s="1"/>
  <c r="C66" i="1"/>
  <c r="C67" i="13" s="1"/>
  <c r="C67" i="1"/>
  <c r="C68" i="13" s="1"/>
  <c r="C75" i="1"/>
  <c r="C76" i="13" s="1"/>
  <c r="C76" i="1"/>
  <c r="C77" i="13" s="1"/>
  <c r="C80" i="1"/>
  <c r="C81" i="13" s="1"/>
  <c r="C81" i="1"/>
  <c r="C82" i="13" s="1"/>
  <c r="C82" i="1"/>
  <c r="C83" i="13" s="1"/>
  <c r="C88" i="1"/>
  <c r="C89" i="13" s="1"/>
  <c r="C89" i="1"/>
  <c r="C90" i="13" s="1"/>
  <c r="C97" i="1"/>
  <c r="C98" i="13" s="1"/>
  <c r="C98" i="1"/>
  <c r="C99" i="13" s="1"/>
  <c r="C102" i="1"/>
  <c r="C103" i="13" s="1"/>
  <c r="C103" i="1"/>
  <c r="C104" i="13" s="1"/>
  <c r="C107" i="1"/>
  <c r="C108" i="13" s="1"/>
  <c r="C108" i="1"/>
  <c r="C109" i="13" s="1"/>
  <c r="C145" i="13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T20" i="9"/>
  <c r="AU20" i="9"/>
  <c r="AV20" i="9"/>
  <c r="AW20" i="9"/>
  <c r="AX20" i="9"/>
  <c r="AY20" i="9"/>
  <c r="AZ20" i="9"/>
  <c r="BA20" i="9"/>
  <c r="BB20" i="9"/>
  <c r="BC20" i="9"/>
  <c r="BD20" i="9"/>
  <c r="BE20" i="9"/>
  <c r="BF20" i="9"/>
  <c r="BG20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U20" i="9"/>
  <c r="BV20" i="9"/>
  <c r="BW20" i="9"/>
  <c r="BX20" i="9"/>
  <c r="BY20" i="9"/>
  <c r="BZ20" i="9"/>
  <c r="B12" i="11"/>
  <c r="B13" i="16" s="1"/>
  <c r="B12" i="10"/>
  <c r="B13" i="15" s="1"/>
  <c r="B12" i="9"/>
  <c r="B13" i="17" s="1"/>
  <c r="D21" i="17" l="1"/>
  <c r="C32" i="1"/>
  <c r="D46" i="16"/>
  <c r="D34" i="16"/>
  <c r="D23" i="16"/>
  <c r="D45" i="16"/>
  <c r="D35" i="16"/>
  <c r="C19" i="18"/>
  <c r="C17" i="18"/>
  <c r="C16" i="18"/>
  <c r="C14" i="18"/>
  <c r="C13" i="18"/>
  <c r="D31" i="9"/>
  <c r="D41" i="9"/>
  <c r="D42" i="17" s="1"/>
  <c r="BI20" i="10"/>
  <c r="BI22" i="10" s="1"/>
  <c r="BI24" i="10" s="1"/>
  <c r="BI29" i="10"/>
  <c r="BI31" i="10" s="1"/>
  <c r="BI33" i="10" s="1"/>
  <c r="D34" i="17"/>
  <c r="D15" i="17"/>
  <c r="D19" i="17"/>
  <c r="D20" i="17"/>
  <c r="D33" i="17"/>
  <c r="BI46" i="10"/>
  <c r="BI48" i="10" s="1"/>
  <c r="BI50" i="10" s="1"/>
  <c r="D89" i="13"/>
  <c r="D109" i="13"/>
  <c r="D135" i="13"/>
  <c r="D18" i="13"/>
  <c r="D36" i="13"/>
  <c r="D53" i="13"/>
  <c r="D18" i="17"/>
  <c r="D69" i="13"/>
  <c r="D26" i="13"/>
  <c r="D58" i="13"/>
  <c r="D99" i="13"/>
  <c r="D121" i="13"/>
  <c r="D27" i="13"/>
  <c r="D68" i="13"/>
  <c r="D108" i="13"/>
  <c r="D13" i="17"/>
  <c r="D125" i="13"/>
  <c r="D38" i="13"/>
  <c r="D76" i="13"/>
  <c r="D40" i="13"/>
  <c r="D81" i="13"/>
  <c r="D139" i="13"/>
  <c r="D52" i="13"/>
  <c r="D87" i="13"/>
  <c r="D136" i="13"/>
  <c r="D134" i="13"/>
  <c r="D78" i="13"/>
  <c r="D33" i="13"/>
  <c r="D71" i="13"/>
  <c r="D17" i="13"/>
  <c r="D54" i="13"/>
  <c r="D90" i="13"/>
  <c r="D30" i="13"/>
  <c r="D47" i="13"/>
  <c r="D59" i="13"/>
  <c r="D82" i="13"/>
  <c r="D103" i="13"/>
  <c r="D117" i="13"/>
  <c r="D122" i="13"/>
  <c r="D120" i="13"/>
  <c r="D65" i="13"/>
  <c r="D31" i="13"/>
  <c r="D48" i="13"/>
  <c r="D83" i="13"/>
  <c r="D104" i="13"/>
  <c r="D32" i="13"/>
  <c r="D49" i="13"/>
  <c r="D67" i="13"/>
  <c r="D84" i="13"/>
  <c r="D105" i="13"/>
  <c r="D25" i="13"/>
  <c r="D39" i="13"/>
  <c r="D57" i="13"/>
  <c r="D77" i="13"/>
  <c r="D98" i="13"/>
  <c r="D132" i="13"/>
  <c r="D16" i="17"/>
  <c r="D42" i="13"/>
  <c r="C12" i="10"/>
  <c r="C13" i="15" s="1"/>
  <c r="C12" i="11"/>
  <c r="C13" i="16" s="1"/>
  <c r="C125" i="13"/>
  <c r="C20" i="9"/>
  <c r="C21" i="17" s="1"/>
  <c r="BF41" i="10"/>
  <c r="BA41" i="10"/>
  <c r="AO41" i="10"/>
  <c r="AK41" i="10"/>
  <c r="AG41" i="10"/>
  <c r="AC41" i="10"/>
  <c r="U41" i="10"/>
  <c r="BR41" i="10"/>
  <c r="AV41" i="10"/>
  <c r="AN41" i="10"/>
  <c r="BY41" i="10"/>
  <c r="C31" i="9"/>
  <c r="C13" i="17"/>
  <c r="BI41" i="10"/>
  <c r="AI41" i="9"/>
  <c r="C53" i="1"/>
  <c r="C54" i="13" s="1"/>
  <c r="C48" i="1"/>
  <c r="C119" i="1" s="1"/>
  <c r="C120" i="13" s="1"/>
  <c r="C39" i="1"/>
  <c r="C58" i="1"/>
  <c r="C121" i="1" s="1"/>
  <c r="C122" i="13" s="1"/>
  <c r="E121" i="1"/>
  <c r="BL117" i="1"/>
  <c r="D118" i="13" s="1"/>
  <c r="C33" i="13"/>
  <c r="C26" i="1"/>
  <c r="C116" i="1" s="1"/>
  <c r="C117" i="13" s="1"/>
  <c r="D110" i="13"/>
  <c r="C109" i="1"/>
  <c r="C110" i="13" s="1"/>
  <c r="C104" i="1"/>
  <c r="C105" i="13" s="1"/>
  <c r="C99" i="1"/>
  <c r="C133" i="1" s="1"/>
  <c r="C134" i="13" s="1"/>
  <c r="D100" i="13"/>
  <c r="BY34" i="11"/>
  <c r="BC20" i="10"/>
  <c r="BC22" i="10" s="1"/>
  <c r="BC24" i="10" s="1"/>
  <c r="S41" i="9"/>
  <c r="I31" i="9"/>
  <c r="H41" i="9"/>
  <c r="BD41" i="10"/>
  <c r="AA41" i="10"/>
  <c r="S41" i="10"/>
  <c r="K41" i="10"/>
  <c r="BW41" i="10"/>
  <c r="BO41" i="10"/>
  <c r="AH41" i="10"/>
  <c r="AD41" i="10"/>
  <c r="Z41" i="10"/>
  <c r="V41" i="10"/>
  <c r="BK133" i="1"/>
  <c r="C92" i="1"/>
  <c r="D93" i="13"/>
  <c r="C90" i="1"/>
  <c r="D91" i="13"/>
  <c r="C83" i="1"/>
  <c r="BL130" i="1"/>
  <c r="D131" i="13" s="1"/>
  <c r="C77" i="1"/>
  <c r="C70" i="1"/>
  <c r="C68" i="1"/>
  <c r="G41" i="1"/>
  <c r="C41" i="1" s="1"/>
  <c r="H117" i="1"/>
  <c r="BU19" i="1"/>
  <c r="C17" i="1"/>
  <c r="D19" i="1"/>
  <c r="D20" i="13" s="1"/>
  <c r="BQ19" i="1"/>
  <c r="BM19" i="1"/>
  <c r="BD19" i="1"/>
  <c r="AN19" i="1"/>
  <c r="X19" i="1"/>
  <c r="H19" i="1"/>
  <c r="BZ31" i="9"/>
  <c r="AQ41" i="9"/>
  <c r="C41" i="9"/>
  <c r="BG41" i="9"/>
  <c r="X41" i="9"/>
  <c r="AY41" i="9"/>
  <c r="P41" i="9"/>
  <c r="BL41" i="9"/>
  <c r="BB41" i="9"/>
  <c r="E31" i="9"/>
  <c r="AT41" i="9"/>
  <c r="AK41" i="9"/>
  <c r="BP41" i="9"/>
  <c r="AJ41" i="9"/>
  <c r="AK45" i="11"/>
  <c r="L23" i="11"/>
  <c r="AC34" i="11"/>
  <c r="N23" i="11"/>
  <c r="BP23" i="11"/>
  <c r="AO23" i="11"/>
  <c r="AI45" i="11"/>
  <c r="AY23" i="11"/>
  <c r="AR34" i="11"/>
  <c r="BY23" i="11"/>
  <c r="BR23" i="11"/>
  <c r="BM45" i="11"/>
  <c r="AI23" i="11"/>
  <c r="BJ45" i="11"/>
  <c r="BJ23" i="11"/>
  <c r="P34" i="11"/>
  <c r="P23" i="11"/>
  <c r="AY56" i="10"/>
  <c r="R20" i="10"/>
  <c r="R22" i="10" s="1"/>
  <c r="R24" i="10" s="1"/>
  <c r="AY41" i="10"/>
  <c r="BN20" i="10"/>
  <c r="BN22" i="10" s="1"/>
  <c r="BN24" i="10" s="1"/>
  <c r="BC41" i="10"/>
  <c r="O29" i="10"/>
  <c r="O31" i="10" s="1"/>
  <c r="O33" i="10" s="1"/>
  <c r="AY29" i="10"/>
  <c r="AY31" i="10" s="1"/>
  <c r="AY33" i="10" s="1"/>
  <c r="U20" i="10"/>
  <c r="U22" i="10" s="1"/>
  <c r="U24" i="10" s="1"/>
  <c r="BU20" i="10"/>
  <c r="BU22" i="10" s="1"/>
  <c r="BU24" i="10" s="1"/>
  <c r="O46" i="10"/>
  <c r="O48" i="10" s="1"/>
  <c r="O50" i="10" s="1"/>
  <c r="BV41" i="10"/>
  <c r="BR29" i="10"/>
  <c r="BR31" i="10" s="1"/>
  <c r="BR33" i="10" s="1"/>
  <c r="U46" i="10"/>
  <c r="U48" i="10" s="1"/>
  <c r="U50" i="10" s="1"/>
  <c r="BV20" i="10"/>
  <c r="BV22" i="10" s="1"/>
  <c r="BV24" i="10" s="1"/>
  <c r="BM46" i="10"/>
  <c r="BM48" i="10" s="1"/>
  <c r="BM50" i="10" s="1"/>
  <c r="AD46" i="10"/>
  <c r="AD48" i="10" s="1"/>
  <c r="AD50" i="10" s="1"/>
  <c r="O41" i="10"/>
  <c r="V56" i="10"/>
  <c r="BU46" i="10"/>
  <c r="BU48" i="10" s="1"/>
  <c r="BU50" i="10" s="1"/>
  <c r="O20" i="10"/>
  <c r="O22" i="10" s="1"/>
  <c r="O24" i="10" s="1"/>
  <c r="AE46" i="10"/>
  <c r="AE48" i="10" s="1"/>
  <c r="AE50" i="10" s="1"/>
  <c r="V20" i="10"/>
  <c r="V22" i="10" s="1"/>
  <c r="V24" i="10" s="1"/>
  <c r="BU41" i="10"/>
  <c r="BG41" i="10"/>
  <c r="R46" i="10"/>
  <c r="R48" i="10" s="1"/>
  <c r="R50" i="10" s="1"/>
  <c r="G56" i="10"/>
  <c r="BN41" i="10"/>
  <c r="AN29" i="10"/>
  <c r="AN31" i="10" s="1"/>
  <c r="AN33" i="10" s="1"/>
  <c r="G41" i="10"/>
  <c r="BF20" i="10"/>
  <c r="BF22" i="10" s="1"/>
  <c r="BF24" i="10" s="1"/>
  <c r="AM41" i="10"/>
  <c r="V46" i="10"/>
  <c r="V48" i="10" s="1"/>
  <c r="V50" i="10" s="1"/>
  <c r="F46" i="10"/>
  <c r="F48" i="10" s="1"/>
  <c r="F50" i="10" s="1"/>
  <c r="BX56" i="10"/>
  <c r="BR20" i="10"/>
  <c r="BR22" i="10" s="1"/>
  <c r="BR24" i="10" s="1"/>
  <c r="AV29" i="10"/>
  <c r="AV31" i="10" s="1"/>
  <c r="AV33" i="10" s="1"/>
  <c r="AN20" i="10"/>
  <c r="AN22" i="10" s="1"/>
  <c r="AN24" i="10" s="1"/>
  <c r="X20" i="10"/>
  <c r="X22" i="10" s="1"/>
  <c r="X24" i="10" s="1"/>
  <c r="Q20" i="10"/>
  <c r="Q22" i="10" s="1"/>
  <c r="Q24" i="10" s="1"/>
  <c r="G46" i="10"/>
  <c r="G48" i="10" s="1"/>
  <c r="G50" i="10" s="1"/>
  <c r="F41" i="10"/>
  <c r="BU34" i="11"/>
  <c r="BA45" i="11"/>
  <c r="AW45" i="11"/>
  <c r="AR45" i="11"/>
  <c r="AC23" i="11"/>
  <c r="X45" i="11"/>
  <c r="BN41" i="9"/>
  <c r="BQ31" i="9"/>
  <c r="D13" i="15"/>
  <c r="BT46" i="10"/>
  <c r="BT48" i="10" s="1"/>
  <c r="BT50" i="10" s="1"/>
  <c r="BR56" i="10"/>
  <c r="AW56" i="10"/>
  <c r="AG46" i="10"/>
  <c r="AG48" i="10" s="1"/>
  <c r="AG50" i="10" s="1"/>
  <c r="AN56" i="10"/>
  <c r="BR46" i="10"/>
  <c r="BR48" i="10" s="1"/>
  <c r="BR50" i="10" s="1"/>
  <c r="AY20" i="10"/>
  <c r="AY22" i="10" s="1"/>
  <c r="AY24" i="10" s="1"/>
  <c r="AW46" i="10"/>
  <c r="AW48" i="10" s="1"/>
  <c r="AW50" i="10" s="1"/>
  <c r="G29" i="10"/>
  <c r="G31" i="10" s="1"/>
  <c r="G33" i="10" s="1"/>
  <c r="BD23" i="11"/>
  <c r="AY45" i="11"/>
  <c r="AF23" i="11"/>
  <c r="BT29" i="10"/>
  <c r="BT31" i="10" s="1"/>
  <c r="BT33" i="10" s="1"/>
  <c r="BB56" i="10"/>
  <c r="AR41" i="10"/>
  <c r="AN46" i="10"/>
  <c r="AN48" i="10" s="1"/>
  <c r="AN50" i="10" s="1"/>
  <c r="AG20" i="10"/>
  <c r="AG22" i="10" s="1"/>
  <c r="AG24" i="10" s="1"/>
  <c r="AC29" i="10"/>
  <c r="AC31" i="10" s="1"/>
  <c r="AC33" i="10" s="1"/>
  <c r="Q46" i="10"/>
  <c r="Q48" i="10" s="1"/>
  <c r="Q50" i="10" s="1"/>
  <c r="L56" i="10"/>
  <c r="J41" i="10"/>
  <c r="BX34" i="11"/>
  <c r="BR45" i="11"/>
  <c r="O34" i="11"/>
  <c r="AA41" i="9"/>
  <c r="J31" i="9"/>
  <c r="Q41" i="10"/>
  <c r="N56" i="10"/>
  <c r="Y45" i="11"/>
  <c r="X56" i="10"/>
  <c r="BN46" i="10"/>
  <c r="BN48" i="10" s="1"/>
  <c r="BN50" i="10" s="1"/>
  <c r="BB29" i="10"/>
  <c r="BB31" i="10" s="1"/>
  <c r="BB33" i="10" s="1"/>
  <c r="AX41" i="10"/>
  <c r="AR20" i="10"/>
  <c r="AR22" i="10" s="1"/>
  <c r="AR24" i="10" s="1"/>
  <c r="AH46" i="10"/>
  <c r="AH48" i="10" s="1"/>
  <c r="AH50" i="10" s="1"/>
  <c r="AD56" i="10"/>
  <c r="X41" i="10"/>
  <c r="T41" i="10"/>
  <c r="R41" i="10"/>
  <c r="L29" i="10"/>
  <c r="L31" i="10" s="1"/>
  <c r="L33" i="10" s="1"/>
  <c r="J20" i="10"/>
  <c r="J22" i="10" s="1"/>
  <c r="J24" i="10" s="1"/>
  <c r="AS23" i="11"/>
  <c r="Y23" i="11"/>
  <c r="N34" i="11"/>
  <c r="AS31" i="9"/>
  <c r="BV46" i="10"/>
  <c r="BV48" i="10" s="1"/>
  <c r="BV50" i="10" s="1"/>
  <c r="BU56" i="10"/>
  <c r="BM56" i="10"/>
  <c r="BB41" i="10"/>
  <c r="AX46" i="10"/>
  <c r="AX48" i="10" s="1"/>
  <c r="AX50" i="10" s="1"/>
  <c r="AV20" i="10"/>
  <c r="AV22" i="10" s="1"/>
  <c r="AV24" i="10" s="1"/>
  <c r="AM20" i="10"/>
  <c r="AM22" i="10" s="1"/>
  <c r="AM24" i="10" s="1"/>
  <c r="AG29" i="10"/>
  <c r="AG31" i="10" s="1"/>
  <c r="AG33" i="10" s="1"/>
  <c r="AE41" i="10"/>
  <c r="AC20" i="10"/>
  <c r="AC22" i="10" s="1"/>
  <c r="AC24" i="10" s="1"/>
  <c r="V29" i="10"/>
  <c r="V31" i="10" s="1"/>
  <c r="V33" i="10" s="1"/>
  <c r="L41" i="10"/>
  <c r="BV45" i="11"/>
  <c r="BG23" i="11"/>
  <c r="U23" i="11"/>
  <c r="H34" i="11"/>
  <c r="BK46" i="10"/>
  <c r="BK48" i="10" s="1"/>
  <c r="BK50" i="10" s="1"/>
  <c r="BD56" i="10"/>
  <c r="D13" i="16"/>
  <c r="BM41" i="9"/>
  <c r="AZ41" i="9"/>
  <c r="Q41" i="9"/>
  <c r="BP56" i="10"/>
  <c r="BK41" i="10"/>
  <c r="AP46" i="10"/>
  <c r="AP48" i="10" s="1"/>
  <c r="AP50" i="10" s="1"/>
  <c r="AJ46" i="10"/>
  <c r="AJ48" i="10" s="1"/>
  <c r="AJ50" i="10" s="1"/>
  <c r="AI56" i="10"/>
  <c r="AE29" i="10"/>
  <c r="AE31" i="10" s="1"/>
  <c r="AE33" i="10" s="1"/>
  <c r="AD29" i="10"/>
  <c r="AD31" i="10" s="1"/>
  <c r="AD33" i="10" s="1"/>
  <c r="BM34" i="11"/>
  <c r="T45" i="11"/>
  <c r="AG41" i="9"/>
  <c r="BQ46" i="10"/>
  <c r="BQ48" i="10" s="1"/>
  <c r="BQ50" i="10" s="1"/>
  <c r="BP41" i="10"/>
  <c r="BM20" i="10"/>
  <c r="BM22" i="10" s="1"/>
  <c r="BM24" i="10" s="1"/>
  <c r="BD46" i="10"/>
  <c r="BD48" i="10" s="1"/>
  <c r="BD50" i="10" s="1"/>
  <c r="AZ20" i="10"/>
  <c r="AZ22" i="10" s="1"/>
  <c r="AZ24" i="10" s="1"/>
  <c r="AV56" i="10"/>
  <c r="AU46" i="10"/>
  <c r="AU48" i="10" s="1"/>
  <c r="AU50" i="10" s="1"/>
  <c r="AP41" i="10"/>
  <c r="AJ41" i="10"/>
  <c r="AI46" i="10"/>
  <c r="AI48" i="10" s="1"/>
  <c r="AI50" i="10" s="1"/>
  <c r="AE20" i="10"/>
  <c r="AE22" i="10" s="1"/>
  <c r="AE24" i="10" s="1"/>
  <c r="AD20" i="10"/>
  <c r="AD22" i="10" s="1"/>
  <c r="AD24" i="10" s="1"/>
  <c r="BP34" i="11"/>
  <c r="AZ45" i="11"/>
  <c r="AS45" i="11"/>
  <c r="AO45" i="11"/>
  <c r="AF45" i="11"/>
  <c r="T34" i="11"/>
  <c r="BI41" i="9"/>
  <c r="AX41" i="9"/>
  <c r="BQ41" i="10"/>
  <c r="BK29" i="10"/>
  <c r="BK31" i="10" s="1"/>
  <c r="BK33" i="10" s="1"/>
  <c r="BE56" i="10"/>
  <c r="AU41" i="10"/>
  <c r="AQ56" i="10"/>
  <c r="AV45" i="11"/>
  <c r="AB45" i="11"/>
  <c r="BV41" i="9"/>
  <c r="AC41" i="9"/>
  <c r="BK20" i="10"/>
  <c r="BK22" i="10" s="1"/>
  <c r="BK24" i="10" s="1"/>
  <c r="BE46" i="10"/>
  <c r="BE48" i="10" s="1"/>
  <c r="BE50" i="10" s="1"/>
  <c r="BD29" i="10"/>
  <c r="BD31" i="10" s="1"/>
  <c r="BD33" i="10" s="1"/>
  <c r="AV46" i="10"/>
  <c r="AV48" i="10" s="1"/>
  <c r="AV50" i="10" s="1"/>
  <c r="AI29" i="10"/>
  <c r="AI31" i="10" s="1"/>
  <c r="AI33" i="10" s="1"/>
  <c r="AG56" i="10"/>
  <c r="Q56" i="10"/>
  <c r="F56" i="10"/>
  <c r="AV34" i="11"/>
  <c r="AB34" i="11"/>
  <c r="S45" i="11"/>
  <c r="BT41" i="9"/>
  <c r="AR41" i="9"/>
  <c r="AB41" i="9"/>
  <c r="BP29" i="10"/>
  <c r="BP31" i="10" s="1"/>
  <c r="BP33" i="10" s="1"/>
  <c r="BD20" i="10"/>
  <c r="BD22" i="10" s="1"/>
  <c r="BD24" i="10" s="1"/>
  <c r="AJ20" i="10"/>
  <c r="AJ22" i="10" s="1"/>
  <c r="AJ24" i="10" s="1"/>
  <c r="BW23" i="11"/>
  <c r="BO23" i="11"/>
  <c r="AN45" i="11"/>
  <c r="I45" i="11"/>
  <c r="BZ29" i="10"/>
  <c r="BZ31" i="10" s="1"/>
  <c r="BZ33" i="10" s="1"/>
  <c r="BZ41" i="10"/>
  <c r="BZ46" i="10"/>
  <c r="BZ48" i="10" s="1"/>
  <c r="BZ50" i="10" s="1"/>
  <c r="BZ20" i="10"/>
  <c r="BZ22" i="10" s="1"/>
  <c r="BZ24" i="10" s="1"/>
  <c r="BZ56" i="10"/>
  <c r="AQ41" i="10"/>
  <c r="AQ46" i="10"/>
  <c r="AQ48" i="10" s="1"/>
  <c r="AQ50" i="10" s="1"/>
  <c r="AQ20" i="10"/>
  <c r="AQ22" i="10" s="1"/>
  <c r="AQ24" i="10" s="1"/>
  <c r="I20" i="10"/>
  <c r="I22" i="10" s="1"/>
  <c r="I24" i="10" s="1"/>
  <c r="I29" i="10"/>
  <c r="I31" i="10" s="1"/>
  <c r="I33" i="10" s="1"/>
  <c r="I41" i="10"/>
  <c r="I56" i="10"/>
  <c r="AG34" i="11"/>
  <c r="AG23" i="11"/>
  <c r="AG45" i="11"/>
  <c r="AL20" i="10"/>
  <c r="AL22" i="10" s="1"/>
  <c r="AL24" i="10" s="1"/>
  <c r="AL29" i="10"/>
  <c r="AL31" i="10" s="1"/>
  <c r="AL33" i="10" s="1"/>
  <c r="AL41" i="10"/>
  <c r="AL56" i="10"/>
  <c r="AQ23" i="11"/>
  <c r="AQ34" i="11"/>
  <c r="AQ45" i="11"/>
  <c r="AF41" i="10"/>
  <c r="AF29" i="10"/>
  <c r="AF31" i="10" s="1"/>
  <c r="AF33" i="10" s="1"/>
  <c r="AF46" i="10"/>
  <c r="AF48" i="10" s="1"/>
  <c r="AF50" i="10" s="1"/>
  <c r="AF56" i="10"/>
  <c r="AF20" i="10"/>
  <c r="AF22" i="10" s="1"/>
  <c r="AF24" i="10" s="1"/>
  <c r="N29" i="10"/>
  <c r="N31" i="10" s="1"/>
  <c r="N33" i="10" s="1"/>
  <c r="N41" i="10"/>
  <c r="N20" i="10"/>
  <c r="N22" i="10" s="1"/>
  <c r="N24" i="10" s="1"/>
  <c r="E20" i="10"/>
  <c r="E22" i="10" s="1"/>
  <c r="E24" i="10" s="1"/>
  <c r="E41" i="10"/>
  <c r="E46" i="10"/>
  <c r="E48" i="10" s="1"/>
  <c r="E50" i="10" s="1"/>
  <c r="BE34" i="11"/>
  <c r="BE23" i="11"/>
  <c r="G34" i="11"/>
  <c r="G23" i="11"/>
  <c r="BJ56" i="10"/>
  <c r="AT20" i="10"/>
  <c r="AT22" i="10" s="1"/>
  <c r="AT24" i="10" s="1"/>
  <c r="AT41" i="10"/>
  <c r="AT56" i="10"/>
  <c r="AT29" i="10"/>
  <c r="AT31" i="10" s="1"/>
  <c r="AT33" i="10" s="1"/>
  <c r="AJ23" i="11"/>
  <c r="AJ34" i="11"/>
  <c r="AJ45" i="11"/>
  <c r="BS20" i="10"/>
  <c r="BS22" i="10" s="1"/>
  <c r="BS24" i="10" s="1"/>
  <c r="BS56" i="10"/>
  <c r="BS29" i="10"/>
  <c r="BS31" i="10" s="1"/>
  <c r="BS33" i="10" s="1"/>
  <c r="BS46" i="10"/>
  <c r="BS48" i="10" s="1"/>
  <c r="BS50" i="10" s="1"/>
  <c r="W56" i="10"/>
  <c r="BZ34" i="11"/>
  <c r="BZ23" i="11"/>
  <c r="J34" i="11"/>
  <c r="J23" i="11"/>
  <c r="BJ29" i="10"/>
  <c r="BJ31" i="10" s="1"/>
  <c r="BJ33" i="10" s="1"/>
  <c r="BJ41" i="10"/>
  <c r="BJ20" i="10"/>
  <c r="BJ22" i="10" s="1"/>
  <c r="BJ24" i="10" s="1"/>
  <c r="W20" i="10"/>
  <c r="W22" i="10" s="1"/>
  <c r="W24" i="10" s="1"/>
  <c r="W29" i="10"/>
  <c r="W31" i="10" s="1"/>
  <c r="W33" i="10" s="1"/>
  <c r="W41" i="10"/>
  <c r="Q34" i="11"/>
  <c r="Q45" i="11"/>
  <c r="BS41" i="10"/>
  <c r="M41" i="10"/>
  <c r="M46" i="10"/>
  <c r="M48" i="10" s="1"/>
  <c r="M50" i="10" s="1"/>
  <c r="M20" i="10"/>
  <c r="M22" i="10" s="1"/>
  <c r="M24" i="10" s="1"/>
  <c r="AA23" i="11"/>
  <c r="AA34" i="11"/>
  <c r="AA45" i="11"/>
  <c r="D23" i="11"/>
  <c r="D24" i="16" s="1"/>
  <c r="BM41" i="10"/>
  <c r="BE41" i="10"/>
  <c r="AW41" i="10"/>
  <c r="AR46" i="10"/>
  <c r="AR48" i="10" s="1"/>
  <c r="AR50" i="10" s="1"/>
  <c r="AO29" i="10"/>
  <c r="AO31" i="10" s="1"/>
  <c r="AO33" i="10" s="1"/>
  <c r="AI41" i="10"/>
  <c r="J46" i="10"/>
  <c r="J48" i="10" s="1"/>
  <c r="J50" i="10" s="1"/>
  <c r="BU41" i="9"/>
  <c r="BJ31" i="9"/>
  <c r="U31" i="9"/>
  <c r="BX41" i="10"/>
  <c r="BG29" i="10"/>
  <c r="BG31" i="10" s="1"/>
  <c r="BG33" i="10" s="1"/>
  <c r="BE29" i="10"/>
  <c r="BE31" i="10" s="1"/>
  <c r="BE33" i="10" s="1"/>
  <c r="AZ46" i="10"/>
  <c r="AZ48" i="10" s="1"/>
  <c r="AZ50" i="10" s="1"/>
  <c r="AW29" i="10"/>
  <c r="AW31" i="10" s="1"/>
  <c r="AW33" i="10" s="1"/>
  <c r="AO56" i="10"/>
  <c r="AC56" i="10"/>
  <c r="H46" i="10"/>
  <c r="H48" i="10" s="1"/>
  <c r="H50" i="10" s="1"/>
  <c r="D56" i="10"/>
  <c r="BK45" i="11"/>
  <c r="BG45" i="11"/>
  <c r="BD45" i="11"/>
  <c r="BA23" i="11"/>
  <c r="AK34" i="11"/>
  <c r="U45" i="11"/>
  <c r="S34" i="11"/>
  <c r="L45" i="11"/>
  <c r="F34" i="11"/>
  <c r="BF41" i="9"/>
  <c r="BS31" i="9"/>
  <c r="AP31" i="9"/>
  <c r="Y41" i="9"/>
  <c r="BY46" i="10"/>
  <c r="BY48" i="10" s="1"/>
  <c r="BY50" i="10" s="1"/>
  <c r="BG20" i="10"/>
  <c r="BG22" i="10" s="1"/>
  <c r="BG24" i="10" s="1"/>
  <c r="BE24" i="10"/>
  <c r="AZ41" i="10"/>
  <c r="AW24" i="10"/>
  <c r="AO20" i="10"/>
  <c r="AO22" i="10" s="1"/>
  <c r="AO24" i="10" s="1"/>
  <c r="AH20" i="10"/>
  <c r="AH22" i="10" s="1"/>
  <c r="AH24" i="10" s="1"/>
  <c r="X29" i="10"/>
  <c r="X31" i="10" s="1"/>
  <c r="X33" i="10" s="1"/>
  <c r="H41" i="10"/>
  <c r="F29" i="10"/>
  <c r="F31" i="10" s="1"/>
  <c r="F33" i="10" s="1"/>
  <c r="D41" i="10"/>
  <c r="BU45" i="11"/>
  <c r="BN45" i="11"/>
  <c r="BK23" i="11"/>
  <c r="O45" i="11"/>
  <c r="F23" i="11"/>
  <c r="AN41" i="9"/>
  <c r="AF41" i="9"/>
  <c r="M41" i="9"/>
  <c r="BY31" i="9"/>
  <c r="BD31" i="9"/>
  <c r="Z31" i="9"/>
  <c r="T31" i="9"/>
  <c r="L41" i="9"/>
  <c r="BY20" i="10"/>
  <c r="BY22" i="10" s="1"/>
  <c r="BY24" i="10" s="1"/>
  <c r="BG56" i="10"/>
  <c r="AO46" i="10"/>
  <c r="AO48" i="10" s="1"/>
  <c r="AO50" i="10" s="1"/>
  <c r="D29" i="10"/>
  <c r="D31" i="10" s="1"/>
  <c r="BX23" i="11"/>
  <c r="AZ34" i="11"/>
  <c r="AW23" i="11"/>
  <c r="AN23" i="11"/>
  <c r="X23" i="11"/>
  <c r="H23" i="11"/>
  <c r="BC41" i="9"/>
  <c r="AU41" i="9"/>
  <c r="K41" i="9"/>
  <c r="AO31" i="9"/>
  <c r="F24" i="10"/>
  <c r="AV31" i="9"/>
  <c r="D32" i="17" s="1"/>
  <c r="AS20" i="10"/>
  <c r="AS22" i="10" s="1"/>
  <c r="AS24" i="10" s="1"/>
  <c r="AS46" i="10"/>
  <c r="AS48" i="10" s="1"/>
  <c r="AS50" i="10" s="1"/>
  <c r="AS29" i="10"/>
  <c r="AS31" i="10" s="1"/>
  <c r="AS33" i="10" s="1"/>
  <c r="AS56" i="10"/>
  <c r="BT41" i="10"/>
  <c r="BQ24" i="10"/>
  <c r="AP24" i="10"/>
  <c r="AP29" i="10"/>
  <c r="AP31" i="10" s="1"/>
  <c r="AP33" i="10" s="1"/>
  <c r="AP56" i="10"/>
  <c r="Y20" i="10"/>
  <c r="Y22" i="10" s="1"/>
  <c r="Y24" i="10" s="1"/>
  <c r="Y56" i="10"/>
  <c r="Y29" i="10"/>
  <c r="Y31" i="10" s="1"/>
  <c r="Y33" i="10" s="1"/>
  <c r="AU24" i="10"/>
  <c r="BF29" i="10"/>
  <c r="BF31" i="10" s="1"/>
  <c r="BF33" i="10" s="1"/>
  <c r="BF56" i="10"/>
  <c r="AK20" i="10"/>
  <c r="AK22" i="10" s="1"/>
  <c r="AK24" i="10" s="1"/>
  <c r="AK46" i="10"/>
  <c r="AK48" i="10" s="1"/>
  <c r="AK50" i="10" s="1"/>
  <c r="AK29" i="10"/>
  <c r="AK31" i="10" s="1"/>
  <c r="AK33" i="10" s="1"/>
  <c r="AK56" i="10"/>
  <c r="BL29" i="10"/>
  <c r="BL31" i="10" s="1"/>
  <c r="BL33" i="10" s="1"/>
  <c r="BL56" i="10"/>
  <c r="Z29" i="10"/>
  <c r="Z31" i="10" s="1"/>
  <c r="Z33" i="10" s="1"/>
  <c r="Z56" i="10"/>
  <c r="Z20" i="10"/>
  <c r="Z22" i="10" s="1"/>
  <c r="Z24" i="10" s="1"/>
  <c r="BX20" i="10"/>
  <c r="BX22" i="10" s="1"/>
  <c r="BX24" i="10" s="1"/>
  <c r="BX46" i="10"/>
  <c r="BX48" i="10" s="1"/>
  <c r="BX50" i="10" s="1"/>
  <c r="BL46" i="10"/>
  <c r="BL48" i="10" s="1"/>
  <c r="BL50" i="10" s="1"/>
  <c r="AH29" i="10"/>
  <c r="AH31" i="10" s="1"/>
  <c r="AH33" i="10" s="1"/>
  <c r="AH56" i="10"/>
  <c r="AB20" i="10"/>
  <c r="AB22" i="10" s="1"/>
  <c r="AB24" i="10" s="1"/>
  <c r="AB46" i="10"/>
  <c r="AB48" i="10" s="1"/>
  <c r="AB50" i="10" s="1"/>
  <c r="AB29" i="10"/>
  <c r="AB31" i="10" s="1"/>
  <c r="AB33" i="10" s="1"/>
  <c r="AB41" i="10"/>
  <c r="BT24" i="10"/>
  <c r="BL41" i="10"/>
  <c r="BA20" i="10"/>
  <c r="BA22" i="10" s="1"/>
  <c r="BA24" i="10" s="1"/>
  <c r="BA46" i="10"/>
  <c r="BA48" i="10" s="1"/>
  <c r="BA50" i="10" s="1"/>
  <c r="BA29" i="10"/>
  <c r="BA31" i="10" s="1"/>
  <c r="BA33" i="10" s="1"/>
  <c r="BA56" i="10"/>
  <c r="P24" i="10"/>
  <c r="P29" i="10"/>
  <c r="P31" i="10" s="1"/>
  <c r="P33" i="10" s="1"/>
  <c r="P41" i="10"/>
  <c r="P46" i="10"/>
  <c r="P48" i="10" s="1"/>
  <c r="P50" i="10" s="1"/>
  <c r="P56" i="10"/>
  <c r="BY29" i="10"/>
  <c r="BY31" i="10" s="1"/>
  <c r="BY33" i="10" s="1"/>
  <c r="BY56" i="10"/>
  <c r="BW20" i="10"/>
  <c r="BW22" i="10" s="1"/>
  <c r="BW24" i="10" s="1"/>
  <c r="BW46" i="10"/>
  <c r="BW48" i="10" s="1"/>
  <c r="BW50" i="10" s="1"/>
  <c r="BW29" i="10"/>
  <c r="BW31" i="10" s="1"/>
  <c r="BW33" i="10" s="1"/>
  <c r="BW56" i="10"/>
  <c r="AX24" i="10"/>
  <c r="AX29" i="10"/>
  <c r="AX31" i="10" s="1"/>
  <c r="AX33" i="10" s="1"/>
  <c r="AX56" i="10"/>
  <c r="AS41" i="10"/>
  <c r="Y46" i="10"/>
  <c r="Y48" i="10" s="1"/>
  <c r="Y50" i="10" s="1"/>
  <c r="BT56" i="10"/>
  <c r="BO20" i="10"/>
  <c r="BO22" i="10" s="1"/>
  <c r="BO24" i="10" s="1"/>
  <c r="BO46" i="10"/>
  <c r="BO48" i="10" s="1"/>
  <c r="BO50" i="10" s="1"/>
  <c r="BO29" i="10"/>
  <c r="BO31" i="10" s="1"/>
  <c r="BO33" i="10" s="1"/>
  <c r="BO56" i="10"/>
  <c r="BL20" i="10"/>
  <c r="BL22" i="10" s="1"/>
  <c r="BL24" i="10" s="1"/>
  <c r="BF46" i="10"/>
  <c r="BF48" i="10" s="1"/>
  <c r="BF50" i="10" s="1"/>
  <c r="Z46" i="10"/>
  <c r="Z48" i="10" s="1"/>
  <c r="Z50" i="10" s="1"/>
  <c r="Y41" i="10"/>
  <c r="BP24" i="10"/>
  <c r="BB24" i="10"/>
  <c r="R41" i="9"/>
  <c r="R31" i="9"/>
  <c r="S20" i="10"/>
  <c r="S22" i="10" s="1"/>
  <c r="S24" i="10" s="1"/>
  <c r="S46" i="10"/>
  <c r="S48" i="10" s="1"/>
  <c r="S50" i="10" s="1"/>
  <c r="S29" i="10"/>
  <c r="S31" i="10" s="1"/>
  <c r="S33" i="10" s="1"/>
  <c r="S56" i="10"/>
  <c r="K20" i="10"/>
  <c r="K22" i="10" s="1"/>
  <c r="K24" i="10" s="1"/>
  <c r="K46" i="10"/>
  <c r="K48" i="10" s="1"/>
  <c r="K50" i="10" s="1"/>
  <c r="K29" i="10"/>
  <c r="K31" i="10" s="1"/>
  <c r="K33" i="10" s="1"/>
  <c r="K56" i="10"/>
  <c r="BP46" i="10"/>
  <c r="BP48" i="10" s="1"/>
  <c r="BP50" i="10" s="1"/>
  <c r="BB46" i="10"/>
  <c r="BB48" i="10" s="1"/>
  <c r="BB50" i="10" s="1"/>
  <c r="AT46" i="10"/>
  <c r="AT48" i="10" s="1"/>
  <c r="AT50" i="10" s="1"/>
  <c r="AL46" i="10"/>
  <c r="AL48" i="10" s="1"/>
  <c r="AL50" i="10" s="1"/>
  <c r="AC46" i="10"/>
  <c r="AC48" i="10" s="1"/>
  <c r="AC50" i="10" s="1"/>
  <c r="T20" i="10"/>
  <c r="T22" i="10" s="1"/>
  <c r="T24" i="10" s="1"/>
  <c r="T46" i="10"/>
  <c r="T48" i="10" s="1"/>
  <c r="T50" i="10" s="1"/>
  <c r="H24" i="10"/>
  <c r="H29" i="10"/>
  <c r="H31" i="10" s="1"/>
  <c r="H33" i="10" s="1"/>
  <c r="H56" i="10"/>
  <c r="BL45" i="11"/>
  <c r="BL23" i="11"/>
  <c r="BL34" i="11"/>
  <c r="BI23" i="11"/>
  <c r="BI45" i="11"/>
  <c r="BI34" i="11"/>
  <c r="AU23" i="11"/>
  <c r="AU34" i="11"/>
  <c r="AU45" i="11"/>
  <c r="AD34" i="11"/>
  <c r="AD45" i="11"/>
  <c r="AD23" i="11"/>
  <c r="M23" i="11"/>
  <c r="M34" i="11"/>
  <c r="M45" i="11"/>
  <c r="BS23" i="11"/>
  <c r="BS34" i="11"/>
  <c r="BS45" i="11"/>
  <c r="AL34" i="11"/>
  <c r="AL45" i="11"/>
  <c r="BQ56" i="10"/>
  <c r="BQ29" i="10"/>
  <c r="BQ31" i="10" s="1"/>
  <c r="BQ33" i="10" s="1"/>
  <c r="BI56" i="10"/>
  <c r="BC56" i="10"/>
  <c r="BC29" i="10"/>
  <c r="BC31" i="10" s="1"/>
  <c r="BC33" i="10" s="1"/>
  <c r="AU56" i="10"/>
  <c r="AU29" i="10"/>
  <c r="AU31" i="10" s="1"/>
  <c r="AU33" i="10" s="1"/>
  <c r="AM56" i="10"/>
  <c r="AM29" i="10"/>
  <c r="AM31" i="10" s="1"/>
  <c r="AM33" i="10" s="1"/>
  <c r="BB34" i="11"/>
  <c r="BB45" i="11"/>
  <c r="BV56" i="10"/>
  <c r="BN56" i="10"/>
  <c r="AZ56" i="10"/>
  <c r="AR56" i="10"/>
  <c r="AJ56" i="10"/>
  <c r="AA20" i="10"/>
  <c r="AA22" i="10" s="1"/>
  <c r="AA24" i="10" s="1"/>
  <c r="AA46" i="10"/>
  <c r="AA48" i="10" s="1"/>
  <c r="AA50" i="10" s="1"/>
  <c r="AA29" i="10"/>
  <c r="AA31" i="10" s="1"/>
  <c r="AA33" i="10" s="1"/>
  <c r="AA56" i="10"/>
  <c r="T56" i="10"/>
  <c r="L24" i="10"/>
  <c r="D24" i="10"/>
  <c r="BT45" i="11"/>
  <c r="BT23" i="11"/>
  <c r="BT34" i="11"/>
  <c r="AW41" i="9"/>
  <c r="AW31" i="9"/>
  <c r="AT34" i="11"/>
  <c r="AT45" i="11"/>
  <c r="L46" i="10"/>
  <c r="L48" i="10" s="1"/>
  <c r="L50" i="10" s="1"/>
  <c r="D46" i="10"/>
  <c r="D48" i="10" s="1"/>
  <c r="D50" i="10" s="1"/>
  <c r="BZ45" i="11"/>
  <c r="BV34" i="11"/>
  <c r="BQ23" i="11"/>
  <c r="BQ45" i="11"/>
  <c r="BN34" i="11"/>
  <c r="AX45" i="11"/>
  <c r="AX23" i="11"/>
  <c r="AX34" i="11"/>
  <c r="W23" i="11"/>
  <c r="W34" i="11"/>
  <c r="W45" i="11"/>
  <c r="BC23" i="11"/>
  <c r="BC45" i="11"/>
  <c r="AE23" i="11"/>
  <c r="AE34" i="11"/>
  <c r="AE45" i="11"/>
  <c r="U56" i="10"/>
  <c r="U29" i="10"/>
  <c r="U31" i="10" s="1"/>
  <c r="U33" i="10" s="1"/>
  <c r="M56" i="10"/>
  <c r="M29" i="10"/>
  <c r="M31" i="10" s="1"/>
  <c r="M33" i="10" s="1"/>
  <c r="E56" i="10"/>
  <c r="E29" i="10"/>
  <c r="E31" i="10" s="1"/>
  <c r="E33" i="10" s="1"/>
  <c r="AM23" i="11"/>
  <c r="AM34" i="11"/>
  <c r="AM45" i="11"/>
  <c r="F31" i="9"/>
  <c r="F41" i="9"/>
  <c r="R56" i="10"/>
  <c r="J56" i="10"/>
  <c r="BF45" i="11"/>
  <c r="BF23" i="11"/>
  <c r="BF34" i="11"/>
  <c r="V34" i="11"/>
  <c r="V45" i="11"/>
  <c r="AP34" i="11"/>
  <c r="AH34" i="11"/>
  <c r="Z34" i="11"/>
  <c r="R34" i="11"/>
  <c r="J45" i="11"/>
  <c r="E45" i="11"/>
  <c r="BO31" i="9"/>
  <c r="BO41" i="9"/>
  <c r="BW45" i="11"/>
  <c r="BO45" i="11"/>
  <c r="AP23" i="11"/>
  <c r="AH23" i="11"/>
  <c r="Z23" i="11"/>
  <c r="R23" i="11"/>
  <c r="Q23" i="11"/>
  <c r="I23" i="11"/>
  <c r="E34" i="11"/>
  <c r="BX31" i="9"/>
  <c r="BX41" i="9"/>
  <c r="AL31" i="9"/>
  <c r="AL41" i="9"/>
  <c r="BA31" i="9"/>
  <c r="BA41" i="9"/>
  <c r="BK41" i="9"/>
  <c r="BK31" i="9"/>
  <c r="V31" i="9"/>
  <c r="V41" i="9"/>
  <c r="K23" i="11"/>
  <c r="K34" i="11"/>
  <c r="AH41" i="9"/>
  <c r="AH31" i="9"/>
  <c r="BW31" i="9"/>
  <c r="BW41" i="9"/>
  <c r="BE31" i="9"/>
  <c r="AE41" i="9"/>
  <c r="AE31" i="9"/>
  <c r="O41" i="9"/>
  <c r="O31" i="9"/>
  <c r="BR31" i="9"/>
  <c r="AD31" i="9"/>
  <c r="AD41" i="9"/>
  <c r="N31" i="9"/>
  <c r="N41" i="9"/>
  <c r="AM41" i="9"/>
  <c r="AM31" i="9"/>
  <c r="W41" i="9"/>
  <c r="W31" i="9"/>
  <c r="G41" i="9"/>
  <c r="G31" i="9"/>
  <c r="D20" i="15"/>
  <c r="D40" i="15"/>
  <c r="D46" i="15"/>
  <c r="D14" i="13"/>
  <c r="D38" i="15"/>
  <c r="D29" i="15"/>
  <c r="C42" i="17" l="1"/>
  <c r="D43" i="9"/>
  <c r="D58" i="9" s="1"/>
  <c r="C32" i="17"/>
  <c r="C23" i="11"/>
  <c r="C34" i="11"/>
  <c r="C35" i="16" s="1"/>
  <c r="C40" i="13"/>
  <c r="C35" i="1"/>
  <c r="BI43" i="1" s="1"/>
  <c r="BI118" i="1" s="1"/>
  <c r="C22" i="9"/>
  <c r="AD35" i="9" s="1"/>
  <c r="C59" i="13"/>
  <c r="BH43" i="9"/>
  <c r="BH58" i="9" s="1"/>
  <c r="C45" i="11"/>
  <c r="C100" i="13"/>
  <c r="C64" i="1"/>
  <c r="BH72" i="1" s="1"/>
  <c r="BH129" i="1" s="1"/>
  <c r="C49" i="13"/>
  <c r="AL43" i="9"/>
  <c r="AL58" i="9" s="1"/>
  <c r="Z43" i="9"/>
  <c r="Z58" i="9" s="1"/>
  <c r="AG43" i="9"/>
  <c r="AG58" i="9" s="1"/>
  <c r="BT43" i="9"/>
  <c r="BT58" i="9" s="1"/>
  <c r="M43" i="9"/>
  <c r="M58" i="9" s="1"/>
  <c r="R43" i="9"/>
  <c r="R58" i="9" s="1"/>
  <c r="C120" i="1"/>
  <c r="C121" i="13" s="1"/>
  <c r="BB43" i="9"/>
  <c r="BB58" i="9" s="1"/>
  <c r="C135" i="1"/>
  <c r="C136" i="13" s="1"/>
  <c r="C134" i="1"/>
  <c r="C135" i="13" s="1"/>
  <c r="AD43" i="9"/>
  <c r="AD58" i="9" s="1"/>
  <c r="V43" i="9"/>
  <c r="V58" i="9" s="1"/>
  <c r="AW43" i="9"/>
  <c r="AW58" i="9" s="1"/>
  <c r="AF43" i="9"/>
  <c r="AF58" i="9" s="1"/>
  <c r="U43" i="9"/>
  <c r="U58" i="9" s="1"/>
  <c r="Q43" i="9"/>
  <c r="Q58" i="9" s="1"/>
  <c r="AM43" i="9"/>
  <c r="AM58" i="9" s="1"/>
  <c r="Y43" i="9"/>
  <c r="Y58" i="9" s="1"/>
  <c r="O43" i="9"/>
  <c r="O58" i="9" s="1"/>
  <c r="AS43" i="9"/>
  <c r="AS58" i="9" s="1"/>
  <c r="K43" i="9"/>
  <c r="K58" i="9" s="1"/>
  <c r="AY43" i="9"/>
  <c r="AY58" i="9" s="1"/>
  <c r="AE43" i="9"/>
  <c r="AE58" i="9" s="1"/>
  <c r="BK43" i="9"/>
  <c r="BK58" i="9" s="1"/>
  <c r="BX43" i="9"/>
  <c r="BX58" i="9" s="1"/>
  <c r="BQ43" i="9"/>
  <c r="BQ58" i="9" s="1"/>
  <c r="BJ43" i="9"/>
  <c r="BJ58" i="9" s="1"/>
  <c r="BS43" i="9"/>
  <c r="BS58" i="9" s="1"/>
  <c r="AJ43" i="9"/>
  <c r="AJ58" i="9" s="1"/>
  <c r="L43" i="9"/>
  <c r="L58" i="9" s="1"/>
  <c r="AN43" i="9"/>
  <c r="AN58" i="9" s="1"/>
  <c r="S43" i="9"/>
  <c r="S58" i="9" s="1"/>
  <c r="G43" i="9"/>
  <c r="G58" i="9" s="1"/>
  <c r="J43" i="9"/>
  <c r="J58" i="9" s="1"/>
  <c r="BA43" i="9"/>
  <c r="BA58" i="9" s="1"/>
  <c r="BO43" i="9"/>
  <c r="BO58" i="9" s="1"/>
  <c r="AU43" i="9"/>
  <c r="AU58" i="9" s="1"/>
  <c r="BU43" i="9"/>
  <c r="BU58" i="9" s="1"/>
  <c r="AX43" i="9"/>
  <c r="AX58" i="9" s="1"/>
  <c r="AI43" i="9"/>
  <c r="AI58" i="9" s="1"/>
  <c r="N43" i="9"/>
  <c r="N58" i="9" s="1"/>
  <c r="AH43" i="9"/>
  <c r="AH58" i="9" s="1"/>
  <c r="BC43" i="9"/>
  <c r="BC58" i="9" s="1"/>
  <c r="AP43" i="9"/>
  <c r="AP58" i="9" s="1"/>
  <c r="AB43" i="9"/>
  <c r="AB58" i="9" s="1"/>
  <c r="BI43" i="9"/>
  <c r="BI58" i="9" s="1"/>
  <c r="BZ43" i="9"/>
  <c r="BZ58" i="9" s="1"/>
  <c r="W43" i="9"/>
  <c r="W58" i="9" s="1"/>
  <c r="BW43" i="9"/>
  <c r="BW58" i="9" s="1"/>
  <c r="F43" i="9"/>
  <c r="F58" i="9" s="1"/>
  <c r="BF43" i="9"/>
  <c r="BF58" i="9" s="1"/>
  <c r="BE43" i="9"/>
  <c r="BE58" i="9" s="1"/>
  <c r="BM43" i="9"/>
  <c r="BM58" i="9" s="1"/>
  <c r="BP43" i="9"/>
  <c r="BP58" i="9" s="1"/>
  <c r="H43" i="9"/>
  <c r="H58" i="9" s="1"/>
  <c r="AA43" i="9"/>
  <c r="AA58" i="9" s="1"/>
  <c r="C117" i="1"/>
  <c r="C118" i="13" s="1"/>
  <c r="C27" i="13"/>
  <c r="D42" i="15"/>
  <c r="AR43" i="9"/>
  <c r="AR58" i="9" s="1"/>
  <c r="AO43" i="9"/>
  <c r="AO58" i="9" s="1"/>
  <c r="I43" i="9"/>
  <c r="I58" i="9" s="1"/>
  <c r="AV43" i="9"/>
  <c r="BR43" i="9"/>
  <c r="BR58" i="9" s="1"/>
  <c r="D57" i="15"/>
  <c r="AT43" i="9"/>
  <c r="AT58" i="9" s="1"/>
  <c r="X43" i="9"/>
  <c r="X58" i="9" s="1"/>
  <c r="D51" i="15"/>
  <c r="BY43" i="9"/>
  <c r="BY58" i="9" s="1"/>
  <c r="AZ43" i="9"/>
  <c r="AZ58" i="9" s="1"/>
  <c r="AY58" i="10"/>
  <c r="AY70" i="10" s="1"/>
  <c r="AC43" i="9"/>
  <c r="AC58" i="9" s="1"/>
  <c r="BV43" i="9"/>
  <c r="BV58" i="9" s="1"/>
  <c r="P43" i="9"/>
  <c r="P58" i="9" s="1"/>
  <c r="E43" i="9"/>
  <c r="E58" i="9" s="1"/>
  <c r="BL43" i="9"/>
  <c r="BL58" i="9" s="1"/>
  <c r="AQ43" i="9"/>
  <c r="AQ58" i="9" s="1"/>
  <c r="D23" i="15"/>
  <c r="D25" i="15"/>
  <c r="D21" i="15"/>
  <c r="C93" i="13"/>
  <c r="C86" i="1"/>
  <c r="BH94" i="1" s="1"/>
  <c r="BH132" i="1" s="1"/>
  <c r="C91" i="13"/>
  <c r="C84" i="13"/>
  <c r="C131" i="1"/>
  <c r="C132" i="13" s="1"/>
  <c r="C130" i="1"/>
  <c r="C131" i="13" s="1"/>
  <c r="C78" i="13"/>
  <c r="C69" i="13"/>
  <c r="C71" i="13"/>
  <c r="C42" i="13"/>
  <c r="C18" i="13"/>
  <c r="C19" i="1"/>
  <c r="C13" i="1" s="1"/>
  <c r="AK43" i="9"/>
  <c r="AK58" i="9" s="1"/>
  <c r="T43" i="9"/>
  <c r="T58" i="9" s="1"/>
  <c r="BG43" i="9"/>
  <c r="BG58" i="9" s="1"/>
  <c r="BN43" i="9"/>
  <c r="BN58" i="9" s="1"/>
  <c r="BD43" i="9"/>
  <c r="BD58" i="9" s="1"/>
  <c r="AR58" i="10"/>
  <c r="AR70" i="10" s="1"/>
  <c r="V58" i="10"/>
  <c r="V70" i="10" s="1"/>
  <c r="O58" i="10"/>
  <c r="O70" i="10" s="1"/>
  <c r="BE58" i="10"/>
  <c r="BE70" i="10" s="1"/>
  <c r="BJ58" i="10"/>
  <c r="BJ70" i="10" s="1"/>
  <c r="R58" i="10"/>
  <c r="BU58" i="10"/>
  <c r="BN58" i="10"/>
  <c r="BN70" i="10" s="1"/>
  <c r="BV58" i="10"/>
  <c r="BV70" i="10" s="1"/>
  <c r="BG58" i="10"/>
  <c r="AI58" i="10"/>
  <c r="AN58" i="10"/>
  <c r="AN70" i="10" s="1"/>
  <c r="AG58" i="10"/>
  <c r="AG70" i="10" s="1"/>
  <c r="BR58" i="10"/>
  <c r="AE58" i="10"/>
  <c r="AE70" i="10" s="1"/>
  <c r="G58" i="10"/>
  <c r="G70" i="10" s="1"/>
  <c r="Q58" i="10"/>
  <c r="Q70" i="10" s="1"/>
  <c r="AD58" i="10"/>
  <c r="AW58" i="10"/>
  <c r="AW70" i="10" s="1"/>
  <c r="AT58" i="10"/>
  <c r="F58" i="10"/>
  <c r="BS58" i="10"/>
  <c r="BS70" i="10" s="1"/>
  <c r="X58" i="10"/>
  <c r="X70" i="10" s="1"/>
  <c r="BK58" i="10"/>
  <c r="BK70" i="10" s="1"/>
  <c r="AV58" i="10"/>
  <c r="J58" i="10"/>
  <c r="J70" i="10" s="1"/>
  <c r="T58" i="10"/>
  <c r="T70" i="10" s="1"/>
  <c r="AF58" i="10"/>
  <c r="AF70" i="10" s="1"/>
  <c r="BD58" i="10"/>
  <c r="Y58" i="10"/>
  <c r="Y70" i="10" s="1"/>
  <c r="AH58" i="10"/>
  <c r="AH70" i="10" s="1"/>
  <c r="AX58" i="10"/>
  <c r="AX70" i="10" s="1"/>
  <c r="W58" i="10"/>
  <c r="W70" i="10" s="1"/>
  <c r="AJ58" i="10"/>
  <c r="AJ70" i="10" s="1"/>
  <c r="BM58" i="10"/>
  <c r="BM70" i="10" s="1"/>
  <c r="N58" i="10"/>
  <c r="N70" i="10" s="1"/>
  <c r="AZ58" i="10"/>
  <c r="AZ70" i="10" s="1"/>
  <c r="H58" i="10"/>
  <c r="H70" i="10" s="1"/>
  <c r="BW58" i="10"/>
  <c r="AO58" i="10"/>
  <c r="D33" i="10"/>
  <c r="D34" i="15" s="1"/>
  <c r="D32" i="15"/>
  <c r="M58" i="10"/>
  <c r="M70" i="10" s="1"/>
  <c r="AC58" i="10"/>
  <c r="AU58" i="10"/>
  <c r="AU70" i="10" s="1"/>
  <c r="L58" i="10"/>
  <c r="L70" i="10" s="1"/>
  <c r="E58" i="10"/>
  <c r="D30" i="15"/>
  <c r="K58" i="10"/>
  <c r="K70" i="10" s="1"/>
  <c r="BY58" i="10"/>
  <c r="BY70" i="10" s="1"/>
  <c r="BX58" i="10"/>
  <c r="BX70" i="10" s="1"/>
  <c r="I58" i="10"/>
  <c r="BT58" i="10"/>
  <c r="BT70" i="10" s="1"/>
  <c r="Z58" i="10"/>
  <c r="Z70" i="10" s="1"/>
  <c r="BZ58" i="10"/>
  <c r="D49" i="15"/>
  <c r="D47" i="15"/>
  <c r="AL58" i="10"/>
  <c r="BL58" i="10"/>
  <c r="BL70" i="10" s="1"/>
  <c r="AQ58" i="10"/>
  <c r="BO58" i="10"/>
  <c r="P58" i="10"/>
  <c r="BA58" i="10"/>
  <c r="AB58" i="10"/>
  <c r="BI58" i="10"/>
  <c r="AK58" i="10"/>
  <c r="BB58" i="10"/>
  <c r="AA58" i="10"/>
  <c r="S58" i="10"/>
  <c r="BC58" i="10"/>
  <c r="U58" i="10"/>
  <c r="BP58" i="10"/>
  <c r="AP58" i="10"/>
  <c r="AS58" i="10"/>
  <c r="AM58" i="10"/>
  <c r="BF58" i="10"/>
  <c r="BQ58" i="10"/>
  <c r="O36" i="11" l="1"/>
  <c r="O53" i="11" s="1"/>
  <c r="AW25" i="11"/>
  <c r="AW52" i="11" s="1"/>
  <c r="C24" i="16"/>
  <c r="BW47" i="11"/>
  <c r="BW54" i="11" s="1"/>
  <c r="C46" i="16"/>
  <c r="AN25" i="11"/>
  <c r="AN52" i="11" s="1"/>
  <c r="L25" i="11"/>
  <c r="L52" i="11" s="1"/>
  <c r="BD25" i="11"/>
  <c r="BD52" i="11" s="1"/>
  <c r="AE25" i="11"/>
  <c r="AE52" i="11" s="1"/>
  <c r="BI25" i="11"/>
  <c r="BI52" i="11" s="1"/>
  <c r="BJ25" i="11"/>
  <c r="BJ52" i="11" s="1"/>
  <c r="P25" i="11"/>
  <c r="P52" i="11" s="1"/>
  <c r="BR25" i="11"/>
  <c r="BR52" i="11" s="1"/>
  <c r="AC25" i="11"/>
  <c r="AC52" i="11" s="1"/>
  <c r="BF25" i="11"/>
  <c r="BF52" i="11" s="1"/>
  <c r="BT25" i="11"/>
  <c r="BT52" i="11" s="1"/>
  <c r="BW25" i="11"/>
  <c r="BW52" i="11" s="1"/>
  <c r="Z25" i="11"/>
  <c r="Z52" i="11" s="1"/>
  <c r="I25" i="11"/>
  <c r="I52" i="11" s="1"/>
  <c r="BA25" i="11"/>
  <c r="BA52" i="11" s="1"/>
  <c r="W25" i="11"/>
  <c r="W52" i="11" s="1"/>
  <c r="AS25" i="11"/>
  <c r="AS52" i="11" s="1"/>
  <c r="AP25" i="11"/>
  <c r="AP52" i="11" s="1"/>
  <c r="Y25" i="11"/>
  <c r="Y52" i="11" s="1"/>
  <c r="BX25" i="11"/>
  <c r="BX52" i="11" s="1"/>
  <c r="BO25" i="11"/>
  <c r="BO52" i="11" s="1"/>
  <c r="AY25" i="11"/>
  <c r="AY52" i="11" s="1"/>
  <c r="BS25" i="11"/>
  <c r="BS52" i="11" s="1"/>
  <c r="AU25" i="11"/>
  <c r="AU52" i="11" s="1"/>
  <c r="F25" i="11"/>
  <c r="F52" i="11" s="1"/>
  <c r="AX25" i="11"/>
  <c r="AX52" i="11" s="1"/>
  <c r="AA25" i="11"/>
  <c r="AA52" i="11" s="1"/>
  <c r="BG25" i="11"/>
  <c r="BG52" i="11" s="1"/>
  <c r="K25" i="11"/>
  <c r="K52" i="11" s="1"/>
  <c r="BV47" i="11"/>
  <c r="BV54" i="11" s="1"/>
  <c r="D36" i="11"/>
  <c r="AN36" i="11"/>
  <c r="AN53" i="11" s="1"/>
  <c r="AX36" i="11"/>
  <c r="AX53" i="11" s="1"/>
  <c r="BY36" i="11"/>
  <c r="BY53" i="11" s="1"/>
  <c r="Q36" i="11"/>
  <c r="Q53" i="11" s="1"/>
  <c r="BL36" i="11"/>
  <c r="BL53" i="11" s="1"/>
  <c r="Z36" i="11"/>
  <c r="Z53" i="11" s="1"/>
  <c r="N36" i="11"/>
  <c r="N53" i="11" s="1"/>
  <c r="E36" i="11"/>
  <c r="E53" i="11" s="1"/>
  <c r="D25" i="11"/>
  <c r="AM25" i="11"/>
  <c r="AM52" i="11" s="1"/>
  <c r="BZ25" i="11"/>
  <c r="BZ52" i="11" s="1"/>
  <c r="BQ25" i="11"/>
  <c r="BQ52" i="11" s="1"/>
  <c r="BE25" i="11"/>
  <c r="BE52" i="11" s="1"/>
  <c r="BK25" i="11"/>
  <c r="BK52" i="11" s="1"/>
  <c r="BH25" i="11"/>
  <c r="BH52" i="11" s="1"/>
  <c r="AZ25" i="11"/>
  <c r="AZ52" i="11" s="1"/>
  <c r="S25" i="11"/>
  <c r="S52" i="11" s="1"/>
  <c r="V25" i="11"/>
  <c r="V52" i="11" s="1"/>
  <c r="AR25" i="11"/>
  <c r="AR52" i="11" s="1"/>
  <c r="BU25" i="11"/>
  <c r="BU52" i="11" s="1"/>
  <c r="BV25" i="11"/>
  <c r="BV52" i="11" s="1"/>
  <c r="AB25" i="11"/>
  <c r="AB52" i="11" s="1"/>
  <c r="BM25" i="11"/>
  <c r="BM52" i="11" s="1"/>
  <c r="T25" i="11"/>
  <c r="T52" i="11" s="1"/>
  <c r="AV25" i="11"/>
  <c r="AV52" i="11" s="1"/>
  <c r="AT25" i="11"/>
  <c r="AT52" i="11" s="1"/>
  <c r="E25" i="11"/>
  <c r="E52" i="11" s="1"/>
  <c r="O25" i="11"/>
  <c r="O52" i="11" s="1"/>
  <c r="AK25" i="11"/>
  <c r="AK52" i="11" s="1"/>
  <c r="BB25" i="11"/>
  <c r="BB52" i="11" s="1"/>
  <c r="BN25" i="11"/>
  <c r="BN52" i="11" s="1"/>
  <c r="AL25" i="11"/>
  <c r="AL52" i="11" s="1"/>
  <c r="AH25" i="11"/>
  <c r="AH52" i="11" s="1"/>
  <c r="R25" i="11"/>
  <c r="R52" i="11" s="1"/>
  <c r="BY25" i="11"/>
  <c r="BY52" i="11" s="1"/>
  <c r="AQ25" i="11"/>
  <c r="AQ52" i="11" s="1"/>
  <c r="AO25" i="11"/>
  <c r="AO52" i="11" s="1"/>
  <c r="AF25" i="11"/>
  <c r="AF52" i="11" s="1"/>
  <c r="AG25" i="11"/>
  <c r="AG52" i="11" s="1"/>
  <c r="BC25" i="11"/>
  <c r="BC52" i="11" s="1"/>
  <c r="M25" i="11"/>
  <c r="M52" i="11" s="1"/>
  <c r="H25" i="11"/>
  <c r="H52" i="11" s="1"/>
  <c r="N25" i="11"/>
  <c r="N52" i="11" s="1"/>
  <c r="BP25" i="11"/>
  <c r="BP52" i="11" s="1"/>
  <c r="U25" i="11"/>
  <c r="U52" i="11" s="1"/>
  <c r="J25" i="11"/>
  <c r="J52" i="11" s="1"/>
  <c r="X25" i="11"/>
  <c r="X52" i="11" s="1"/>
  <c r="Q25" i="11"/>
  <c r="Q52" i="11" s="1"/>
  <c r="AD25" i="11"/>
  <c r="AD52" i="11" s="1"/>
  <c r="AI25" i="11"/>
  <c r="AI52" i="11" s="1"/>
  <c r="AJ25" i="11"/>
  <c r="AJ52" i="11" s="1"/>
  <c r="G25" i="11"/>
  <c r="G52" i="11" s="1"/>
  <c r="BL25" i="11"/>
  <c r="BL52" i="11" s="1"/>
  <c r="BU36" i="11"/>
  <c r="BU53" i="11" s="1"/>
  <c r="AQ36" i="11"/>
  <c r="AQ53" i="11" s="1"/>
  <c r="F36" i="11"/>
  <c r="F53" i="11" s="1"/>
  <c r="BF35" i="9"/>
  <c r="BF57" i="9" s="1"/>
  <c r="J35" i="9"/>
  <c r="J57" i="9" s="1"/>
  <c r="AJ35" i="9"/>
  <c r="AJ57" i="9" s="1"/>
  <c r="BD36" i="11"/>
  <c r="BD53" i="11" s="1"/>
  <c r="AO36" i="11"/>
  <c r="AO53" i="11" s="1"/>
  <c r="M36" i="11"/>
  <c r="M53" i="11" s="1"/>
  <c r="I36" i="11"/>
  <c r="I53" i="11" s="1"/>
  <c r="Q35" i="9"/>
  <c r="Q57" i="9" s="1"/>
  <c r="BO36" i="11"/>
  <c r="BO53" i="11" s="1"/>
  <c r="BQ36" i="11"/>
  <c r="BQ53" i="11" s="1"/>
  <c r="AS36" i="11"/>
  <c r="AS53" i="11" s="1"/>
  <c r="BB36" i="11"/>
  <c r="BB53" i="11" s="1"/>
  <c r="BK36" i="11"/>
  <c r="BK53" i="11" s="1"/>
  <c r="AE36" i="11"/>
  <c r="AE53" i="11" s="1"/>
  <c r="AW36" i="11"/>
  <c r="AW53" i="11" s="1"/>
  <c r="BT36" i="11"/>
  <c r="BT53" i="11" s="1"/>
  <c r="AF36" i="11"/>
  <c r="AF53" i="11" s="1"/>
  <c r="S36" i="11"/>
  <c r="S53" i="11" s="1"/>
  <c r="L36" i="11"/>
  <c r="L53" i="11" s="1"/>
  <c r="AD36" i="11"/>
  <c r="AD53" i="11" s="1"/>
  <c r="AH36" i="11"/>
  <c r="AH53" i="11" s="1"/>
  <c r="AI36" i="11"/>
  <c r="AI53" i="11" s="1"/>
  <c r="BZ36" i="11"/>
  <c r="BZ53" i="11" s="1"/>
  <c r="X36" i="11"/>
  <c r="X53" i="11" s="1"/>
  <c r="BR36" i="11"/>
  <c r="BR53" i="11" s="1"/>
  <c r="AK36" i="11"/>
  <c r="AK53" i="11" s="1"/>
  <c r="BW36" i="11"/>
  <c r="BW53" i="11" s="1"/>
  <c r="AG36" i="11"/>
  <c r="AG53" i="11" s="1"/>
  <c r="AV36" i="11"/>
  <c r="AV53" i="11" s="1"/>
  <c r="P36" i="11"/>
  <c r="P53" i="11" s="1"/>
  <c r="BI36" i="11"/>
  <c r="BI53" i="11" s="1"/>
  <c r="AL36" i="11"/>
  <c r="AL53" i="11" s="1"/>
  <c r="BP36" i="11"/>
  <c r="BP53" i="11" s="1"/>
  <c r="BG36" i="11"/>
  <c r="BG53" i="11" s="1"/>
  <c r="Y36" i="11"/>
  <c r="Y53" i="11" s="1"/>
  <c r="AA36" i="11"/>
  <c r="AA53" i="11" s="1"/>
  <c r="AC36" i="11"/>
  <c r="AC53" i="11" s="1"/>
  <c r="T36" i="11"/>
  <c r="T53" i="11" s="1"/>
  <c r="BF36" i="11"/>
  <c r="BF53" i="11" s="1"/>
  <c r="AB36" i="11"/>
  <c r="AB53" i="11" s="1"/>
  <c r="BX36" i="11"/>
  <c r="BX53" i="11" s="1"/>
  <c r="W36" i="11"/>
  <c r="W53" i="11" s="1"/>
  <c r="BM36" i="11"/>
  <c r="BM53" i="11" s="1"/>
  <c r="BA36" i="11"/>
  <c r="BA53" i="11" s="1"/>
  <c r="H36" i="11"/>
  <c r="H53" i="11" s="1"/>
  <c r="BE36" i="11"/>
  <c r="BE53" i="11" s="1"/>
  <c r="V36" i="11"/>
  <c r="V53" i="11" s="1"/>
  <c r="AP36" i="11"/>
  <c r="AP53" i="11" s="1"/>
  <c r="AZ36" i="11"/>
  <c r="AZ53" i="11" s="1"/>
  <c r="AM36" i="11"/>
  <c r="AM53" i="11" s="1"/>
  <c r="J36" i="11"/>
  <c r="J53" i="11" s="1"/>
  <c r="AY36" i="11"/>
  <c r="AY53" i="11" s="1"/>
  <c r="U36" i="11"/>
  <c r="U53" i="11" s="1"/>
  <c r="R36" i="11"/>
  <c r="R53" i="11" s="1"/>
  <c r="K36" i="11"/>
  <c r="K53" i="11" s="1"/>
  <c r="BH36" i="11"/>
  <c r="BH53" i="11" s="1"/>
  <c r="BV36" i="11"/>
  <c r="BV53" i="11" s="1"/>
  <c r="BC36" i="11"/>
  <c r="BC53" i="11" s="1"/>
  <c r="BN36" i="11"/>
  <c r="BN53" i="11" s="1"/>
  <c r="AU36" i="11"/>
  <c r="AU53" i="11" s="1"/>
  <c r="AT36" i="11"/>
  <c r="AT53" i="11" s="1"/>
  <c r="BS36" i="11"/>
  <c r="BS53" i="11" s="1"/>
  <c r="AR36" i="11"/>
  <c r="AR53" i="11" s="1"/>
  <c r="BJ36" i="11"/>
  <c r="BJ53" i="11" s="1"/>
  <c r="G36" i="11"/>
  <c r="G53" i="11" s="1"/>
  <c r="AJ36" i="11"/>
  <c r="AJ53" i="11" s="1"/>
  <c r="BR35" i="9"/>
  <c r="BR57" i="9" s="1"/>
  <c r="BK35" i="9"/>
  <c r="BK57" i="9" s="1"/>
  <c r="P35" i="9"/>
  <c r="P57" i="9" s="1"/>
  <c r="BB35" i="9"/>
  <c r="BB57" i="9" s="1"/>
  <c r="T35" i="9"/>
  <c r="T57" i="9" s="1"/>
  <c r="AV35" i="9"/>
  <c r="AV45" i="9" s="1"/>
  <c r="BY35" i="9"/>
  <c r="BY57" i="9" s="1"/>
  <c r="U35" i="9"/>
  <c r="U57" i="9" s="1"/>
  <c r="AI35" i="9"/>
  <c r="AI57" i="9" s="1"/>
  <c r="AX35" i="9"/>
  <c r="AX57" i="9" s="1"/>
  <c r="AY35" i="9"/>
  <c r="AY45" i="9" s="1"/>
  <c r="AY60" i="9" s="1"/>
  <c r="AP35" i="9"/>
  <c r="AP57" i="9" s="1"/>
  <c r="W35" i="9"/>
  <c r="W57" i="9" s="1"/>
  <c r="D35" i="9"/>
  <c r="D57" i="9" s="1"/>
  <c r="AQ35" i="9"/>
  <c r="AQ57" i="9" s="1"/>
  <c r="BE35" i="9"/>
  <c r="BE57" i="9" s="1"/>
  <c r="AN35" i="9"/>
  <c r="AN57" i="9" s="1"/>
  <c r="AZ35" i="9"/>
  <c r="AZ45" i="9" s="1"/>
  <c r="AZ60" i="9" s="1"/>
  <c r="C72" i="1"/>
  <c r="C73" i="13" s="1"/>
  <c r="AV58" i="9"/>
  <c r="D59" i="17" s="1"/>
  <c r="D44" i="17"/>
  <c r="BH35" i="9"/>
  <c r="BH57" i="9" s="1"/>
  <c r="C23" i="17"/>
  <c r="BU35" i="9"/>
  <c r="BU57" i="9" s="1"/>
  <c r="BI35" i="9"/>
  <c r="BI57" i="9" s="1"/>
  <c r="E35" i="9"/>
  <c r="E57" i="9" s="1"/>
  <c r="L35" i="9"/>
  <c r="L57" i="9" s="1"/>
  <c r="AT47" i="11"/>
  <c r="AT54" i="11" s="1"/>
  <c r="E47" i="11"/>
  <c r="E54" i="11" s="1"/>
  <c r="AF47" i="11"/>
  <c r="AF54" i="11" s="1"/>
  <c r="AQ47" i="11"/>
  <c r="AQ54" i="11" s="1"/>
  <c r="BX47" i="11"/>
  <c r="BX54" i="11" s="1"/>
  <c r="AG47" i="11"/>
  <c r="AG54" i="11" s="1"/>
  <c r="AZ47" i="11"/>
  <c r="AZ54" i="11" s="1"/>
  <c r="BO35" i="9"/>
  <c r="BO57" i="9" s="1"/>
  <c r="H35" i="9"/>
  <c r="H57" i="9" s="1"/>
  <c r="N35" i="9"/>
  <c r="N57" i="9" s="1"/>
  <c r="AW35" i="9"/>
  <c r="AW57" i="9" s="1"/>
  <c r="BP35" i="9"/>
  <c r="BP57" i="9" s="1"/>
  <c r="BX35" i="9"/>
  <c r="BX57" i="9" s="1"/>
  <c r="V35" i="9"/>
  <c r="V57" i="9" s="1"/>
  <c r="AS35" i="9"/>
  <c r="AS45" i="9" s="1"/>
  <c r="AS60" i="9" s="1"/>
  <c r="M35" i="9"/>
  <c r="M57" i="9" s="1"/>
  <c r="AE35" i="9"/>
  <c r="AE57" i="9" s="1"/>
  <c r="AA35" i="9"/>
  <c r="AA57" i="9" s="1"/>
  <c r="AU35" i="9"/>
  <c r="AU57" i="9" s="1"/>
  <c r="AH35" i="9"/>
  <c r="AH57" i="9" s="1"/>
  <c r="AO35" i="9"/>
  <c r="AO45" i="9" s="1"/>
  <c r="AO60" i="9" s="1"/>
  <c r="BN35" i="9"/>
  <c r="BN57" i="9" s="1"/>
  <c r="X35" i="9"/>
  <c r="X57" i="9" s="1"/>
  <c r="AG35" i="9"/>
  <c r="AG57" i="9" s="1"/>
  <c r="BA35" i="9"/>
  <c r="BA57" i="9" s="1"/>
  <c r="AC35" i="9"/>
  <c r="AC57" i="9" s="1"/>
  <c r="BG35" i="9"/>
  <c r="BG57" i="9" s="1"/>
  <c r="AM35" i="9"/>
  <c r="AM57" i="9" s="1"/>
  <c r="K35" i="9"/>
  <c r="K57" i="9" s="1"/>
  <c r="BT35" i="9"/>
  <c r="BT57" i="9" s="1"/>
  <c r="BW35" i="9"/>
  <c r="BW57" i="9" s="1"/>
  <c r="BL35" i="9"/>
  <c r="BM35" i="9"/>
  <c r="BM57" i="9" s="1"/>
  <c r="AB35" i="9"/>
  <c r="AB57" i="9" s="1"/>
  <c r="BQ35" i="9"/>
  <c r="BQ57" i="9" s="1"/>
  <c r="F35" i="9"/>
  <c r="F57" i="9" s="1"/>
  <c r="BJ35" i="9"/>
  <c r="BJ57" i="9" s="1"/>
  <c r="I35" i="9"/>
  <c r="I57" i="9" s="1"/>
  <c r="O35" i="9"/>
  <c r="O57" i="9" s="1"/>
  <c r="AR35" i="9"/>
  <c r="AR57" i="9" s="1"/>
  <c r="G35" i="9"/>
  <c r="G57" i="9" s="1"/>
  <c r="AL35" i="9"/>
  <c r="AL45" i="9" s="1"/>
  <c r="AL60" i="9" s="1"/>
  <c r="BZ35" i="9"/>
  <c r="BZ57" i="9" s="1"/>
  <c r="BS35" i="9"/>
  <c r="BS57" i="9" s="1"/>
  <c r="Y35" i="9"/>
  <c r="Y57" i="9" s="1"/>
  <c r="BV35" i="9"/>
  <c r="BV45" i="9" s="1"/>
  <c r="BV60" i="9" s="1"/>
  <c r="Z35" i="9"/>
  <c r="Z57" i="9" s="1"/>
  <c r="S35" i="9"/>
  <c r="S57" i="9" s="1"/>
  <c r="AK35" i="9"/>
  <c r="AK45" i="9" s="1"/>
  <c r="AK60" i="9" s="1"/>
  <c r="AT35" i="9"/>
  <c r="AT57" i="9" s="1"/>
  <c r="AF35" i="9"/>
  <c r="AF57" i="9" s="1"/>
  <c r="BC35" i="9"/>
  <c r="BC57" i="9" s="1"/>
  <c r="R35" i="9"/>
  <c r="R57" i="9" s="1"/>
  <c r="BD35" i="9"/>
  <c r="BD57" i="9" s="1"/>
  <c r="BG47" i="11"/>
  <c r="BG54" i="11" s="1"/>
  <c r="D47" i="11"/>
  <c r="BG43" i="1"/>
  <c r="BG118" i="1" s="1"/>
  <c r="AW43" i="1"/>
  <c r="AW118" i="1" s="1"/>
  <c r="AL43" i="1"/>
  <c r="AL118" i="1" s="1"/>
  <c r="AD43" i="1"/>
  <c r="AD118" i="1" s="1"/>
  <c r="T43" i="1"/>
  <c r="T118" i="1" s="1"/>
  <c r="AK43" i="1"/>
  <c r="AK118" i="1" s="1"/>
  <c r="BH43" i="1"/>
  <c r="BH118" i="1" s="1"/>
  <c r="BH47" i="11"/>
  <c r="BH54" i="11" s="1"/>
  <c r="BE47" i="11"/>
  <c r="BE54" i="11" s="1"/>
  <c r="X47" i="11"/>
  <c r="X54" i="11" s="1"/>
  <c r="BN47" i="11"/>
  <c r="BN54" i="11" s="1"/>
  <c r="W47" i="11"/>
  <c r="W54" i="11" s="1"/>
  <c r="K47" i="11"/>
  <c r="K54" i="11" s="1"/>
  <c r="AX47" i="11"/>
  <c r="AX54" i="11" s="1"/>
  <c r="AI47" i="11"/>
  <c r="AI54" i="11" s="1"/>
  <c r="BD47" i="11"/>
  <c r="BD54" i="11" s="1"/>
  <c r="V47" i="11"/>
  <c r="V54" i="11" s="1"/>
  <c r="M47" i="11"/>
  <c r="M54" i="11" s="1"/>
  <c r="AN47" i="11"/>
  <c r="AN54" i="11" s="1"/>
  <c r="AL47" i="11"/>
  <c r="AL54" i="11" s="1"/>
  <c r="BQ47" i="11"/>
  <c r="BQ54" i="11" s="1"/>
  <c r="BI47" i="11"/>
  <c r="BI54" i="11" s="1"/>
  <c r="BA47" i="11"/>
  <c r="BA54" i="11" s="1"/>
  <c r="S47" i="11"/>
  <c r="S54" i="11" s="1"/>
  <c r="BL47" i="11"/>
  <c r="BL54" i="11" s="1"/>
  <c r="BF47" i="11"/>
  <c r="BF54" i="11" s="1"/>
  <c r="Y47" i="11"/>
  <c r="Y54" i="11" s="1"/>
  <c r="BZ47" i="11"/>
  <c r="BZ54" i="11" s="1"/>
  <c r="BP47" i="11"/>
  <c r="BP54" i="11" s="1"/>
  <c r="BM47" i="11"/>
  <c r="BM54" i="11" s="1"/>
  <c r="BR47" i="11"/>
  <c r="BR54" i="11" s="1"/>
  <c r="AS47" i="11"/>
  <c r="AS54" i="11" s="1"/>
  <c r="P47" i="11"/>
  <c r="P54" i="11" s="1"/>
  <c r="AP47" i="11"/>
  <c r="AP54" i="11" s="1"/>
  <c r="BS47" i="11"/>
  <c r="BS54" i="11" s="1"/>
  <c r="AB47" i="11"/>
  <c r="AB54" i="11" s="1"/>
  <c r="BT47" i="11"/>
  <c r="BT54" i="11" s="1"/>
  <c r="AU47" i="11"/>
  <c r="AU54" i="11" s="1"/>
  <c r="AR47" i="11"/>
  <c r="AR54" i="11" s="1"/>
  <c r="L47" i="11"/>
  <c r="L54" i="11" s="1"/>
  <c r="Z47" i="11"/>
  <c r="Z54" i="11" s="1"/>
  <c r="Z56" i="11" s="1"/>
  <c r="F30" i="19" s="1"/>
  <c r="AA47" i="11"/>
  <c r="AA54" i="11" s="1"/>
  <c r="BK47" i="11"/>
  <c r="BK54" i="11" s="1"/>
  <c r="AV47" i="11"/>
  <c r="AV54" i="11" s="1"/>
  <c r="AK47" i="11"/>
  <c r="AK54" i="11" s="1"/>
  <c r="H47" i="11"/>
  <c r="H54" i="11" s="1"/>
  <c r="N47" i="11"/>
  <c r="N54" i="11" s="1"/>
  <c r="BC47" i="11"/>
  <c r="BC54" i="11" s="1"/>
  <c r="J47" i="11"/>
  <c r="J54" i="11" s="1"/>
  <c r="AO47" i="11"/>
  <c r="AO54" i="11" s="1"/>
  <c r="BJ47" i="11"/>
  <c r="BJ54" i="11" s="1"/>
  <c r="AY47" i="11"/>
  <c r="AY54" i="11" s="1"/>
  <c r="AC47" i="11"/>
  <c r="AC54" i="11" s="1"/>
  <c r="BU47" i="11"/>
  <c r="BU54" i="11" s="1"/>
  <c r="AE47" i="11"/>
  <c r="AE54" i="11" s="1"/>
  <c r="Q47" i="11"/>
  <c r="Q54" i="11" s="1"/>
  <c r="R47" i="11"/>
  <c r="R54" i="11" s="1"/>
  <c r="T47" i="11"/>
  <c r="T54" i="11" s="1"/>
  <c r="BO47" i="11"/>
  <c r="BO54" i="11" s="1"/>
  <c r="G47" i="11"/>
  <c r="G54" i="11" s="1"/>
  <c r="AD47" i="11"/>
  <c r="AD54" i="11" s="1"/>
  <c r="AW47" i="11"/>
  <c r="AW54" i="11" s="1"/>
  <c r="F47" i="11"/>
  <c r="F54" i="11" s="1"/>
  <c r="AJ47" i="11"/>
  <c r="AJ54" i="11" s="1"/>
  <c r="I47" i="11"/>
  <c r="I54" i="11" s="1"/>
  <c r="U47" i="11"/>
  <c r="U54" i="11" s="1"/>
  <c r="BB47" i="11"/>
  <c r="BB54" i="11" s="1"/>
  <c r="AH47" i="11"/>
  <c r="AH54" i="11" s="1"/>
  <c r="BY47" i="11"/>
  <c r="BY54" i="11" s="1"/>
  <c r="AM47" i="11"/>
  <c r="AM54" i="11" s="1"/>
  <c r="O47" i="11"/>
  <c r="O54" i="11" s="1"/>
  <c r="K43" i="1"/>
  <c r="K118" i="1" s="1"/>
  <c r="AE43" i="1"/>
  <c r="AE118" i="1" s="1"/>
  <c r="V43" i="1"/>
  <c r="V118" i="1" s="1"/>
  <c r="BQ43" i="1"/>
  <c r="BQ118" i="1" s="1"/>
  <c r="W43" i="1"/>
  <c r="W118" i="1" s="1"/>
  <c r="AF43" i="1"/>
  <c r="AF118" i="1" s="1"/>
  <c r="BL43" i="1"/>
  <c r="BL118" i="1" s="1"/>
  <c r="D119" i="13" s="1"/>
  <c r="AC43" i="1"/>
  <c r="AC118" i="1" s="1"/>
  <c r="BX43" i="1"/>
  <c r="BX118" i="1" s="1"/>
  <c r="BR43" i="1"/>
  <c r="BR118" i="1" s="1"/>
  <c r="R43" i="1"/>
  <c r="R118" i="1" s="1"/>
  <c r="BT43" i="1"/>
  <c r="BT118" i="1" s="1"/>
  <c r="AO43" i="1"/>
  <c r="AO118" i="1" s="1"/>
  <c r="AT43" i="1"/>
  <c r="AT118" i="1" s="1"/>
  <c r="U43" i="1"/>
  <c r="U118" i="1" s="1"/>
  <c r="AQ43" i="1"/>
  <c r="AQ118" i="1" s="1"/>
  <c r="AU43" i="1"/>
  <c r="AU118" i="1" s="1"/>
  <c r="AS43" i="1"/>
  <c r="AS118" i="1" s="1"/>
  <c r="AA43" i="1"/>
  <c r="AA118" i="1" s="1"/>
  <c r="X43" i="1"/>
  <c r="X118" i="1" s="1"/>
  <c r="AZ43" i="1"/>
  <c r="AZ118" i="1" s="1"/>
  <c r="AG43" i="1"/>
  <c r="AG118" i="1" s="1"/>
  <c r="AI43" i="1"/>
  <c r="AI118" i="1" s="1"/>
  <c r="E43" i="1"/>
  <c r="E118" i="1" s="1"/>
  <c r="G43" i="1"/>
  <c r="G118" i="1" s="1"/>
  <c r="O43" i="1"/>
  <c r="O118" i="1" s="1"/>
  <c r="BU43" i="1"/>
  <c r="BU118" i="1" s="1"/>
  <c r="BC43" i="1"/>
  <c r="BC118" i="1" s="1"/>
  <c r="BO43" i="1"/>
  <c r="BO118" i="1" s="1"/>
  <c r="BW43" i="1"/>
  <c r="BW118" i="1" s="1"/>
  <c r="BY43" i="1"/>
  <c r="BY118" i="1" s="1"/>
  <c r="BF43" i="1"/>
  <c r="BF118" i="1" s="1"/>
  <c r="AM43" i="1"/>
  <c r="AM118" i="1" s="1"/>
  <c r="Q43" i="1"/>
  <c r="Q118" i="1" s="1"/>
  <c r="C36" i="13"/>
  <c r="L43" i="1"/>
  <c r="L118" i="1" s="1"/>
  <c r="J43" i="1"/>
  <c r="J118" i="1" s="1"/>
  <c r="P43" i="1"/>
  <c r="P118" i="1" s="1"/>
  <c r="AR43" i="1"/>
  <c r="AR118" i="1" s="1"/>
  <c r="AN43" i="1"/>
  <c r="AN118" i="1" s="1"/>
  <c r="BD43" i="1"/>
  <c r="BD118" i="1" s="1"/>
  <c r="BA43" i="1"/>
  <c r="BA118" i="1" s="1"/>
  <c r="BH136" i="1"/>
  <c r="BH140" i="1" s="1"/>
  <c r="H43" i="1"/>
  <c r="H118" i="1" s="1"/>
  <c r="BZ43" i="1"/>
  <c r="BZ118" i="1" s="1"/>
  <c r="BM43" i="1"/>
  <c r="BM118" i="1" s="1"/>
  <c r="AH43" i="1"/>
  <c r="AH118" i="1" s="1"/>
  <c r="AX43" i="1"/>
  <c r="AX118" i="1" s="1"/>
  <c r="AV43" i="1"/>
  <c r="AV118" i="1" s="1"/>
  <c r="BS43" i="1"/>
  <c r="BS118" i="1" s="1"/>
  <c r="N43" i="1"/>
  <c r="N118" i="1" s="1"/>
  <c r="F43" i="1"/>
  <c r="F118" i="1" s="1"/>
  <c r="AY43" i="1"/>
  <c r="AY118" i="1" s="1"/>
  <c r="C43" i="1"/>
  <c r="C118" i="1" s="1"/>
  <c r="C119" i="13" s="1"/>
  <c r="Z43" i="1"/>
  <c r="Z118" i="1" s="1"/>
  <c r="AP43" i="1"/>
  <c r="AP118" i="1" s="1"/>
  <c r="BV43" i="1"/>
  <c r="BV118" i="1" s="1"/>
  <c r="I43" i="1"/>
  <c r="I118" i="1" s="1"/>
  <c r="Y43" i="1"/>
  <c r="Y118" i="1" s="1"/>
  <c r="D43" i="1"/>
  <c r="D118" i="1" s="1"/>
  <c r="S43" i="1"/>
  <c r="S118" i="1" s="1"/>
  <c r="BB43" i="1"/>
  <c r="BB118" i="1" s="1"/>
  <c r="AB43" i="1"/>
  <c r="AB118" i="1" s="1"/>
  <c r="AJ43" i="1"/>
  <c r="AJ118" i="1" s="1"/>
  <c r="BJ43" i="1"/>
  <c r="BJ118" i="1" s="1"/>
  <c r="BK43" i="1"/>
  <c r="BK118" i="1" s="1"/>
  <c r="BE43" i="1"/>
  <c r="BE118" i="1" s="1"/>
  <c r="BN43" i="1"/>
  <c r="BN118" i="1" s="1"/>
  <c r="BP43" i="1"/>
  <c r="BP118" i="1" s="1"/>
  <c r="M43" i="1"/>
  <c r="M118" i="1" s="1"/>
  <c r="AD45" i="9"/>
  <c r="AD60" i="9" s="1"/>
  <c r="AD57" i="9"/>
  <c r="V94" i="1"/>
  <c r="V132" i="1" s="1"/>
  <c r="C87" i="13"/>
  <c r="U94" i="1"/>
  <c r="U132" i="1" s="1"/>
  <c r="BP94" i="1"/>
  <c r="BP132" i="1" s="1"/>
  <c r="M94" i="1"/>
  <c r="M132" i="1" s="1"/>
  <c r="BO94" i="1"/>
  <c r="BO132" i="1" s="1"/>
  <c r="BX94" i="1"/>
  <c r="BX132" i="1" s="1"/>
  <c r="BM94" i="1"/>
  <c r="BM132" i="1" s="1"/>
  <c r="BA94" i="1"/>
  <c r="BA132" i="1" s="1"/>
  <c r="BT94" i="1"/>
  <c r="BT132" i="1" s="1"/>
  <c r="R94" i="1"/>
  <c r="R132" i="1" s="1"/>
  <c r="BS94" i="1"/>
  <c r="BS132" i="1" s="1"/>
  <c r="I94" i="1"/>
  <c r="I132" i="1" s="1"/>
  <c r="AN94" i="1"/>
  <c r="AN132" i="1" s="1"/>
  <c r="BQ94" i="1"/>
  <c r="BQ132" i="1" s="1"/>
  <c r="G94" i="1"/>
  <c r="G132" i="1" s="1"/>
  <c r="N94" i="1"/>
  <c r="N132" i="1" s="1"/>
  <c r="BG94" i="1"/>
  <c r="BG132" i="1" s="1"/>
  <c r="BV94" i="1"/>
  <c r="BV132" i="1" s="1"/>
  <c r="BL94" i="1"/>
  <c r="J94" i="1"/>
  <c r="J132" i="1" s="1"/>
  <c r="BK94" i="1"/>
  <c r="BK132" i="1" s="1"/>
  <c r="AF94" i="1"/>
  <c r="AF132" i="1" s="1"/>
  <c r="BI94" i="1"/>
  <c r="BI132" i="1" s="1"/>
  <c r="BB94" i="1"/>
  <c r="BB132" i="1" s="1"/>
  <c r="AY94" i="1"/>
  <c r="AY132" i="1" s="1"/>
  <c r="AZ94" i="1"/>
  <c r="AZ132" i="1" s="1"/>
  <c r="AT94" i="1"/>
  <c r="AT132" i="1" s="1"/>
  <c r="BE94" i="1"/>
  <c r="BE132" i="1" s="1"/>
  <c r="AD94" i="1"/>
  <c r="AD132" i="1" s="1"/>
  <c r="X94" i="1"/>
  <c r="X132" i="1" s="1"/>
  <c r="BC94" i="1"/>
  <c r="BC132" i="1" s="1"/>
  <c r="AR94" i="1"/>
  <c r="AR132" i="1" s="1"/>
  <c r="AQ94" i="1"/>
  <c r="AQ132" i="1" s="1"/>
  <c r="AB94" i="1"/>
  <c r="AB132" i="1" s="1"/>
  <c r="BF94" i="1"/>
  <c r="BF132" i="1" s="1"/>
  <c r="BN94" i="1"/>
  <c r="BN132" i="1" s="1"/>
  <c r="AW94" i="1"/>
  <c r="AW132" i="1" s="1"/>
  <c r="BZ94" i="1"/>
  <c r="BZ132" i="1" s="1"/>
  <c r="P94" i="1"/>
  <c r="P132" i="1" s="1"/>
  <c r="AU94" i="1"/>
  <c r="AU132" i="1" s="1"/>
  <c r="T94" i="1"/>
  <c r="T132" i="1" s="1"/>
  <c r="AI94" i="1"/>
  <c r="AI132" i="1" s="1"/>
  <c r="D94" i="1"/>
  <c r="D132" i="1" s="1"/>
  <c r="AX94" i="1"/>
  <c r="AX132" i="1" s="1"/>
  <c r="AJ94" i="1"/>
  <c r="AJ132" i="1" s="1"/>
  <c r="AO94" i="1"/>
  <c r="AO132" i="1" s="1"/>
  <c r="BR94" i="1"/>
  <c r="BR132" i="1" s="1"/>
  <c r="H94" i="1"/>
  <c r="H132" i="1" s="1"/>
  <c r="AM94" i="1"/>
  <c r="AM132" i="1" s="1"/>
  <c r="BW94" i="1"/>
  <c r="BW132" i="1" s="1"/>
  <c r="AA94" i="1"/>
  <c r="AA132" i="1" s="1"/>
  <c r="AP94" i="1"/>
  <c r="AP132" i="1" s="1"/>
  <c r="L94" i="1"/>
  <c r="L132" i="1" s="1"/>
  <c r="AG94" i="1"/>
  <c r="AG132" i="1" s="1"/>
  <c r="BJ94" i="1"/>
  <c r="BJ132" i="1" s="1"/>
  <c r="AE94" i="1"/>
  <c r="AE132" i="1" s="1"/>
  <c r="BU94" i="1"/>
  <c r="BU132" i="1" s="1"/>
  <c r="K94" i="1"/>
  <c r="K132" i="1" s="1"/>
  <c r="F94" i="1"/>
  <c r="F132" i="1" s="1"/>
  <c r="Z94" i="1"/>
  <c r="Z132" i="1" s="1"/>
  <c r="E94" i="1"/>
  <c r="E132" i="1" s="1"/>
  <c r="Q94" i="1"/>
  <c r="Q132" i="1" s="1"/>
  <c r="AV94" i="1"/>
  <c r="AV132" i="1" s="1"/>
  <c r="BY94" i="1"/>
  <c r="BY132" i="1" s="1"/>
  <c r="O94" i="1"/>
  <c r="O132" i="1" s="1"/>
  <c r="AS94" i="1"/>
  <c r="AS132" i="1" s="1"/>
  <c r="S94" i="1"/>
  <c r="S132" i="1" s="1"/>
  <c r="AL94" i="1"/>
  <c r="AL132" i="1" s="1"/>
  <c r="AH94" i="1"/>
  <c r="AH132" i="1" s="1"/>
  <c r="AK94" i="1"/>
  <c r="AK132" i="1" s="1"/>
  <c r="Y94" i="1"/>
  <c r="Y132" i="1" s="1"/>
  <c r="BD94" i="1"/>
  <c r="BD132" i="1" s="1"/>
  <c r="AC94" i="1"/>
  <c r="AC132" i="1" s="1"/>
  <c r="W94" i="1"/>
  <c r="W132" i="1" s="1"/>
  <c r="C94" i="1"/>
  <c r="O72" i="1"/>
  <c r="O129" i="1" s="1"/>
  <c r="T72" i="1"/>
  <c r="T129" i="1" s="1"/>
  <c r="X72" i="1"/>
  <c r="X129" i="1" s="1"/>
  <c r="AC72" i="1"/>
  <c r="AC129" i="1" s="1"/>
  <c r="AC136" i="1" s="1"/>
  <c r="AC140" i="1" s="1"/>
  <c r="AI72" i="1"/>
  <c r="AI129" i="1" s="1"/>
  <c r="AS72" i="1"/>
  <c r="AS129" i="1" s="1"/>
  <c r="AZ72" i="1"/>
  <c r="AZ129" i="1" s="1"/>
  <c r="BG72" i="1"/>
  <c r="BG129" i="1" s="1"/>
  <c r="BS72" i="1"/>
  <c r="BS129" i="1" s="1"/>
  <c r="BX72" i="1"/>
  <c r="BX129" i="1" s="1"/>
  <c r="E72" i="1"/>
  <c r="E129" i="1" s="1"/>
  <c r="AB72" i="1"/>
  <c r="AB129" i="1" s="1"/>
  <c r="AH72" i="1"/>
  <c r="AH129" i="1" s="1"/>
  <c r="AM72" i="1"/>
  <c r="AM129" i="1" s="1"/>
  <c r="AR72" i="1"/>
  <c r="AR129" i="1" s="1"/>
  <c r="AY72" i="1"/>
  <c r="AY129" i="1" s="1"/>
  <c r="BI72" i="1"/>
  <c r="BI129" i="1" s="1"/>
  <c r="BO72" i="1"/>
  <c r="BO129" i="1" s="1"/>
  <c r="C65" i="13"/>
  <c r="D72" i="1"/>
  <c r="D129" i="1" s="1"/>
  <c r="I72" i="1"/>
  <c r="I129" i="1" s="1"/>
  <c r="BB72" i="1"/>
  <c r="BB129" i="1" s="1"/>
  <c r="H72" i="1"/>
  <c r="H129" i="1" s="1"/>
  <c r="M72" i="1"/>
  <c r="M129" i="1" s="1"/>
  <c r="AQ72" i="1"/>
  <c r="AQ129" i="1" s="1"/>
  <c r="AX72" i="1"/>
  <c r="AX129" i="1" s="1"/>
  <c r="BF72" i="1"/>
  <c r="BF129" i="1" s="1"/>
  <c r="BN72" i="1"/>
  <c r="BN129" i="1" s="1"/>
  <c r="BR72" i="1"/>
  <c r="BR129" i="1" s="1"/>
  <c r="BW72" i="1"/>
  <c r="BW129" i="1" s="1"/>
  <c r="L72" i="1"/>
  <c r="L129" i="1" s="1"/>
  <c r="Q72" i="1"/>
  <c r="Q129" i="1" s="1"/>
  <c r="AG72" i="1"/>
  <c r="AG129" i="1" s="1"/>
  <c r="AL72" i="1"/>
  <c r="AL129" i="1" s="1"/>
  <c r="AP72" i="1"/>
  <c r="AP129" i="1" s="1"/>
  <c r="AW72" i="1"/>
  <c r="AW129" i="1" s="1"/>
  <c r="BE72" i="1"/>
  <c r="BE129" i="1" s="1"/>
  <c r="BV72" i="1"/>
  <c r="BV129" i="1" s="1"/>
  <c r="U72" i="1"/>
  <c r="U129" i="1" s="1"/>
  <c r="AN72" i="1"/>
  <c r="AN129" i="1" s="1"/>
  <c r="AT72" i="1"/>
  <c r="AT129" i="1" s="1"/>
  <c r="BC72" i="1"/>
  <c r="BC129" i="1" s="1"/>
  <c r="BK72" i="1"/>
  <c r="BK129" i="1" s="1"/>
  <c r="BL72" i="1"/>
  <c r="BM72" i="1"/>
  <c r="BM129" i="1" s="1"/>
  <c r="BQ72" i="1"/>
  <c r="BQ129" i="1" s="1"/>
  <c r="AU72" i="1"/>
  <c r="AU129" i="1" s="1"/>
  <c r="BA72" i="1"/>
  <c r="BA129" i="1" s="1"/>
  <c r="BJ72" i="1"/>
  <c r="BJ129" i="1" s="1"/>
  <c r="G72" i="1"/>
  <c r="G129" i="1" s="1"/>
  <c r="K72" i="1"/>
  <c r="K129" i="1" s="1"/>
  <c r="Y72" i="1"/>
  <c r="Y129" i="1" s="1"/>
  <c r="AO72" i="1"/>
  <c r="AO129" i="1" s="1"/>
  <c r="AV72" i="1"/>
  <c r="AV129" i="1" s="1"/>
  <c r="BU72" i="1"/>
  <c r="BU129" i="1" s="1"/>
  <c r="BZ72" i="1"/>
  <c r="BZ129" i="1" s="1"/>
  <c r="AJ72" i="1"/>
  <c r="AJ129" i="1" s="1"/>
  <c r="F72" i="1"/>
  <c r="F129" i="1" s="1"/>
  <c r="J72" i="1"/>
  <c r="J129" i="1" s="1"/>
  <c r="P72" i="1"/>
  <c r="P129" i="1" s="1"/>
  <c r="AD72" i="1"/>
  <c r="AD129" i="1" s="1"/>
  <c r="AE72" i="1"/>
  <c r="AE129" i="1" s="1"/>
  <c r="AF72" i="1"/>
  <c r="AF129" i="1" s="1"/>
  <c r="AK72" i="1"/>
  <c r="AK129" i="1" s="1"/>
  <c r="BD72" i="1"/>
  <c r="BD129" i="1" s="1"/>
  <c r="BP72" i="1"/>
  <c r="BP129" i="1" s="1"/>
  <c r="BT72" i="1"/>
  <c r="BT129" i="1" s="1"/>
  <c r="BY72" i="1"/>
  <c r="BY129" i="1" s="1"/>
  <c r="R72" i="1"/>
  <c r="R129" i="1" s="1"/>
  <c r="S72" i="1"/>
  <c r="S129" i="1" s="1"/>
  <c r="V72" i="1"/>
  <c r="V129" i="1" s="1"/>
  <c r="Z72" i="1"/>
  <c r="Z129" i="1" s="1"/>
  <c r="N72" i="1"/>
  <c r="N129" i="1" s="1"/>
  <c r="W72" i="1"/>
  <c r="W129" i="1" s="1"/>
  <c r="AA72" i="1"/>
  <c r="AA129" i="1" s="1"/>
  <c r="D44" i="13"/>
  <c r="C20" i="13"/>
  <c r="BU70" i="10"/>
  <c r="R70" i="10"/>
  <c r="AD70" i="10"/>
  <c r="BR70" i="10"/>
  <c r="AC70" i="10"/>
  <c r="BW70" i="10"/>
  <c r="AT70" i="10"/>
  <c r="AV70" i="10"/>
  <c r="F70" i="10"/>
  <c r="BG70" i="10"/>
  <c r="AL70" i="10"/>
  <c r="E70" i="10"/>
  <c r="AI70" i="10"/>
  <c r="BD70" i="10"/>
  <c r="D58" i="10"/>
  <c r="BZ70" i="10"/>
  <c r="AO70" i="10"/>
  <c r="AQ70" i="10"/>
  <c r="I70" i="10"/>
  <c r="AS70" i="10"/>
  <c r="BB70" i="10"/>
  <c r="AM70" i="10"/>
  <c r="AP70" i="10"/>
  <c r="AK70" i="10"/>
  <c r="BF70" i="10"/>
  <c r="BC70" i="10"/>
  <c r="BI70" i="10"/>
  <c r="BO70" i="10"/>
  <c r="AB70" i="10"/>
  <c r="S70" i="10"/>
  <c r="BA70" i="10"/>
  <c r="BP70" i="10"/>
  <c r="P70" i="10"/>
  <c r="U70" i="10"/>
  <c r="BQ70" i="10"/>
  <c r="AA70" i="10"/>
  <c r="C129" i="1" l="1"/>
  <c r="BL56" i="11"/>
  <c r="F68" i="19" s="1"/>
  <c r="O56" i="11"/>
  <c r="F19" i="19" s="1"/>
  <c r="E13" i="26" s="1"/>
  <c r="BW56" i="11"/>
  <c r="F79" i="19" s="1"/>
  <c r="BX56" i="11"/>
  <c r="F80" i="19" s="1"/>
  <c r="E74" i="26" s="1"/>
  <c r="D36" i="17"/>
  <c r="G56" i="11"/>
  <c r="F11" i="19" s="1"/>
  <c r="W56" i="11"/>
  <c r="F27" i="19" s="1"/>
  <c r="AX56" i="11"/>
  <c r="F54" i="19" s="1"/>
  <c r="AE56" i="11"/>
  <c r="F35" i="19" s="1"/>
  <c r="D52" i="11"/>
  <c r="D53" i="16" s="1"/>
  <c r="D26" i="16"/>
  <c r="D53" i="11"/>
  <c r="D54" i="16" s="1"/>
  <c r="D37" i="16"/>
  <c r="D54" i="11"/>
  <c r="D55" i="16" s="1"/>
  <c r="D48" i="16"/>
  <c r="E56" i="11"/>
  <c r="F9" i="19" s="1"/>
  <c r="BR56" i="11"/>
  <c r="M56" i="11"/>
  <c r="BV56" i="11"/>
  <c r="T56" i="11"/>
  <c r="N56" i="11"/>
  <c r="F18" i="19" s="1"/>
  <c r="E12" i="26" s="1"/>
  <c r="BY56" i="11"/>
  <c r="AB136" i="1"/>
  <c r="AB140" i="1" s="1"/>
  <c r="AI45" i="9"/>
  <c r="AI60" i="9" s="1"/>
  <c r="Q56" i="11"/>
  <c r="BC56" i="11"/>
  <c r="S56" i="11"/>
  <c r="F23" i="19" s="1"/>
  <c r="AM56" i="11"/>
  <c r="F56" i="11"/>
  <c r="AK56" i="11"/>
  <c r="BQ56" i="11"/>
  <c r="BK45" i="9"/>
  <c r="BK60" i="9" s="1"/>
  <c r="AZ56" i="11"/>
  <c r="F56" i="19" s="1"/>
  <c r="E50" i="26" s="1"/>
  <c r="BD56" i="11"/>
  <c r="F60" i="19" s="1"/>
  <c r="AN56" i="11"/>
  <c r="AJ56" i="11"/>
  <c r="BP56" i="11"/>
  <c r="AO56" i="11"/>
  <c r="F45" i="19" s="1"/>
  <c r="AF56" i="11"/>
  <c r="F36" i="19" s="1"/>
  <c r="E30" i="26" s="1"/>
  <c r="BO56" i="11"/>
  <c r="AR56" i="11"/>
  <c r="AC56" i="11"/>
  <c r="Y56" i="11"/>
  <c r="F29" i="19" s="1"/>
  <c r="AQ56" i="11"/>
  <c r="F47" i="19" s="1"/>
  <c r="AI56" i="11"/>
  <c r="AT56" i="11"/>
  <c r="AY56" i="11"/>
  <c r="R56" i="11"/>
  <c r="AU56" i="11"/>
  <c r="T45" i="9"/>
  <c r="T60" i="9" s="1"/>
  <c r="AZ57" i="9"/>
  <c r="AX45" i="9"/>
  <c r="AX60" i="9" s="1"/>
  <c r="AJ45" i="9"/>
  <c r="AJ60" i="9" s="1"/>
  <c r="BF45" i="9"/>
  <c r="BF60" i="9" s="1"/>
  <c r="J45" i="9"/>
  <c r="J60" i="9" s="1"/>
  <c r="AV57" i="9"/>
  <c r="D58" i="17" s="1"/>
  <c r="Q45" i="9"/>
  <c r="Q60" i="9" s="1"/>
  <c r="W45" i="9"/>
  <c r="W60" i="9" s="1"/>
  <c r="H56" i="11"/>
  <c r="AH56" i="11"/>
  <c r="BK56" i="11"/>
  <c r="I56" i="11"/>
  <c r="AA56" i="11"/>
  <c r="BN56" i="11"/>
  <c r="BB56" i="11"/>
  <c r="J56" i="11"/>
  <c r="L56" i="11"/>
  <c r="AS56" i="11"/>
  <c r="U56" i="11"/>
  <c r="BA56" i="11"/>
  <c r="AD56" i="11"/>
  <c r="BE56" i="11"/>
  <c r="C25" i="11"/>
  <c r="C26" i="16" s="1"/>
  <c r="AW56" i="11"/>
  <c r="BU56" i="11"/>
  <c r="BM56" i="11"/>
  <c r="AP45" i="9"/>
  <c r="AP60" i="9" s="1"/>
  <c r="BB45" i="9"/>
  <c r="BB60" i="9" s="1"/>
  <c r="BY45" i="9"/>
  <c r="BY60" i="9" s="1"/>
  <c r="P45" i="9"/>
  <c r="P60" i="9" s="1"/>
  <c r="AQ45" i="9"/>
  <c r="AQ60" i="9" s="1"/>
  <c r="AP56" i="11"/>
  <c r="BI56" i="11"/>
  <c r="AV56" i="11"/>
  <c r="BZ56" i="11"/>
  <c r="K56" i="11"/>
  <c r="BS56" i="11"/>
  <c r="BF56" i="11"/>
  <c r="P56" i="11"/>
  <c r="BH56" i="11"/>
  <c r="BG56" i="11"/>
  <c r="BT56" i="11"/>
  <c r="AG56" i="11"/>
  <c r="AB56" i="11"/>
  <c r="AL56" i="11"/>
  <c r="BJ56" i="11"/>
  <c r="C36" i="11"/>
  <c r="C37" i="16" s="1"/>
  <c r="V56" i="11"/>
  <c r="X56" i="11"/>
  <c r="AN45" i="9"/>
  <c r="AN60" i="9" s="1"/>
  <c r="AW45" i="9"/>
  <c r="AW60" i="9" s="1"/>
  <c r="AY57" i="9"/>
  <c r="BR45" i="9"/>
  <c r="BR60" i="9" s="1"/>
  <c r="AF45" i="9"/>
  <c r="AF60" i="9" s="1"/>
  <c r="BE45" i="9"/>
  <c r="BE60" i="9" s="1"/>
  <c r="U45" i="9"/>
  <c r="U60" i="9" s="1"/>
  <c r="D45" i="9"/>
  <c r="D60" i="9" s="1"/>
  <c r="H45" i="9"/>
  <c r="H60" i="9" s="1"/>
  <c r="AK57" i="9"/>
  <c r="C58" i="9"/>
  <c r="C59" i="17" s="1"/>
  <c r="AA45" i="9"/>
  <c r="AA60" i="9" s="1"/>
  <c r="L45" i="9"/>
  <c r="L60" i="9" s="1"/>
  <c r="AB45" i="9"/>
  <c r="AB60" i="9" s="1"/>
  <c r="BM45" i="9"/>
  <c r="BM60" i="9" s="1"/>
  <c r="BA45" i="9"/>
  <c r="BA60" i="9" s="1"/>
  <c r="AC45" i="9"/>
  <c r="AC60" i="9" s="1"/>
  <c r="BO45" i="9"/>
  <c r="BO60" i="9" s="1"/>
  <c r="AL57" i="9"/>
  <c r="N45" i="9"/>
  <c r="N60" i="9" s="1"/>
  <c r="AE45" i="9"/>
  <c r="AE60" i="9" s="1"/>
  <c r="G45" i="9"/>
  <c r="G60" i="9" s="1"/>
  <c r="BZ45" i="9"/>
  <c r="BZ60" i="9" s="1"/>
  <c r="BU45" i="9"/>
  <c r="BU60" i="9" s="1"/>
  <c r="BH21" i="1"/>
  <c r="BH115" i="1" s="1"/>
  <c r="BH122" i="1" s="1"/>
  <c r="BH126" i="1" s="1"/>
  <c r="BH143" i="1" s="1"/>
  <c r="AM45" i="9"/>
  <c r="AM60" i="9" s="1"/>
  <c r="BG45" i="9"/>
  <c r="BG60" i="9" s="1"/>
  <c r="BI45" i="9"/>
  <c r="BI60" i="9" s="1"/>
  <c r="BH45" i="9"/>
  <c r="BH60" i="9" s="1"/>
  <c r="E45" i="9"/>
  <c r="E60" i="9" s="1"/>
  <c r="AV60" i="9"/>
  <c r="D46" i="17"/>
  <c r="BP45" i="9"/>
  <c r="BP60" i="9" s="1"/>
  <c r="BN45" i="9"/>
  <c r="BN60" i="9" s="1"/>
  <c r="BC45" i="9"/>
  <c r="BC60" i="9" s="1"/>
  <c r="AT45" i="9"/>
  <c r="AT60" i="9" s="1"/>
  <c r="BD45" i="9"/>
  <c r="BD60" i="9" s="1"/>
  <c r="BL45" i="9"/>
  <c r="BL60" i="9" s="1"/>
  <c r="F45" i="9"/>
  <c r="F60" i="9" s="1"/>
  <c r="AH45" i="9"/>
  <c r="AH60" i="9" s="1"/>
  <c r="AU45" i="9"/>
  <c r="AU60" i="9" s="1"/>
  <c r="I45" i="9"/>
  <c r="I60" i="9" s="1"/>
  <c r="BL57" i="9"/>
  <c r="BV57" i="9"/>
  <c r="AR45" i="9"/>
  <c r="AR60" i="9" s="1"/>
  <c r="V45" i="9"/>
  <c r="V60" i="9" s="1"/>
  <c r="BQ45" i="9"/>
  <c r="BQ60" i="9" s="1"/>
  <c r="AG45" i="9"/>
  <c r="AG60" i="9" s="1"/>
  <c r="M45" i="9"/>
  <c r="M60" i="9" s="1"/>
  <c r="S45" i="9"/>
  <c r="S60" i="9" s="1"/>
  <c r="BT45" i="9"/>
  <c r="BT60" i="9" s="1"/>
  <c r="K45" i="9"/>
  <c r="K60" i="9" s="1"/>
  <c r="AO57" i="9"/>
  <c r="O45" i="9"/>
  <c r="O60" i="9" s="1"/>
  <c r="Y45" i="9"/>
  <c r="Y60" i="9" s="1"/>
  <c r="BJ45" i="9"/>
  <c r="BJ60" i="9" s="1"/>
  <c r="BX45" i="9"/>
  <c r="BX60" i="9" s="1"/>
  <c r="R45" i="9"/>
  <c r="R60" i="9" s="1"/>
  <c r="BW45" i="9"/>
  <c r="BW60" i="9" s="1"/>
  <c r="X45" i="9"/>
  <c r="X60" i="9" s="1"/>
  <c r="Z45" i="9"/>
  <c r="Z60" i="9" s="1"/>
  <c r="AS57" i="9"/>
  <c r="BS45" i="9"/>
  <c r="BS60" i="9" s="1"/>
  <c r="C47" i="11"/>
  <c r="C48" i="16" s="1"/>
  <c r="AD136" i="1"/>
  <c r="AD140" i="1" s="1"/>
  <c r="W136" i="1"/>
  <c r="W140" i="1" s="1"/>
  <c r="BD136" i="1"/>
  <c r="BD140" i="1" s="1"/>
  <c r="L136" i="1"/>
  <c r="L140" i="1" s="1"/>
  <c r="AQ136" i="1"/>
  <c r="AQ140" i="1" s="1"/>
  <c r="BS136" i="1"/>
  <c r="BS140" i="1" s="1"/>
  <c r="AE136" i="1"/>
  <c r="AE140" i="1" s="1"/>
  <c r="AY136" i="1"/>
  <c r="AY140" i="1" s="1"/>
  <c r="BQ136" i="1"/>
  <c r="BQ140" i="1" s="1"/>
  <c r="BW136" i="1"/>
  <c r="BW140" i="1" s="1"/>
  <c r="AZ136" i="1"/>
  <c r="AZ140" i="1" s="1"/>
  <c r="J136" i="1"/>
  <c r="J140" i="1" s="1"/>
  <c r="I136" i="1"/>
  <c r="I140" i="1" s="1"/>
  <c r="AI136" i="1"/>
  <c r="AI140" i="1" s="1"/>
  <c r="R136" i="1"/>
  <c r="R140" i="1" s="1"/>
  <c r="AU136" i="1"/>
  <c r="AU140" i="1" s="1"/>
  <c r="U136" i="1"/>
  <c r="U140" i="1" s="1"/>
  <c r="AV136" i="1"/>
  <c r="AV140" i="1" s="1"/>
  <c r="BV136" i="1"/>
  <c r="BV140" i="1" s="1"/>
  <c r="H136" i="1"/>
  <c r="H140" i="1" s="1"/>
  <c r="AR136" i="1"/>
  <c r="AR140" i="1" s="1"/>
  <c r="AA136" i="1"/>
  <c r="AA140" i="1" s="1"/>
  <c r="AS136" i="1"/>
  <c r="AS140" i="1" s="1"/>
  <c r="BC136" i="1"/>
  <c r="BC140" i="1" s="1"/>
  <c r="AK136" i="1"/>
  <c r="AK140" i="1" s="1"/>
  <c r="BJ136" i="1"/>
  <c r="BJ140" i="1" s="1"/>
  <c r="T136" i="1"/>
  <c r="T140" i="1" s="1"/>
  <c r="BY136" i="1"/>
  <c r="BY140" i="1" s="1"/>
  <c r="BT136" i="1"/>
  <c r="BT140" i="1" s="1"/>
  <c r="P136" i="1"/>
  <c r="P140" i="1" s="1"/>
  <c r="BB136" i="1"/>
  <c r="BB140" i="1" s="1"/>
  <c r="AM136" i="1"/>
  <c r="AM140" i="1" s="1"/>
  <c r="BP136" i="1"/>
  <c r="BP140" i="1" s="1"/>
  <c r="BR136" i="1"/>
  <c r="BR140" i="1" s="1"/>
  <c r="BK136" i="1"/>
  <c r="BK140" i="1" s="1"/>
  <c r="BF136" i="1"/>
  <c r="BF140" i="1" s="1"/>
  <c r="AT136" i="1"/>
  <c r="AT140" i="1" s="1"/>
  <c r="BO136" i="1"/>
  <c r="BO140" i="1" s="1"/>
  <c r="BU136" i="1"/>
  <c r="BU140" i="1" s="1"/>
  <c r="AN136" i="1"/>
  <c r="AN140" i="1" s="1"/>
  <c r="O136" i="1"/>
  <c r="O140" i="1" s="1"/>
  <c r="Q136" i="1"/>
  <c r="Q140" i="1" s="1"/>
  <c r="M136" i="1"/>
  <c r="M140" i="1" s="1"/>
  <c r="BG136" i="1"/>
  <c r="BG140" i="1" s="1"/>
  <c r="E24" i="26"/>
  <c r="E62" i="26"/>
  <c r="C44" i="13"/>
  <c r="K136" i="1"/>
  <c r="K140" i="1" s="1"/>
  <c r="D136" i="1"/>
  <c r="D140" i="1" s="1"/>
  <c r="Y136" i="1"/>
  <c r="Y140" i="1" s="1"/>
  <c r="BE136" i="1"/>
  <c r="BE140" i="1" s="1"/>
  <c r="AH136" i="1"/>
  <c r="AH140" i="1" s="1"/>
  <c r="N136" i="1"/>
  <c r="N140" i="1" s="1"/>
  <c r="F136" i="1"/>
  <c r="F140" i="1" s="1"/>
  <c r="AW136" i="1"/>
  <c r="AW140" i="1" s="1"/>
  <c r="BN136" i="1"/>
  <c r="BN140" i="1" s="1"/>
  <c r="AO136" i="1"/>
  <c r="AO140" i="1" s="1"/>
  <c r="BM136" i="1"/>
  <c r="BM140" i="1" s="1"/>
  <c r="Z136" i="1"/>
  <c r="Z140" i="1" s="1"/>
  <c r="AJ136" i="1"/>
  <c r="AJ140" i="1" s="1"/>
  <c r="G136" i="1"/>
  <c r="G140" i="1" s="1"/>
  <c r="AP136" i="1"/>
  <c r="AP140" i="1" s="1"/>
  <c r="E136" i="1"/>
  <c r="E140" i="1" s="1"/>
  <c r="X136" i="1"/>
  <c r="X140" i="1" s="1"/>
  <c r="V136" i="1"/>
  <c r="V140" i="1" s="1"/>
  <c r="BZ136" i="1"/>
  <c r="BZ140" i="1" s="1"/>
  <c r="AL136" i="1"/>
  <c r="AL140" i="1" s="1"/>
  <c r="AX136" i="1"/>
  <c r="AX140" i="1" s="1"/>
  <c r="BX136" i="1"/>
  <c r="BX140" i="1" s="1"/>
  <c r="S136" i="1"/>
  <c r="S140" i="1" s="1"/>
  <c r="AF136" i="1"/>
  <c r="AF140" i="1" s="1"/>
  <c r="BA136" i="1"/>
  <c r="BA140" i="1" s="1"/>
  <c r="AG136" i="1"/>
  <c r="AG140" i="1" s="1"/>
  <c r="BI136" i="1"/>
  <c r="BI140" i="1" s="1"/>
  <c r="C132" i="1"/>
  <c r="C133" i="13" s="1"/>
  <c r="C95" i="13"/>
  <c r="BL132" i="1"/>
  <c r="D133" i="13" s="1"/>
  <c r="D95" i="13"/>
  <c r="D73" i="13"/>
  <c r="BL129" i="1"/>
  <c r="C130" i="13"/>
  <c r="F21" i="1"/>
  <c r="F115" i="1" s="1"/>
  <c r="F122" i="1" s="1"/>
  <c r="F126" i="1" s="1"/>
  <c r="N21" i="1"/>
  <c r="N115" i="1" s="1"/>
  <c r="N122" i="1" s="1"/>
  <c r="N126" i="1" s="1"/>
  <c r="V21" i="1"/>
  <c r="V115" i="1" s="1"/>
  <c r="V122" i="1" s="1"/>
  <c r="V126" i="1" s="1"/>
  <c r="AD21" i="1"/>
  <c r="AD115" i="1" s="1"/>
  <c r="AD122" i="1" s="1"/>
  <c r="AD126" i="1" s="1"/>
  <c r="AL21" i="1"/>
  <c r="AL115" i="1" s="1"/>
  <c r="AL122" i="1" s="1"/>
  <c r="AL126" i="1" s="1"/>
  <c r="AT21" i="1"/>
  <c r="AT115" i="1" s="1"/>
  <c r="AT122" i="1" s="1"/>
  <c r="AT126" i="1" s="1"/>
  <c r="BB21" i="1"/>
  <c r="BB115" i="1" s="1"/>
  <c r="BB122" i="1" s="1"/>
  <c r="BB126" i="1" s="1"/>
  <c r="BO21" i="1"/>
  <c r="BO115" i="1" s="1"/>
  <c r="BO122" i="1" s="1"/>
  <c r="BO126" i="1" s="1"/>
  <c r="G21" i="1"/>
  <c r="G115" i="1" s="1"/>
  <c r="G122" i="1" s="1"/>
  <c r="G126" i="1" s="1"/>
  <c r="W21" i="1"/>
  <c r="W115" i="1" s="1"/>
  <c r="W122" i="1" s="1"/>
  <c r="W126" i="1" s="1"/>
  <c r="BK21" i="1"/>
  <c r="BK115" i="1" s="1"/>
  <c r="BK122" i="1" s="1"/>
  <c r="BK126" i="1" s="1"/>
  <c r="BP21" i="1"/>
  <c r="BP115" i="1" s="1"/>
  <c r="BP122" i="1" s="1"/>
  <c r="BP126" i="1" s="1"/>
  <c r="R21" i="1"/>
  <c r="R115" i="1" s="1"/>
  <c r="R122" i="1" s="1"/>
  <c r="R126" i="1" s="1"/>
  <c r="AG21" i="1"/>
  <c r="AG115" i="1" s="1"/>
  <c r="AG122" i="1" s="1"/>
  <c r="AG126" i="1" s="1"/>
  <c r="AW21" i="1"/>
  <c r="AW115" i="1" s="1"/>
  <c r="AW122" i="1" s="1"/>
  <c r="AW126" i="1" s="1"/>
  <c r="K21" i="1"/>
  <c r="K115" i="1" s="1"/>
  <c r="K122" i="1" s="1"/>
  <c r="K126" i="1" s="1"/>
  <c r="AA21" i="1"/>
  <c r="AA115" i="1" s="1"/>
  <c r="AA122" i="1" s="1"/>
  <c r="AA126" i="1" s="1"/>
  <c r="AA143" i="1" s="1"/>
  <c r="AQ21" i="1"/>
  <c r="AQ115" i="1" s="1"/>
  <c r="AQ122" i="1" s="1"/>
  <c r="AQ126" i="1" s="1"/>
  <c r="BG21" i="1"/>
  <c r="BG115" i="1" s="1"/>
  <c r="BG122" i="1" s="1"/>
  <c r="BG126" i="1" s="1"/>
  <c r="BW21" i="1"/>
  <c r="BW115" i="1" s="1"/>
  <c r="BW122" i="1" s="1"/>
  <c r="BW126" i="1" s="1"/>
  <c r="AI21" i="1"/>
  <c r="AI115" i="1" s="1"/>
  <c r="AI122" i="1" s="1"/>
  <c r="AI126" i="1" s="1"/>
  <c r="AY21" i="1"/>
  <c r="AY115" i="1" s="1"/>
  <c r="AY122" i="1" s="1"/>
  <c r="AY126" i="1" s="1"/>
  <c r="I21" i="1"/>
  <c r="I115" i="1" s="1"/>
  <c r="I122" i="1" s="1"/>
  <c r="I126" i="1" s="1"/>
  <c r="J21" i="1"/>
  <c r="J115" i="1" s="1"/>
  <c r="J122" i="1" s="1"/>
  <c r="J126" i="1" s="1"/>
  <c r="Y21" i="1"/>
  <c r="Y115" i="1" s="1"/>
  <c r="Y122" i="1" s="1"/>
  <c r="Y126" i="1" s="1"/>
  <c r="Z21" i="1"/>
  <c r="Z115" i="1" s="1"/>
  <c r="Z122" i="1" s="1"/>
  <c r="Z126" i="1" s="1"/>
  <c r="AO21" i="1"/>
  <c r="AO115" i="1" s="1"/>
  <c r="AO122" i="1" s="1"/>
  <c r="AO126" i="1" s="1"/>
  <c r="AP21" i="1"/>
  <c r="AP115" i="1" s="1"/>
  <c r="AP122" i="1" s="1"/>
  <c r="AP126" i="1" s="1"/>
  <c r="BE21" i="1"/>
  <c r="BE115" i="1" s="1"/>
  <c r="BE122" i="1" s="1"/>
  <c r="BE126" i="1" s="1"/>
  <c r="BF21" i="1"/>
  <c r="BF115" i="1" s="1"/>
  <c r="BF122" i="1" s="1"/>
  <c r="BF126" i="1" s="1"/>
  <c r="BT21" i="1"/>
  <c r="BT115" i="1" s="1"/>
  <c r="BT122" i="1" s="1"/>
  <c r="BT126" i="1" s="1"/>
  <c r="BX21" i="1"/>
  <c r="BX115" i="1" s="1"/>
  <c r="BX122" i="1" s="1"/>
  <c r="BX126" i="1" s="1"/>
  <c r="O21" i="1"/>
  <c r="O115" i="1" s="1"/>
  <c r="O122" i="1" s="1"/>
  <c r="O126" i="1" s="1"/>
  <c r="AE21" i="1"/>
  <c r="AE115" i="1" s="1"/>
  <c r="AE122" i="1" s="1"/>
  <c r="AE126" i="1" s="1"/>
  <c r="AU21" i="1"/>
  <c r="AU115" i="1" s="1"/>
  <c r="AU122" i="1" s="1"/>
  <c r="AU126" i="1" s="1"/>
  <c r="AU143" i="1" s="1"/>
  <c r="BI21" i="1"/>
  <c r="BI115" i="1" s="1"/>
  <c r="BI122" i="1" s="1"/>
  <c r="BI126" i="1" s="1"/>
  <c r="BS21" i="1"/>
  <c r="BS115" i="1" s="1"/>
  <c r="BS122" i="1" s="1"/>
  <c r="BS126" i="1" s="1"/>
  <c r="BY21" i="1"/>
  <c r="BY115" i="1" s="1"/>
  <c r="BY122" i="1" s="1"/>
  <c r="BY126" i="1" s="1"/>
  <c r="C14" i="13"/>
  <c r="S21" i="1"/>
  <c r="S115" i="1" s="1"/>
  <c r="S122" i="1" s="1"/>
  <c r="S126" i="1" s="1"/>
  <c r="BZ21" i="1"/>
  <c r="BZ115" i="1" s="1"/>
  <c r="BZ122" i="1" s="1"/>
  <c r="BZ126" i="1" s="1"/>
  <c r="Q21" i="1"/>
  <c r="Q115" i="1" s="1"/>
  <c r="Q122" i="1" s="1"/>
  <c r="Q126" i="1" s="1"/>
  <c r="AH21" i="1"/>
  <c r="AH115" i="1" s="1"/>
  <c r="AH122" i="1" s="1"/>
  <c r="AH126" i="1" s="1"/>
  <c r="AX21" i="1"/>
  <c r="AX115" i="1" s="1"/>
  <c r="AX122" i="1" s="1"/>
  <c r="AX126" i="1" s="1"/>
  <c r="BL21" i="1"/>
  <c r="BV21" i="1"/>
  <c r="BV115" i="1" s="1"/>
  <c r="BV122" i="1" s="1"/>
  <c r="BV126" i="1" s="1"/>
  <c r="BU21" i="1"/>
  <c r="BU115" i="1" s="1"/>
  <c r="BU122" i="1" s="1"/>
  <c r="BU126" i="1" s="1"/>
  <c r="T21" i="1"/>
  <c r="T115" i="1" s="1"/>
  <c r="T122" i="1" s="1"/>
  <c r="T126" i="1" s="1"/>
  <c r="AB21" i="1"/>
  <c r="AB115" i="1" s="1"/>
  <c r="AB122" i="1" s="1"/>
  <c r="AB126" i="1" s="1"/>
  <c r="AB143" i="1" s="1"/>
  <c r="BN21" i="1"/>
  <c r="BN115" i="1" s="1"/>
  <c r="BN122" i="1" s="1"/>
  <c r="BN126" i="1" s="1"/>
  <c r="U21" i="1"/>
  <c r="U115" i="1" s="1"/>
  <c r="U122" i="1" s="1"/>
  <c r="U126" i="1" s="1"/>
  <c r="BD21" i="1"/>
  <c r="BD115" i="1" s="1"/>
  <c r="BD122" i="1" s="1"/>
  <c r="BD126" i="1" s="1"/>
  <c r="AN21" i="1"/>
  <c r="AN115" i="1" s="1"/>
  <c r="AN122" i="1" s="1"/>
  <c r="AN126" i="1" s="1"/>
  <c r="BC21" i="1"/>
  <c r="BC115" i="1" s="1"/>
  <c r="BC122" i="1" s="1"/>
  <c r="BC126" i="1" s="1"/>
  <c r="BA21" i="1"/>
  <c r="BA115" i="1" s="1"/>
  <c r="BA122" i="1" s="1"/>
  <c r="BA126" i="1" s="1"/>
  <c r="AJ21" i="1"/>
  <c r="AJ115" i="1" s="1"/>
  <c r="AJ122" i="1" s="1"/>
  <c r="AJ126" i="1" s="1"/>
  <c r="X21" i="1"/>
  <c r="X115" i="1" s="1"/>
  <c r="X122" i="1" s="1"/>
  <c r="X126" i="1" s="1"/>
  <c r="BJ21" i="1"/>
  <c r="BJ115" i="1" s="1"/>
  <c r="BJ122" i="1" s="1"/>
  <c r="BJ126" i="1" s="1"/>
  <c r="H21" i="1"/>
  <c r="H115" i="1" s="1"/>
  <c r="H122" i="1" s="1"/>
  <c r="H126" i="1" s="1"/>
  <c r="AM21" i="1"/>
  <c r="AM115" i="1" s="1"/>
  <c r="AM122" i="1" s="1"/>
  <c r="AM126" i="1" s="1"/>
  <c r="AS21" i="1"/>
  <c r="AS115" i="1" s="1"/>
  <c r="AS122" i="1" s="1"/>
  <c r="AS126" i="1" s="1"/>
  <c r="AV21" i="1"/>
  <c r="AV115" i="1" s="1"/>
  <c r="AV122" i="1" s="1"/>
  <c r="AV126" i="1" s="1"/>
  <c r="BM21" i="1"/>
  <c r="BM115" i="1" s="1"/>
  <c r="BM122" i="1" s="1"/>
  <c r="BM126" i="1" s="1"/>
  <c r="AK21" i="1"/>
  <c r="AK115" i="1" s="1"/>
  <c r="AK122" i="1" s="1"/>
  <c r="AK126" i="1" s="1"/>
  <c r="P21" i="1"/>
  <c r="P115" i="1" s="1"/>
  <c r="P122" i="1" s="1"/>
  <c r="P126" i="1" s="1"/>
  <c r="P143" i="1" s="1"/>
  <c r="AR21" i="1"/>
  <c r="AR115" i="1" s="1"/>
  <c r="AR122" i="1" s="1"/>
  <c r="AR126" i="1" s="1"/>
  <c r="AF21" i="1"/>
  <c r="AF115" i="1" s="1"/>
  <c r="AF122" i="1" s="1"/>
  <c r="AF126" i="1" s="1"/>
  <c r="BQ21" i="1"/>
  <c r="BQ115" i="1" s="1"/>
  <c r="BQ122" i="1" s="1"/>
  <c r="BQ126" i="1" s="1"/>
  <c r="AC21" i="1"/>
  <c r="AC115" i="1" s="1"/>
  <c r="AC122" i="1" s="1"/>
  <c r="AC126" i="1" s="1"/>
  <c r="AC143" i="1" s="1"/>
  <c r="D21" i="1"/>
  <c r="D115" i="1" s="1"/>
  <c r="D122" i="1" s="1"/>
  <c r="D126" i="1" s="1"/>
  <c r="L21" i="1"/>
  <c r="L115" i="1" s="1"/>
  <c r="L122" i="1" s="1"/>
  <c r="L126" i="1" s="1"/>
  <c r="L143" i="1" s="1"/>
  <c r="AZ21" i="1"/>
  <c r="AZ115" i="1" s="1"/>
  <c r="AZ122" i="1" s="1"/>
  <c r="AZ126" i="1" s="1"/>
  <c r="M21" i="1"/>
  <c r="M115" i="1" s="1"/>
  <c r="M122" i="1" s="1"/>
  <c r="M126" i="1" s="1"/>
  <c r="BR21" i="1"/>
  <c r="BR115" i="1" s="1"/>
  <c r="BR122" i="1" s="1"/>
  <c r="BR126" i="1" s="1"/>
  <c r="E21" i="1"/>
  <c r="E115" i="1" s="1"/>
  <c r="E122" i="1" s="1"/>
  <c r="E126" i="1" s="1"/>
  <c r="C21" i="1"/>
  <c r="D70" i="10"/>
  <c r="C70" i="10" s="1"/>
  <c r="C71" i="15" s="1"/>
  <c r="C54" i="11"/>
  <c r="C55" i="16" s="1"/>
  <c r="E5" i="26" l="1"/>
  <c r="E21" i="26"/>
  <c r="E3" i="26"/>
  <c r="AG80" i="23"/>
  <c r="AG11" i="23"/>
  <c r="E73" i="26"/>
  <c r="AG79" i="23"/>
  <c r="E29" i="26"/>
  <c r="AG35" i="23"/>
  <c r="D61" i="17"/>
  <c r="E48" i="26"/>
  <c r="C52" i="11"/>
  <c r="C53" i="16" s="1"/>
  <c r="AG54" i="23"/>
  <c r="C53" i="11"/>
  <c r="C54" i="16" s="1"/>
  <c r="E17" i="26"/>
  <c r="D56" i="11"/>
  <c r="F8" i="19" s="1"/>
  <c r="E2" i="26" s="1"/>
  <c r="E41" i="26"/>
  <c r="AG29" i="23"/>
  <c r="E23" i="26"/>
  <c r="E54" i="26"/>
  <c r="E39" i="26"/>
  <c r="F66" i="19"/>
  <c r="F62" i="19"/>
  <c r="F61" i="19"/>
  <c r="E55" i="26" s="1"/>
  <c r="F70" i="19"/>
  <c r="F22" i="19"/>
  <c r="F71" i="19"/>
  <c r="E65" i="26" s="1"/>
  <c r="F21" i="19"/>
  <c r="F74" i="19"/>
  <c r="F42" i="19"/>
  <c r="E36" i="26" s="1"/>
  <c r="F75" i="19"/>
  <c r="E69" i="26" s="1"/>
  <c r="F34" i="19"/>
  <c r="F31" i="19"/>
  <c r="F55" i="19"/>
  <c r="E49" i="26" s="1"/>
  <c r="F73" i="19"/>
  <c r="F32" i="19"/>
  <c r="F15" i="19"/>
  <c r="F57" i="19"/>
  <c r="F13" i="19"/>
  <c r="E7" i="26" s="1"/>
  <c r="F50" i="19"/>
  <c r="F41" i="19"/>
  <c r="F37" i="19"/>
  <c r="F82" i="19"/>
  <c r="E76" i="26" s="1"/>
  <c r="F25" i="19"/>
  <c r="F67" i="19"/>
  <c r="F39" i="19"/>
  <c r="F72" i="19"/>
  <c r="E66" i="26" s="1"/>
  <c r="F10" i="19"/>
  <c r="F81" i="19"/>
  <c r="E75" i="26" s="1"/>
  <c r="F76" i="19"/>
  <c r="E70" i="26" s="1"/>
  <c r="F52" i="19"/>
  <c r="E46" i="26" s="1"/>
  <c r="F69" i="19"/>
  <c r="F49" i="19"/>
  <c r="F38" i="19"/>
  <c r="F40" i="19"/>
  <c r="E34" i="26" s="1"/>
  <c r="F43" i="19"/>
  <c r="F28" i="19"/>
  <c r="E22" i="26" s="1"/>
  <c r="F63" i="19"/>
  <c r="E57" i="26" s="1"/>
  <c r="F65" i="19"/>
  <c r="F77" i="19"/>
  <c r="E71" i="26" s="1"/>
  <c r="F16" i="19"/>
  <c r="F12" i="19"/>
  <c r="E6" i="26" s="1"/>
  <c r="F44" i="19"/>
  <c r="F24" i="19"/>
  <c r="F26" i="19"/>
  <c r="E20" i="26" s="1"/>
  <c r="F64" i="19"/>
  <c r="E58" i="26" s="1"/>
  <c r="F46" i="19"/>
  <c r="F53" i="19"/>
  <c r="F14" i="19"/>
  <c r="F33" i="19"/>
  <c r="F78" i="19"/>
  <c r="F20" i="19"/>
  <c r="F58" i="19"/>
  <c r="E52" i="26" s="1"/>
  <c r="F51" i="19"/>
  <c r="F48" i="19"/>
  <c r="F59" i="19"/>
  <c r="E53" i="26" s="1"/>
  <c r="F17" i="19"/>
  <c r="BQ143" i="1"/>
  <c r="AM143" i="1"/>
  <c r="BP143" i="1"/>
  <c r="AD143" i="1"/>
  <c r="BV143" i="1"/>
  <c r="AN143" i="1"/>
  <c r="AE143" i="1"/>
  <c r="AS143" i="1"/>
  <c r="BS143" i="1"/>
  <c r="AI143" i="1"/>
  <c r="R143" i="1"/>
  <c r="H143" i="1"/>
  <c r="AZ143" i="1"/>
  <c r="T143" i="1"/>
  <c r="J143" i="1"/>
  <c r="BO143" i="1"/>
  <c r="BW143" i="1"/>
  <c r="AK143" i="1"/>
  <c r="BM143" i="1"/>
  <c r="BU143" i="1"/>
  <c r="U143" i="1"/>
  <c r="BG143" i="1"/>
  <c r="AV143" i="1"/>
  <c r="BC143" i="1"/>
  <c r="BY143" i="1"/>
  <c r="BF143" i="1"/>
  <c r="AY143" i="1"/>
  <c r="BD143" i="1"/>
  <c r="BK143" i="1"/>
  <c r="AP143" i="1"/>
  <c r="BR143" i="1"/>
  <c r="AR143" i="1"/>
  <c r="BJ143" i="1"/>
  <c r="BN143" i="1"/>
  <c r="Q143" i="1"/>
  <c r="AQ143" i="1"/>
  <c r="W143" i="1"/>
  <c r="AT143" i="1"/>
  <c r="M143" i="1"/>
  <c r="X143" i="1"/>
  <c r="O143" i="1"/>
  <c r="BT143" i="1"/>
  <c r="I143" i="1"/>
  <c r="BB143" i="1"/>
  <c r="C57" i="9"/>
  <c r="C58" i="17" s="1"/>
  <c r="Y143" i="1"/>
  <c r="BE143" i="1"/>
  <c r="BI143" i="1"/>
  <c r="AO143" i="1"/>
  <c r="AF143" i="1"/>
  <c r="BZ143" i="1"/>
  <c r="G143" i="1"/>
  <c r="AW143" i="1"/>
  <c r="K143" i="1"/>
  <c r="E143" i="1"/>
  <c r="AL143" i="1"/>
  <c r="AJ143" i="1"/>
  <c r="N143" i="1"/>
  <c r="D143" i="1"/>
  <c r="BA143" i="1"/>
  <c r="AX143" i="1"/>
  <c r="AH143" i="1"/>
  <c r="Z143" i="1"/>
  <c r="V143" i="1"/>
  <c r="S143" i="1"/>
  <c r="BX143" i="1"/>
  <c r="F143" i="1"/>
  <c r="AG143" i="1"/>
  <c r="C60" i="9"/>
  <c r="C61" i="17" s="1"/>
  <c r="C136" i="1"/>
  <c r="AG30" i="23"/>
  <c r="D130" i="13"/>
  <c r="BL136" i="1"/>
  <c r="C22" i="13"/>
  <c r="C115" i="1"/>
  <c r="BL115" i="1"/>
  <c r="D22" i="13"/>
  <c r="AG68" i="23"/>
  <c r="E17" i="14"/>
  <c r="I17" i="14" s="1"/>
  <c r="D71" i="15"/>
  <c r="E64" i="26" l="1"/>
  <c r="AG27" i="23"/>
  <c r="AG19" i="23"/>
  <c r="AG23" i="23"/>
  <c r="AG9" i="23"/>
  <c r="AG47" i="23"/>
  <c r="AG56" i="23"/>
  <c r="AG36" i="23"/>
  <c r="E9" i="26"/>
  <c r="E16" i="26"/>
  <c r="E51" i="26"/>
  <c r="AG45" i="23"/>
  <c r="AG60" i="23"/>
  <c r="D57" i="16"/>
  <c r="C56" i="11"/>
  <c r="C57" i="16" s="1"/>
  <c r="AG18" i="23"/>
  <c r="E60" i="26"/>
  <c r="E19" i="26"/>
  <c r="E31" i="26"/>
  <c r="E61" i="26"/>
  <c r="E33" i="26"/>
  <c r="E28" i="26"/>
  <c r="E27" i="26"/>
  <c r="E32" i="26"/>
  <c r="E8" i="26"/>
  <c r="E14" i="26"/>
  <c r="E43" i="26"/>
  <c r="E35" i="26"/>
  <c r="E68" i="26"/>
  <c r="E47" i="26"/>
  <c r="E18" i="26"/>
  <c r="AG34" i="23"/>
  <c r="E44" i="26"/>
  <c r="E25" i="26"/>
  <c r="E40" i="26"/>
  <c r="E72" i="26"/>
  <c r="E37" i="26"/>
  <c r="E63" i="26"/>
  <c r="E4" i="26"/>
  <c r="E26" i="26"/>
  <c r="E15" i="26"/>
  <c r="E38" i="26"/>
  <c r="E56" i="26"/>
  <c r="E45" i="26"/>
  <c r="E59" i="26"/>
  <c r="E67" i="26"/>
  <c r="E42" i="26"/>
  <c r="E10" i="26"/>
  <c r="AG21" i="23"/>
  <c r="E11" i="26"/>
  <c r="C137" i="13"/>
  <c r="C140" i="1"/>
  <c r="C141" i="13" s="1"/>
  <c r="D137" i="13"/>
  <c r="BL140" i="1"/>
  <c r="D141" i="13" s="1"/>
  <c r="C122" i="1"/>
  <c r="C126" i="1" s="1"/>
  <c r="C116" i="13"/>
  <c r="BL122" i="1"/>
  <c r="D116" i="13"/>
  <c r="F83" i="19"/>
  <c r="E16" i="14"/>
  <c r="I16" i="14" s="1"/>
  <c r="AG12" i="23" l="1"/>
  <c r="AG32" i="23"/>
  <c r="AG70" i="23"/>
  <c r="AG42" i="23"/>
  <c r="AG77" i="23"/>
  <c r="AG14" i="23"/>
  <c r="AG16" i="23"/>
  <c r="AG57" i="23"/>
  <c r="AG81" i="23"/>
  <c r="AG39" i="23"/>
  <c r="AG15" i="23"/>
  <c r="AG66" i="23"/>
  <c r="AG55" i="23"/>
  <c r="AG62" i="23"/>
  <c r="AG65" i="23"/>
  <c r="AG50" i="23"/>
  <c r="AG22" i="23"/>
  <c r="AG28" i="23"/>
  <c r="AG76" i="23"/>
  <c r="AG49" i="23"/>
  <c r="AG61" i="23"/>
  <c r="AG69" i="23"/>
  <c r="AG38" i="23"/>
  <c r="AG52" i="23"/>
  <c r="AG25" i="23"/>
  <c r="AG64" i="23"/>
  <c r="AG43" i="23"/>
  <c r="AG10" i="23"/>
  <c r="AG63" i="23"/>
  <c r="AG67" i="23"/>
  <c r="AG75" i="23"/>
  <c r="AG71" i="23"/>
  <c r="AG72" i="23"/>
  <c r="AG41" i="23"/>
  <c r="AG33" i="23"/>
  <c r="AG26" i="23"/>
  <c r="AG46" i="23"/>
  <c r="O83" i="23"/>
  <c r="K24" i="24" s="1"/>
  <c r="AG40" i="23"/>
  <c r="X83" i="23"/>
  <c r="Q24" i="24" s="1"/>
  <c r="E77" i="26"/>
  <c r="AG82" i="23"/>
  <c r="AG78" i="23"/>
  <c r="AG73" i="23"/>
  <c r="F83" i="23"/>
  <c r="E24" i="24" s="1"/>
  <c r="AG37" i="23"/>
  <c r="AG51" i="23"/>
  <c r="AG59" i="23"/>
  <c r="AG53" i="23"/>
  <c r="AG17" i="23"/>
  <c r="AG20" i="23"/>
  <c r="AG24" i="23"/>
  <c r="AG58" i="23"/>
  <c r="AG13" i="23"/>
  <c r="AG31" i="23"/>
  <c r="AG48" i="23"/>
  <c r="AG44" i="23"/>
  <c r="AG74" i="23"/>
  <c r="C123" i="13"/>
  <c r="BL126" i="1"/>
  <c r="D123" i="13"/>
  <c r="AG8" i="23"/>
  <c r="C127" i="13" l="1"/>
  <c r="C143" i="1"/>
  <c r="BL143" i="1"/>
  <c r="D127" i="13"/>
  <c r="AG83" i="23"/>
  <c r="W24" i="24" s="1"/>
  <c r="E151" i="1" l="1"/>
  <c r="C9" i="19" s="1"/>
  <c r="B3" i="26" s="1"/>
  <c r="BH151" i="1"/>
  <c r="C64" i="19" s="1"/>
  <c r="BH144" i="1"/>
  <c r="C144" i="13"/>
  <c r="M151" i="1"/>
  <c r="C17" i="19" s="1"/>
  <c r="B11" i="26" s="1"/>
  <c r="AB151" i="1"/>
  <c r="C32" i="19" s="1"/>
  <c r="B26" i="26" s="1"/>
  <c r="AA151" i="1"/>
  <c r="C31" i="19" s="1"/>
  <c r="B25" i="26" s="1"/>
  <c r="AE151" i="1"/>
  <c r="C35" i="19" s="1"/>
  <c r="B29" i="26" s="1"/>
  <c r="AJ144" i="1"/>
  <c r="J144" i="1"/>
  <c r="Z144" i="1"/>
  <c r="BU144" i="1"/>
  <c r="AC144" i="1"/>
  <c r="BY144" i="1"/>
  <c r="BB144" i="1"/>
  <c r="BQ144" i="1"/>
  <c r="BS144" i="1"/>
  <c r="AT144" i="1"/>
  <c r="AF144" i="1"/>
  <c r="BI144" i="1"/>
  <c r="AL144" i="1"/>
  <c r="U144" i="1"/>
  <c r="BG144" i="1"/>
  <c r="M144" i="1"/>
  <c r="AB144" i="1"/>
  <c r="AA144" i="1"/>
  <c r="AE144" i="1"/>
  <c r="T151" i="1"/>
  <c r="C24" i="19" s="1"/>
  <c r="B18" i="26" s="1"/>
  <c r="K151" i="1"/>
  <c r="C15" i="19" s="1"/>
  <c r="B9" i="26" s="1"/>
  <c r="D151" i="1"/>
  <c r="BT151" i="1"/>
  <c r="C76" i="19" s="1"/>
  <c r="B70" i="26" s="1"/>
  <c r="BF151" i="1"/>
  <c r="C62" i="19" s="1"/>
  <c r="B56" i="26" s="1"/>
  <c r="Q151" i="1"/>
  <c r="C21" i="19" s="1"/>
  <c r="B15" i="26" s="1"/>
  <c r="AS151" i="1"/>
  <c r="C49" i="19" s="1"/>
  <c r="B43" i="26" s="1"/>
  <c r="BE151" i="1"/>
  <c r="C61" i="19" s="1"/>
  <c r="BN151" i="1"/>
  <c r="C70" i="19" s="1"/>
  <c r="B64" i="26" s="1"/>
  <c r="AM151" i="1"/>
  <c r="C43" i="19" s="1"/>
  <c r="B37" i="26" s="1"/>
  <c r="AP151" i="1"/>
  <c r="C46" i="19" s="1"/>
  <c r="B40" i="26" s="1"/>
  <c r="BR151" i="1"/>
  <c r="C74" i="19" s="1"/>
  <c r="B68" i="26" s="1"/>
  <c r="AH151" i="1"/>
  <c r="C38" i="19" s="1"/>
  <c r="B32" i="26" s="1"/>
  <c r="BK151" i="1"/>
  <c r="C67" i="19" s="1"/>
  <c r="B61" i="26" s="1"/>
  <c r="AZ151" i="1"/>
  <c r="C56" i="19" s="1"/>
  <c r="B50" i="26" s="1"/>
  <c r="BZ151" i="1"/>
  <c r="C82" i="19" s="1"/>
  <c r="B76" i="26" s="1"/>
  <c r="G151" i="1"/>
  <c r="C11" i="19" s="1"/>
  <c r="B5" i="26" s="1"/>
  <c r="T144" i="1"/>
  <c r="K144" i="1"/>
  <c r="D144" i="1"/>
  <c r="D49" i="9" s="1"/>
  <c r="D51" i="9" s="1"/>
  <c r="D52" i="9" s="1"/>
  <c r="D62" i="9" s="1"/>
  <c r="D64" i="9" s="1"/>
  <c r="BT144" i="1"/>
  <c r="BF144" i="1"/>
  <c r="Q144" i="1"/>
  <c r="AS144" i="1"/>
  <c r="BE144" i="1"/>
  <c r="BN144" i="1"/>
  <c r="AM144" i="1"/>
  <c r="AP144" i="1"/>
  <c r="BR144" i="1"/>
  <c r="AH144" i="1"/>
  <c r="BK144" i="1"/>
  <c r="AZ144" i="1"/>
  <c r="BZ144" i="1"/>
  <c r="G144" i="1"/>
  <c r="L151" i="1"/>
  <c r="C16" i="19" s="1"/>
  <c r="B10" i="26" s="1"/>
  <c r="S151" i="1"/>
  <c r="C23" i="19" s="1"/>
  <c r="B17" i="26" s="1"/>
  <c r="BO151" i="1"/>
  <c r="C71" i="19" s="1"/>
  <c r="B65" i="26" s="1"/>
  <c r="AV151" i="1"/>
  <c r="C52" i="19" s="1"/>
  <c r="B46" i="26" s="1"/>
  <c r="I151" i="1"/>
  <c r="C13" i="19" s="1"/>
  <c r="B7" i="26" s="1"/>
  <c r="BJ151" i="1"/>
  <c r="C66" i="19" s="1"/>
  <c r="B60" i="26" s="1"/>
  <c r="BC151" i="1"/>
  <c r="C59" i="19" s="1"/>
  <c r="B53" i="26" s="1"/>
  <c r="AY151" i="1"/>
  <c r="C55" i="19" s="1"/>
  <c r="B49" i="26" s="1"/>
  <c r="W151" i="1"/>
  <c r="C27" i="19" s="1"/>
  <c r="B21" i="26" s="1"/>
  <c r="AN151" i="1"/>
  <c r="C44" i="19" s="1"/>
  <c r="B38" i="26" s="1"/>
  <c r="AI151" i="1"/>
  <c r="C39" i="19" s="1"/>
  <c r="B33" i="26" s="1"/>
  <c r="V151" i="1"/>
  <c r="C26" i="19" s="1"/>
  <c r="B20" i="26" s="1"/>
  <c r="BD151" i="1"/>
  <c r="C60" i="19" s="1"/>
  <c r="B54" i="26" s="1"/>
  <c r="BW151" i="1"/>
  <c r="C79" i="19" s="1"/>
  <c r="B73" i="26" s="1"/>
  <c r="AR151" i="1"/>
  <c r="C48" i="19" s="1"/>
  <c r="B42" i="26" s="1"/>
  <c r="AU151" i="1"/>
  <c r="C51" i="19" s="1"/>
  <c r="B45" i="26" s="1"/>
  <c r="AD151" i="1"/>
  <c r="C34" i="19" s="1"/>
  <c r="B28" i="26" s="1"/>
  <c r="AK151" i="1"/>
  <c r="C41" i="19" s="1"/>
  <c r="B35" i="26" s="1"/>
  <c r="O151" i="1"/>
  <c r="C19" i="19" s="1"/>
  <c r="B13" i="26" s="1"/>
  <c r="N151" i="1"/>
  <c r="C18" i="19" s="1"/>
  <c r="B12" i="26" s="1"/>
  <c r="L144" i="1"/>
  <c r="S144" i="1"/>
  <c r="BO144" i="1"/>
  <c r="AV144" i="1"/>
  <c r="I144" i="1"/>
  <c r="BJ144" i="1"/>
  <c r="BC144" i="1"/>
  <c r="AY144" i="1"/>
  <c r="W144" i="1"/>
  <c r="AN144" i="1"/>
  <c r="AI144" i="1"/>
  <c r="V144" i="1"/>
  <c r="BD144" i="1"/>
  <c r="BW144" i="1"/>
  <c r="AR144" i="1"/>
  <c r="AU144" i="1"/>
  <c r="AD144" i="1"/>
  <c r="AK144" i="1"/>
  <c r="O144" i="1"/>
  <c r="N144" i="1"/>
  <c r="BM151" i="1"/>
  <c r="C69" i="19" s="1"/>
  <c r="B63" i="26" s="1"/>
  <c r="BX151" i="1"/>
  <c r="C80" i="19" s="1"/>
  <c r="B74" i="26" s="1"/>
  <c r="F151" i="1"/>
  <c r="C10" i="19" s="1"/>
  <c r="B4" i="26" s="1"/>
  <c r="BA151" i="1"/>
  <c r="C57" i="19" s="1"/>
  <c r="B51" i="26" s="1"/>
  <c r="AW151" i="1"/>
  <c r="C53" i="19" s="1"/>
  <c r="B47" i="26" s="1"/>
  <c r="AQ151" i="1"/>
  <c r="C47" i="19" s="1"/>
  <c r="B41" i="26" s="1"/>
  <c r="BV151" i="1"/>
  <c r="C78" i="19" s="1"/>
  <c r="B72" i="26" s="1"/>
  <c r="AG151" i="1"/>
  <c r="C37" i="19" s="1"/>
  <c r="B31" i="26" s="1"/>
  <c r="R151" i="1"/>
  <c r="C22" i="19" s="1"/>
  <c r="B16" i="26" s="1"/>
  <c r="AX151" i="1"/>
  <c r="C54" i="19" s="1"/>
  <c r="B48" i="26" s="1"/>
  <c r="BP151" i="1"/>
  <c r="C72" i="19" s="1"/>
  <c r="B66" i="26" s="1"/>
  <c r="H151" i="1"/>
  <c r="C12" i="19" s="1"/>
  <c r="B6" i="26" s="1"/>
  <c r="AO151" i="1"/>
  <c r="C45" i="19" s="1"/>
  <c r="B39" i="26" s="1"/>
  <c r="X151" i="1"/>
  <c r="C28" i="19" s="1"/>
  <c r="B22" i="26" s="1"/>
  <c r="Y151" i="1"/>
  <c r="C29" i="19" s="1"/>
  <c r="B23" i="26" s="1"/>
  <c r="P151" i="1"/>
  <c r="C20" i="19" s="1"/>
  <c r="B14" i="26" s="1"/>
  <c r="BM144" i="1"/>
  <c r="BX144" i="1"/>
  <c r="F144" i="1"/>
  <c r="BA144" i="1"/>
  <c r="AW144" i="1"/>
  <c r="AQ144" i="1"/>
  <c r="BV144" i="1"/>
  <c r="AG144" i="1"/>
  <c r="R144" i="1"/>
  <c r="E144" i="1"/>
  <c r="AX144" i="1"/>
  <c r="BP144" i="1"/>
  <c r="H144" i="1"/>
  <c r="AO144" i="1"/>
  <c r="J151" i="1"/>
  <c r="C14" i="19" s="1"/>
  <c r="B8" i="26" s="1"/>
  <c r="AL151" i="1"/>
  <c r="C42" i="19" s="1"/>
  <c r="B36" i="26" s="1"/>
  <c r="Z151" i="1"/>
  <c r="C30" i="19" s="1"/>
  <c r="B24" i="26" s="1"/>
  <c r="BQ151" i="1"/>
  <c r="C73" i="19" s="1"/>
  <c r="B67" i="26" s="1"/>
  <c r="U151" i="1"/>
  <c r="C25" i="19" s="1"/>
  <c r="B19" i="26" s="1"/>
  <c r="BU151" i="1"/>
  <c r="C77" i="19" s="1"/>
  <c r="B71" i="26" s="1"/>
  <c r="BG151" i="1"/>
  <c r="C63" i="19" s="1"/>
  <c r="B57" i="26" s="1"/>
  <c r="X144" i="1"/>
  <c r="AC151" i="1"/>
  <c r="C33" i="19" s="1"/>
  <c r="B27" i="26" s="1"/>
  <c r="BS151" i="1"/>
  <c r="C75" i="19" s="1"/>
  <c r="B69" i="26" s="1"/>
  <c r="Y144" i="1"/>
  <c r="BY151" i="1"/>
  <c r="C81" i="19" s="1"/>
  <c r="B75" i="26" s="1"/>
  <c r="AT151" i="1"/>
  <c r="C50" i="19" s="1"/>
  <c r="B44" i="26" s="1"/>
  <c r="P144" i="1"/>
  <c r="BB151" i="1"/>
  <c r="C58" i="19" s="1"/>
  <c r="B52" i="26" s="1"/>
  <c r="AF151" i="1"/>
  <c r="C36" i="19" s="1"/>
  <c r="B30" i="26" s="1"/>
  <c r="BI151" i="1"/>
  <c r="C65" i="19" s="1"/>
  <c r="B59" i="26" s="1"/>
  <c r="AJ151" i="1"/>
  <c r="C40" i="19" s="1"/>
  <c r="B34" i="26" s="1"/>
  <c r="BL151" i="1"/>
  <c r="BL144" i="1"/>
  <c r="D144" i="13"/>
  <c r="E13" i="14" l="1"/>
  <c r="I13" i="14" s="1"/>
  <c r="B55" i="26"/>
  <c r="BH49" i="9"/>
  <c r="BH51" i="9" s="1"/>
  <c r="BH52" i="9" s="1"/>
  <c r="BH62" i="9" s="1"/>
  <c r="BH64" i="9" s="1"/>
  <c r="BH62" i="10"/>
  <c r="BH64" i="10" s="1"/>
  <c r="BH65" i="10" s="1"/>
  <c r="BH72" i="10" s="1"/>
  <c r="BH74" i="10" s="1"/>
  <c r="B58" i="26"/>
  <c r="R49" i="9"/>
  <c r="R51" i="9" s="1"/>
  <c r="R52" i="9" s="1"/>
  <c r="R62" i="9" s="1"/>
  <c r="R64" i="9" s="1"/>
  <c r="R62" i="10"/>
  <c r="R64" i="10" s="1"/>
  <c r="R65" i="10" s="1"/>
  <c r="R72" i="10" s="1"/>
  <c r="R74" i="10" s="1"/>
  <c r="BM49" i="9"/>
  <c r="BM51" i="9" s="1"/>
  <c r="BM52" i="9" s="1"/>
  <c r="BM62" i="9" s="1"/>
  <c r="BM64" i="9" s="1"/>
  <c r="BM62" i="10"/>
  <c r="BM64" i="10" s="1"/>
  <c r="BM65" i="10" s="1"/>
  <c r="BM72" i="10" s="1"/>
  <c r="BM74" i="10" s="1"/>
  <c r="AG62" i="10"/>
  <c r="AG64" i="10" s="1"/>
  <c r="AG65" i="10" s="1"/>
  <c r="AG72" i="10" s="1"/>
  <c r="AG74" i="10" s="1"/>
  <c r="AG49" i="9"/>
  <c r="AG51" i="9" s="1"/>
  <c r="AG52" i="9" s="1"/>
  <c r="AG62" i="9" s="1"/>
  <c r="AG64" i="9" s="1"/>
  <c r="BD49" i="9"/>
  <c r="BD51" i="9" s="1"/>
  <c r="BD52" i="9" s="1"/>
  <c r="BD62" i="9" s="1"/>
  <c r="BD64" i="9" s="1"/>
  <c r="BD62" i="10"/>
  <c r="BD64" i="10" s="1"/>
  <c r="BD65" i="10" s="1"/>
  <c r="BD72" i="10" s="1"/>
  <c r="BD74" i="10" s="1"/>
  <c r="I49" i="9"/>
  <c r="I51" i="9" s="1"/>
  <c r="I52" i="9" s="1"/>
  <c r="I62" i="9" s="1"/>
  <c r="I64" i="9" s="1"/>
  <c r="I62" i="10"/>
  <c r="I64" i="10" s="1"/>
  <c r="I65" i="10" s="1"/>
  <c r="I72" i="10" s="1"/>
  <c r="I74" i="10" s="1"/>
  <c r="AM49" i="9"/>
  <c r="AM51" i="9" s="1"/>
  <c r="AM52" i="9" s="1"/>
  <c r="AM62" i="9" s="1"/>
  <c r="AM64" i="9" s="1"/>
  <c r="AM62" i="10"/>
  <c r="AM64" i="10" s="1"/>
  <c r="AM65" i="10" s="1"/>
  <c r="AM72" i="10" s="1"/>
  <c r="AM74" i="10" s="1"/>
  <c r="BT49" i="9"/>
  <c r="BT51" i="9" s="1"/>
  <c r="BT52" i="9" s="1"/>
  <c r="BT62" i="9" s="1"/>
  <c r="BT64" i="9" s="1"/>
  <c r="BT62" i="10"/>
  <c r="BT64" i="10" s="1"/>
  <c r="BT65" i="10" s="1"/>
  <c r="BT72" i="10" s="1"/>
  <c r="BT74" i="10" s="1"/>
  <c r="AA62" i="10"/>
  <c r="AA64" i="10" s="1"/>
  <c r="AA65" i="10" s="1"/>
  <c r="AA72" i="10" s="1"/>
  <c r="AA74" i="10" s="1"/>
  <c r="AA49" i="9"/>
  <c r="AA51" i="9" s="1"/>
  <c r="AA52" i="9" s="1"/>
  <c r="AA62" i="9" s="1"/>
  <c r="AA64" i="9" s="1"/>
  <c r="AT49" i="9"/>
  <c r="AT51" i="9" s="1"/>
  <c r="AT52" i="9" s="1"/>
  <c r="AT62" i="9" s="1"/>
  <c r="AT64" i="9" s="1"/>
  <c r="AT62" i="10"/>
  <c r="AT64" i="10" s="1"/>
  <c r="AT65" i="10" s="1"/>
  <c r="AT72" i="10" s="1"/>
  <c r="AT74" i="10" s="1"/>
  <c r="Z49" i="9"/>
  <c r="Z51" i="9" s="1"/>
  <c r="Z52" i="9" s="1"/>
  <c r="Z62" i="9" s="1"/>
  <c r="Z64" i="9" s="1"/>
  <c r="Z62" i="10"/>
  <c r="Z64" i="10" s="1"/>
  <c r="Z65" i="10" s="1"/>
  <c r="Z72" i="10" s="1"/>
  <c r="Z74" i="10" s="1"/>
  <c r="X49" i="9"/>
  <c r="X51" i="9" s="1"/>
  <c r="X52" i="9" s="1"/>
  <c r="X62" i="9" s="1"/>
  <c r="X64" i="9" s="1"/>
  <c r="X62" i="10"/>
  <c r="X64" i="10" s="1"/>
  <c r="X65" i="10" s="1"/>
  <c r="X72" i="10" s="1"/>
  <c r="X74" i="10" s="1"/>
  <c r="BV62" i="10"/>
  <c r="BV64" i="10" s="1"/>
  <c r="BV65" i="10" s="1"/>
  <c r="BV72" i="10" s="1"/>
  <c r="BV74" i="10" s="1"/>
  <c r="BV49" i="9"/>
  <c r="BV51" i="9" s="1"/>
  <c r="BV52" i="9" s="1"/>
  <c r="BV62" i="9" s="1"/>
  <c r="BV64" i="9" s="1"/>
  <c r="N49" i="9"/>
  <c r="N51" i="9" s="1"/>
  <c r="N52" i="9" s="1"/>
  <c r="N62" i="9" s="1"/>
  <c r="N64" i="9" s="1"/>
  <c r="N62" i="10"/>
  <c r="N64" i="10" s="1"/>
  <c r="N65" i="10" s="1"/>
  <c r="N72" i="10" s="1"/>
  <c r="N74" i="10" s="1"/>
  <c r="V49" i="9"/>
  <c r="V51" i="9" s="1"/>
  <c r="V52" i="9" s="1"/>
  <c r="V62" i="9" s="1"/>
  <c r="V64" i="9" s="1"/>
  <c r="V62" i="10"/>
  <c r="V64" i="10" s="1"/>
  <c r="V65" i="10" s="1"/>
  <c r="V72" i="10" s="1"/>
  <c r="V74" i="10" s="1"/>
  <c r="AV49" i="9"/>
  <c r="AV62" i="10"/>
  <c r="AV64" i="10" s="1"/>
  <c r="AV65" i="10" s="1"/>
  <c r="AV72" i="10" s="1"/>
  <c r="AV74" i="10" s="1"/>
  <c r="G49" i="9"/>
  <c r="G51" i="9" s="1"/>
  <c r="G52" i="9" s="1"/>
  <c r="G62" i="9" s="1"/>
  <c r="G64" i="9" s="1"/>
  <c r="G62" i="10"/>
  <c r="G64" i="10" s="1"/>
  <c r="G65" i="10" s="1"/>
  <c r="G72" i="10" s="1"/>
  <c r="G74" i="10" s="1"/>
  <c r="BN49" i="9"/>
  <c r="BN51" i="9" s="1"/>
  <c r="BN52" i="9" s="1"/>
  <c r="BN62" i="9" s="1"/>
  <c r="BN64" i="9" s="1"/>
  <c r="BN62" i="10"/>
  <c r="BN64" i="10" s="1"/>
  <c r="BN65" i="10" s="1"/>
  <c r="BN72" i="10" s="1"/>
  <c r="BN74" i="10" s="1"/>
  <c r="D62" i="10"/>
  <c r="D64" i="10" s="1"/>
  <c r="D65" i="10" s="1"/>
  <c r="D72" i="10" s="1"/>
  <c r="AB49" i="9"/>
  <c r="AB51" i="9" s="1"/>
  <c r="AB52" i="9" s="1"/>
  <c r="AB62" i="9" s="1"/>
  <c r="AB64" i="9" s="1"/>
  <c r="AB62" i="10"/>
  <c r="AB64" i="10" s="1"/>
  <c r="AB65" i="10" s="1"/>
  <c r="AB72" i="10" s="1"/>
  <c r="AB74" i="10" s="1"/>
  <c r="BS49" i="9"/>
  <c r="BS51" i="9" s="1"/>
  <c r="BS52" i="9" s="1"/>
  <c r="BS62" i="9" s="1"/>
  <c r="BS64" i="9" s="1"/>
  <c r="BS62" i="10"/>
  <c r="BS64" i="10" s="1"/>
  <c r="BS65" i="10" s="1"/>
  <c r="BS72" i="10" s="1"/>
  <c r="BS74" i="10" s="1"/>
  <c r="J49" i="9"/>
  <c r="J51" i="9" s="1"/>
  <c r="J52" i="9" s="1"/>
  <c r="J62" i="9" s="1"/>
  <c r="J64" i="9" s="1"/>
  <c r="J62" i="10"/>
  <c r="J64" i="10" s="1"/>
  <c r="J65" i="10" s="1"/>
  <c r="J72" i="10" s="1"/>
  <c r="J74" i="10" s="1"/>
  <c r="BC62" i="10"/>
  <c r="BC64" i="10" s="1"/>
  <c r="BC65" i="10" s="1"/>
  <c r="BC72" i="10" s="1"/>
  <c r="BC74" i="10" s="1"/>
  <c r="BC49" i="9"/>
  <c r="BC51" i="9" s="1"/>
  <c r="BC52" i="9" s="1"/>
  <c r="BC62" i="9" s="1"/>
  <c r="BC64" i="9" s="1"/>
  <c r="O49" i="9"/>
  <c r="O51" i="9" s="1"/>
  <c r="O52" i="9" s="1"/>
  <c r="O62" i="9" s="1"/>
  <c r="O64" i="9" s="1"/>
  <c r="O62" i="10"/>
  <c r="O64" i="10" s="1"/>
  <c r="O65" i="10" s="1"/>
  <c r="O72" i="10" s="1"/>
  <c r="O74" i="10" s="1"/>
  <c r="AI62" i="10"/>
  <c r="AI64" i="10" s="1"/>
  <c r="AI65" i="10" s="1"/>
  <c r="AI72" i="10" s="1"/>
  <c r="AI74" i="10" s="1"/>
  <c r="AI49" i="9"/>
  <c r="AI51" i="9" s="1"/>
  <c r="AI52" i="9" s="1"/>
  <c r="AI62" i="9" s="1"/>
  <c r="AI64" i="9" s="1"/>
  <c r="BO49" i="9"/>
  <c r="BO51" i="9" s="1"/>
  <c r="BO52" i="9" s="1"/>
  <c r="BO62" i="9" s="1"/>
  <c r="BO64" i="9" s="1"/>
  <c r="BO62" i="10"/>
  <c r="BO64" i="10" s="1"/>
  <c r="BO65" i="10" s="1"/>
  <c r="BO72" i="10" s="1"/>
  <c r="BO74" i="10" s="1"/>
  <c r="BZ62" i="10"/>
  <c r="BZ64" i="10" s="1"/>
  <c r="BZ65" i="10" s="1"/>
  <c r="BZ72" i="10" s="1"/>
  <c r="BZ74" i="10" s="1"/>
  <c r="BZ49" i="9"/>
  <c r="BZ51" i="9" s="1"/>
  <c r="BZ52" i="9" s="1"/>
  <c r="BZ62" i="9" s="1"/>
  <c r="BZ64" i="9" s="1"/>
  <c r="BE49" i="9"/>
  <c r="BE51" i="9" s="1"/>
  <c r="BE52" i="9" s="1"/>
  <c r="BE62" i="9" s="1"/>
  <c r="BE64" i="9" s="1"/>
  <c r="BE62" i="10"/>
  <c r="BE64" i="10" s="1"/>
  <c r="BE65" i="10" s="1"/>
  <c r="BE72" i="10" s="1"/>
  <c r="BE74" i="10" s="1"/>
  <c r="K62" i="10"/>
  <c r="K64" i="10" s="1"/>
  <c r="K65" i="10" s="1"/>
  <c r="K72" i="10" s="1"/>
  <c r="K74" i="10" s="1"/>
  <c r="K49" i="9"/>
  <c r="K51" i="9" s="1"/>
  <c r="K52" i="9" s="1"/>
  <c r="K62" i="9" s="1"/>
  <c r="K64" i="9" s="1"/>
  <c r="M49" i="9"/>
  <c r="M51" i="9" s="1"/>
  <c r="M52" i="9" s="1"/>
  <c r="M62" i="9" s="1"/>
  <c r="M64" i="9" s="1"/>
  <c r="M62" i="10"/>
  <c r="M64" i="10" s="1"/>
  <c r="M65" i="10" s="1"/>
  <c r="M72" i="10" s="1"/>
  <c r="M74" i="10" s="1"/>
  <c r="BQ49" i="9"/>
  <c r="BQ51" i="9" s="1"/>
  <c r="BQ52" i="9" s="1"/>
  <c r="BQ62" i="9" s="1"/>
  <c r="BQ64" i="9" s="1"/>
  <c r="BQ62" i="10"/>
  <c r="BQ64" i="10" s="1"/>
  <c r="BQ65" i="10" s="1"/>
  <c r="BQ72" i="10" s="1"/>
  <c r="BQ74" i="10" s="1"/>
  <c r="AJ49" i="9"/>
  <c r="AJ51" i="9" s="1"/>
  <c r="AJ52" i="9" s="1"/>
  <c r="AJ62" i="9" s="1"/>
  <c r="AJ64" i="9" s="1"/>
  <c r="AJ62" i="10"/>
  <c r="AJ64" i="10" s="1"/>
  <c r="AJ65" i="10" s="1"/>
  <c r="AJ72" i="10" s="1"/>
  <c r="AJ74" i="10" s="1"/>
  <c r="C68" i="19"/>
  <c r="B62" i="26" s="1"/>
  <c r="D152" i="13"/>
  <c r="Y49" i="9"/>
  <c r="Y51" i="9" s="1"/>
  <c r="Y52" i="9" s="1"/>
  <c r="Y62" i="9" s="1"/>
  <c r="Y64" i="9" s="1"/>
  <c r="Y62" i="10"/>
  <c r="Y64" i="10" s="1"/>
  <c r="Y65" i="10" s="1"/>
  <c r="Y72" i="10" s="1"/>
  <c r="Y74" i="10" s="1"/>
  <c r="E49" i="9"/>
  <c r="E51" i="9" s="1"/>
  <c r="E52" i="9" s="1"/>
  <c r="E62" i="9" s="1"/>
  <c r="E64" i="9" s="1"/>
  <c r="E62" i="10"/>
  <c r="E64" i="10" s="1"/>
  <c r="E65" i="10" s="1"/>
  <c r="E72" i="10" s="1"/>
  <c r="E74" i="10" s="1"/>
  <c r="AR49" i="9"/>
  <c r="AR51" i="9" s="1"/>
  <c r="AR52" i="9" s="1"/>
  <c r="AR62" i="9" s="1"/>
  <c r="AR64" i="9" s="1"/>
  <c r="AR62" i="10"/>
  <c r="AR64" i="10" s="1"/>
  <c r="AR65" i="10" s="1"/>
  <c r="AR72" i="10" s="1"/>
  <c r="AR74" i="10" s="1"/>
  <c r="AZ49" i="9"/>
  <c r="AZ51" i="9" s="1"/>
  <c r="AZ52" i="9" s="1"/>
  <c r="AZ62" i="9" s="1"/>
  <c r="AZ64" i="9" s="1"/>
  <c r="AZ62" i="10"/>
  <c r="AZ64" i="10" s="1"/>
  <c r="AZ65" i="10" s="1"/>
  <c r="AZ72" i="10" s="1"/>
  <c r="AZ74" i="10" s="1"/>
  <c r="AS49" i="9"/>
  <c r="AS51" i="9" s="1"/>
  <c r="AS52" i="9" s="1"/>
  <c r="AS62" i="9" s="1"/>
  <c r="AS64" i="9" s="1"/>
  <c r="AS62" i="10"/>
  <c r="AS64" i="10" s="1"/>
  <c r="AS65" i="10" s="1"/>
  <c r="AS72" i="10" s="1"/>
  <c r="AS74" i="10" s="1"/>
  <c r="T49" i="9"/>
  <c r="T51" i="9" s="1"/>
  <c r="T52" i="9" s="1"/>
  <c r="T62" i="9" s="1"/>
  <c r="T64" i="9" s="1"/>
  <c r="T62" i="10"/>
  <c r="T64" i="10" s="1"/>
  <c r="T65" i="10" s="1"/>
  <c r="T72" i="10" s="1"/>
  <c r="T74" i="10" s="1"/>
  <c r="BG49" i="9"/>
  <c r="BG51" i="9" s="1"/>
  <c r="BG52" i="9" s="1"/>
  <c r="BG62" i="9" s="1"/>
  <c r="BG64" i="9" s="1"/>
  <c r="BG62" i="10"/>
  <c r="BG64" i="10" s="1"/>
  <c r="BG65" i="10" s="1"/>
  <c r="BG72" i="10" s="1"/>
  <c r="BG74" i="10" s="1"/>
  <c r="BB49" i="9"/>
  <c r="BB51" i="9" s="1"/>
  <c r="BB52" i="9" s="1"/>
  <c r="BB62" i="9" s="1"/>
  <c r="BB64" i="9" s="1"/>
  <c r="BB62" i="10"/>
  <c r="BB64" i="10" s="1"/>
  <c r="BB65" i="10" s="1"/>
  <c r="BB72" i="10" s="1"/>
  <c r="BB74" i="10" s="1"/>
  <c r="H49" i="9"/>
  <c r="H51" i="9" s="1"/>
  <c r="H52" i="9" s="1"/>
  <c r="H62" i="9" s="1"/>
  <c r="H64" i="9" s="1"/>
  <c r="H62" i="10"/>
  <c r="H64" i="10" s="1"/>
  <c r="H65" i="10" s="1"/>
  <c r="H72" i="10" s="1"/>
  <c r="H74" i="10" s="1"/>
  <c r="AW62" i="10"/>
  <c r="AW64" i="10" s="1"/>
  <c r="AW65" i="10" s="1"/>
  <c r="AW72" i="10" s="1"/>
  <c r="AW74" i="10" s="1"/>
  <c r="AW49" i="9"/>
  <c r="AW51" i="9" s="1"/>
  <c r="AW52" i="9" s="1"/>
  <c r="AW62" i="9" s="1"/>
  <c r="AW64" i="9" s="1"/>
  <c r="AK49" i="9"/>
  <c r="AK51" i="9" s="1"/>
  <c r="AK52" i="9" s="1"/>
  <c r="AK62" i="9" s="1"/>
  <c r="AK64" i="9" s="1"/>
  <c r="AK62" i="10"/>
  <c r="AK64" i="10" s="1"/>
  <c r="AK65" i="10" s="1"/>
  <c r="AK72" i="10" s="1"/>
  <c r="AK74" i="10" s="1"/>
  <c r="AN49" i="9"/>
  <c r="AN51" i="9" s="1"/>
  <c r="AN52" i="9" s="1"/>
  <c r="AN62" i="9" s="1"/>
  <c r="AN64" i="9" s="1"/>
  <c r="AN62" i="10"/>
  <c r="AN64" i="10" s="1"/>
  <c r="AN65" i="10" s="1"/>
  <c r="AN72" i="10" s="1"/>
  <c r="AN74" i="10" s="1"/>
  <c r="S62" i="10"/>
  <c r="S64" i="10" s="1"/>
  <c r="S65" i="10" s="1"/>
  <c r="S72" i="10" s="1"/>
  <c r="S74" i="10" s="1"/>
  <c r="S49" i="9"/>
  <c r="S51" i="9" s="1"/>
  <c r="S52" i="9" s="1"/>
  <c r="S62" i="9" s="1"/>
  <c r="S64" i="9" s="1"/>
  <c r="BP62" i="10"/>
  <c r="BP64" i="10" s="1"/>
  <c r="BP65" i="10" s="1"/>
  <c r="BP72" i="10" s="1"/>
  <c r="BP74" i="10" s="1"/>
  <c r="BP49" i="9"/>
  <c r="BP51" i="9" s="1"/>
  <c r="BP52" i="9" s="1"/>
  <c r="BP62" i="9" s="1"/>
  <c r="BP64" i="9" s="1"/>
  <c r="BA49" i="9"/>
  <c r="BA51" i="9" s="1"/>
  <c r="BA52" i="9" s="1"/>
  <c r="BA62" i="9" s="1"/>
  <c r="BA64" i="9" s="1"/>
  <c r="BA62" i="10"/>
  <c r="BA64" i="10" s="1"/>
  <c r="BA65" i="10" s="1"/>
  <c r="BA72" i="10" s="1"/>
  <c r="BA74" i="10" s="1"/>
  <c r="AD49" i="9"/>
  <c r="AD51" i="9" s="1"/>
  <c r="AD52" i="9" s="1"/>
  <c r="AD62" i="9" s="1"/>
  <c r="AD64" i="9" s="1"/>
  <c r="AD62" i="10"/>
  <c r="AD64" i="10" s="1"/>
  <c r="AD65" i="10" s="1"/>
  <c r="AD72" i="10" s="1"/>
  <c r="AD74" i="10" s="1"/>
  <c r="W49" i="9"/>
  <c r="W51" i="9" s="1"/>
  <c r="W52" i="9" s="1"/>
  <c r="W62" i="9" s="1"/>
  <c r="W64" i="9" s="1"/>
  <c r="W62" i="10"/>
  <c r="W64" i="10" s="1"/>
  <c r="W65" i="10" s="1"/>
  <c r="W72" i="10" s="1"/>
  <c r="W74" i="10" s="1"/>
  <c r="L49" i="9"/>
  <c r="L51" i="9" s="1"/>
  <c r="L52" i="9" s="1"/>
  <c r="L62" i="9" s="1"/>
  <c r="L64" i="9" s="1"/>
  <c r="L62" i="10"/>
  <c r="L64" i="10" s="1"/>
  <c r="L65" i="10" s="1"/>
  <c r="L72" i="10" s="1"/>
  <c r="L74" i="10" s="1"/>
  <c r="BK49" i="9"/>
  <c r="BK51" i="9" s="1"/>
  <c r="BK52" i="9" s="1"/>
  <c r="BK62" i="9" s="1"/>
  <c r="BK64" i="9" s="1"/>
  <c r="BK62" i="10"/>
  <c r="BK64" i="10" s="1"/>
  <c r="BK65" i="10" s="1"/>
  <c r="BK72" i="10" s="1"/>
  <c r="BK74" i="10" s="1"/>
  <c r="Q62" i="10"/>
  <c r="Q64" i="10" s="1"/>
  <c r="Q65" i="10" s="1"/>
  <c r="Q72" i="10" s="1"/>
  <c r="Q74" i="10" s="1"/>
  <c r="Q49" i="9"/>
  <c r="Q51" i="9" s="1"/>
  <c r="Q52" i="9" s="1"/>
  <c r="Q62" i="9" s="1"/>
  <c r="Q64" i="9" s="1"/>
  <c r="C8" i="19"/>
  <c r="B2" i="26" s="1"/>
  <c r="C151" i="1"/>
  <c r="C152" i="13" s="1"/>
  <c r="U49" i="9"/>
  <c r="U51" i="9" s="1"/>
  <c r="U52" i="9" s="1"/>
  <c r="U62" i="9" s="1"/>
  <c r="U64" i="9" s="1"/>
  <c r="U62" i="10"/>
  <c r="U64" i="10" s="1"/>
  <c r="U65" i="10" s="1"/>
  <c r="U72" i="10" s="1"/>
  <c r="U74" i="10" s="1"/>
  <c r="BY62" i="10"/>
  <c r="BY64" i="10" s="1"/>
  <c r="BY65" i="10" s="1"/>
  <c r="BY72" i="10" s="1"/>
  <c r="BY74" i="10" s="1"/>
  <c r="BY49" i="9"/>
  <c r="BY51" i="9" s="1"/>
  <c r="BY52" i="9" s="1"/>
  <c r="BY62" i="9" s="1"/>
  <c r="BY64" i="9" s="1"/>
  <c r="AO49" i="9"/>
  <c r="AO51" i="9" s="1"/>
  <c r="AO52" i="9" s="1"/>
  <c r="AO62" i="9" s="1"/>
  <c r="AO64" i="9" s="1"/>
  <c r="AO62" i="10"/>
  <c r="AO64" i="10" s="1"/>
  <c r="AO65" i="10" s="1"/>
  <c r="AO72" i="10" s="1"/>
  <c r="AO74" i="10" s="1"/>
  <c r="AQ62" i="10"/>
  <c r="AQ64" i="10" s="1"/>
  <c r="AQ65" i="10" s="1"/>
  <c r="AQ72" i="10" s="1"/>
  <c r="AQ74" i="10" s="1"/>
  <c r="AQ49" i="9"/>
  <c r="AQ51" i="9" s="1"/>
  <c r="AQ52" i="9" s="1"/>
  <c r="AQ62" i="9" s="1"/>
  <c r="AQ64" i="9" s="1"/>
  <c r="P49" i="9"/>
  <c r="P51" i="9" s="1"/>
  <c r="P52" i="9" s="1"/>
  <c r="P62" i="9" s="1"/>
  <c r="P64" i="9" s="1"/>
  <c r="P62" i="10"/>
  <c r="P64" i="10" s="1"/>
  <c r="P65" i="10" s="1"/>
  <c r="P72" i="10" s="1"/>
  <c r="P74" i="10" s="1"/>
  <c r="BL62" i="10"/>
  <c r="BL49" i="9"/>
  <c r="D145" i="13"/>
  <c r="AX62" i="10"/>
  <c r="AX64" i="10" s="1"/>
  <c r="AX65" i="10" s="1"/>
  <c r="AX72" i="10" s="1"/>
  <c r="AX74" i="10" s="1"/>
  <c r="AX49" i="9"/>
  <c r="AX51" i="9" s="1"/>
  <c r="AX52" i="9" s="1"/>
  <c r="AX62" i="9" s="1"/>
  <c r="AX64" i="9" s="1"/>
  <c r="F49" i="9"/>
  <c r="F51" i="9" s="1"/>
  <c r="F52" i="9" s="1"/>
  <c r="F62" i="9" s="1"/>
  <c r="F64" i="9" s="1"/>
  <c r="F62" i="10"/>
  <c r="F64" i="10" s="1"/>
  <c r="F65" i="10" s="1"/>
  <c r="F72" i="10" s="1"/>
  <c r="F74" i="10" s="1"/>
  <c r="AU49" i="9"/>
  <c r="AU51" i="9" s="1"/>
  <c r="AU52" i="9" s="1"/>
  <c r="AU62" i="9" s="1"/>
  <c r="AU64" i="9" s="1"/>
  <c r="AU62" i="10"/>
  <c r="AU64" i="10" s="1"/>
  <c r="AU65" i="10" s="1"/>
  <c r="AU72" i="10" s="1"/>
  <c r="AU74" i="10" s="1"/>
  <c r="AY62" i="10"/>
  <c r="AY64" i="10" s="1"/>
  <c r="AY65" i="10" s="1"/>
  <c r="AY72" i="10" s="1"/>
  <c r="AY74" i="10" s="1"/>
  <c r="AY49" i="9"/>
  <c r="AY51" i="9" s="1"/>
  <c r="AY52" i="9" s="1"/>
  <c r="AY62" i="9" s="1"/>
  <c r="AY64" i="9" s="1"/>
  <c r="AH49" i="9"/>
  <c r="AH51" i="9" s="1"/>
  <c r="AH52" i="9" s="1"/>
  <c r="AH62" i="9" s="1"/>
  <c r="AH64" i="9" s="1"/>
  <c r="AH62" i="10"/>
  <c r="AH64" i="10" s="1"/>
  <c r="AH65" i="10" s="1"/>
  <c r="AH72" i="10" s="1"/>
  <c r="AH74" i="10" s="1"/>
  <c r="BF62" i="10"/>
  <c r="BF64" i="10" s="1"/>
  <c r="BF65" i="10" s="1"/>
  <c r="BF72" i="10" s="1"/>
  <c r="BF74" i="10" s="1"/>
  <c r="BF49" i="9"/>
  <c r="BF51" i="9" s="1"/>
  <c r="BF52" i="9" s="1"/>
  <c r="BF62" i="9" s="1"/>
  <c r="BF64" i="9" s="1"/>
  <c r="AL49" i="9"/>
  <c r="AL51" i="9" s="1"/>
  <c r="AL52" i="9" s="1"/>
  <c r="AL62" i="9" s="1"/>
  <c r="AL64" i="9" s="1"/>
  <c r="AL62" i="10"/>
  <c r="AL64" i="10" s="1"/>
  <c r="AL65" i="10" s="1"/>
  <c r="AL72" i="10" s="1"/>
  <c r="AL74" i="10" s="1"/>
  <c r="AC49" i="9"/>
  <c r="AC51" i="9" s="1"/>
  <c r="AC52" i="9" s="1"/>
  <c r="AC62" i="9" s="1"/>
  <c r="AC64" i="9" s="1"/>
  <c r="AC62" i="10"/>
  <c r="AC64" i="10" s="1"/>
  <c r="AC65" i="10" s="1"/>
  <c r="AC72" i="10" s="1"/>
  <c r="AC74" i="10" s="1"/>
  <c r="BR62" i="10"/>
  <c r="BR64" i="10" s="1"/>
  <c r="BR65" i="10" s="1"/>
  <c r="BR72" i="10" s="1"/>
  <c r="BR74" i="10" s="1"/>
  <c r="BR49" i="9"/>
  <c r="BR51" i="9" s="1"/>
  <c r="BR52" i="9" s="1"/>
  <c r="BR62" i="9" s="1"/>
  <c r="BR64" i="9" s="1"/>
  <c r="BI49" i="9"/>
  <c r="BI51" i="9" s="1"/>
  <c r="BI52" i="9" s="1"/>
  <c r="BI62" i="9" s="1"/>
  <c r="BI64" i="9" s="1"/>
  <c r="BI62" i="10"/>
  <c r="BI64" i="10" s="1"/>
  <c r="BI65" i="10" s="1"/>
  <c r="BI72" i="10" s="1"/>
  <c r="BI74" i="10" s="1"/>
  <c r="BX49" i="9"/>
  <c r="BX51" i="9" s="1"/>
  <c r="BX52" i="9" s="1"/>
  <c r="BX62" i="9" s="1"/>
  <c r="BX64" i="9" s="1"/>
  <c r="BX62" i="10"/>
  <c r="BX64" i="10" s="1"/>
  <c r="BX65" i="10" s="1"/>
  <c r="BX72" i="10" s="1"/>
  <c r="BX74" i="10" s="1"/>
  <c r="BW62" i="10"/>
  <c r="BW64" i="10" s="1"/>
  <c r="BW65" i="10" s="1"/>
  <c r="BW72" i="10" s="1"/>
  <c r="BW74" i="10" s="1"/>
  <c r="BW49" i="9"/>
  <c r="BW51" i="9" s="1"/>
  <c r="BW52" i="9" s="1"/>
  <c r="BW62" i="9" s="1"/>
  <c r="BW64" i="9" s="1"/>
  <c r="BJ49" i="9"/>
  <c r="BJ51" i="9" s="1"/>
  <c r="BJ52" i="9" s="1"/>
  <c r="BJ62" i="9" s="1"/>
  <c r="BJ64" i="9" s="1"/>
  <c r="BJ62" i="10"/>
  <c r="BJ64" i="10" s="1"/>
  <c r="BJ65" i="10" s="1"/>
  <c r="BJ72" i="10" s="1"/>
  <c r="BJ74" i="10" s="1"/>
  <c r="AP49" i="9"/>
  <c r="AP51" i="9" s="1"/>
  <c r="AP52" i="9" s="1"/>
  <c r="AP62" i="9" s="1"/>
  <c r="AP64" i="9" s="1"/>
  <c r="AP62" i="10"/>
  <c r="AP64" i="10" s="1"/>
  <c r="AP65" i="10" s="1"/>
  <c r="AP72" i="10" s="1"/>
  <c r="AP74" i="10" s="1"/>
  <c r="AE49" i="9"/>
  <c r="AE51" i="9" s="1"/>
  <c r="AE52" i="9" s="1"/>
  <c r="AE62" i="9" s="1"/>
  <c r="AE64" i="9" s="1"/>
  <c r="AE62" i="10"/>
  <c r="AE64" i="10" s="1"/>
  <c r="AE65" i="10" s="1"/>
  <c r="AE72" i="10" s="1"/>
  <c r="AE74" i="10" s="1"/>
  <c r="AF49" i="9"/>
  <c r="AF51" i="9" s="1"/>
  <c r="AF52" i="9" s="1"/>
  <c r="AF62" i="9" s="1"/>
  <c r="AF64" i="9" s="1"/>
  <c r="AF62" i="10"/>
  <c r="AF64" i="10" s="1"/>
  <c r="AF65" i="10" s="1"/>
  <c r="AF72" i="10" s="1"/>
  <c r="AF74" i="10" s="1"/>
  <c r="BU49" i="9"/>
  <c r="BU51" i="9" s="1"/>
  <c r="BU52" i="9" s="1"/>
  <c r="BU62" i="9" s="1"/>
  <c r="BU64" i="9" s="1"/>
  <c r="BU62" i="10"/>
  <c r="BU64" i="10" s="1"/>
  <c r="BU65" i="10" s="1"/>
  <c r="BU72" i="10" s="1"/>
  <c r="BU74" i="10" s="1"/>
  <c r="E64" i="19" l="1"/>
  <c r="D58" i="26" s="1"/>
  <c r="D55" i="19"/>
  <c r="C49" i="26" s="1"/>
  <c r="D10" i="19"/>
  <c r="C4" i="26" s="1"/>
  <c r="D62" i="19"/>
  <c r="C56" i="26" s="1"/>
  <c r="D24" i="19"/>
  <c r="C18" i="26" s="1"/>
  <c r="D18" i="19"/>
  <c r="C12" i="26" s="1"/>
  <c r="D60" i="19"/>
  <c r="C54" i="26" s="1"/>
  <c r="D38" i="19"/>
  <c r="C32" i="26" s="1"/>
  <c r="D54" i="19"/>
  <c r="C48" i="26" s="1"/>
  <c r="D21" i="19"/>
  <c r="C15" i="26" s="1"/>
  <c r="D72" i="19"/>
  <c r="C66" i="26" s="1"/>
  <c r="D23" i="19"/>
  <c r="C17" i="26" s="1"/>
  <c r="D78" i="19"/>
  <c r="C72" i="26" s="1"/>
  <c r="D76" i="19"/>
  <c r="C70" i="26" s="1"/>
  <c r="D69" i="19"/>
  <c r="C63" i="26" s="1"/>
  <c r="D79" i="19"/>
  <c r="C73" i="26" s="1"/>
  <c r="D25" i="19"/>
  <c r="C19" i="26" s="1"/>
  <c r="D13" i="19"/>
  <c r="C7" i="26" s="1"/>
  <c r="D74" i="19"/>
  <c r="C68" i="26" s="1"/>
  <c r="D66" i="19"/>
  <c r="C60" i="26" s="1"/>
  <c r="D33" i="19"/>
  <c r="C27" i="26" s="1"/>
  <c r="D67" i="19"/>
  <c r="C61" i="26" s="1"/>
  <c r="D16" i="19"/>
  <c r="C10" i="26" s="1"/>
  <c r="D44" i="19"/>
  <c r="C38" i="26" s="1"/>
  <c r="D53" i="19"/>
  <c r="C47" i="26" s="1"/>
  <c r="D49" i="19"/>
  <c r="C43" i="26" s="1"/>
  <c r="D40" i="19"/>
  <c r="C34" i="26" s="1"/>
  <c r="D39" i="19"/>
  <c r="C33" i="26" s="1"/>
  <c r="D75" i="19"/>
  <c r="C69" i="26" s="1"/>
  <c r="D70" i="19"/>
  <c r="C64" i="26" s="1"/>
  <c r="D31" i="19"/>
  <c r="C25" i="26" s="1"/>
  <c r="D36" i="19"/>
  <c r="C30" i="26" s="1"/>
  <c r="D47" i="19"/>
  <c r="C41" i="26" s="1"/>
  <c r="D26" i="19"/>
  <c r="D12" i="19"/>
  <c r="C6" i="26" s="1"/>
  <c r="D34" i="19"/>
  <c r="C28" i="26" s="1"/>
  <c r="D29" i="19"/>
  <c r="C23" i="26" s="1"/>
  <c r="D77" i="19"/>
  <c r="C71" i="26" s="1"/>
  <c r="D20" i="19"/>
  <c r="C14" i="26" s="1"/>
  <c r="D19" i="19"/>
  <c r="C13" i="26" s="1"/>
  <c r="D43" i="19"/>
  <c r="C37" i="26" s="1"/>
  <c r="D22" i="19"/>
  <c r="C16" i="26" s="1"/>
  <c r="D80" i="19"/>
  <c r="C74" i="26" s="1"/>
  <c r="D65" i="19"/>
  <c r="C59" i="26" s="1"/>
  <c r="D42" i="19"/>
  <c r="C36" i="26" s="1"/>
  <c r="D27" i="19"/>
  <c r="C21" i="26" s="1"/>
  <c r="D41" i="19"/>
  <c r="C35" i="26" s="1"/>
  <c r="D56" i="19"/>
  <c r="C50" i="26" s="1"/>
  <c r="D9" i="19"/>
  <c r="C3" i="26" s="1"/>
  <c r="D73" i="19"/>
  <c r="C67" i="26" s="1"/>
  <c r="D15" i="19"/>
  <c r="C9" i="26" s="1"/>
  <c r="D59" i="19"/>
  <c r="C53" i="26" s="1"/>
  <c r="D32" i="19"/>
  <c r="C26" i="26" s="1"/>
  <c r="D11" i="19"/>
  <c r="C5" i="26" s="1"/>
  <c r="D52" i="19"/>
  <c r="C46" i="26" s="1"/>
  <c r="D37" i="19"/>
  <c r="C31" i="26" s="1"/>
  <c r="D81" i="19"/>
  <c r="C75" i="26" s="1"/>
  <c r="D61" i="19"/>
  <c r="C55" i="26" s="1"/>
  <c r="D28" i="19"/>
  <c r="C22" i="26" s="1"/>
  <c r="D30" i="19"/>
  <c r="C24" i="26" s="1"/>
  <c r="D51" i="19"/>
  <c r="C45" i="26" s="1"/>
  <c r="D57" i="19"/>
  <c r="C51" i="26" s="1"/>
  <c r="D17" i="19"/>
  <c r="C11" i="26" s="1"/>
  <c r="D35" i="19"/>
  <c r="C29" i="26" s="1"/>
  <c r="D46" i="19"/>
  <c r="C40" i="26" s="1"/>
  <c r="D45" i="19"/>
  <c r="C39" i="26" s="1"/>
  <c r="D48" i="19"/>
  <c r="C42" i="26" s="1"/>
  <c r="D71" i="19"/>
  <c r="C65" i="26" s="1"/>
  <c r="D50" i="19"/>
  <c r="C44" i="26" s="1"/>
  <c r="D64" i="19"/>
  <c r="D58" i="19"/>
  <c r="C52" i="26" s="1"/>
  <c r="D63" i="19"/>
  <c r="C57" i="26" s="1"/>
  <c r="D82" i="19"/>
  <c r="C76" i="26" s="1"/>
  <c r="D14" i="19"/>
  <c r="C8" i="26" s="1"/>
  <c r="E18" i="19"/>
  <c r="D12" i="26" s="1"/>
  <c r="E31" i="19"/>
  <c r="D25" i="26" s="1"/>
  <c r="E60" i="19"/>
  <c r="D54" i="26" s="1"/>
  <c r="E66" i="19"/>
  <c r="E33" i="19"/>
  <c r="D27" i="26" s="1"/>
  <c r="E67" i="19"/>
  <c r="D61" i="26" s="1"/>
  <c r="E16" i="19"/>
  <c r="E44" i="19"/>
  <c r="E49" i="19"/>
  <c r="E40" i="19"/>
  <c r="D34" i="26" s="1"/>
  <c r="E15" i="19"/>
  <c r="D9" i="26" s="1"/>
  <c r="E59" i="19"/>
  <c r="E75" i="19"/>
  <c r="E76" i="19"/>
  <c r="D70" i="26" s="1"/>
  <c r="E69" i="19"/>
  <c r="D63" i="26" s="1"/>
  <c r="E55" i="19"/>
  <c r="D49" i="26" s="1"/>
  <c r="E20" i="19"/>
  <c r="D14" i="26" s="1"/>
  <c r="E81" i="19"/>
  <c r="D75" i="26" s="1"/>
  <c r="E12" i="19"/>
  <c r="D6" i="26" s="1"/>
  <c r="E19" i="19"/>
  <c r="E70" i="19"/>
  <c r="D64" i="26" s="1"/>
  <c r="E37" i="19"/>
  <c r="D31" i="26" s="1"/>
  <c r="E80" i="19"/>
  <c r="E65" i="19"/>
  <c r="E42" i="19"/>
  <c r="E47" i="19"/>
  <c r="D41" i="26" s="1"/>
  <c r="E27" i="19"/>
  <c r="D21" i="26" s="1"/>
  <c r="E41" i="19"/>
  <c r="E56" i="19"/>
  <c r="E9" i="19"/>
  <c r="D3" i="26" s="1"/>
  <c r="E73" i="19"/>
  <c r="E32" i="19"/>
  <c r="E43" i="19"/>
  <c r="E22" i="19"/>
  <c r="D16" i="26" s="1"/>
  <c r="E38" i="19"/>
  <c r="D32" i="26" s="1"/>
  <c r="E77" i="19"/>
  <c r="E79" i="19"/>
  <c r="E36" i="19"/>
  <c r="D30" i="26" s="1"/>
  <c r="E61" i="19"/>
  <c r="D55" i="26" s="1"/>
  <c r="E11" i="19"/>
  <c r="AV51" i="9"/>
  <c r="D50" i="17"/>
  <c r="E74" i="19"/>
  <c r="D68" i="26" s="1"/>
  <c r="E62" i="19"/>
  <c r="D56" i="26" s="1"/>
  <c r="E51" i="19"/>
  <c r="E10" i="19"/>
  <c r="H10" i="19" s="1"/>
  <c r="G4" i="26" s="1"/>
  <c r="E25" i="19"/>
  <c r="D19" i="26" s="1"/>
  <c r="E34" i="19"/>
  <c r="E57" i="19"/>
  <c r="E58" i="19"/>
  <c r="E29" i="19"/>
  <c r="D23" i="26" s="1"/>
  <c r="E17" i="19"/>
  <c r="E82" i="19"/>
  <c r="E28" i="19"/>
  <c r="E30" i="19"/>
  <c r="D24" i="26" s="1"/>
  <c r="E54" i="19"/>
  <c r="E45" i="19"/>
  <c r="E21" i="19"/>
  <c r="E72" i="19"/>
  <c r="D66" i="26" s="1"/>
  <c r="E23" i="19"/>
  <c r="E48" i="19"/>
  <c r="E71" i="19"/>
  <c r="E26" i="19"/>
  <c r="D20" i="26" s="1"/>
  <c r="E13" i="19"/>
  <c r="E35" i="19"/>
  <c r="E46" i="19"/>
  <c r="E53" i="19"/>
  <c r="D47" i="26" s="1"/>
  <c r="E63" i="19"/>
  <c r="D57" i="26" s="1"/>
  <c r="E24" i="19"/>
  <c r="E39" i="19"/>
  <c r="E14" i="19"/>
  <c r="D8" i="26" s="1"/>
  <c r="E78" i="19"/>
  <c r="E50" i="19"/>
  <c r="B77" i="26"/>
  <c r="AD64" i="23"/>
  <c r="AD48" i="23"/>
  <c r="AD14" i="23"/>
  <c r="AD42" i="23"/>
  <c r="AD10" i="23"/>
  <c r="AD36" i="23"/>
  <c r="AD47" i="23"/>
  <c r="AD66" i="23"/>
  <c r="AD45" i="23"/>
  <c r="AD24" i="23"/>
  <c r="AD67" i="23"/>
  <c r="AD78" i="23"/>
  <c r="AD23" i="23"/>
  <c r="AD74" i="23"/>
  <c r="AD63" i="23"/>
  <c r="AD9" i="23"/>
  <c r="AD26" i="23"/>
  <c r="AD41" i="23"/>
  <c r="AD49" i="23"/>
  <c r="AD13" i="23"/>
  <c r="AD33" i="23"/>
  <c r="AD79" i="23"/>
  <c r="AD80" i="23"/>
  <c r="AD11" i="23"/>
  <c r="AD27" i="23"/>
  <c r="AD20" i="23"/>
  <c r="AD21" i="23"/>
  <c r="AD70" i="23"/>
  <c r="AD32" i="23"/>
  <c r="AD38" i="23"/>
  <c r="AD16" i="23"/>
  <c r="AD34" i="23"/>
  <c r="AD12" i="23"/>
  <c r="AD61" i="23"/>
  <c r="AD31" i="23"/>
  <c r="AD77" i="23"/>
  <c r="AD46" i="23"/>
  <c r="AD69" i="23"/>
  <c r="AD30" i="23"/>
  <c r="AD72" i="23"/>
  <c r="AD58" i="23"/>
  <c r="AD54" i="23"/>
  <c r="AD55" i="23"/>
  <c r="AD75" i="23"/>
  <c r="AD65" i="23"/>
  <c r="AD52" i="23"/>
  <c r="AD50" i="23"/>
  <c r="AD22" i="23"/>
  <c r="AD73" i="23"/>
  <c r="AD19" i="23"/>
  <c r="AD17" i="23"/>
  <c r="AD71" i="23"/>
  <c r="AD82" i="23"/>
  <c r="AD35" i="23"/>
  <c r="AD76" i="23"/>
  <c r="AD18" i="23"/>
  <c r="C83" i="19"/>
  <c r="AD51" i="23"/>
  <c r="AD29" i="23"/>
  <c r="AD56" i="23"/>
  <c r="AD57" i="23"/>
  <c r="BL51" i="9"/>
  <c r="BL52" i="9" s="1"/>
  <c r="BL64" i="10"/>
  <c r="D63" i="15"/>
  <c r="AD44" i="23"/>
  <c r="AD60" i="23"/>
  <c r="AD43" i="23"/>
  <c r="AD28" i="23"/>
  <c r="AD37" i="23"/>
  <c r="AD81" i="23"/>
  <c r="D74" i="10"/>
  <c r="AD40" i="23"/>
  <c r="AD15" i="23"/>
  <c r="AD53" i="23"/>
  <c r="AD62" i="23"/>
  <c r="AD39" i="23"/>
  <c r="AD25" i="23"/>
  <c r="AD59" i="23"/>
  <c r="H23" i="19" l="1"/>
  <c r="G17" i="26" s="1"/>
  <c r="Z39" i="23"/>
  <c r="V40" i="20" s="1"/>
  <c r="S40" i="20" s="1"/>
  <c r="Q78" i="23"/>
  <c r="N79" i="20" s="1"/>
  <c r="K79" i="20" s="1"/>
  <c r="Q59" i="23"/>
  <c r="N60" i="20" s="1"/>
  <c r="K60" i="20" s="1"/>
  <c r="H32" i="23"/>
  <c r="F33" i="20" s="1"/>
  <c r="C33" i="20" s="1"/>
  <c r="H24" i="23"/>
  <c r="F25" i="20" s="1"/>
  <c r="C25" i="20" s="1"/>
  <c r="Q75" i="23"/>
  <c r="N76" i="20" s="1"/>
  <c r="K76" i="20" s="1"/>
  <c r="Z64" i="23"/>
  <c r="V65" i="20" s="1"/>
  <c r="S65" i="20" s="1"/>
  <c r="H64" i="19"/>
  <c r="G58" i="26" s="1"/>
  <c r="H51" i="19"/>
  <c r="G45" i="26" s="1"/>
  <c r="H21" i="23"/>
  <c r="F22" i="20" s="1"/>
  <c r="C22" i="20" s="1"/>
  <c r="H13" i="23"/>
  <c r="F14" i="20" s="1"/>
  <c r="C14" i="20" s="1"/>
  <c r="H73" i="23"/>
  <c r="F74" i="20" s="1"/>
  <c r="C74" i="20" s="1"/>
  <c r="Z45" i="23"/>
  <c r="V46" i="20" s="1"/>
  <c r="S46" i="20" s="1"/>
  <c r="C20" i="26"/>
  <c r="H50" i="19"/>
  <c r="G44" i="26" s="1"/>
  <c r="H42" i="19"/>
  <c r="G36" i="26" s="1"/>
  <c r="H82" i="19"/>
  <c r="G76" i="26" s="1"/>
  <c r="H43" i="23"/>
  <c r="F44" i="20" s="1"/>
  <c r="C44" i="20" s="1"/>
  <c r="H46" i="19"/>
  <c r="G40" i="26" s="1"/>
  <c r="H54" i="19"/>
  <c r="G48" i="26" s="1"/>
  <c r="H80" i="19"/>
  <c r="G74" i="26" s="1"/>
  <c r="H16" i="19"/>
  <c r="G10" i="26" s="1"/>
  <c r="Z17" i="23"/>
  <c r="V18" i="20" s="1"/>
  <c r="S18" i="20" s="1"/>
  <c r="H44" i="23"/>
  <c r="F45" i="20" s="1"/>
  <c r="C45" i="20" s="1"/>
  <c r="Q41" i="23"/>
  <c r="N42" i="20" s="1"/>
  <c r="K42" i="20" s="1"/>
  <c r="H31" i="19"/>
  <c r="G25" i="26" s="1"/>
  <c r="H57" i="19"/>
  <c r="G51" i="26" s="1"/>
  <c r="H49" i="19"/>
  <c r="G43" i="26" s="1"/>
  <c r="H79" i="19"/>
  <c r="G73" i="26" s="1"/>
  <c r="H56" i="19"/>
  <c r="G50" i="26" s="1"/>
  <c r="Q19" i="23"/>
  <c r="N20" i="20" s="1"/>
  <c r="K20" i="20" s="1"/>
  <c r="Q35" i="23"/>
  <c r="N36" i="20" s="1"/>
  <c r="K36" i="20" s="1"/>
  <c r="H18" i="19"/>
  <c r="G12" i="26" s="1"/>
  <c r="C58" i="26"/>
  <c r="H71" i="19"/>
  <c r="G65" i="26" s="1"/>
  <c r="H48" i="19"/>
  <c r="G42" i="26" s="1"/>
  <c r="Q34" i="23"/>
  <c r="N35" i="20" s="1"/>
  <c r="K35" i="20" s="1"/>
  <c r="Z11" i="23"/>
  <c r="V12" i="20" s="1"/>
  <c r="S12" i="20" s="1"/>
  <c r="H77" i="19"/>
  <c r="G71" i="26" s="1"/>
  <c r="H59" i="19"/>
  <c r="G53" i="26" s="1"/>
  <c r="H66" i="19"/>
  <c r="G60" i="26" s="1"/>
  <c r="H20" i="19"/>
  <c r="G14" i="26" s="1"/>
  <c r="H58" i="19"/>
  <c r="G52" i="26" s="1"/>
  <c r="H65" i="19"/>
  <c r="G59" i="26" s="1"/>
  <c r="H40" i="19"/>
  <c r="G34" i="26" s="1"/>
  <c r="H69" i="19"/>
  <c r="G63" i="26" s="1"/>
  <c r="H81" i="19"/>
  <c r="G75" i="26" s="1"/>
  <c r="H73" i="19"/>
  <c r="G67" i="26" s="1"/>
  <c r="H61" i="19"/>
  <c r="G55" i="26" s="1"/>
  <c r="H15" i="19"/>
  <c r="G9" i="26" s="1"/>
  <c r="H43" i="19"/>
  <c r="G37" i="26" s="1"/>
  <c r="H45" i="19"/>
  <c r="G39" i="26" s="1"/>
  <c r="H60" i="19"/>
  <c r="G54" i="26" s="1"/>
  <c r="Z40" i="23"/>
  <c r="V41" i="20" s="1"/>
  <c r="S41" i="20" s="1"/>
  <c r="H9" i="19"/>
  <c r="G3" i="26" s="1"/>
  <c r="H72" i="19"/>
  <c r="G66" i="26" s="1"/>
  <c r="H70" i="19"/>
  <c r="G64" i="26" s="1"/>
  <c r="H78" i="19"/>
  <c r="G72" i="26" s="1"/>
  <c r="H77" i="23"/>
  <c r="F78" i="20" s="1"/>
  <c r="C78" i="20" s="1"/>
  <c r="Q10" i="23"/>
  <c r="N11" i="20" s="1"/>
  <c r="K11" i="20" s="1"/>
  <c r="H76" i="19"/>
  <c r="G70" i="26" s="1"/>
  <c r="D22" i="26"/>
  <c r="H55" i="19"/>
  <c r="G49" i="26" s="1"/>
  <c r="D40" i="26"/>
  <c r="Z53" i="23"/>
  <c r="V54" i="20" s="1"/>
  <c r="S54" i="20" s="1"/>
  <c r="H34" i="19"/>
  <c r="G28" i="26" s="1"/>
  <c r="H28" i="19"/>
  <c r="G22" i="26" s="1"/>
  <c r="H11" i="19"/>
  <c r="G5" i="26" s="1"/>
  <c r="D52" i="26"/>
  <c r="H44" i="19"/>
  <c r="G38" i="26" s="1"/>
  <c r="H37" i="19"/>
  <c r="G31" i="26" s="1"/>
  <c r="H74" i="19"/>
  <c r="G68" i="26" s="1"/>
  <c r="D69" i="26"/>
  <c r="H27" i="19"/>
  <c r="G21" i="26" s="1"/>
  <c r="H75" i="19"/>
  <c r="G69" i="26" s="1"/>
  <c r="H26" i="19"/>
  <c r="G20" i="26" s="1"/>
  <c r="H33" i="19"/>
  <c r="G27" i="26" s="1"/>
  <c r="H47" i="19"/>
  <c r="G41" i="26" s="1"/>
  <c r="H19" i="19"/>
  <c r="G13" i="26" s="1"/>
  <c r="H38" i="19"/>
  <c r="G32" i="26" s="1"/>
  <c r="D4" i="26"/>
  <c r="H21" i="19"/>
  <c r="G15" i="26" s="1"/>
  <c r="H32" i="19"/>
  <c r="G26" i="26" s="1"/>
  <c r="D15" i="26"/>
  <c r="D36" i="26"/>
  <c r="H30" i="19"/>
  <c r="G24" i="26" s="1"/>
  <c r="D33" i="26"/>
  <c r="D73" i="26"/>
  <c r="H17" i="19"/>
  <c r="G11" i="26" s="1"/>
  <c r="D65" i="26"/>
  <c r="D50" i="26"/>
  <c r="H12" i="19"/>
  <c r="G6" i="26" s="1"/>
  <c r="D43" i="26"/>
  <c r="H67" i="19"/>
  <c r="G61" i="26" s="1"/>
  <c r="H24" i="19"/>
  <c r="G18" i="26" s="1"/>
  <c r="H35" i="19"/>
  <c r="G29" i="26" s="1"/>
  <c r="D37" i="26"/>
  <c r="AV52" i="9"/>
  <c r="D52" i="17"/>
  <c r="H53" i="19"/>
  <c r="G47" i="26" s="1"/>
  <c r="H62" i="19"/>
  <c r="G56" i="26" s="1"/>
  <c r="H41" i="19"/>
  <c r="G35" i="26" s="1"/>
  <c r="H36" i="19"/>
  <c r="G30" i="26" s="1"/>
  <c r="H63" i="19"/>
  <c r="G57" i="26" s="1"/>
  <c r="H39" i="19"/>
  <c r="G33" i="26" s="1"/>
  <c r="D44" i="26"/>
  <c r="D18" i="26"/>
  <c r="D29" i="26"/>
  <c r="D42" i="26"/>
  <c r="D39" i="26"/>
  <c r="D76" i="26"/>
  <c r="D51" i="26"/>
  <c r="D45" i="26"/>
  <c r="D5" i="26"/>
  <c r="D71" i="26"/>
  <c r="D26" i="26"/>
  <c r="D35" i="26"/>
  <c r="D59" i="26"/>
  <c r="D13" i="26"/>
  <c r="D53" i="26"/>
  <c r="D38" i="26"/>
  <c r="D60" i="26"/>
  <c r="Z10" i="23"/>
  <c r="V11" i="20" s="1"/>
  <c r="S11" i="20" s="1"/>
  <c r="H25" i="19"/>
  <c r="G19" i="26" s="1"/>
  <c r="D72" i="26"/>
  <c r="D7" i="26"/>
  <c r="D17" i="26"/>
  <c r="D48" i="26"/>
  <c r="D11" i="26"/>
  <c r="D28" i="26"/>
  <c r="D67" i="26"/>
  <c r="D74" i="26"/>
  <c r="D10" i="26"/>
  <c r="H13" i="19"/>
  <c r="G7" i="26" s="1"/>
  <c r="Z26" i="23"/>
  <c r="V27" i="20" s="1"/>
  <c r="S27" i="20" s="1"/>
  <c r="H14" i="19"/>
  <c r="G8" i="26" s="1"/>
  <c r="H22" i="19"/>
  <c r="G16" i="26" s="1"/>
  <c r="H29" i="19"/>
  <c r="G23" i="26" s="1"/>
  <c r="Q64" i="23"/>
  <c r="N65" i="20" s="1"/>
  <c r="K65" i="20" s="1"/>
  <c r="AF64" i="23"/>
  <c r="AD8" i="23"/>
  <c r="D8" i="19"/>
  <c r="C2" i="26" s="1"/>
  <c r="E8" i="19"/>
  <c r="AD68" i="23"/>
  <c r="U83" i="23"/>
  <c r="Q15" i="24" s="1"/>
  <c r="L83" i="23"/>
  <c r="K15" i="24" s="1"/>
  <c r="D65" i="15"/>
  <c r="BL65" i="10"/>
  <c r="C83" i="23"/>
  <c r="E15" i="24" s="1"/>
  <c r="BL62" i="9"/>
  <c r="Z66" i="23" l="1"/>
  <c r="V67" i="20" s="1"/>
  <c r="S67" i="20" s="1"/>
  <c r="H64" i="23"/>
  <c r="F65" i="20" s="1"/>
  <c r="C65" i="20" s="1"/>
  <c r="H46" i="23"/>
  <c r="F47" i="20" s="1"/>
  <c r="C47" i="20" s="1"/>
  <c r="Z22" i="23"/>
  <c r="V23" i="20" s="1"/>
  <c r="S23" i="20" s="1"/>
  <c r="H10" i="23"/>
  <c r="F11" i="20" s="1"/>
  <c r="C11" i="20" s="1"/>
  <c r="H49" i="23"/>
  <c r="F50" i="20" s="1"/>
  <c r="C50" i="20" s="1"/>
  <c r="Z49" i="23"/>
  <c r="V50" i="20" s="1"/>
  <c r="S50" i="20" s="1"/>
  <c r="Q69" i="23"/>
  <c r="N70" i="20" s="1"/>
  <c r="K70" i="20" s="1"/>
  <c r="H19" i="23"/>
  <c r="F20" i="20" s="1"/>
  <c r="C20" i="20" s="1"/>
  <c r="Q54" i="23"/>
  <c r="N55" i="20" s="1"/>
  <c r="K55" i="20" s="1"/>
  <c r="Z55" i="23"/>
  <c r="V56" i="20" s="1"/>
  <c r="S56" i="20" s="1"/>
  <c r="Z16" i="23"/>
  <c r="V17" i="20" s="1"/>
  <c r="S17" i="20" s="1"/>
  <c r="Z43" i="23"/>
  <c r="V44" i="20" s="1"/>
  <c r="S44" i="20" s="1"/>
  <c r="AE40" i="23"/>
  <c r="Z65" i="23"/>
  <c r="V66" i="20" s="1"/>
  <c r="S66" i="20" s="1"/>
  <c r="H40" i="23"/>
  <c r="F41" i="20" s="1"/>
  <c r="C41" i="20" s="1"/>
  <c r="Z23" i="23"/>
  <c r="V24" i="20" s="1"/>
  <c r="S24" i="20" s="1"/>
  <c r="Q32" i="23"/>
  <c r="N33" i="20" s="1"/>
  <c r="K33" i="20" s="1"/>
  <c r="H60" i="23"/>
  <c r="F61" i="20" s="1"/>
  <c r="C61" i="20" s="1"/>
  <c r="H31" i="23"/>
  <c r="F32" i="20" s="1"/>
  <c r="C32" i="20" s="1"/>
  <c r="H25" i="23"/>
  <c r="F26" i="20" s="1"/>
  <c r="C26" i="20" s="1"/>
  <c r="Q80" i="23"/>
  <c r="N81" i="20" s="1"/>
  <c r="K81" i="20" s="1"/>
  <c r="Z21" i="23"/>
  <c r="V22" i="20" s="1"/>
  <c r="S22" i="20" s="1"/>
  <c r="Z28" i="23"/>
  <c r="V29" i="20" s="1"/>
  <c r="S29" i="20" s="1"/>
  <c r="H27" i="23"/>
  <c r="F28" i="20" s="1"/>
  <c r="C28" i="20" s="1"/>
  <c r="Z18" i="23"/>
  <c r="V19" i="20" s="1"/>
  <c r="S19" i="20" s="1"/>
  <c r="H59" i="23"/>
  <c r="F60" i="20" s="1"/>
  <c r="C60" i="20" s="1"/>
  <c r="Q26" i="23"/>
  <c r="N27" i="20" s="1"/>
  <c r="K27" i="20" s="1"/>
  <c r="Q43" i="23"/>
  <c r="N44" i="20" s="1"/>
  <c r="K44" i="20" s="1"/>
  <c r="H18" i="23"/>
  <c r="F19" i="20" s="1"/>
  <c r="C19" i="20" s="1"/>
  <c r="H33" i="23"/>
  <c r="F34" i="20" s="1"/>
  <c r="C34" i="20" s="1"/>
  <c r="Q55" i="23"/>
  <c r="N56" i="20" s="1"/>
  <c r="K56" i="20" s="1"/>
  <c r="H71" i="23"/>
  <c r="F72" i="20" s="1"/>
  <c r="C72" i="20" s="1"/>
  <c r="Q61" i="23"/>
  <c r="N62" i="20" s="1"/>
  <c r="K62" i="20" s="1"/>
  <c r="Z46" i="23"/>
  <c r="V47" i="20" s="1"/>
  <c r="S47" i="20" s="1"/>
  <c r="Q60" i="23"/>
  <c r="N61" i="20" s="1"/>
  <c r="K61" i="20" s="1"/>
  <c r="Q33" i="23"/>
  <c r="N34" i="20" s="1"/>
  <c r="K34" i="20" s="1"/>
  <c r="Q57" i="23"/>
  <c r="N58" i="20" s="1"/>
  <c r="K58" i="20" s="1"/>
  <c r="H67" i="23"/>
  <c r="F68" i="20" s="1"/>
  <c r="C68" i="20" s="1"/>
  <c r="Z76" i="23"/>
  <c r="V77" i="20" s="1"/>
  <c r="S77" i="20" s="1"/>
  <c r="H72" i="23"/>
  <c r="F73" i="20" s="1"/>
  <c r="C73" i="20" s="1"/>
  <c r="Z42" i="23"/>
  <c r="V43" i="20" s="1"/>
  <c r="S43" i="20" s="1"/>
  <c r="Q46" i="23"/>
  <c r="N47" i="20" s="1"/>
  <c r="K47" i="20" s="1"/>
  <c r="Z71" i="23"/>
  <c r="V72" i="20" s="1"/>
  <c r="S72" i="20" s="1"/>
  <c r="H55" i="23"/>
  <c r="F56" i="20" s="1"/>
  <c r="C56" i="20" s="1"/>
  <c r="H65" i="23"/>
  <c r="F66" i="20" s="1"/>
  <c r="C66" i="20" s="1"/>
  <c r="AE65" i="23"/>
  <c r="Q62" i="23"/>
  <c r="N63" i="20" s="1"/>
  <c r="K63" i="20" s="1"/>
  <c r="Q27" i="23"/>
  <c r="N28" i="20" s="1"/>
  <c r="K28" i="20" s="1"/>
  <c r="Q23" i="23"/>
  <c r="N24" i="20" s="1"/>
  <c r="K24" i="20" s="1"/>
  <c r="AE59" i="23"/>
  <c r="Z30" i="23"/>
  <c r="V31" i="20" s="1"/>
  <c r="S31" i="20" s="1"/>
  <c r="Q65" i="23"/>
  <c r="N66" i="20" s="1"/>
  <c r="K66" i="20" s="1"/>
  <c r="H62" i="23"/>
  <c r="F63" i="20" s="1"/>
  <c r="C63" i="20" s="1"/>
  <c r="AE39" i="23"/>
  <c r="Z34" i="23"/>
  <c r="V35" i="20" s="1"/>
  <c r="S35" i="20" s="1"/>
  <c r="H51" i="23"/>
  <c r="F52" i="20" s="1"/>
  <c r="C52" i="20" s="1"/>
  <c r="Z59" i="23"/>
  <c r="V60" i="20" s="1"/>
  <c r="S60" i="20" s="1"/>
  <c r="H66" i="23"/>
  <c r="F67" i="20" s="1"/>
  <c r="C67" i="20" s="1"/>
  <c r="Q39" i="23"/>
  <c r="N40" i="20" s="1"/>
  <c r="K40" i="20" s="1"/>
  <c r="AE10" i="23"/>
  <c r="AE66" i="23"/>
  <c r="H30" i="23"/>
  <c r="F31" i="20" s="1"/>
  <c r="C31" i="20" s="1"/>
  <c r="Q30" i="23"/>
  <c r="N31" i="20" s="1"/>
  <c r="K31" i="20" s="1"/>
  <c r="AE29" i="23"/>
  <c r="AE55" i="23"/>
  <c r="AE62" i="23"/>
  <c r="Z24" i="23"/>
  <c r="V25" i="20" s="1"/>
  <c r="S25" i="20" s="1"/>
  <c r="Z62" i="23"/>
  <c r="V63" i="20" s="1"/>
  <c r="S63" i="20" s="1"/>
  <c r="AE23" i="23"/>
  <c r="AE30" i="23"/>
  <c r="Q66" i="23"/>
  <c r="N67" i="20" s="1"/>
  <c r="K67" i="20" s="1"/>
  <c r="H23" i="23"/>
  <c r="F24" i="20" s="1"/>
  <c r="C24" i="20" s="1"/>
  <c r="H34" i="23"/>
  <c r="F35" i="20" s="1"/>
  <c r="C35" i="20" s="1"/>
  <c r="AE42" i="23"/>
  <c r="H42" i="23"/>
  <c r="F43" i="20" s="1"/>
  <c r="C43" i="20" s="1"/>
  <c r="Z27" i="23"/>
  <c r="V28" i="20" s="1"/>
  <c r="S28" i="20" s="1"/>
  <c r="Z78" i="23"/>
  <c r="V79" i="20" s="1"/>
  <c r="S79" i="20" s="1"/>
  <c r="H74" i="23"/>
  <c r="F75" i="20" s="1"/>
  <c r="C75" i="20" s="1"/>
  <c r="AE78" i="23"/>
  <c r="Q70" i="23"/>
  <c r="N71" i="20" s="1"/>
  <c r="K71" i="20" s="1"/>
  <c r="Q29" i="23"/>
  <c r="N30" i="20" s="1"/>
  <c r="K30" i="20" s="1"/>
  <c r="Q18" i="23"/>
  <c r="N19" i="20" s="1"/>
  <c r="K19" i="20" s="1"/>
  <c r="Z48" i="23"/>
  <c r="V49" i="20" s="1"/>
  <c r="S49" i="20" s="1"/>
  <c r="H16" i="23"/>
  <c r="F17" i="20" s="1"/>
  <c r="C17" i="20" s="1"/>
  <c r="Z72" i="23"/>
  <c r="V73" i="20" s="1"/>
  <c r="S73" i="20" s="1"/>
  <c r="Q49" i="23"/>
  <c r="N50" i="20" s="1"/>
  <c r="K50" i="20" s="1"/>
  <c r="AE53" i="23"/>
  <c r="AE49" i="23"/>
  <c r="Z32" i="23"/>
  <c r="V33" i="20" s="1"/>
  <c r="S33" i="20" s="1"/>
  <c r="Z80" i="23"/>
  <c r="V81" i="20" s="1"/>
  <c r="S81" i="20" s="1"/>
  <c r="AE9" i="23"/>
  <c r="AE75" i="23"/>
  <c r="Z61" i="23"/>
  <c r="V62" i="20" s="1"/>
  <c r="S62" i="20" s="1"/>
  <c r="AE72" i="23"/>
  <c r="AE18" i="23"/>
  <c r="AE27" i="23"/>
  <c r="H14" i="23"/>
  <c r="F15" i="20" s="1"/>
  <c r="C15" i="20" s="1"/>
  <c r="H75" i="23"/>
  <c r="F76" i="20" s="1"/>
  <c r="C76" i="20" s="1"/>
  <c r="AE51" i="23"/>
  <c r="AE77" i="23"/>
  <c r="AE24" i="23"/>
  <c r="Z75" i="23"/>
  <c r="V76" i="20" s="1"/>
  <c r="S76" i="20" s="1"/>
  <c r="H76" i="23"/>
  <c r="F77" i="20" s="1"/>
  <c r="C77" i="20" s="1"/>
  <c r="AE32" i="23"/>
  <c r="Z77" i="23"/>
  <c r="V78" i="20" s="1"/>
  <c r="S78" i="20" s="1"/>
  <c r="Z33" i="23"/>
  <c r="V34" i="20" s="1"/>
  <c r="S34" i="20" s="1"/>
  <c r="AE36" i="23"/>
  <c r="H70" i="23"/>
  <c r="F71" i="20" s="1"/>
  <c r="C71" i="20" s="1"/>
  <c r="Q24" i="23"/>
  <c r="N25" i="20" s="1"/>
  <c r="K25" i="20" s="1"/>
  <c r="H61" i="23"/>
  <c r="F62" i="20" s="1"/>
  <c r="C62" i="20" s="1"/>
  <c r="Q51" i="23"/>
  <c r="N52" i="20" s="1"/>
  <c r="K52" i="20" s="1"/>
  <c r="Q50" i="23"/>
  <c r="N51" i="20" s="1"/>
  <c r="K51" i="20" s="1"/>
  <c r="AE20" i="23"/>
  <c r="AE70" i="23"/>
  <c r="Q81" i="23"/>
  <c r="N82" i="20" s="1"/>
  <c r="K82" i="20" s="1"/>
  <c r="H26" i="23"/>
  <c r="F27" i="20" s="1"/>
  <c r="C27" i="20" s="1"/>
  <c r="Z12" i="23"/>
  <c r="V13" i="20" s="1"/>
  <c r="S13" i="20" s="1"/>
  <c r="AE69" i="23"/>
  <c r="H57" i="23"/>
  <c r="F58" i="20" s="1"/>
  <c r="C58" i="20" s="1"/>
  <c r="Q76" i="23"/>
  <c r="N77" i="20" s="1"/>
  <c r="K77" i="20" s="1"/>
  <c r="AE57" i="23"/>
  <c r="Z51" i="23"/>
  <c r="V52" i="20" s="1"/>
  <c r="S52" i="20" s="1"/>
  <c r="AE33" i="23"/>
  <c r="AE61" i="23"/>
  <c r="AE43" i="23"/>
  <c r="AE11" i="23"/>
  <c r="Z36" i="23"/>
  <c r="V37" i="20" s="1"/>
  <c r="S37" i="20" s="1"/>
  <c r="Z70" i="23"/>
  <c r="V71" i="20" s="1"/>
  <c r="S71" i="20" s="1"/>
  <c r="AE76" i="23"/>
  <c r="H22" i="23"/>
  <c r="F23" i="20" s="1"/>
  <c r="C23" i="20" s="1"/>
  <c r="Q56" i="23"/>
  <c r="N57" i="20" s="1"/>
  <c r="K57" i="20" s="1"/>
  <c r="AE73" i="23"/>
  <c r="AE13" i="23"/>
  <c r="Z9" i="23"/>
  <c r="V10" i="20" s="1"/>
  <c r="S10" i="20" s="1"/>
  <c r="AE67" i="23"/>
  <c r="AE45" i="23"/>
  <c r="Q36" i="23"/>
  <c r="N37" i="20" s="1"/>
  <c r="K37" i="20" s="1"/>
  <c r="H79" i="23"/>
  <c r="F80" i="20" s="1"/>
  <c r="C80" i="20" s="1"/>
  <c r="Q9" i="23"/>
  <c r="N10" i="20" s="1"/>
  <c r="K10" i="20" s="1"/>
  <c r="Z13" i="23"/>
  <c r="V14" i="20" s="1"/>
  <c r="S14" i="20" s="1"/>
  <c r="AE60" i="23"/>
  <c r="AE26" i="23"/>
  <c r="AE71" i="23"/>
  <c r="AE21" i="23"/>
  <c r="Q77" i="23"/>
  <c r="N78" i="20" s="1"/>
  <c r="K78" i="20" s="1"/>
  <c r="Z14" i="23"/>
  <c r="V15" i="20" s="1"/>
  <c r="S15" i="20" s="1"/>
  <c r="H11" i="23"/>
  <c r="F12" i="20" s="1"/>
  <c r="C12" i="20" s="1"/>
  <c r="H20" i="23"/>
  <c r="F21" i="20" s="1"/>
  <c r="C21" i="20" s="1"/>
  <c r="Q67" i="23"/>
  <c r="N68" i="20" s="1"/>
  <c r="K68" i="20" s="1"/>
  <c r="H78" i="23"/>
  <c r="F79" i="20" s="1"/>
  <c r="C79" i="20" s="1"/>
  <c r="Q71" i="23"/>
  <c r="N72" i="20" s="1"/>
  <c r="K72" i="20" s="1"/>
  <c r="Z57" i="23"/>
  <c r="V58" i="20" s="1"/>
  <c r="S58" i="20" s="1"/>
  <c r="H50" i="23"/>
  <c r="F51" i="20" s="1"/>
  <c r="C51" i="20" s="1"/>
  <c r="Z29" i="23"/>
  <c r="V30" i="20" s="1"/>
  <c r="S30" i="20" s="1"/>
  <c r="Z20" i="23"/>
  <c r="V21" i="20" s="1"/>
  <c r="S21" i="20" s="1"/>
  <c r="H81" i="23"/>
  <c r="F82" i="20" s="1"/>
  <c r="C82" i="20" s="1"/>
  <c r="Q58" i="23"/>
  <c r="N59" i="20" s="1"/>
  <c r="K59" i="20" s="1"/>
  <c r="AE22" i="23"/>
  <c r="AE25" i="23"/>
  <c r="Z25" i="23"/>
  <c r="V26" i="20" s="1"/>
  <c r="S26" i="20" s="1"/>
  <c r="AE50" i="23"/>
  <c r="H45" i="23"/>
  <c r="F46" i="20" s="1"/>
  <c r="C46" i="20" s="1"/>
  <c r="Z50" i="23"/>
  <c r="V51" i="20" s="1"/>
  <c r="S51" i="20" s="1"/>
  <c r="H53" i="23"/>
  <c r="F54" i="20" s="1"/>
  <c r="C54" i="20" s="1"/>
  <c r="AE14" i="23"/>
  <c r="Q45" i="23"/>
  <c r="N46" i="20" s="1"/>
  <c r="K46" i="20" s="1"/>
  <c r="Q73" i="23"/>
  <c r="N74" i="20" s="1"/>
  <c r="K74" i="20" s="1"/>
  <c r="Z69" i="23"/>
  <c r="V70" i="20" s="1"/>
  <c r="S70" i="20" s="1"/>
  <c r="AE52" i="23"/>
  <c r="AE48" i="23"/>
  <c r="AE82" i="23"/>
  <c r="AE58" i="23"/>
  <c r="AE74" i="23"/>
  <c r="Q25" i="23"/>
  <c r="N26" i="20" s="1"/>
  <c r="K26" i="20" s="1"/>
  <c r="Q12" i="23"/>
  <c r="N13" i="20" s="1"/>
  <c r="K13" i="20" s="1"/>
  <c r="Z81" i="23"/>
  <c r="V82" i="20" s="1"/>
  <c r="S82" i="20" s="1"/>
  <c r="H47" i="23"/>
  <c r="F48" i="20" s="1"/>
  <c r="C48" i="20" s="1"/>
  <c r="AE44" i="23"/>
  <c r="AE47" i="23"/>
  <c r="AE46" i="23"/>
  <c r="AE17" i="23"/>
  <c r="AE56" i="23"/>
  <c r="AE38" i="23"/>
  <c r="AE54" i="23"/>
  <c r="H69" i="23"/>
  <c r="F70" i="20" s="1"/>
  <c r="C70" i="20" s="1"/>
  <c r="AE81" i="23"/>
  <c r="H38" i="23"/>
  <c r="F39" i="20" s="1"/>
  <c r="C39" i="20" s="1"/>
  <c r="Z44" i="23"/>
  <c r="V45" i="20" s="1"/>
  <c r="S45" i="20" s="1"/>
  <c r="Q16" i="23"/>
  <c r="N17" i="20" s="1"/>
  <c r="K17" i="20" s="1"/>
  <c r="AE28" i="23"/>
  <c r="AE34" i="23"/>
  <c r="Q28" i="23"/>
  <c r="N29" i="20" s="1"/>
  <c r="K29" i="20" s="1"/>
  <c r="H54" i="23"/>
  <c r="F55" i="20" s="1"/>
  <c r="C55" i="20" s="1"/>
  <c r="H28" i="23"/>
  <c r="F29" i="20" s="1"/>
  <c r="C29" i="20" s="1"/>
  <c r="H36" i="23"/>
  <c r="F37" i="20" s="1"/>
  <c r="C37" i="20" s="1"/>
  <c r="H56" i="23"/>
  <c r="F57" i="20" s="1"/>
  <c r="C57" i="20" s="1"/>
  <c r="Z47" i="23"/>
  <c r="V48" i="20" s="1"/>
  <c r="S48" i="20" s="1"/>
  <c r="AE12" i="23"/>
  <c r="Q74" i="23"/>
  <c r="N75" i="20" s="1"/>
  <c r="K75" i="20" s="1"/>
  <c r="Z54" i="23"/>
  <c r="V55" i="20" s="1"/>
  <c r="S55" i="20" s="1"/>
  <c r="Q82" i="23"/>
  <c r="N83" i="20" s="1"/>
  <c r="K83" i="20" s="1"/>
  <c r="Q53" i="23"/>
  <c r="N54" i="20" s="1"/>
  <c r="K54" i="20" s="1"/>
  <c r="H17" i="23"/>
  <c r="F18" i="20" s="1"/>
  <c r="C18" i="20" s="1"/>
  <c r="Q22" i="23"/>
  <c r="N23" i="20" s="1"/>
  <c r="K23" i="20" s="1"/>
  <c r="Z31" i="23"/>
  <c r="V32" i="20" s="1"/>
  <c r="S32" i="20" s="1"/>
  <c r="Q47" i="23"/>
  <c r="N48" i="20" s="1"/>
  <c r="K48" i="20" s="1"/>
  <c r="Q20" i="23"/>
  <c r="N21" i="20" s="1"/>
  <c r="K21" i="20" s="1"/>
  <c r="AE41" i="23"/>
  <c r="AE19" i="23"/>
  <c r="H80" i="23"/>
  <c r="F81" i="20" s="1"/>
  <c r="C81" i="20" s="1"/>
  <c r="Q40" i="23"/>
  <c r="N41" i="20" s="1"/>
  <c r="K41" i="20" s="1"/>
  <c r="H15" i="23"/>
  <c r="F16" i="20" s="1"/>
  <c r="C16" i="20" s="1"/>
  <c r="AE37" i="23"/>
  <c r="AE16" i="23"/>
  <c r="H82" i="23"/>
  <c r="F83" i="20" s="1"/>
  <c r="C83" i="20" s="1"/>
  <c r="H63" i="23"/>
  <c r="F64" i="20" s="1"/>
  <c r="C64" i="20" s="1"/>
  <c r="H48" i="23"/>
  <c r="F49" i="20" s="1"/>
  <c r="C49" i="20" s="1"/>
  <c r="AF60" i="23"/>
  <c r="Z41" i="23"/>
  <c r="V42" i="20" s="1"/>
  <c r="S42" i="20" s="1"/>
  <c r="AE63" i="23"/>
  <c r="H37" i="23"/>
  <c r="F38" i="20" s="1"/>
  <c r="C38" i="20" s="1"/>
  <c r="H58" i="23"/>
  <c r="F59" i="20" s="1"/>
  <c r="C59" i="20" s="1"/>
  <c r="AE31" i="23"/>
  <c r="Z56" i="23"/>
  <c r="V57" i="20" s="1"/>
  <c r="S57" i="20" s="1"/>
  <c r="Z58" i="23"/>
  <c r="V59" i="20" s="1"/>
  <c r="S59" i="20" s="1"/>
  <c r="Z74" i="23"/>
  <c r="V75" i="20" s="1"/>
  <c r="S75" i="20" s="1"/>
  <c r="AE15" i="23"/>
  <c r="H12" i="23"/>
  <c r="F13" i="20" s="1"/>
  <c r="C13" i="20" s="1"/>
  <c r="Q72" i="23"/>
  <c r="N73" i="20" s="1"/>
  <c r="K73" i="20" s="1"/>
  <c r="Q31" i="23"/>
  <c r="N32" i="20" s="1"/>
  <c r="K32" i="20" s="1"/>
  <c r="Z67" i="23"/>
  <c r="V68" i="20" s="1"/>
  <c r="S68" i="20" s="1"/>
  <c r="Z63" i="23"/>
  <c r="V64" i="20" s="1"/>
  <c r="S64" i="20" s="1"/>
  <c r="Q79" i="23"/>
  <c r="N80" i="20" s="1"/>
  <c r="K80" i="20" s="1"/>
  <c r="H41" i="23"/>
  <c r="F42" i="20" s="1"/>
  <c r="C42" i="20" s="1"/>
  <c r="H35" i="23"/>
  <c r="F36" i="20" s="1"/>
  <c r="C36" i="20" s="1"/>
  <c r="Q38" i="23"/>
  <c r="N39" i="20" s="1"/>
  <c r="K39" i="20" s="1"/>
  <c r="Z82" i="23"/>
  <c r="V83" i="20" s="1"/>
  <c r="S83" i="20" s="1"/>
  <c r="Z37" i="23"/>
  <c r="V38" i="20" s="1"/>
  <c r="S38" i="20" s="1"/>
  <c r="Q15" i="23"/>
  <c r="N16" i="20" s="1"/>
  <c r="K16" i="20" s="1"/>
  <c r="AE80" i="23"/>
  <c r="AE79" i="23"/>
  <c r="AE35" i="23"/>
  <c r="Q44" i="23"/>
  <c r="N45" i="20" s="1"/>
  <c r="K45" i="20" s="1"/>
  <c r="Q37" i="23"/>
  <c r="N38" i="20" s="1"/>
  <c r="K38" i="20" s="1"/>
  <c r="Z79" i="23"/>
  <c r="V80" i="20" s="1"/>
  <c r="S80" i="20" s="1"/>
  <c r="Q48" i="23"/>
  <c r="N49" i="20" s="1"/>
  <c r="K49" i="20" s="1"/>
  <c r="AE64" i="23"/>
  <c r="AI64" i="23" s="1"/>
  <c r="AD65" i="20" s="1"/>
  <c r="AA65" i="20" s="1"/>
  <c r="Z35" i="23"/>
  <c r="V36" i="20" s="1"/>
  <c r="S36" i="20" s="1"/>
  <c r="Q17" i="23"/>
  <c r="N18" i="20" s="1"/>
  <c r="K18" i="20" s="1"/>
  <c r="Z19" i="23"/>
  <c r="V20" i="20" s="1"/>
  <c r="S20" i="20" s="1"/>
  <c r="Z15" i="23"/>
  <c r="V16" i="20" s="1"/>
  <c r="S16" i="20" s="1"/>
  <c r="AF15" i="23"/>
  <c r="Z60" i="23"/>
  <c r="V61" i="20" s="1"/>
  <c r="S61" i="20" s="1"/>
  <c r="AF59" i="23"/>
  <c r="AF20" i="23"/>
  <c r="AF49" i="23"/>
  <c r="AI49" i="23" s="1"/>
  <c r="AD50" i="20" s="1"/>
  <c r="AA50" i="20" s="1"/>
  <c r="AF18" i="23"/>
  <c r="AF43" i="23"/>
  <c r="AF44" i="23"/>
  <c r="AF39" i="23"/>
  <c r="AF32" i="23"/>
  <c r="AF29" i="23"/>
  <c r="AF46" i="23"/>
  <c r="AF25" i="23"/>
  <c r="AF69" i="23"/>
  <c r="AF16" i="23"/>
  <c r="AF11" i="23"/>
  <c r="AF58" i="23"/>
  <c r="AI58" i="23" s="1"/>
  <c r="AD59" i="20" s="1"/>
  <c r="AA59" i="20" s="1"/>
  <c r="AF73" i="23"/>
  <c r="AF10" i="23"/>
  <c r="AF40" i="23"/>
  <c r="AF28" i="23"/>
  <c r="AF72" i="23"/>
  <c r="AF31" i="23"/>
  <c r="AF54" i="23"/>
  <c r="AF61" i="23"/>
  <c r="AF33" i="23"/>
  <c r="AF56" i="23"/>
  <c r="AI56" i="23" s="1"/>
  <c r="AD57" i="20" s="1"/>
  <c r="AA57" i="20" s="1"/>
  <c r="AF55" i="23"/>
  <c r="AF12" i="23"/>
  <c r="AF19" i="23"/>
  <c r="AF9" i="23"/>
  <c r="AF24" i="23"/>
  <c r="AF48" i="23"/>
  <c r="AF27" i="23"/>
  <c r="AF21" i="23"/>
  <c r="AF42" i="23"/>
  <c r="AF13" i="23"/>
  <c r="AF70" i="23"/>
  <c r="AF34" i="23"/>
  <c r="AF75" i="23"/>
  <c r="AF41" i="23"/>
  <c r="Q11" i="23"/>
  <c r="N12" i="20" s="1"/>
  <c r="K12" i="20" s="1"/>
  <c r="AF79" i="23"/>
  <c r="AF37" i="23"/>
  <c r="AF30" i="23"/>
  <c r="AF76" i="23"/>
  <c r="AI76" i="23" s="1"/>
  <c r="AD77" i="20" s="1"/>
  <c r="AA77" i="20" s="1"/>
  <c r="Q42" i="23"/>
  <c r="N43" i="20" s="1"/>
  <c r="K43" i="20" s="1"/>
  <c r="Q13" i="23"/>
  <c r="N14" i="20" s="1"/>
  <c r="K14" i="20" s="1"/>
  <c r="AF77" i="23"/>
  <c r="AF82" i="23"/>
  <c r="H39" i="23"/>
  <c r="F40" i="20" s="1"/>
  <c r="C40" i="20" s="1"/>
  <c r="AF78" i="23"/>
  <c r="AF80" i="23"/>
  <c r="AF63" i="23"/>
  <c r="AF67" i="23"/>
  <c r="AF47" i="23"/>
  <c r="AF57" i="23"/>
  <c r="Q21" i="23"/>
  <c r="N22" i="20" s="1"/>
  <c r="K22" i="20" s="1"/>
  <c r="H9" i="23"/>
  <c r="F10" i="20" s="1"/>
  <c r="C10" i="20" s="1"/>
  <c r="AF23" i="23"/>
  <c r="AF53" i="23"/>
  <c r="AF66" i="23"/>
  <c r="AF50" i="23"/>
  <c r="Q63" i="23"/>
  <c r="N64" i="20" s="1"/>
  <c r="K64" i="20" s="1"/>
  <c r="AF26" i="23"/>
  <c r="AF14" i="23"/>
  <c r="AF22" i="23"/>
  <c r="AF74" i="23"/>
  <c r="AF45" i="23"/>
  <c r="AF38" i="23"/>
  <c r="AF65" i="23"/>
  <c r="AF35" i="23"/>
  <c r="Z38" i="23"/>
  <c r="V39" i="20" s="1"/>
  <c r="S39" i="20" s="1"/>
  <c r="AF71" i="23"/>
  <c r="AF36" i="23"/>
  <c r="AF17" i="23"/>
  <c r="AF51" i="23"/>
  <c r="Z73" i="23"/>
  <c r="V74" i="20" s="1"/>
  <c r="S74" i="20" s="1"/>
  <c r="AF81" i="23"/>
  <c r="AI81" i="23" s="1"/>
  <c r="AD82" i="20" s="1"/>
  <c r="AA82" i="20" s="1"/>
  <c r="AF62" i="23"/>
  <c r="Q14" i="23"/>
  <c r="N15" i="20" s="1"/>
  <c r="K15" i="20" s="1"/>
  <c r="H29" i="23"/>
  <c r="F30" i="20" s="1"/>
  <c r="C30" i="20" s="1"/>
  <c r="AV62" i="9"/>
  <c r="D53" i="17"/>
  <c r="AD83" i="23"/>
  <c r="W15" i="24" s="1"/>
  <c r="BL64" i="9"/>
  <c r="BL72" i="10"/>
  <c r="C72" i="10" s="1"/>
  <c r="C73" i="15" s="1"/>
  <c r="D66" i="15"/>
  <c r="AI19" i="23" l="1"/>
  <c r="AD20" i="20" s="1"/>
  <c r="AA20" i="20" s="1"/>
  <c r="AI78" i="23"/>
  <c r="AD79" i="20" s="1"/>
  <c r="AA79" i="20" s="1"/>
  <c r="AI14" i="23"/>
  <c r="AD15" i="20" s="1"/>
  <c r="AA15" i="20" s="1"/>
  <c r="AI61" i="23"/>
  <c r="AD62" i="20" s="1"/>
  <c r="AA62" i="20" s="1"/>
  <c r="AI77" i="23"/>
  <c r="AD78" i="20" s="1"/>
  <c r="AA78" i="20" s="1"/>
  <c r="AI45" i="23"/>
  <c r="AD46" i="20" s="1"/>
  <c r="AA46" i="20" s="1"/>
  <c r="AI47" i="23"/>
  <c r="AD48" i="20" s="1"/>
  <c r="AA48" i="20" s="1"/>
  <c r="AI40" i="23"/>
  <c r="AD41" i="20" s="1"/>
  <c r="AA41" i="20" s="1"/>
  <c r="AI22" i="23"/>
  <c r="AD23" i="20" s="1"/>
  <c r="AA23" i="20" s="1"/>
  <c r="AI65" i="23"/>
  <c r="AD66" i="20" s="1"/>
  <c r="AA66" i="20" s="1"/>
  <c r="AI59" i="23"/>
  <c r="AD60" i="20" s="1"/>
  <c r="AA60" i="20" s="1"/>
  <c r="AI10" i="23"/>
  <c r="AD11" i="20" s="1"/>
  <c r="AA11" i="20" s="1"/>
  <c r="AI39" i="23"/>
  <c r="AD40" i="20" s="1"/>
  <c r="AA40" i="20" s="1"/>
  <c r="AI30" i="23"/>
  <c r="AD31" i="20" s="1"/>
  <c r="AA31" i="20" s="1"/>
  <c r="AI29" i="23"/>
  <c r="AD30" i="20" s="1"/>
  <c r="AA30" i="20" s="1"/>
  <c r="AI80" i="23"/>
  <c r="AD81" i="20" s="1"/>
  <c r="AA81" i="20" s="1"/>
  <c r="AI62" i="23"/>
  <c r="AD63" i="20" s="1"/>
  <c r="AA63" i="20" s="1"/>
  <c r="AI66" i="23"/>
  <c r="AD67" i="20" s="1"/>
  <c r="AA67" i="20" s="1"/>
  <c r="AI55" i="23"/>
  <c r="AD56" i="20" s="1"/>
  <c r="AA56" i="20" s="1"/>
  <c r="AI75" i="23"/>
  <c r="AD76" i="20" s="1"/>
  <c r="AA76" i="20" s="1"/>
  <c r="AI23" i="23"/>
  <c r="AD24" i="20" s="1"/>
  <c r="AA24" i="20" s="1"/>
  <c r="AI42" i="23"/>
  <c r="AD43" i="20" s="1"/>
  <c r="AA43" i="20" s="1"/>
  <c r="AI9" i="23"/>
  <c r="AD10" i="20" s="1"/>
  <c r="AA10" i="20" s="1"/>
  <c r="AI53" i="23"/>
  <c r="AD54" i="20" s="1"/>
  <c r="AA54" i="20" s="1"/>
  <c r="AI20" i="23"/>
  <c r="AD21" i="20" s="1"/>
  <c r="AA21" i="20" s="1"/>
  <c r="AI57" i="23"/>
  <c r="AD58" i="20" s="1"/>
  <c r="AA58" i="20" s="1"/>
  <c r="AI72" i="23"/>
  <c r="AD73" i="20" s="1"/>
  <c r="AA73" i="20" s="1"/>
  <c r="AI17" i="23"/>
  <c r="AD18" i="20" s="1"/>
  <c r="AA18" i="20" s="1"/>
  <c r="AI74" i="23"/>
  <c r="AD75" i="20" s="1"/>
  <c r="AA75" i="20" s="1"/>
  <c r="AI54" i="23"/>
  <c r="AD55" i="20" s="1"/>
  <c r="AA55" i="20" s="1"/>
  <c r="AI18" i="23"/>
  <c r="AD19" i="20" s="1"/>
  <c r="AA19" i="20" s="1"/>
  <c r="AI21" i="23"/>
  <c r="AD22" i="20" s="1"/>
  <c r="AA22" i="20" s="1"/>
  <c r="AI27" i="23"/>
  <c r="AD28" i="20" s="1"/>
  <c r="AA28" i="20" s="1"/>
  <c r="AI32" i="23"/>
  <c r="AD33" i="20" s="1"/>
  <c r="AA33" i="20" s="1"/>
  <c r="AI41" i="23"/>
  <c r="AD42" i="20" s="1"/>
  <c r="AA42" i="20" s="1"/>
  <c r="AI26" i="23"/>
  <c r="AD27" i="20" s="1"/>
  <c r="AA27" i="20" s="1"/>
  <c r="AI24" i="23"/>
  <c r="AD25" i="20" s="1"/>
  <c r="AA25" i="20" s="1"/>
  <c r="AI43" i="23"/>
  <c r="AD44" i="20" s="1"/>
  <c r="AA44" i="20" s="1"/>
  <c r="AI60" i="23"/>
  <c r="AD61" i="20" s="1"/>
  <c r="AA61" i="20" s="1"/>
  <c r="AI69" i="23"/>
  <c r="AD70" i="20" s="1"/>
  <c r="AA70" i="20" s="1"/>
  <c r="AI13" i="23"/>
  <c r="AD14" i="20" s="1"/>
  <c r="AA14" i="20" s="1"/>
  <c r="AI36" i="23"/>
  <c r="AD37" i="20" s="1"/>
  <c r="AA37" i="20" s="1"/>
  <c r="AI46" i="23"/>
  <c r="AD47" i="20" s="1"/>
  <c r="AA47" i="20" s="1"/>
  <c r="AI51" i="23"/>
  <c r="AD52" i="20" s="1"/>
  <c r="AA52" i="20" s="1"/>
  <c r="AI70" i="23"/>
  <c r="AD71" i="20" s="1"/>
  <c r="AA71" i="20" s="1"/>
  <c r="AI82" i="23"/>
  <c r="AD83" i="20" s="1"/>
  <c r="AA83" i="20" s="1"/>
  <c r="AI33" i="23"/>
  <c r="AD34" i="20" s="1"/>
  <c r="AA34" i="20" s="1"/>
  <c r="AI71" i="23"/>
  <c r="AD72" i="20" s="1"/>
  <c r="AA72" i="20" s="1"/>
  <c r="AI73" i="23"/>
  <c r="AD74" i="20" s="1"/>
  <c r="AA74" i="20" s="1"/>
  <c r="AI11" i="23"/>
  <c r="AD12" i="20" s="1"/>
  <c r="AA12" i="20" s="1"/>
  <c r="AI67" i="23"/>
  <c r="AD68" i="20" s="1"/>
  <c r="AA68" i="20" s="1"/>
  <c r="AI44" i="23"/>
  <c r="AD45" i="20" s="1"/>
  <c r="AA45" i="20" s="1"/>
  <c r="AI48" i="23"/>
  <c r="AD49" i="20" s="1"/>
  <c r="AA49" i="20" s="1"/>
  <c r="AI50" i="23"/>
  <c r="AD51" i="20" s="1"/>
  <c r="AA51" i="20" s="1"/>
  <c r="AI25" i="23"/>
  <c r="AD26" i="20" s="1"/>
  <c r="AA26" i="20" s="1"/>
  <c r="AI38" i="23"/>
  <c r="AD39" i="20" s="1"/>
  <c r="AA39" i="20" s="1"/>
  <c r="AI79" i="23"/>
  <c r="AD80" i="20" s="1"/>
  <c r="AA80" i="20" s="1"/>
  <c r="AI28" i="23"/>
  <c r="AD29" i="20" s="1"/>
  <c r="AA29" i="20" s="1"/>
  <c r="AI34" i="23"/>
  <c r="AD35" i="20" s="1"/>
  <c r="AA35" i="20" s="1"/>
  <c r="AI31" i="23"/>
  <c r="AD32" i="20" s="1"/>
  <c r="AA32" i="20" s="1"/>
  <c r="AI16" i="23"/>
  <c r="AD17" i="20" s="1"/>
  <c r="AA17" i="20" s="1"/>
  <c r="AI12" i="23"/>
  <c r="AD13" i="20" s="1"/>
  <c r="AA13" i="20" s="1"/>
  <c r="AI15" i="23"/>
  <c r="AD16" i="20" s="1"/>
  <c r="AA16" i="20" s="1"/>
  <c r="AI37" i="23"/>
  <c r="AD38" i="20" s="1"/>
  <c r="AA38" i="20" s="1"/>
  <c r="AI63" i="23"/>
  <c r="AD64" i="20" s="1"/>
  <c r="AA64" i="20" s="1"/>
  <c r="AI35" i="23"/>
  <c r="AD36" i="20" s="1"/>
  <c r="AA36" i="20" s="1"/>
  <c r="AV64" i="9"/>
  <c r="D63" i="17"/>
  <c r="C62" i="9"/>
  <c r="C63" i="17" s="1"/>
  <c r="E68" i="19"/>
  <c r="H8" i="19"/>
  <c r="G2" i="26" s="1"/>
  <c r="D2" i="26"/>
  <c r="AE8" i="23"/>
  <c r="BL74" i="10"/>
  <c r="D73" i="15"/>
  <c r="C64" i="9" l="1"/>
  <c r="C74" i="10"/>
  <c r="E52" i="19"/>
  <c r="E83" i="19" s="1"/>
  <c r="D65" i="17"/>
  <c r="D62" i="26"/>
  <c r="H8" i="23"/>
  <c r="Z8" i="23"/>
  <c r="Q8" i="23"/>
  <c r="D68" i="19"/>
  <c r="C62" i="26" s="1"/>
  <c r="C77" i="26" s="1"/>
  <c r="D75" i="15"/>
  <c r="AF8" i="23"/>
  <c r="C65" i="17" l="1"/>
  <c r="C75" i="15"/>
  <c r="E15" i="14"/>
  <c r="I15" i="14" s="1"/>
  <c r="Q52" i="23"/>
  <c r="N53" i="20" s="1"/>
  <c r="K53" i="20" s="1"/>
  <c r="Z52" i="23"/>
  <c r="V53" i="20" s="1"/>
  <c r="S53" i="20" s="1"/>
  <c r="H52" i="19"/>
  <c r="G46" i="26" s="1"/>
  <c r="H52" i="23"/>
  <c r="F53" i="20" s="1"/>
  <c r="C53" i="20" s="1"/>
  <c r="D46" i="26"/>
  <c r="D77" i="26" s="1"/>
  <c r="AI8" i="23"/>
  <c r="H68" i="19"/>
  <c r="G62" i="26" s="1"/>
  <c r="D83" i="19"/>
  <c r="N9" i="20"/>
  <c r="K9" i="20" s="1"/>
  <c r="V9" i="20"/>
  <c r="S9" i="20" s="1"/>
  <c r="F9" i="20"/>
  <c r="C9" i="20" s="1"/>
  <c r="AF68" i="23"/>
  <c r="M83" i="23"/>
  <c r="K18" i="24" s="1"/>
  <c r="V83" i="23"/>
  <c r="Q18" i="24" s="1"/>
  <c r="E14" i="14"/>
  <c r="I14" i="14" l="1"/>
  <c r="E18" i="14"/>
  <c r="G77" i="26"/>
  <c r="N83" i="23"/>
  <c r="K21" i="24" s="1"/>
  <c r="E83" i="23"/>
  <c r="E21" i="24" s="1"/>
  <c r="AF52" i="23"/>
  <c r="AI52" i="23" s="1"/>
  <c r="AD53" i="20" s="1"/>
  <c r="AA53" i="20" s="1"/>
  <c r="W83" i="23"/>
  <c r="Q21" i="24" s="1"/>
  <c r="H18" i="14"/>
  <c r="H83" i="19"/>
  <c r="H68" i="23"/>
  <c r="D83" i="23"/>
  <c r="E18" i="24" s="1"/>
  <c r="Q68" i="23"/>
  <c r="Z68" i="23"/>
  <c r="AD9" i="20"/>
  <c r="AA9" i="20" s="1"/>
  <c r="AE68" i="23"/>
  <c r="AE83" i="23" s="1"/>
  <c r="W18" i="24" s="1"/>
  <c r="F18" i="14" l="1"/>
  <c r="G18" i="14"/>
  <c r="AF83" i="23"/>
  <c r="W21" i="24" s="1"/>
  <c r="N69" i="20"/>
  <c r="K69" i="20" s="1"/>
  <c r="Q83" i="23"/>
  <c r="K30" i="24" s="1"/>
  <c r="V69" i="20"/>
  <c r="S69" i="20" s="1"/>
  <c r="Z83" i="23"/>
  <c r="Q30" i="24" s="1"/>
  <c r="F69" i="20"/>
  <c r="C69" i="20" s="1"/>
  <c r="H83" i="23"/>
  <c r="E30" i="24" s="1"/>
  <c r="AI68" i="23"/>
  <c r="I18" i="14" l="1"/>
  <c r="F84" i="20"/>
  <c r="V84" i="20"/>
  <c r="AD69" i="20"/>
  <c r="AA69" i="20" s="1"/>
  <c r="AI83" i="23"/>
  <c r="W30" i="24" s="1"/>
  <c r="N84" i="20"/>
  <c r="AD84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Gemperle, Mario</author>
  </authors>
  <commentList>
    <comment ref="C13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Gemperle, Mario:</t>
        </r>
        <r>
          <rPr>
            <sz val="9"/>
            <color indexed="81"/>
            <rFont val="Segoe UI"/>
            <family val="2"/>
          </rPr>
          <t xml:space="preserve">
Durchschnittlicher Steuerfuss aller Gemeinden
Berechnung (Effektiver Nettoertrag aller Gemeinden / Einfache Steuer aller Gemeinden) - siehe auch Art. 6 Abs. 1 VV FAG</t>
        </r>
      </text>
    </comment>
    <comment ref="BH13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Gemperle, Mario:</t>
        </r>
        <r>
          <rPr>
            <sz val="9"/>
            <color indexed="81"/>
            <rFont val="Segoe UI"/>
            <family val="2"/>
          </rPr>
          <t xml:space="preserve">
durchschnittlicher Steuerfuss der Gemeinden Oberhelfenschwil, Neckertal und Hemberg
Effektiver Nettoertrag / Einfache Steuer Netto</t>
        </r>
      </text>
    </comment>
    <comment ref="C35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Gemperle, Mario:</t>
        </r>
        <r>
          <rPr>
            <sz val="9"/>
            <color indexed="81"/>
            <rFont val="Segoe UI"/>
            <family val="2"/>
          </rPr>
          <t xml:space="preserve">
durchschnittlicher Steuersatz aller Gemeinden</t>
        </r>
      </text>
    </comment>
    <comment ref="BH64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Gemperle, Mario:</t>
        </r>
        <r>
          <rPr>
            <sz val="9"/>
            <color indexed="81"/>
            <rFont val="Segoe UI"/>
            <family val="2"/>
          </rPr>
          <t xml:space="preserve">
durchschnittlicher Steuerfuss der Gemeinden Oberhelfenschwil, Neckertal und Hemberg
Effektiver Nettoertrag / Einfache Steuer Netto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Gemperle, Mario</author>
  </authors>
  <commentList>
    <comment ref="B60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Gemperle, Mario:</t>
        </r>
        <r>
          <rPr>
            <sz val="9"/>
            <color indexed="81"/>
            <rFont val="Segoe UI"/>
            <family val="2"/>
          </rPr>
          <t xml:space="preserve">
Massgebend ist der Mittelwert analog Ressourcenausgleich! Gemäss Rücksprache mit Bruno Schaible vom 6. August 2020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Gemperle, Mario</author>
  </authors>
  <commentList>
    <comment ref="B47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Gemperle, Mario:</t>
        </r>
        <r>
          <rPr>
            <sz val="9"/>
            <color indexed="81"/>
            <rFont val="Segoe UI"/>
            <family val="2"/>
          </rPr>
          <t xml:space="preserve">
Massgebend ist der Mittelwert analog Ressourcenausgleich! Gemäss Rücksprache mit Bruno Schaible vom 6. August 2020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Gemperle, Mario</author>
  </authors>
  <commentList>
    <comment ref="B33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Gemperle, Mario:</t>
        </r>
        <r>
          <rPr>
            <sz val="9"/>
            <color indexed="81"/>
            <rFont val="Segoe UI"/>
            <family val="2"/>
          </rPr>
          <t xml:space="preserve">
ab FAG 2026 inkl. Gemeindeanteil AHV-Beiträge für Nichterwerbstätige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tc={B63A9343-7FE1-4F8A-9420-A7BED8DAC1F3}</author>
    <author>tc={69EAF8C2-5A83-493F-99C9-FD0793A6C1DD}</author>
    <author>tc={D40EF895-7219-4188-8835-B596E4B6E020}</author>
    <author>tc={CAD5602E-2AEF-4171-B776-7FD6027D6C7E}</author>
    <author>tc={28F9F0C6-FDBD-4F41-935C-8890DB6B4E7A}</author>
  </authors>
  <commentList>
    <comment ref="H13" authorId="0" shapeId="0" xr:uid="{B63A9343-7FE1-4F8A-9420-A7BED8DAC1F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Per 15. März 2025 wurden lediglich Fr. 97‘300 ausbezahlt, da erst das Ergebnis der Volksabstimmung abgewartet werden musste. Der restliche Betrag von Fr. 49‘800 wurde per 15. Juni 2025 ausbezahlt.</t>
      </text>
    </comment>
    <comment ref="H24" authorId="1" shapeId="0" xr:uid="{69EAF8C2-5A83-493F-99C9-FD0793A6C1D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Betrag wurde per 15. Juni 2025 ausbezahlt, da das Ergebnis der Volksabstimmung abgewartet werden musste. </t>
      </text>
    </comment>
    <comment ref="H56" authorId="2" shapeId="0" xr:uid="{D40EF895-7219-4188-8835-B596E4B6E02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Betrag wurde per 15. Juni 2025 ausbezahlt, da das Ergebnis der Volksabstimmung abgewartet werden musste. </t>
      </text>
    </comment>
    <comment ref="H79" authorId="3" shapeId="0" xr:uid="{CAD5602E-2AEF-4171-B776-7FD6027D6C7E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Betrag wurde per 15. Juni 2025 ausbezahlt, da das Ergebnis der Volksabstimmung abgewartet werden musste. </t>
      </text>
    </comment>
    <comment ref="X79" authorId="4" shapeId="0" xr:uid="{28F9F0C6-FDBD-4F41-935C-8890DB6B4E7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Dritte Rate wird nach telefonischer Rücksprache mit der FV Gossau nicht ausbezahlt, da die Stadt Gossau aufgrund einer Korrektur der Basiszahlen für das Jahr 2025 keine Finanzausgleichsbeiträge erhält.
Raten 1 und 2 über Fr. 29‘800 wurden mit Rechnung vom 26.08.2025 zurückgefordert!</t>
      </text>
    </comment>
  </commentList>
</comments>
</file>

<file path=xl/sharedStrings.xml><?xml version="1.0" encoding="utf-8"?>
<sst xmlns="http://schemas.openxmlformats.org/spreadsheetml/2006/main" count="2605" uniqueCount="473">
  <si>
    <t>Quellensteuer</t>
  </si>
  <si>
    <t>Gewinn- und Kapitalsteuer</t>
  </si>
  <si>
    <t>Handänderungssteuer</t>
  </si>
  <si>
    <t>Grundstückgewinnsteuer</t>
  </si>
  <si>
    <t>Einkommens-/Vermögenssteuer</t>
  </si>
  <si>
    <t>St.Gallen</t>
  </si>
  <si>
    <t>Wittenbach</t>
  </si>
  <si>
    <t>Häggenschwil</t>
  </si>
  <si>
    <t>Muolen</t>
  </si>
  <si>
    <t>Mörschwil</t>
  </si>
  <si>
    <t>Goldach</t>
  </si>
  <si>
    <t>Steinach</t>
  </si>
  <si>
    <t>Berg</t>
  </si>
  <si>
    <t>Tübach</t>
  </si>
  <si>
    <t>Untereggen</t>
  </si>
  <si>
    <t>Eggersriet</t>
  </si>
  <si>
    <t>Rorschacherberg</t>
  </si>
  <si>
    <t>Rorschach</t>
  </si>
  <si>
    <t>Thal</t>
  </si>
  <si>
    <t>Rheineck</t>
  </si>
  <si>
    <t>St.Margrethen</t>
  </si>
  <si>
    <t>Au</t>
  </si>
  <si>
    <t>Berneck</t>
  </si>
  <si>
    <t>Balgach</t>
  </si>
  <si>
    <t>Diepoldsau</t>
  </si>
  <si>
    <t>Widnau</t>
  </si>
  <si>
    <t>Rebstein</t>
  </si>
  <si>
    <t>Marbach</t>
  </si>
  <si>
    <t>Altstätten</t>
  </si>
  <si>
    <t>Eichberg</t>
  </si>
  <si>
    <t>Oberriet</t>
  </si>
  <si>
    <t>Rüthi</t>
  </si>
  <si>
    <t>Sennwald</t>
  </si>
  <si>
    <t>Gams</t>
  </si>
  <si>
    <t>Grabs</t>
  </si>
  <si>
    <t>Buchs</t>
  </si>
  <si>
    <t>Sevelen</t>
  </si>
  <si>
    <t>Wartau</t>
  </si>
  <si>
    <t>Sargans</t>
  </si>
  <si>
    <t>Vilters-Wangs</t>
  </si>
  <si>
    <t>Bad Ragaz</t>
  </si>
  <si>
    <t>Pfäfers</t>
  </si>
  <si>
    <t>Mels</t>
  </si>
  <si>
    <t>Flums</t>
  </si>
  <si>
    <t>Walenstadt</t>
  </si>
  <si>
    <t>Quarten</t>
  </si>
  <si>
    <t>Amden</t>
  </si>
  <si>
    <t>Weesen</t>
  </si>
  <si>
    <t>Schänis</t>
  </si>
  <si>
    <t>Benken</t>
  </si>
  <si>
    <t>Kaltbrunn</t>
  </si>
  <si>
    <t>Gommiswald</t>
  </si>
  <si>
    <t>Uznach</t>
  </si>
  <si>
    <t>Schmerikon</t>
  </si>
  <si>
    <t>Rapperswil-Jona</t>
  </si>
  <si>
    <t>Eschenbach</t>
  </si>
  <si>
    <t>Wildhaus-Alt St.Johann</t>
  </si>
  <si>
    <t>Nesslau</t>
  </si>
  <si>
    <t>Ebnat-Kappel</t>
  </si>
  <si>
    <t>Wattwil</t>
  </si>
  <si>
    <t>Lichtensteig</t>
  </si>
  <si>
    <t>Bütschwil-Ganterschwil</t>
  </si>
  <si>
    <t>Lütisburg</t>
  </si>
  <si>
    <t>Mosnang</t>
  </si>
  <si>
    <t>Kirchberg</t>
  </si>
  <si>
    <t>Jonschwil</t>
  </si>
  <si>
    <t>Oberuzwil</t>
  </si>
  <si>
    <t>Uzwil</t>
  </si>
  <si>
    <t>Flawil</t>
  </si>
  <si>
    <t>Degersheim</t>
  </si>
  <si>
    <t>Wil</t>
  </si>
  <si>
    <t>Zuzwil</t>
  </si>
  <si>
    <t>Oberbüren</t>
  </si>
  <si>
    <t>Niederbüren</t>
  </si>
  <si>
    <t>Niederhelfenschwil</t>
  </si>
  <si>
    <t>Gossau</t>
  </si>
  <si>
    <t>Andwil</t>
  </si>
  <si>
    <t>Waldkirch</t>
  </si>
  <si>
    <t>Gaiserwald</t>
  </si>
  <si>
    <t>Total</t>
  </si>
  <si>
    <t>Einwohnerzahl per 31.12.</t>
  </si>
  <si>
    <t>Bruttoertrag</t>
  </si>
  <si>
    <t>Erlasse/Verluste</t>
  </si>
  <si>
    <t>Nettoertrag</t>
  </si>
  <si>
    <t>Grundsteuer (ord. Satz)</t>
  </si>
  <si>
    <t>Grundsteuer (Spezialsatz)</t>
  </si>
  <si>
    <t>Abschreibungen</t>
  </si>
  <si>
    <t>pauschale Steueranrechnung</t>
  </si>
  <si>
    <t>Steuerfuss</t>
  </si>
  <si>
    <t>Standardisierter Ertrag</t>
  </si>
  <si>
    <t>Nettoertrag (standardisierter Ertrag)</t>
  </si>
  <si>
    <t>Steuersatz in ‰</t>
  </si>
  <si>
    <t>Ertrag bei Satz von 1‰</t>
  </si>
  <si>
    <t>Berechnung der technischen Steuerkraft</t>
  </si>
  <si>
    <t>Einfache Steuer Brutto</t>
  </si>
  <si>
    <t>Einfache Steuer Netto</t>
  </si>
  <si>
    <t>Effektiver Nettoertrag</t>
  </si>
  <si>
    <t>1.)</t>
  </si>
  <si>
    <t>2.)</t>
  </si>
  <si>
    <t>3.)</t>
  </si>
  <si>
    <t>Berechnung Ressourcenausgleichsbeitrag</t>
  </si>
  <si>
    <t>4.)</t>
  </si>
  <si>
    <t>Ausgleichsfaktor</t>
  </si>
  <si>
    <t>Ressourcenausgleichsbeitrag</t>
  </si>
  <si>
    <t>Technische Steuerkraft pro Einwohner</t>
  </si>
  <si>
    <t>Eingabefelder</t>
  </si>
  <si>
    <t>Quelle</t>
  </si>
  <si>
    <t>KStA</t>
  </si>
  <si>
    <t>Gemeinden</t>
  </si>
  <si>
    <t>KStA/Gemeinden</t>
  </si>
  <si>
    <t>Bundesamt für Statistik</t>
  </si>
  <si>
    <t>Beschluss Kantonsrat</t>
  </si>
  <si>
    <t>Berechnung SL Stadt St.Gallen</t>
  </si>
  <si>
    <t>Ausgleichsbeitrag gemäss Art. 25 Abs. 1 FAG</t>
  </si>
  <si>
    <t>zusätzlicher Ausgleichsbeitrag gemäss Art. 25 Abs. 2 FAG</t>
  </si>
  <si>
    <t>(Dezember 2005 = 100)</t>
  </si>
  <si>
    <t>Indexstand Juni 2007 (Basis)</t>
  </si>
  <si>
    <t>Allgemeine Daten</t>
  </si>
  <si>
    <t>BLD-Sozialindex per 31.12.</t>
  </si>
  <si>
    <t>GFS</t>
  </si>
  <si>
    <t>BLD</t>
  </si>
  <si>
    <t>Fachstelle für Statistik</t>
  </si>
  <si>
    <t>Berechnung Sonderlastenausgleich Schule</t>
  </si>
  <si>
    <t>Sonderlasten Sonderschule</t>
  </si>
  <si>
    <t>Sonderschüler je Einwohner</t>
  </si>
  <si>
    <t>Pauschalbeitrag je Schüler in der Sonderschule</t>
  </si>
  <si>
    <t>Beitragssatz Sonderschule</t>
  </si>
  <si>
    <t>Sonder-/Minderlasten Volksschule</t>
  </si>
  <si>
    <t>2.1)</t>
  </si>
  <si>
    <t>2.2)</t>
  </si>
  <si>
    <t>Beitragssatz Volksschule bei überdurchschnittlicher Belastung</t>
  </si>
  <si>
    <t>Beitragssatz Volksschule bei unterdurchschnittlicher Belastung</t>
  </si>
  <si>
    <t>Volksschüler je Einwohner</t>
  </si>
  <si>
    <t>reduzierter BLD-Sozialindex per 31.12.</t>
  </si>
  <si>
    <t>Kantonaler Durchschnitt Kosten je Schüler</t>
  </si>
  <si>
    <t>Sonder-/Minderlasten Volksschule (vor allfälliger Kürzung)</t>
  </si>
  <si>
    <t>Sonderlasten Sonderschule (vor allfälliger Kürzung)</t>
  </si>
  <si>
    <t>2.3)</t>
  </si>
  <si>
    <t>Sonderlastenausgleich Schule (vor allfälliger Kürzung)</t>
  </si>
  <si>
    <t>Kürzung infolge hoher technischer Steuerkraft</t>
  </si>
  <si>
    <t>in %</t>
  </si>
  <si>
    <t>Technische Steuerkraft in % zum kantonalen Durchschnitt</t>
  </si>
  <si>
    <t>Kürzungsfaktor in %</t>
  </si>
  <si>
    <t>2.4)</t>
  </si>
  <si>
    <t>Zusammenfassung</t>
  </si>
  <si>
    <t>Beitrag Sonderlastenausgleich Schule</t>
  </si>
  <si>
    <t>Kürzung in Fr.</t>
  </si>
  <si>
    <t>1.1)</t>
  </si>
  <si>
    <t>1.2)</t>
  </si>
  <si>
    <t>1.3)</t>
  </si>
  <si>
    <t>1.4)</t>
  </si>
  <si>
    <t>1.5)</t>
  </si>
  <si>
    <t>1.6)</t>
  </si>
  <si>
    <t>1.7)</t>
  </si>
  <si>
    <t>2.5)</t>
  </si>
  <si>
    <t>2.6)</t>
  </si>
  <si>
    <t>2.7)</t>
  </si>
  <si>
    <t>3.1)</t>
  </si>
  <si>
    <t>3.2)</t>
  </si>
  <si>
    <t>3.3)</t>
  </si>
  <si>
    <t>gewichtete Strassenlänge in km per 31.12.</t>
  </si>
  <si>
    <t>Streuung des Siedlungsgebiets</t>
  </si>
  <si>
    <t>Berechnung Sonderlastenausgleich Weite</t>
  </si>
  <si>
    <t>Länge des Strassennetzes</t>
  </si>
  <si>
    <t>Wohnbevölkerung mit Wohnsitz über 800 Metern über Meer</t>
  </si>
  <si>
    <t>geringe Einwohnerdichte</t>
  </si>
  <si>
    <t xml:space="preserve">gewichtete Strassenlänge in km pro Einwohner </t>
  </si>
  <si>
    <t>Anteil an Gesamtbevölkerung</t>
  </si>
  <si>
    <t>Gemeindefläche je Einwohner</t>
  </si>
  <si>
    <t>Pauschalbeitrag je gewichtetem Kilometer</t>
  </si>
  <si>
    <t>Beitrag je Einwohner</t>
  </si>
  <si>
    <t>Sonderlast total</t>
  </si>
  <si>
    <t>Pauschalbeitrag je Einwohner</t>
  </si>
  <si>
    <t>Pauschalbeitrag je ha je Einwohner</t>
  </si>
  <si>
    <t>Sonderlastenausgleich Weite (vor allfälliger Kürzung)</t>
  </si>
  <si>
    <t>Korrekturwert</t>
  </si>
  <si>
    <t>Korrekturwert je Einwohner für mittlere Belastung</t>
  </si>
  <si>
    <t>Minderlast total</t>
  </si>
  <si>
    <t>Beitrag Sonderlastenausgleich Weite</t>
  </si>
  <si>
    <t>BD</t>
  </si>
  <si>
    <t>FAG</t>
  </si>
  <si>
    <t>Berechnung Soziodemographischer Sonderlastenausgleich</t>
  </si>
  <si>
    <t>Sonderlasten Familie und Jugend</t>
  </si>
  <si>
    <t>Sonder-/Minderlasten Sozialhilfe</t>
  </si>
  <si>
    <t>Sonder-/Minderlasten Stationäre Pflege</t>
  </si>
  <si>
    <t>Beitragssatz bei überdurchschnittlicher Belastung</t>
  </si>
  <si>
    <t>Beitragssatz bei unterdurchschnittlicher Belastung</t>
  </si>
  <si>
    <t>Nettoaufwand Familie und Jugend pro Einwohner</t>
  </si>
  <si>
    <t>Nettoaufwand Finanzielle Sozialhilfe pro Einwohner</t>
  </si>
  <si>
    <t>Nettoaufwand Stationäre Pflege</t>
  </si>
  <si>
    <t>Nettoaufwand Stationäre Pflege pro Einwohner</t>
  </si>
  <si>
    <t>Nettoaufwand Finanzielle Sozialhilfe (Funktion 572)</t>
  </si>
  <si>
    <t>Beitrag Soziodemographischer Sonderlastenausgleich</t>
  </si>
  <si>
    <t>Kanton St.Gallen</t>
  </si>
  <si>
    <t>Amt für Gemeinden und Bürgerrecht</t>
  </si>
  <si>
    <t>Politische Gemeinde:</t>
  </si>
  <si>
    <t>Ressourcenausgleich</t>
  </si>
  <si>
    <t>Sonderlastenausgleich Weite</t>
  </si>
  <si>
    <t>Sonderlastenausgleich Schule</t>
  </si>
  <si>
    <t>Soziodemographischer Sonderlastenausgleich</t>
  </si>
  <si>
    <t>Sonderlastenausgleich Stadt</t>
  </si>
  <si>
    <t>bitte Gemeinde auswählen</t>
  </si>
  <si>
    <t>für die Berechnung relevante Basisdaten</t>
  </si>
  <si>
    <t>Nettoaufwand Familie und Jugend (Funktion 54)</t>
  </si>
  <si>
    <t>Details</t>
  </si>
  <si>
    <t>Ressourcen-ausgleich</t>
  </si>
  <si>
    <t>Sonderlasten-ausgleich Weite</t>
  </si>
  <si>
    <t>Soziodemogra-phischer Sonder-lastenausgleich</t>
  </si>
  <si>
    <t>Sonderlasten-ausgleich Schule</t>
  </si>
  <si>
    <t>Sonderlasten-ausgleich Stadt St.Gallen</t>
  </si>
  <si>
    <t>Nr.</t>
  </si>
  <si>
    <t>Gemeinde</t>
  </si>
  <si>
    <t>Kreditor</t>
  </si>
  <si>
    <t>Btyp</t>
  </si>
  <si>
    <t>0003</t>
  </si>
  <si>
    <t>0001</t>
  </si>
  <si>
    <t>0005</t>
  </si>
  <si>
    <t>0002</t>
  </si>
  <si>
    <t>0004</t>
  </si>
  <si>
    <t>Kreditorenbeleg 1. Rate März</t>
  </si>
  <si>
    <t>Kontierung</t>
  </si>
  <si>
    <t>Kreditorenbeleg 2. Rate Juni</t>
  </si>
  <si>
    <t>Kreditorenbeleg 3. Rate September</t>
  </si>
  <si>
    <t>Kreditorenbeleg 4. Rate Dezember</t>
  </si>
  <si>
    <t>Kontierungsbeleg</t>
  </si>
  <si>
    <t>1. Auszahlung innerkantonaler Finanzausgleich gemäss Art. 47 Finanzausgleichsgesetz (sGS 813.1; abgekürzt FAG)</t>
  </si>
  <si>
    <t xml:space="preserve">Fr. </t>
  </si>
  <si>
    <t>2. Auszahlung innerkantonaler Finanzausgleich gemäss Art. 47 Finanzausgleichsgesetz (sGS 813.1; abgekürzt FAG)</t>
  </si>
  <si>
    <t>3. Auszahlung innerkantonaler Finanzausgleich gemäss Art. 47 Finanzausgleichsgesetz (sGS 813.1; abgekürzt FAG)</t>
  </si>
  <si>
    <t>4. Auszahlung innerkantonaler Finanzausgleich gemäss Art. 47 Finanzausgleichsgesetz (sGS 813.1; abgekürzt FAG)</t>
  </si>
  <si>
    <t>In den grünen Laschen werden die Berechnungen vorgenommen. Diese Laschen sind ausschliesslich für den internen Gebrauch!</t>
  </si>
  <si>
    <t>Die drei blauen Laschen werden für die Auszahlungen der Finanzausgleichsbeiträge benötigt!</t>
  </si>
  <si>
    <t>Die roten Laschen dienen als Informationszweck für die Gemeinden. Diese Informationen werden regelmässig auf der Homepage aufgeschaltet! Bei der Aufschaltungsdatei sind die nicht relevanten Laschen auszublenden!</t>
  </si>
  <si>
    <t>Soll
 3700001000.347200</t>
  </si>
  <si>
    <t>Soll
 3700001000.347211</t>
  </si>
  <si>
    <t>Soll
 3700001000.347212</t>
  </si>
  <si>
    <t>Soll
 3700001000.347214</t>
  </si>
  <si>
    <t>Soll
 3700001000.347213</t>
  </si>
  <si>
    <t>Nettoaufwand Obligatorische Schule (Funktion 21)</t>
  </si>
  <si>
    <t>Nettoaufwand Schulrat in Einheitsgemeinden (Funktion 0121)</t>
  </si>
  <si>
    <t>Nettoaufwand Schulgesundheitsdienst in EHG (Funktion 433)</t>
  </si>
  <si>
    <t>Gemeindefläche in ha per 31.12.</t>
  </si>
  <si>
    <t>Zusammensetzung und Raten</t>
  </si>
  <si>
    <t>Ausgleichsgefäss</t>
  </si>
  <si>
    <t>1. Rate (15. März)</t>
  </si>
  <si>
    <t>2. Rate (15. Juni)</t>
  </si>
  <si>
    <t>3. Rate (15. Sept.)</t>
  </si>
  <si>
    <t>4. Rate (15. Dez.)</t>
  </si>
  <si>
    <t>Ressourcenausgleich (4. Rate; Art. 5 ff. FAG)
AFGB 3700001000.347200 an AFGB 200399 / 3P.FA</t>
  </si>
  <si>
    <t>Sonderlastenausgleich Weite (4. Rate; Art. 11 ff. FAG)
AFGB 3700001000.347211 an AFGB 200399 / 3P.FA</t>
  </si>
  <si>
    <t>Sonderlastenausgleich Schule (4. Rate; Art. 18 ff. FAG)
AFGB 3700001000.347212 an AFGB 200399 / 3P.FA</t>
  </si>
  <si>
    <t>Soziodemographischer Sonderlastenausgleich (4. Rate; Art. 17a ff. FAG)
AFGB 3700001000.347214 an AFGB 200399 / 3P.FA</t>
  </si>
  <si>
    <t>Sonderlastenausgleich Stadt (4. Rate; Art. 24 ff. FAG)
AFGB 3700001000.347213 an AFGB 200399 / 3P.FA</t>
  </si>
  <si>
    <t>Ressourcenausgleich (3. Rate; Art. 5 ff. FAG)
AFGB 3700001000.347200 an AFGB 200399 / 3P.FA</t>
  </si>
  <si>
    <t>Sonderlastenausgleich Weite (3. Rate; Art. 11 ff. FAG)
AFGB 3700001000.347211 an AFGB 200399 / 3P.FA</t>
  </si>
  <si>
    <t>Sonderlastenausgleich Schule (3. Rate; Art. 18 ff. FAG)
AFGB 3700001000.347212 an AFGB 200399 / 3P.FA</t>
  </si>
  <si>
    <t>Soziodemographischer Sonderlastenausgleich (3. Rate; Art. 17a ff. FAG)
AFGB 3700001000.347214 an AFGB 200399 / 3P.FA</t>
  </si>
  <si>
    <t>Sonderlastenausgleich Stadt (3. Rate; Art. 24 ff. FAG)
AFGB 3700001000.347213 an AFGB 200399 / 3P.FA</t>
  </si>
  <si>
    <t>Ressourcenausgleich (2. Rate; Art. 5 ff. FAG)
AFGB 3700001000.347200 an AFGB 200399 / 3P.FA</t>
  </si>
  <si>
    <t>Sonderlastenausgleich Weite (2. Rate; Art. 11 ff. FAG)
AFGB 3700001000.347211 an AFGB 200399 / 3P.FA</t>
  </si>
  <si>
    <t>Sonderlastenausgleich Schule (2. Rate; Art. 18 ff. FAG)
AFGB 3700001000.347212 an AFGB 200399 / 3P.FA</t>
  </si>
  <si>
    <t>Soziodemographischer Sonderlastenausgleich (2. Rate; Art. 17a ff. FAG)
AFGB 3700001000.347214 an AFGB 200399 / 3P.FA</t>
  </si>
  <si>
    <t>Sonderlastenausgleich Stadt (2. Rate; Art. 24 ff. FAG)
AFGB 3700001000.347213 an AFGB 200399 / 3P.FA</t>
  </si>
  <si>
    <t>Ressourcenausgleich (1. Rate; Art. 5 ff. FAG)
AFGB 3700001000.347200 an AFGB 200399 / 3P.FA</t>
  </si>
  <si>
    <t>Sonderlastenausgleich Weite (1. Rate; Art. 11 ff. FAG)
AFGB 3700001000.347211 an AFGB 200399 / 3P.FA</t>
  </si>
  <si>
    <t>Sonderlastenausgleich Schule (1. Rate; Art. 18 ff. FAG)
AFGB 3700001000.347212 an AFGB 200399 / 3P.FA</t>
  </si>
  <si>
    <t>Soziodemographischer Sonderlastenausgleich (1. Rate; Art. 17a ff. FAG)
AFGB 3700001000.347214 an AFGB 200399 / 3P.FA</t>
  </si>
  <si>
    <t>Sonderlastenausgleich Stadt (1. Rate; Art. 24 ff. FAG)
AFGB 3700001000.347213 an AFGB 200399 / 3P.FA</t>
  </si>
  <si>
    <t>Sonderlastenausgleich Stadt St.Gallen</t>
  </si>
  <si>
    <t>Rat</t>
  </si>
  <si>
    <t>Adresse</t>
  </si>
  <si>
    <t>PLZ</t>
  </si>
  <si>
    <t>Ort</t>
  </si>
  <si>
    <t>Stadt</t>
  </si>
  <si>
    <t>Rathaus</t>
  </si>
  <si>
    <t>Dottenwilerstrasse 2</t>
  </si>
  <si>
    <t>Dorfstrasse 18</t>
  </si>
  <si>
    <t>Dorfstrasse 9</t>
  </si>
  <si>
    <t>Schulstrasse 3</t>
  </si>
  <si>
    <t>Hauptstrasse 2</t>
  </si>
  <si>
    <t>Schulstrasse 5</t>
  </si>
  <si>
    <t>Dorfstrasse 17</t>
  </si>
  <si>
    <t>Kirchstrasse 18</t>
  </si>
  <si>
    <t>Mittlerhof 30</t>
  </si>
  <si>
    <t>Heidenerstrasse 5</t>
  </si>
  <si>
    <t>Goldacher Strasse 67</t>
  </si>
  <si>
    <t>Hauptstrasse 29</t>
  </si>
  <si>
    <t>Kirchplatz 4</t>
  </si>
  <si>
    <t>Hauptstrasse 21</t>
  </si>
  <si>
    <t>Hauptstrasse 117</t>
  </si>
  <si>
    <t>Kirchweg 6</t>
  </si>
  <si>
    <t>Rathausplatz 1</t>
  </si>
  <si>
    <t>Turnhallestrasse 1</t>
  </si>
  <si>
    <t>Gemeindeplatz 1</t>
  </si>
  <si>
    <t>Neugasse 4</t>
  </si>
  <si>
    <t>Alte Landstrasse 77</t>
  </si>
  <si>
    <t>Obergasse 4</t>
  </si>
  <si>
    <t>Rathausplatz 2</t>
  </si>
  <si>
    <t>Härdlistrasse 11</t>
  </si>
  <si>
    <t>Staatsstrasse 92</t>
  </si>
  <si>
    <t>Staatsstrasse 78</t>
  </si>
  <si>
    <t>Spengelgasse 10</t>
  </si>
  <si>
    <t>Frümsen</t>
  </si>
  <si>
    <t>Sporgasse 7</t>
  </si>
  <si>
    <t>St.Gallerstrasse 2</t>
  </si>
  <si>
    <t>Hauptstrasse 54</t>
  </si>
  <si>
    <t>Poststrasse 51</t>
  </si>
  <si>
    <t>Azmoos</t>
  </si>
  <si>
    <t>Städtchenstrasse 45</t>
  </si>
  <si>
    <t>Dorfstrasse 34</t>
  </si>
  <si>
    <t>Wangs</t>
  </si>
  <si>
    <t>Hintergasse 4</t>
  </si>
  <si>
    <t>Platz 2</t>
  </si>
  <si>
    <t>Marktstrasse 25</t>
  </si>
  <si>
    <t>Bahnhofstrasse 19</t>
  </si>
  <si>
    <t>Walenseestrasse 7</t>
  </si>
  <si>
    <t>Unterterzen</t>
  </si>
  <si>
    <t>Dorfstrasse 22</t>
  </si>
  <si>
    <t>Hauptstrasse 15</t>
  </si>
  <si>
    <t>Oberdorf 16</t>
  </si>
  <si>
    <t>Dorfstrasse 5/7</t>
  </si>
  <si>
    <t>Städtchen 10</t>
  </si>
  <si>
    <t>Hauptstrasse 16</t>
  </si>
  <si>
    <t>St.Gallerstrasse 40</t>
  </si>
  <si>
    <t>Jona</t>
  </si>
  <si>
    <t>Rickenstrasse 12</t>
  </si>
  <si>
    <t>Hauptstrasse 40</t>
  </si>
  <si>
    <t>Alt St.Johann</t>
  </si>
  <si>
    <t>Hauptstrasse 24</t>
  </si>
  <si>
    <t>Hofstrasse 1</t>
  </si>
  <si>
    <t>Grüenaustrasse 7</t>
  </si>
  <si>
    <t>Hauptgasse 12</t>
  </si>
  <si>
    <t>Lettenstrasse 3</t>
  </si>
  <si>
    <t>Mogelsberg</t>
  </si>
  <si>
    <t>Innerfeld 21</t>
  </si>
  <si>
    <t>Bütschwil</t>
  </si>
  <si>
    <t>Flawilerstrasse 17</t>
  </si>
  <si>
    <t>Hinterdorfstrasse 6</t>
  </si>
  <si>
    <t>Gähwilerstrasse 1</t>
  </si>
  <si>
    <t>Poststrasse 10 + 12</t>
  </si>
  <si>
    <t>Flawiler Strasse 3</t>
  </si>
  <si>
    <t>Stickereiplatz 1</t>
  </si>
  <si>
    <t>Bahnhofstrasse 6</t>
  </si>
  <si>
    <t>Hauptstrasse 79</t>
  </si>
  <si>
    <t>Marktgasse 58</t>
  </si>
  <si>
    <t>Hinterdorfstrasse 3</t>
  </si>
  <si>
    <t>Unterdorf 9</t>
  </si>
  <si>
    <t>Gossauerstrasse 5</t>
  </si>
  <si>
    <t>Oberdorf 10</t>
  </si>
  <si>
    <t>Bahnhofstrasse 25</t>
  </si>
  <si>
    <t>Lätschenstrasse 7</t>
  </si>
  <si>
    <t>Bernhardzellerstrasse 28</t>
  </si>
  <si>
    <t>Abtwil</t>
  </si>
  <si>
    <t>DfIF</t>
  </si>
  <si>
    <t>Technische Steuerkraft 2022</t>
  </si>
  <si>
    <t>Steuerdaten 2022</t>
  </si>
  <si>
    <t>Neckertal</t>
  </si>
  <si>
    <t>Die Finanzausgleichsbeiträge für die Auszahlung vom 15. März 2024 setzen sich die folgt zusammen (siehe auch Beilage):</t>
  </si>
  <si>
    <t>Die Finanzausgleichsbeiträge für die Auszahlung vom 15. Juni 2024 setzen sich die folgt zusammen (siehe auch Beilage):</t>
  </si>
  <si>
    <t>Die Finanzausgleichsbeiträge für die Auszahlung vom 15. September 2024 setzen sich die folgt zusammen (siehe auch Beilage):</t>
  </si>
  <si>
    <t>Die Finanzausgleichsbeiträge für die Auszahlung vom 15. Dezember 2024 setzen sich die folgt zusammen (siehe auch Beilage):</t>
  </si>
  <si>
    <t>Soziodemographischer Sonderlastenausgleich 2025</t>
  </si>
  <si>
    <t>Sonderlastenausgleich Stadt St.Gallen 2025</t>
  </si>
  <si>
    <t>Indexstand Juni 2024</t>
  </si>
  <si>
    <t>Sonderlastenausgleich Schule 2025</t>
  </si>
  <si>
    <t>Schülerzahlen Volksschule per 31.12.2023</t>
  </si>
  <si>
    <t>Schülerzahlen Sonderschule per 31.12.2023</t>
  </si>
  <si>
    <t>Sonderlastenausgleich Weite 2025</t>
  </si>
  <si>
    <t>Ressourcenausgleich 2025</t>
  </si>
  <si>
    <t>Technische Steuerkraft 2023</t>
  </si>
  <si>
    <t>Steuerdaten 2023</t>
  </si>
  <si>
    <t>Finanzausgleich 2025 / Auszahlung 1. Rate März</t>
  </si>
  <si>
    <t>Finanzausgleich 2025 / Auszahlung 2. Rate Juni</t>
  </si>
  <si>
    <t>Finanzausgleich 2025 / Auszahlung 3. Rate September</t>
  </si>
  <si>
    <t>Finanzausgleich 2025 / Auszahlung 4. Rate Dezember</t>
  </si>
  <si>
    <t>Finanzausgleich 2025</t>
  </si>
  <si>
    <t>Total Auszahlung
15. März 2025</t>
  </si>
  <si>
    <t>Total Auszahlung
15. Juni 2025</t>
  </si>
  <si>
    <t>Total Auszahlung
15. September 2025</t>
  </si>
  <si>
    <t>Total Auszahlung
15. Dezember 2025</t>
  </si>
  <si>
    <t>Mittelwert technische Steuerkraft 2022/2023</t>
  </si>
  <si>
    <t>Berechnung Finanzausgleichsbeiträge 2025</t>
  </si>
  <si>
    <t>Einwohner über 800m per 31.12.</t>
  </si>
  <si>
    <t>Streuung des Siedlungsgebiets per 31.12.</t>
  </si>
  <si>
    <t>In dieser Datei werden die Finanzausgleichsbeiträge für das Jahr 2025 berechnet.</t>
  </si>
  <si>
    <t>IBAN</t>
  </si>
  <si>
    <t>CH65 0078 1011 6000 0040 5</t>
  </si>
  <si>
    <t>CH87 0900 0000 9000 0619 3</t>
  </si>
  <si>
    <t>CH89 0900 0000 9000 0305 3</t>
  </si>
  <si>
    <t>CH70 0900 0000 9000 4704 5</t>
  </si>
  <si>
    <t>CH20 8128 4000 0010 0230 1</t>
  </si>
  <si>
    <t>CH06 0900 0000 9000 0910 6</t>
  </si>
  <si>
    <t>CH87 8130 7000 0011 3060 4</t>
  </si>
  <si>
    <t>CH76 0900 0000 9000 8127 5</t>
  </si>
  <si>
    <t>CH12 0900 0000 9000 0987 1</t>
  </si>
  <si>
    <t>CH55 0900 0000 9001 0396 3</t>
  </si>
  <si>
    <t>CH04 0900 0000 9000 5288 9</t>
  </si>
  <si>
    <t>CH55 0900 0000 9000 0492 6</t>
  </si>
  <si>
    <t>CH77 0900 0000 9000 0249 3</t>
  </si>
  <si>
    <t>CH35 0078 1241 6000 0010 9</t>
  </si>
  <si>
    <t>CH12 0078 1241 6000 0100 8</t>
  </si>
  <si>
    <t>CH93 0078 1251 6001 0300 0</t>
  </si>
  <si>
    <t>CH95 0900 0000 9000 2923 2</t>
  </si>
  <si>
    <t>CH76 0900 0000 9000 8922 9</t>
  </si>
  <si>
    <t>CH63 0692 0020 1500 1040 0</t>
  </si>
  <si>
    <t>CH02 0900 0000 9000 9444 1</t>
  </si>
  <si>
    <t>CH48 8131 9000 0061 1340 2</t>
  </si>
  <si>
    <t>CH64 0900 0000 9000 2057 5</t>
  </si>
  <si>
    <t>CH91 0900 0000 9001 0147 2</t>
  </si>
  <si>
    <t>CH28 0900 0000 9000 0890 4</t>
  </si>
  <si>
    <t>CH64 0900 0000 9001 0545 0</t>
  </si>
  <si>
    <t>CH76 0078 1111 6000 4171 8</t>
  </si>
  <si>
    <t>CH93 8129 7000 0031 5490 1</t>
  </si>
  <si>
    <t>CH67 8130 4000 0010 0220 1</t>
  </si>
  <si>
    <t>CH05 0078 1211 6000 1020 5</t>
  </si>
  <si>
    <t>CH88 0900 0000 9000 4090 1</t>
  </si>
  <si>
    <t>CH71 0900 0000 9000 3199 2</t>
  </si>
  <si>
    <t>CH49 0900 0000 9000 3073 9</t>
  </si>
  <si>
    <t>CH54 0900 0000 9000 4403 5</t>
  </si>
  <si>
    <t>CH12 0900 0000 7000 1915 1</t>
  </si>
  <si>
    <t>CH42 0900 0000 7000 2093 9</t>
  </si>
  <si>
    <t>CH76 0900 0000 7000 0946 3</t>
  </si>
  <si>
    <t>CH60 0078 1121 6006 0620 6</t>
  </si>
  <si>
    <t>CH73 0900 0000 7000 0893 5</t>
  </si>
  <si>
    <t>CH75 0078 1281 6002 1230 2</t>
  </si>
  <si>
    <t>CH09 0900 0000 7000 0174 5</t>
  </si>
  <si>
    <t>CH97 0900 0000 7000 1199 5</t>
  </si>
  <si>
    <t>CH80 0900 0000 8700 0654 7</t>
  </si>
  <si>
    <t>CH28 0900 0000 8700 0399 1</t>
  </si>
  <si>
    <t>CH37 0900 0000 8700 1032 8</t>
  </si>
  <si>
    <t>CH23 0900 0000 9000 5962 8</t>
  </si>
  <si>
    <t>CH96 0900 0000 9000 4618 9</t>
  </si>
  <si>
    <t>CH64 0900 0000 8578 9182 6</t>
  </si>
  <si>
    <t>CH48 0900 0000 9000 2464 6</t>
  </si>
  <si>
    <t>CH43 0900 0000 9000 2328 1</t>
  </si>
  <si>
    <t>CH90 0900 0000 9000 5046 8</t>
  </si>
  <si>
    <t>CH19 0900 0000 9000 3331 6</t>
  </si>
  <si>
    <t>CH76 8128 7000 0011 5120 2</t>
  </si>
  <si>
    <t>CH71 8080 8003 2288 1629 2</t>
  </si>
  <si>
    <t>CH07 0900 0000 9000 1316 2</t>
  </si>
  <si>
    <t>CH78 0900 0000 9000 0703 4</t>
  </si>
  <si>
    <t>CH65 0900 0000 9000 1531 9</t>
  </si>
  <si>
    <t>CH74 8080 8007 8795 4157 2</t>
  </si>
  <si>
    <t>CH75 8126 1000 0014 4090 1</t>
  </si>
  <si>
    <t>CH05 8126 1000 0017 2743 8</t>
  </si>
  <si>
    <t>CH04 8126 1000 0040 2645 3</t>
  </si>
  <si>
    <t>CH73 0900 0000 9000 1760 0</t>
  </si>
  <si>
    <t>CH75 0900 0000 9000 7392 1</t>
  </si>
  <si>
    <t>CH31 8132 5000 0002 3191 0</t>
  </si>
  <si>
    <t>CH29 0900 0000 9000 0694 6</t>
  </si>
  <si>
    <t>CH10 0900 0000 9000 0272 9</t>
  </si>
  <si>
    <t>CH51 0900 0000 9000 2216 7</t>
  </si>
  <si>
    <t>CH80 0078 1191 6000 2680 1</t>
  </si>
  <si>
    <t>CH24 0696 4020 1008 0080 2</t>
  </si>
  <si>
    <t>CH77 8129 1000 0001 0784 6</t>
  </si>
  <si>
    <t>CH67 0900 0000 9001 4264 4</t>
  </si>
  <si>
    <t>CH04 0900 0000 9000 3930 9</t>
  </si>
  <si>
    <t>CH49 0900 0000 9000 2986 6</t>
  </si>
  <si>
    <t>CH58 0900 0000 9000 4600 0</t>
  </si>
  <si>
    <t>CH28 0900 0000 9000 1831 3</t>
  </si>
  <si>
    <t>CH84 0900 0000 9000 9131 6</t>
  </si>
  <si>
    <t>Beitrag Sonderlastenausgleich Stadt St.Gallen</t>
  </si>
  <si>
    <t>Formeln wurden für Nachkalkulation aus der Tabelle entfernt!</t>
  </si>
  <si>
    <t>Vorgenommene Korrekturen für Nachkalkulation!</t>
  </si>
  <si>
    <t>Total (bisher)</t>
  </si>
  <si>
    <t>Total (neu)</t>
  </si>
  <si>
    <t>gemäss Nachkalkulation!</t>
  </si>
  <si>
    <t>Nachkalkulation vom 05.11.2025</t>
  </si>
  <si>
    <t>Dorfplatz 3</t>
  </si>
  <si>
    <t>Dorfplatz 16</t>
  </si>
  <si>
    <t>Finanzausgleich 2025 / definitive Beiträge</t>
  </si>
  <si>
    <t>Definitive Finanzausgleichsbeiträge 2025</t>
  </si>
  <si>
    <t>Total definitive Finanzausgleichsbeiträge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</si>
</sst>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#,##0.00_ ;\-#,##0.00\ "/>
    <numFmt numFmtId="165" formatCode="0.0000%"/>
    <numFmt numFmtId="166" formatCode="#,##0.0000"/>
    <numFmt numFmtId="167" formatCode="#,##0_ ;[Red]\-#,##0\ "/>
    <numFmt numFmtId="168" formatCode="#,##0.00000000"/>
    <numFmt numFmtId="169" formatCode="#,##0.000000000"/>
    <numFmt numFmtId="170" formatCode="#,##0.000"/>
    <numFmt numFmtId="171" formatCode="#,##0.0000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i/>
      <sz val="10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i/>
      <u/>
      <sz val="10"/>
      <color theme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4" fillId="0" borderId="0" applyNumberFormat="0" applyFill="0" applyBorder="0" applyAlignment="0" applyProtection="0"/>
    <xf numFmtId="0" fontId="16" fillId="0" borderId="0">
      <alignment vertical="center"/>
    </xf>
  </cellStyleXfs>
  <cellXfs count="209">
    <xf numFmtId="0" fontId="0" fillId="0" borderId="0" xfId="0"/>
    <xf numFmtId="4" fontId="0" fillId="0" borderId="0" xfId="1" applyNumberFormat="1" applyFont="1" applyFill="1" applyBorder="1"/>
    <xf numFmtId="43" fontId="0" fillId="0" borderId="0" xfId="1" applyFont="1" applyFill="1" applyBorder="1"/>
    <xf numFmtId="4" fontId="0" fillId="0" borderId="0" xfId="0" applyNumberFormat="1"/>
    <xf numFmtId="9" fontId="0" fillId="0" borderId="0" xfId="0" applyNumberFormat="1"/>
    <xf numFmtId="0" fontId="8" fillId="4" borderId="0" xfId="0" applyFont="1" applyFill="1"/>
    <xf numFmtId="43" fontId="8" fillId="4" borderId="0" xfId="1" applyFont="1" applyFill="1" applyBorder="1"/>
    <xf numFmtId="4" fontId="0" fillId="3" borderId="0" xfId="1" applyNumberFormat="1" applyFont="1" applyFill="1" applyBorder="1"/>
    <xf numFmtId="9" fontId="0" fillId="3" borderId="0" xfId="0" applyNumberFormat="1" applyFill="1"/>
    <xf numFmtId="9" fontId="0" fillId="3" borderId="0" xfId="1" applyNumberFormat="1" applyFont="1" applyFill="1" applyBorder="1"/>
    <xf numFmtId="4" fontId="0" fillId="3" borderId="0" xfId="0" applyNumberFormat="1" applyFill="1"/>
    <xf numFmtId="4" fontId="0" fillId="2" borderId="0" xfId="0" applyNumberFormat="1" applyFill="1"/>
    <xf numFmtId="4" fontId="0" fillId="2" borderId="0" xfId="1" applyNumberFormat="1" applyFont="1" applyFill="1" applyBorder="1"/>
    <xf numFmtId="4" fontId="2" fillId="0" borderId="0" xfId="0" applyNumberFormat="1" applyFont="1"/>
    <xf numFmtId="4" fontId="2" fillId="2" borderId="0" xfId="0" applyNumberFormat="1" applyFont="1" applyFill="1"/>
    <xf numFmtId="4" fontId="2" fillId="2" borderId="0" xfId="1" applyNumberFormat="1" applyFont="1" applyFill="1" applyBorder="1"/>
    <xf numFmtId="0" fontId="3" fillId="0" borderId="0" xfId="0" applyFont="1"/>
    <xf numFmtId="167" fontId="0" fillId="0" borderId="0" xfId="0" applyNumberFormat="1"/>
    <xf numFmtId="0" fontId="0" fillId="3" borderId="0" xfId="0" applyFill="1"/>
    <xf numFmtId="0" fontId="2" fillId="0" borderId="0" xfId="0" applyFont="1"/>
    <xf numFmtId="0" fontId="7" fillId="4" borderId="0" xfId="0" applyFont="1" applyFill="1"/>
    <xf numFmtId="0" fontId="7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0" fontId="9" fillId="2" borderId="0" xfId="0" applyFont="1" applyFill="1"/>
    <xf numFmtId="0" fontId="2" fillId="2" borderId="0" xfId="0" applyFont="1" applyFill="1"/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0" fontId="9" fillId="0" borderId="0" xfId="0" applyFont="1"/>
    <xf numFmtId="166" fontId="0" fillId="0" borderId="0" xfId="0" applyNumberFormat="1"/>
    <xf numFmtId="0" fontId="4" fillId="0" borderId="0" xfId="0" applyFont="1"/>
    <xf numFmtId="164" fontId="0" fillId="3" borderId="0" xfId="1" applyNumberFormat="1" applyFont="1" applyFill="1" applyBorder="1"/>
    <xf numFmtId="164" fontId="2" fillId="0" borderId="0" xfId="0" applyNumberFormat="1" applyFont="1"/>
    <xf numFmtId="165" fontId="0" fillId="0" borderId="0" xfId="0" applyNumberFormat="1"/>
    <xf numFmtId="4" fontId="7" fillId="4" borderId="0" xfId="0" applyNumberFormat="1" applyFont="1" applyFill="1"/>
    <xf numFmtId="3" fontId="0" fillId="0" borderId="0" xfId="0" applyNumberFormat="1"/>
    <xf numFmtId="3" fontId="0" fillId="3" borderId="0" xfId="0" applyNumberFormat="1" applyFill="1"/>
    <xf numFmtId="3" fontId="2" fillId="0" borderId="0" xfId="0" applyNumberFormat="1" applyFont="1"/>
    <xf numFmtId="0" fontId="2" fillId="5" borderId="0" xfId="0" applyFont="1" applyFill="1"/>
    <xf numFmtId="4" fontId="2" fillId="5" borderId="0" xfId="0" applyNumberFormat="1" applyFont="1" applyFill="1"/>
    <xf numFmtId="0" fontId="8" fillId="0" borderId="0" xfId="0" applyFont="1"/>
    <xf numFmtId="0" fontId="7" fillId="0" borderId="0" xfId="0" applyFont="1"/>
    <xf numFmtId="3" fontId="0" fillId="0" borderId="0" xfId="0" applyNumberFormat="1" applyAlignment="1">
      <alignment horizontal="right"/>
    </xf>
    <xf numFmtId="0" fontId="2" fillId="6" borderId="0" xfId="0" applyFont="1" applyFill="1"/>
    <xf numFmtId="4" fontId="2" fillId="6" borderId="0" xfId="0" applyNumberFormat="1" applyFont="1" applyFill="1"/>
    <xf numFmtId="0" fontId="0" fillId="6" borderId="0" xfId="0" applyFill="1"/>
    <xf numFmtId="168" fontId="0" fillId="0" borderId="0" xfId="0" applyNumberFormat="1"/>
    <xf numFmtId="169" fontId="0" fillId="0" borderId="0" xfId="0" applyNumberFormat="1"/>
    <xf numFmtId="10" fontId="0" fillId="0" borderId="0" xfId="0" applyNumberFormat="1"/>
    <xf numFmtId="4" fontId="0" fillId="6" borderId="0" xfId="0" applyNumberFormat="1" applyFill="1"/>
    <xf numFmtId="0" fontId="7" fillId="7" borderId="0" xfId="0" applyFont="1" applyFill="1"/>
    <xf numFmtId="4" fontId="7" fillId="7" borderId="0" xfId="0" applyNumberFormat="1" applyFont="1" applyFill="1"/>
    <xf numFmtId="2" fontId="1" fillId="3" borderId="0" xfId="2" applyNumberFormat="1" applyFont="1" applyFill="1"/>
    <xf numFmtId="4" fontId="0" fillId="0" borderId="0" xfId="0" applyNumberFormat="1" applyAlignment="1">
      <alignment horizontal="right"/>
    </xf>
    <xf numFmtId="170" fontId="0" fillId="3" borderId="0" xfId="0" applyNumberFormat="1" applyFill="1"/>
    <xf numFmtId="0" fontId="0" fillId="0" borderId="0" xfId="0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0" fillId="0" borderId="0" xfId="0" applyAlignment="1">
      <alignment vertical="center"/>
    </xf>
    <xf numFmtId="4" fontId="0" fillId="3" borderId="0" xfId="0" applyNumberFormat="1" applyFill="1" applyAlignment="1">
      <alignment horizontal="right"/>
    </xf>
    <xf numFmtId="164" fontId="0" fillId="0" borderId="0" xfId="1" applyNumberFormat="1" applyFont="1" applyFill="1" applyBorder="1"/>
    <xf numFmtId="10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9" fontId="0" fillId="3" borderId="0" xfId="0" applyNumberFormat="1" applyFill="1" applyAlignment="1">
      <alignment horizontal="right"/>
    </xf>
    <xf numFmtId="0" fontId="15" fillId="0" borderId="0" xfId="0" applyFont="1" applyAlignment="1" applyProtection="1">
      <alignment vertical="center"/>
      <protection hidden="1"/>
    </xf>
    <xf numFmtId="0" fontId="14" fillId="0" borderId="0" xfId="3" applyAlignment="1">
      <alignment horizontal="left" vertical="center"/>
    </xf>
    <xf numFmtId="1" fontId="16" fillId="0" borderId="1" xfId="0" applyNumberFormat="1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0" fontId="0" fillId="9" borderId="0" xfId="0" applyFill="1"/>
    <xf numFmtId="4" fontId="0" fillId="9" borderId="0" xfId="0" applyNumberFormat="1" applyFill="1"/>
    <xf numFmtId="0" fontId="17" fillId="0" borderId="0" xfId="0" applyFont="1"/>
    <xf numFmtId="1" fontId="16" fillId="0" borderId="6" xfId="0" applyNumberFormat="1" applyFont="1" applyBorder="1" applyAlignment="1">
      <alignment horizontal="center"/>
    </xf>
    <xf numFmtId="3" fontId="0" fillId="0" borderId="7" xfId="0" applyNumberFormat="1" applyBorder="1"/>
    <xf numFmtId="0" fontId="0" fillId="0" borderId="9" xfId="0" applyBorder="1"/>
    <xf numFmtId="3" fontId="2" fillId="0" borderId="10" xfId="0" applyNumberFormat="1" applyFont="1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4" fontId="2" fillId="0" borderId="10" xfId="0" applyNumberFormat="1" applyFont="1" applyBorder="1" applyAlignment="1">
      <alignment horizontal="right" vertical="top" wrapText="1"/>
    </xf>
    <xf numFmtId="4" fontId="2" fillId="0" borderId="3" xfId="0" applyNumberFormat="1" applyFont="1" applyBorder="1" applyAlignment="1">
      <alignment horizontal="right" vertical="top" wrapText="1"/>
    </xf>
    <xf numFmtId="4" fontId="0" fillId="0" borderId="11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2" fillId="0" borderId="3" xfId="0" applyNumberFormat="1" applyFont="1" applyBorder="1"/>
    <xf numFmtId="0" fontId="2" fillId="0" borderId="3" xfId="0" applyFont="1" applyBorder="1" applyAlignment="1">
      <alignment vertical="top"/>
    </xf>
    <xf numFmtId="0" fontId="0" fillId="0" borderId="1" xfId="0" applyBorder="1"/>
    <xf numFmtId="3" fontId="2" fillId="0" borderId="4" xfId="0" applyNumberFormat="1" applyFont="1" applyBorder="1"/>
    <xf numFmtId="0" fontId="0" fillId="0" borderId="6" xfId="0" applyBorder="1"/>
    <xf numFmtId="0" fontId="2" fillId="0" borderId="13" xfId="0" applyFont="1" applyBorder="1"/>
    <xf numFmtId="0" fontId="0" fillId="0" borderId="12" xfId="0" applyBorder="1"/>
    <xf numFmtId="3" fontId="2" fillId="0" borderId="13" xfId="0" applyNumberFormat="1" applyFont="1" applyBorder="1"/>
    <xf numFmtId="0" fontId="3" fillId="0" borderId="0" xfId="0" applyFont="1" applyAlignment="1">
      <alignment horizontal="left" vertical="top"/>
    </xf>
    <xf numFmtId="3" fontId="0" fillId="0" borderId="4" xfId="0" applyNumberFormat="1" applyBorder="1"/>
    <xf numFmtId="0" fontId="0" fillId="0" borderId="13" xfId="0" applyBorder="1"/>
    <xf numFmtId="0" fontId="0" fillId="0" borderId="11" xfId="0" applyBorder="1"/>
    <xf numFmtId="0" fontId="2" fillId="0" borderId="3" xfId="0" applyFont="1" applyBorder="1"/>
    <xf numFmtId="3" fontId="0" fillId="0" borderId="13" xfId="0" applyNumberFormat="1" applyBorder="1"/>
    <xf numFmtId="3" fontId="2" fillId="0" borderId="11" xfId="0" applyNumberFormat="1" applyFont="1" applyBorder="1"/>
    <xf numFmtId="3" fontId="2" fillId="0" borderId="12" xfId="0" applyNumberFormat="1" applyFont="1" applyBorder="1"/>
    <xf numFmtId="0" fontId="16" fillId="0" borderId="12" xfId="0" applyFont="1" applyBorder="1" applyAlignment="1">
      <alignment horizontal="right" wrapText="1"/>
    </xf>
    <xf numFmtId="0" fontId="16" fillId="0" borderId="7" xfId="0" applyFont="1" applyBorder="1" applyAlignment="1">
      <alignment horizontal="right" wrapText="1"/>
    </xf>
    <xf numFmtId="0" fontId="16" fillId="0" borderId="12" xfId="0" applyFont="1" applyBorder="1" applyAlignment="1">
      <alignment horizontal="left"/>
    </xf>
    <xf numFmtId="0" fontId="18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vertical="top"/>
    </xf>
    <xf numFmtId="43" fontId="16" fillId="0" borderId="0" xfId="1" applyFont="1" applyBorder="1" applyAlignment="1">
      <alignment vertical="top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43" fontId="11" fillId="0" borderId="0" xfId="1" applyFont="1" applyBorder="1" applyAlignment="1">
      <alignment vertical="top"/>
    </xf>
    <xf numFmtId="0" fontId="0" fillId="0" borderId="4" xfId="0" applyBorder="1"/>
    <xf numFmtId="4" fontId="0" fillId="0" borderId="4" xfId="0" applyNumberFormat="1" applyBorder="1"/>
    <xf numFmtId="0" fontId="2" fillId="13" borderId="0" xfId="0" applyFont="1" applyFill="1"/>
    <xf numFmtId="4" fontId="2" fillId="13" borderId="0" xfId="0" applyNumberFormat="1" applyFont="1" applyFill="1"/>
    <xf numFmtId="0" fontId="16" fillId="0" borderId="6" xfId="0" applyFont="1" applyBorder="1" applyAlignment="1">
      <alignment horizontal="right" wrapText="1"/>
    </xf>
    <xf numFmtId="1" fontId="0" fillId="0" borderId="0" xfId="0" quotePrefix="1" applyNumberFormat="1" applyAlignment="1">
      <alignment horizontal="right"/>
    </xf>
    <xf numFmtId="3" fontId="0" fillId="0" borderId="0" xfId="0" quotePrefix="1" applyNumberFormat="1" applyAlignment="1">
      <alignment horizontal="right"/>
    </xf>
    <xf numFmtId="171" fontId="2" fillId="0" borderId="0" xfId="0" applyNumberFormat="1" applyFont="1"/>
    <xf numFmtId="0" fontId="2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7" fillId="0" borderId="0" xfId="0" applyFont="1" applyProtection="1">
      <protection hidden="1"/>
    </xf>
    <xf numFmtId="0" fontId="0" fillId="0" borderId="9" xfId="0" applyBorder="1" applyAlignment="1">
      <alignment vertical="center"/>
    </xf>
    <xf numFmtId="0" fontId="0" fillId="0" borderId="10" xfId="0" applyBorder="1" applyAlignment="1" applyProtection="1">
      <alignment vertical="center"/>
      <protection hidden="1"/>
    </xf>
    <xf numFmtId="4" fontId="0" fillId="0" borderId="14" xfId="0" applyNumberFormat="1" applyBorder="1" applyAlignment="1" applyProtection="1">
      <alignment vertical="center"/>
      <protection hidden="1"/>
    </xf>
    <xf numFmtId="4" fontId="0" fillId="0" borderId="10" xfId="0" applyNumberFormat="1" applyBorder="1" applyAlignment="1" applyProtection="1">
      <alignment vertical="center"/>
      <protection hidden="1"/>
    </xf>
    <xf numFmtId="0" fontId="11" fillId="0" borderId="1" xfId="0" applyFont="1" applyBorder="1" applyAlignment="1" applyProtection="1">
      <alignment vertical="center"/>
      <protection hidden="1"/>
    </xf>
    <xf numFmtId="0" fontId="11" fillId="0" borderId="4" xfId="0" applyFont="1" applyBorder="1" applyAlignment="1" applyProtection="1">
      <alignment vertical="center"/>
      <protection hidden="1"/>
    </xf>
    <xf numFmtId="0" fontId="11" fillId="0" borderId="5" xfId="0" applyFont="1" applyBorder="1" applyAlignment="1" applyProtection="1">
      <alignment horizontal="right" vertical="center"/>
      <protection hidden="1"/>
    </xf>
    <xf numFmtId="0" fontId="11" fillId="0" borderId="4" xfId="0" applyFont="1" applyBorder="1" applyAlignment="1" applyProtection="1">
      <alignment horizontal="right" vertical="center"/>
      <protection hidden="1"/>
    </xf>
    <xf numFmtId="0" fontId="0" fillId="0" borderId="0" xfId="0" applyAlignment="1">
      <alignment vertical="top" wrapText="1"/>
    </xf>
    <xf numFmtId="3" fontId="0" fillId="0" borderId="11" xfId="0" applyNumberFormat="1" applyBorder="1" applyAlignment="1">
      <alignment horizontal="right"/>
    </xf>
    <xf numFmtId="4" fontId="2" fillId="0" borderId="14" xfId="0" applyNumberFormat="1" applyFont="1" applyBorder="1"/>
    <xf numFmtId="1" fontId="16" fillId="0" borderId="11" xfId="0" applyNumberFormat="1" applyFont="1" applyBorder="1" applyAlignment="1">
      <alignment horizontal="right"/>
    </xf>
    <xf numFmtId="0" fontId="0" fillId="5" borderId="0" xfId="0" applyFill="1"/>
    <xf numFmtId="4" fontId="0" fillId="14" borderId="0" xfId="0" applyNumberFormat="1" applyFill="1"/>
    <xf numFmtId="4" fontId="0" fillId="14" borderId="0" xfId="1" applyNumberFormat="1" applyFont="1" applyFill="1" applyBorder="1"/>
    <xf numFmtId="3" fontId="0" fillId="14" borderId="0" xfId="0" applyNumberFormat="1" applyFill="1"/>
    <xf numFmtId="3" fontId="2" fillId="15" borderId="11" xfId="0" applyNumberFormat="1" applyFont="1" applyFill="1" applyBorder="1"/>
    <xf numFmtId="0" fontId="0" fillId="15" borderId="11" xfId="0" applyFill="1" applyBorder="1"/>
    <xf numFmtId="3" fontId="2" fillId="0" borderId="14" xfId="0" applyNumberFormat="1" applyFont="1" applyBorder="1"/>
    <xf numFmtId="3" fontId="0" fillId="15" borderId="0" xfId="0" applyNumberFormat="1" applyFill="1"/>
    <xf numFmtId="3" fontId="0" fillId="16" borderId="4" xfId="0" applyNumberFormat="1" applyFill="1" applyBorder="1"/>
    <xf numFmtId="3" fontId="0" fillId="16" borderId="13" xfId="0" applyNumberFormat="1" applyFill="1" applyBorder="1"/>
    <xf numFmtId="3" fontId="0" fillId="16" borderId="0" xfId="0" applyNumberFormat="1" applyFill="1"/>
    <xf numFmtId="3" fontId="0" fillId="16" borderId="11" xfId="0" applyNumberFormat="1" applyFill="1" applyBorder="1"/>
    <xf numFmtId="3" fontId="0" fillId="16" borderId="7" xfId="0" applyNumberFormat="1" applyFill="1" applyBorder="1"/>
    <xf numFmtId="3" fontId="0" fillId="16" borderId="12" xfId="0" applyNumberFormat="1" applyFill="1" applyBorder="1"/>
    <xf numFmtId="0" fontId="0" fillId="16" borderId="0" xfId="0" applyFill="1"/>
    <xf numFmtId="0" fontId="2" fillId="16" borderId="0" xfId="0" applyFont="1" applyFill="1" applyAlignment="1">
      <alignment vertical="center"/>
    </xf>
    <xf numFmtId="4" fontId="0" fillId="16" borderId="0" xfId="0" applyNumberFormat="1" applyFill="1"/>
    <xf numFmtId="0" fontId="11" fillId="0" borderId="13" xfId="0" applyFont="1" applyBorder="1" applyAlignment="1" applyProtection="1">
      <alignment horizontal="right" vertical="center"/>
      <protection hidden="1"/>
    </xf>
    <xf numFmtId="4" fontId="0" fillId="0" borderId="3" xfId="0" applyNumberFormat="1" applyBorder="1" applyAlignment="1" applyProtection="1">
      <alignment vertical="center"/>
      <protection hidden="1"/>
    </xf>
    <xf numFmtId="0" fontId="19" fillId="0" borderId="10" xfId="3" applyFont="1" applyBorder="1" applyAlignment="1" applyProtection="1">
      <alignment horizontal="left" vertical="center"/>
      <protection locked="0"/>
    </xf>
    <xf numFmtId="0" fontId="20" fillId="0" borderId="13" xfId="0" applyFont="1" applyBorder="1" applyAlignment="1" applyProtection="1">
      <alignment horizontal="right" vertical="center"/>
      <protection hidden="1"/>
    </xf>
    <xf numFmtId="4" fontId="2" fillId="0" borderId="9" xfId="0" applyNumberFormat="1" applyFont="1" applyBorder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  <xf numFmtId="3" fontId="0" fillId="0" borderId="3" xfId="0" applyNumberFormat="1" applyBorder="1"/>
    <xf numFmtId="4" fontId="2" fillId="0" borderId="3" xfId="0" applyNumberFormat="1" applyFont="1" applyBorder="1" applyAlignment="1">
      <alignment horizontal="right" vertical="top"/>
    </xf>
    <xf numFmtId="3" fontId="0" fillId="0" borderId="2" xfId="0" applyNumberFormat="1" applyBorder="1"/>
    <xf numFmtId="3" fontId="0" fillId="0" borderId="9" xfId="0" applyNumberFormat="1" applyBorder="1"/>
    <xf numFmtId="3" fontId="0" fillId="0" borderId="14" xfId="0" applyNumberFormat="1" applyBorder="1"/>
    <xf numFmtId="3" fontId="0" fillId="0" borderId="10" xfId="0" applyNumberFormat="1" applyBorder="1"/>
    <xf numFmtId="4" fontId="2" fillId="16" borderId="10" xfId="0" applyNumberFormat="1" applyFont="1" applyFill="1" applyBorder="1" applyAlignment="1">
      <alignment horizontal="right" vertical="top" wrapText="1"/>
    </xf>
    <xf numFmtId="4" fontId="2" fillId="16" borderId="3" xfId="0" applyNumberFormat="1" applyFont="1" applyFill="1" applyBorder="1" applyAlignment="1">
      <alignment horizontal="right" vertical="top" wrapText="1"/>
    </xf>
    <xf numFmtId="4" fontId="2" fillId="16" borderId="13" xfId="0" applyNumberFormat="1" applyFont="1" applyFill="1" applyBorder="1" applyAlignment="1">
      <alignment horizontal="right" vertical="top" wrapText="1"/>
    </xf>
    <xf numFmtId="4" fontId="2" fillId="16" borderId="4" xfId="0" applyNumberFormat="1" applyFont="1" applyFill="1" applyBorder="1" applyAlignment="1">
      <alignment horizontal="right" vertical="top" wrapText="1"/>
    </xf>
    <xf numFmtId="3" fontId="0" fillId="16" borderId="1" xfId="0" applyNumberFormat="1" applyFill="1" applyBorder="1"/>
    <xf numFmtId="3" fontId="0" fillId="16" borderId="5" xfId="0" applyNumberFormat="1" applyFill="1" applyBorder="1"/>
    <xf numFmtId="3" fontId="2" fillId="16" borderId="13" xfId="0" applyNumberFormat="1" applyFont="1" applyFill="1" applyBorder="1"/>
    <xf numFmtId="3" fontId="0" fillId="16" borderId="2" xfId="0" applyNumberFormat="1" applyFill="1" applyBorder="1"/>
    <xf numFmtId="3" fontId="0" fillId="16" borderId="15" xfId="0" applyNumberFormat="1" applyFill="1" applyBorder="1"/>
    <xf numFmtId="3" fontId="2" fillId="16" borderId="11" xfId="0" applyNumberFormat="1" applyFont="1" applyFill="1" applyBorder="1"/>
    <xf numFmtId="3" fontId="0" fillId="16" borderId="6" xfId="0" applyNumberFormat="1" applyFill="1" applyBorder="1"/>
    <xf numFmtId="3" fontId="0" fillId="16" borderId="8" xfId="0" applyNumberFormat="1" applyFill="1" applyBorder="1"/>
    <xf numFmtId="3" fontId="2" fillId="16" borderId="12" xfId="0" applyNumberFormat="1" applyFont="1" applyFill="1" applyBorder="1"/>
    <xf numFmtId="3" fontId="2" fillId="16" borderId="10" xfId="0" applyNumberFormat="1" applyFont="1" applyFill="1" applyBorder="1"/>
    <xf numFmtId="3" fontId="2" fillId="16" borderId="3" xfId="0" applyNumberFormat="1" applyFont="1" applyFill="1" applyBorder="1"/>
    <xf numFmtId="3" fontId="2" fillId="16" borderId="7" xfId="0" applyNumberFormat="1" applyFont="1" applyFill="1" applyBorder="1"/>
    <xf numFmtId="0" fontId="11" fillId="16" borderId="13" xfId="0" applyFont="1" applyFill="1" applyBorder="1" applyAlignment="1" applyProtection="1">
      <alignment horizontal="right" vertical="center"/>
      <protection hidden="1"/>
    </xf>
    <xf numFmtId="4" fontId="2" fillId="16" borderId="3" xfId="0" applyNumberFormat="1" applyFont="1" applyFill="1" applyBorder="1" applyAlignment="1" applyProtection="1">
      <alignment vertical="center"/>
      <protection hidden="1"/>
    </xf>
    <xf numFmtId="4" fontId="11" fillId="16" borderId="3" xfId="0" applyNumberFormat="1" applyFont="1" applyFill="1" applyBorder="1" applyAlignment="1" applyProtection="1">
      <alignment vertical="center"/>
      <protection hidden="1"/>
    </xf>
    <xf numFmtId="0" fontId="11" fillId="16" borderId="5" xfId="0" applyFont="1" applyFill="1" applyBorder="1" applyAlignment="1" applyProtection="1">
      <alignment horizontal="right" vertical="center"/>
      <protection hidden="1"/>
    </xf>
    <xf numFmtId="4" fontId="0" fillId="16" borderId="14" xfId="0" applyNumberFormat="1" applyFill="1" applyBorder="1" applyAlignment="1" applyProtection="1">
      <alignment vertical="center"/>
      <protection hidden="1"/>
    </xf>
    <xf numFmtId="4" fontId="11" fillId="16" borderId="14" xfId="0" applyNumberFormat="1" applyFont="1" applyFill="1" applyBorder="1" applyAlignment="1" applyProtection="1">
      <alignment vertical="center"/>
      <protection hidden="1"/>
    </xf>
    <xf numFmtId="0" fontId="2" fillId="16" borderId="0" xfId="0" applyFont="1" applyFill="1" applyAlignment="1" applyProtection="1">
      <alignment vertical="center"/>
      <protection hidden="1"/>
    </xf>
    <xf numFmtId="0" fontId="0" fillId="16" borderId="0" xfId="0" applyFill="1" applyAlignment="1" applyProtection="1">
      <alignment vertical="center"/>
      <protection locked="0"/>
    </xf>
    <xf numFmtId="0" fontId="11" fillId="17" borderId="10" xfId="0" applyFont="1" applyFill="1" applyBorder="1" applyAlignment="1" applyProtection="1">
      <alignment vertical="center"/>
      <protection hidden="1"/>
    </xf>
    <xf numFmtId="0" fontId="11" fillId="17" borderId="7" xfId="0" applyFont="1" applyFill="1" applyBorder="1" applyAlignment="1" applyProtection="1">
      <alignment vertical="center"/>
      <protection hidden="1"/>
    </xf>
    <xf numFmtId="4" fontId="16" fillId="17" borderId="14" xfId="0" applyNumberFormat="1" applyFont="1" applyFill="1" applyBorder="1" applyAlignment="1" applyProtection="1">
      <alignment vertical="center"/>
      <protection hidden="1"/>
    </xf>
    <xf numFmtId="4" fontId="16" fillId="17" borderId="10" xfId="0" applyNumberFormat="1" applyFont="1" applyFill="1" applyBorder="1" applyAlignment="1" applyProtection="1">
      <alignment vertical="center"/>
      <protection hidden="1"/>
    </xf>
    <xf numFmtId="4" fontId="16" fillId="17" borderId="3" xfId="0" applyNumberFormat="1" applyFont="1" applyFill="1" applyBorder="1" applyAlignment="1" applyProtection="1">
      <alignment vertical="center"/>
      <protection hidden="1"/>
    </xf>
    <xf numFmtId="0" fontId="11" fillId="17" borderId="9" xfId="0" applyFont="1" applyFill="1" applyBorder="1" applyAlignment="1" applyProtection="1">
      <alignment vertical="center"/>
      <protection hidden="1"/>
    </xf>
    <xf numFmtId="4" fontId="4" fillId="0" borderId="3" xfId="3" applyNumberFormat="1" applyFont="1" applyBorder="1" applyAlignment="1" applyProtection="1">
      <alignment horizontal="right" vertical="center"/>
    </xf>
    <xf numFmtId="0" fontId="8" fillId="10" borderId="0" xfId="0" applyFont="1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0" borderId="0" xfId="0" applyFill="1" applyAlignment="1">
      <alignment wrapText="1"/>
    </xf>
    <xf numFmtId="0" fontId="8" fillId="11" borderId="0" xfId="0" applyFont="1" applyFill="1" applyAlignment="1">
      <alignment vertical="top" wrapText="1"/>
    </xf>
    <xf numFmtId="0" fontId="0" fillId="11" borderId="0" xfId="0" applyFill="1" applyAlignment="1">
      <alignment vertical="top" wrapText="1"/>
    </xf>
    <xf numFmtId="0" fontId="8" fillId="12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1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2" fillId="8" borderId="0" xfId="0" applyFont="1" applyFill="1" applyAlignment="1" applyProtection="1">
      <alignment vertical="center"/>
      <protection locked="0" hidden="1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vertical="top" wrapText="1"/>
      <protection hidden="1"/>
    </xf>
    <xf numFmtId="0" fontId="2" fillId="0" borderId="0" xfId="0" applyFont="1" applyAlignment="1">
      <alignment vertical="top" wrapText="1"/>
    </xf>
    <xf numFmtId="4" fontId="21" fillId="17" borderId="12" xfId="0" applyNumberFormat="1" applyFont="1" applyFill="1" applyBorder="1" applyAlignment="1" applyProtection="1">
      <alignment horizontal="right" vertical="center"/>
      <protection hidden="1"/>
    </xf>
  </cellXfs>
  <cellStyles count="5">
    <cellStyle name="Komma" xfId="1" builtinId="3"/>
    <cellStyle name="Link" xfId="3" builtinId="8"/>
    <cellStyle name="ST2 2" xfId="4" xr:uid="{00000000-0005-0000-0000-000002000000}"/>
    <cellStyle name="Standard" xfId="0" builtinId="0"/>
    <cellStyle name="Standard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0</xdr:row>
      <xdr:rowOff>47625</xdr:rowOff>
    </xdr:from>
    <xdr:to>
      <xdr:col>7</xdr:col>
      <xdr:colOff>591185</xdr:colOff>
      <xdr:row>3</xdr:row>
      <xdr:rowOff>151130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7825" y="47625"/>
          <a:ext cx="467360" cy="589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879231</xdr:colOff>
      <xdr:row>0</xdr:row>
      <xdr:rowOff>43228</xdr:rowOff>
    </xdr:from>
    <xdr:to>
      <xdr:col>2</xdr:col>
      <xdr:colOff>1346591</xdr:colOff>
      <xdr:row>3</xdr:row>
      <xdr:rowOff>147466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1531" y="43228"/>
          <a:ext cx="467360" cy="5900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879231</xdr:colOff>
      <xdr:row>0</xdr:row>
      <xdr:rowOff>43228</xdr:rowOff>
    </xdr:from>
    <xdr:to>
      <xdr:col>2</xdr:col>
      <xdr:colOff>1346591</xdr:colOff>
      <xdr:row>3</xdr:row>
      <xdr:rowOff>147466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1531" y="43228"/>
          <a:ext cx="467360" cy="5900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879231</xdr:colOff>
      <xdr:row>0</xdr:row>
      <xdr:rowOff>43228</xdr:rowOff>
    </xdr:from>
    <xdr:to>
      <xdr:col>2</xdr:col>
      <xdr:colOff>1346591</xdr:colOff>
      <xdr:row>3</xdr:row>
      <xdr:rowOff>147466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1606" y="43228"/>
          <a:ext cx="467360" cy="5900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879231</xdr:colOff>
      <xdr:row>0</xdr:row>
      <xdr:rowOff>43228</xdr:rowOff>
    </xdr:from>
    <xdr:to>
      <xdr:col>2</xdr:col>
      <xdr:colOff>1346591</xdr:colOff>
      <xdr:row>3</xdr:row>
      <xdr:rowOff>147466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1606" y="43228"/>
          <a:ext cx="467360" cy="5900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879231</xdr:colOff>
      <xdr:row>0</xdr:row>
      <xdr:rowOff>43228</xdr:rowOff>
    </xdr:from>
    <xdr:to>
      <xdr:col>2</xdr:col>
      <xdr:colOff>1346591</xdr:colOff>
      <xdr:row>3</xdr:row>
      <xdr:rowOff>147466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1606" y="43228"/>
          <a:ext cx="467360" cy="5900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460131</xdr:colOff>
      <xdr:row>0</xdr:row>
      <xdr:rowOff>62278</xdr:rowOff>
    </xdr:from>
    <xdr:to>
      <xdr:col>7</xdr:col>
      <xdr:colOff>927491</xdr:colOff>
      <xdr:row>4</xdr:row>
      <xdr:rowOff>4591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3431" y="62278"/>
          <a:ext cx="467360" cy="5900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460131</xdr:colOff>
      <xdr:row>0</xdr:row>
      <xdr:rowOff>62278</xdr:rowOff>
    </xdr:from>
    <xdr:to>
      <xdr:col>7</xdr:col>
      <xdr:colOff>927491</xdr:colOff>
      <xdr:row>4</xdr:row>
      <xdr:rowOff>4591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3431" y="62278"/>
          <a:ext cx="467360" cy="590013"/>
        </a:xfrm>
        <a:prstGeom prst="rect">
          <a:avLst/>
        </a:prstGeom>
      </xdr:spPr>
    </xdr:pic>
    <xdr:clientData/>
  </xdr:twoCellAnchor>
  <xdr:oneCellAnchor>
    <xdr:from>
      <xdr:col>16</xdr:col>
      <xdr:colOff>460131</xdr:colOff>
      <xdr:row>0</xdr:row>
      <xdr:rowOff>62278</xdr:rowOff>
    </xdr:from>
    <xdr:ext cx="467360" cy="590013"/>
    <xdr:pic>
      <xdr:nvPicPr>
        <xdr:cNvPr id="3" name="Grafik 2" descr="sg_wappen_1c_13mm(600dpi)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3431" y="62278"/>
          <a:ext cx="467360" cy="590013"/>
        </a:xfrm>
        <a:prstGeom prst="rect">
          <a:avLst/>
        </a:prstGeom>
      </xdr:spPr>
    </xdr:pic>
    <xdr:clientData/>
  </xdr:oneCellAnchor>
  <xdr:oneCellAnchor>
    <xdr:from>
      <xdr:col>25</xdr:col>
      <xdr:colOff>460131</xdr:colOff>
      <xdr:row>0</xdr:row>
      <xdr:rowOff>62278</xdr:rowOff>
    </xdr:from>
    <xdr:ext cx="467360" cy="590013"/>
    <xdr:pic>
      <xdr:nvPicPr>
        <xdr:cNvPr id="4" name="Grafik 3" descr="sg_wappen_1c_13mm(600dpi)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3431" y="62278"/>
          <a:ext cx="467360" cy="590013"/>
        </a:xfrm>
        <a:prstGeom prst="rect">
          <a:avLst/>
        </a:prstGeom>
      </xdr:spPr>
    </xdr:pic>
    <xdr:clientData/>
  </xdr:oneCellAnchor>
  <xdr:oneCellAnchor>
    <xdr:from>
      <xdr:col>34</xdr:col>
      <xdr:colOff>460131</xdr:colOff>
      <xdr:row>0</xdr:row>
      <xdr:rowOff>62278</xdr:rowOff>
    </xdr:from>
    <xdr:ext cx="467360" cy="590013"/>
    <xdr:pic>
      <xdr:nvPicPr>
        <xdr:cNvPr id="5" name="Grafik 4" descr="sg_wappen_1c_13mm(600dpi)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3431" y="62278"/>
          <a:ext cx="467360" cy="59001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438878</xdr:colOff>
      <xdr:row>0</xdr:row>
      <xdr:rowOff>57149</xdr:rowOff>
    </xdr:from>
    <xdr:to>
      <xdr:col>6</xdr:col>
      <xdr:colOff>906238</xdr:colOff>
      <xdr:row>3</xdr:row>
      <xdr:rowOff>160654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8032" y="57149"/>
          <a:ext cx="467360" cy="587082"/>
        </a:xfrm>
        <a:prstGeom prst="rect">
          <a:avLst/>
        </a:prstGeom>
      </xdr:spPr>
    </xdr:pic>
    <xdr:clientData/>
  </xdr:twoCellAnchor>
  <xdr:oneCellAnchor>
    <xdr:from>
      <xdr:col>14</xdr:col>
      <xdr:colOff>449869</xdr:colOff>
      <xdr:row>0</xdr:row>
      <xdr:rowOff>57149</xdr:rowOff>
    </xdr:from>
    <xdr:ext cx="467360" cy="587082"/>
    <xdr:pic>
      <xdr:nvPicPr>
        <xdr:cNvPr id="3" name="Grafik 2" descr="sg_wappen_1c_13mm(600dpi)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6427" y="57149"/>
          <a:ext cx="467360" cy="587082"/>
        </a:xfrm>
        <a:prstGeom prst="rect">
          <a:avLst/>
        </a:prstGeom>
      </xdr:spPr>
    </xdr:pic>
    <xdr:clientData/>
  </xdr:oneCellAnchor>
  <xdr:oneCellAnchor>
    <xdr:from>
      <xdr:col>22</xdr:col>
      <xdr:colOff>452068</xdr:colOff>
      <xdr:row>0</xdr:row>
      <xdr:rowOff>49822</xdr:rowOff>
    </xdr:from>
    <xdr:ext cx="467360" cy="587082"/>
    <xdr:pic>
      <xdr:nvPicPr>
        <xdr:cNvPr id="4" name="Grafik 3" descr="sg_wappen_1c_13mm(600dpi)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46030" y="49822"/>
          <a:ext cx="467360" cy="587082"/>
        </a:xfrm>
        <a:prstGeom prst="rect">
          <a:avLst/>
        </a:prstGeom>
      </xdr:spPr>
    </xdr:pic>
    <xdr:clientData/>
  </xdr:oneCellAnchor>
  <xdr:oneCellAnchor>
    <xdr:from>
      <xdr:col>30</xdr:col>
      <xdr:colOff>449868</xdr:colOff>
      <xdr:row>0</xdr:row>
      <xdr:rowOff>35169</xdr:rowOff>
    </xdr:from>
    <xdr:ext cx="467360" cy="587082"/>
    <xdr:pic>
      <xdr:nvPicPr>
        <xdr:cNvPr id="5" name="Grafik 4" descr="sg_wappen_1c_13mm(600dpi)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21233" y="35169"/>
          <a:ext cx="467360" cy="58708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351693</xdr:colOff>
      <xdr:row>0</xdr:row>
      <xdr:rowOff>64476</xdr:rowOff>
    </xdr:from>
    <xdr:to>
      <xdr:col>4</xdr:col>
      <xdr:colOff>819053</xdr:colOff>
      <xdr:row>4</xdr:row>
      <xdr:rowOff>6789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1116" y="64476"/>
          <a:ext cx="467360" cy="587082"/>
        </a:xfrm>
        <a:prstGeom prst="rect">
          <a:avLst/>
        </a:prstGeom>
      </xdr:spPr>
    </xdr:pic>
    <xdr:clientData/>
  </xdr:twoCellAnchor>
  <xdr:oneCellAnchor>
    <xdr:from>
      <xdr:col>10</xdr:col>
      <xdr:colOff>351693</xdr:colOff>
      <xdr:row>0</xdr:row>
      <xdr:rowOff>64476</xdr:rowOff>
    </xdr:from>
    <xdr:ext cx="467360" cy="587082"/>
    <xdr:pic>
      <xdr:nvPicPr>
        <xdr:cNvPr id="6" name="Grafik 5" descr="sg_wappen_1c_13mm(600dpi).pn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1116" y="64476"/>
          <a:ext cx="467360" cy="587082"/>
        </a:xfrm>
        <a:prstGeom prst="rect">
          <a:avLst/>
        </a:prstGeom>
      </xdr:spPr>
    </xdr:pic>
    <xdr:clientData/>
  </xdr:oneCellAnchor>
  <xdr:oneCellAnchor>
    <xdr:from>
      <xdr:col>16</xdr:col>
      <xdr:colOff>351693</xdr:colOff>
      <xdr:row>0</xdr:row>
      <xdr:rowOff>64476</xdr:rowOff>
    </xdr:from>
    <xdr:ext cx="467360" cy="587082"/>
    <xdr:pic>
      <xdr:nvPicPr>
        <xdr:cNvPr id="7" name="Grafik 6" descr="sg_wappen_1c_13mm(600dpi).png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9481" y="64476"/>
          <a:ext cx="467360" cy="587082"/>
        </a:xfrm>
        <a:prstGeom prst="rect">
          <a:avLst/>
        </a:prstGeom>
      </xdr:spPr>
    </xdr:pic>
    <xdr:clientData/>
  </xdr:oneCellAnchor>
  <xdr:oneCellAnchor>
    <xdr:from>
      <xdr:col>22</xdr:col>
      <xdr:colOff>351693</xdr:colOff>
      <xdr:row>0</xdr:row>
      <xdr:rowOff>64476</xdr:rowOff>
    </xdr:from>
    <xdr:ext cx="467360" cy="587082"/>
    <xdr:pic>
      <xdr:nvPicPr>
        <xdr:cNvPr id="8" name="Grafik 7" descr="sg_wappen_1c_13mm(600dpi).png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77847" y="64476"/>
          <a:ext cx="467360" cy="58708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57150</xdr:rowOff>
    </xdr:from>
    <xdr:to>
      <xdr:col>8</xdr:col>
      <xdr:colOff>1057910</xdr:colOff>
      <xdr:row>3</xdr:row>
      <xdr:rowOff>160655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3575" y="57150"/>
          <a:ext cx="467360" cy="5892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0</xdr:row>
      <xdr:rowOff>38100</xdr:rowOff>
    </xdr:from>
    <xdr:to>
      <xdr:col>4</xdr:col>
      <xdr:colOff>638810</xdr:colOff>
      <xdr:row>3</xdr:row>
      <xdr:rowOff>141605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38100"/>
          <a:ext cx="467360" cy="5892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971550</xdr:colOff>
      <xdr:row>0</xdr:row>
      <xdr:rowOff>57150</xdr:rowOff>
    </xdr:from>
    <xdr:to>
      <xdr:col>3</xdr:col>
      <xdr:colOff>1438910</xdr:colOff>
      <xdr:row>3</xdr:row>
      <xdr:rowOff>160655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57150"/>
          <a:ext cx="467360" cy="5892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971550</xdr:colOff>
      <xdr:row>0</xdr:row>
      <xdr:rowOff>57150</xdr:rowOff>
    </xdr:from>
    <xdr:to>
      <xdr:col>3</xdr:col>
      <xdr:colOff>1438910</xdr:colOff>
      <xdr:row>3</xdr:row>
      <xdr:rowOff>160655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57150"/>
          <a:ext cx="467360" cy="58928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971550</xdr:colOff>
      <xdr:row>0</xdr:row>
      <xdr:rowOff>57150</xdr:rowOff>
    </xdr:from>
    <xdr:to>
      <xdr:col>3</xdr:col>
      <xdr:colOff>1438910</xdr:colOff>
      <xdr:row>3</xdr:row>
      <xdr:rowOff>160655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57150"/>
          <a:ext cx="467360" cy="58928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971550</xdr:colOff>
      <xdr:row>0</xdr:row>
      <xdr:rowOff>57150</xdr:rowOff>
    </xdr:from>
    <xdr:to>
      <xdr:col>3</xdr:col>
      <xdr:colOff>1438910</xdr:colOff>
      <xdr:row>3</xdr:row>
      <xdr:rowOff>160655</xdr:rowOff>
    </xdr:to>
    <xdr:pic>
      <xdr:nvPicPr>
        <xdr:cNvPr id="2" name="Grafik 1" descr="sg_wappen_1c_13mm(600dpi)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57150"/>
          <a:ext cx="467360" cy="5892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emperle Mario DI-AfGB-Sup" id="{ED9D6B4A-C297-4349-AB68-8CD60BEFE21D}" userId="S::mario.gemperle@sg.ch::61570fa3-e8a8-4cda-bb59-73faff612d7d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3" dT="2025-02-26T13:40:59.35" personId="{ED9D6B4A-C297-4349-AB68-8CD60BEFE21D}" id="{B63A9343-7FE1-4F8A-9420-A7BED8DAC1F3}">
    <text>Per 15. März 2025 wurden lediglich Fr. 97‘300 ausbezahlt, da erst das Ergebnis der Volksabstimmung abgewartet werden musste. Der restliche Betrag von Fr. 49‘800 wurde per 15. Juni 2025 ausbezahlt.</text>
  </threadedComment>
  <threadedComment ref="H24" dT="2025-02-26T13:40:47.82" personId="{ED9D6B4A-C297-4349-AB68-8CD60BEFE21D}" id="{69EAF8C2-5A83-493F-99C9-FD0793A6C1DD}">
    <text xml:space="preserve">Betrag wurde per 15. Juni 2025 ausbezahlt, da das Ergebnis der Volksabstimmung abgewartet werden musste. </text>
  </threadedComment>
  <threadedComment ref="H56" dT="2025-02-26T13:40:00.82" personId="{ED9D6B4A-C297-4349-AB68-8CD60BEFE21D}" id="{D40EF895-7219-4188-8835-B596E4B6E020}">
    <text xml:space="preserve">Betrag wurde per 15. Juni 2025 ausbezahlt, da das Ergebnis der Volksabstimmung abgewartet werden musste. </text>
  </threadedComment>
  <threadedComment ref="H79" dT="2025-02-26T13:25:33.61" personId="{ED9D6B4A-C297-4349-AB68-8CD60BEFE21D}" id="{CAD5602E-2AEF-4171-B776-7FD6027D6C7E}">
    <text xml:space="preserve">Betrag wurde per 15. Juni 2025 ausbezahlt, da das Ergebnis der Volksabstimmung abgewartet werden musste. </text>
  </threadedComment>
  <threadedComment ref="X79" dT="2025-08-25T09:00:43.43" personId="{ED9D6B4A-C297-4349-AB68-8CD60BEFE21D}" id="{28F9F0C6-FDBD-4F41-935C-8890DB6B4E7A}">
    <text>Dritte Rate wird nach telefonischer Rücksprache mit der FV Gossau nicht ausbezahlt, da die Stadt Gossau aufgrund einer Korrektur der Basiszahlen für das Jahr 2025 keine Finanzausgleichsbeiträge erhält.
Raten 1 und 2 über Fr. 29‘800 wurden mit Rechnung vom 26.08.2025 zurückgefordert!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H20"/>
  <sheetViews>
    <sheetView workbookViewId="0">
      <selection activeCell="D15" sqref="D15"/>
    </sheetView>
  </sheetViews>
  <sheetFormatPr baseColWidth="10" defaultRowHeight="12.75" x14ac:dyDescent="0.2"/>
  <sheetData>
    <row r="1" spans="1:8" x14ac:dyDescent="0.2">
      <c r="A1" s="19" t="s">
        <v>193</v>
      </c>
    </row>
    <row r="2" spans="1:8" x14ac:dyDescent="0.2">
      <c r="A2" t="s">
        <v>194</v>
      </c>
    </row>
    <row r="5" spans="1:8" ht="26.25" x14ac:dyDescent="0.2">
      <c r="A5" s="65" t="s">
        <v>381</v>
      </c>
      <c r="B5" s="57"/>
      <c r="C5" s="56"/>
      <c r="D5" s="55"/>
    </row>
    <row r="7" spans="1:8" ht="15" x14ac:dyDescent="0.2">
      <c r="A7" s="40" t="s">
        <v>384</v>
      </c>
    </row>
    <row r="9" spans="1:8" x14ac:dyDescent="0.2">
      <c r="A9" s="193" t="s">
        <v>230</v>
      </c>
      <c r="B9" s="194"/>
      <c r="C9" s="194"/>
      <c r="D9" s="194"/>
      <c r="E9" s="194"/>
      <c r="F9" s="194"/>
      <c r="G9" s="194"/>
      <c r="H9" s="194"/>
    </row>
    <row r="10" spans="1:8" x14ac:dyDescent="0.2">
      <c r="A10" s="194"/>
      <c r="B10" s="194"/>
      <c r="C10" s="194"/>
      <c r="D10" s="194"/>
      <c r="E10" s="194"/>
      <c r="F10" s="194"/>
      <c r="G10" s="194"/>
      <c r="H10" s="194"/>
    </row>
    <row r="11" spans="1:8" x14ac:dyDescent="0.2">
      <c r="A11" s="195"/>
      <c r="B11" s="195"/>
      <c r="C11" s="195"/>
      <c r="D11" s="195"/>
      <c r="E11" s="195"/>
      <c r="F11" s="195"/>
      <c r="G11" s="195"/>
      <c r="H11" s="195"/>
    </row>
    <row r="13" spans="1:8" x14ac:dyDescent="0.2">
      <c r="A13" s="196" t="s">
        <v>231</v>
      </c>
      <c r="B13" s="197"/>
      <c r="C13" s="197"/>
      <c r="D13" s="197"/>
      <c r="E13" s="197"/>
      <c r="F13" s="197"/>
      <c r="G13" s="197"/>
      <c r="H13" s="197"/>
    </row>
    <row r="14" spans="1:8" x14ac:dyDescent="0.2">
      <c r="A14" s="197"/>
      <c r="B14" s="197"/>
      <c r="C14" s="197"/>
      <c r="D14" s="197"/>
      <c r="E14" s="197"/>
      <c r="F14" s="197"/>
      <c r="G14" s="197"/>
      <c r="H14" s="197"/>
    </row>
    <row r="15" spans="1:8" x14ac:dyDescent="0.2">
      <c r="A15" s="197"/>
      <c r="B15" s="197"/>
      <c r="C15" s="197"/>
      <c r="D15" s="197"/>
      <c r="E15" s="197"/>
      <c r="F15" s="197"/>
      <c r="G15" s="197"/>
      <c r="H15" s="197"/>
    </row>
    <row r="17" spans="1:8" x14ac:dyDescent="0.2">
      <c r="A17" s="198" t="s">
        <v>232</v>
      </c>
      <c r="B17" s="198"/>
      <c r="C17" s="198"/>
      <c r="D17" s="198"/>
      <c r="E17" s="198"/>
      <c r="F17" s="198"/>
      <c r="G17" s="198"/>
      <c r="H17" s="198"/>
    </row>
    <row r="18" spans="1:8" x14ac:dyDescent="0.2">
      <c r="A18" s="198"/>
      <c r="B18" s="198"/>
      <c r="C18" s="198"/>
      <c r="D18" s="198"/>
      <c r="E18" s="198"/>
      <c r="F18" s="198"/>
      <c r="G18" s="198"/>
      <c r="H18" s="198"/>
    </row>
    <row r="19" spans="1:8" x14ac:dyDescent="0.2">
      <c r="A19" s="198"/>
      <c r="B19" s="198"/>
      <c r="C19" s="198"/>
      <c r="D19" s="198"/>
      <c r="E19" s="198"/>
      <c r="F19" s="198"/>
      <c r="G19" s="198"/>
      <c r="H19" s="198"/>
    </row>
    <row r="20" spans="1:8" x14ac:dyDescent="0.2">
      <c r="A20" s="199"/>
      <c r="B20" s="199"/>
      <c r="C20" s="199"/>
      <c r="D20" s="199"/>
      <c r="E20" s="199"/>
      <c r="F20" s="199"/>
      <c r="G20" s="199"/>
      <c r="H20" s="199"/>
    </row>
  </sheetData>
  <mergeCells count="3">
    <mergeCell ref="A9:H11"/>
    <mergeCell ref="A13:H15"/>
    <mergeCell ref="A17:H20"/>
  </mergeCells>
  <pageMargins left="0.51181102362204722" right="0.51181102362204722" top="0.39370078740157483" bottom="0.3937007874015748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B172"/>
  <sheetViews>
    <sheetView zoomScaleNormal="100" workbookViewId="0">
      <pane xSplit="3" ySplit="9" topLeftCell="AB10" activePane="bottomRight" state="frozen"/>
      <selection activeCell="D15" sqref="D15"/>
      <selection pane="topRight" activeCell="D15" sqref="D15"/>
      <selection pane="bottomLeft" activeCell="D15" sqref="D15"/>
      <selection pane="bottomRight" activeCell="D15" sqref="D15"/>
    </sheetView>
  </sheetViews>
  <sheetFormatPr baseColWidth="10" defaultRowHeight="12.75" x14ac:dyDescent="0.2"/>
  <cols>
    <col min="1" max="1" width="5.140625" customWidth="1"/>
    <col min="2" max="2" width="42.28515625" customWidth="1"/>
    <col min="3" max="78" width="21" customWidth="1"/>
    <col min="79" max="79" width="2.140625" customWidth="1"/>
    <col min="80" max="80" width="20.7109375" bestFit="1" customWidth="1"/>
  </cols>
  <sheetData>
    <row r="1" spans="1:80" x14ac:dyDescent="0.2">
      <c r="A1" s="19" t="s">
        <v>193</v>
      </c>
    </row>
    <row r="2" spans="1:80" x14ac:dyDescent="0.2">
      <c r="A2" t="s">
        <v>194</v>
      </c>
    </row>
    <row r="5" spans="1:80" ht="26.25" x14ac:dyDescent="0.4">
      <c r="A5" s="16" t="s">
        <v>368</v>
      </c>
    </row>
    <row r="6" spans="1:80" x14ac:dyDescent="0.2"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</row>
    <row r="7" spans="1:80" x14ac:dyDescent="0.2">
      <c r="B7" s="18" t="s">
        <v>105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</row>
    <row r="8" spans="1:80" s="19" customFormat="1" x14ac:dyDescent="0.2">
      <c r="C8" s="19" t="s">
        <v>79</v>
      </c>
      <c r="D8" s="19" t="s">
        <v>5</v>
      </c>
      <c r="E8" s="19" t="s">
        <v>6</v>
      </c>
      <c r="F8" s="19" t="s">
        <v>7</v>
      </c>
      <c r="G8" s="19" t="s">
        <v>8</v>
      </c>
      <c r="H8" s="19" t="s">
        <v>9</v>
      </c>
      <c r="I8" s="19" t="s">
        <v>10</v>
      </c>
      <c r="J8" s="19" t="s">
        <v>11</v>
      </c>
      <c r="K8" s="19" t="s">
        <v>12</v>
      </c>
      <c r="L8" s="19" t="s">
        <v>13</v>
      </c>
      <c r="M8" s="19" t="s">
        <v>14</v>
      </c>
      <c r="N8" s="19" t="s">
        <v>15</v>
      </c>
      <c r="O8" s="19" t="s">
        <v>16</v>
      </c>
      <c r="P8" s="19" t="s">
        <v>17</v>
      </c>
      <c r="Q8" s="19" t="s">
        <v>18</v>
      </c>
      <c r="R8" s="19" t="s">
        <v>19</v>
      </c>
      <c r="S8" s="19" t="s">
        <v>20</v>
      </c>
      <c r="T8" s="19" t="s">
        <v>21</v>
      </c>
      <c r="U8" s="19" t="s">
        <v>22</v>
      </c>
      <c r="V8" s="19" t="s">
        <v>23</v>
      </c>
      <c r="W8" s="19" t="s">
        <v>24</v>
      </c>
      <c r="X8" s="19" t="s">
        <v>25</v>
      </c>
      <c r="Y8" s="19" t="s">
        <v>26</v>
      </c>
      <c r="Z8" s="19" t="s">
        <v>27</v>
      </c>
      <c r="AA8" s="19" t="s">
        <v>28</v>
      </c>
      <c r="AB8" s="19" t="s">
        <v>29</v>
      </c>
      <c r="AC8" s="19" t="s">
        <v>30</v>
      </c>
      <c r="AD8" s="19" t="s">
        <v>31</v>
      </c>
      <c r="AE8" s="19" t="s">
        <v>32</v>
      </c>
      <c r="AF8" s="19" t="s">
        <v>33</v>
      </c>
      <c r="AG8" s="19" t="s">
        <v>34</v>
      </c>
      <c r="AH8" s="19" t="s">
        <v>35</v>
      </c>
      <c r="AI8" s="19" t="s">
        <v>36</v>
      </c>
      <c r="AJ8" s="19" t="s">
        <v>37</v>
      </c>
      <c r="AK8" s="19" t="s">
        <v>38</v>
      </c>
      <c r="AL8" s="19" t="s">
        <v>39</v>
      </c>
      <c r="AM8" s="19" t="s">
        <v>40</v>
      </c>
      <c r="AN8" s="19" t="s">
        <v>41</v>
      </c>
      <c r="AO8" s="19" t="s">
        <v>42</v>
      </c>
      <c r="AP8" s="19" t="s">
        <v>43</v>
      </c>
      <c r="AQ8" s="19" t="s">
        <v>44</v>
      </c>
      <c r="AR8" s="19" t="s">
        <v>45</v>
      </c>
      <c r="AS8" s="19" t="s">
        <v>46</v>
      </c>
      <c r="AT8" s="19" t="s">
        <v>47</v>
      </c>
      <c r="AU8" s="19" t="s">
        <v>48</v>
      </c>
      <c r="AV8" s="19" t="s">
        <v>49</v>
      </c>
      <c r="AW8" s="19" t="s">
        <v>50</v>
      </c>
      <c r="AX8" s="19" t="s">
        <v>51</v>
      </c>
      <c r="AY8" s="19" t="s">
        <v>52</v>
      </c>
      <c r="AZ8" s="19" t="s">
        <v>53</v>
      </c>
      <c r="BA8" s="19" t="s">
        <v>54</v>
      </c>
      <c r="BB8" s="19" t="s">
        <v>55</v>
      </c>
      <c r="BC8" s="19" t="s">
        <v>56</v>
      </c>
      <c r="BD8" s="19" t="s">
        <v>57</v>
      </c>
      <c r="BE8" s="19" t="s">
        <v>58</v>
      </c>
      <c r="BF8" s="19" t="s">
        <v>59</v>
      </c>
      <c r="BG8" s="19" t="s">
        <v>60</v>
      </c>
      <c r="BH8" s="19" t="s">
        <v>356</v>
      </c>
      <c r="BI8" s="19" t="s">
        <v>61</v>
      </c>
      <c r="BJ8" s="19" t="s">
        <v>62</v>
      </c>
      <c r="BK8" s="19" t="s">
        <v>63</v>
      </c>
      <c r="BL8" s="19" t="s">
        <v>64</v>
      </c>
      <c r="BM8" s="19" t="s">
        <v>65</v>
      </c>
      <c r="BN8" s="19" t="s">
        <v>66</v>
      </c>
      <c r="BO8" s="19" t="s">
        <v>67</v>
      </c>
      <c r="BP8" s="19" t="s">
        <v>68</v>
      </c>
      <c r="BQ8" s="19" t="s">
        <v>69</v>
      </c>
      <c r="BR8" s="19" t="s">
        <v>70</v>
      </c>
      <c r="BS8" s="19" t="s">
        <v>71</v>
      </c>
      <c r="BT8" s="19" t="s">
        <v>72</v>
      </c>
      <c r="BU8" s="19" t="s">
        <v>73</v>
      </c>
      <c r="BV8" s="19" t="s">
        <v>74</v>
      </c>
      <c r="BW8" s="19" t="s">
        <v>75</v>
      </c>
      <c r="BX8" s="19" t="s">
        <v>76</v>
      </c>
      <c r="BY8" s="19" t="s">
        <v>77</v>
      </c>
      <c r="BZ8" s="19" t="s">
        <v>78</v>
      </c>
      <c r="CB8" s="19" t="s">
        <v>106</v>
      </c>
    </row>
    <row r="10" spans="1:80" s="40" customFormat="1" ht="15.75" x14ac:dyDescent="0.25">
      <c r="A10" s="20" t="s">
        <v>97</v>
      </c>
      <c r="B10" s="21" t="s">
        <v>370</v>
      </c>
      <c r="C10" s="2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</row>
    <row r="11" spans="1:80" x14ac:dyDescent="0.2">
      <c r="B11" s="22"/>
      <c r="C11" s="22"/>
    </row>
    <row r="12" spans="1:80" s="19" customFormat="1" x14ac:dyDescent="0.2">
      <c r="A12" s="23" t="s">
        <v>147</v>
      </c>
      <c r="B12" s="24" t="s">
        <v>4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</row>
    <row r="13" spans="1:80" x14ac:dyDescent="0.2">
      <c r="B13" s="26" t="s">
        <v>88</v>
      </c>
      <c r="C13" s="27">
        <f>C19/C17</f>
        <v>1.1127139716808052</v>
      </c>
      <c r="D13" s="8">
        <v>1.41</v>
      </c>
      <c r="E13" s="8">
        <v>1.28</v>
      </c>
      <c r="F13" s="8">
        <v>1.1499999999999999</v>
      </c>
      <c r="G13" s="8">
        <v>1.23</v>
      </c>
      <c r="H13" s="8">
        <v>0.7</v>
      </c>
      <c r="I13" s="8">
        <v>0.91</v>
      </c>
      <c r="J13" s="8">
        <v>1.1499999999999999</v>
      </c>
      <c r="K13" s="8">
        <v>1.26</v>
      </c>
      <c r="L13" s="8">
        <v>0.79</v>
      </c>
      <c r="M13" s="8">
        <v>1.19</v>
      </c>
      <c r="N13" s="8">
        <v>1.2</v>
      </c>
      <c r="O13" s="8">
        <v>0.93</v>
      </c>
      <c r="P13" s="8">
        <v>1.29</v>
      </c>
      <c r="Q13" s="8">
        <v>0.89</v>
      </c>
      <c r="R13" s="8">
        <v>1.1299999999999999</v>
      </c>
      <c r="S13" s="8">
        <v>1.02</v>
      </c>
      <c r="T13" s="8">
        <v>0.89</v>
      </c>
      <c r="U13" s="8">
        <v>0.95</v>
      </c>
      <c r="V13" s="8">
        <v>0.61</v>
      </c>
      <c r="W13" s="8">
        <v>0.81</v>
      </c>
      <c r="X13" s="8">
        <v>0.76</v>
      </c>
      <c r="Y13" s="8">
        <v>1.01</v>
      </c>
      <c r="Z13" s="8">
        <v>1.07</v>
      </c>
      <c r="AA13" s="8">
        <v>1.19</v>
      </c>
      <c r="AB13" s="8">
        <v>1.04</v>
      </c>
      <c r="AC13" s="8">
        <v>0.99</v>
      </c>
      <c r="AD13" s="8">
        <v>1.1499999999999999</v>
      </c>
      <c r="AE13" s="8">
        <v>0.75</v>
      </c>
      <c r="AF13" s="8">
        <v>1.18</v>
      </c>
      <c r="AG13" s="8">
        <v>1</v>
      </c>
      <c r="AH13" s="8">
        <v>1.18</v>
      </c>
      <c r="AI13" s="8">
        <v>1.1000000000000001</v>
      </c>
      <c r="AJ13" s="8">
        <v>1.5</v>
      </c>
      <c r="AK13" s="8">
        <v>1.34</v>
      </c>
      <c r="AL13" s="8">
        <v>1.25</v>
      </c>
      <c r="AM13" s="8">
        <v>0.92</v>
      </c>
      <c r="AN13" s="8">
        <v>1.39</v>
      </c>
      <c r="AO13" s="8">
        <v>1.33</v>
      </c>
      <c r="AP13" s="8">
        <v>1.25</v>
      </c>
      <c r="AQ13" s="8">
        <v>1.1499999999999999</v>
      </c>
      <c r="AR13" s="8">
        <v>1.07</v>
      </c>
      <c r="AS13" s="8">
        <v>1.1200000000000001</v>
      </c>
      <c r="AT13" s="8">
        <v>1.1499999999999999</v>
      </c>
      <c r="AU13" s="8">
        <v>1.25</v>
      </c>
      <c r="AV13" s="8">
        <v>1.19</v>
      </c>
      <c r="AW13" s="8">
        <v>1.06</v>
      </c>
      <c r="AX13" s="8">
        <v>1.08</v>
      </c>
      <c r="AY13" s="8">
        <v>1.1200000000000001</v>
      </c>
      <c r="AZ13" s="8">
        <v>1.1299999999999999</v>
      </c>
      <c r="BA13" s="8">
        <v>0.74</v>
      </c>
      <c r="BB13" s="8">
        <v>1.19</v>
      </c>
      <c r="BC13" s="8">
        <v>1.23</v>
      </c>
      <c r="BD13" s="8">
        <v>1.19</v>
      </c>
      <c r="BE13" s="8">
        <v>1.39</v>
      </c>
      <c r="BF13" s="8">
        <v>1.32</v>
      </c>
      <c r="BG13" s="8">
        <v>1.29</v>
      </c>
      <c r="BH13" s="8">
        <v>1.2</v>
      </c>
      <c r="BI13" s="8">
        <v>1.19</v>
      </c>
      <c r="BJ13" s="8">
        <v>1.1499999999999999</v>
      </c>
      <c r="BK13" s="8">
        <v>1.29</v>
      </c>
      <c r="BL13" s="8">
        <v>1.2</v>
      </c>
      <c r="BM13" s="8">
        <v>1.17</v>
      </c>
      <c r="BN13" s="8">
        <v>1.17</v>
      </c>
      <c r="BO13" s="8">
        <v>1.27</v>
      </c>
      <c r="BP13" s="8">
        <v>1.27</v>
      </c>
      <c r="BQ13" s="8">
        <v>1.47</v>
      </c>
      <c r="BR13" s="8">
        <v>1.18</v>
      </c>
      <c r="BS13" s="8">
        <v>0.77</v>
      </c>
      <c r="BT13" s="8">
        <v>1</v>
      </c>
      <c r="BU13" s="8">
        <v>1.26</v>
      </c>
      <c r="BV13" s="8">
        <v>1.04</v>
      </c>
      <c r="BW13" s="8">
        <v>1.1599999999999999</v>
      </c>
      <c r="BX13" s="8">
        <v>1.1299999999999999</v>
      </c>
      <c r="BY13" s="8">
        <v>1.22</v>
      </c>
      <c r="BZ13" s="8">
        <v>1.03</v>
      </c>
      <c r="CB13" t="s">
        <v>107</v>
      </c>
    </row>
    <row r="14" spans="1:80" s="19" customFormat="1" x14ac:dyDescent="0.2">
      <c r="A14"/>
      <c r="B14" s="28"/>
    </row>
    <row r="15" spans="1:80" x14ac:dyDescent="0.2">
      <c r="B15" t="s">
        <v>94</v>
      </c>
      <c r="C15" s="3">
        <f>SUM(D15:BZ15)</f>
        <v>1267089014.29</v>
      </c>
      <c r="D15" s="10">
        <v>187816598.85999998</v>
      </c>
      <c r="E15" s="10">
        <v>19800000.689999998</v>
      </c>
      <c r="F15" s="10">
        <v>3126213.05</v>
      </c>
      <c r="G15" s="10">
        <v>2605174.83</v>
      </c>
      <c r="H15" s="10">
        <v>16744495.189999999</v>
      </c>
      <c r="I15" s="10">
        <v>24193018.969999999</v>
      </c>
      <c r="J15" s="10">
        <v>8384764.4100000001</v>
      </c>
      <c r="K15" s="10">
        <v>3327004.44</v>
      </c>
      <c r="L15" s="10">
        <v>4561605.8400000008</v>
      </c>
      <c r="M15" s="10">
        <v>2609380.8200000003</v>
      </c>
      <c r="N15" s="10">
        <v>6425305.4199999999</v>
      </c>
      <c r="O15" s="10">
        <v>20342880.52</v>
      </c>
      <c r="P15" s="10">
        <v>16012558.41</v>
      </c>
      <c r="Q15" s="10">
        <v>18465006.470000003</v>
      </c>
      <c r="R15" s="10">
        <v>6306940.7199999997</v>
      </c>
      <c r="S15" s="10">
        <v>10248393.92</v>
      </c>
      <c r="T15" s="10">
        <v>20051683.18</v>
      </c>
      <c r="U15" s="10">
        <v>11390924.079999998</v>
      </c>
      <c r="V15" s="10">
        <v>18393452.240000002</v>
      </c>
      <c r="W15" s="10">
        <v>16185528.34</v>
      </c>
      <c r="X15" s="10">
        <v>24895132.329999998</v>
      </c>
      <c r="Y15" s="10">
        <v>10961178.619999999</v>
      </c>
      <c r="Z15" s="10">
        <v>5096520.3</v>
      </c>
      <c r="AA15" s="10">
        <v>27029608.539999999</v>
      </c>
      <c r="AB15" s="10">
        <v>3271931.26</v>
      </c>
      <c r="AC15" s="10">
        <v>19802616.909999996</v>
      </c>
      <c r="AD15" s="10">
        <v>4950818.76</v>
      </c>
      <c r="AE15" s="10">
        <v>14017525.109999999</v>
      </c>
      <c r="AF15" s="10">
        <v>7586630.2399999993</v>
      </c>
      <c r="AG15" s="10">
        <v>16004290.950000001</v>
      </c>
      <c r="AH15" s="10">
        <v>31352464.43</v>
      </c>
      <c r="AI15" s="10">
        <v>10808519.800000001</v>
      </c>
      <c r="AJ15" s="10">
        <v>9876472.9000000004</v>
      </c>
      <c r="AK15" s="10">
        <v>13758485.890000001</v>
      </c>
      <c r="AL15" s="10">
        <v>10393897.09</v>
      </c>
      <c r="AM15" s="10">
        <v>17547839.289999999</v>
      </c>
      <c r="AN15" s="10">
        <v>2756717.04</v>
      </c>
      <c r="AO15" s="10">
        <v>19190242.700000003</v>
      </c>
      <c r="AP15" s="10">
        <v>9892271.8899999987</v>
      </c>
      <c r="AQ15" s="10">
        <v>13391132.810000001</v>
      </c>
      <c r="AR15" s="10">
        <v>7140130.5599999996</v>
      </c>
      <c r="AS15" s="10">
        <v>5763960.1900000004</v>
      </c>
      <c r="AT15" s="10">
        <v>5462877.4900000002</v>
      </c>
      <c r="AU15" s="10">
        <v>7406962.8300000001</v>
      </c>
      <c r="AV15" s="10">
        <v>5964295.7600000007</v>
      </c>
      <c r="AW15" s="10">
        <v>10976752.119999999</v>
      </c>
      <c r="AX15" s="10">
        <v>15742682.990000002</v>
      </c>
      <c r="AY15" s="10">
        <v>14803213.969999999</v>
      </c>
      <c r="AZ15" s="10">
        <v>11293157.23</v>
      </c>
      <c r="BA15" s="10">
        <v>113559654.36</v>
      </c>
      <c r="BB15" s="10">
        <v>23481191.59</v>
      </c>
      <c r="BC15" s="10">
        <v>5988472.3799999999</v>
      </c>
      <c r="BD15" s="10">
        <v>7296659.2000000002</v>
      </c>
      <c r="BE15" s="10">
        <v>8768260.8099999987</v>
      </c>
      <c r="BF15" s="10">
        <v>16387597.389999999</v>
      </c>
      <c r="BG15" s="10">
        <v>4352459.96</v>
      </c>
      <c r="BH15" s="10">
        <v>10787747.24</v>
      </c>
      <c r="BI15" s="10">
        <v>9756532.2199999988</v>
      </c>
      <c r="BJ15" s="10">
        <v>2948677.78</v>
      </c>
      <c r="BK15" s="10">
        <v>5148594.8400000008</v>
      </c>
      <c r="BL15" s="10">
        <v>18629147.969999999</v>
      </c>
      <c r="BM15" s="10">
        <v>8856549.0199999996</v>
      </c>
      <c r="BN15" s="10">
        <v>14911779.65</v>
      </c>
      <c r="BO15" s="10">
        <v>28559272.439999998</v>
      </c>
      <c r="BP15" s="10">
        <v>20549757.260000002</v>
      </c>
      <c r="BQ15" s="10">
        <v>6572747.2600000007</v>
      </c>
      <c r="BR15" s="10">
        <v>65759634.829999998</v>
      </c>
      <c r="BS15" s="10">
        <v>17929961.77</v>
      </c>
      <c r="BT15" s="10">
        <v>11158374.99</v>
      </c>
      <c r="BU15" s="10">
        <v>3591048.9499999997</v>
      </c>
      <c r="BV15" s="10">
        <v>7211398.1800000006</v>
      </c>
      <c r="BW15" s="10">
        <v>41718110.850000001</v>
      </c>
      <c r="BX15" s="10">
        <v>5771635.9899999993</v>
      </c>
      <c r="BY15" s="10">
        <v>7534001.0299999993</v>
      </c>
      <c r="BZ15" s="10">
        <v>25730485.93</v>
      </c>
      <c r="CB15" t="s">
        <v>107</v>
      </c>
    </row>
    <row r="16" spans="1:80" x14ac:dyDescent="0.2">
      <c r="B16" t="s">
        <v>86</v>
      </c>
      <c r="C16" s="3">
        <f>SUM(D16:BZ16)</f>
        <v>3942852.1285924776</v>
      </c>
      <c r="D16" s="7">
        <v>318598.6733932161</v>
      </c>
      <c r="E16" s="7">
        <v>140790.53647656692</v>
      </c>
      <c r="F16" s="7">
        <v>-1770.1010540184452</v>
      </c>
      <c r="G16" s="7">
        <v>18856.696837944663</v>
      </c>
      <c r="H16" s="7">
        <v>1867.4826651609264</v>
      </c>
      <c r="I16" s="7">
        <v>138776.9016563147</v>
      </c>
      <c r="J16" s="7">
        <v>17573.545849802376</v>
      </c>
      <c r="K16" s="7">
        <v>-2025.242443064182</v>
      </c>
      <c r="L16" s="7">
        <v>163.27148503670264</v>
      </c>
      <c r="M16" s="7">
        <v>431.53156408808536</v>
      </c>
      <c r="N16" s="7">
        <v>-4980.1646150950501</v>
      </c>
      <c r="O16" s="7">
        <v>53317.985055524179</v>
      </c>
      <c r="P16" s="7">
        <v>125665.70094108788</v>
      </c>
      <c r="Q16" s="7">
        <v>24735.072200263501</v>
      </c>
      <c r="R16" s="7">
        <v>19026.873512833467</v>
      </c>
      <c r="S16" s="7">
        <v>113909.41530208921</v>
      </c>
      <c r="T16" s="7">
        <v>143052.88159232071</v>
      </c>
      <c r="U16" s="7">
        <v>28924.601957462826</v>
      </c>
      <c r="V16" s="7">
        <v>36849.399021268597</v>
      </c>
      <c r="W16" s="7">
        <v>-20634.455994729913</v>
      </c>
      <c r="X16" s="7">
        <v>354026.16962168273</v>
      </c>
      <c r="Y16" s="7">
        <v>112129.21934876719</v>
      </c>
      <c r="Z16" s="7">
        <v>15553.522247317896</v>
      </c>
      <c r="AA16" s="7">
        <v>138859.94308201334</v>
      </c>
      <c r="AB16" s="7">
        <v>21235.846508563896</v>
      </c>
      <c r="AC16" s="7">
        <v>21487.377527811619</v>
      </c>
      <c r="AD16" s="7">
        <v>36530.544795783921</v>
      </c>
      <c r="AE16" s="7">
        <v>22861.569682110428</v>
      </c>
      <c r="AF16" s="7">
        <v>12050.883474496515</v>
      </c>
      <c r="AG16" s="7">
        <v>56217.181667607758</v>
      </c>
      <c r="AH16" s="7">
        <v>82844.694640752103</v>
      </c>
      <c r="AI16" s="7">
        <v>-18010.612384716747</v>
      </c>
      <c r="AJ16" s="7">
        <v>57498.276943346507</v>
      </c>
      <c r="AK16" s="7">
        <v>44219.182834556756</v>
      </c>
      <c r="AL16" s="7">
        <v>11818.521042725388</v>
      </c>
      <c r="AM16" s="7">
        <v>62484.553002070403</v>
      </c>
      <c r="AN16" s="7">
        <v>14326.346546207415</v>
      </c>
      <c r="AO16" s="7">
        <v>12044.241558441572</v>
      </c>
      <c r="AP16" s="7">
        <v>21525.989666854875</v>
      </c>
      <c r="AQ16" s="7">
        <v>-42704.047683437835</v>
      </c>
      <c r="AR16" s="7">
        <v>55030.791812535288</v>
      </c>
      <c r="AS16" s="7">
        <v>4293.1550724637691</v>
      </c>
      <c r="AT16" s="7">
        <v>29848.971088789167</v>
      </c>
      <c r="AU16" s="7">
        <v>-7111.9983625070599</v>
      </c>
      <c r="AV16" s="7">
        <v>44221.639186900051</v>
      </c>
      <c r="AW16" s="7">
        <v>25065.181761716551</v>
      </c>
      <c r="AX16" s="7">
        <v>53970.631526444573</v>
      </c>
      <c r="AY16" s="7">
        <v>66331.200395256921</v>
      </c>
      <c r="AZ16" s="7">
        <v>2468.6273291925463</v>
      </c>
      <c r="BA16" s="7">
        <v>269955.61770731176</v>
      </c>
      <c r="BB16" s="7">
        <v>26147.741426689245</v>
      </c>
      <c r="BC16" s="7">
        <v>46891.340880858275</v>
      </c>
      <c r="BD16" s="7">
        <v>10665.126726896287</v>
      </c>
      <c r="BE16" s="7">
        <v>36743.061998870697</v>
      </c>
      <c r="BF16" s="7">
        <v>198054.63024656498</v>
      </c>
      <c r="BG16" s="7">
        <v>8578.5273291925405</v>
      </c>
      <c r="BH16" s="7">
        <v>117743.61931112366</v>
      </c>
      <c r="BI16" s="7">
        <v>50548.780105401849</v>
      </c>
      <c r="BJ16" s="7">
        <v>-4337.9978166760775</v>
      </c>
      <c r="BK16" s="7">
        <v>-3134.126312817617</v>
      </c>
      <c r="BL16" s="7">
        <v>36582.52021159618</v>
      </c>
      <c r="BM16" s="7">
        <v>20123.29580274798</v>
      </c>
      <c r="BN16" s="7">
        <v>33063.790287972872</v>
      </c>
      <c r="BO16" s="7">
        <v>134062.69717673631</v>
      </c>
      <c r="BP16" s="7">
        <v>-4501.6559947299102</v>
      </c>
      <c r="BQ16" s="7">
        <v>26535.518031244115</v>
      </c>
      <c r="BR16" s="7">
        <v>352652.72767491848</v>
      </c>
      <c r="BS16" s="7">
        <v>11292.781084133258</v>
      </c>
      <c r="BT16" s="7">
        <v>-5290.3104460756658</v>
      </c>
      <c r="BU16" s="7">
        <v>-3070.0514022209677</v>
      </c>
      <c r="BV16" s="7">
        <v>3059.51268586486</v>
      </c>
      <c r="BW16" s="7">
        <v>8766.8555618294922</v>
      </c>
      <c r="BX16" s="7">
        <v>19928.85275738754</v>
      </c>
      <c r="BY16" s="7">
        <v>12235.963805759462</v>
      </c>
      <c r="BZ16" s="7">
        <v>75305.100414078654</v>
      </c>
      <c r="CB16" t="s">
        <v>107</v>
      </c>
    </row>
    <row r="17" spans="1:80" x14ac:dyDescent="0.2">
      <c r="B17" t="s">
        <v>95</v>
      </c>
      <c r="C17" s="3">
        <f>SUM(D17:BZ17)</f>
        <v>1263146162.1614077</v>
      </c>
      <c r="D17" s="3">
        <f>D15-D16</f>
        <v>187498000.18660676</v>
      </c>
      <c r="E17" s="3">
        <f t="shared" ref="E17:BN17" si="0">E15-E16</f>
        <v>19659210.15352343</v>
      </c>
      <c r="F17" s="3">
        <f t="shared" si="0"/>
        <v>3127983.1510540182</v>
      </c>
      <c r="G17" s="3">
        <f t="shared" si="0"/>
        <v>2586318.1331620556</v>
      </c>
      <c r="H17" s="3">
        <f t="shared" si="0"/>
        <v>16742627.707334839</v>
      </c>
      <c r="I17" s="3">
        <f t="shared" si="0"/>
        <v>24054242.068343684</v>
      </c>
      <c r="J17" s="3">
        <f t="shared" si="0"/>
        <v>8367190.8641501982</v>
      </c>
      <c r="K17" s="3">
        <f t="shared" si="0"/>
        <v>3329029.6824430642</v>
      </c>
      <c r="L17" s="3">
        <f t="shared" si="0"/>
        <v>4561442.5685149645</v>
      </c>
      <c r="M17" s="3">
        <f t="shared" si="0"/>
        <v>2608949.2884359122</v>
      </c>
      <c r="N17" s="3">
        <f t="shared" si="0"/>
        <v>6430285.5846150946</v>
      </c>
      <c r="O17" s="3">
        <f t="shared" si="0"/>
        <v>20289562.534944475</v>
      </c>
      <c r="P17" s="3">
        <f t="shared" si="0"/>
        <v>15886892.709058912</v>
      </c>
      <c r="Q17" s="3">
        <f t="shared" si="0"/>
        <v>18440271.397799738</v>
      </c>
      <c r="R17" s="3">
        <f t="shared" si="0"/>
        <v>6287913.8464871664</v>
      </c>
      <c r="S17" s="3">
        <f t="shared" si="0"/>
        <v>10134484.504697911</v>
      </c>
      <c r="T17" s="3">
        <f t="shared" si="0"/>
        <v>19908630.298407678</v>
      </c>
      <c r="U17" s="3">
        <f t="shared" si="0"/>
        <v>11361999.478042535</v>
      </c>
      <c r="V17" s="3">
        <f t="shared" si="0"/>
        <v>18356602.840978734</v>
      </c>
      <c r="W17" s="3">
        <f t="shared" si="0"/>
        <v>16206162.795994731</v>
      </c>
      <c r="X17" s="3">
        <f t="shared" si="0"/>
        <v>24541106.160378315</v>
      </c>
      <c r="Y17" s="3">
        <f t="shared" si="0"/>
        <v>10849049.400651231</v>
      </c>
      <c r="Z17" s="3">
        <f t="shared" si="0"/>
        <v>5080966.7777526816</v>
      </c>
      <c r="AA17" s="3">
        <f t="shared" si="0"/>
        <v>26890748.596917987</v>
      </c>
      <c r="AB17" s="3">
        <f t="shared" si="0"/>
        <v>3250695.4134914358</v>
      </c>
      <c r="AC17" s="3">
        <f t="shared" si="0"/>
        <v>19781129.532472186</v>
      </c>
      <c r="AD17" s="3">
        <f t="shared" si="0"/>
        <v>4914288.2152042156</v>
      </c>
      <c r="AE17" s="3">
        <f t="shared" si="0"/>
        <v>13994663.540317889</v>
      </c>
      <c r="AF17" s="3">
        <f t="shared" si="0"/>
        <v>7574579.3565255031</v>
      </c>
      <c r="AG17" s="3">
        <f t="shared" si="0"/>
        <v>15948073.768332394</v>
      </c>
      <c r="AH17" s="3">
        <f t="shared" si="0"/>
        <v>31269619.735359248</v>
      </c>
      <c r="AI17" s="3">
        <f t="shared" si="0"/>
        <v>10826530.412384717</v>
      </c>
      <c r="AJ17" s="3">
        <f t="shared" si="0"/>
        <v>9818974.6230566539</v>
      </c>
      <c r="AK17" s="3">
        <f t="shared" si="0"/>
        <v>13714266.707165444</v>
      </c>
      <c r="AL17" s="3">
        <f t="shared" si="0"/>
        <v>10382078.568957275</v>
      </c>
      <c r="AM17" s="3">
        <f t="shared" si="0"/>
        <v>17485354.736997928</v>
      </c>
      <c r="AN17" s="3">
        <f t="shared" si="0"/>
        <v>2742390.6934537925</v>
      </c>
      <c r="AO17" s="3">
        <f t="shared" si="0"/>
        <v>19178198.458441563</v>
      </c>
      <c r="AP17" s="3">
        <f t="shared" si="0"/>
        <v>9870745.9003331438</v>
      </c>
      <c r="AQ17" s="3">
        <f t="shared" si="0"/>
        <v>13433836.857683439</v>
      </c>
      <c r="AR17" s="3">
        <f t="shared" si="0"/>
        <v>7085099.7681874642</v>
      </c>
      <c r="AS17" s="3">
        <f t="shared" si="0"/>
        <v>5759667.0349275367</v>
      </c>
      <c r="AT17" s="3">
        <f t="shared" si="0"/>
        <v>5433028.5189112108</v>
      </c>
      <c r="AU17" s="3">
        <f t="shared" si="0"/>
        <v>7414074.8283625068</v>
      </c>
      <c r="AV17" s="3">
        <f t="shared" si="0"/>
        <v>5920074.1208131006</v>
      </c>
      <c r="AW17" s="3">
        <f t="shared" si="0"/>
        <v>10951686.938238282</v>
      </c>
      <c r="AX17" s="3">
        <f t="shared" si="0"/>
        <v>15688712.358473558</v>
      </c>
      <c r="AY17" s="3">
        <f t="shared" si="0"/>
        <v>14736882.769604743</v>
      </c>
      <c r="AZ17" s="3">
        <f t="shared" si="0"/>
        <v>11290688.602670807</v>
      </c>
      <c r="BA17" s="3">
        <f t="shared" si="0"/>
        <v>113289698.74229269</v>
      </c>
      <c r="BB17" s="3">
        <f t="shared" si="0"/>
        <v>23455043.848573312</v>
      </c>
      <c r="BC17" s="3">
        <f t="shared" si="0"/>
        <v>5941581.0391191412</v>
      </c>
      <c r="BD17" s="3">
        <f t="shared" si="0"/>
        <v>7285994.0732731037</v>
      </c>
      <c r="BE17" s="3">
        <f t="shared" si="0"/>
        <v>8731517.7480011284</v>
      </c>
      <c r="BF17" s="3">
        <f t="shared" si="0"/>
        <v>16189542.759753434</v>
      </c>
      <c r="BG17" s="3">
        <f t="shared" si="0"/>
        <v>4343881.4326708075</v>
      </c>
      <c r="BH17" s="3">
        <f t="shared" ref="BH17" si="1">BH15-BH16</f>
        <v>10670003.620688876</v>
      </c>
      <c r="BI17" s="3">
        <f t="shared" si="0"/>
        <v>9705983.4398945961</v>
      </c>
      <c r="BJ17" s="3">
        <f t="shared" si="0"/>
        <v>2953015.7778166761</v>
      </c>
      <c r="BK17" s="3">
        <f t="shared" si="0"/>
        <v>5151728.9663128182</v>
      </c>
      <c r="BL17" s="3">
        <f t="shared" si="0"/>
        <v>18592565.449788403</v>
      </c>
      <c r="BM17" s="3">
        <f t="shared" si="0"/>
        <v>8836425.7241972517</v>
      </c>
      <c r="BN17" s="3">
        <f t="shared" si="0"/>
        <v>14878715.859712027</v>
      </c>
      <c r="BO17" s="3">
        <f t="shared" ref="BO17:BZ17" si="2">BO15-BO16</f>
        <v>28425209.742823262</v>
      </c>
      <c r="BP17" s="3">
        <f t="shared" si="2"/>
        <v>20554258.91599473</v>
      </c>
      <c r="BQ17" s="3">
        <f t="shared" si="2"/>
        <v>6546211.7419687565</v>
      </c>
      <c r="BR17" s="3">
        <f t="shared" si="2"/>
        <v>65406982.102325082</v>
      </c>
      <c r="BS17" s="3">
        <f t="shared" si="2"/>
        <v>17918668.988915868</v>
      </c>
      <c r="BT17" s="3">
        <f t="shared" si="2"/>
        <v>11163665.300446076</v>
      </c>
      <c r="BU17" s="3">
        <f t="shared" si="2"/>
        <v>3594119.0014022207</v>
      </c>
      <c r="BV17" s="3">
        <f t="shared" si="2"/>
        <v>7208338.6673141355</v>
      </c>
      <c r="BW17" s="3">
        <f t="shared" si="2"/>
        <v>41709343.994438171</v>
      </c>
      <c r="BX17" s="3">
        <f t="shared" si="2"/>
        <v>5751707.1372426115</v>
      </c>
      <c r="BY17" s="3">
        <f t="shared" si="2"/>
        <v>7521765.06619424</v>
      </c>
      <c r="BZ17" s="3">
        <f t="shared" si="2"/>
        <v>25655180.829585921</v>
      </c>
    </row>
    <row r="18" spans="1:80" x14ac:dyDescent="0.2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 spans="1:80" x14ac:dyDescent="0.2">
      <c r="B19" t="s">
        <v>96</v>
      </c>
      <c r="C19" s="3">
        <f>SUM(D19:BZ19)</f>
        <v>1405520382.9119864</v>
      </c>
      <c r="D19" s="3">
        <f>D17*D13</f>
        <v>264372180.26311553</v>
      </c>
      <c r="E19" s="3">
        <f t="shared" ref="E19:AI19" si="3">E17*E13</f>
        <v>25163788.996509992</v>
      </c>
      <c r="F19" s="3">
        <f t="shared" si="3"/>
        <v>3597180.6237121206</v>
      </c>
      <c r="G19" s="3">
        <f t="shared" si="3"/>
        <v>3181171.3037893283</v>
      </c>
      <c r="H19" s="3">
        <f t="shared" si="3"/>
        <v>11719839.395134386</v>
      </c>
      <c r="I19" s="3">
        <f t="shared" si="3"/>
        <v>21889360.282192752</v>
      </c>
      <c r="J19" s="3">
        <f t="shared" si="3"/>
        <v>9622269.4937727265</v>
      </c>
      <c r="K19" s="3">
        <f t="shared" si="3"/>
        <v>4194577.3998782607</v>
      </c>
      <c r="L19" s="3">
        <f t="shared" si="3"/>
        <v>3603539.6291268221</v>
      </c>
      <c r="M19" s="3">
        <f t="shared" si="3"/>
        <v>3104649.6532387356</v>
      </c>
      <c r="N19" s="3">
        <f t="shared" si="3"/>
        <v>7716342.7015381129</v>
      </c>
      <c r="O19" s="3">
        <f t="shared" si="3"/>
        <v>18869293.157498363</v>
      </c>
      <c r="P19" s="3">
        <f t="shared" si="3"/>
        <v>20494091.594685998</v>
      </c>
      <c r="Q19" s="3">
        <f t="shared" si="3"/>
        <v>16411841.544041768</v>
      </c>
      <c r="R19" s="3">
        <f t="shared" si="3"/>
        <v>7105342.6465304969</v>
      </c>
      <c r="S19" s="3">
        <f t="shared" si="3"/>
        <v>10337174.19479187</v>
      </c>
      <c r="T19" s="3">
        <f t="shared" si="3"/>
        <v>17718680.965582833</v>
      </c>
      <c r="U19" s="3">
        <f t="shared" si="3"/>
        <v>10793899.504140409</v>
      </c>
      <c r="V19" s="3">
        <f t="shared" si="3"/>
        <v>11197527.732997028</v>
      </c>
      <c r="W19" s="3">
        <f t="shared" si="3"/>
        <v>13126991.864755733</v>
      </c>
      <c r="X19" s="3">
        <f t="shared" si="3"/>
        <v>18651240.681887519</v>
      </c>
      <c r="Y19" s="3">
        <f t="shared" si="3"/>
        <v>10957539.894657744</v>
      </c>
      <c r="Z19" s="3">
        <f t="shared" si="3"/>
        <v>5436634.4521953696</v>
      </c>
      <c r="AA19" s="3">
        <f t="shared" si="3"/>
        <v>31999990.830332402</v>
      </c>
      <c r="AB19" s="3">
        <f t="shared" si="3"/>
        <v>3380723.2300310936</v>
      </c>
      <c r="AC19" s="3">
        <f t="shared" si="3"/>
        <v>19583318.237147465</v>
      </c>
      <c r="AD19" s="3">
        <f t="shared" si="3"/>
        <v>5651431.4474848472</v>
      </c>
      <c r="AE19" s="3">
        <f t="shared" si="3"/>
        <v>10495997.655238416</v>
      </c>
      <c r="AF19" s="3">
        <f t="shared" si="3"/>
        <v>8938003.6407000925</v>
      </c>
      <c r="AG19" s="3">
        <f t="shared" si="3"/>
        <v>15948073.768332394</v>
      </c>
      <c r="AH19" s="3">
        <f t="shared" si="3"/>
        <v>36898151.287723914</v>
      </c>
      <c r="AI19" s="3">
        <f t="shared" si="3"/>
        <v>11909183.453623189</v>
      </c>
      <c r="AJ19" s="3">
        <f t="shared" ref="AJ19:BM19" si="4">AJ17*AJ13</f>
        <v>14728461.934584981</v>
      </c>
      <c r="AK19" s="3">
        <f t="shared" si="4"/>
        <v>18377117.387601696</v>
      </c>
      <c r="AL19" s="3">
        <f t="shared" si="4"/>
        <v>12977598.211196594</v>
      </c>
      <c r="AM19" s="3">
        <f t="shared" si="4"/>
        <v>16086526.358038096</v>
      </c>
      <c r="AN19" s="3">
        <f t="shared" si="4"/>
        <v>3811923.0639007711</v>
      </c>
      <c r="AO19" s="3">
        <f t="shared" si="4"/>
        <v>25507003.949727282</v>
      </c>
      <c r="AP19" s="3">
        <f t="shared" si="4"/>
        <v>12338432.37541643</v>
      </c>
      <c r="AQ19" s="3">
        <f t="shared" si="4"/>
        <v>15448912.386335954</v>
      </c>
      <c r="AR19" s="3">
        <f t="shared" si="4"/>
        <v>7581056.7519605868</v>
      </c>
      <c r="AS19" s="3">
        <f t="shared" si="4"/>
        <v>6450827.0791188413</v>
      </c>
      <c r="AT19" s="3">
        <f t="shared" si="4"/>
        <v>6247982.7967478922</v>
      </c>
      <c r="AU19" s="3">
        <f t="shared" si="4"/>
        <v>9267593.5354531333</v>
      </c>
      <c r="AV19" s="3">
        <f t="shared" si="4"/>
        <v>7044888.2037675893</v>
      </c>
      <c r="AW19" s="3">
        <f t="shared" si="4"/>
        <v>11608788.15453258</v>
      </c>
      <c r="AX19" s="3">
        <f t="shared" si="4"/>
        <v>16943809.347151443</v>
      </c>
      <c r="AY19" s="3">
        <f t="shared" si="4"/>
        <v>16505308.701957313</v>
      </c>
      <c r="AZ19" s="3">
        <f t="shared" si="4"/>
        <v>12758478.121018011</v>
      </c>
      <c r="BA19" s="3">
        <f t="shared" si="4"/>
        <v>83834377.069296584</v>
      </c>
      <c r="BB19" s="3">
        <f t="shared" si="4"/>
        <v>27911502.179802239</v>
      </c>
      <c r="BC19" s="3">
        <f t="shared" si="4"/>
        <v>7308144.6781165432</v>
      </c>
      <c r="BD19" s="3">
        <f t="shared" si="4"/>
        <v>8670332.9471949935</v>
      </c>
      <c r="BE19" s="3">
        <f t="shared" si="4"/>
        <v>12136809.669721568</v>
      </c>
      <c r="BF19" s="3">
        <f t="shared" si="4"/>
        <v>21370196.442874532</v>
      </c>
      <c r="BG19" s="3">
        <f>BG17*BG13</f>
        <v>5603607.0481453417</v>
      </c>
      <c r="BH19" s="3">
        <f t="shared" si="4"/>
        <v>12804004.344826652</v>
      </c>
      <c r="BI19" s="3">
        <f t="shared" si="4"/>
        <v>11550120.293474568</v>
      </c>
      <c r="BJ19" s="3">
        <f t="shared" si="4"/>
        <v>3395968.144489177</v>
      </c>
      <c r="BK19" s="3">
        <f t="shared" si="4"/>
        <v>6645730.3665435361</v>
      </c>
      <c r="BL19" s="3">
        <f t="shared" si="4"/>
        <v>22311078.539746083</v>
      </c>
      <c r="BM19" s="3">
        <f t="shared" si="4"/>
        <v>10338618.097310783</v>
      </c>
      <c r="BN19" s="3">
        <f t="shared" ref="BN19:BZ19" si="5">BN17*BN13</f>
        <v>17408097.555863071</v>
      </c>
      <c r="BO19" s="3">
        <f t="shared" si="5"/>
        <v>36100016.373385541</v>
      </c>
      <c r="BP19" s="3">
        <f t="shared" si="5"/>
        <v>26103908.823313307</v>
      </c>
      <c r="BQ19" s="3">
        <f t="shared" si="5"/>
        <v>9622931.2606940717</v>
      </c>
      <c r="BR19" s="3">
        <f t="shared" si="5"/>
        <v>77180238.880743593</v>
      </c>
      <c r="BS19" s="3">
        <f t="shared" si="5"/>
        <v>13797375.121465219</v>
      </c>
      <c r="BT19" s="3">
        <f t="shared" si="5"/>
        <v>11163665.300446076</v>
      </c>
      <c r="BU19" s="3">
        <f t="shared" si="5"/>
        <v>4528589.9417667985</v>
      </c>
      <c r="BV19" s="3">
        <f t="shared" si="5"/>
        <v>7496672.2140067015</v>
      </c>
      <c r="BW19" s="3">
        <f t="shared" si="5"/>
        <v>48382839.033548273</v>
      </c>
      <c r="BX19" s="3">
        <f t="shared" si="5"/>
        <v>6499429.0650841501</v>
      </c>
      <c r="BY19" s="3">
        <f t="shared" si="5"/>
        <v>9176553.3807569724</v>
      </c>
      <c r="BZ19" s="3">
        <f t="shared" si="5"/>
        <v>26424836.2544735</v>
      </c>
    </row>
    <row r="21" spans="1:80" s="19" customFormat="1" x14ac:dyDescent="0.2">
      <c r="B21" s="19" t="s">
        <v>89</v>
      </c>
      <c r="C21" s="13">
        <f>C17*$C13</f>
        <v>1405520382.9119864</v>
      </c>
      <c r="D21" s="13">
        <f>D17*$C13</f>
        <v>208631644.46984756</v>
      </c>
      <c r="E21" s="13">
        <f t="shared" ref="E21:AH21" si="6">E17*$C13</f>
        <v>21875077.81003467</v>
      </c>
      <c r="F21" s="13">
        <f t="shared" si="6"/>
        <v>3480550.5553599568</v>
      </c>
      <c r="G21" s="13">
        <f t="shared" si="6"/>
        <v>2877832.3219808368</v>
      </c>
      <c r="H21" s="13">
        <f t="shared" si="6"/>
        <v>18629755.772601642</v>
      </c>
      <c r="I21" s="13">
        <f t="shared" si="6"/>
        <v>26765491.227638207</v>
      </c>
      <c r="J21" s="13">
        <f t="shared" si="6"/>
        <v>9310290.1782599166</v>
      </c>
      <c r="K21" s="13">
        <f t="shared" si="6"/>
        <v>3704257.8397945119</v>
      </c>
      <c r="L21" s="13">
        <f t="shared" si="6"/>
        <v>5075580.8770061797</v>
      </c>
      <c r="M21" s="13">
        <f t="shared" si="6"/>
        <v>2903014.3246493344</v>
      </c>
      <c r="N21" s="13">
        <f t="shared" si="6"/>
        <v>7155068.6118988907</v>
      </c>
      <c r="O21" s="13">
        <f t="shared" si="6"/>
        <v>22576479.711924132</v>
      </c>
      <c r="P21" s="13">
        <f t="shared" si="6"/>
        <v>17677567.483963769</v>
      </c>
      <c r="Q21" s="13">
        <f t="shared" si="6"/>
        <v>20518747.625917699</v>
      </c>
      <c r="R21" s="13">
        <f t="shared" si="6"/>
        <v>6996649.589711464</v>
      </c>
      <c r="S21" s="13">
        <f t="shared" si="6"/>
        <v>11276782.504159991</v>
      </c>
      <c r="T21" s="13">
        <f t="shared" si="6"/>
        <v>22152611.090066019</v>
      </c>
      <c r="U21" s="13">
        <f t="shared" si="6"/>
        <v>12642655.565447945</v>
      </c>
      <c r="V21" s="13">
        <f t="shared" si="6"/>
        <v>20425648.4537526</v>
      </c>
      <c r="W21" s="13">
        <f t="shared" si="6"/>
        <v>18032823.770436998</v>
      </c>
      <c r="X21" s="13">
        <f t="shared" si="6"/>
        <v>27307231.705154829</v>
      </c>
      <c r="Y21" s="13">
        <f t="shared" si="6"/>
        <v>12071888.847559892</v>
      </c>
      <c r="Z21" s="13">
        <f t="shared" si="6"/>
        <v>5653662.7232514098</v>
      </c>
      <c r="AA21" s="13">
        <f t="shared" si="6"/>
        <v>29921711.672746655</v>
      </c>
      <c r="AB21" s="13">
        <f t="shared" si="6"/>
        <v>3617094.2042706329</v>
      </c>
      <c r="AC21" s="13">
        <f t="shared" si="6"/>
        <v>22010739.206409596</v>
      </c>
      <c r="AD21" s="13">
        <f t="shared" si="6"/>
        <v>5468197.1579240579</v>
      </c>
      <c r="AE21" s="13">
        <f t="shared" si="6"/>
        <v>15572057.650283678</v>
      </c>
      <c r="AF21" s="13">
        <f t="shared" si="6"/>
        <v>8428340.27961093</v>
      </c>
      <c r="AG21" s="13">
        <f t="shared" si="6"/>
        <v>17745644.503419604</v>
      </c>
      <c r="AH21" s="13">
        <f t="shared" si="6"/>
        <v>34794142.768680081</v>
      </c>
      <c r="AI21" s="13">
        <f t="shared" ref="AI21:BL21" si="7">AI17*$C13</f>
        <v>12046831.654687624</v>
      </c>
      <c r="AJ21" s="13">
        <f t="shared" si="7"/>
        <v>10925710.250654407</v>
      </c>
      <c r="AK21" s="13">
        <f t="shared" si="7"/>
        <v>15260056.176419901</v>
      </c>
      <c r="AL21" s="13">
        <f t="shared" si="7"/>
        <v>11552283.878766621</v>
      </c>
      <c r="AM21" s="13">
        <f t="shared" si="7"/>
        <v>19456198.515652746</v>
      </c>
      <c r="AN21" s="13">
        <f t="shared" si="7"/>
        <v>3051496.4404134471</v>
      </c>
      <c r="AO21" s="13">
        <f t="shared" si="7"/>
        <v>21339849.376375206</v>
      </c>
      <c r="AP21" s="13">
        <f t="shared" si="7"/>
        <v>10983316.874211717</v>
      </c>
      <c r="AQ21" s="13">
        <f t="shared" si="7"/>
        <v>14948017.964824928</v>
      </c>
      <c r="AR21" s="13">
        <f t="shared" si="7"/>
        <v>7883689.5028146254</v>
      </c>
      <c r="AS21" s="13">
        <f t="shared" si="7"/>
        <v>6408861.9819932263</v>
      </c>
      <c r="AT21" s="13">
        <f t="shared" si="7"/>
        <v>6045406.7415327765</v>
      </c>
      <c r="AU21" s="13">
        <f t="shared" si="7"/>
        <v>8249744.6486059288</v>
      </c>
      <c r="AV21" s="13">
        <f t="shared" si="7"/>
        <v>6587349.1876146961</v>
      </c>
      <c r="AW21" s="13">
        <f t="shared" si="7"/>
        <v>12186095.069651917</v>
      </c>
      <c r="AX21" s="13">
        <f t="shared" si="7"/>
        <v>17457049.438954845</v>
      </c>
      <c r="AY21" s="13">
        <f t="shared" si="7"/>
        <v>16397935.356761318</v>
      </c>
      <c r="AZ21" s="13">
        <f t="shared" si="7"/>
        <v>12563306.958089035</v>
      </c>
      <c r="BA21" s="13">
        <f t="shared" si="7"/>
        <v>126059030.63805842</v>
      </c>
      <c r="BB21" s="13">
        <f t="shared" si="7"/>
        <v>26098754.996693447</v>
      </c>
      <c r="BC21" s="13">
        <f t="shared" si="7"/>
        <v>6611280.2361016255</v>
      </c>
      <c r="BD21" s="13">
        <f t="shared" si="7"/>
        <v>8107227.4029145231</v>
      </c>
      <c r="BE21" s="13">
        <f t="shared" si="7"/>
        <v>9715681.7921797764</v>
      </c>
      <c r="BF21" s="13">
        <f t="shared" si="7"/>
        <v>18014330.423901469</v>
      </c>
      <c r="BG21" s="13">
        <f t="shared" si="7"/>
        <v>4833497.5614576405</v>
      </c>
      <c r="BH21" s="13">
        <f>BH17*$C13</f>
        <v>11872662.106625291</v>
      </c>
      <c r="BI21" s="13">
        <f t="shared" si="7"/>
        <v>10799983.38247324</v>
      </c>
      <c r="BJ21" s="13">
        <f t="shared" si="7"/>
        <v>3285861.9145704759</v>
      </c>
      <c r="BK21" s="13">
        <f t="shared" si="7"/>
        <v>5732400.799128985</v>
      </c>
      <c r="BL21" s="13">
        <f t="shared" si="7"/>
        <v>20688207.345369369</v>
      </c>
      <c r="BM21" s="13">
        <f t="shared" ref="BM21:BZ21" si="8">BM17*$C13</f>
        <v>9832414.3630339596</v>
      </c>
      <c r="BN21" s="13">
        <f t="shared" si="8"/>
        <v>16555755.017770356</v>
      </c>
      <c r="BO21" s="13">
        <f t="shared" si="8"/>
        <v>31629128.028796792</v>
      </c>
      <c r="BP21" s="13">
        <f t="shared" si="8"/>
        <v>22871011.0733721</v>
      </c>
      <c r="BQ21" s="13">
        <f t="shared" si="8"/>
        <v>7284061.2668695776</v>
      </c>
      <c r="BR21" s="13">
        <f t="shared" si="8"/>
        <v>72779262.830733478</v>
      </c>
      <c r="BS21" s="13">
        <f t="shared" si="8"/>
        <v>19938353.337890252</v>
      </c>
      <c r="BT21" s="13">
        <f t="shared" si="8"/>
        <v>12421966.354974544</v>
      </c>
      <c r="BU21" s="13">
        <f t="shared" si="8"/>
        <v>3999226.4287437145</v>
      </c>
      <c r="BV21" s="13">
        <f t="shared" si="8"/>
        <v>8020819.1477274345</v>
      </c>
      <c r="BW21" s="13">
        <f t="shared" si="8"/>
        <v>46410569.812252238</v>
      </c>
      <c r="BX21" s="13">
        <f t="shared" si="8"/>
        <v>6400004.8926260602</v>
      </c>
      <c r="BY21" s="13">
        <f t="shared" si="8"/>
        <v>8369573.0808549272</v>
      </c>
      <c r="BZ21" s="13">
        <f t="shared" si="8"/>
        <v>28546878.155077804</v>
      </c>
    </row>
    <row r="23" spans="1:80" x14ac:dyDescent="0.2">
      <c r="A23" s="23" t="s">
        <v>148</v>
      </c>
      <c r="B23" s="24" t="s">
        <v>0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</row>
    <row r="24" spans="1:80" x14ac:dyDescent="0.2">
      <c r="B24" t="s">
        <v>81</v>
      </c>
      <c r="C24" s="3">
        <f>SUM(D24:BZ24)</f>
        <v>82950710.500000015</v>
      </c>
      <c r="D24" s="7">
        <v>18214414.149999999</v>
      </c>
      <c r="E24" s="7">
        <v>767948.5</v>
      </c>
      <c r="F24" s="7">
        <v>128214.6</v>
      </c>
      <c r="G24" s="7">
        <v>85545.55</v>
      </c>
      <c r="H24" s="7">
        <v>137404.45000000001</v>
      </c>
      <c r="I24" s="7">
        <v>1024789.15</v>
      </c>
      <c r="J24" s="7">
        <v>711553.24999999988</v>
      </c>
      <c r="K24" s="7">
        <v>46262.600000000013</v>
      </c>
      <c r="L24" s="7">
        <v>88988.15</v>
      </c>
      <c r="M24" s="7">
        <v>39011.85</v>
      </c>
      <c r="N24" s="7">
        <v>79487.399999999994</v>
      </c>
      <c r="O24" s="7">
        <v>717111.64999999991</v>
      </c>
      <c r="P24" s="7">
        <v>2809546.35</v>
      </c>
      <c r="Q24" s="7">
        <v>1727923.3</v>
      </c>
      <c r="R24" s="7">
        <v>564122.19999999995</v>
      </c>
      <c r="S24" s="7">
        <v>2725295.0999999996</v>
      </c>
      <c r="T24" s="7">
        <v>3547114.6</v>
      </c>
      <c r="U24" s="7">
        <v>817150.10000000009</v>
      </c>
      <c r="V24" s="7">
        <v>2483401.5000000005</v>
      </c>
      <c r="W24" s="7">
        <v>2534747.4</v>
      </c>
      <c r="X24" s="7">
        <v>1848314.2999999998</v>
      </c>
      <c r="Y24" s="7">
        <v>878233.90000000014</v>
      </c>
      <c r="Z24" s="7">
        <v>255185.09999999998</v>
      </c>
      <c r="AA24" s="7">
        <v>3218999.4</v>
      </c>
      <c r="AB24" s="7">
        <v>129489.8</v>
      </c>
      <c r="AC24" s="7">
        <v>2041284.4500000002</v>
      </c>
      <c r="AD24" s="7">
        <v>585796.1</v>
      </c>
      <c r="AE24" s="7">
        <v>3004467.55</v>
      </c>
      <c r="AF24" s="7">
        <v>423932.1</v>
      </c>
      <c r="AG24" s="7">
        <v>1539153.2</v>
      </c>
      <c r="AH24" s="7">
        <v>3638836.4</v>
      </c>
      <c r="AI24" s="7">
        <v>1041571.85</v>
      </c>
      <c r="AJ24" s="7">
        <v>864215.4</v>
      </c>
      <c r="AK24" s="7">
        <v>954139.2</v>
      </c>
      <c r="AL24" s="7">
        <v>411306.5</v>
      </c>
      <c r="AM24" s="7">
        <v>1328461.1500000001</v>
      </c>
      <c r="AN24" s="7">
        <v>268129.09999999998</v>
      </c>
      <c r="AO24" s="7">
        <v>680631.00000000012</v>
      </c>
      <c r="AP24" s="7">
        <v>525359.29999999993</v>
      </c>
      <c r="AQ24" s="7">
        <v>500568.1</v>
      </c>
      <c r="AR24" s="7">
        <v>272907.5</v>
      </c>
      <c r="AS24" s="7">
        <v>48104.95</v>
      </c>
      <c r="AT24" s="7">
        <v>69418.3</v>
      </c>
      <c r="AU24" s="7">
        <v>350006.50000000006</v>
      </c>
      <c r="AV24" s="7">
        <v>204220.54999999996</v>
      </c>
      <c r="AW24" s="7">
        <v>305058.85000000003</v>
      </c>
      <c r="AX24" s="7">
        <v>307735.85000000003</v>
      </c>
      <c r="AY24" s="7">
        <v>836155.10000000009</v>
      </c>
      <c r="AZ24" s="7">
        <v>379688.5</v>
      </c>
      <c r="BA24" s="7">
        <v>2671301.3500000006</v>
      </c>
      <c r="BB24" s="7">
        <v>772740.4</v>
      </c>
      <c r="BC24" s="7">
        <v>376945.95</v>
      </c>
      <c r="BD24" s="7">
        <v>149964.1</v>
      </c>
      <c r="BE24" s="7">
        <v>212955.24999999997</v>
      </c>
      <c r="BF24" s="7">
        <v>654324.19999999995</v>
      </c>
      <c r="BG24" s="7">
        <v>257966.49999999997</v>
      </c>
      <c r="BH24" s="7">
        <v>323213.54999999993</v>
      </c>
      <c r="BI24" s="7">
        <v>397504.25</v>
      </c>
      <c r="BJ24" s="7">
        <v>112673.89999999998</v>
      </c>
      <c r="BK24" s="7">
        <v>89681.3</v>
      </c>
      <c r="BL24" s="7">
        <v>1388914.3</v>
      </c>
      <c r="BM24" s="7">
        <v>348502.70000000007</v>
      </c>
      <c r="BN24" s="7">
        <v>464482.89999999997</v>
      </c>
      <c r="BO24" s="7">
        <v>1756378.0000000002</v>
      </c>
      <c r="BP24" s="7">
        <v>926999.54999999993</v>
      </c>
      <c r="BQ24" s="7">
        <v>314616.95</v>
      </c>
      <c r="BR24" s="7">
        <v>2715752.6999999997</v>
      </c>
      <c r="BS24" s="7">
        <v>216475.50000000003</v>
      </c>
      <c r="BT24" s="7">
        <v>300449.8</v>
      </c>
      <c r="BU24" s="7">
        <v>86070.400000000009</v>
      </c>
      <c r="BV24" s="7">
        <v>97882.2</v>
      </c>
      <c r="BW24" s="7">
        <v>1533549.75</v>
      </c>
      <c r="BX24" s="7">
        <v>78972.850000000006</v>
      </c>
      <c r="BY24" s="7">
        <v>192967.44999999998</v>
      </c>
      <c r="BZ24" s="7">
        <v>348022.85</v>
      </c>
      <c r="CB24" t="s">
        <v>107</v>
      </c>
    </row>
    <row r="25" spans="1:80" x14ac:dyDescent="0.2">
      <c r="B25" t="s">
        <v>86</v>
      </c>
      <c r="C25" s="3">
        <f>SUM(D25:BZ25)</f>
        <v>545968.24000000011</v>
      </c>
      <c r="D25" s="7">
        <v>113012.76999999999</v>
      </c>
      <c r="E25" s="7">
        <v>712.25</v>
      </c>
      <c r="F25" s="7">
        <v>806.85</v>
      </c>
      <c r="G25" s="7">
        <v>18.3</v>
      </c>
      <c r="H25" s="7">
        <v>-5.7</v>
      </c>
      <c r="I25" s="7">
        <v>4411.75</v>
      </c>
      <c r="J25" s="7">
        <v>275.8</v>
      </c>
      <c r="K25" s="7">
        <v>24.5</v>
      </c>
      <c r="L25" s="7">
        <v>5517.8</v>
      </c>
      <c r="M25" s="7">
        <v>0.2</v>
      </c>
      <c r="N25" s="7">
        <v>8.7999999999999989</v>
      </c>
      <c r="O25" s="7">
        <v>9514.75</v>
      </c>
      <c r="P25" s="7">
        <v>60608.289999999994</v>
      </c>
      <c r="Q25" s="7">
        <v>19625.850000000002</v>
      </c>
      <c r="R25" s="7">
        <v>3064.05</v>
      </c>
      <c r="S25" s="7">
        <v>35321.5</v>
      </c>
      <c r="T25" s="7">
        <v>43660.9</v>
      </c>
      <c r="U25" s="7">
        <v>32.799999999999997</v>
      </c>
      <c r="V25" s="7">
        <v>1227.8499999999999</v>
      </c>
      <c r="W25" s="7">
        <v>1575.9</v>
      </c>
      <c r="X25" s="7">
        <v>10444.52</v>
      </c>
      <c r="Y25" s="7">
        <v>5697.07</v>
      </c>
      <c r="Z25" s="7">
        <v>5957.5</v>
      </c>
      <c r="AA25" s="7">
        <v>11615.95</v>
      </c>
      <c r="AB25" s="7">
        <v>1033.3699999999999</v>
      </c>
      <c r="AC25" s="7">
        <v>6641.3499999999985</v>
      </c>
      <c r="AD25" s="7">
        <v>1703.65</v>
      </c>
      <c r="AE25" s="7">
        <v>1418.4</v>
      </c>
      <c r="AF25" s="7">
        <v>624.04999999999995</v>
      </c>
      <c r="AG25" s="7">
        <v>5697.6399999999994</v>
      </c>
      <c r="AH25" s="7">
        <v>-4113.3599999999988</v>
      </c>
      <c r="AI25" s="7">
        <v>8664.1</v>
      </c>
      <c r="AJ25" s="7">
        <v>5504.1399999999994</v>
      </c>
      <c r="AK25" s="7">
        <v>56.56</v>
      </c>
      <c r="AL25" s="7">
        <v>1085.1999999999998</v>
      </c>
      <c r="AM25" s="7">
        <v>90.850000000000009</v>
      </c>
      <c r="AN25" s="7">
        <v>14.100000000000001</v>
      </c>
      <c r="AO25" s="7">
        <v>83.560000000000016</v>
      </c>
      <c r="AP25" s="7">
        <v>577.25000000000011</v>
      </c>
      <c r="AQ25" s="7">
        <v>1255.0999999999999</v>
      </c>
      <c r="AR25" s="7">
        <v>426.72</v>
      </c>
      <c r="AS25" s="7">
        <v>15.2</v>
      </c>
      <c r="AT25" s="7">
        <v>49.199999999999996</v>
      </c>
      <c r="AU25" s="7">
        <v>2745.5499999999997</v>
      </c>
      <c r="AV25" s="7">
        <v>12257.5</v>
      </c>
      <c r="AW25" s="7">
        <v>1177.4499999999998</v>
      </c>
      <c r="AX25" s="7">
        <v>1161.45</v>
      </c>
      <c r="AY25" s="7">
        <v>6586.5300000000007</v>
      </c>
      <c r="AZ25" s="7">
        <v>969.10000000000014</v>
      </c>
      <c r="BA25" s="7">
        <v>17614.350000000002</v>
      </c>
      <c r="BB25" s="7">
        <v>6435.1500000000005</v>
      </c>
      <c r="BC25" s="7">
        <v>6915.9</v>
      </c>
      <c r="BD25" s="7">
        <v>17.95</v>
      </c>
      <c r="BE25" s="7">
        <v>-2482.75</v>
      </c>
      <c r="BF25" s="7">
        <v>5522.6599999999989</v>
      </c>
      <c r="BG25" s="7">
        <v>2228.1499999999996</v>
      </c>
      <c r="BH25" s="7">
        <v>2255.35</v>
      </c>
      <c r="BI25" s="7">
        <v>57.35</v>
      </c>
      <c r="BJ25" s="7">
        <v>2222.8000000000002</v>
      </c>
      <c r="BK25" s="7">
        <v>-1.7500000000000004</v>
      </c>
      <c r="BL25" s="7">
        <v>470.7000000000001</v>
      </c>
      <c r="BM25" s="7">
        <v>1599.6999999999998</v>
      </c>
      <c r="BN25" s="7">
        <v>5544.15</v>
      </c>
      <c r="BO25" s="7">
        <v>38653.5</v>
      </c>
      <c r="BP25" s="7">
        <v>12374.400000000001</v>
      </c>
      <c r="BQ25" s="7">
        <v>5760.4</v>
      </c>
      <c r="BR25" s="7">
        <v>36568.15</v>
      </c>
      <c r="BS25" s="7">
        <v>1784.87</v>
      </c>
      <c r="BT25" s="7">
        <v>758.80000000000007</v>
      </c>
      <c r="BU25" s="7">
        <v>0.15</v>
      </c>
      <c r="BV25" s="7">
        <v>6.6000000000000005</v>
      </c>
      <c r="BW25" s="7">
        <v>11392.550000000001</v>
      </c>
      <c r="BX25" s="7">
        <v>0.7</v>
      </c>
      <c r="BY25" s="7">
        <v>24.199999999999996</v>
      </c>
      <c r="BZ25" s="7">
        <v>1389.3</v>
      </c>
      <c r="CB25" t="s">
        <v>107</v>
      </c>
    </row>
    <row r="26" spans="1:80" s="19" customFormat="1" x14ac:dyDescent="0.2">
      <c r="B26" s="19" t="s">
        <v>90</v>
      </c>
      <c r="C26" s="13">
        <f>SUM(D26:BZ26)</f>
        <v>82404742.259999976</v>
      </c>
      <c r="D26" s="13">
        <f>D24-D25</f>
        <v>18101401.379999999</v>
      </c>
      <c r="E26" s="13">
        <f t="shared" ref="E26:BN26" si="9">E24-E25</f>
        <v>767236.25</v>
      </c>
      <c r="F26" s="13">
        <f t="shared" si="9"/>
        <v>127407.75</v>
      </c>
      <c r="G26" s="13">
        <f t="shared" si="9"/>
        <v>85527.25</v>
      </c>
      <c r="H26" s="13">
        <f t="shared" si="9"/>
        <v>137410.15000000002</v>
      </c>
      <c r="I26" s="13">
        <f t="shared" si="9"/>
        <v>1020377.4</v>
      </c>
      <c r="J26" s="13">
        <f t="shared" si="9"/>
        <v>711277.44999999984</v>
      </c>
      <c r="K26" s="13">
        <f t="shared" si="9"/>
        <v>46238.100000000013</v>
      </c>
      <c r="L26" s="13">
        <f t="shared" si="9"/>
        <v>83470.349999999991</v>
      </c>
      <c r="M26" s="13">
        <f t="shared" si="9"/>
        <v>39011.65</v>
      </c>
      <c r="N26" s="13">
        <f t="shared" si="9"/>
        <v>79478.599999999991</v>
      </c>
      <c r="O26" s="13">
        <f t="shared" si="9"/>
        <v>707596.89999999991</v>
      </c>
      <c r="P26" s="13">
        <f t="shared" si="9"/>
        <v>2748938.06</v>
      </c>
      <c r="Q26" s="13">
        <f t="shared" si="9"/>
        <v>1708297.45</v>
      </c>
      <c r="R26" s="13">
        <f t="shared" si="9"/>
        <v>561058.14999999991</v>
      </c>
      <c r="S26" s="13">
        <f t="shared" si="9"/>
        <v>2689973.5999999996</v>
      </c>
      <c r="T26" s="13">
        <f t="shared" si="9"/>
        <v>3503453.7</v>
      </c>
      <c r="U26" s="13">
        <f t="shared" si="9"/>
        <v>817117.3</v>
      </c>
      <c r="V26" s="13">
        <f t="shared" si="9"/>
        <v>2482173.6500000004</v>
      </c>
      <c r="W26" s="13">
        <f t="shared" si="9"/>
        <v>2533171.5</v>
      </c>
      <c r="X26" s="13">
        <f t="shared" si="9"/>
        <v>1837869.7799999998</v>
      </c>
      <c r="Y26" s="13">
        <f t="shared" si="9"/>
        <v>872536.83000000019</v>
      </c>
      <c r="Z26" s="13">
        <f t="shared" si="9"/>
        <v>249227.59999999998</v>
      </c>
      <c r="AA26" s="13">
        <f t="shared" si="9"/>
        <v>3207383.4499999997</v>
      </c>
      <c r="AB26" s="13">
        <f t="shared" si="9"/>
        <v>128456.43000000001</v>
      </c>
      <c r="AC26" s="13">
        <f t="shared" si="9"/>
        <v>2034643.1</v>
      </c>
      <c r="AD26" s="13">
        <f t="shared" si="9"/>
        <v>584092.44999999995</v>
      </c>
      <c r="AE26" s="13">
        <f t="shared" si="9"/>
        <v>3003049.15</v>
      </c>
      <c r="AF26" s="13">
        <f t="shared" si="9"/>
        <v>423308.05</v>
      </c>
      <c r="AG26" s="13">
        <f t="shared" si="9"/>
        <v>1533455.56</v>
      </c>
      <c r="AH26" s="13">
        <f t="shared" si="9"/>
        <v>3642949.76</v>
      </c>
      <c r="AI26" s="13">
        <f t="shared" si="9"/>
        <v>1032907.75</v>
      </c>
      <c r="AJ26" s="13">
        <f t="shared" si="9"/>
        <v>858711.26</v>
      </c>
      <c r="AK26" s="13">
        <f t="shared" si="9"/>
        <v>954082.6399999999</v>
      </c>
      <c r="AL26" s="13">
        <f t="shared" si="9"/>
        <v>410221.3</v>
      </c>
      <c r="AM26" s="13">
        <f t="shared" si="9"/>
        <v>1328370.3</v>
      </c>
      <c r="AN26" s="13">
        <f t="shared" si="9"/>
        <v>268115</v>
      </c>
      <c r="AO26" s="13">
        <f t="shared" si="9"/>
        <v>680547.44000000006</v>
      </c>
      <c r="AP26" s="13">
        <f t="shared" si="9"/>
        <v>524782.04999999993</v>
      </c>
      <c r="AQ26" s="13">
        <f t="shared" si="9"/>
        <v>499313</v>
      </c>
      <c r="AR26" s="13">
        <f t="shared" si="9"/>
        <v>272480.78000000003</v>
      </c>
      <c r="AS26" s="13">
        <f t="shared" si="9"/>
        <v>48089.75</v>
      </c>
      <c r="AT26" s="13">
        <f t="shared" si="9"/>
        <v>69369.100000000006</v>
      </c>
      <c r="AU26" s="13">
        <f t="shared" si="9"/>
        <v>347260.95000000007</v>
      </c>
      <c r="AV26" s="13">
        <f t="shared" si="9"/>
        <v>191963.04999999996</v>
      </c>
      <c r="AW26" s="13">
        <f t="shared" si="9"/>
        <v>303881.40000000002</v>
      </c>
      <c r="AX26" s="13">
        <f t="shared" si="9"/>
        <v>306574.40000000002</v>
      </c>
      <c r="AY26" s="13">
        <f t="shared" si="9"/>
        <v>829568.57000000007</v>
      </c>
      <c r="AZ26" s="13">
        <f t="shared" si="9"/>
        <v>378719.4</v>
      </c>
      <c r="BA26" s="13">
        <f t="shared" si="9"/>
        <v>2653687.0000000005</v>
      </c>
      <c r="BB26" s="13">
        <f t="shared" si="9"/>
        <v>766305.25</v>
      </c>
      <c r="BC26" s="13">
        <f t="shared" si="9"/>
        <v>370030.05</v>
      </c>
      <c r="BD26" s="13">
        <f t="shared" si="9"/>
        <v>149946.15</v>
      </c>
      <c r="BE26" s="13">
        <f t="shared" si="9"/>
        <v>215437.99999999997</v>
      </c>
      <c r="BF26" s="13">
        <f t="shared" si="9"/>
        <v>648801.53999999992</v>
      </c>
      <c r="BG26" s="13">
        <f t="shared" si="9"/>
        <v>255738.34999999998</v>
      </c>
      <c r="BH26" s="13">
        <f t="shared" si="9"/>
        <v>320958.19999999995</v>
      </c>
      <c r="BI26" s="13">
        <f t="shared" si="9"/>
        <v>397446.9</v>
      </c>
      <c r="BJ26" s="13">
        <f t="shared" si="9"/>
        <v>110451.09999999998</v>
      </c>
      <c r="BK26" s="13">
        <f t="shared" si="9"/>
        <v>89683.05</v>
      </c>
      <c r="BL26" s="13">
        <f t="shared" si="9"/>
        <v>1388443.6</v>
      </c>
      <c r="BM26" s="13">
        <f t="shared" si="9"/>
        <v>346903.00000000006</v>
      </c>
      <c r="BN26" s="13">
        <f t="shared" si="9"/>
        <v>458938.74999999994</v>
      </c>
      <c r="BO26" s="13">
        <f t="shared" ref="BO26:BZ26" si="10">BO24-BO25</f>
        <v>1717724.5000000002</v>
      </c>
      <c r="BP26" s="13">
        <f t="shared" si="10"/>
        <v>914625.14999999991</v>
      </c>
      <c r="BQ26" s="13">
        <f t="shared" si="10"/>
        <v>308856.55</v>
      </c>
      <c r="BR26" s="13">
        <f t="shared" si="10"/>
        <v>2679184.5499999998</v>
      </c>
      <c r="BS26" s="13">
        <f t="shared" si="10"/>
        <v>214690.63000000003</v>
      </c>
      <c r="BT26" s="13">
        <f t="shared" si="10"/>
        <v>299691</v>
      </c>
      <c r="BU26" s="13">
        <f t="shared" si="10"/>
        <v>86070.250000000015</v>
      </c>
      <c r="BV26" s="13">
        <f t="shared" si="10"/>
        <v>97875.599999999991</v>
      </c>
      <c r="BW26" s="13">
        <f t="shared" si="10"/>
        <v>1522157.2</v>
      </c>
      <c r="BX26" s="13">
        <f t="shared" si="10"/>
        <v>78972.150000000009</v>
      </c>
      <c r="BY26" s="13">
        <f t="shared" si="10"/>
        <v>192943.24999999997</v>
      </c>
      <c r="BZ26" s="13">
        <f t="shared" si="10"/>
        <v>346633.55</v>
      </c>
    </row>
    <row r="27" spans="1:80" x14ac:dyDescent="0.2">
      <c r="C27" s="3"/>
    </row>
    <row r="28" spans="1:80" x14ac:dyDescent="0.2">
      <c r="A28" s="23" t="s">
        <v>149</v>
      </c>
      <c r="B28" s="24" t="s">
        <v>1</v>
      </c>
      <c r="C28" s="11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</row>
    <row r="29" spans="1:80" x14ac:dyDescent="0.2">
      <c r="B29" t="s">
        <v>81</v>
      </c>
      <c r="C29" s="3">
        <f>SUM(D29:BZ29)</f>
        <v>192630739.75</v>
      </c>
      <c r="D29" s="7">
        <v>46167166.649999999</v>
      </c>
      <c r="E29" s="7">
        <v>1799044.9</v>
      </c>
      <c r="F29" s="7">
        <v>86881.1</v>
      </c>
      <c r="G29" s="7">
        <v>82643.399999999994</v>
      </c>
      <c r="H29" s="7">
        <v>933177.85</v>
      </c>
      <c r="I29" s="7">
        <v>4440128.55</v>
      </c>
      <c r="J29" s="7">
        <v>763591.25</v>
      </c>
      <c r="K29" s="7">
        <v>66774.5</v>
      </c>
      <c r="L29" s="7">
        <v>430521.5</v>
      </c>
      <c r="M29" s="7">
        <v>66295.05</v>
      </c>
      <c r="N29" s="7">
        <v>147587.79999999999</v>
      </c>
      <c r="O29" s="7">
        <v>1292065.8500000001</v>
      </c>
      <c r="P29" s="7">
        <v>3598272.9</v>
      </c>
      <c r="Q29" s="7">
        <v>2409781.4500000002</v>
      </c>
      <c r="R29" s="7">
        <v>781763.65</v>
      </c>
      <c r="S29" s="7">
        <v>2415120.75</v>
      </c>
      <c r="T29" s="7">
        <v>3138606.45</v>
      </c>
      <c r="U29" s="7">
        <v>1327749.8999999999</v>
      </c>
      <c r="V29" s="7">
        <v>6295768.5</v>
      </c>
      <c r="W29" s="7">
        <v>2532743.5499999998</v>
      </c>
      <c r="X29" s="7">
        <v>5899597.6500000004</v>
      </c>
      <c r="Y29" s="7">
        <v>1413486.8</v>
      </c>
      <c r="Z29" s="7">
        <v>309224.09999999998</v>
      </c>
      <c r="AA29" s="7">
        <v>4023815.7</v>
      </c>
      <c r="AB29" s="7">
        <v>35581.35</v>
      </c>
      <c r="AC29" s="7">
        <v>2926195.95</v>
      </c>
      <c r="AD29" s="7">
        <v>869261.95</v>
      </c>
      <c r="AE29" s="7">
        <v>5815537.9500000002</v>
      </c>
      <c r="AF29" s="7">
        <v>506444.2</v>
      </c>
      <c r="AG29" s="7">
        <v>1106448.6000000001</v>
      </c>
      <c r="AH29" s="7">
        <v>8026595.7999999998</v>
      </c>
      <c r="AI29" s="7">
        <v>649779.5</v>
      </c>
      <c r="AJ29" s="7">
        <v>1008695.5</v>
      </c>
      <c r="AK29" s="7">
        <v>1256394.3</v>
      </c>
      <c r="AL29" s="7">
        <v>1444471.05</v>
      </c>
      <c r="AM29" s="7">
        <v>1558893.1</v>
      </c>
      <c r="AN29" s="7">
        <v>81645.3</v>
      </c>
      <c r="AO29" s="7">
        <v>1647552.3</v>
      </c>
      <c r="AP29" s="7">
        <v>939580.95</v>
      </c>
      <c r="AQ29" s="7">
        <v>650040.1</v>
      </c>
      <c r="AR29" s="7">
        <v>339327.95</v>
      </c>
      <c r="AS29" s="7">
        <v>201455.65</v>
      </c>
      <c r="AT29" s="7">
        <v>161260.6</v>
      </c>
      <c r="AU29" s="7">
        <v>495522.55</v>
      </c>
      <c r="AV29" s="7">
        <v>549249</v>
      </c>
      <c r="AW29" s="7">
        <v>594883.15</v>
      </c>
      <c r="AX29" s="7">
        <v>549447.25</v>
      </c>
      <c r="AY29" s="7">
        <v>2308571.9500000002</v>
      </c>
      <c r="AZ29" s="7">
        <v>1534688.9</v>
      </c>
      <c r="BA29" s="7">
        <v>20844123.75</v>
      </c>
      <c r="BB29" s="7">
        <v>1850937.75</v>
      </c>
      <c r="BC29" s="7">
        <v>266542.05</v>
      </c>
      <c r="BD29" s="7">
        <v>461028.05</v>
      </c>
      <c r="BE29" s="7">
        <v>1327700.75</v>
      </c>
      <c r="BF29" s="7">
        <v>2042882.2</v>
      </c>
      <c r="BG29" s="7">
        <v>335054.7</v>
      </c>
      <c r="BH29" s="7">
        <v>387567.05</v>
      </c>
      <c r="BI29" s="7">
        <v>1114184.6000000001</v>
      </c>
      <c r="BJ29" s="7">
        <v>112486.85</v>
      </c>
      <c r="BK29" s="7">
        <v>322178.65000000002</v>
      </c>
      <c r="BL29" s="7">
        <v>2066831.1</v>
      </c>
      <c r="BM29" s="7">
        <v>1109957.6000000001</v>
      </c>
      <c r="BN29" s="7">
        <v>875257.6</v>
      </c>
      <c r="BO29" s="7">
        <v>3483388.05</v>
      </c>
      <c r="BP29" s="7">
        <v>2298281.85</v>
      </c>
      <c r="BQ29" s="7">
        <v>1732285</v>
      </c>
      <c r="BR29" s="7">
        <v>14473711.6</v>
      </c>
      <c r="BS29" s="7">
        <v>946673.8</v>
      </c>
      <c r="BT29" s="7">
        <v>2490776.7000000002</v>
      </c>
      <c r="BU29" s="7">
        <v>76828.7</v>
      </c>
      <c r="BV29" s="7">
        <v>244459.65</v>
      </c>
      <c r="BW29" s="7">
        <v>6679776.7999999998</v>
      </c>
      <c r="BX29" s="7">
        <v>257005.15</v>
      </c>
      <c r="BY29" s="7">
        <v>615399.65</v>
      </c>
      <c r="BZ29" s="7">
        <v>536085.4</v>
      </c>
      <c r="CB29" t="s">
        <v>107</v>
      </c>
    </row>
    <row r="30" spans="1:80" x14ac:dyDescent="0.2">
      <c r="B30" t="s">
        <v>86</v>
      </c>
      <c r="C30" s="3">
        <f>SUM(D30:BZ30)</f>
        <v>1363211.0000000005</v>
      </c>
      <c r="D30" s="7">
        <v>446047.4</v>
      </c>
      <c r="E30" s="7">
        <v>1946.75</v>
      </c>
      <c r="F30" s="7">
        <v>52.45</v>
      </c>
      <c r="G30" s="7">
        <v>34.049999999999997</v>
      </c>
      <c r="H30" s="7">
        <v>1588.8500000000001</v>
      </c>
      <c r="I30" s="7">
        <v>17672.95</v>
      </c>
      <c r="J30" s="7">
        <v>284.25</v>
      </c>
      <c r="K30" s="7">
        <v>18.399999999999999</v>
      </c>
      <c r="L30" s="7">
        <v>77.45</v>
      </c>
      <c r="M30" s="7">
        <v>66.849999999999994</v>
      </c>
      <c r="N30" s="7">
        <v>107.55</v>
      </c>
      <c r="O30" s="7">
        <v>3120.6499999999996</v>
      </c>
      <c r="P30" s="7">
        <v>53032.750000000007</v>
      </c>
      <c r="Q30" s="7">
        <v>9801.65</v>
      </c>
      <c r="R30" s="7">
        <v>3309.1499999999996</v>
      </c>
      <c r="S30" s="7">
        <v>8914.5499999999993</v>
      </c>
      <c r="T30" s="7">
        <v>153523.25</v>
      </c>
      <c r="U30" s="7">
        <v>1606.55</v>
      </c>
      <c r="V30" s="7">
        <v>17431.5</v>
      </c>
      <c r="W30" s="7">
        <v>15099.4</v>
      </c>
      <c r="X30" s="7">
        <v>35451.850000000006</v>
      </c>
      <c r="Y30" s="7">
        <v>1264</v>
      </c>
      <c r="Z30" s="7">
        <v>3218.6</v>
      </c>
      <c r="AA30" s="7">
        <v>8893.65</v>
      </c>
      <c r="AB30" s="7">
        <v>2399.9499999999998</v>
      </c>
      <c r="AC30" s="7">
        <v>78856.55</v>
      </c>
      <c r="AD30" s="7">
        <v>1114.8499999999999</v>
      </c>
      <c r="AE30" s="7">
        <v>7934</v>
      </c>
      <c r="AF30" s="7">
        <v>345.55</v>
      </c>
      <c r="AG30" s="7">
        <v>5538.55</v>
      </c>
      <c r="AH30" s="7">
        <v>52374</v>
      </c>
      <c r="AI30" s="7">
        <v>13049.25</v>
      </c>
      <c r="AJ30" s="7">
        <v>3191.75</v>
      </c>
      <c r="AK30" s="7">
        <v>2634.1</v>
      </c>
      <c r="AL30" s="7">
        <v>1761.3</v>
      </c>
      <c r="AM30" s="7">
        <v>2029.1999999999998</v>
      </c>
      <c r="AN30" s="7">
        <v>1332</v>
      </c>
      <c r="AO30" s="7">
        <v>7139.35</v>
      </c>
      <c r="AP30" s="7">
        <v>369.79999999999995</v>
      </c>
      <c r="AQ30" s="7">
        <v>1095.3499999999999</v>
      </c>
      <c r="AR30" s="7">
        <v>874.5</v>
      </c>
      <c r="AS30" s="7">
        <v>4443.6499999999996</v>
      </c>
      <c r="AT30" s="7">
        <v>99.7</v>
      </c>
      <c r="AU30" s="7">
        <v>452.15</v>
      </c>
      <c r="AV30" s="7">
        <v>36027.800000000003</v>
      </c>
      <c r="AW30" s="7">
        <v>13637.15</v>
      </c>
      <c r="AX30" s="7">
        <v>1395.6</v>
      </c>
      <c r="AY30" s="7">
        <v>107881.75</v>
      </c>
      <c r="AZ30" s="7">
        <v>406.85</v>
      </c>
      <c r="BA30" s="7">
        <v>15212.699999999999</v>
      </c>
      <c r="BB30" s="7">
        <v>1783.8000000000002</v>
      </c>
      <c r="BC30" s="7">
        <v>1820.25</v>
      </c>
      <c r="BD30" s="7">
        <v>3900.5499999999997</v>
      </c>
      <c r="BE30" s="7">
        <v>4557.75</v>
      </c>
      <c r="BF30" s="7">
        <v>8477.65</v>
      </c>
      <c r="BG30" s="7">
        <v>364.95</v>
      </c>
      <c r="BH30" s="7">
        <v>38426.75</v>
      </c>
      <c r="BI30" s="7">
        <v>3435.05</v>
      </c>
      <c r="BJ30" s="7">
        <v>200.1</v>
      </c>
      <c r="BK30" s="7">
        <v>64.599999999999994</v>
      </c>
      <c r="BL30" s="7">
        <v>1288.7</v>
      </c>
      <c r="BM30" s="7">
        <v>4975.5</v>
      </c>
      <c r="BN30" s="7">
        <v>23782.55</v>
      </c>
      <c r="BO30" s="7">
        <v>4109.8499999999995</v>
      </c>
      <c r="BP30" s="7">
        <v>14552.7</v>
      </c>
      <c r="BQ30" s="7">
        <v>846.69999999999993</v>
      </c>
      <c r="BR30" s="7">
        <v>70024.3</v>
      </c>
      <c r="BS30" s="7">
        <v>2060.9500000000003</v>
      </c>
      <c r="BT30" s="7">
        <v>2112.6</v>
      </c>
      <c r="BU30" s="7">
        <v>80.599999999999994</v>
      </c>
      <c r="BV30" s="7">
        <v>90</v>
      </c>
      <c r="BW30" s="7">
        <v>31296.65</v>
      </c>
      <c r="BX30" s="7">
        <v>38.1</v>
      </c>
      <c r="BY30" s="7">
        <v>251.39999999999998</v>
      </c>
      <c r="BZ30" s="7">
        <v>507.04999999999995</v>
      </c>
      <c r="CB30" t="s">
        <v>107</v>
      </c>
    </row>
    <row r="31" spans="1:80" x14ac:dyDescent="0.2">
      <c r="B31" t="s">
        <v>87</v>
      </c>
      <c r="C31" s="3">
        <f>SUM(D31:BZ31)</f>
        <v>672651.9</v>
      </c>
      <c r="D31" s="7">
        <v>12611.6</v>
      </c>
      <c r="E31" s="7">
        <v>1395.15</v>
      </c>
      <c r="F31" s="7">
        <v>0</v>
      </c>
      <c r="G31" s="7">
        <v>0</v>
      </c>
      <c r="H31" s="7">
        <v>6989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179.65</v>
      </c>
      <c r="Q31" s="7">
        <v>0</v>
      </c>
      <c r="R31" s="7">
        <v>0</v>
      </c>
      <c r="S31" s="7">
        <v>0</v>
      </c>
      <c r="T31" s="7">
        <v>0</v>
      </c>
      <c r="U31" s="7">
        <v>452.35</v>
      </c>
      <c r="V31" s="7">
        <v>549965.4</v>
      </c>
      <c r="W31" s="7">
        <v>0</v>
      </c>
      <c r="X31" s="7">
        <v>5623.7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79731.3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14861.45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842.3</v>
      </c>
      <c r="BX31" s="7">
        <v>0</v>
      </c>
      <c r="BY31" s="7">
        <v>0</v>
      </c>
      <c r="BZ31" s="7">
        <v>0</v>
      </c>
      <c r="CB31" t="s">
        <v>107</v>
      </c>
    </row>
    <row r="32" spans="1:80" s="19" customFormat="1" x14ac:dyDescent="0.2">
      <c r="B32" s="19" t="s">
        <v>90</v>
      </c>
      <c r="C32" s="13">
        <f>SUM(D32:BZ32)</f>
        <v>190594876.85000008</v>
      </c>
      <c r="D32" s="13">
        <f>D29-D30-D31</f>
        <v>45708507.649999999</v>
      </c>
      <c r="E32" s="13">
        <f t="shared" ref="E32:BN32" si="11">E29-E30-E31</f>
        <v>1795703</v>
      </c>
      <c r="F32" s="13">
        <f t="shared" si="11"/>
        <v>86828.650000000009</v>
      </c>
      <c r="G32" s="13">
        <f t="shared" si="11"/>
        <v>82609.349999999991</v>
      </c>
      <c r="H32" s="13">
        <f t="shared" si="11"/>
        <v>924600</v>
      </c>
      <c r="I32" s="13">
        <f t="shared" si="11"/>
        <v>4422455.5999999996</v>
      </c>
      <c r="J32" s="13">
        <f t="shared" si="11"/>
        <v>763307</v>
      </c>
      <c r="K32" s="13">
        <f t="shared" si="11"/>
        <v>66756.100000000006</v>
      </c>
      <c r="L32" s="13">
        <f t="shared" si="11"/>
        <v>430444.05</v>
      </c>
      <c r="M32" s="13">
        <f t="shared" si="11"/>
        <v>66228.2</v>
      </c>
      <c r="N32" s="13">
        <f t="shared" si="11"/>
        <v>147480.25</v>
      </c>
      <c r="O32" s="13">
        <f t="shared" si="11"/>
        <v>1288945.2000000002</v>
      </c>
      <c r="P32" s="13">
        <f t="shared" si="11"/>
        <v>3545060.5</v>
      </c>
      <c r="Q32" s="13">
        <f t="shared" si="11"/>
        <v>2399979.8000000003</v>
      </c>
      <c r="R32" s="13">
        <f t="shared" si="11"/>
        <v>778454.5</v>
      </c>
      <c r="S32" s="13">
        <f t="shared" si="11"/>
        <v>2406206.2000000002</v>
      </c>
      <c r="T32" s="13">
        <f t="shared" si="11"/>
        <v>2985083.2</v>
      </c>
      <c r="U32" s="13">
        <f t="shared" si="11"/>
        <v>1325690.9999999998</v>
      </c>
      <c r="V32" s="13">
        <f t="shared" si="11"/>
        <v>5728371.5999999996</v>
      </c>
      <c r="W32" s="13">
        <f t="shared" si="11"/>
        <v>2517644.15</v>
      </c>
      <c r="X32" s="13">
        <f t="shared" si="11"/>
        <v>5858522.1000000006</v>
      </c>
      <c r="Y32" s="13">
        <f t="shared" si="11"/>
        <v>1412222.8</v>
      </c>
      <c r="Z32" s="13">
        <f t="shared" si="11"/>
        <v>306005.5</v>
      </c>
      <c r="AA32" s="13">
        <f t="shared" si="11"/>
        <v>4014922.0500000003</v>
      </c>
      <c r="AB32" s="13">
        <f t="shared" si="11"/>
        <v>33181.4</v>
      </c>
      <c r="AC32" s="13">
        <f t="shared" si="11"/>
        <v>2847339.4000000004</v>
      </c>
      <c r="AD32" s="13">
        <f t="shared" si="11"/>
        <v>868147.1</v>
      </c>
      <c r="AE32" s="13">
        <f t="shared" si="11"/>
        <v>5807603.9500000002</v>
      </c>
      <c r="AF32" s="13">
        <f t="shared" si="11"/>
        <v>506098.65</v>
      </c>
      <c r="AG32" s="13">
        <f t="shared" si="11"/>
        <v>1100910.05</v>
      </c>
      <c r="AH32" s="13">
        <f t="shared" si="11"/>
        <v>7974221.7999999998</v>
      </c>
      <c r="AI32" s="13">
        <f t="shared" si="11"/>
        <v>636730.25</v>
      </c>
      <c r="AJ32" s="13">
        <f t="shared" si="11"/>
        <v>1005503.75</v>
      </c>
      <c r="AK32" s="13">
        <f t="shared" si="11"/>
        <v>1253760.2</v>
      </c>
      <c r="AL32" s="13">
        <f t="shared" si="11"/>
        <v>1442709.75</v>
      </c>
      <c r="AM32" s="13">
        <f t="shared" si="11"/>
        <v>1556863.9000000001</v>
      </c>
      <c r="AN32" s="13">
        <f t="shared" si="11"/>
        <v>80313.3</v>
      </c>
      <c r="AO32" s="13">
        <f t="shared" si="11"/>
        <v>1640412.95</v>
      </c>
      <c r="AP32" s="13">
        <f t="shared" si="11"/>
        <v>939211.14999999991</v>
      </c>
      <c r="AQ32" s="13">
        <f t="shared" si="11"/>
        <v>648944.75</v>
      </c>
      <c r="AR32" s="13">
        <f t="shared" si="11"/>
        <v>338453.45</v>
      </c>
      <c r="AS32" s="13">
        <f t="shared" si="11"/>
        <v>197012</v>
      </c>
      <c r="AT32" s="13">
        <f t="shared" si="11"/>
        <v>161160.9</v>
      </c>
      <c r="AU32" s="13">
        <f t="shared" si="11"/>
        <v>495070.39999999997</v>
      </c>
      <c r="AV32" s="13">
        <f t="shared" si="11"/>
        <v>513221.2</v>
      </c>
      <c r="AW32" s="13">
        <f t="shared" si="11"/>
        <v>581246</v>
      </c>
      <c r="AX32" s="13">
        <f t="shared" si="11"/>
        <v>548051.65</v>
      </c>
      <c r="AY32" s="13">
        <f t="shared" si="11"/>
        <v>2200690.2000000002</v>
      </c>
      <c r="AZ32" s="13">
        <f t="shared" si="11"/>
        <v>1534282.0499999998</v>
      </c>
      <c r="BA32" s="13">
        <f t="shared" si="11"/>
        <v>20749179.75</v>
      </c>
      <c r="BB32" s="13">
        <f t="shared" si="11"/>
        <v>1849153.95</v>
      </c>
      <c r="BC32" s="13">
        <f t="shared" si="11"/>
        <v>264721.8</v>
      </c>
      <c r="BD32" s="13">
        <f t="shared" si="11"/>
        <v>457127.5</v>
      </c>
      <c r="BE32" s="13">
        <f t="shared" si="11"/>
        <v>1323143</v>
      </c>
      <c r="BF32" s="13">
        <f t="shared" si="11"/>
        <v>2034404.55</v>
      </c>
      <c r="BG32" s="13">
        <f t="shared" si="11"/>
        <v>334689.75</v>
      </c>
      <c r="BH32" s="13">
        <f t="shared" si="11"/>
        <v>349140.3</v>
      </c>
      <c r="BI32" s="13">
        <f t="shared" si="11"/>
        <v>1110749.55</v>
      </c>
      <c r="BJ32" s="13">
        <f t="shared" si="11"/>
        <v>112286.75</v>
      </c>
      <c r="BK32" s="13">
        <f t="shared" si="11"/>
        <v>322114.05000000005</v>
      </c>
      <c r="BL32" s="13">
        <f t="shared" si="11"/>
        <v>2065542.4000000001</v>
      </c>
      <c r="BM32" s="13">
        <f t="shared" si="11"/>
        <v>1104982.1000000001</v>
      </c>
      <c r="BN32" s="13">
        <f t="shared" si="11"/>
        <v>851475.04999999993</v>
      </c>
      <c r="BO32" s="13">
        <f t="shared" ref="BO32:BZ32" si="12">BO29-BO30-BO31</f>
        <v>3479278.1999999997</v>
      </c>
      <c r="BP32" s="13">
        <f t="shared" si="12"/>
        <v>2268867.6999999997</v>
      </c>
      <c r="BQ32" s="13">
        <f t="shared" si="12"/>
        <v>1731438.3</v>
      </c>
      <c r="BR32" s="13">
        <f>BR29-BR30-BR31</f>
        <v>14403687.299999999</v>
      </c>
      <c r="BS32" s="13">
        <f t="shared" si="12"/>
        <v>944612.85000000009</v>
      </c>
      <c r="BT32" s="13">
        <f t="shared" si="12"/>
        <v>2488664.1</v>
      </c>
      <c r="BU32" s="13">
        <f t="shared" si="12"/>
        <v>76748.099999999991</v>
      </c>
      <c r="BV32" s="13">
        <f t="shared" si="12"/>
        <v>244369.65</v>
      </c>
      <c r="BW32" s="13">
        <f t="shared" si="12"/>
        <v>6647637.8499999996</v>
      </c>
      <c r="BX32" s="13">
        <f t="shared" si="12"/>
        <v>256967.05</v>
      </c>
      <c r="BY32" s="13">
        <f t="shared" si="12"/>
        <v>615148.25</v>
      </c>
      <c r="BZ32" s="13">
        <f t="shared" si="12"/>
        <v>535578.35</v>
      </c>
    </row>
    <row r="33" spans="1:80" x14ac:dyDescent="0.2">
      <c r="C33" s="13"/>
    </row>
    <row r="34" spans="1:80" x14ac:dyDescent="0.2">
      <c r="A34" s="23" t="s">
        <v>150</v>
      </c>
      <c r="B34" s="24" t="s">
        <v>84</v>
      </c>
      <c r="C34" s="14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</row>
    <row r="35" spans="1:80" x14ac:dyDescent="0.2">
      <c r="B35" t="s">
        <v>91</v>
      </c>
      <c r="C35" s="29">
        <f>C39/C41</f>
        <v>0.68623685433592096</v>
      </c>
      <c r="D35" s="10">
        <v>0.8</v>
      </c>
      <c r="E35" s="10">
        <v>0.8</v>
      </c>
      <c r="F35" s="10">
        <v>0.8</v>
      </c>
      <c r="G35" s="10">
        <v>0.8</v>
      </c>
      <c r="H35" s="10">
        <v>0.2</v>
      </c>
      <c r="I35" s="10">
        <v>0.4</v>
      </c>
      <c r="J35" s="10">
        <v>0.6</v>
      </c>
      <c r="K35" s="10">
        <v>0.3</v>
      </c>
      <c r="L35" s="10">
        <v>0.2</v>
      </c>
      <c r="M35" s="10">
        <v>0.8</v>
      </c>
      <c r="N35" s="10">
        <v>0.8</v>
      </c>
      <c r="O35" s="10">
        <v>0.8</v>
      </c>
      <c r="P35" s="10">
        <v>0.8</v>
      </c>
      <c r="Q35" s="10">
        <v>0.4</v>
      </c>
      <c r="R35" s="10">
        <v>0.8</v>
      </c>
      <c r="S35" s="10">
        <v>0.8</v>
      </c>
      <c r="T35" s="10">
        <v>0.4</v>
      </c>
      <c r="U35" s="10">
        <v>0.8</v>
      </c>
      <c r="V35" s="10">
        <v>0.5</v>
      </c>
      <c r="W35" s="10">
        <v>0.5</v>
      </c>
      <c r="X35" s="10">
        <v>0.8</v>
      </c>
      <c r="Y35" s="10">
        <v>0.7</v>
      </c>
      <c r="Z35" s="10">
        <v>0.8</v>
      </c>
      <c r="AA35" s="10">
        <v>0.8</v>
      </c>
      <c r="AB35" s="10">
        <v>0.8</v>
      </c>
      <c r="AC35" s="10">
        <v>0.8</v>
      </c>
      <c r="AD35" s="10">
        <v>0.8</v>
      </c>
      <c r="AE35" s="10">
        <v>0.8</v>
      </c>
      <c r="AF35" s="10">
        <v>0.8</v>
      </c>
      <c r="AG35" s="10">
        <v>0.8</v>
      </c>
      <c r="AH35" s="10">
        <v>0.7</v>
      </c>
      <c r="AI35" s="10">
        <v>0.8</v>
      </c>
      <c r="AJ35" s="10">
        <v>0.7</v>
      </c>
      <c r="AK35" s="10">
        <v>0.8</v>
      </c>
      <c r="AL35" s="10">
        <v>0.8</v>
      </c>
      <c r="AM35" s="10">
        <v>0.8</v>
      </c>
      <c r="AN35" s="10">
        <v>0.8</v>
      </c>
      <c r="AO35" s="10">
        <v>0.8</v>
      </c>
      <c r="AP35" s="10">
        <v>0.8</v>
      </c>
      <c r="AQ35" s="10">
        <v>0.8</v>
      </c>
      <c r="AR35" s="10">
        <v>0.8</v>
      </c>
      <c r="AS35" s="10">
        <v>0.8</v>
      </c>
      <c r="AT35" s="10">
        <v>0.8</v>
      </c>
      <c r="AU35" s="10">
        <v>0.8</v>
      </c>
      <c r="AV35" s="10">
        <v>0.8</v>
      </c>
      <c r="AW35" s="10">
        <v>0.8</v>
      </c>
      <c r="AX35" s="10">
        <v>0.8</v>
      </c>
      <c r="AY35" s="10">
        <v>0.8</v>
      </c>
      <c r="AZ35" s="10">
        <v>0.8</v>
      </c>
      <c r="BA35" s="10">
        <v>0.3</v>
      </c>
      <c r="BB35" s="10">
        <v>0.8</v>
      </c>
      <c r="BC35" s="10">
        <v>0.8</v>
      </c>
      <c r="BD35" s="10">
        <v>0.8</v>
      </c>
      <c r="BE35" s="10">
        <v>0.8</v>
      </c>
      <c r="BF35" s="10">
        <v>0.8</v>
      </c>
      <c r="BG35" s="10">
        <v>0.8</v>
      </c>
      <c r="BH35" s="10">
        <v>0.8</v>
      </c>
      <c r="BI35" s="10">
        <v>0.6</v>
      </c>
      <c r="BJ35" s="10">
        <v>0.8</v>
      </c>
      <c r="BK35" s="10">
        <v>0.5</v>
      </c>
      <c r="BL35" s="10">
        <v>0.8</v>
      </c>
      <c r="BM35" s="10">
        <v>0.6</v>
      </c>
      <c r="BN35" s="10">
        <v>0.8</v>
      </c>
      <c r="BO35" s="10">
        <v>0.6</v>
      </c>
      <c r="BP35" s="10">
        <v>0.8</v>
      </c>
      <c r="BQ35" s="10">
        <v>0.8</v>
      </c>
      <c r="BR35" s="10">
        <v>0.6</v>
      </c>
      <c r="BS35" s="10">
        <v>0.4</v>
      </c>
      <c r="BT35" s="10">
        <v>0.3</v>
      </c>
      <c r="BU35" s="10">
        <v>0.8</v>
      </c>
      <c r="BV35" s="10">
        <v>0.4</v>
      </c>
      <c r="BW35" s="10">
        <v>0.6</v>
      </c>
      <c r="BX35" s="10">
        <v>0.6</v>
      </c>
      <c r="BY35" s="10">
        <v>0.8</v>
      </c>
      <c r="BZ35" s="10">
        <v>0.8</v>
      </c>
      <c r="CB35" t="s">
        <v>109</v>
      </c>
    </row>
    <row r="36" spans="1:80" x14ac:dyDescent="0.2">
      <c r="B36" s="30"/>
      <c r="C36" s="13"/>
    </row>
    <row r="37" spans="1:80" x14ac:dyDescent="0.2">
      <c r="B37" t="s">
        <v>81</v>
      </c>
      <c r="C37" s="3">
        <f>SUM(D37:BZ37)</f>
        <v>103336545.05000001</v>
      </c>
      <c r="D37" s="10">
        <v>19085490.640000001</v>
      </c>
      <c r="E37" s="10">
        <v>1832609.43</v>
      </c>
      <c r="F37" s="10">
        <v>298303.09999999998</v>
      </c>
      <c r="G37" s="10">
        <v>242743.95</v>
      </c>
      <c r="H37" s="10">
        <v>278485.59999999998</v>
      </c>
      <c r="I37" s="10">
        <v>1090729.8799999999</v>
      </c>
      <c r="J37" s="10">
        <v>655906</v>
      </c>
      <c r="K37" s="10">
        <v>80593.850000000006</v>
      </c>
      <c r="L37" s="10">
        <v>110781</v>
      </c>
      <c r="M37" s="10">
        <v>230643.9</v>
      </c>
      <c r="N37" s="10">
        <v>475693.65</v>
      </c>
      <c r="O37" s="10">
        <v>1690738.79</v>
      </c>
      <c r="P37" s="10">
        <v>1855456.55</v>
      </c>
      <c r="Q37" s="10">
        <v>893512.1</v>
      </c>
      <c r="R37" s="10">
        <v>684173.95</v>
      </c>
      <c r="S37" s="10">
        <v>1428215.12</v>
      </c>
      <c r="T37" s="10">
        <v>952514.3</v>
      </c>
      <c r="U37" s="10">
        <v>987760.22</v>
      </c>
      <c r="V37" s="10">
        <v>832481.75</v>
      </c>
      <c r="W37" s="10">
        <v>1025995.51</v>
      </c>
      <c r="X37" s="10">
        <v>2586124.0499999998</v>
      </c>
      <c r="Y37" s="10">
        <v>819382.92</v>
      </c>
      <c r="Z37" s="10">
        <v>443822.7</v>
      </c>
      <c r="AA37" s="10">
        <v>2639182.4700000002</v>
      </c>
      <c r="AB37" s="134">
        <v>327266.56</v>
      </c>
      <c r="AC37" s="10">
        <v>2099310.23</v>
      </c>
      <c r="AD37" s="10">
        <v>568730.22</v>
      </c>
      <c r="AE37" s="10">
        <v>1562053.3</v>
      </c>
      <c r="AF37" s="10">
        <v>725417.45</v>
      </c>
      <c r="AG37" s="10">
        <v>1470721.6</v>
      </c>
      <c r="AH37" s="10">
        <v>2648500</v>
      </c>
      <c r="AI37" s="10">
        <v>1045815.75</v>
      </c>
      <c r="AJ37" s="10">
        <v>940561.5</v>
      </c>
      <c r="AK37" s="10">
        <v>1304820.8</v>
      </c>
      <c r="AL37" s="10">
        <v>1126258.1100000001</v>
      </c>
      <c r="AM37" s="10">
        <v>1798957.3</v>
      </c>
      <c r="AN37" s="10">
        <v>439520.47</v>
      </c>
      <c r="AO37" s="10">
        <v>2107271.25</v>
      </c>
      <c r="AP37" s="10">
        <v>1304555.68</v>
      </c>
      <c r="AQ37" s="10">
        <v>1235368.17</v>
      </c>
      <c r="AR37" s="10">
        <v>1014942.45</v>
      </c>
      <c r="AS37" s="10">
        <v>556772.69999999995</v>
      </c>
      <c r="AT37" s="10">
        <v>447628</v>
      </c>
      <c r="AU37" s="10">
        <v>776963.62</v>
      </c>
      <c r="AV37" s="10">
        <v>607312</v>
      </c>
      <c r="AW37" s="10">
        <v>935317.05</v>
      </c>
      <c r="AX37" s="10">
        <v>1387082.05</v>
      </c>
      <c r="AY37" s="10">
        <v>1499702.48</v>
      </c>
      <c r="AZ37" s="10">
        <v>983601.43</v>
      </c>
      <c r="BA37" s="10">
        <v>3165806.05</v>
      </c>
      <c r="BB37" s="10">
        <v>2279946.61</v>
      </c>
      <c r="BC37" s="10">
        <v>880430.65</v>
      </c>
      <c r="BD37" s="10">
        <v>694711.45</v>
      </c>
      <c r="BE37" s="10">
        <v>963323.25</v>
      </c>
      <c r="BF37" s="10">
        <v>1671666.57</v>
      </c>
      <c r="BG37" s="10">
        <v>356900.85</v>
      </c>
      <c r="BH37" s="10">
        <v>1035841.1</v>
      </c>
      <c r="BI37" s="10">
        <v>725891.95</v>
      </c>
      <c r="BJ37" s="10">
        <v>287068.19</v>
      </c>
      <c r="BK37" s="10">
        <v>309526.68</v>
      </c>
      <c r="BL37" s="10">
        <v>1959128.88</v>
      </c>
      <c r="BM37" s="10">
        <v>772391</v>
      </c>
      <c r="BN37" s="10">
        <v>1263500.6499999999</v>
      </c>
      <c r="BO37" s="10">
        <v>2078386.11</v>
      </c>
      <c r="BP37" s="10">
        <v>1836111.8</v>
      </c>
      <c r="BQ37" s="10">
        <v>700362.8</v>
      </c>
      <c r="BR37" s="10">
        <v>4235361.21</v>
      </c>
      <c r="BS37" s="10">
        <v>644060.4</v>
      </c>
      <c r="BT37" s="10">
        <v>426151.55</v>
      </c>
      <c r="BU37" s="10">
        <v>320542.64</v>
      </c>
      <c r="BV37" s="10">
        <v>331262.15000000002</v>
      </c>
      <c r="BW37" s="10">
        <v>3200069</v>
      </c>
      <c r="BX37" s="10">
        <v>331204.71999999997</v>
      </c>
      <c r="BY37" s="10">
        <v>739523.04</v>
      </c>
      <c r="BZ37" s="10">
        <v>1991584.15</v>
      </c>
      <c r="CB37" t="s">
        <v>108</v>
      </c>
    </row>
    <row r="38" spans="1:80" x14ac:dyDescent="0.2">
      <c r="B38" t="s">
        <v>82</v>
      </c>
      <c r="C38" s="3">
        <f>SUM(D38:BZ38)</f>
        <v>2871.3999999999996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10.7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311.14999999999998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0.23</v>
      </c>
      <c r="AQ38" s="10">
        <v>-8.4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0.95</v>
      </c>
      <c r="BA38" s="10">
        <v>0</v>
      </c>
      <c r="BB38" s="10">
        <v>0</v>
      </c>
      <c r="BC38" s="10">
        <v>0</v>
      </c>
      <c r="BD38" s="10">
        <v>1.5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41.19</v>
      </c>
      <c r="BL38" s="10">
        <v>108.03</v>
      </c>
      <c r="BM38" s="10">
        <v>0</v>
      </c>
      <c r="BN38" s="10">
        <v>0</v>
      </c>
      <c r="BO38" s="10">
        <v>1823</v>
      </c>
      <c r="BP38" s="10">
        <v>583.04999999999995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B38" t="s">
        <v>108</v>
      </c>
    </row>
    <row r="39" spans="1:80" x14ac:dyDescent="0.2">
      <c r="B39" t="s">
        <v>83</v>
      </c>
      <c r="C39" s="3">
        <f>SUM(D39:BZ39)</f>
        <v>103333673.64999999</v>
      </c>
      <c r="D39" s="3">
        <f>D37-D38</f>
        <v>19085490.640000001</v>
      </c>
      <c r="E39" s="3">
        <f t="shared" ref="E39:BN39" si="13">E37-E38</f>
        <v>1832609.43</v>
      </c>
      <c r="F39" s="3">
        <f t="shared" si="13"/>
        <v>298303.09999999998</v>
      </c>
      <c r="G39" s="3">
        <f t="shared" si="13"/>
        <v>242743.95</v>
      </c>
      <c r="H39" s="3">
        <f t="shared" si="13"/>
        <v>278485.59999999998</v>
      </c>
      <c r="I39" s="3">
        <f t="shared" si="13"/>
        <v>1090729.8799999999</v>
      </c>
      <c r="J39" s="3">
        <f t="shared" si="13"/>
        <v>655906</v>
      </c>
      <c r="K39" s="3">
        <f t="shared" si="13"/>
        <v>80593.850000000006</v>
      </c>
      <c r="L39" s="3">
        <f t="shared" si="13"/>
        <v>110781</v>
      </c>
      <c r="M39" s="3">
        <f t="shared" si="13"/>
        <v>230643.9</v>
      </c>
      <c r="N39" s="3">
        <f t="shared" si="13"/>
        <v>475693.65</v>
      </c>
      <c r="O39" s="3">
        <f t="shared" si="13"/>
        <v>1690738.79</v>
      </c>
      <c r="P39" s="3">
        <f t="shared" si="13"/>
        <v>1855456.55</v>
      </c>
      <c r="Q39" s="3">
        <f t="shared" si="13"/>
        <v>893512.1</v>
      </c>
      <c r="R39" s="3">
        <f t="shared" si="13"/>
        <v>684173.95</v>
      </c>
      <c r="S39" s="3">
        <f t="shared" si="13"/>
        <v>1428215.12</v>
      </c>
      <c r="T39" s="3">
        <f t="shared" si="13"/>
        <v>952514.3</v>
      </c>
      <c r="U39" s="3">
        <f t="shared" si="13"/>
        <v>987760.22</v>
      </c>
      <c r="V39" s="3">
        <f t="shared" si="13"/>
        <v>832471.05</v>
      </c>
      <c r="W39" s="3">
        <f t="shared" si="13"/>
        <v>1025995.51</v>
      </c>
      <c r="X39" s="3">
        <f t="shared" si="13"/>
        <v>2586124.0499999998</v>
      </c>
      <c r="Y39" s="3">
        <f t="shared" si="13"/>
        <v>819382.92</v>
      </c>
      <c r="Z39" s="3">
        <f t="shared" si="13"/>
        <v>443822.7</v>
      </c>
      <c r="AA39" s="3">
        <f t="shared" si="13"/>
        <v>2639182.4700000002</v>
      </c>
      <c r="AB39" s="3">
        <f t="shared" si="13"/>
        <v>327266.56</v>
      </c>
      <c r="AC39" s="3">
        <f t="shared" si="13"/>
        <v>2098999.08</v>
      </c>
      <c r="AD39" s="3">
        <f t="shared" si="13"/>
        <v>568730.22</v>
      </c>
      <c r="AE39" s="3">
        <f t="shared" si="13"/>
        <v>1562053.3</v>
      </c>
      <c r="AF39" s="3">
        <f t="shared" si="13"/>
        <v>725417.45</v>
      </c>
      <c r="AG39" s="3">
        <f t="shared" si="13"/>
        <v>1470721.6</v>
      </c>
      <c r="AH39" s="3">
        <f t="shared" si="13"/>
        <v>2648500</v>
      </c>
      <c r="AI39" s="3">
        <f t="shared" si="13"/>
        <v>1045815.75</v>
      </c>
      <c r="AJ39" s="3">
        <f t="shared" si="13"/>
        <v>940561.5</v>
      </c>
      <c r="AK39" s="3">
        <f t="shared" si="13"/>
        <v>1304820.8</v>
      </c>
      <c r="AL39" s="3">
        <f t="shared" si="13"/>
        <v>1126258.1100000001</v>
      </c>
      <c r="AM39" s="3">
        <f t="shared" si="13"/>
        <v>1798957.3</v>
      </c>
      <c r="AN39" s="3">
        <f t="shared" si="13"/>
        <v>439520.47</v>
      </c>
      <c r="AO39" s="3">
        <f t="shared" si="13"/>
        <v>2107271.25</v>
      </c>
      <c r="AP39" s="3">
        <f t="shared" si="13"/>
        <v>1304555.45</v>
      </c>
      <c r="AQ39" s="3">
        <f t="shared" si="13"/>
        <v>1235376.5699999998</v>
      </c>
      <c r="AR39" s="3">
        <f t="shared" si="13"/>
        <v>1014942.45</v>
      </c>
      <c r="AS39" s="3">
        <f t="shared" si="13"/>
        <v>556772.69999999995</v>
      </c>
      <c r="AT39" s="3">
        <f t="shared" si="13"/>
        <v>447628</v>
      </c>
      <c r="AU39" s="3">
        <f t="shared" si="13"/>
        <v>776963.62</v>
      </c>
      <c r="AV39" s="3">
        <f t="shared" si="13"/>
        <v>607312</v>
      </c>
      <c r="AW39" s="3">
        <f t="shared" si="13"/>
        <v>935317.05</v>
      </c>
      <c r="AX39" s="3">
        <f t="shared" si="13"/>
        <v>1387082.05</v>
      </c>
      <c r="AY39" s="3">
        <f t="shared" si="13"/>
        <v>1499702.48</v>
      </c>
      <c r="AZ39" s="3">
        <f t="shared" si="13"/>
        <v>983600.4800000001</v>
      </c>
      <c r="BA39" s="3">
        <f t="shared" si="13"/>
        <v>3165806.05</v>
      </c>
      <c r="BB39" s="3">
        <f t="shared" si="13"/>
        <v>2279946.61</v>
      </c>
      <c r="BC39" s="3">
        <f t="shared" si="13"/>
        <v>880430.65</v>
      </c>
      <c r="BD39" s="3">
        <f t="shared" si="13"/>
        <v>694709.95</v>
      </c>
      <c r="BE39" s="3">
        <f t="shared" si="13"/>
        <v>963323.25</v>
      </c>
      <c r="BF39" s="3">
        <f t="shared" si="13"/>
        <v>1671666.57</v>
      </c>
      <c r="BG39" s="3">
        <f t="shared" si="13"/>
        <v>356900.85</v>
      </c>
      <c r="BH39" s="3">
        <f t="shared" ref="BH39" si="14">BH37-BH38</f>
        <v>1035841.1</v>
      </c>
      <c r="BI39" s="3">
        <f t="shared" si="13"/>
        <v>725891.95</v>
      </c>
      <c r="BJ39" s="3">
        <f t="shared" si="13"/>
        <v>287068.19</v>
      </c>
      <c r="BK39" s="3">
        <f t="shared" si="13"/>
        <v>309485.49</v>
      </c>
      <c r="BL39" s="3">
        <f t="shared" si="13"/>
        <v>1959020.8499999999</v>
      </c>
      <c r="BM39" s="3">
        <f t="shared" si="13"/>
        <v>772391</v>
      </c>
      <c r="BN39" s="3">
        <f t="shared" si="13"/>
        <v>1263500.6499999999</v>
      </c>
      <c r="BO39" s="3">
        <f t="shared" ref="BO39:BZ39" si="15">BO37-BO38</f>
        <v>2076563.11</v>
      </c>
      <c r="BP39" s="3">
        <f t="shared" si="15"/>
        <v>1835528.75</v>
      </c>
      <c r="BQ39" s="3">
        <f t="shared" si="15"/>
        <v>700362.8</v>
      </c>
      <c r="BR39" s="3">
        <f t="shared" si="15"/>
        <v>4235361.21</v>
      </c>
      <c r="BS39" s="3">
        <f t="shared" si="15"/>
        <v>644060.4</v>
      </c>
      <c r="BT39" s="3">
        <f t="shared" si="15"/>
        <v>426151.55</v>
      </c>
      <c r="BU39" s="3">
        <f t="shared" si="15"/>
        <v>320542.64</v>
      </c>
      <c r="BV39" s="3">
        <f t="shared" si="15"/>
        <v>331262.15000000002</v>
      </c>
      <c r="BW39" s="3">
        <f t="shared" si="15"/>
        <v>3200069</v>
      </c>
      <c r="BX39" s="3">
        <f t="shared" si="15"/>
        <v>331204.71999999997</v>
      </c>
      <c r="BY39" s="3">
        <f t="shared" si="15"/>
        <v>739523.04</v>
      </c>
      <c r="BZ39" s="3">
        <f t="shared" si="15"/>
        <v>1991584.15</v>
      </c>
    </row>
    <row r="40" spans="1:80" x14ac:dyDescent="0.2">
      <c r="C40" s="3"/>
    </row>
    <row r="41" spans="1:80" x14ac:dyDescent="0.2">
      <c r="B41" t="s">
        <v>92</v>
      </c>
      <c r="C41" s="3">
        <f>SUM(D41:BZ41)</f>
        <v>150580186.70535719</v>
      </c>
      <c r="D41" s="3">
        <f>D39/D35</f>
        <v>23856863.300000001</v>
      </c>
      <c r="E41" s="3">
        <f t="shared" ref="E41:BN41" si="16">E39/E35</f>
        <v>2290761.7874999996</v>
      </c>
      <c r="F41" s="3">
        <f t="shared" si="16"/>
        <v>372878.87499999994</v>
      </c>
      <c r="G41" s="3">
        <f t="shared" si="16"/>
        <v>303429.9375</v>
      </c>
      <c r="H41" s="3">
        <f t="shared" si="16"/>
        <v>1392427.9999999998</v>
      </c>
      <c r="I41" s="3">
        <f t="shared" si="16"/>
        <v>2726824.6999999997</v>
      </c>
      <c r="J41" s="3">
        <f t="shared" si="16"/>
        <v>1093176.6666666667</v>
      </c>
      <c r="K41" s="3">
        <f t="shared" si="16"/>
        <v>268646.16666666669</v>
      </c>
      <c r="L41" s="3">
        <f t="shared" si="16"/>
        <v>553905</v>
      </c>
      <c r="M41" s="3">
        <f t="shared" si="16"/>
        <v>288304.875</v>
      </c>
      <c r="N41" s="3">
        <f t="shared" si="16"/>
        <v>594617.0625</v>
      </c>
      <c r="O41" s="3">
        <f t="shared" si="16"/>
        <v>2113423.4874999998</v>
      </c>
      <c r="P41" s="3">
        <f t="shared" si="16"/>
        <v>2319320.6875</v>
      </c>
      <c r="Q41" s="3">
        <f t="shared" si="16"/>
        <v>2233780.25</v>
      </c>
      <c r="R41" s="3">
        <f t="shared" si="16"/>
        <v>855217.43749999988</v>
      </c>
      <c r="S41" s="3">
        <f t="shared" si="16"/>
        <v>1785268.9000000001</v>
      </c>
      <c r="T41" s="3">
        <f t="shared" si="16"/>
        <v>2381285.75</v>
      </c>
      <c r="U41" s="3">
        <f t="shared" si="16"/>
        <v>1234700.2749999999</v>
      </c>
      <c r="V41" s="3">
        <f t="shared" si="16"/>
        <v>1664942.1</v>
      </c>
      <c r="W41" s="3">
        <f t="shared" si="16"/>
        <v>2051991.02</v>
      </c>
      <c r="X41" s="3">
        <f t="shared" si="16"/>
        <v>3232655.0624999995</v>
      </c>
      <c r="Y41" s="3">
        <f t="shared" si="16"/>
        <v>1170547.0285714287</v>
      </c>
      <c r="Z41" s="3">
        <f t="shared" si="16"/>
        <v>554778.375</v>
      </c>
      <c r="AA41" s="3">
        <f t="shared" si="16"/>
        <v>3298978.0874999999</v>
      </c>
      <c r="AB41" s="3">
        <f t="shared" si="16"/>
        <v>409083.19999999995</v>
      </c>
      <c r="AC41" s="3">
        <f t="shared" si="16"/>
        <v>2623748.85</v>
      </c>
      <c r="AD41" s="3">
        <f t="shared" si="16"/>
        <v>710912.77499999991</v>
      </c>
      <c r="AE41" s="3">
        <f t="shared" si="16"/>
        <v>1952566.625</v>
      </c>
      <c r="AF41" s="3">
        <f t="shared" si="16"/>
        <v>906771.81249999988</v>
      </c>
      <c r="AG41" s="3">
        <f t="shared" si="16"/>
        <v>1838402</v>
      </c>
      <c r="AH41" s="3">
        <f t="shared" si="16"/>
        <v>3783571.4285714286</v>
      </c>
      <c r="AI41" s="3">
        <f t="shared" si="16"/>
        <v>1307269.6875</v>
      </c>
      <c r="AJ41" s="3">
        <f t="shared" si="16"/>
        <v>1343659.2857142859</v>
      </c>
      <c r="AK41" s="3">
        <f t="shared" si="16"/>
        <v>1631026</v>
      </c>
      <c r="AL41" s="3">
        <f t="shared" si="16"/>
        <v>1407822.6375</v>
      </c>
      <c r="AM41" s="3">
        <f t="shared" si="16"/>
        <v>2248696.625</v>
      </c>
      <c r="AN41" s="3">
        <f t="shared" si="16"/>
        <v>549400.58749999991</v>
      </c>
      <c r="AO41" s="3">
        <f t="shared" si="16"/>
        <v>2634089.0625</v>
      </c>
      <c r="AP41" s="3">
        <f t="shared" si="16"/>
        <v>1630694.3124999998</v>
      </c>
      <c r="AQ41" s="3">
        <f t="shared" si="16"/>
        <v>1544220.7124999997</v>
      </c>
      <c r="AR41" s="3">
        <f t="shared" si="16"/>
        <v>1268678.0624999998</v>
      </c>
      <c r="AS41" s="3">
        <f t="shared" si="16"/>
        <v>695965.87499999988</v>
      </c>
      <c r="AT41" s="3">
        <f t="shared" si="16"/>
        <v>559535</v>
      </c>
      <c r="AU41" s="3">
        <f t="shared" si="16"/>
        <v>971204.52499999991</v>
      </c>
      <c r="AV41" s="3">
        <f t="shared" si="16"/>
        <v>759140</v>
      </c>
      <c r="AW41" s="3">
        <f t="shared" si="16"/>
        <v>1169146.3125</v>
      </c>
      <c r="AX41" s="3">
        <f t="shared" si="16"/>
        <v>1733852.5625</v>
      </c>
      <c r="AY41" s="3">
        <f t="shared" si="16"/>
        <v>1874628.0999999999</v>
      </c>
      <c r="AZ41" s="3">
        <f t="shared" si="16"/>
        <v>1229500.6000000001</v>
      </c>
      <c r="BA41" s="3">
        <f t="shared" si="16"/>
        <v>10552686.833333334</v>
      </c>
      <c r="BB41" s="3">
        <f t="shared" si="16"/>
        <v>2849933.2624999997</v>
      </c>
      <c r="BC41" s="3">
        <f t="shared" si="16"/>
        <v>1100538.3125</v>
      </c>
      <c r="BD41" s="3">
        <f t="shared" si="16"/>
        <v>868387.43749999988</v>
      </c>
      <c r="BE41" s="3">
        <f t="shared" si="16"/>
        <v>1204154.0625</v>
      </c>
      <c r="BF41" s="3">
        <f t="shared" si="16"/>
        <v>2089583.2124999999</v>
      </c>
      <c r="BG41" s="3">
        <f t="shared" si="16"/>
        <v>446126.06249999994</v>
      </c>
      <c r="BH41" s="3">
        <f t="shared" ref="BH41" si="17">BH39/BH35</f>
        <v>1294801.375</v>
      </c>
      <c r="BI41" s="3">
        <f t="shared" si="16"/>
        <v>1209819.9166666667</v>
      </c>
      <c r="BJ41" s="3">
        <f t="shared" si="16"/>
        <v>358835.23749999999</v>
      </c>
      <c r="BK41" s="3">
        <f t="shared" si="16"/>
        <v>618970.98</v>
      </c>
      <c r="BL41" s="3">
        <f t="shared" si="16"/>
        <v>2448776.0624999995</v>
      </c>
      <c r="BM41" s="3">
        <f t="shared" si="16"/>
        <v>1287318.3333333335</v>
      </c>
      <c r="BN41" s="3">
        <f t="shared" si="16"/>
        <v>1579375.8124999998</v>
      </c>
      <c r="BO41" s="3">
        <f t="shared" ref="BO41:BZ41" si="18">BO39/BO35</f>
        <v>3460938.5166666671</v>
      </c>
      <c r="BP41" s="3">
        <f t="shared" si="18"/>
        <v>2294410.9375</v>
      </c>
      <c r="BQ41" s="3">
        <f t="shared" si="18"/>
        <v>875453.5</v>
      </c>
      <c r="BR41" s="3">
        <f t="shared" si="18"/>
        <v>7058935.3500000006</v>
      </c>
      <c r="BS41" s="3">
        <f t="shared" si="18"/>
        <v>1610151</v>
      </c>
      <c r="BT41" s="3">
        <f t="shared" si="18"/>
        <v>1420505.1666666667</v>
      </c>
      <c r="BU41" s="3">
        <f t="shared" si="18"/>
        <v>400678.3</v>
      </c>
      <c r="BV41" s="3">
        <f t="shared" si="18"/>
        <v>828155.375</v>
      </c>
      <c r="BW41" s="3">
        <f t="shared" si="18"/>
        <v>5333448.333333334</v>
      </c>
      <c r="BX41" s="3">
        <f t="shared" si="18"/>
        <v>552007.8666666667</v>
      </c>
      <c r="BY41" s="3">
        <f t="shared" si="18"/>
        <v>924403.8</v>
      </c>
      <c r="BZ41" s="3">
        <f t="shared" si="18"/>
        <v>2489480.1874999995</v>
      </c>
    </row>
    <row r="42" spans="1:80" x14ac:dyDescent="0.2">
      <c r="C42" s="13"/>
    </row>
    <row r="43" spans="1:80" x14ac:dyDescent="0.2">
      <c r="B43" s="19" t="s">
        <v>89</v>
      </c>
      <c r="C43" s="13">
        <f>C41*$C35</f>
        <v>103333673.64999999</v>
      </c>
      <c r="D43" s="13">
        <f>D41*$C35</f>
        <v>16371458.825314078</v>
      </c>
      <c r="E43" s="13">
        <f t="shared" ref="E43:BN43" si="19">E41*$C35</f>
        <v>1572005.1630869312</v>
      </c>
      <c r="F43" s="13">
        <f t="shared" si="19"/>
        <v>255883.22622831704</v>
      </c>
      <c r="G43" s="13">
        <f t="shared" si="19"/>
        <v>208224.8058213451</v>
      </c>
      <c r="H43" s="13">
        <f t="shared" si="19"/>
        <v>955535.41060925764</v>
      </c>
      <c r="I43" s="13">
        <f t="shared" si="19"/>
        <v>1871247.6044534913</v>
      </c>
      <c r="J43" s="13">
        <f t="shared" si="19"/>
        <v>750178.11696676107</v>
      </c>
      <c r="K43" s="13">
        <f t="shared" si="19"/>
        <v>184354.90034273689</v>
      </c>
      <c r="L43" s="13">
        <f t="shared" si="19"/>
        <v>380110.02480093832</v>
      </c>
      <c r="M43" s="13">
        <f t="shared" si="19"/>
        <v>197845.43050971089</v>
      </c>
      <c r="N43" s="13">
        <f t="shared" si="19"/>
        <v>408048.14250446571</v>
      </c>
      <c r="O43" s="13">
        <f t="shared" si="19"/>
        <v>1450309.0859416514</v>
      </c>
      <c r="P43" s="13">
        <f t="shared" si="19"/>
        <v>1591603.3327862255</v>
      </c>
      <c r="Q43" s="13">
        <f t="shared" si="19"/>
        <v>1532902.3320377071</v>
      </c>
      <c r="R43" s="13">
        <f t="shared" si="19"/>
        <v>586881.72408322699</v>
      </c>
      <c r="S43" s="13">
        <f t="shared" si="19"/>
        <v>1225117.3140797499</v>
      </c>
      <c r="T43" s="13">
        <f t="shared" si="19"/>
        <v>1634126.0423549544</v>
      </c>
      <c r="U43" s="13">
        <f t="shared" si="19"/>
        <v>847296.83276369644</v>
      </c>
      <c r="V43" s="13">
        <f t="shared" si="19"/>
        <v>1142544.6293554425</v>
      </c>
      <c r="W43" s="13">
        <f t="shared" si="19"/>
        <v>1408151.862690358</v>
      </c>
      <c r="X43" s="13">
        <f t="shared" si="19"/>
        <v>2218367.0412430898</v>
      </c>
      <c r="Y43" s="13">
        <f t="shared" si="19"/>
        <v>803272.5107391167</v>
      </c>
      <c r="Z43" s="13">
        <f t="shared" si="19"/>
        <v>380709.36691359396</v>
      </c>
      <c r="AA43" s="13">
        <f t="shared" si="19"/>
        <v>2263880.3452891326</v>
      </c>
      <c r="AB43" s="13">
        <f t="shared" si="19"/>
        <v>280727.96832967241</v>
      </c>
      <c r="AC43" s="13">
        <f t="shared" si="19"/>
        <v>1800513.1573914902</v>
      </c>
      <c r="AD43" s="13">
        <f t="shared" si="19"/>
        <v>487854.54642322031</v>
      </c>
      <c r="AE43" s="13">
        <f t="shared" si="19"/>
        <v>1339923.1786213059</v>
      </c>
      <c r="AF43" s="13">
        <f t="shared" si="19"/>
        <v>622260.2362104815</v>
      </c>
      <c r="AG43" s="13">
        <f t="shared" si="19"/>
        <v>1261579.2054848657</v>
      </c>
      <c r="AH43" s="13">
        <f t="shared" si="19"/>
        <v>2596426.1552981241</v>
      </c>
      <c r="AI43" s="13">
        <f t="shared" si="19"/>
        <v>897096.63811870245</v>
      </c>
      <c r="AJ43" s="13">
        <f t="shared" si="19"/>
        <v>922068.52152782201</v>
      </c>
      <c r="AK43" s="13">
        <f t="shared" si="19"/>
        <v>1119270.1515800997</v>
      </c>
      <c r="AL43" s="13">
        <f t="shared" si="19"/>
        <v>966099.77822089952</v>
      </c>
      <c r="AM43" s="13">
        <f t="shared" si="19"/>
        <v>1543138.4982958022</v>
      </c>
      <c r="AN43" s="13">
        <f t="shared" si="19"/>
        <v>377018.93093630683</v>
      </c>
      <c r="AO43" s="13">
        <f t="shared" si="19"/>
        <v>1807608.9922906552</v>
      </c>
      <c r="AP43" s="13">
        <f t="shared" si="19"/>
        <v>1119042.5353934772</v>
      </c>
      <c r="AQ43" s="13">
        <f t="shared" si="19"/>
        <v>1059701.1641463744</v>
      </c>
      <c r="AR43" s="13">
        <f t="shared" si="19"/>
        <v>870613.64277499076</v>
      </c>
      <c r="AS43" s="13">
        <f t="shared" si="19"/>
        <v>477597.4327851467</v>
      </c>
      <c r="AT43" s="13">
        <f t="shared" si="19"/>
        <v>383973.53829084954</v>
      </c>
      <c r="AU43" s="13">
        <f t="shared" si="19"/>
        <v>666476.33815281221</v>
      </c>
      <c r="AV43" s="13">
        <f t="shared" si="19"/>
        <v>520949.84560057102</v>
      </c>
      <c r="AW43" s="13">
        <f t="shared" si="19"/>
        <v>802311.28774844168</v>
      </c>
      <c r="AX43" s="13">
        <f t="shared" si="19"/>
        <v>1189833.5283722759</v>
      </c>
      <c r="AY43" s="13">
        <f t="shared" si="19"/>
        <v>1286438.8903937242</v>
      </c>
      <c r="AZ43" s="13">
        <f t="shared" si="19"/>
        <v>843728.62414812751</v>
      </c>
      <c r="BA43" s="13">
        <f t="shared" si="19"/>
        <v>7241642.6172987586</v>
      </c>
      <c r="BB43" s="13">
        <f t="shared" si="19"/>
        <v>1955729.2371253083</v>
      </c>
      <c r="BC43" s="13">
        <f t="shared" si="19"/>
        <v>755229.9496461628</v>
      </c>
      <c r="BD43" s="13">
        <f t="shared" si="19"/>
        <v>595919.46345483104</v>
      </c>
      <c r="BE43" s="13">
        <f t="shared" si="19"/>
        <v>826334.89598581998</v>
      </c>
      <c r="BF43" s="13">
        <f t="shared" si="19"/>
        <v>1433949.0106191481</v>
      </c>
      <c r="BG43" s="13">
        <f t="shared" si="19"/>
        <v>306148.14576727041</v>
      </c>
      <c r="BH43" s="13">
        <f t="shared" ref="BH43" si="20">BH41*$C35</f>
        <v>888540.4225698252</v>
      </c>
      <c r="BI43" s="13">
        <f t="shared" si="19"/>
        <v>830223.01392627938</v>
      </c>
      <c r="BJ43" s="13">
        <f t="shared" si="19"/>
        <v>246245.96460688309</v>
      </c>
      <c r="BK43" s="13">
        <f t="shared" si="19"/>
        <v>424760.69824042224</v>
      </c>
      <c r="BL43" s="13">
        <f t="shared" si="19"/>
        <v>1680440.3821031023</v>
      </c>
      <c r="BM43" s="13">
        <f t="shared" si="19"/>
        <v>883405.28359562729</v>
      </c>
      <c r="BN43" s="13">
        <f t="shared" si="19"/>
        <v>1083825.8893842392</v>
      </c>
      <c r="BO43" s="13">
        <f t="shared" ref="BO43:BZ43" si="21">BO41*$C35</f>
        <v>2375023.5607273621</v>
      </c>
      <c r="BP43" s="13">
        <f t="shared" si="21"/>
        <v>1574509.3443039313</v>
      </c>
      <c r="BQ43" s="13">
        <f t="shared" si="21"/>
        <v>600768.45595737221</v>
      </c>
      <c r="BR43" s="13">
        <f t="shared" si="21"/>
        <v>4844101.5895446334</v>
      </c>
      <c r="BS43" s="13">
        <f t="shared" si="21"/>
        <v>1104944.9572458374</v>
      </c>
      <c r="BT43" s="13">
        <f t="shared" si="21"/>
        <v>974802.99714125646</v>
      </c>
      <c r="BU43" s="13">
        <f t="shared" si="21"/>
        <v>274960.21619266446</v>
      </c>
      <c r="BV43" s="13">
        <f t="shared" si="21"/>
        <v>568310.73944138503</v>
      </c>
      <c r="BW43" s="13">
        <f t="shared" si="21"/>
        <v>3660008.8070298275</v>
      </c>
      <c r="BX43" s="13">
        <f t="shared" si="21"/>
        <v>378808.14199001587</v>
      </c>
      <c r="BY43" s="13">
        <f t="shared" si="21"/>
        <v>634359.95584817184</v>
      </c>
      <c r="BZ43" s="13">
        <f t="shared" si="21"/>
        <v>1708373.0528015983</v>
      </c>
    </row>
    <row r="44" spans="1:80" x14ac:dyDescent="0.2">
      <c r="C44" s="13"/>
    </row>
    <row r="45" spans="1:80" x14ac:dyDescent="0.2">
      <c r="A45" s="23" t="s">
        <v>151</v>
      </c>
      <c r="B45" s="24" t="s">
        <v>85</v>
      </c>
      <c r="C45" s="14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</row>
    <row r="46" spans="1:80" x14ac:dyDescent="0.2">
      <c r="B46" t="s">
        <v>81</v>
      </c>
      <c r="C46" s="3">
        <f>SUM(D46:BZ46)</f>
        <v>1630051.2199999995</v>
      </c>
      <c r="D46" s="7">
        <v>339501.63</v>
      </c>
      <c r="E46" s="7">
        <v>31977.08</v>
      </c>
      <c r="F46" s="7">
        <v>3326.5</v>
      </c>
      <c r="G46" s="7">
        <v>2921.6</v>
      </c>
      <c r="H46" s="7">
        <v>10930.4</v>
      </c>
      <c r="I46" s="7">
        <v>16285.84</v>
      </c>
      <c r="J46" s="7">
        <v>14374</v>
      </c>
      <c r="K46" s="7">
        <v>1878.3</v>
      </c>
      <c r="L46" s="7">
        <v>0</v>
      </c>
      <c r="M46" s="7">
        <v>2843.15</v>
      </c>
      <c r="N46" s="7">
        <v>6184.3</v>
      </c>
      <c r="O46" s="7">
        <v>17053.2</v>
      </c>
      <c r="P46" s="7">
        <v>37120.6</v>
      </c>
      <c r="Q46" s="7">
        <v>23900.5</v>
      </c>
      <c r="R46" s="7">
        <v>12555.95</v>
      </c>
      <c r="S46" s="7">
        <v>13203.52</v>
      </c>
      <c r="T46" s="7">
        <v>29035.09</v>
      </c>
      <c r="U46" s="7">
        <v>7458.6</v>
      </c>
      <c r="V46" s="7">
        <v>11143.4</v>
      </c>
      <c r="W46" s="7">
        <v>21788.44</v>
      </c>
      <c r="X46" s="7">
        <v>20549.95</v>
      </c>
      <c r="Y46" s="7">
        <v>7968.2</v>
      </c>
      <c r="Z46" s="7">
        <v>3863.04</v>
      </c>
      <c r="AA46" s="7">
        <v>42924.98</v>
      </c>
      <c r="AB46" s="7">
        <v>2200</v>
      </c>
      <c r="AC46" s="7">
        <v>25820.27</v>
      </c>
      <c r="AD46" s="7">
        <v>4020.62</v>
      </c>
      <c r="AE46" s="7">
        <v>27408.15</v>
      </c>
      <c r="AF46" s="7">
        <v>7667.8</v>
      </c>
      <c r="AG46" s="7">
        <v>44157.05</v>
      </c>
      <c r="AH46" s="7">
        <v>33433</v>
      </c>
      <c r="AI46" s="7">
        <v>9619.2000000000007</v>
      </c>
      <c r="AJ46" s="7">
        <v>11965.55</v>
      </c>
      <c r="AK46" s="7">
        <v>12319.75</v>
      </c>
      <c r="AL46" s="7">
        <v>9797.75</v>
      </c>
      <c r="AM46" s="7">
        <v>11665.5</v>
      </c>
      <c r="AN46" s="7">
        <v>25600.94</v>
      </c>
      <c r="AO46" s="7">
        <v>27212.95</v>
      </c>
      <c r="AP46" s="7">
        <v>11985.38</v>
      </c>
      <c r="AQ46" s="7">
        <v>11991.8</v>
      </c>
      <c r="AR46" s="7">
        <v>184.2</v>
      </c>
      <c r="AS46" s="7">
        <v>5690.15</v>
      </c>
      <c r="AT46" s="7">
        <v>6231</v>
      </c>
      <c r="AU46" s="7">
        <v>6864.64</v>
      </c>
      <c r="AV46" s="7">
        <v>6029</v>
      </c>
      <c r="AW46" s="7">
        <v>8935.25</v>
      </c>
      <c r="AX46" s="7">
        <v>11471</v>
      </c>
      <c r="AY46" s="7">
        <v>25841.94</v>
      </c>
      <c r="AZ46" s="7">
        <v>13783.6</v>
      </c>
      <c r="BA46" s="7">
        <v>105516.6</v>
      </c>
      <c r="BB46" s="7">
        <v>22402.69</v>
      </c>
      <c r="BC46" s="7">
        <v>8108.2</v>
      </c>
      <c r="BD46" s="7">
        <v>19866.849999999999</v>
      </c>
      <c r="BE46" s="7">
        <v>14631.22</v>
      </c>
      <c r="BF46" s="7">
        <v>30194.25</v>
      </c>
      <c r="BG46" s="7">
        <v>4183.55</v>
      </c>
      <c r="BH46" s="7">
        <v>22689.599999999999</v>
      </c>
      <c r="BI46" s="7">
        <v>17348.7</v>
      </c>
      <c r="BJ46" s="7">
        <v>919.57</v>
      </c>
      <c r="BK46" s="7">
        <v>10660.26</v>
      </c>
      <c r="BL46" s="7">
        <v>30306.66</v>
      </c>
      <c r="BM46" s="7">
        <v>8419</v>
      </c>
      <c r="BN46" s="7">
        <v>15453.7</v>
      </c>
      <c r="BO46" s="7">
        <v>32753.200000000001</v>
      </c>
      <c r="BP46" s="7">
        <v>27197.45</v>
      </c>
      <c r="BQ46" s="7">
        <v>12695.25</v>
      </c>
      <c r="BR46" s="7">
        <v>102501.85</v>
      </c>
      <c r="BS46" s="7">
        <v>8751.25</v>
      </c>
      <c r="BT46" s="7">
        <v>10761.95</v>
      </c>
      <c r="BU46" s="7">
        <v>1268.4000000000001</v>
      </c>
      <c r="BV46" s="7">
        <v>8016.65</v>
      </c>
      <c r="BW46" s="7">
        <v>32040</v>
      </c>
      <c r="BX46" s="7">
        <v>5595.4</v>
      </c>
      <c r="BY46" s="7">
        <v>12916.96</v>
      </c>
      <c r="BZ46" s="7">
        <v>24167.25</v>
      </c>
      <c r="CB46" t="s">
        <v>108</v>
      </c>
    </row>
    <row r="47" spans="1:80" x14ac:dyDescent="0.2">
      <c r="B47" t="s">
        <v>82</v>
      </c>
      <c r="C47" s="3">
        <f>SUM(D47:BZ47)</f>
        <v>12.11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0.2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11.71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0.2</v>
      </c>
      <c r="BY47" s="7">
        <v>0</v>
      </c>
      <c r="BZ47" s="7">
        <v>0</v>
      </c>
      <c r="CB47" t="s">
        <v>108</v>
      </c>
    </row>
    <row r="48" spans="1:80" s="19" customFormat="1" x14ac:dyDescent="0.2">
      <c r="B48" s="19" t="s">
        <v>90</v>
      </c>
      <c r="C48" s="13">
        <f>SUM(D48:BZ48)</f>
        <v>1630039.1099999996</v>
      </c>
      <c r="D48" s="13">
        <f>D46-D47</f>
        <v>339501.63</v>
      </c>
      <c r="E48" s="13">
        <f t="shared" ref="E48:BN48" si="22">E46-E47</f>
        <v>31977.08</v>
      </c>
      <c r="F48" s="13">
        <f t="shared" si="22"/>
        <v>3326.5</v>
      </c>
      <c r="G48" s="13">
        <f t="shared" si="22"/>
        <v>2921.6</v>
      </c>
      <c r="H48" s="13">
        <f t="shared" si="22"/>
        <v>10930.4</v>
      </c>
      <c r="I48" s="13">
        <f t="shared" si="22"/>
        <v>16285.84</v>
      </c>
      <c r="J48" s="13">
        <f t="shared" si="22"/>
        <v>14373.8</v>
      </c>
      <c r="K48" s="13">
        <f t="shared" si="22"/>
        <v>1878.3</v>
      </c>
      <c r="L48" s="13">
        <f t="shared" si="22"/>
        <v>0</v>
      </c>
      <c r="M48" s="13">
        <f t="shared" si="22"/>
        <v>2843.15</v>
      </c>
      <c r="N48" s="13">
        <f t="shared" si="22"/>
        <v>6184.3</v>
      </c>
      <c r="O48" s="13">
        <f t="shared" si="22"/>
        <v>17053.2</v>
      </c>
      <c r="P48" s="13">
        <f t="shared" si="22"/>
        <v>37120.6</v>
      </c>
      <c r="Q48" s="13">
        <f t="shared" si="22"/>
        <v>23900.5</v>
      </c>
      <c r="R48" s="13">
        <f t="shared" si="22"/>
        <v>12555.95</v>
      </c>
      <c r="S48" s="13">
        <f t="shared" si="22"/>
        <v>13203.52</v>
      </c>
      <c r="T48" s="13">
        <f t="shared" si="22"/>
        <v>29035.09</v>
      </c>
      <c r="U48" s="13">
        <f t="shared" si="22"/>
        <v>7458.6</v>
      </c>
      <c r="V48" s="13">
        <f t="shared" si="22"/>
        <v>11143.4</v>
      </c>
      <c r="W48" s="13">
        <f t="shared" si="22"/>
        <v>21788.44</v>
      </c>
      <c r="X48" s="13">
        <f t="shared" si="22"/>
        <v>20549.95</v>
      </c>
      <c r="Y48" s="13">
        <f t="shared" si="22"/>
        <v>7968.2</v>
      </c>
      <c r="Z48" s="13">
        <f t="shared" si="22"/>
        <v>3863.04</v>
      </c>
      <c r="AA48" s="13">
        <f t="shared" si="22"/>
        <v>42924.98</v>
      </c>
      <c r="AB48" s="13">
        <f t="shared" si="22"/>
        <v>2200</v>
      </c>
      <c r="AC48" s="13">
        <f t="shared" si="22"/>
        <v>25820.27</v>
      </c>
      <c r="AD48" s="13">
        <f t="shared" si="22"/>
        <v>4020.62</v>
      </c>
      <c r="AE48" s="13">
        <f t="shared" si="22"/>
        <v>27408.15</v>
      </c>
      <c r="AF48" s="13">
        <f t="shared" si="22"/>
        <v>7667.8</v>
      </c>
      <c r="AG48" s="13">
        <f t="shared" si="22"/>
        <v>44157.05</v>
      </c>
      <c r="AH48" s="13">
        <f t="shared" si="22"/>
        <v>33433</v>
      </c>
      <c r="AI48" s="13">
        <f t="shared" si="22"/>
        <v>9619.2000000000007</v>
      </c>
      <c r="AJ48" s="13">
        <f t="shared" si="22"/>
        <v>11965.55</v>
      </c>
      <c r="AK48" s="13">
        <f t="shared" si="22"/>
        <v>12319.75</v>
      </c>
      <c r="AL48" s="13">
        <f t="shared" si="22"/>
        <v>9797.75</v>
      </c>
      <c r="AM48" s="13">
        <f t="shared" si="22"/>
        <v>11665.5</v>
      </c>
      <c r="AN48" s="13">
        <f t="shared" si="22"/>
        <v>25600.94</v>
      </c>
      <c r="AO48" s="13">
        <f t="shared" si="22"/>
        <v>27212.95</v>
      </c>
      <c r="AP48" s="13">
        <f t="shared" si="22"/>
        <v>11985.38</v>
      </c>
      <c r="AQ48" s="13">
        <f t="shared" si="22"/>
        <v>11991.8</v>
      </c>
      <c r="AR48" s="13">
        <f t="shared" si="22"/>
        <v>184.2</v>
      </c>
      <c r="AS48" s="13">
        <f t="shared" si="22"/>
        <v>5690.15</v>
      </c>
      <c r="AT48" s="13">
        <f t="shared" si="22"/>
        <v>6231</v>
      </c>
      <c r="AU48" s="13">
        <f t="shared" si="22"/>
        <v>6864.64</v>
      </c>
      <c r="AV48" s="13">
        <f t="shared" si="22"/>
        <v>6029</v>
      </c>
      <c r="AW48" s="13">
        <f t="shared" si="22"/>
        <v>8935.25</v>
      </c>
      <c r="AX48" s="13">
        <f t="shared" si="22"/>
        <v>11471</v>
      </c>
      <c r="AY48" s="13">
        <f t="shared" si="22"/>
        <v>25841.94</v>
      </c>
      <c r="AZ48" s="13">
        <f t="shared" si="22"/>
        <v>13783.6</v>
      </c>
      <c r="BA48" s="13">
        <f t="shared" si="22"/>
        <v>105516.6</v>
      </c>
      <c r="BB48" s="13">
        <f t="shared" si="22"/>
        <v>22402.69</v>
      </c>
      <c r="BC48" s="13">
        <f t="shared" si="22"/>
        <v>8108.2</v>
      </c>
      <c r="BD48" s="13">
        <f t="shared" si="22"/>
        <v>19866.849999999999</v>
      </c>
      <c r="BE48" s="13">
        <f t="shared" si="22"/>
        <v>14631.22</v>
      </c>
      <c r="BF48" s="13">
        <f t="shared" si="22"/>
        <v>30194.25</v>
      </c>
      <c r="BG48" s="13">
        <f t="shared" si="22"/>
        <v>4183.55</v>
      </c>
      <c r="BH48" s="13">
        <f t="shared" si="22"/>
        <v>22689.599999999999</v>
      </c>
      <c r="BI48" s="13">
        <f t="shared" si="22"/>
        <v>17348.7</v>
      </c>
      <c r="BJ48" s="13">
        <f t="shared" si="22"/>
        <v>919.57</v>
      </c>
      <c r="BK48" s="13">
        <f t="shared" si="22"/>
        <v>10660.26</v>
      </c>
      <c r="BL48" s="13">
        <f t="shared" si="22"/>
        <v>30294.95</v>
      </c>
      <c r="BM48" s="13">
        <f t="shared" si="22"/>
        <v>8419</v>
      </c>
      <c r="BN48" s="13">
        <f t="shared" si="22"/>
        <v>15453.7</v>
      </c>
      <c r="BO48" s="13">
        <f t="shared" ref="BO48:BZ48" si="23">BO46-BO47</f>
        <v>32753.200000000001</v>
      </c>
      <c r="BP48" s="13">
        <f t="shared" si="23"/>
        <v>27197.45</v>
      </c>
      <c r="BQ48" s="13">
        <f t="shared" si="23"/>
        <v>12695.25</v>
      </c>
      <c r="BR48" s="13">
        <f t="shared" si="23"/>
        <v>102501.85</v>
      </c>
      <c r="BS48" s="13">
        <f t="shared" si="23"/>
        <v>8751.25</v>
      </c>
      <c r="BT48" s="13">
        <f t="shared" si="23"/>
        <v>10761.95</v>
      </c>
      <c r="BU48" s="13">
        <f t="shared" si="23"/>
        <v>1268.4000000000001</v>
      </c>
      <c r="BV48" s="13">
        <f t="shared" si="23"/>
        <v>8016.65</v>
      </c>
      <c r="BW48" s="13">
        <f t="shared" si="23"/>
        <v>32040</v>
      </c>
      <c r="BX48" s="13">
        <f t="shared" si="23"/>
        <v>5595.2</v>
      </c>
      <c r="BY48" s="13">
        <f t="shared" si="23"/>
        <v>12916.96</v>
      </c>
      <c r="BZ48" s="13">
        <f t="shared" si="23"/>
        <v>24167.25</v>
      </c>
    </row>
    <row r="49" spans="1:80" x14ac:dyDescent="0.2">
      <c r="C49" s="1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</row>
    <row r="50" spans="1:80" x14ac:dyDescent="0.2">
      <c r="A50" s="23" t="s">
        <v>152</v>
      </c>
      <c r="B50" s="24" t="s">
        <v>2</v>
      </c>
      <c r="C50" s="14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</row>
    <row r="51" spans="1:80" x14ac:dyDescent="0.2">
      <c r="B51" t="s">
        <v>81</v>
      </c>
      <c r="C51" s="3">
        <f>SUM(D51:BZ51)</f>
        <v>59811725.519999988</v>
      </c>
      <c r="D51" s="7">
        <v>10387286.300000001</v>
      </c>
      <c r="E51" s="7">
        <v>912441.64</v>
      </c>
      <c r="F51" s="7">
        <v>185351.85</v>
      </c>
      <c r="G51" s="7">
        <v>86210.44</v>
      </c>
      <c r="H51" s="7">
        <v>600536.94999999995</v>
      </c>
      <c r="I51" s="7">
        <v>930406</v>
      </c>
      <c r="J51" s="7">
        <v>234393</v>
      </c>
      <c r="K51" s="7">
        <v>29776</v>
      </c>
      <c r="L51" s="7">
        <v>60475</v>
      </c>
      <c r="M51" s="7">
        <v>78724.75</v>
      </c>
      <c r="N51" s="7">
        <v>341357.5</v>
      </c>
      <c r="O51" s="7">
        <v>1437093.72</v>
      </c>
      <c r="P51" s="7">
        <v>1368530.86</v>
      </c>
      <c r="Q51" s="7">
        <v>1308723.3999999999</v>
      </c>
      <c r="R51" s="7">
        <v>208071.5</v>
      </c>
      <c r="S51" s="7">
        <v>1126899.76</v>
      </c>
      <c r="T51" s="7">
        <v>862486.84</v>
      </c>
      <c r="U51" s="7">
        <v>535210.23999999999</v>
      </c>
      <c r="V51" s="7">
        <v>533677.94999999995</v>
      </c>
      <c r="W51" s="7">
        <v>398843.6</v>
      </c>
      <c r="X51" s="7">
        <v>968996.8</v>
      </c>
      <c r="Y51" s="7">
        <v>468125.79</v>
      </c>
      <c r="Z51" s="7">
        <v>166423.67000000001</v>
      </c>
      <c r="AA51" s="7">
        <v>1265992.3799999999</v>
      </c>
      <c r="AB51" s="7">
        <v>161970</v>
      </c>
      <c r="AC51" s="7">
        <v>497524.99</v>
      </c>
      <c r="AD51" s="7">
        <v>325591.33</v>
      </c>
      <c r="AE51" s="7">
        <v>865209.3</v>
      </c>
      <c r="AF51" s="7">
        <v>367587.8</v>
      </c>
      <c r="AG51" s="7">
        <v>597556.44999999995</v>
      </c>
      <c r="AH51" s="7">
        <v>1624695</v>
      </c>
      <c r="AI51" s="7">
        <v>284900.7</v>
      </c>
      <c r="AJ51" s="7">
        <v>824728.9</v>
      </c>
      <c r="AK51" s="7">
        <v>740033.5</v>
      </c>
      <c r="AL51" s="7">
        <v>399609</v>
      </c>
      <c r="AM51" s="7">
        <v>1042034.75</v>
      </c>
      <c r="AN51" s="7">
        <v>121047.9</v>
      </c>
      <c r="AO51" s="7">
        <v>1493596.95</v>
      </c>
      <c r="AP51" s="7">
        <v>831892.61</v>
      </c>
      <c r="AQ51" s="7">
        <v>327902.03000000003</v>
      </c>
      <c r="AR51" s="7">
        <v>447439.4</v>
      </c>
      <c r="AS51" s="7">
        <v>270893.84999999998</v>
      </c>
      <c r="AT51" s="7">
        <v>152915</v>
      </c>
      <c r="AU51" s="7">
        <v>553171.19999999995</v>
      </c>
      <c r="AV51" s="7">
        <v>367129.1</v>
      </c>
      <c r="AW51" s="7">
        <v>304323.8</v>
      </c>
      <c r="AX51" s="7">
        <v>761999.5</v>
      </c>
      <c r="AY51" s="7">
        <v>425033.39</v>
      </c>
      <c r="AZ51" s="7">
        <v>136149.95000000001</v>
      </c>
      <c r="BA51" s="7">
        <v>3326250.72</v>
      </c>
      <c r="BB51" s="7">
        <v>1308917.49</v>
      </c>
      <c r="BC51" s="7">
        <v>291165.40000000002</v>
      </c>
      <c r="BD51" s="7">
        <v>270517.48</v>
      </c>
      <c r="BE51" s="7">
        <v>571905.85</v>
      </c>
      <c r="BF51" s="7">
        <v>1153720.8899999999</v>
      </c>
      <c r="BG51" s="7">
        <v>220128.65</v>
      </c>
      <c r="BH51" s="7">
        <v>433491.3</v>
      </c>
      <c r="BI51" s="7">
        <v>701451.25</v>
      </c>
      <c r="BJ51" s="7">
        <v>193302.71</v>
      </c>
      <c r="BK51" s="7">
        <v>204503.55</v>
      </c>
      <c r="BL51" s="7">
        <v>1398569.25</v>
      </c>
      <c r="BM51" s="7">
        <v>319742</v>
      </c>
      <c r="BN51" s="7">
        <v>745478.55</v>
      </c>
      <c r="BO51" s="7">
        <v>1577461.65</v>
      </c>
      <c r="BP51" s="7">
        <v>496148</v>
      </c>
      <c r="BQ51" s="7">
        <v>252982.75</v>
      </c>
      <c r="BR51" s="7">
        <v>2834887.38</v>
      </c>
      <c r="BS51" s="7">
        <v>671883.3</v>
      </c>
      <c r="BT51" s="135">
        <v>718516.3</v>
      </c>
      <c r="BU51" s="7">
        <v>113448.67</v>
      </c>
      <c r="BV51" s="7">
        <v>442705.15</v>
      </c>
      <c r="BW51" s="7">
        <v>1926176</v>
      </c>
      <c r="BX51" s="7">
        <v>133294.62</v>
      </c>
      <c r="BY51" s="7">
        <v>198180.18</v>
      </c>
      <c r="BZ51" s="7">
        <v>885924.09</v>
      </c>
      <c r="CB51" t="s">
        <v>108</v>
      </c>
    </row>
    <row r="52" spans="1:80" x14ac:dyDescent="0.2">
      <c r="B52" t="s">
        <v>82</v>
      </c>
      <c r="C52" s="3">
        <f>SUM(D52:BZ52)</f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B52" t="s">
        <v>108</v>
      </c>
    </row>
    <row r="53" spans="1:80" s="19" customFormat="1" x14ac:dyDescent="0.2">
      <c r="B53" s="19" t="s">
        <v>90</v>
      </c>
      <c r="C53" s="13">
        <f>SUM(D53:BZ53)</f>
        <v>59811725.519999988</v>
      </c>
      <c r="D53" s="13">
        <f>D51-D52</f>
        <v>10387286.300000001</v>
      </c>
      <c r="E53" s="13">
        <f t="shared" ref="E53:BN53" si="24">E51-E52</f>
        <v>912441.64</v>
      </c>
      <c r="F53" s="13">
        <f t="shared" si="24"/>
        <v>185351.85</v>
      </c>
      <c r="G53" s="13">
        <f t="shared" si="24"/>
        <v>86210.44</v>
      </c>
      <c r="H53" s="13">
        <f t="shared" si="24"/>
        <v>600536.94999999995</v>
      </c>
      <c r="I53" s="13">
        <f t="shared" si="24"/>
        <v>930406</v>
      </c>
      <c r="J53" s="13">
        <f t="shared" si="24"/>
        <v>234393</v>
      </c>
      <c r="K53" s="13">
        <f t="shared" si="24"/>
        <v>29776</v>
      </c>
      <c r="L53" s="13">
        <f t="shared" si="24"/>
        <v>60475</v>
      </c>
      <c r="M53" s="13">
        <f t="shared" si="24"/>
        <v>78724.75</v>
      </c>
      <c r="N53" s="13">
        <f t="shared" si="24"/>
        <v>341357.5</v>
      </c>
      <c r="O53" s="13">
        <f t="shared" si="24"/>
        <v>1437093.72</v>
      </c>
      <c r="P53" s="13">
        <f t="shared" si="24"/>
        <v>1368530.86</v>
      </c>
      <c r="Q53" s="13">
        <f t="shared" si="24"/>
        <v>1308723.3999999999</v>
      </c>
      <c r="R53" s="13">
        <f t="shared" si="24"/>
        <v>208071.5</v>
      </c>
      <c r="S53" s="13">
        <f t="shared" si="24"/>
        <v>1126899.76</v>
      </c>
      <c r="T53" s="13">
        <f t="shared" si="24"/>
        <v>862486.84</v>
      </c>
      <c r="U53" s="13">
        <f t="shared" si="24"/>
        <v>535210.23999999999</v>
      </c>
      <c r="V53" s="13">
        <f t="shared" si="24"/>
        <v>533677.94999999995</v>
      </c>
      <c r="W53" s="13">
        <f t="shared" si="24"/>
        <v>398843.6</v>
      </c>
      <c r="X53" s="13">
        <f t="shared" si="24"/>
        <v>968996.8</v>
      </c>
      <c r="Y53" s="13">
        <f t="shared" si="24"/>
        <v>468125.79</v>
      </c>
      <c r="Z53" s="13">
        <f t="shared" si="24"/>
        <v>166423.67000000001</v>
      </c>
      <c r="AA53" s="13">
        <f t="shared" si="24"/>
        <v>1265992.3799999999</v>
      </c>
      <c r="AB53" s="13">
        <f t="shared" si="24"/>
        <v>161970</v>
      </c>
      <c r="AC53" s="13">
        <f t="shared" si="24"/>
        <v>497524.99</v>
      </c>
      <c r="AD53" s="13">
        <f t="shared" si="24"/>
        <v>325591.33</v>
      </c>
      <c r="AE53" s="13">
        <f t="shared" si="24"/>
        <v>865209.3</v>
      </c>
      <c r="AF53" s="13">
        <f t="shared" si="24"/>
        <v>367587.8</v>
      </c>
      <c r="AG53" s="13">
        <f t="shared" si="24"/>
        <v>597556.44999999995</v>
      </c>
      <c r="AH53" s="13">
        <f t="shared" si="24"/>
        <v>1624695</v>
      </c>
      <c r="AI53" s="13">
        <f t="shared" si="24"/>
        <v>284900.7</v>
      </c>
      <c r="AJ53" s="13">
        <f t="shared" si="24"/>
        <v>824728.9</v>
      </c>
      <c r="AK53" s="13">
        <f t="shared" si="24"/>
        <v>740033.5</v>
      </c>
      <c r="AL53" s="13">
        <f t="shared" si="24"/>
        <v>399609</v>
      </c>
      <c r="AM53" s="13">
        <f t="shared" si="24"/>
        <v>1042034.75</v>
      </c>
      <c r="AN53" s="13">
        <f t="shared" si="24"/>
        <v>121047.9</v>
      </c>
      <c r="AO53" s="13">
        <f t="shared" si="24"/>
        <v>1493596.95</v>
      </c>
      <c r="AP53" s="13">
        <f t="shared" si="24"/>
        <v>831892.61</v>
      </c>
      <c r="AQ53" s="13">
        <f t="shared" si="24"/>
        <v>327902.03000000003</v>
      </c>
      <c r="AR53" s="13">
        <f t="shared" si="24"/>
        <v>447439.4</v>
      </c>
      <c r="AS53" s="13">
        <f t="shared" si="24"/>
        <v>270893.84999999998</v>
      </c>
      <c r="AT53" s="13">
        <f t="shared" si="24"/>
        <v>152915</v>
      </c>
      <c r="AU53" s="13">
        <f t="shared" si="24"/>
        <v>553171.19999999995</v>
      </c>
      <c r="AV53" s="13">
        <f t="shared" si="24"/>
        <v>367129.1</v>
      </c>
      <c r="AW53" s="13">
        <f t="shared" si="24"/>
        <v>304323.8</v>
      </c>
      <c r="AX53" s="13">
        <f t="shared" si="24"/>
        <v>761999.5</v>
      </c>
      <c r="AY53" s="13">
        <f t="shared" si="24"/>
        <v>425033.39</v>
      </c>
      <c r="AZ53" s="13">
        <f t="shared" si="24"/>
        <v>136149.95000000001</v>
      </c>
      <c r="BA53" s="13">
        <f t="shared" si="24"/>
        <v>3326250.72</v>
      </c>
      <c r="BB53" s="13">
        <f t="shared" si="24"/>
        <v>1308917.49</v>
      </c>
      <c r="BC53" s="13">
        <f t="shared" si="24"/>
        <v>291165.40000000002</v>
      </c>
      <c r="BD53" s="13">
        <f t="shared" si="24"/>
        <v>270517.48</v>
      </c>
      <c r="BE53" s="13">
        <f t="shared" si="24"/>
        <v>571905.85</v>
      </c>
      <c r="BF53" s="13">
        <f t="shared" si="24"/>
        <v>1153720.8899999999</v>
      </c>
      <c r="BG53" s="13">
        <f t="shared" si="24"/>
        <v>220128.65</v>
      </c>
      <c r="BH53" s="13">
        <f t="shared" si="24"/>
        <v>433491.3</v>
      </c>
      <c r="BI53" s="13">
        <f t="shared" si="24"/>
        <v>701451.25</v>
      </c>
      <c r="BJ53" s="13">
        <f t="shared" si="24"/>
        <v>193302.71</v>
      </c>
      <c r="BK53" s="13">
        <f t="shared" si="24"/>
        <v>204503.55</v>
      </c>
      <c r="BL53" s="13">
        <f t="shared" si="24"/>
        <v>1398569.25</v>
      </c>
      <c r="BM53" s="13">
        <f t="shared" si="24"/>
        <v>319742</v>
      </c>
      <c r="BN53" s="13">
        <f t="shared" si="24"/>
        <v>745478.55</v>
      </c>
      <c r="BO53" s="13">
        <f t="shared" ref="BO53:BZ53" si="25">BO51-BO52</f>
        <v>1577461.65</v>
      </c>
      <c r="BP53" s="13">
        <f t="shared" si="25"/>
        <v>496148</v>
      </c>
      <c r="BQ53" s="13">
        <f t="shared" si="25"/>
        <v>252982.75</v>
      </c>
      <c r="BR53" s="13">
        <f t="shared" si="25"/>
        <v>2834887.38</v>
      </c>
      <c r="BS53" s="13">
        <f t="shared" si="25"/>
        <v>671883.3</v>
      </c>
      <c r="BT53" s="13">
        <f t="shared" si="25"/>
        <v>718516.3</v>
      </c>
      <c r="BU53" s="13">
        <f t="shared" si="25"/>
        <v>113448.67</v>
      </c>
      <c r="BV53" s="13">
        <f t="shared" si="25"/>
        <v>442705.15</v>
      </c>
      <c r="BW53" s="13">
        <f t="shared" si="25"/>
        <v>1926176</v>
      </c>
      <c r="BX53" s="13">
        <f t="shared" si="25"/>
        <v>133294.62</v>
      </c>
      <c r="BY53" s="13">
        <f t="shared" si="25"/>
        <v>198180.18</v>
      </c>
      <c r="BZ53" s="13">
        <f t="shared" si="25"/>
        <v>885924.09</v>
      </c>
    </row>
    <row r="54" spans="1:80" x14ac:dyDescent="0.2">
      <c r="C54" s="13"/>
    </row>
    <row r="55" spans="1:80" x14ac:dyDescent="0.2">
      <c r="A55" s="23" t="s">
        <v>153</v>
      </c>
      <c r="B55" s="24" t="s">
        <v>3</v>
      </c>
      <c r="C55" s="14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</row>
    <row r="56" spans="1:80" x14ac:dyDescent="0.2">
      <c r="B56" t="s">
        <v>81</v>
      </c>
      <c r="C56" s="3">
        <f>SUM(D56:BZ56)</f>
        <v>93028694</v>
      </c>
      <c r="D56" s="7">
        <v>14503679.199999999</v>
      </c>
      <c r="E56" s="7">
        <v>2194477.7000000002</v>
      </c>
      <c r="F56" s="7">
        <v>206264.6</v>
      </c>
      <c r="G56" s="7">
        <v>304945.25</v>
      </c>
      <c r="H56" s="7">
        <v>1345683.65</v>
      </c>
      <c r="I56" s="7">
        <v>1325581.3999999999</v>
      </c>
      <c r="J56" s="7">
        <v>378262.05</v>
      </c>
      <c r="K56" s="7">
        <v>118967.6</v>
      </c>
      <c r="L56" s="7">
        <v>288846</v>
      </c>
      <c r="M56" s="7">
        <v>132502.9</v>
      </c>
      <c r="N56" s="7">
        <v>680006.85</v>
      </c>
      <c r="O56" s="7">
        <v>974320.15</v>
      </c>
      <c r="P56" s="7">
        <v>566986.80000000005</v>
      </c>
      <c r="Q56" s="7">
        <v>1346172</v>
      </c>
      <c r="R56" s="7">
        <v>512265.8</v>
      </c>
      <c r="S56" s="7">
        <v>1549933.8</v>
      </c>
      <c r="T56" s="7">
        <v>962845.6</v>
      </c>
      <c r="U56" s="7">
        <v>1081536.05</v>
      </c>
      <c r="V56" s="7">
        <v>1171300.6000000001</v>
      </c>
      <c r="W56" s="7">
        <v>854594.35</v>
      </c>
      <c r="X56" s="7">
        <v>1749470.3</v>
      </c>
      <c r="Y56" s="7">
        <v>334138.65000000002</v>
      </c>
      <c r="Z56" s="7">
        <v>392702.9</v>
      </c>
      <c r="AA56" s="7">
        <v>1854608.85</v>
      </c>
      <c r="AB56" s="7">
        <v>329099.65000000002</v>
      </c>
      <c r="AC56" s="7">
        <v>1775127.9</v>
      </c>
      <c r="AD56" s="7">
        <v>1039953.45</v>
      </c>
      <c r="AE56" s="7">
        <v>807322.65</v>
      </c>
      <c r="AF56" s="7">
        <v>756713.75</v>
      </c>
      <c r="AG56" s="7">
        <v>1302279.45</v>
      </c>
      <c r="AH56" s="7">
        <v>1460649.65</v>
      </c>
      <c r="AI56" s="7">
        <v>520668.05</v>
      </c>
      <c r="AJ56" s="7">
        <v>715527.15</v>
      </c>
      <c r="AK56" s="7">
        <v>1335660.8500000001</v>
      </c>
      <c r="AL56" s="7">
        <v>893285.2</v>
      </c>
      <c r="AM56" s="7">
        <v>2160312.5499999998</v>
      </c>
      <c r="AN56" s="7">
        <v>48691.9</v>
      </c>
      <c r="AO56" s="7">
        <v>1190608.05</v>
      </c>
      <c r="AP56" s="7">
        <v>1167545.25</v>
      </c>
      <c r="AQ56" s="7">
        <v>747369</v>
      </c>
      <c r="AR56" s="7">
        <v>588733.55000000005</v>
      </c>
      <c r="AS56" s="7">
        <v>569198.75</v>
      </c>
      <c r="AT56" s="7">
        <v>310365.15000000002</v>
      </c>
      <c r="AU56" s="7">
        <v>616133.80000000005</v>
      </c>
      <c r="AV56" s="7">
        <v>634761.55000000005</v>
      </c>
      <c r="AW56" s="7">
        <v>513879.6</v>
      </c>
      <c r="AX56" s="7">
        <v>1195158.45</v>
      </c>
      <c r="AY56" s="7">
        <v>635047.94999999995</v>
      </c>
      <c r="AZ56" s="7">
        <v>414650.8</v>
      </c>
      <c r="BA56" s="7">
        <v>9785081.9499999993</v>
      </c>
      <c r="BB56" s="7">
        <v>1860856.6</v>
      </c>
      <c r="BC56" s="7">
        <v>751230.15</v>
      </c>
      <c r="BD56" s="7">
        <v>586253.5</v>
      </c>
      <c r="BE56" s="7">
        <v>840518.8</v>
      </c>
      <c r="BF56" s="7">
        <v>1345998.8</v>
      </c>
      <c r="BG56" s="7">
        <v>627217.6</v>
      </c>
      <c r="BH56" s="7">
        <v>579351</v>
      </c>
      <c r="BI56" s="7">
        <v>1135127.05</v>
      </c>
      <c r="BJ56" s="7">
        <v>182921.35</v>
      </c>
      <c r="BK56" s="7">
        <v>459970.9</v>
      </c>
      <c r="BL56" s="7">
        <v>1389210.05</v>
      </c>
      <c r="BM56" s="7">
        <v>550889.65</v>
      </c>
      <c r="BN56" s="7">
        <v>1252614.25</v>
      </c>
      <c r="BO56" s="7">
        <v>1794937.25</v>
      </c>
      <c r="BP56" s="7">
        <v>1306155.05</v>
      </c>
      <c r="BQ56" s="7">
        <v>244665.4</v>
      </c>
      <c r="BR56" s="7">
        <v>3419985.55</v>
      </c>
      <c r="BS56" s="7">
        <v>1289067.2</v>
      </c>
      <c r="BT56" s="7">
        <v>1428421.45</v>
      </c>
      <c r="BU56" s="7">
        <v>122269.65</v>
      </c>
      <c r="BV56" s="7">
        <v>511258.8</v>
      </c>
      <c r="BW56" s="7">
        <v>3049380.1</v>
      </c>
      <c r="BX56" s="7">
        <v>199617.2</v>
      </c>
      <c r="BY56" s="7">
        <v>608478.9</v>
      </c>
      <c r="BZ56" s="7">
        <v>1148378.6499999999</v>
      </c>
      <c r="CB56" t="s">
        <v>107</v>
      </c>
    </row>
    <row r="57" spans="1:80" x14ac:dyDescent="0.2">
      <c r="B57" t="s">
        <v>86</v>
      </c>
      <c r="C57" s="3">
        <f>SUM(D57:BZ57)</f>
        <v>3924.45</v>
      </c>
      <c r="D57" s="7">
        <v>68.8</v>
      </c>
      <c r="E57" s="7">
        <v>43.75</v>
      </c>
      <c r="F57" s="7">
        <v>8.75</v>
      </c>
      <c r="G57" s="7">
        <v>1.55</v>
      </c>
      <c r="H57" s="7">
        <v>0</v>
      </c>
      <c r="I57" s="7">
        <v>18.05</v>
      </c>
      <c r="J57" s="7">
        <v>5.6</v>
      </c>
      <c r="K57" s="7">
        <v>0</v>
      </c>
      <c r="L57" s="7">
        <v>0</v>
      </c>
      <c r="M57" s="7">
        <v>2.5</v>
      </c>
      <c r="N57" s="7">
        <v>0.15</v>
      </c>
      <c r="O57" s="7">
        <v>4.1500000000000004</v>
      </c>
      <c r="P57" s="7">
        <v>10.75</v>
      </c>
      <c r="Q57" s="7">
        <v>16.600000000000001</v>
      </c>
      <c r="R57" s="7">
        <v>0.3</v>
      </c>
      <c r="S57" s="7">
        <v>20.65</v>
      </c>
      <c r="T57" s="7">
        <v>33.299999999999997</v>
      </c>
      <c r="U57" s="7">
        <v>19.2</v>
      </c>
      <c r="V57" s="7">
        <v>2.95</v>
      </c>
      <c r="W57" s="7">
        <v>0</v>
      </c>
      <c r="X57" s="7">
        <v>15.9</v>
      </c>
      <c r="Y57" s="7">
        <v>6.4</v>
      </c>
      <c r="Z57" s="7">
        <v>16.8</v>
      </c>
      <c r="AA57" s="7">
        <v>11.05</v>
      </c>
      <c r="AB57" s="7">
        <v>0.05</v>
      </c>
      <c r="AC57" s="7">
        <v>2.0499999999999998</v>
      </c>
      <c r="AD57" s="7">
        <v>3.95</v>
      </c>
      <c r="AE57" s="7">
        <v>2.9000000000000004</v>
      </c>
      <c r="AF57" s="7">
        <v>21.05</v>
      </c>
      <c r="AG57" s="7">
        <v>19.399999999999999</v>
      </c>
      <c r="AH57" s="7">
        <v>5.4</v>
      </c>
      <c r="AI57" s="7">
        <v>0</v>
      </c>
      <c r="AJ57" s="7">
        <v>25.15</v>
      </c>
      <c r="AK57" s="7">
        <v>41.6</v>
      </c>
      <c r="AL57" s="7">
        <v>14.5</v>
      </c>
      <c r="AM57" s="7">
        <v>0</v>
      </c>
      <c r="AN57" s="7">
        <v>0</v>
      </c>
      <c r="AO57" s="7">
        <v>40.65</v>
      </c>
      <c r="AP57" s="7">
        <v>30.4</v>
      </c>
      <c r="AQ57" s="7">
        <v>9.4499999999999993</v>
      </c>
      <c r="AR57" s="7">
        <v>-31.949999999999996</v>
      </c>
      <c r="AS57" s="7">
        <v>269.29999999999995</v>
      </c>
      <c r="AT57" s="7">
        <v>2.9</v>
      </c>
      <c r="AU57" s="7">
        <v>5.55</v>
      </c>
      <c r="AV57" s="7">
        <v>0</v>
      </c>
      <c r="AW57" s="7">
        <v>0</v>
      </c>
      <c r="AX57" s="7">
        <v>3.2</v>
      </c>
      <c r="AY57" s="7">
        <v>4.2</v>
      </c>
      <c r="AZ57" s="7">
        <v>0</v>
      </c>
      <c r="BA57" s="7">
        <v>4.2</v>
      </c>
      <c r="BB57" s="7">
        <v>1918.35</v>
      </c>
      <c r="BC57" s="7">
        <v>0</v>
      </c>
      <c r="BD57" s="7">
        <v>2.1</v>
      </c>
      <c r="BE57" s="7">
        <v>5.5</v>
      </c>
      <c r="BF57" s="7">
        <v>6</v>
      </c>
      <c r="BG57" s="7">
        <v>17.2</v>
      </c>
      <c r="BH57" s="7">
        <v>4.3</v>
      </c>
      <c r="BI57" s="7">
        <v>27</v>
      </c>
      <c r="BJ57" s="7">
        <v>17.55</v>
      </c>
      <c r="BK57" s="7">
        <v>4.3499999999999996</v>
      </c>
      <c r="BL57" s="7">
        <v>11.5</v>
      </c>
      <c r="BM57" s="7">
        <v>16.599999999999998</v>
      </c>
      <c r="BN57" s="7">
        <v>3.7</v>
      </c>
      <c r="BO57" s="7">
        <v>25.45</v>
      </c>
      <c r="BP57" s="7">
        <v>0</v>
      </c>
      <c r="BQ57" s="7">
        <v>0</v>
      </c>
      <c r="BR57" s="7">
        <v>18.649999999999999</v>
      </c>
      <c r="BS57" s="7">
        <v>22.200000000000003</v>
      </c>
      <c r="BT57" s="7">
        <v>89.800000000000011</v>
      </c>
      <c r="BU57" s="7">
        <v>0</v>
      </c>
      <c r="BV57" s="7">
        <v>1.65</v>
      </c>
      <c r="BW57" s="7">
        <v>906.65</v>
      </c>
      <c r="BX57" s="7">
        <v>15.2</v>
      </c>
      <c r="BY57" s="7">
        <v>0</v>
      </c>
      <c r="BZ57" s="7">
        <v>29.549999999999997</v>
      </c>
      <c r="CB57" t="s">
        <v>107</v>
      </c>
    </row>
    <row r="58" spans="1:80" s="19" customFormat="1" x14ac:dyDescent="0.2">
      <c r="B58" s="19" t="s">
        <v>90</v>
      </c>
      <c r="C58" s="13">
        <f>SUM(D58:BZ58)</f>
        <v>93024769.550000012</v>
      </c>
      <c r="D58" s="32">
        <f>D56-D57</f>
        <v>14503610.399999999</v>
      </c>
      <c r="E58" s="32">
        <f t="shared" ref="E58:BN58" si="26">E56-E57</f>
        <v>2194433.9500000002</v>
      </c>
      <c r="F58" s="32">
        <f t="shared" si="26"/>
        <v>206255.85</v>
      </c>
      <c r="G58" s="32">
        <f t="shared" si="26"/>
        <v>304943.7</v>
      </c>
      <c r="H58" s="32">
        <f t="shared" si="26"/>
        <v>1345683.65</v>
      </c>
      <c r="I58" s="32">
        <f t="shared" si="26"/>
        <v>1325563.3499999999</v>
      </c>
      <c r="J58" s="32">
        <f t="shared" si="26"/>
        <v>378256.45</v>
      </c>
      <c r="K58" s="32">
        <f t="shared" si="26"/>
        <v>118967.6</v>
      </c>
      <c r="L58" s="32">
        <f t="shared" si="26"/>
        <v>288846</v>
      </c>
      <c r="M58" s="32">
        <f t="shared" si="26"/>
        <v>132500.4</v>
      </c>
      <c r="N58" s="32">
        <f t="shared" si="26"/>
        <v>680006.7</v>
      </c>
      <c r="O58" s="32">
        <f t="shared" si="26"/>
        <v>974316</v>
      </c>
      <c r="P58" s="32">
        <f t="shared" si="26"/>
        <v>566976.05000000005</v>
      </c>
      <c r="Q58" s="32">
        <f t="shared" si="26"/>
        <v>1346155.4</v>
      </c>
      <c r="R58" s="32">
        <f t="shared" si="26"/>
        <v>512265.5</v>
      </c>
      <c r="S58" s="32">
        <f t="shared" si="26"/>
        <v>1549913.1500000001</v>
      </c>
      <c r="T58" s="32">
        <f t="shared" si="26"/>
        <v>962812.29999999993</v>
      </c>
      <c r="U58" s="32">
        <f t="shared" si="26"/>
        <v>1081516.8500000001</v>
      </c>
      <c r="V58" s="32">
        <f t="shared" si="26"/>
        <v>1171297.6500000001</v>
      </c>
      <c r="W58" s="32">
        <f t="shared" si="26"/>
        <v>854594.35</v>
      </c>
      <c r="X58" s="32">
        <f t="shared" si="26"/>
        <v>1749454.4000000001</v>
      </c>
      <c r="Y58" s="32">
        <f t="shared" si="26"/>
        <v>334132.25</v>
      </c>
      <c r="Z58" s="32">
        <f t="shared" si="26"/>
        <v>392686.10000000003</v>
      </c>
      <c r="AA58" s="32">
        <f t="shared" si="26"/>
        <v>1854597.8</v>
      </c>
      <c r="AB58" s="32">
        <f t="shared" si="26"/>
        <v>329099.60000000003</v>
      </c>
      <c r="AC58" s="32">
        <f t="shared" si="26"/>
        <v>1775125.8499999999</v>
      </c>
      <c r="AD58" s="32">
        <f t="shared" si="26"/>
        <v>1039949.5</v>
      </c>
      <c r="AE58" s="32">
        <f t="shared" si="26"/>
        <v>807319.75</v>
      </c>
      <c r="AF58" s="32">
        <f t="shared" si="26"/>
        <v>756692.7</v>
      </c>
      <c r="AG58" s="32">
        <f t="shared" si="26"/>
        <v>1302260.05</v>
      </c>
      <c r="AH58" s="32">
        <f t="shared" si="26"/>
        <v>1460644.25</v>
      </c>
      <c r="AI58" s="32">
        <f t="shared" si="26"/>
        <v>520668.05</v>
      </c>
      <c r="AJ58" s="32">
        <f t="shared" si="26"/>
        <v>715502</v>
      </c>
      <c r="AK58" s="32">
        <f t="shared" si="26"/>
        <v>1335619.25</v>
      </c>
      <c r="AL58" s="32">
        <f t="shared" si="26"/>
        <v>893270.7</v>
      </c>
      <c r="AM58" s="32">
        <f t="shared" si="26"/>
        <v>2160312.5499999998</v>
      </c>
      <c r="AN58" s="32">
        <f t="shared" si="26"/>
        <v>48691.9</v>
      </c>
      <c r="AO58" s="32">
        <f t="shared" si="26"/>
        <v>1190567.4000000001</v>
      </c>
      <c r="AP58" s="32">
        <f t="shared" si="26"/>
        <v>1167514.8500000001</v>
      </c>
      <c r="AQ58" s="32">
        <f t="shared" si="26"/>
        <v>747359.55</v>
      </c>
      <c r="AR58" s="32">
        <f t="shared" si="26"/>
        <v>588765.5</v>
      </c>
      <c r="AS58" s="32">
        <f t="shared" si="26"/>
        <v>568929.44999999995</v>
      </c>
      <c r="AT58" s="32">
        <f t="shared" si="26"/>
        <v>310362.25</v>
      </c>
      <c r="AU58" s="32">
        <f t="shared" si="26"/>
        <v>616128.25</v>
      </c>
      <c r="AV58" s="32">
        <f t="shared" si="26"/>
        <v>634761.55000000005</v>
      </c>
      <c r="AW58" s="32">
        <f t="shared" si="26"/>
        <v>513879.6</v>
      </c>
      <c r="AX58" s="32">
        <f t="shared" si="26"/>
        <v>1195155.25</v>
      </c>
      <c r="AY58" s="32">
        <f t="shared" si="26"/>
        <v>635043.75</v>
      </c>
      <c r="AZ58" s="32">
        <f t="shared" si="26"/>
        <v>414650.8</v>
      </c>
      <c r="BA58" s="32">
        <f t="shared" si="26"/>
        <v>9785077.75</v>
      </c>
      <c r="BB58" s="32">
        <f t="shared" si="26"/>
        <v>1858938.25</v>
      </c>
      <c r="BC58" s="32">
        <f t="shared" si="26"/>
        <v>751230.15</v>
      </c>
      <c r="BD58" s="32">
        <f t="shared" si="26"/>
        <v>586251.4</v>
      </c>
      <c r="BE58" s="32">
        <f t="shared" si="26"/>
        <v>840513.3</v>
      </c>
      <c r="BF58" s="32">
        <f t="shared" si="26"/>
        <v>1345992.8</v>
      </c>
      <c r="BG58" s="32">
        <f t="shared" si="26"/>
        <v>627200.4</v>
      </c>
      <c r="BH58" s="32">
        <f t="shared" si="26"/>
        <v>579346.69999999995</v>
      </c>
      <c r="BI58" s="32">
        <f t="shared" si="26"/>
        <v>1135100.05</v>
      </c>
      <c r="BJ58" s="32">
        <f t="shared" si="26"/>
        <v>182903.80000000002</v>
      </c>
      <c r="BK58" s="32">
        <f t="shared" si="26"/>
        <v>459966.55000000005</v>
      </c>
      <c r="BL58" s="32">
        <f t="shared" si="26"/>
        <v>1389198.55</v>
      </c>
      <c r="BM58" s="32">
        <f t="shared" si="26"/>
        <v>550873.05000000005</v>
      </c>
      <c r="BN58" s="32">
        <f t="shared" si="26"/>
        <v>1252610.55</v>
      </c>
      <c r="BO58" s="32">
        <f t="shared" ref="BO58:BZ58" si="27">BO56-BO57</f>
        <v>1794911.8</v>
      </c>
      <c r="BP58" s="32">
        <f t="shared" si="27"/>
        <v>1306155.05</v>
      </c>
      <c r="BQ58" s="32">
        <f t="shared" si="27"/>
        <v>244665.4</v>
      </c>
      <c r="BR58" s="32">
        <f t="shared" si="27"/>
        <v>3419966.9</v>
      </c>
      <c r="BS58" s="32">
        <f t="shared" si="27"/>
        <v>1289045</v>
      </c>
      <c r="BT58" s="32">
        <f t="shared" si="27"/>
        <v>1428331.65</v>
      </c>
      <c r="BU58" s="32">
        <f t="shared" si="27"/>
        <v>122269.65</v>
      </c>
      <c r="BV58" s="32">
        <f t="shared" si="27"/>
        <v>511257.14999999997</v>
      </c>
      <c r="BW58" s="32">
        <f t="shared" si="27"/>
        <v>3048473.45</v>
      </c>
      <c r="BX58" s="32">
        <f t="shared" si="27"/>
        <v>199602</v>
      </c>
      <c r="BY58" s="32">
        <f t="shared" si="27"/>
        <v>608478.9</v>
      </c>
      <c r="BZ58" s="32">
        <f t="shared" si="27"/>
        <v>1148349.0999999999</v>
      </c>
    </row>
    <row r="60" spans="1:80" x14ac:dyDescent="0.2">
      <c r="B60" s="22"/>
      <c r="C60" s="22"/>
      <c r="F60" s="2"/>
      <c r="G60" s="2"/>
      <c r="H60" s="2"/>
      <c r="I60" s="2"/>
    </row>
    <row r="61" spans="1:80" s="40" customFormat="1" ht="15.75" x14ac:dyDescent="0.25">
      <c r="A61" s="20" t="s">
        <v>98</v>
      </c>
      <c r="B61" s="21" t="s">
        <v>355</v>
      </c>
      <c r="C61" s="5"/>
      <c r="D61" s="5"/>
      <c r="E61" s="5"/>
      <c r="F61" s="6"/>
      <c r="G61" s="6"/>
      <c r="H61" s="6"/>
      <c r="I61" s="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</row>
    <row r="62" spans="1:80" x14ac:dyDescent="0.2">
      <c r="B62" s="22"/>
      <c r="C62" s="3"/>
      <c r="D62" s="3"/>
      <c r="E62" s="3"/>
      <c r="F62" s="1"/>
      <c r="G62" s="1"/>
      <c r="H62" s="1"/>
      <c r="I62" s="1"/>
      <c r="J62" s="1"/>
      <c r="K62" s="1"/>
      <c r="L62" s="1"/>
      <c r="M62" s="1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</row>
    <row r="63" spans="1:80" x14ac:dyDescent="0.2">
      <c r="A63" s="23" t="s">
        <v>128</v>
      </c>
      <c r="B63" s="24" t="s">
        <v>4</v>
      </c>
      <c r="C63" s="11"/>
      <c r="D63" s="11"/>
      <c r="E63" s="11"/>
      <c r="F63" s="12"/>
      <c r="G63" s="12"/>
      <c r="H63" s="12"/>
      <c r="I63" s="12"/>
      <c r="J63" s="12"/>
      <c r="K63" s="12"/>
      <c r="L63" s="12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23"/>
      <c r="CB63" s="23"/>
    </row>
    <row r="64" spans="1:80" x14ac:dyDescent="0.2">
      <c r="B64" s="26" t="s">
        <v>88</v>
      </c>
      <c r="C64" s="33">
        <f>C70/C68</f>
        <v>1.124303944208243</v>
      </c>
      <c r="D64" s="8">
        <v>1.41</v>
      </c>
      <c r="E64" s="8">
        <v>1.33</v>
      </c>
      <c r="F64" s="9">
        <v>1.1499999999999999</v>
      </c>
      <c r="G64" s="9">
        <v>1.25</v>
      </c>
      <c r="H64" s="9">
        <v>0.7</v>
      </c>
      <c r="I64" s="9">
        <v>0.91</v>
      </c>
      <c r="J64" s="9">
        <v>1.1499999999999999</v>
      </c>
      <c r="K64" s="9">
        <v>1.34</v>
      </c>
      <c r="L64" s="9">
        <v>0.79</v>
      </c>
      <c r="M64" s="9">
        <v>1.19</v>
      </c>
      <c r="N64" s="8">
        <v>1.25</v>
      </c>
      <c r="O64" s="8">
        <v>0.93</v>
      </c>
      <c r="P64" s="8">
        <v>1.29</v>
      </c>
      <c r="Q64" s="8">
        <v>0.89</v>
      </c>
      <c r="R64" s="8">
        <v>1.19</v>
      </c>
      <c r="S64" s="8">
        <v>1.04</v>
      </c>
      <c r="T64" s="8">
        <v>0.87</v>
      </c>
      <c r="U64" s="8">
        <v>0.95</v>
      </c>
      <c r="V64" s="8">
        <v>0.64</v>
      </c>
      <c r="W64" s="8">
        <v>0.81</v>
      </c>
      <c r="X64" s="8">
        <v>0.76</v>
      </c>
      <c r="Y64" s="8">
        <v>1.01</v>
      </c>
      <c r="Z64" s="8">
        <v>1.1200000000000001</v>
      </c>
      <c r="AA64" s="8">
        <v>1.19</v>
      </c>
      <c r="AB64" s="8">
        <v>1.0900000000000001</v>
      </c>
      <c r="AC64" s="8">
        <v>1.02</v>
      </c>
      <c r="AD64" s="8">
        <v>1.19</v>
      </c>
      <c r="AE64" s="8">
        <v>0.83</v>
      </c>
      <c r="AF64" s="8">
        <v>1.25</v>
      </c>
      <c r="AG64" s="8">
        <v>1</v>
      </c>
      <c r="AH64" s="8">
        <v>1.18</v>
      </c>
      <c r="AI64" s="8">
        <v>1.1000000000000001</v>
      </c>
      <c r="AJ64" s="8">
        <v>1.55</v>
      </c>
      <c r="AK64" s="8">
        <v>1.39</v>
      </c>
      <c r="AL64" s="8">
        <v>1.29</v>
      </c>
      <c r="AM64" s="8">
        <v>0.92</v>
      </c>
      <c r="AN64" s="8">
        <v>1.42</v>
      </c>
      <c r="AO64" s="8">
        <v>1.33</v>
      </c>
      <c r="AP64" s="8">
        <v>1.3</v>
      </c>
      <c r="AQ64" s="8">
        <v>1.1499999999999999</v>
      </c>
      <c r="AR64" s="8">
        <v>1.07</v>
      </c>
      <c r="AS64" s="8">
        <v>1.1499999999999999</v>
      </c>
      <c r="AT64" s="8">
        <v>1.1499999999999999</v>
      </c>
      <c r="AU64" s="8">
        <v>1.25</v>
      </c>
      <c r="AV64" s="8">
        <v>1.24</v>
      </c>
      <c r="AW64" s="8">
        <v>1.06</v>
      </c>
      <c r="AX64" s="8">
        <v>1.1299999999999999</v>
      </c>
      <c r="AY64" s="8">
        <v>1.18</v>
      </c>
      <c r="AZ64" s="8">
        <v>1.1599999999999999</v>
      </c>
      <c r="BA64" s="8">
        <v>0.74</v>
      </c>
      <c r="BB64" s="8">
        <v>1.21</v>
      </c>
      <c r="BC64" s="8">
        <v>1.23</v>
      </c>
      <c r="BD64" s="8">
        <v>1.19</v>
      </c>
      <c r="BE64" s="8">
        <v>1.39</v>
      </c>
      <c r="BF64" s="8">
        <v>1.32</v>
      </c>
      <c r="BG64" s="8">
        <v>1.33</v>
      </c>
      <c r="BH64" s="8">
        <v>1.3261831693660522</v>
      </c>
      <c r="BI64" s="8">
        <v>1.19</v>
      </c>
      <c r="BJ64" s="8">
        <v>1.1499999999999999</v>
      </c>
      <c r="BK64" s="8">
        <v>1.33</v>
      </c>
      <c r="BL64" s="8">
        <v>1.2</v>
      </c>
      <c r="BM64" s="8">
        <v>1.22</v>
      </c>
      <c r="BN64" s="8">
        <v>1.22</v>
      </c>
      <c r="BO64" s="8">
        <v>1.27</v>
      </c>
      <c r="BP64" s="8">
        <v>1.27</v>
      </c>
      <c r="BQ64" s="8">
        <v>1.5</v>
      </c>
      <c r="BR64" s="8">
        <v>1.18</v>
      </c>
      <c r="BS64" s="8">
        <v>0.77</v>
      </c>
      <c r="BT64" s="8">
        <v>1</v>
      </c>
      <c r="BU64" s="8">
        <v>1.26</v>
      </c>
      <c r="BV64" s="8">
        <v>1.0900000000000001</v>
      </c>
      <c r="BW64" s="8">
        <v>1.1599999999999999</v>
      </c>
      <c r="BX64" s="8">
        <v>1.18</v>
      </c>
      <c r="BY64" s="8">
        <v>1.22</v>
      </c>
      <c r="BZ64" s="8">
        <v>1.03</v>
      </c>
      <c r="CB64" t="s">
        <v>107</v>
      </c>
    </row>
    <row r="65" spans="1:80" x14ac:dyDescent="0.2">
      <c r="B65" s="28"/>
      <c r="C65" s="3"/>
      <c r="D65" s="3"/>
      <c r="E65" s="3"/>
      <c r="F65" s="1"/>
      <c r="G65" s="1"/>
      <c r="H65" s="1"/>
      <c r="I65" s="1"/>
      <c r="J65" s="1"/>
      <c r="K65" s="1"/>
      <c r="L65" s="1"/>
      <c r="M65" s="1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B65" s="19"/>
    </row>
    <row r="66" spans="1:80" x14ac:dyDescent="0.2">
      <c r="B66" t="s">
        <v>94</v>
      </c>
      <c r="C66" s="3">
        <f>SUM(D66:BZ66)</f>
        <v>1190254487.4200001</v>
      </c>
      <c r="D66" s="10">
        <v>177937259.83999997</v>
      </c>
      <c r="E66" s="10">
        <v>19316359.219999999</v>
      </c>
      <c r="F66" s="10">
        <v>2933025.85</v>
      </c>
      <c r="G66" s="10">
        <v>2420969.8000000003</v>
      </c>
      <c r="H66" s="10">
        <v>18105400.170000002</v>
      </c>
      <c r="I66" s="10">
        <v>23000530.750000004</v>
      </c>
      <c r="J66" s="10">
        <v>7780504.6600000001</v>
      </c>
      <c r="K66" s="10">
        <v>2622808.5199999996</v>
      </c>
      <c r="L66" s="10">
        <v>5025347.17</v>
      </c>
      <c r="M66" s="10">
        <v>2562245.5700000003</v>
      </c>
      <c r="N66" s="10">
        <v>5659882.0500000007</v>
      </c>
      <c r="O66" s="10">
        <v>19553051.91</v>
      </c>
      <c r="P66" s="10">
        <v>15100951.58</v>
      </c>
      <c r="Q66" s="10">
        <v>17747608.219999999</v>
      </c>
      <c r="R66" s="10">
        <v>6117031.9000000004</v>
      </c>
      <c r="S66" s="10">
        <v>9520282.6699999999</v>
      </c>
      <c r="T66" s="10">
        <v>18585672.359999996</v>
      </c>
      <c r="U66" s="10">
        <v>10825368.25</v>
      </c>
      <c r="V66" s="10">
        <v>15928229.700000001</v>
      </c>
      <c r="W66" s="10">
        <v>15193209.33</v>
      </c>
      <c r="X66" s="10">
        <v>23014443.760000002</v>
      </c>
      <c r="Y66" s="10">
        <v>10989105.710000001</v>
      </c>
      <c r="Z66" s="10">
        <v>4653961.4800000004</v>
      </c>
      <c r="AA66" s="10">
        <v>25188027.590000004</v>
      </c>
      <c r="AB66" s="10">
        <v>3113333.02</v>
      </c>
      <c r="AC66" s="10">
        <v>18854452.030000001</v>
      </c>
      <c r="AD66" s="10">
        <v>4536071.3</v>
      </c>
      <c r="AE66" s="10">
        <v>12879517.52</v>
      </c>
      <c r="AF66" s="10">
        <v>7264568.54</v>
      </c>
      <c r="AG66" s="10">
        <v>14869549.199999999</v>
      </c>
      <c r="AH66" s="10">
        <v>27897186.399999999</v>
      </c>
      <c r="AI66" s="10">
        <v>10186535.25</v>
      </c>
      <c r="AJ66" s="10">
        <v>9041280.1900000013</v>
      </c>
      <c r="AK66" s="10">
        <v>12780475.200000001</v>
      </c>
      <c r="AL66" s="10">
        <v>9825335.1199999992</v>
      </c>
      <c r="AM66" s="10">
        <v>16195522.98</v>
      </c>
      <c r="AN66" s="10">
        <v>2766584.7399999998</v>
      </c>
      <c r="AO66" s="10">
        <v>17729053.869999997</v>
      </c>
      <c r="AP66" s="10">
        <v>9324708.1500000004</v>
      </c>
      <c r="AQ66" s="10">
        <v>13199965.960000001</v>
      </c>
      <c r="AR66" s="10">
        <v>6804481.8900000006</v>
      </c>
      <c r="AS66" s="10">
        <v>5438087.6199999992</v>
      </c>
      <c r="AT66" s="10">
        <v>4911445.33</v>
      </c>
      <c r="AU66" s="10">
        <v>7006002.8499999996</v>
      </c>
      <c r="AV66" s="10">
        <v>5760742.54</v>
      </c>
      <c r="AW66" s="10">
        <v>10048842.379999999</v>
      </c>
      <c r="AX66" s="10">
        <v>14524567.75</v>
      </c>
      <c r="AY66" s="10">
        <v>13877854.300000001</v>
      </c>
      <c r="AZ66" s="10">
        <v>10488854.390000001</v>
      </c>
      <c r="BA66" s="10">
        <v>104990520.55000001</v>
      </c>
      <c r="BB66" s="10">
        <v>21794544.07</v>
      </c>
      <c r="BC66" s="10">
        <v>5699928.04</v>
      </c>
      <c r="BD66" s="10">
        <v>6675111.7199999997</v>
      </c>
      <c r="BE66" s="10">
        <v>8961300.7300000004</v>
      </c>
      <c r="BF66" s="10">
        <v>15740197.91</v>
      </c>
      <c r="BG66" s="10">
        <v>4083591.77</v>
      </c>
      <c r="BH66" s="10">
        <v>9688061.6400000006</v>
      </c>
      <c r="BI66" s="10">
        <v>9179914.6000000015</v>
      </c>
      <c r="BJ66" s="10">
        <v>2831818.9899999998</v>
      </c>
      <c r="BK66" s="10">
        <v>4950854.43</v>
      </c>
      <c r="BL66" s="10">
        <v>17377483.23</v>
      </c>
      <c r="BM66" s="10">
        <v>8309001.2599999998</v>
      </c>
      <c r="BN66" s="10">
        <v>13311681.620000001</v>
      </c>
      <c r="BO66" s="10">
        <v>25627360.049999997</v>
      </c>
      <c r="BP66" s="10">
        <v>19299356.140000001</v>
      </c>
      <c r="BQ66" s="10">
        <v>6611803.0999999996</v>
      </c>
      <c r="BR66" s="10">
        <v>60066861.599999994</v>
      </c>
      <c r="BS66" s="10">
        <v>15740229.479999999</v>
      </c>
      <c r="BT66" s="10">
        <v>10446312.780000001</v>
      </c>
      <c r="BU66" s="10">
        <v>3261879.29</v>
      </c>
      <c r="BV66" s="10">
        <v>7303242.4899999993</v>
      </c>
      <c r="BW66" s="10">
        <v>42135075.229999997</v>
      </c>
      <c r="BX66" s="10">
        <v>5251622.49</v>
      </c>
      <c r="BY66" s="10">
        <v>7779613.1500000004</v>
      </c>
      <c r="BZ66" s="10">
        <v>24030824.48</v>
      </c>
      <c r="CB66" t="s">
        <v>107</v>
      </c>
    </row>
    <row r="67" spans="1:80" x14ac:dyDescent="0.2">
      <c r="B67" t="s">
        <v>86</v>
      </c>
      <c r="C67" s="3">
        <f>SUM(D67:BZ67)</f>
        <v>4194886.3565831576</v>
      </c>
      <c r="D67" s="10">
        <v>784665.06806046749</v>
      </c>
      <c r="E67" s="10">
        <v>177504.88326745719</v>
      </c>
      <c r="F67" s="10">
        <v>3292.8569169960474</v>
      </c>
      <c r="G67" s="10">
        <v>60.356521739130443</v>
      </c>
      <c r="H67" s="10">
        <v>-2026.8600790513838</v>
      </c>
      <c r="I67" s="10">
        <v>99746.03438735177</v>
      </c>
      <c r="J67" s="10">
        <v>45261.083003952561</v>
      </c>
      <c r="K67" s="10">
        <v>-2194.9438735177869</v>
      </c>
      <c r="L67" s="10">
        <v>-602.32891022021477</v>
      </c>
      <c r="M67" s="10">
        <v>-1038.4612648221355</v>
      </c>
      <c r="N67" s="10">
        <v>455.87351778656102</v>
      </c>
      <c r="O67" s="10">
        <v>22118.951383399195</v>
      </c>
      <c r="P67" s="10">
        <v>211127.85627012188</v>
      </c>
      <c r="Q67" s="10">
        <v>4199.2222948676208</v>
      </c>
      <c r="R67" s="10">
        <v>37717.67391304348</v>
      </c>
      <c r="S67" s="10">
        <v>173511.20074791717</v>
      </c>
      <c r="T67" s="10">
        <v>167590.66524611926</v>
      </c>
      <c r="U67" s="10">
        <v>11276.134368530023</v>
      </c>
      <c r="V67" s="10">
        <v>36009.380237154153</v>
      </c>
      <c r="W67" s="10">
        <v>64550.812252964432</v>
      </c>
      <c r="X67" s="10">
        <v>66181.529493694688</v>
      </c>
      <c r="Y67" s="10">
        <v>15146.811113752774</v>
      </c>
      <c r="Z67" s="10">
        <v>-7540.3173913043429</v>
      </c>
      <c r="AA67" s="10">
        <v>148876.96176409404</v>
      </c>
      <c r="AB67" s="10">
        <v>20580.12650301644</v>
      </c>
      <c r="AC67" s="10">
        <v>28097.364031620556</v>
      </c>
      <c r="AD67" s="10">
        <v>13601.950988142293</v>
      </c>
      <c r="AE67" s="10">
        <v>50945.17345537759</v>
      </c>
      <c r="AF67" s="10">
        <v>8716.8300395256883</v>
      </c>
      <c r="AG67" s="10">
        <v>-4631.9653917402247</v>
      </c>
      <c r="AH67" s="10">
        <v>95185.363027133048</v>
      </c>
      <c r="AI67" s="10">
        <v>6756.647713156417</v>
      </c>
      <c r="AJ67" s="10">
        <v>31112.267419536984</v>
      </c>
      <c r="AK67" s="10">
        <v>66508.612911725941</v>
      </c>
      <c r="AL67" s="10">
        <v>39752.474563880052</v>
      </c>
      <c r="AM67" s="10">
        <v>72283.144268774704</v>
      </c>
      <c r="AN67" s="10">
        <v>7057.6595520421606</v>
      </c>
      <c r="AO67" s="10">
        <v>49240.384729610596</v>
      </c>
      <c r="AP67" s="10">
        <v>23906.046245059282</v>
      </c>
      <c r="AQ67" s="10">
        <v>13734.739241384093</v>
      </c>
      <c r="AR67" s="10">
        <v>40463.108300395252</v>
      </c>
      <c r="AS67" s="10">
        <v>10069.887389422174</v>
      </c>
      <c r="AT67" s="10">
        <v>641.32945704181475</v>
      </c>
      <c r="AU67" s="10">
        <v>-9372.8400527009253</v>
      </c>
      <c r="AV67" s="10">
        <v>12952.013721061548</v>
      </c>
      <c r="AW67" s="10">
        <v>38804.248325358873</v>
      </c>
      <c r="AX67" s="10">
        <v>47066.888531605699</v>
      </c>
      <c r="AY67" s="10">
        <v>226463.95526068137</v>
      </c>
      <c r="AZ67" s="10">
        <v>11135.923777823999</v>
      </c>
      <c r="BA67" s="10">
        <v>121917.32508940337</v>
      </c>
      <c r="BB67" s="10">
        <v>63100.595501599848</v>
      </c>
      <c r="BC67" s="10">
        <v>33764.398418972327</v>
      </c>
      <c r="BD67" s="10">
        <v>13507.767776159766</v>
      </c>
      <c r="BE67" s="10">
        <v>70521.989723320163</v>
      </c>
      <c r="BF67" s="10">
        <v>155687.65300207038</v>
      </c>
      <c r="BG67" s="10">
        <v>27794.726482213435</v>
      </c>
      <c r="BH67" s="10">
        <v>-24304.333513625956</v>
      </c>
      <c r="BI67" s="10">
        <v>62770.077247466485</v>
      </c>
      <c r="BJ67" s="10">
        <v>-909.2683794466393</v>
      </c>
      <c r="BK67" s="10">
        <v>8191.3814229249001</v>
      </c>
      <c r="BL67" s="10">
        <v>94063.290513834014</v>
      </c>
      <c r="BM67" s="10">
        <v>16892.2371541502</v>
      </c>
      <c r="BN67" s="10">
        <v>29313.408964109884</v>
      </c>
      <c r="BO67" s="10">
        <v>91406.516398704262</v>
      </c>
      <c r="BP67" s="10">
        <v>56273.475889328052</v>
      </c>
      <c r="BQ67" s="10">
        <v>44965.210671936758</v>
      </c>
      <c r="BR67" s="10">
        <v>263472.545918155</v>
      </c>
      <c r="BS67" s="10">
        <v>13696.147035573124</v>
      </c>
      <c r="BT67" s="10">
        <v>3309.6218431454035</v>
      </c>
      <c r="BU67" s="10">
        <v>9512.414624505931</v>
      </c>
      <c r="BV67" s="10">
        <v>-8342.741934876718</v>
      </c>
      <c r="BW67" s="10">
        <v>67695.051735068904</v>
      </c>
      <c r="BX67" s="10">
        <v>18918.015415019767</v>
      </c>
      <c r="BY67" s="10">
        <v>-3799.146245059289</v>
      </c>
      <c r="BZ67" s="10">
        <v>8506.2185770751021</v>
      </c>
      <c r="CB67" t="s">
        <v>107</v>
      </c>
    </row>
    <row r="68" spans="1:80" x14ac:dyDescent="0.2">
      <c r="B68" t="s">
        <v>95</v>
      </c>
      <c r="C68" s="3">
        <f>SUM(D68:BZ68)</f>
        <v>1186059601.063417</v>
      </c>
      <c r="D68" s="3">
        <f>D66-D67</f>
        <v>177152594.77193952</v>
      </c>
      <c r="E68" s="3">
        <f t="shared" ref="E68:BN68" si="28">E66-E67</f>
        <v>19138854.33673254</v>
      </c>
      <c r="F68" s="3">
        <f t="shared" si="28"/>
        <v>2929732.9930830039</v>
      </c>
      <c r="G68" s="3">
        <f t="shared" si="28"/>
        <v>2420909.4434782611</v>
      </c>
      <c r="H68" s="3">
        <f t="shared" si="28"/>
        <v>18107427.030079052</v>
      </c>
      <c r="I68" s="3">
        <f t="shared" si="28"/>
        <v>22900784.715612654</v>
      </c>
      <c r="J68" s="3">
        <f t="shared" si="28"/>
        <v>7735243.576996048</v>
      </c>
      <c r="K68" s="3">
        <f t="shared" si="28"/>
        <v>2625003.4638735172</v>
      </c>
      <c r="L68" s="3">
        <f t="shared" si="28"/>
        <v>5025949.4989102203</v>
      </c>
      <c r="M68" s="3">
        <f t="shared" si="28"/>
        <v>2563284.0312648225</v>
      </c>
      <c r="N68" s="3">
        <f t="shared" si="28"/>
        <v>5659426.1764822146</v>
      </c>
      <c r="O68" s="3">
        <f t="shared" si="28"/>
        <v>19530932.958616599</v>
      </c>
      <c r="P68" s="3">
        <f t="shared" si="28"/>
        <v>14889823.723729879</v>
      </c>
      <c r="Q68" s="3">
        <f t="shared" si="28"/>
        <v>17743408.997705132</v>
      </c>
      <c r="R68" s="3">
        <f t="shared" si="28"/>
        <v>6079314.2260869564</v>
      </c>
      <c r="S68" s="3">
        <f t="shared" si="28"/>
        <v>9346771.4692520835</v>
      </c>
      <c r="T68" s="3">
        <f t="shared" si="28"/>
        <v>18418081.694753878</v>
      </c>
      <c r="U68" s="3">
        <f t="shared" si="28"/>
        <v>10814092.11563147</v>
      </c>
      <c r="V68" s="3">
        <f t="shared" si="28"/>
        <v>15892220.319762846</v>
      </c>
      <c r="W68" s="3">
        <f t="shared" si="28"/>
        <v>15128658.517747035</v>
      </c>
      <c r="X68" s="3">
        <f t="shared" si="28"/>
        <v>22948262.230506308</v>
      </c>
      <c r="Y68" s="3">
        <f t="shared" si="28"/>
        <v>10973958.898886248</v>
      </c>
      <c r="Z68" s="3">
        <f t="shared" si="28"/>
        <v>4661501.7973913047</v>
      </c>
      <c r="AA68" s="3">
        <f t="shared" si="28"/>
        <v>25039150.62823591</v>
      </c>
      <c r="AB68" s="3">
        <f t="shared" si="28"/>
        <v>3092752.8934969837</v>
      </c>
      <c r="AC68" s="3">
        <f t="shared" si="28"/>
        <v>18826354.665968381</v>
      </c>
      <c r="AD68" s="3">
        <f t="shared" si="28"/>
        <v>4522469.3490118571</v>
      </c>
      <c r="AE68" s="3">
        <f t="shared" si="28"/>
        <v>12828572.346544622</v>
      </c>
      <c r="AF68" s="3">
        <f t="shared" si="28"/>
        <v>7255851.7099604746</v>
      </c>
      <c r="AG68" s="3">
        <f t="shared" si="28"/>
        <v>14874181.165391739</v>
      </c>
      <c r="AH68" s="3">
        <f t="shared" si="28"/>
        <v>27802001.036972865</v>
      </c>
      <c r="AI68" s="3">
        <f t="shared" si="28"/>
        <v>10179778.602286844</v>
      </c>
      <c r="AJ68" s="3">
        <f t="shared" si="28"/>
        <v>9010167.9225804638</v>
      </c>
      <c r="AK68" s="3">
        <f t="shared" si="28"/>
        <v>12713966.587088276</v>
      </c>
      <c r="AL68" s="3">
        <f t="shared" si="28"/>
        <v>9785582.6454361193</v>
      </c>
      <c r="AM68" s="3">
        <f t="shared" si="28"/>
        <v>16123239.835731225</v>
      </c>
      <c r="AN68" s="3">
        <f t="shared" si="28"/>
        <v>2759527.0804479574</v>
      </c>
      <c r="AO68" s="3">
        <f t="shared" si="28"/>
        <v>17679813.485270388</v>
      </c>
      <c r="AP68" s="3">
        <f t="shared" si="28"/>
        <v>9300802.1037549414</v>
      </c>
      <c r="AQ68" s="3">
        <f t="shared" si="28"/>
        <v>13186231.220758617</v>
      </c>
      <c r="AR68" s="3">
        <f t="shared" si="28"/>
        <v>6764018.7816996053</v>
      </c>
      <c r="AS68" s="3">
        <f t="shared" si="28"/>
        <v>5428017.7326105768</v>
      </c>
      <c r="AT68" s="3">
        <f t="shared" si="28"/>
        <v>4910804.0005429583</v>
      </c>
      <c r="AU68" s="3">
        <f t="shared" si="28"/>
        <v>7015375.6900527002</v>
      </c>
      <c r="AV68" s="3">
        <f t="shared" si="28"/>
        <v>5747790.5262789382</v>
      </c>
      <c r="AW68" s="3">
        <f t="shared" si="28"/>
        <v>10010038.13167464</v>
      </c>
      <c r="AX68" s="3">
        <f t="shared" si="28"/>
        <v>14477500.861468395</v>
      </c>
      <c r="AY68" s="3">
        <f t="shared" si="28"/>
        <v>13651390.34473932</v>
      </c>
      <c r="AZ68" s="3">
        <f t="shared" si="28"/>
        <v>10477718.466222176</v>
      </c>
      <c r="BA68" s="3">
        <f t="shared" si="28"/>
        <v>104868603.2249106</v>
      </c>
      <c r="BB68" s="3">
        <f t="shared" si="28"/>
        <v>21731443.474498399</v>
      </c>
      <c r="BC68" s="3">
        <f t="shared" si="28"/>
        <v>5666163.6415810278</v>
      </c>
      <c r="BD68" s="3">
        <f t="shared" si="28"/>
        <v>6661603.9522238402</v>
      </c>
      <c r="BE68" s="3">
        <f t="shared" si="28"/>
        <v>8890778.7402766794</v>
      </c>
      <c r="BF68" s="3">
        <f t="shared" si="28"/>
        <v>15584510.25699793</v>
      </c>
      <c r="BG68" s="3">
        <f t="shared" si="28"/>
        <v>4055797.0435177865</v>
      </c>
      <c r="BH68" s="3">
        <f t="shared" ref="BH68" si="29">BH66-BH67</f>
        <v>9712365.9735136274</v>
      </c>
      <c r="BI68" s="3">
        <f t="shared" si="28"/>
        <v>9117144.5227525346</v>
      </c>
      <c r="BJ68" s="3">
        <f t="shared" si="28"/>
        <v>2832728.2583794463</v>
      </c>
      <c r="BK68" s="3">
        <f t="shared" si="28"/>
        <v>4942663.0485770749</v>
      </c>
      <c r="BL68" s="3">
        <f t="shared" si="28"/>
        <v>17283419.939486165</v>
      </c>
      <c r="BM68" s="3">
        <f t="shared" si="28"/>
        <v>8292109.0228458494</v>
      </c>
      <c r="BN68" s="3">
        <f t="shared" si="28"/>
        <v>13282368.211035891</v>
      </c>
      <c r="BO68" s="3">
        <f t="shared" ref="BO68:BZ68" si="30">BO66-BO67</f>
        <v>25535953.533601291</v>
      </c>
      <c r="BP68" s="3">
        <f t="shared" si="30"/>
        <v>19243082.664110672</v>
      </c>
      <c r="BQ68" s="3">
        <f t="shared" si="30"/>
        <v>6566837.8893280625</v>
      </c>
      <c r="BR68" s="3">
        <f t="shared" si="30"/>
        <v>59803389.054081842</v>
      </c>
      <c r="BS68" s="3">
        <f t="shared" si="30"/>
        <v>15726533.332964426</v>
      </c>
      <c r="BT68" s="3">
        <f t="shared" si="30"/>
        <v>10443003.158156855</v>
      </c>
      <c r="BU68" s="3">
        <f t="shared" si="30"/>
        <v>3252366.8753754939</v>
      </c>
      <c r="BV68" s="3">
        <f t="shared" si="30"/>
        <v>7311585.2319348762</v>
      </c>
      <c r="BW68" s="3">
        <f t="shared" si="30"/>
        <v>42067380.178264931</v>
      </c>
      <c r="BX68" s="3">
        <f t="shared" si="30"/>
        <v>5232704.4745849809</v>
      </c>
      <c r="BY68" s="3">
        <f t="shared" si="30"/>
        <v>7783412.2962450599</v>
      </c>
      <c r="BZ68" s="3">
        <f t="shared" si="30"/>
        <v>24022318.261422925</v>
      </c>
    </row>
    <row r="69" spans="1:80" x14ac:dyDescent="0.2">
      <c r="C69" s="3"/>
      <c r="D69" s="3"/>
      <c r="E69" s="3"/>
      <c r="F69" s="3"/>
      <c r="G69" s="3"/>
      <c r="H69" s="1"/>
      <c r="I69" s="1"/>
      <c r="J69" s="1"/>
      <c r="K69" s="1"/>
      <c r="L69" s="1"/>
      <c r="M69" s="1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</row>
    <row r="70" spans="1:80" x14ac:dyDescent="0.2">
      <c r="B70" t="s">
        <v>96</v>
      </c>
      <c r="C70" s="3">
        <f>SUM(D70:BZ70)</f>
        <v>1333491487.5416548</v>
      </c>
      <c r="D70" s="3">
        <f t="shared" ref="D70:AI70" si="31">D68*D64</f>
        <v>249785158.62843472</v>
      </c>
      <c r="E70" s="3">
        <f t="shared" si="31"/>
        <v>25454676.267854281</v>
      </c>
      <c r="F70" s="3">
        <f t="shared" si="31"/>
        <v>3369192.9420454544</v>
      </c>
      <c r="G70" s="3">
        <f t="shared" si="31"/>
        <v>3026136.8043478262</v>
      </c>
      <c r="H70" s="3">
        <f t="shared" si="31"/>
        <v>12675198.921055336</v>
      </c>
      <c r="I70" s="3">
        <f t="shared" si="31"/>
        <v>20839714.091207515</v>
      </c>
      <c r="J70" s="3">
        <f t="shared" si="31"/>
        <v>8895530.113545455</v>
      </c>
      <c r="K70" s="3">
        <f t="shared" si="31"/>
        <v>3517504.6415905133</v>
      </c>
      <c r="L70" s="3">
        <f t="shared" si="31"/>
        <v>3970500.1041390742</v>
      </c>
      <c r="M70" s="3">
        <f t="shared" si="31"/>
        <v>3050307.9972051387</v>
      </c>
      <c r="N70" s="3">
        <f t="shared" si="31"/>
        <v>7074282.7206027685</v>
      </c>
      <c r="O70" s="3">
        <f t="shared" si="31"/>
        <v>18163767.651513439</v>
      </c>
      <c r="P70" s="3">
        <f t="shared" si="31"/>
        <v>19207872.603611544</v>
      </c>
      <c r="Q70" s="3">
        <f t="shared" si="31"/>
        <v>15791634.007957568</v>
      </c>
      <c r="R70" s="3">
        <f t="shared" si="31"/>
        <v>7234383.9290434774</v>
      </c>
      <c r="S70" s="3">
        <f t="shared" si="31"/>
        <v>9720642.3280221671</v>
      </c>
      <c r="T70" s="3">
        <f t="shared" si="31"/>
        <v>16023731.074435873</v>
      </c>
      <c r="U70" s="3">
        <f t="shared" si="31"/>
        <v>10273387.509849897</v>
      </c>
      <c r="V70" s="3">
        <f t="shared" si="31"/>
        <v>10171021.004648222</v>
      </c>
      <c r="W70" s="3">
        <f t="shared" si="31"/>
        <v>12254213.3993751</v>
      </c>
      <c r="X70" s="3">
        <f t="shared" si="31"/>
        <v>17440679.295184795</v>
      </c>
      <c r="Y70" s="3">
        <f t="shared" si="31"/>
        <v>11083698.487875111</v>
      </c>
      <c r="Z70" s="3">
        <f t="shared" si="31"/>
        <v>5220882.0130782621</v>
      </c>
      <c r="AA70" s="3">
        <f t="shared" si="31"/>
        <v>29796589.247600731</v>
      </c>
      <c r="AB70" s="3">
        <f t="shared" si="31"/>
        <v>3371100.6539117126</v>
      </c>
      <c r="AC70" s="3">
        <f t="shared" si="31"/>
        <v>19202881.759287748</v>
      </c>
      <c r="AD70" s="3">
        <f t="shared" si="31"/>
        <v>5381738.5253241099</v>
      </c>
      <c r="AE70" s="3">
        <f t="shared" si="31"/>
        <v>10647715.047632035</v>
      </c>
      <c r="AF70" s="3">
        <f t="shared" si="31"/>
        <v>9069814.6374505926</v>
      </c>
      <c r="AG70" s="3">
        <f t="shared" si="31"/>
        <v>14874181.165391739</v>
      </c>
      <c r="AH70" s="3">
        <f t="shared" si="31"/>
        <v>32806361.223627981</v>
      </c>
      <c r="AI70" s="3">
        <f t="shared" si="31"/>
        <v>11197756.462515529</v>
      </c>
      <c r="AJ70" s="3">
        <f t="shared" ref="AJ70:BM70" si="32">AJ68*AJ64</f>
        <v>13965760.27999972</v>
      </c>
      <c r="AK70" s="3">
        <f t="shared" si="32"/>
        <v>17672413.556052703</v>
      </c>
      <c r="AL70" s="3">
        <f t="shared" si="32"/>
        <v>12623401.612612594</v>
      </c>
      <c r="AM70" s="3">
        <f t="shared" si="32"/>
        <v>14833380.648872728</v>
      </c>
      <c r="AN70" s="3">
        <f t="shared" si="32"/>
        <v>3918528.4542360995</v>
      </c>
      <c r="AO70" s="3">
        <f t="shared" si="32"/>
        <v>23514151.935409617</v>
      </c>
      <c r="AP70" s="3">
        <f t="shared" si="32"/>
        <v>12091042.734881423</v>
      </c>
      <c r="AQ70" s="3">
        <f t="shared" si="32"/>
        <v>15164165.903872408</v>
      </c>
      <c r="AR70" s="3">
        <f t="shared" si="32"/>
        <v>7237500.0964185782</v>
      </c>
      <c r="AS70" s="3">
        <f t="shared" si="32"/>
        <v>6242220.3925021626</v>
      </c>
      <c r="AT70" s="3">
        <f t="shared" si="32"/>
        <v>5647424.6006244011</v>
      </c>
      <c r="AU70" s="3">
        <f t="shared" si="32"/>
        <v>8769219.6125658751</v>
      </c>
      <c r="AV70" s="3">
        <f t="shared" si="32"/>
        <v>7127260.2525858833</v>
      </c>
      <c r="AW70" s="3">
        <f t="shared" si="32"/>
        <v>10610640.419575119</v>
      </c>
      <c r="AX70" s="3">
        <f t="shared" si="32"/>
        <v>16359575.973459285</v>
      </c>
      <c r="AY70" s="3">
        <f t="shared" si="32"/>
        <v>16108640.606792396</v>
      </c>
      <c r="AZ70" s="3">
        <f t="shared" si="32"/>
        <v>12154153.420817723</v>
      </c>
      <c r="BA70" s="3">
        <f t="shared" si="32"/>
        <v>77602766.38643384</v>
      </c>
      <c r="BB70" s="3">
        <f t="shared" si="32"/>
        <v>26295046.604143061</v>
      </c>
      <c r="BC70" s="3">
        <f t="shared" si="32"/>
        <v>6969381.2791446643</v>
      </c>
      <c r="BD70" s="3">
        <f t="shared" si="32"/>
        <v>7927308.7031463692</v>
      </c>
      <c r="BE70" s="3">
        <f t="shared" si="32"/>
        <v>12358182.448984584</v>
      </c>
      <c r="BF70" s="3">
        <f t="shared" si="32"/>
        <v>20571553.539237268</v>
      </c>
      <c r="BG70" s="3">
        <f t="shared" si="32"/>
        <v>5394210.0678786561</v>
      </c>
      <c r="BH70" s="3">
        <f>BH68*BH64</f>
        <v>12880376.288797306</v>
      </c>
      <c r="BI70" s="3">
        <f t="shared" si="32"/>
        <v>10849401.982075516</v>
      </c>
      <c r="BJ70" s="3">
        <f t="shared" si="32"/>
        <v>3257637.4971363628</v>
      </c>
      <c r="BK70" s="3">
        <f t="shared" si="32"/>
        <v>6573741.8546075104</v>
      </c>
      <c r="BL70" s="3">
        <f t="shared" si="32"/>
        <v>20740103.927383397</v>
      </c>
      <c r="BM70" s="3">
        <f t="shared" si="32"/>
        <v>10116373.007871935</v>
      </c>
      <c r="BN70" s="3">
        <f t="shared" ref="BN70:BZ70" si="33">BN68*BN64</f>
        <v>16204489.217463786</v>
      </c>
      <c r="BO70" s="3">
        <f t="shared" si="33"/>
        <v>32430660.98767364</v>
      </c>
      <c r="BP70" s="3">
        <f t="shared" si="33"/>
        <v>24438714.983420555</v>
      </c>
      <c r="BQ70" s="3">
        <f t="shared" si="33"/>
        <v>9850256.8339920938</v>
      </c>
      <c r="BR70" s="3">
        <f t="shared" si="33"/>
        <v>70567999.083816573</v>
      </c>
      <c r="BS70" s="3">
        <f t="shared" si="33"/>
        <v>12109430.666382609</v>
      </c>
      <c r="BT70" s="3">
        <f t="shared" si="33"/>
        <v>10443003.158156855</v>
      </c>
      <c r="BU70" s="3">
        <f t="shared" si="33"/>
        <v>4097982.2629731223</v>
      </c>
      <c r="BV70" s="3">
        <f t="shared" si="33"/>
        <v>7969627.9028090155</v>
      </c>
      <c r="BW70" s="3">
        <f t="shared" si="33"/>
        <v>48798161.006787315</v>
      </c>
      <c r="BX70" s="3">
        <f t="shared" si="33"/>
        <v>6174591.2800102774</v>
      </c>
      <c r="BY70" s="3">
        <f t="shared" si="33"/>
        <v>9495763.0014189724</v>
      </c>
      <c r="BZ70" s="3">
        <f t="shared" si="33"/>
        <v>24742987.809265614</v>
      </c>
    </row>
    <row r="71" spans="1:80" x14ac:dyDescent="0.2">
      <c r="C71" s="3"/>
      <c r="D71" s="3"/>
      <c r="E71" s="3"/>
      <c r="F71" s="3"/>
      <c r="G71" s="3"/>
      <c r="H71" s="1"/>
      <c r="I71" s="1"/>
      <c r="J71" s="1"/>
      <c r="K71" s="1"/>
      <c r="L71" s="1"/>
      <c r="M71" s="1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</row>
    <row r="72" spans="1:80" s="19" customFormat="1" x14ac:dyDescent="0.2">
      <c r="B72" s="19" t="s">
        <v>89</v>
      </c>
      <c r="C72" s="13">
        <f t="shared" ref="C72:AH72" si="34">C68*$C64</f>
        <v>1333491487.5416548</v>
      </c>
      <c r="D72" s="13">
        <f t="shared" si="34"/>
        <v>199173361.02881616</v>
      </c>
      <c r="E72" s="13">
        <f t="shared" si="34"/>
        <v>21517889.418415431</v>
      </c>
      <c r="F72" s="13">
        <f t="shared" si="34"/>
        <v>3293910.3596002422</v>
      </c>
      <c r="G72" s="13">
        <f t="shared" si="34"/>
        <v>2721838.0358735914</v>
      </c>
      <c r="H72" s="13">
        <f t="shared" si="34"/>
        <v>20358251.62938083</v>
      </c>
      <c r="I72" s="13">
        <f t="shared" si="34"/>
        <v>25747442.581227154</v>
      </c>
      <c r="J72" s="13">
        <f t="shared" si="34"/>
        <v>8696764.8630281352</v>
      </c>
      <c r="K72" s="13">
        <f t="shared" si="34"/>
        <v>2951301.7479932955</v>
      </c>
      <c r="L72" s="13">
        <f t="shared" si="34"/>
        <v>5650694.8450162029</v>
      </c>
      <c r="M72" s="13">
        <f t="shared" si="34"/>
        <v>2881910.3464770452</v>
      </c>
      <c r="N72" s="13">
        <f t="shared" si="34"/>
        <v>6362915.1721743299</v>
      </c>
      <c r="O72" s="13">
        <f t="shared" si="34"/>
        <v>21958704.959439412</v>
      </c>
      <c r="P72" s="13">
        <f t="shared" si="34"/>
        <v>16740687.541154969</v>
      </c>
      <c r="Q72" s="13">
        <f t="shared" si="34"/>
        <v>19948984.719819907</v>
      </c>
      <c r="R72" s="13">
        <f t="shared" si="34"/>
        <v>6834996.9624708472</v>
      </c>
      <c r="S72" s="13">
        <f t="shared" si="34"/>
        <v>10508612.028493192</v>
      </c>
      <c r="T72" s="13">
        <f t="shared" si="34"/>
        <v>20707521.894161426</v>
      </c>
      <c r="U72" s="13">
        <f t="shared" si="34"/>
        <v>12158326.418635724</v>
      </c>
      <c r="V72" s="13">
        <f t="shared" si="34"/>
        <v>17867685.987735752</v>
      </c>
      <c r="W72" s="13">
        <f t="shared" si="34"/>
        <v>17009210.442082621</v>
      </c>
      <c r="X72" s="13">
        <f t="shared" si="34"/>
        <v>25800821.738483295</v>
      </c>
      <c r="Y72" s="13">
        <f t="shared" si="34"/>
        <v>12338065.273596955</v>
      </c>
      <c r="Z72" s="13">
        <f t="shared" si="34"/>
        <v>5240944.8567408575</v>
      </c>
      <c r="AA72" s="13">
        <f t="shared" si="34"/>
        <v>28151615.81094994</v>
      </c>
      <c r="AB72" s="13">
        <f t="shared" si="34"/>
        <v>3477194.2766201147</v>
      </c>
      <c r="AC72" s="13">
        <f t="shared" si="34"/>
        <v>21166544.806011509</v>
      </c>
      <c r="AD72" s="13">
        <f t="shared" si="34"/>
        <v>5084630.1266549155</v>
      </c>
      <c r="AE72" s="13">
        <f t="shared" si="34"/>
        <v>14423214.487780914</v>
      </c>
      <c r="AF72" s="13">
        <f t="shared" si="34"/>
        <v>8157782.6960986862</v>
      </c>
      <c r="AG72" s="13">
        <f t="shared" si="34"/>
        <v>16723100.551117893</v>
      </c>
      <c r="AH72" s="13">
        <f t="shared" si="34"/>
        <v>31257899.422750253</v>
      </c>
      <c r="AI72" s="13">
        <f t="shared" ref="AI72:BL72" si="35">AI68*$C64</f>
        <v>11445165.233717773</v>
      </c>
      <c r="AJ72" s="13">
        <f t="shared" si="35"/>
        <v>10130167.333335806</v>
      </c>
      <c r="AK72" s="13">
        <f t="shared" si="35"/>
        <v>14294362.780395161</v>
      </c>
      <c r="AL72" s="13">
        <f t="shared" si="35"/>
        <v>11001969.164639561</v>
      </c>
      <c r="AM72" s="13">
        <f t="shared" si="35"/>
        <v>18127422.140728079</v>
      </c>
      <c r="AN72" s="13">
        <f t="shared" si="35"/>
        <v>3102547.180697096</v>
      </c>
      <c r="AO72" s="13">
        <f t="shared" si="35"/>
        <v>19877484.034355581</v>
      </c>
      <c r="AP72" s="13">
        <f t="shared" si="35"/>
        <v>10456928.489552004</v>
      </c>
      <c r="AQ72" s="13">
        <f t="shared" si="35"/>
        <v>14825331.770740788</v>
      </c>
      <c r="AR72" s="13">
        <f t="shared" si="35"/>
        <v>7604812.9949635006</v>
      </c>
      <c r="AS72" s="13">
        <f t="shared" si="35"/>
        <v>6102741.7460063556</v>
      </c>
      <c r="AT72" s="13">
        <f t="shared" si="35"/>
        <v>5521236.3070440665</v>
      </c>
      <c r="AU72" s="13">
        <f t="shared" si="35"/>
        <v>7887414.5584288752</v>
      </c>
      <c r="AV72" s="13">
        <f t="shared" si="35"/>
        <v>6462263.5591781829</v>
      </c>
      <c r="AW72" s="13">
        <f t="shared" si="35"/>
        <v>11254325.35311671</v>
      </c>
      <c r="AX72" s="13">
        <f t="shared" si="35"/>
        <v>16277111.320827153</v>
      </c>
      <c r="AY72" s="13">
        <f t="shared" si="35"/>
        <v>15348312.008516744</v>
      </c>
      <c r="AZ72" s="13">
        <f t="shared" si="35"/>
        <v>11780140.197877135</v>
      </c>
      <c r="BA72" s="13">
        <f t="shared" si="35"/>
        <v>117904184.22937626</v>
      </c>
      <c r="BB72" s="13">
        <f t="shared" si="35"/>
        <v>24432747.611717034</v>
      </c>
      <c r="BC72" s="13">
        <f t="shared" si="35"/>
        <v>6370490.1307588909</v>
      </c>
      <c r="BD72" s="13">
        <f t="shared" si="35"/>
        <v>7489667.5982384831</v>
      </c>
      <c r="BE72" s="13">
        <f t="shared" si="35"/>
        <v>9995937.6047758646</v>
      </c>
      <c r="BF72" s="13">
        <f t="shared" si="35"/>
        <v>17521726.35049659</v>
      </c>
      <c r="BG72" s="13">
        <f t="shared" si="35"/>
        <v>4559948.612935178</v>
      </c>
      <c r="BH72" s="13">
        <f t="shared" ref="BH72" si="36">BH68*$C64</f>
        <v>10919651.371615304</v>
      </c>
      <c r="BI72" s="13">
        <f t="shared" si="35"/>
        <v>10250441.546847254</v>
      </c>
      <c r="BJ72" s="13">
        <f t="shared" si="35"/>
        <v>3184847.5537661584</v>
      </c>
      <c r="BK72" s="13">
        <f t="shared" si="35"/>
        <v>5557055.5604075436</v>
      </c>
      <c r="BL72" s="13">
        <f t="shared" si="35"/>
        <v>19431817.207371686</v>
      </c>
      <c r="BM72" s="13">
        <f t="shared" ref="BM72:BZ72" si="37">BM68*$C64</f>
        <v>9322850.8801903483</v>
      </c>
      <c r="BN72" s="13">
        <f t="shared" si="37"/>
        <v>14933418.968093837</v>
      </c>
      <c r="BO72" s="13">
        <f t="shared" si="37"/>
        <v>28710173.276946351</v>
      </c>
      <c r="BP72" s="13">
        <f t="shared" si="37"/>
        <v>21635073.737984892</v>
      </c>
      <c r="BQ72" s="13">
        <f t="shared" si="37"/>
        <v>7383121.7399476739</v>
      </c>
      <c r="BR72" s="13">
        <f t="shared" si="37"/>
        <v>67237186.19052428</v>
      </c>
      <c r="BS72" s="13">
        <f t="shared" si="37"/>
        <v>17681403.454974309</v>
      </c>
      <c r="BT72" s="13">
        <f t="shared" si="37"/>
        <v>11741109.640094889</v>
      </c>
      <c r="BU72" s="13">
        <f t="shared" si="37"/>
        <v>3656648.905996907</v>
      </c>
      <c r="BV72" s="13">
        <f t="shared" si="37"/>
        <v>8220444.1146791223</v>
      </c>
      <c r="BW72" s="13">
        <f t="shared" si="37"/>
        <v>47296521.45693092</v>
      </c>
      <c r="BX72" s="13">
        <f t="shared" si="37"/>
        <v>5883150.2796520153</v>
      </c>
      <c r="BY72" s="13">
        <f t="shared" si="37"/>
        <v>8750921.1440672576</v>
      </c>
      <c r="BZ72" s="13">
        <f t="shared" si="37"/>
        <v>27008387.170343496</v>
      </c>
    </row>
    <row r="73" spans="1:80" x14ac:dyDescent="0.2">
      <c r="C73" s="3"/>
      <c r="D73" s="3"/>
      <c r="E73" s="3"/>
      <c r="F73" s="3"/>
      <c r="G73" s="3"/>
      <c r="H73" s="1"/>
      <c r="I73" s="1"/>
      <c r="J73" s="1"/>
      <c r="K73" s="1"/>
      <c r="L73" s="1"/>
      <c r="M73" s="1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</row>
    <row r="74" spans="1:80" s="19" customFormat="1" x14ac:dyDescent="0.2">
      <c r="A74" s="23" t="s">
        <v>129</v>
      </c>
      <c r="B74" s="24" t="s">
        <v>0</v>
      </c>
      <c r="C74" s="14"/>
      <c r="D74" s="14"/>
      <c r="E74" s="14"/>
      <c r="F74" s="14"/>
      <c r="G74" s="14"/>
      <c r="H74" s="15"/>
      <c r="I74" s="15"/>
      <c r="J74" s="15"/>
      <c r="K74" s="15"/>
      <c r="L74" s="15"/>
      <c r="M74" s="15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25"/>
      <c r="CB74" s="23"/>
    </row>
    <row r="75" spans="1:80" x14ac:dyDescent="0.2">
      <c r="B75" t="s">
        <v>81</v>
      </c>
      <c r="C75" s="3">
        <f>SUM(D75:BZ75)</f>
        <v>71317458.850000024</v>
      </c>
      <c r="D75" s="7">
        <v>14919528.199999999</v>
      </c>
      <c r="E75" s="7">
        <v>597347.74999999988</v>
      </c>
      <c r="F75" s="7">
        <v>80213.25</v>
      </c>
      <c r="G75" s="7">
        <v>63747.200000000004</v>
      </c>
      <c r="H75" s="7">
        <v>121360.15</v>
      </c>
      <c r="I75" s="7">
        <v>797640.79999999993</v>
      </c>
      <c r="J75" s="7">
        <v>612707.04999999993</v>
      </c>
      <c r="K75" s="7">
        <v>52401.200000000004</v>
      </c>
      <c r="L75" s="7">
        <v>59729.65</v>
      </c>
      <c r="M75" s="7">
        <v>22835.5</v>
      </c>
      <c r="N75" s="7">
        <v>50262.75</v>
      </c>
      <c r="O75" s="7">
        <v>579956.65</v>
      </c>
      <c r="P75" s="7">
        <v>2261526.1500000004</v>
      </c>
      <c r="Q75" s="7">
        <v>1455152.5499999998</v>
      </c>
      <c r="R75" s="7">
        <v>512132.89999999997</v>
      </c>
      <c r="S75" s="7">
        <v>2349119.15</v>
      </c>
      <c r="T75" s="7">
        <v>2516161.4</v>
      </c>
      <c r="U75" s="7">
        <v>783239.7</v>
      </c>
      <c r="V75" s="7">
        <v>2319574.3000000003</v>
      </c>
      <c r="W75" s="7">
        <v>1985428.7500000002</v>
      </c>
      <c r="X75" s="7">
        <v>3206540.7</v>
      </c>
      <c r="Y75" s="7">
        <v>730926.5</v>
      </c>
      <c r="Z75" s="7">
        <v>234288.99999999997</v>
      </c>
      <c r="AA75" s="7">
        <v>2818813.8999999994</v>
      </c>
      <c r="AB75" s="7">
        <v>121408.40000000002</v>
      </c>
      <c r="AC75" s="7">
        <v>1904305.9000000001</v>
      </c>
      <c r="AD75" s="7">
        <v>496487.25</v>
      </c>
      <c r="AE75" s="7">
        <v>3066458.7</v>
      </c>
      <c r="AF75" s="7">
        <v>397864.64999999997</v>
      </c>
      <c r="AG75" s="7">
        <v>1419930.6500000001</v>
      </c>
      <c r="AH75" s="7">
        <v>3068758.0500000003</v>
      </c>
      <c r="AI75" s="7">
        <v>985607.29999999993</v>
      </c>
      <c r="AJ75" s="7">
        <v>751908.2</v>
      </c>
      <c r="AK75" s="7">
        <v>904448.99999999988</v>
      </c>
      <c r="AL75" s="7">
        <v>340461.94999999995</v>
      </c>
      <c r="AM75" s="7">
        <v>1081748.7500000002</v>
      </c>
      <c r="AN75" s="7">
        <v>289160.55</v>
      </c>
      <c r="AO75" s="7">
        <v>529206.1</v>
      </c>
      <c r="AP75" s="7">
        <v>494450.25</v>
      </c>
      <c r="AQ75" s="7">
        <v>474693.9</v>
      </c>
      <c r="AR75" s="7">
        <v>256021.1</v>
      </c>
      <c r="AS75" s="7">
        <v>58217.100000000006</v>
      </c>
      <c r="AT75" s="7">
        <v>52570</v>
      </c>
      <c r="AU75" s="7">
        <v>217897.00000000003</v>
      </c>
      <c r="AV75" s="7">
        <v>187175.25</v>
      </c>
      <c r="AW75" s="7">
        <v>276029.59999999998</v>
      </c>
      <c r="AX75" s="7">
        <v>260768.84999999998</v>
      </c>
      <c r="AY75" s="7">
        <v>662984.45000000007</v>
      </c>
      <c r="AZ75" s="7">
        <v>315810.94999999995</v>
      </c>
      <c r="BA75" s="7">
        <v>2342977.0999999996</v>
      </c>
      <c r="BB75" s="7">
        <v>646846.65</v>
      </c>
      <c r="BC75" s="7">
        <v>278191.2</v>
      </c>
      <c r="BD75" s="7">
        <v>97707.400000000009</v>
      </c>
      <c r="BE75" s="7">
        <v>191505.79999999996</v>
      </c>
      <c r="BF75" s="7">
        <v>462016.2</v>
      </c>
      <c r="BG75" s="7">
        <v>146883</v>
      </c>
      <c r="BH75" s="7">
        <v>266683.40000000002</v>
      </c>
      <c r="BI75" s="7">
        <v>325994.25</v>
      </c>
      <c r="BJ75" s="7">
        <v>116559.70000000001</v>
      </c>
      <c r="BK75" s="7">
        <v>68831.8</v>
      </c>
      <c r="BL75" s="7">
        <v>1507231.9000000001</v>
      </c>
      <c r="BM75" s="7">
        <v>245644.2</v>
      </c>
      <c r="BN75" s="7">
        <v>447804.69999999995</v>
      </c>
      <c r="BO75" s="7">
        <v>1282262</v>
      </c>
      <c r="BP75" s="7">
        <v>700144.1</v>
      </c>
      <c r="BQ75" s="7">
        <v>252974.65</v>
      </c>
      <c r="BR75" s="7">
        <v>1856859.7500000002</v>
      </c>
      <c r="BS75" s="7">
        <v>131518.05000000002</v>
      </c>
      <c r="BT75" s="7">
        <v>309879.7</v>
      </c>
      <c r="BU75" s="7">
        <v>83566.549999999988</v>
      </c>
      <c r="BV75" s="7">
        <v>89027.15</v>
      </c>
      <c r="BW75" s="7">
        <v>1202780.4999999998</v>
      </c>
      <c r="BX75" s="7">
        <v>47585.9</v>
      </c>
      <c r="BY75" s="7">
        <v>163757.70000000001</v>
      </c>
      <c r="BZ75" s="7">
        <v>307216.45</v>
      </c>
      <c r="CB75" t="s">
        <v>107</v>
      </c>
    </row>
    <row r="76" spans="1:80" x14ac:dyDescent="0.2">
      <c r="B76" t="s">
        <v>86</v>
      </c>
      <c r="C76" s="3">
        <f>SUM(D76:BZ76)</f>
        <v>761087.46000000008</v>
      </c>
      <c r="D76" s="7">
        <v>-73370.649999999994</v>
      </c>
      <c r="E76" s="7">
        <v>9576.3499999999985</v>
      </c>
      <c r="F76" s="7">
        <v>11.1</v>
      </c>
      <c r="G76" s="7">
        <v>2.2999999999999998</v>
      </c>
      <c r="H76" s="7">
        <v>7</v>
      </c>
      <c r="I76" s="7">
        <v>3715.8</v>
      </c>
      <c r="J76" s="7">
        <v>6143.8</v>
      </c>
      <c r="K76" s="7">
        <v>59.35</v>
      </c>
      <c r="L76" s="7">
        <v>411.70000000000005</v>
      </c>
      <c r="M76" s="7">
        <v>329.34999999999997</v>
      </c>
      <c r="N76" s="7">
        <v>5.55</v>
      </c>
      <c r="O76" s="7">
        <v>6004.9500000000007</v>
      </c>
      <c r="P76" s="7">
        <v>42564</v>
      </c>
      <c r="Q76" s="7">
        <v>376208.3</v>
      </c>
      <c r="R76" s="7">
        <v>766.09999999999991</v>
      </c>
      <c r="S76" s="7">
        <v>15832.5</v>
      </c>
      <c r="T76" s="7">
        <v>3482.6500000000005</v>
      </c>
      <c r="U76" s="7">
        <v>3937.2000000000003</v>
      </c>
      <c r="V76" s="7">
        <v>11399.6</v>
      </c>
      <c r="W76" s="7">
        <v>103614.06999999999</v>
      </c>
      <c r="X76" s="7">
        <v>14174.15</v>
      </c>
      <c r="Y76" s="7">
        <v>4638.1500000000005</v>
      </c>
      <c r="Z76" s="7">
        <v>266.95</v>
      </c>
      <c r="AA76" s="7">
        <v>24016.899999999998</v>
      </c>
      <c r="AB76" s="7">
        <v>23.3</v>
      </c>
      <c r="AC76" s="7">
        <v>19116.75</v>
      </c>
      <c r="AD76" s="7">
        <v>130.75</v>
      </c>
      <c r="AE76" s="7">
        <v>175.73</v>
      </c>
      <c r="AF76" s="7">
        <v>445.7</v>
      </c>
      <c r="AG76" s="7">
        <v>15.350000000000001</v>
      </c>
      <c r="AH76" s="7">
        <v>2411.8999999999996</v>
      </c>
      <c r="AI76" s="7">
        <v>1820.95</v>
      </c>
      <c r="AJ76" s="7">
        <v>788.94999999999993</v>
      </c>
      <c r="AK76" s="7">
        <v>5713.25</v>
      </c>
      <c r="AL76" s="7">
        <v>-1448.1000000000001</v>
      </c>
      <c r="AM76" s="7">
        <v>33.35</v>
      </c>
      <c r="AN76" s="7">
        <v>17.399999999999999</v>
      </c>
      <c r="AO76" s="7">
        <v>1946.64</v>
      </c>
      <c r="AP76" s="7">
        <v>9402.2000000000007</v>
      </c>
      <c r="AQ76" s="7">
        <v>2770.7999999999997</v>
      </c>
      <c r="AR76" s="7">
        <v>2228</v>
      </c>
      <c r="AS76" s="7">
        <v>9.4499999999999993</v>
      </c>
      <c r="AT76" s="7">
        <v>1132.3999999999999</v>
      </c>
      <c r="AU76" s="7">
        <v>8601.75</v>
      </c>
      <c r="AV76" s="7">
        <v>2660.3</v>
      </c>
      <c r="AW76" s="7">
        <v>8777.75</v>
      </c>
      <c r="AX76" s="7">
        <v>2376.0500000000002</v>
      </c>
      <c r="AY76" s="7">
        <v>18457.8</v>
      </c>
      <c r="AZ76" s="7">
        <v>836.65</v>
      </c>
      <c r="BA76" s="7">
        <v>18555.21</v>
      </c>
      <c r="BB76" s="7">
        <v>6816.5</v>
      </c>
      <c r="BC76" s="7">
        <v>1994.55</v>
      </c>
      <c r="BD76" s="7">
        <v>60.55</v>
      </c>
      <c r="BE76" s="7">
        <v>5142.55</v>
      </c>
      <c r="BF76" s="7">
        <v>5271.15</v>
      </c>
      <c r="BG76" s="7">
        <v>1140.7</v>
      </c>
      <c r="BH76" s="7">
        <v>1082.75</v>
      </c>
      <c r="BI76" s="7">
        <v>1843.2</v>
      </c>
      <c r="BJ76" s="7">
        <v>84.35</v>
      </c>
      <c r="BK76" s="7">
        <v>29.400000000000002</v>
      </c>
      <c r="BL76" s="7">
        <v>4016.6499999999996</v>
      </c>
      <c r="BM76" s="7">
        <v>125.15</v>
      </c>
      <c r="BN76" s="7">
        <v>10024.41</v>
      </c>
      <c r="BO76" s="7">
        <v>21332.799999999999</v>
      </c>
      <c r="BP76" s="7">
        <v>6834.1</v>
      </c>
      <c r="BQ76" s="7">
        <v>1736.4500000000003</v>
      </c>
      <c r="BR76" s="7">
        <v>24271.550000000003</v>
      </c>
      <c r="BS76" s="7">
        <v>555.1</v>
      </c>
      <c r="BT76" s="7">
        <v>6.45</v>
      </c>
      <c r="BU76" s="7">
        <v>2.75</v>
      </c>
      <c r="BV76" s="7">
        <v>11.2</v>
      </c>
      <c r="BW76" s="7">
        <v>7073.65</v>
      </c>
      <c r="BX76" s="7">
        <v>1.95</v>
      </c>
      <c r="BY76" s="7">
        <v>27.2</v>
      </c>
      <c r="BZ76" s="7">
        <v>804.90000000000009</v>
      </c>
      <c r="CB76" t="s">
        <v>107</v>
      </c>
    </row>
    <row r="77" spans="1:80" s="19" customFormat="1" x14ac:dyDescent="0.2">
      <c r="B77" s="19" t="s">
        <v>90</v>
      </c>
      <c r="C77" s="13">
        <f>SUM(D77:BZ77)</f>
        <v>70556371.389999971</v>
      </c>
      <c r="D77" s="13">
        <f>D75-D76</f>
        <v>14992898.85</v>
      </c>
      <c r="E77" s="13">
        <f t="shared" ref="E77:BN77" si="38">E75-E76</f>
        <v>587771.39999999991</v>
      </c>
      <c r="F77" s="13">
        <f t="shared" si="38"/>
        <v>80202.149999999994</v>
      </c>
      <c r="G77" s="13">
        <f t="shared" si="38"/>
        <v>63744.9</v>
      </c>
      <c r="H77" s="13">
        <f t="shared" si="38"/>
        <v>121353.15</v>
      </c>
      <c r="I77" s="13">
        <f t="shared" si="38"/>
        <v>793924.99999999988</v>
      </c>
      <c r="J77" s="13">
        <f t="shared" si="38"/>
        <v>606563.24999999988</v>
      </c>
      <c r="K77" s="13">
        <f t="shared" si="38"/>
        <v>52341.850000000006</v>
      </c>
      <c r="L77" s="13">
        <f t="shared" si="38"/>
        <v>59317.950000000004</v>
      </c>
      <c r="M77" s="13">
        <f t="shared" si="38"/>
        <v>22506.15</v>
      </c>
      <c r="N77" s="13">
        <f t="shared" si="38"/>
        <v>50257.2</v>
      </c>
      <c r="O77" s="13">
        <f t="shared" si="38"/>
        <v>573951.70000000007</v>
      </c>
      <c r="P77" s="13">
        <f t="shared" si="38"/>
        <v>2218962.1500000004</v>
      </c>
      <c r="Q77" s="13">
        <f t="shared" si="38"/>
        <v>1078944.2499999998</v>
      </c>
      <c r="R77" s="13">
        <f t="shared" si="38"/>
        <v>511366.8</v>
      </c>
      <c r="S77" s="13">
        <f t="shared" si="38"/>
        <v>2333286.65</v>
      </c>
      <c r="T77" s="13">
        <f t="shared" si="38"/>
        <v>2512678.75</v>
      </c>
      <c r="U77" s="13">
        <f t="shared" si="38"/>
        <v>779302.5</v>
      </c>
      <c r="V77" s="13">
        <f t="shared" si="38"/>
        <v>2308174.7000000002</v>
      </c>
      <c r="W77" s="13">
        <f t="shared" si="38"/>
        <v>1881814.6800000002</v>
      </c>
      <c r="X77" s="13">
        <f t="shared" si="38"/>
        <v>3192366.5500000003</v>
      </c>
      <c r="Y77" s="13">
        <f t="shared" si="38"/>
        <v>726288.35</v>
      </c>
      <c r="Z77" s="13">
        <f t="shared" si="38"/>
        <v>234022.04999999996</v>
      </c>
      <c r="AA77" s="13">
        <f t="shared" si="38"/>
        <v>2794796.9999999995</v>
      </c>
      <c r="AB77" s="13">
        <f t="shared" si="38"/>
        <v>121385.10000000002</v>
      </c>
      <c r="AC77" s="13">
        <f t="shared" si="38"/>
        <v>1885189.1500000001</v>
      </c>
      <c r="AD77" s="13">
        <f t="shared" si="38"/>
        <v>496356.5</v>
      </c>
      <c r="AE77" s="13">
        <f t="shared" si="38"/>
        <v>3066282.97</v>
      </c>
      <c r="AF77" s="13">
        <f t="shared" si="38"/>
        <v>397418.94999999995</v>
      </c>
      <c r="AG77" s="13">
        <f t="shared" si="38"/>
        <v>1419915.3</v>
      </c>
      <c r="AH77" s="13">
        <f t="shared" si="38"/>
        <v>3066346.1500000004</v>
      </c>
      <c r="AI77" s="13">
        <f t="shared" si="38"/>
        <v>983786.35</v>
      </c>
      <c r="AJ77" s="13">
        <f t="shared" si="38"/>
        <v>751119.25</v>
      </c>
      <c r="AK77" s="13">
        <f t="shared" si="38"/>
        <v>898735.74999999988</v>
      </c>
      <c r="AL77" s="13">
        <f t="shared" si="38"/>
        <v>341910.04999999993</v>
      </c>
      <c r="AM77" s="13">
        <f t="shared" si="38"/>
        <v>1081715.4000000001</v>
      </c>
      <c r="AN77" s="13">
        <f t="shared" si="38"/>
        <v>289143.14999999997</v>
      </c>
      <c r="AO77" s="13">
        <f t="shared" si="38"/>
        <v>527259.46</v>
      </c>
      <c r="AP77" s="13">
        <f t="shared" si="38"/>
        <v>485048.05</v>
      </c>
      <c r="AQ77" s="13">
        <f t="shared" si="38"/>
        <v>471923.10000000003</v>
      </c>
      <c r="AR77" s="13">
        <f t="shared" si="38"/>
        <v>253793.1</v>
      </c>
      <c r="AS77" s="13">
        <f t="shared" si="38"/>
        <v>58207.650000000009</v>
      </c>
      <c r="AT77" s="13">
        <f t="shared" si="38"/>
        <v>51437.599999999999</v>
      </c>
      <c r="AU77" s="13">
        <f t="shared" si="38"/>
        <v>209295.25000000003</v>
      </c>
      <c r="AV77" s="13">
        <f t="shared" si="38"/>
        <v>184514.95</v>
      </c>
      <c r="AW77" s="13">
        <f t="shared" si="38"/>
        <v>267251.84999999998</v>
      </c>
      <c r="AX77" s="13">
        <f t="shared" si="38"/>
        <v>258392.8</v>
      </c>
      <c r="AY77" s="13">
        <f t="shared" si="38"/>
        <v>644526.65</v>
      </c>
      <c r="AZ77" s="13">
        <f t="shared" si="38"/>
        <v>314974.29999999993</v>
      </c>
      <c r="BA77" s="13">
        <f t="shared" si="38"/>
        <v>2324421.8899999997</v>
      </c>
      <c r="BB77" s="13">
        <f t="shared" si="38"/>
        <v>640030.15</v>
      </c>
      <c r="BC77" s="13">
        <f t="shared" si="38"/>
        <v>276196.65000000002</v>
      </c>
      <c r="BD77" s="13">
        <f t="shared" si="38"/>
        <v>97646.85</v>
      </c>
      <c r="BE77" s="13">
        <f t="shared" si="38"/>
        <v>186363.24999999997</v>
      </c>
      <c r="BF77" s="13">
        <f t="shared" si="38"/>
        <v>456745.05</v>
      </c>
      <c r="BG77" s="13">
        <f t="shared" si="38"/>
        <v>145742.29999999999</v>
      </c>
      <c r="BH77" s="13">
        <f t="shared" si="38"/>
        <v>265600.65000000002</v>
      </c>
      <c r="BI77" s="13">
        <f t="shared" si="38"/>
        <v>324151.05</v>
      </c>
      <c r="BJ77" s="13">
        <f t="shared" si="38"/>
        <v>116475.35</v>
      </c>
      <c r="BK77" s="13">
        <f t="shared" si="38"/>
        <v>68802.400000000009</v>
      </c>
      <c r="BL77" s="13">
        <f t="shared" si="38"/>
        <v>1503215.2500000002</v>
      </c>
      <c r="BM77" s="13">
        <f t="shared" si="38"/>
        <v>245519.05000000002</v>
      </c>
      <c r="BN77" s="13">
        <f t="shared" si="38"/>
        <v>437780.29</v>
      </c>
      <c r="BO77" s="13">
        <f t="shared" ref="BO77:BZ77" si="39">BO75-BO76</f>
        <v>1260929.2</v>
      </c>
      <c r="BP77" s="13">
        <f t="shared" si="39"/>
        <v>693310</v>
      </c>
      <c r="BQ77" s="13">
        <f t="shared" si="39"/>
        <v>251238.19999999998</v>
      </c>
      <c r="BR77" s="13">
        <f t="shared" si="39"/>
        <v>1832588.2000000002</v>
      </c>
      <c r="BS77" s="13">
        <f t="shared" si="39"/>
        <v>130962.95000000001</v>
      </c>
      <c r="BT77" s="13">
        <f t="shared" si="39"/>
        <v>309873.25</v>
      </c>
      <c r="BU77" s="13">
        <f t="shared" si="39"/>
        <v>83563.799999999988</v>
      </c>
      <c r="BV77" s="13">
        <f t="shared" si="39"/>
        <v>89015.95</v>
      </c>
      <c r="BW77" s="13">
        <f t="shared" si="39"/>
        <v>1195706.8499999999</v>
      </c>
      <c r="BX77" s="13">
        <f t="shared" si="39"/>
        <v>47583.950000000004</v>
      </c>
      <c r="BY77" s="13">
        <f t="shared" si="39"/>
        <v>163730.5</v>
      </c>
      <c r="BZ77" s="13">
        <f t="shared" si="39"/>
        <v>306411.55</v>
      </c>
    </row>
    <row r="78" spans="1:80" x14ac:dyDescent="0.2">
      <c r="C78" s="3"/>
      <c r="D78" s="3"/>
      <c r="E78" s="3"/>
      <c r="F78" s="3"/>
      <c r="G78" s="3"/>
      <c r="H78" s="1"/>
      <c r="I78" s="1"/>
      <c r="J78" s="1"/>
      <c r="K78" s="1"/>
      <c r="L78" s="1"/>
      <c r="M78" s="1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</row>
    <row r="79" spans="1:80" s="19" customFormat="1" x14ac:dyDescent="0.2">
      <c r="A79" s="23" t="s">
        <v>137</v>
      </c>
      <c r="B79" s="24" t="s">
        <v>1</v>
      </c>
      <c r="C79" s="14"/>
      <c r="D79" s="14"/>
      <c r="E79" s="14"/>
      <c r="F79" s="14"/>
      <c r="G79" s="14"/>
      <c r="H79" s="15"/>
      <c r="I79" s="15"/>
      <c r="J79" s="15"/>
      <c r="K79" s="15"/>
      <c r="L79" s="15"/>
      <c r="M79" s="15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25"/>
      <c r="CB79" s="23"/>
    </row>
    <row r="80" spans="1:80" x14ac:dyDescent="0.2">
      <c r="B80" t="s">
        <v>81</v>
      </c>
      <c r="C80" s="3">
        <f>SUM(D80:BZ80)</f>
        <v>196717901.09999996</v>
      </c>
      <c r="D80" s="7">
        <v>51735525.299999997</v>
      </c>
      <c r="E80" s="7">
        <v>1851968.45</v>
      </c>
      <c r="F80" s="7">
        <v>138171.5</v>
      </c>
      <c r="G80" s="7">
        <v>107636</v>
      </c>
      <c r="H80" s="7">
        <v>937616.45</v>
      </c>
      <c r="I80" s="7">
        <v>5306127.8</v>
      </c>
      <c r="J80" s="7">
        <v>1096776.95</v>
      </c>
      <c r="K80" s="7">
        <v>66285.850000000006</v>
      </c>
      <c r="L80" s="7">
        <v>487484.45</v>
      </c>
      <c r="M80" s="7">
        <v>81745.899999999994</v>
      </c>
      <c r="N80" s="7">
        <v>106422</v>
      </c>
      <c r="O80" s="7">
        <v>1048801.55</v>
      </c>
      <c r="P80" s="7">
        <v>3604196.65</v>
      </c>
      <c r="Q80" s="7">
        <v>3399078.45</v>
      </c>
      <c r="R80" s="7">
        <v>754921.95</v>
      </c>
      <c r="S80" s="7">
        <v>2793731.9</v>
      </c>
      <c r="T80" s="7">
        <v>3266857.7</v>
      </c>
      <c r="U80" s="7">
        <v>1726777</v>
      </c>
      <c r="V80" s="7">
        <v>4729751.2</v>
      </c>
      <c r="W80" s="7">
        <v>3187098.6</v>
      </c>
      <c r="X80" s="7">
        <v>6593302.0499999998</v>
      </c>
      <c r="Y80" s="7">
        <v>1940500.15</v>
      </c>
      <c r="Z80" s="7">
        <v>381835.3</v>
      </c>
      <c r="AA80" s="7">
        <v>3799419.8</v>
      </c>
      <c r="AB80" s="7">
        <v>77993.350000000006</v>
      </c>
      <c r="AC80" s="7">
        <v>2535108.9</v>
      </c>
      <c r="AD80" s="7">
        <v>944845.4</v>
      </c>
      <c r="AE80" s="7">
        <v>6784566.75</v>
      </c>
      <c r="AF80" s="7">
        <v>682283.75</v>
      </c>
      <c r="AG80" s="7">
        <v>1070730.3</v>
      </c>
      <c r="AH80" s="7">
        <v>6391030.6500000004</v>
      </c>
      <c r="AI80" s="7">
        <v>756074.7</v>
      </c>
      <c r="AJ80" s="7">
        <v>691339.45</v>
      </c>
      <c r="AK80" s="7">
        <v>1492299.65</v>
      </c>
      <c r="AL80" s="7">
        <v>1228620.75</v>
      </c>
      <c r="AM80" s="7">
        <v>1405062</v>
      </c>
      <c r="AN80" s="7">
        <v>88777.35</v>
      </c>
      <c r="AO80" s="7">
        <v>1926303.65</v>
      </c>
      <c r="AP80" s="7">
        <v>741810.85</v>
      </c>
      <c r="AQ80" s="7">
        <v>571153.19999999995</v>
      </c>
      <c r="AR80" s="7">
        <v>234880.85</v>
      </c>
      <c r="AS80" s="7">
        <v>174353.7</v>
      </c>
      <c r="AT80" s="7">
        <v>180956.15</v>
      </c>
      <c r="AU80" s="7">
        <v>340099.25</v>
      </c>
      <c r="AV80" s="7">
        <v>539788.85</v>
      </c>
      <c r="AW80" s="7">
        <v>690339.25</v>
      </c>
      <c r="AX80" s="7">
        <v>487951.4</v>
      </c>
      <c r="AY80" s="7">
        <v>1945282.85</v>
      </c>
      <c r="AZ80" s="7">
        <v>919927.8</v>
      </c>
      <c r="BA80" s="7">
        <v>22943117.199999999</v>
      </c>
      <c r="BB80" s="7">
        <v>1745788.55</v>
      </c>
      <c r="BC80" s="7">
        <v>377764.05</v>
      </c>
      <c r="BD80" s="7">
        <v>483117.85</v>
      </c>
      <c r="BE80" s="7">
        <v>969370.6</v>
      </c>
      <c r="BF80" s="7">
        <v>1606542.5</v>
      </c>
      <c r="BG80" s="7">
        <v>145877.35</v>
      </c>
      <c r="BH80" s="7">
        <v>491282.1</v>
      </c>
      <c r="BI80" s="7">
        <v>970655.8</v>
      </c>
      <c r="BJ80" s="7">
        <v>280261.45</v>
      </c>
      <c r="BK80" s="7">
        <v>225082.4</v>
      </c>
      <c r="BL80" s="7">
        <v>2408078.15</v>
      </c>
      <c r="BM80" s="7">
        <v>1017018.95</v>
      </c>
      <c r="BN80" s="7">
        <v>876571</v>
      </c>
      <c r="BO80" s="7">
        <v>2742450.6</v>
      </c>
      <c r="BP80" s="7">
        <v>2381283.9500000002</v>
      </c>
      <c r="BQ80" s="7">
        <v>2101239.4500000002</v>
      </c>
      <c r="BR80" s="7">
        <v>11594660.15</v>
      </c>
      <c r="BS80" s="7">
        <v>887816.6</v>
      </c>
      <c r="BT80" s="7">
        <v>2004708.7</v>
      </c>
      <c r="BU80" s="7">
        <v>137635.70000000001</v>
      </c>
      <c r="BV80" s="7">
        <v>265896.5</v>
      </c>
      <c r="BW80" s="7">
        <v>6273689.3499999996</v>
      </c>
      <c r="BX80" s="7">
        <v>279807.55</v>
      </c>
      <c r="BY80" s="7">
        <v>527744.44999999995</v>
      </c>
      <c r="BZ80" s="7">
        <v>936826.4</v>
      </c>
      <c r="CB80" t="s">
        <v>107</v>
      </c>
    </row>
    <row r="81" spans="1:80" x14ac:dyDescent="0.2">
      <c r="B81" t="s">
        <v>86</v>
      </c>
      <c r="C81" s="3">
        <f>SUM(D81:BZ81)</f>
        <v>1744133.4500000009</v>
      </c>
      <c r="D81" s="7">
        <v>725118.65</v>
      </c>
      <c r="E81" s="7">
        <v>5951.7000000000007</v>
      </c>
      <c r="F81" s="7">
        <v>286.5</v>
      </c>
      <c r="G81" s="7">
        <v>5295.75</v>
      </c>
      <c r="H81" s="7">
        <v>4218.8500000000004</v>
      </c>
      <c r="I81" s="7">
        <v>12783.599999999999</v>
      </c>
      <c r="J81" s="7">
        <v>553.45000000000005</v>
      </c>
      <c r="K81" s="7">
        <v>23.35</v>
      </c>
      <c r="L81" s="7">
        <v>75.8</v>
      </c>
      <c r="M81" s="7">
        <v>63.55</v>
      </c>
      <c r="N81" s="7">
        <v>33.75</v>
      </c>
      <c r="O81" s="7">
        <v>19313</v>
      </c>
      <c r="P81" s="7">
        <v>53369.8</v>
      </c>
      <c r="Q81" s="7">
        <v>199682.45</v>
      </c>
      <c r="R81" s="7">
        <v>7691.25</v>
      </c>
      <c r="S81" s="7">
        <v>33957.050000000003</v>
      </c>
      <c r="T81" s="7">
        <v>23015</v>
      </c>
      <c r="U81" s="7">
        <v>1266</v>
      </c>
      <c r="V81" s="7">
        <v>40625</v>
      </c>
      <c r="W81" s="7">
        <v>10140.950000000001</v>
      </c>
      <c r="X81" s="7">
        <v>10731.95</v>
      </c>
      <c r="Y81" s="7">
        <v>559.1</v>
      </c>
      <c r="Z81" s="7">
        <v>500.7</v>
      </c>
      <c r="AA81" s="7">
        <v>11795.900000000001</v>
      </c>
      <c r="AB81" s="7">
        <v>23.35</v>
      </c>
      <c r="AC81" s="7">
        <v>8264.0999999999985</v>
      </c>
      <c r="AD81" s="7">
        <v>222.3</v>
      </c>
      <c r="AE81" s="7">
        <v>185.55</v>
      </c>
      <c r="AF81" s="7">
        <v>250.04999999999998</v>
      </c>
      <c r="AG81" s="7">
        <v>878.95</v>
      </c>
      <c r="AH81" s="7">
        <v>333340.05000000005</v>
      </c>
      <c r="AI81" s="7">
        <v>4694.2</v>
      </c>
      <c r="AJ81" s="7">
        <v>989.1</v>
      </c>
      <c r="AK81" s="7">
        <v>6478.1</v>
      </c>
      <c r="AL81" s="7">
        <v>95.1</v>
      </c>
      <c r="AM81" s="7">
        <v>8745.1</v>
      </c>
      <c r="AN81" s="7">
        <v>15.6</v>
      </c>
      <c r="AO81" s="7">
        <v>8501.5</v>
      </c>
      <c r="AP81" s="7">
        <v>1956.25</v>
      </c>
      <c r="AQ81" s="7">
        <v>1636.75</v>
      </c>
      <c r="AR81" s="7">
        <v>77.899999999999991</v>
      </c>
      <c r="AS81" s="7">
        <v>60.9</v>
      </c>
      <c r="AT81" s="7">
        <v>1115.95</v>
      </c>
      <c r="AU81" s="7">
        <v>160.35</v>
      </c>
      <c r="AV81" s="7">
        <v>790.35</v>
      </c>
      <c r="AW81" s="7">
        <v>6516.8499999999995</v>
      </c>
      <c r="AX81" s="7">
        <v>18797.75</v>
      </c>
      <c r="AY81" s="7">
        <v>8568.2000000000007</v>
      </c>
      <c r="AZ81" s="7">
        <v>1253.25</v>
      </c>
      <c r="BA81" s="7">
        <v>22091.85</v>
      </c>
      <c r="BB81" s="7">
        <v>29980.100000000002</v>
      </c>
      <c r="BC81" s="7">
        <v>2700.65</v>
      </c>
      <c r="BD81" s="7">
        <v>170.7</v>
      </c>
      <c r="BE81" s="7">
        <v>120.25</v>
      </c>
      <c r="BF81" s="7">
        <v>4737.3500000000004</v>
      </c>
      <c r="BG81" s="7">
        <v>2691.6</v>
      </c>
      <c r="BH81" s="7">
        <v>4756.5</v>
      </c>
      <c r="BI81" s="7">
        <v>10904</v>
      </c>
      <c r="BJ81" s="7">
        <v>627</v>
      </c>
      <c r="BK81" s="7">
        <v>59.25</v>
      </c>
      <c r="BL81" s="7">
        <v>1260.3499999999999</v>
      </c>
      <c r="BM81" s="7">
        <v>4167.75</v>
      </c>
      <c r="BN81" s="7">
        <v>5104</v>
      </c>
      <c r="BO81" s="7">
        <v>8924.7000000000007</v>
      </c>
      <c r="BP81" s="7">
        <v>1179.7</v>
      </c>
      <c r="BQ81" s="7">
        <v>1872.6999999999998</v>
      </c>
      <c r="BR81" s="7">
        <v>34827.949999999997</v>
      </c>
      <c r="BS81" s="7">
        <v>324.7</v>
      </c>
      <c r="BT81" s="7">
        <v>6373.7499999999991</v>
      </c>
      <c r="BU81" s="7">
        <v>9084.5499999999993</v>
      </c>
      <c r="BV81" s="7">
        <v>35.35</v>
      </c>
      <c r="BW81" s="7">
        <v>3819.2000000000003</v>
      </c>
      <c r="BX81" s="7">
        <v>-27.899999999999991</v>
      </c>
      <c r="BY81" s="7">
        <v>1504.8999999999999</v>
      </c>
      <c r="BZ81" s="7">
        <v>6171.85</v>
      </c>
      <c r="CB81" t="s">
        <v>107</v>
      </c>
    </row>
    <row r="82" spans="1:80" x14ac:dyDescent="0.2">
      <c r="B82" t="s">
        <v>87</v>
      </c>
      <c r="C82" s="3">
        <f>SUM(D82:BZ82)</f>
        <v>276894.84999999998</v>
      </c>
      <c r="D82" s="10">
        <v>34901.050000000003</v>
      </c>
      <c r="E82" s="10">
        <v>99.35</v>
      </c>
      <c r="F82" s="10">
        <v>0</v>
      </c>
      <c r="G82" s="10">
        <v>0</v>
      </c>
      <c r="H82" s="7">
        <v>40467.15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10">
        <v>0</v>
      </c>
      <c r="O82" s="10">
        <v>0</v>
      </c>
      <c r="P82" s="10">
        <v>0</v>
      </c>
      <c r="Q82" s="10">
        <v>695.35</v>
      </c>
      <c r="R82" s="10">
        <v>0</v>
      </c>
      <c r="S82" s="10">
        <v>0</v>
      </c>
      <c r="T82" s="10">
        <v>71129.899999999994</v>
      </c>
      <c r="U82" s="10">
        <v>0</v>
      </c>
      <c r="V82" s="10">
        <v>2195.5</v>
      </c>
      <c r="W82" s="10">
        <v>0</v>
      </c>
      <c r="X82" s="10">
        <v>30011.75</v>
      </c>
      <c r="Y82" s="10">
        <v>0</v>
      </c>
      <c r="Z82" s="10">
        <v>0</v>
      </c>
      <c r="AA82" s="10">
        <v>7504.05</v>
      </c>
      <c r="AB82" s="10">
        <v>0</v>
      </c>
      <c r="AC82" s="10">
        <v>0</v>
      </c>
      <c r="AD82" s="10">
        <v>0</v>
      </c>
      <c r="AE82" s="10">
        <v>30470.2</v>
      </c>
      <c r="AF82" s="10">
        <v>0</v>
      </c>
      <c r="AG82" s="10">
        <v>0</v>
      </c>
      <c r="AH82" s="10">
        <v>1675.25</v>
      </c>
      <c r="AI82" s="10">
        <v>12480.6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38161.65</v>
      </c>
      <c r="BB82" s="10">
        <v>0</v>
      </c>
      <c r="BC82" s="10">
        <v>0</v>
      </c>
      <c r="BD82" s="10">
        <v>0</v>
      </c>
      <c r="BE82" s="10">
        <v>0</v>
      </c>
      <c r="BF82" s="10">
        <v>867.3</v>
      </c>
      <c r="BG82" s="10">
        <v>0</v>
      </c>
      <c r="BH82" s="7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6235.75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/>
      <c r="BY82" s="10">
        <v>0</v>
      </c>
      <c r="BZ82" s="10">
        <v>0</v>
      </c>
    </row>
    <row r="83" spans="1:80" s="19" customFormat="1" x14ac:dyDescent="0.2">
      <c r="B83" s="19" t="s">
        <v>90</v>
      </c>
      <c r="C83" s="13">
        <f>SUM(D83:BZ83)</f>
        <v>194696872.80000001</v>
      </c>
      <c r="D83" s="13">
        <f>D80-D81-D82</f>
        <v>50975505.600000001</v>
      </c>
      <c r="E83" s="13">
        <f t="shared" ref="E83:BN83" si="40">E80-E81-E82</f>
        <v>1845917.4</v>
      </c>
      <c r="F83" s="13">
        <f t="shared" si="40"/>
        <v>137885</v>
      </c>
      <c r="G83" s="13">
        <f t="shared" si="40"/>
        <v>102340.25</v>
      </c>
      <c r="H83" s="13">
        <f t="shared" si="40"/>
        <v>892930.45</v>
      </c>
      <c r="I83" s="13">
        <f t="shared" si="40"/>
        <v>5293344.2</v>
      </c>
      <c r="J83" s="13">
        <f t="shared" si="40"/>
        <v>1096223.5</v>
      </c>
      <c r="K83" s="13">
        <f t="shared" si="40"/>
        <v>66262.5</v>
      </c>
      <c r="L83" s="13">
        <f t="shared" si="40"/>
        <v>487408.65</v>
      </c>
      <c r="M83" s="13">
        <f t="shared" si="40"/>
        <v>81682.349999999991</v>
      </c>
      <c r="N83" s="13">
        <f t="shared" si="40"/>
        <v>106388.25</v>
      </c>
      <c r="O83" s="13">
        <f t="shared" si="40"/>
        <v>1029488.55</v>
      </c>
      <c r="P83" s="13">
        <f t="shared" si="40"/>
        <v>3550826.85</v>
      </c>
      <c r="Q83" s="13">
        <f t="shared" si="40"/>
        <v>3198700.65</v>
      </c>
      <c r="R83" s="13">
        <f t="shared" si="40"/>
        <v>747230.7</v>
      </c>
      <c r="S83" s="13">
        <f t="shared" si="40"/>
        <v>2759774.85</v>
      </c>
      <c r="T83" s="13">
        <f t="shared" si="40"/>
        <v>3172712.8000000003</v>
      </c>
      <c r="U83" s="13">
        <f t="shared" si="40"/>
        <v>1725511</v>
      </c>
      <c r="V83" s="13">
        <f t="shared" si="40"/>
        <v>4686930.7</v>
      </c>
      <c r="W83" s="13">
        <f t="shared" si="40"/>
        <v>3176957.65</v>
      </c>
      <c r="X83" s="13">
        <f t="shared" si="40"/>
        <v>6552558.3499999996</v>
      </c>
      <c r="Y83" s="13">
        <f t="shared" si="40"/>
        <v>1939941.0499999998</v>
      </c>
      <c r="Z83" s="13">
        <f t="shared" si="40"/>
        <v>381334.6</v>
      </c>
      <c r="AA83" s="13">
        <f t="shared" si="40"/>
        <v>3780119.85</v>
      </c>
      <c r="AB83" s="13">
        <f t="shared" si="40"/>
        <v>77970</v>
      </c>
      <c r="AC83" s="13">
        <f t="shared" si="40"/>
        <v>2526844.7999999998</v>
      </c>
      <c r="AD83" s="13">
        <f t="shared" si="40"/>
        <v>944623.1</v>
      </c>
      <c r="AE83" s="13">
        <f t="shared" si="40"/>
        <v>6753911</v>
      </c>
      <c r="AF83" s="13">
        <f t="shared" si="40"/>
        <v>682033.7</v>
      </c>
      <c r="AG83" s="13">
        <f t="shared" si="40"/>
        <v>1069851.3500000001</v>
      </c>
      <c r="AH83" s="13">
        <f t="shared" si="40"/>
        <v>6056015.3500000006</v>
      </c>
      <c r="AI83" s="13">
        <f t="shared" si="40"/>
        <v>738899.9</v>
      </c>
      <c r="AJ83" s="13">
        <f t="shared" si="40"/>
        <v>690350.35</v>
      </c>
      <c r="AK83" s="13">
        <f t="shared" si="40"/>
        <v>1485821.5499999998</v>
      </c>
      <c r="AL83" s="13">
        <f t="shared" si="40"/>
        <v>1228525.6499999999</v>
      </c>
      <c r="AM83" s="13">
        <f t="shared" si="40"/>
        <v>1396316.9</v>
      </c>
      <c r="AN83" s="13">
        <f t="shared" si="40"/>
        <v>88761.75</v>
      </c>
      <c r="AO83" s="13">
        <f t="shared" si="40"/>
        <v>1917802.15</v>
      </c>
      <c r="AP83" s="13">
        <f t="shared" si="40"/>
        <v>739854.6</v>
      </c>
      <c r="AQ83" s="13">
        <f t="shared" si="40"/>
        <v>569516.44999999995</v>
      </c>
      <c r="AR83" s="13">
        <f t="shared" si="40"/>
        <v>234802.95</v>
      </c>
      <c r="AS83" s="13">
        <f t="shared" si="40"/>
        <v>174292.80000000002</v>
      </c>
      <c r="AT83" s="13">
        <f t="shared" si="40"/>
        <v>179840.19999999998</v>
      </c>
      <c r="AU83" s="13">
        <f t="shared" si="40"/>
        <v>339938.9</v>
      </c>
      <c r="AV83" s="13">
        <f t="shared" si="40"/>
        <v>538998.5</v>
      </c>
      <c r="AW83" s="13">
        <f t="shared" si="40"/>
        <v>683822.4</v>
      </c>
      <c r="AX83" s="13">
        <f t="shared" si="40"/>
        <v>469153.65</v>
      </c>
      <c r="AY83" s="13">
        <f t="shared" si="40"/>
        <v>1936714.6500000001</v>
      </c>
      <c r="AZ83" s="13">
        <f t="shared" si="40"/>
        <v>918674.55</v>
      </c>
      <c r="BA83" s="13">
        <f t="shared" si="40"/>
        <v>22882863.699999999</v>
      </c>
      <c r="BB83" s="13">
        <f t="shared" si="40"/>
        <v>1715808.45</v>
      </c>
      <c r="BC83" s="13">
        <f t="shared" si="40"/>
        <v>375063.39999999997</v>
      </c>
      <c r="BD83" s="13">
        <f t="shared" si="40"/>
        <v>482947.14999999997</v>
      </c>
      <c r="BE83" s="13">
        <f t="shared" si="40"/>
        <v>969250.35</v>
      </c>
      <c r="BF83" s="13">
        <f t="shared" si="40"/>
        <v>1600937.8499999999</v>
      </c>
      <c r="BG83" s="13">
        <f t="shared" si="40"/>
        <v>143185.75</v>
      </c>
      <c r="BH83" s="13">
        <f t="shared" si="40"/>
        <v>486525.6</v>
      </c>
      <c r="BI83" s="13">
        <f t="shared" si="40"/>
        <v>959751.8</v>
      </c>
      <c r="BJ83" s="13">
        <f t="shared" si="40"/>
        <v>279634.45</v>
      </c>
      <c r="BK83" s="13">
        <f t="shared" si="40"/>
        <v>225023.15</v>
      </c>
      <c r="BL83" s="13">
        <f t="shared" si="40"/>
        <v>2406817.7999999998</v>
      </c>
      <c r="BM83" s="13">
        <f t="shared" si="40"/>
        <v>1012851.2</v>
      </c>
      <c r="BN83" s="13">
        <f t="shared" si="40"/>
        <v>871467</v>
      </c>
      <c r="BO83" s="13">
        <f t="shared" ref="BO83:BZ83" si="41">BO80-BO81-BO82</f>
        <v>2733525.9</v>
      </c>
      <c r="BP83" s="13">
        <f t="shared" si="41"/>
        <v>2373868.5</v>
      </c>
      <c r="BQ83" s="13">
        <f t="shared" si="41"/>
        <v>2099366.75</v>
      </c>
      <c r="BR83" s="13">
        <f t="shared" si="41"/>
        <v>11559832.200000001</v>
      </c>
      <c r="BS83" s="13">
        <f t="shared" si="41"/>
        <v>887491.9</v>
      </c>
      <c r="BT83" s="13">
        <f t="shared" si="41"/>
        <v>1998334.95</v>
      </c>
      <c r="BU83" s="13">
        <f t="shared" si="41"/>
        <v>128551.15000000001</v>
      </c>
      <c r="BV83" s="13">
        <f t="shared" si="41"/>
        <v>265861.15000000002</v>
      </c>
      <c r="BW83" s="13">
        <f t="shared" si="41"/>
        <v>6269870.1499999994</v>
      </c>
      <c r="BX83" s="13">
        <f t="shared" si="41"/>
        <v>279835.45</v>
      </c>
      <c r="BY83" s="13">
        <f t="shared" si="41"/>
        <v>526239.54999999993</v>
      </c>
      <c r="BZ83" s="13">
        <f t="shared" si="41"/>
        <v>930654.55</v>
      </c>
    </row>
    <row r="84" spans="1:80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</row>
    <row r="85" spans="1:80" s="19" customFormat="1" x14ac:dyDescent="0.2">
      <c r="A85" s="23" t="s">
        <v>143</v>
      </c>
      <c r="B85" s="24" t="s">
        <v>84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25"/>
      <c r="CB85" s="23"/>
    </row>
    <row r="86" spans="1:80" x14ac:dyDescent="0.2">
      <c r="B86" t="s">
        <v>91</v>
      </c>
      <c r="C86" s="29">
        <f>C90/C92</f>
        <v>0.69112917250316652</v>
      </c>
      <c r="D86" s="10">
        <v>0.8</v>
      </c>
      <c r="E86" s="10">
        <v>0.8</v>
      </c>
      <c r="F86" s="10">
        <v>0.8</v>
      </c>
      <c r="G86" s="10">
        <v>0.8</v>
      </c>
      <c r="H86" s="10">
        <v>0.2</v>
      </c>
      <c r="I86" s="10">
        <v>0.4</v>
      </c>
      <c r="J86" s="10">
        <v>0.6</v>
      </c>
      <c r="K86" s="10">
        <v>0.3</v>
      </c>
      <c r="L86" s="10">
        <v>0.2</v>
      </c>
      <c r="M86" s="10">
        <v>0.8</v>
      </c>
      <c r="N86" s="10">
        <v>0.8</v>
      </c>
      <c r="O86" s="10">
        <v>0.8</v>
      </c>
      <c r="P86" s="10">
        <v>0.8</v>
      </c>
      <c r="Q86" s="10">
        <v>0.4</v>
      </c>
      <c r="R86" s="10">
        <v>0.8</v>
      </c>
      <c r="S86" s="10">
        <v>0.8</v>
      </c>
      <c r="T86" s="10">
        <v>0.4</v>
      </c>
      <c r="U86" s="10">
        <v>0.8</v>
      </c>
      <c r="V86" s="10">
        <v>0.6</v>
      </c>
      <c r="W86" s="10">
        <v>0.6</v>
      </c>
      <c r="X86" s="10">
        <v>0.8</v>
      </c>
      <c r="Y86" s="10">
        <v>0.8</v>
      </c>
      <c r="Z86" s="10">
        <v>0.8</v>
      </c>
      <c r="AA86" s="10">
        <v>0.8</v>
      </c>
      <c r="AB86" s="10">
        <v>0.8</v>
      </c>
      <c r="AC86" s="10">
        <v>0.8</v>
      </c>
      <c r="AD86" s="10">
        <v>0.8</v>
      </c>
      <c r="AE86" s="10">
        <v>0.8</v>
      </c>
      <c r="AF86" s="10">
        <v>0.8</v>
      </c>
      <c r="AG86" s="10">
        <v>0.8</v>
      </c>
      <c r="AH86" s="10">
        <v>0.7</v>
      </c>
      <c r="AI86" s="10">
        <v>0.8</v>
      </c>
      <c r="AJ86" s="10">
        <v>0.7</v>
      </c>
      <c r="AK86" s="10">
        <v>0.8</v>
      </c>
      <c r="AL86" s="10">
        <v>0.8</v>
      </c>
      <c r="AM86" s="10">
        <v>0.8</v>
      </c>
      <c r="AN86" s="10">
        <v>0.8</v>
      </c>
      <c r="AO86" s="10">
        <v>0.8</v>
      </c>
      <c r="AP86" s="10">
        <v>0.8</v>
      </c>
      <c r="AQ86" s="10">
        <v>0.8</v>
      </c>
      <c r="AR86" s="10">
        <v>0.8</v>
      </c>
      <c r="AS86" s="10">
        <v>0.8</v>
      </c>
      <c r="AT86" s="10">
        <v>0.8</v>
      </c>
      <c r="AU86" s="10">
        <v>0.8</v>
      </c>
      <c r="AV86" s="10">
        <v>0.8</v>
      </c>
      <c r="AW86" s="10">
        <v>0.8</v>
      </c>
      <c r="AX86" s="10">
        <v>0.8</v>
      </c>
      <c r="AY86" s="10">
        <v>0.8</v>
      </c>
      <c r="AZ86" s="10">
        <v>0.8</v>
      </c>
      <c r="BA86" s="10">
        <v>0.3</v>
      </c>
      <c r="BB86" s="10">
        <v>0.8</v>
      </c>
      <c r="BC86" s="10">
        <v>0.8</v>
      </c>
      <c r="BD86" s="10">
        <v>0.8</v>
      </c>
      <c r="BE86" s="10">
        <v>0.8</v>
      </c>
      <c r="BF86" s="10">
        <v>0.8</v>
      </c>
      <c r="BG86" s="10">
        <v>0.8</v>
      </c>
      <c r="BH86" s="10">
        <v>0.8</v>
      </c>
      <c r="BI86" s="10">
        <v>0.8</v>
      </c>
      <c r="BJ86" s="10">
        <v>0.8</v>
      </c>
      <c r="BK86" s="10">
        <v>0.5</v>
      </c>
      <c r="BL86" s="10">
        <v>0.8</v>
      </c>
      <c r="BM86" s="10">
        <v>0.6</v>
      </c>
      <c r="BN86" s="10">
        <v>0.8</v>
      </c>
      <c r="BO86" s="10">
        <v>0.6</v>
      </c>
      <c r="BP86" s="10">
        <v>0.8</v>
      </c>
      <c r="BQ86" s="10">
        <v>0.8</v>
      </c>
      <c r="BR86" s="10">
        <v>0.6</v>
      </c>
      <c r="BS86" s="10">
        <v>0.4</v>
      </c>
      <c r="BT86" s="10">
        <v>0.3</v>
      </c>
      <c r="BU86" s="10">
        <v>0.8</v>
      </c>
      <c r="BV86" s="10">
        <v>0.4</v>
      </c>
      <c r="BW86" s="10">
        <v>0.6</v>
      </c>
      <c r="BX86" s="10">
        <v>0.6</v>
      </c>
      <c r="BY86" s="10">
        <v>0.8</v>
      </c>
      <c r="BZ86" s="10">
        <v>0.8</v>
      </c>
      <c r="CB86" t="s">
        <v>109</v>
      </c>
    </row>
    <row r="87" spans="1:80" x14ac:dyDescent="0.2">
      <c r="B87" s="3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</row>
    <row r="88" spans="1:80" x14ac:dyDescent="0.2">
      <c r="B88" t="s">
        <v>81</v>
      </c>
      <c r="C88" s="3">
        <f>SUM(D88:BZ88)</f>
        <v>100266326.14</v>
      </c>
      <c r="D88" s="10">
        <v>18512651.09</v>
      </c>
      <c r="E88" s="10">
        <v>1780474.01</v>
      </c>
      <c r="F88" s="10">
        <v>283322.3</v>
      </c>
      <c r="G88" s="10">
        <v>234635.38</v>
      </c>
      <c r="H88" s="10">
        <v>267882.25</v>
      </c>
      <c r="I88" s="10">
        <v>1053279.56</v>
      </c>
      <c r="J88" s="10">
        <v>637408.6</v>
      </c>
      <c r="K88" s="10">
        <v>76910.55</v>
      </c>
      <c r="L88" s="10">
        <v>107284.6</v>
      </c>
      <c r="M88" s="10">
        <v>219593.60000000001</v>
      </c>
      <c r="N88" s="10">
        <v>457627.45</v>
      </c>
      <c r="O88" s="10">
        <v>1630432.43</v>
      </c>
      <c r="P88" s="10">
        <v>1816702</v>
      </c>
      <c r="Q88" s="10">
        <v>857414.43</v>
      </c>
      <c r="R88" s="10">
        <v>669667.94999999995</v>
      </c>
      <c r="S88" s="10">
        <v>1353130.4</v>
      </c>
      <c r="T88" s="10">
        <v>917110.62</v>
      </c>
      <c r="U88" s="10">
        <v>955143</v>
      </c>
      <c r="V88" s="10">
        <v>975038.09</v>
      </c>
      <c r="W88" s="10">
        <v>1191401.99</v>
      </c>
      <c r="X88" s="10">
        <v>2521156.2999999998</v>
      </c>
      <c r="Y88" s="10">
        <v>899418</v>
      </c>
      <c r="Z88" s="10">
        <v>431941.52</v>
      </c>
      <c r="AA88" s="10">
        <v>2539434.4300000002</v>
      </c>
      <c r="AB88" s="10">
        <v>313713.40999999997</v>
      </c>
      <c r="AC88" s="10">
        <v>2026651.4</v>
      </c>
      <c r="AD88" s="10">
        <v>549140.4</v>
      </c>
      <c r="AE88" s="10">
        <v>1487998.52</v>
      </c>
      <c r="AF88" s="10">
        <v>690442.75</v>
      </c>
      <c r="AG88" s="10">
        <v>1403538.6</v>
      </c>
      <c r="AH88" s="10">
        <v>2515904.34</v>
      </c>
      <c r="AI88" s="10">
        <v>1022565.8</v>
      </c>
      <c r="AJ88" s="10">
        <v>916765.95</v>
      </c>
      <c r="AK88" s="10">
        <v>1263953.3500000001</v>
      </c>
      <c r="AL88" s="10">
        <v>1083238</v>
      </c>
      <c r="AM88" s="10">
        <v>1730249</v>
      </c>
      <c r="AN88" s="10">
        <v>431544.8</v>
      </c>
      <c r="AO88" s="10">
        <v>1994656.1</v>
      </c>
      <c r="AP88" s="10">
        <v>1254850.57</v>
      </c>
      <c r="AQ88" s="10">
        <v>1203982.3400000001</v>
      </c>
      <c r="AR88" s="10">
        <v>969530.65</v>
      </c>
      <c r="AS88" s="10">
        <v>544183.1</v>
      </c>
      <c r="AT88" s="10">
        <v>437241.32</v>
      </c>
      <c r="AU88" s="10">
        <v>740692.8</v>
      </c>
      <c r="AV88" s="10">
        <v>586055.1</v>
      </c>
      <c r="AW88" s="10">
        <v>906937.35</v>
      </c>
      <c r="AX88" s="10">
        <v>1320913.75</v>
      </c>
      <c r="AY88" s="10">
        <v>1420098.88</v>
      </c>
      <c r="AZ88" s="10">
        <v>937118.27</v>
      </c>
      <c r="BA88" s="10">
        <v>3065693.35</v>
      </c>
      <c r="BB88" s="10">
        <v>2193019.71</v>
      </c>
      <c r="BC88" s="10">
        <v>848078.5</v>
      </c>
      <c r="BD88" s="10">
        <v>662278.25</v>
      </c>
      <c r="BE88" s="10">
        <v>941286.15</v>
      </c>
      <c r="BF88" s="10">
        <v>1557349.87</v>
      </c>
      <c r="BG88" s="10">
        <v>333814.01</v>
      </c>
      <c r="BH88" s="10">
        <v>1009730.7</v>
      </c>
      <c r="BI88" s="10">
        <v>915781.15</v>
      </c>
      <c r="BJ88" s="10">
        <v>274007.03000000003</v>
      </c>
      <c r="BK88" s="10">
        <v>290884.69</v>
      </c>
      <c r="BL88" s="10">
        <v>1904333.66</v>
      </c>
      <c r="BM88" s="10">
        <v>725284.06</v>
      </c>
      <c r="BN88" s="10">
        <v>1220383.3500000001</v>
      </c>
      <c r="BO88" s="10">
        <v>1975669.19</v>
      </c>
      <c r="BP88" s="10">
        <v>1770076.15</v>
      </c>
      <c r="BQ88" s="10">
        <v>679757.75</v>
      </c>
      <c r="BR88" s="10">
        <v>4068564.35</v>
      </c>
      <c r="BS88" s="10">
        <v>608470.15</v>
      </c>
      <c r="BT88" s="10">
        <v>411485.5</v>
      </c>
      <c r="BU88" s="10">
        <v>313732.21000000002</v>
      </c>
      <c r="BV88" s="10">
        <v>319433.25</v>
      </c>
      <c r="BW88" s="10">
        <v>3080687.65</v>
      </c>
      <c r="BX88" s="10">
        <v>315900.27</v>
      </c>
      <c r="BY88" s="10">
        <v>722950.09</v>
      </c>
      <c r="BZ88" s="10">
        <v>1916648</v>
      </c>
      <c r="CB88" t="s">
        <v>108</v>
      </c>
    </row>
    <row r="89" spans="1:80" x14ac:dyDescent="0.2">
      <c r="B89" t="s">
        <v>82</v>
      </c>
      <c r="C89" s="3">
        <f>SUM(D89:BZ89)</f>
        <v>16646.189999999995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36</v>
      </c>
      <c r="O89" s="10">
        <v>0</v>
      </c>
      <c r="P89" s="10">
        <v>0</v>
      </c>
      <c r="Q89" s="10">
        <v>205.18</v>
      </c>
      <c r="R89" s="10">
        <v>0</v>
      </c>
      <c r="S89" s="10">
        <v>5716.35</v>
      </c>
      <c r="T89" s="10">
        <v>0</v>
      </c>
      <c r="U89" s="10">
        <v>0</v>
      </c>
      <c r="V89" s="10">
        <v>0</v>
      </c>
      <c r="W89" s="10">
        <v>1.3</v>
      </c>
      <c r="X89" s="10">
        <v>0</v>
      </c>
      <c r="Y89" s="10">
        <v>0</v>
      </c>
      <c r="Z89" s="10">
        <v>0</v>
      </c>
      <c r="AA89" s="10">
        <v>1103.3399999999999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6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0.95</v>
      </c>
      <c r="AQ89" s="10">
        <v>2.25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196.15</v>
      </c>
      <c r="BC89" s="10">
        <v>6416.8</v>
      </c>
      <c r="BD89" s="10">
        <v>2.6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20.8</v>
      </c>
      <c r="BK89" s="10">
        <v>36.06</v>
      </c>
      <c r="BL89" s="10">
        <v>383.96</v>
      </c>
      <c r="BM89" s="10">
        <v>0</v>
      </c>
      <c r="BN89" s="10">
        <v>0</v>
      </c>
      <c r="BO89" s="10">
        <v>2279.8000000000002</v>
      </c>
      <c r="BP89" s="10">
        <v>238.55</v>
      </c>
      <c r="BQ89" s="10">
        <v>0</v>
      </c>
      <c r="BR89" s="10">
        <v>0</v>
      </c>
      <c r="BS89" s="10">
        <v>0</v>
      </c>
      <c r="BT89" s="10">
        <v>0.1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B89" t="s">
        <v>108</v>
      </c>
    </row>
    <row r="90" spans="1:80" x14ac:dyDescent="0.2">
      <c r="B90" t="s">
        <v>83</v>
      </c>
      <c r="C90" s="3">
        <f>SUM(D90:BZ90)</f>
        <v>100249679.95000003</v>
      </c>
      <c r="D90" s="3">
        <f>D88-D89</f>
        <v>18512651.09</v>
      </c>
      <c r="E90" s="3">
        <f t="shared" ref="E90:BN90" si="42">E88-E89</f>
        <v>1780474.01</v>
      </c>
      <c r="F90" s="3">
        <f t="shared" si="42"/>
        <v>283322.3</v>
      </c>
      <c r="G90" s="3">
        <f t="shared" si="42"/>
        <v>234635.38</v>
      </c>
      <c r="H90" s="3">
        <f t="shared" si="42"/>
        <v>267882.25</v>
      </c>
      <c r="I90" s="3">
        <f t="shared" si="42"/>
        <v>1053279.56</v>
      </c>
      <c r="J90" s="3">
        <f t="shared" si="42"/>
        <v>637408.6</v>
      </c>
      <c r="K90" s="3">
        <f t="shared" si="42"/>
        <v>76910.55</v>
      </c>
      <c r="L90" s="3">
        <f t="shared" si="42"/>
        <v>107284.6</v>
      </c>
      <c r="M90" s="3">
        <f t="shared" si="42"/>
        <v>219593.60000000001</v>
      </c>
      <c r="N90" s="3">
        <f t="shared" si="42"/>
        <v>457591.45</v>
      </c>
      <c r="O90" s="3">
        <f t="shared" si="42"/>
        <v>1630432.43</v>
      </c>
      <c r="P90" s="3">
        <f t="shared" si="42"/>
        <v>1816702</v>
      </c>
      <c r="Q90" s="3">
        <f t="shared" si="42"/>
        <v>857209.25</v>
      </c>
      <c r="R90" s="3">
        <f t="shared" si="42"/>
        <v>669667.94999999995</v>
      </c>
      <c r="S90" s="3">
        <f t="shared" si="42"/>
        <v>1347414.0499999998</v>
      </c>
      <c r="T90" s="3">
        <f t="shared" si="42"/>
        <v>917110.62</v>
      </c>
      <c r="U90" s="3">
        <f t="shared" si="42"/>
        <v>955143</v>
      </c>
      <c r="V90" s="3">
        <f t="shared" si="42"/>
        <v>975038.09</v>
      </c>
      <c r="W90" s="3">
        <f t="shared" si="42"/>
        <v>1191400.69</v>
      </c>
      <c r="X90" s="3">
        <f t="shared" si="42"/>
        <v>2521156.2999999998</v>
      </c>
      <c r="Y90" s="3">
        <f t="shared" si="42"/>
        <v>899418</v>
      </c>
      <c r="Z90" s="3">
        <f t="shared" si="42"/>
        <v>431941.52</v>
      </c>
      <c r="AA90" s="3">
        <f t="shared" si="42"/>
        <v>2538331.0900000003</v>
      </c>
      <c r="AB90" s="3">
        <f t="shared" si="42"/>
        <v>313713.40999999997</v>
      </c>
      <c r="AC90" s="3">
        <f t="shared" si="42"/>
        <v>2026651.4</v>
      </c>
      <c r="AD90" s="3">
        <f t="shared" si="42"/>
        <v>549140.4</v>
      </c>
      <c r="AE90" s="3">
        <f t="shared" si="42"/>
        <v>1487998.52</v>
      </c>
      <c r="AF90" s="3">
        <f t="shared" si="42"/>
        <v>690442.75</v>
      </c>
      <c r="AG90" s="3">
        <f t="shared" si="42"/>
        <v>1403538.6</v>
      </c>
      <c r="AH90" s="3">
        <f t="shared" si="42"/>
        <v>2515898.34</v>
      </c>
      <c r="AI90" s="3">
        <f t="shared" si="42"/>
        <v>1022565.8</v>
      </c>
      <c r="AJ90" s="3">
        <f t="shared" si="42"/>
        <v>916765.95</v>
      </c>
      <c r="AK90" s="3">
        <f t="shared" si="42"/>
        <v>1263953.3500000001</v>
      </c>
      <c r="AL90" s="3">
        <f t="shared" si="42"/>
        <v>1083238</v>
      </c>
      <c r="AM90" s="3">
        <f t="shared" si="42"/>
        <v>1730249</v>
      </c>
      <c r="AN90" s="3">
        <f t="shared" si="42"/>
        <v>431544.8</v>
      </c>
      <c r="AO90" s="3">
        <f t="shared" si="42"/>
        <v>1994656.1</v>
      </c>
      <c r="AP90" s="3">
        <f t="shared" si="42"/>
        <v>1254849.6200000001</v>
      </c>
      <c r="AQ90" s="3">
        <f t="shared" si="42"/>
        <v>1203980.0900000001</v>
      </c>
      <c r="AR90" s="3">
        <f t="shared" si="42"/>
        <v>969530.65</v>
      </c>
      <c r="AS90" s="3">
        <f t="shared" si="42"/>
        <v>544183.1</v>
      </c>
      <c r="AT90" s="3">
        <f t="shared" si="42"/>
        <v>437241.32</v>
      </c>
      <c r="AU90" s="3">
        <f t="shared" si="42"/>
        <v>740692.8</v>
      </c>
      <c r="AV90" s="3">
        <f t="shared" si="42"/>
        <v>586055.1</v>
      </c>
      <c r="AW90" s="3">
        <f t="shared" si="42"/>
        <v>906937.35</v>
      </c>
      <c r="AX90" s="3">
        <f t="shared" si="42"/>
        <v>1320913.75</v>
      </c>
      <c r="AY90" s="3">
        <f t="shared" si="42"/>
        <v>1420098.88</v>
      </c>
      <c r="AZ90" s="3">
        <f t="shared" si="42"/>
        <v>937118.27</v>
      </c>
      <c r="BA90" s="3">
        <f t="shared" si="42"/>
        <v>3065693.35</v>
      </c>
      <c r="BB90" s="3">
        <f t="shared" si="42"/>
        <v>2192823.56</v>
      </c>
      <c r="BC90" s="3">
        <f t="shared" si="42"/>
        <v>841661.7</v>
      </c>
      <c r="BD90" s="3">
        <f t="shared" si="42"/>
        <v>662275.65</v>
      </c>
      <c r="BE90" s="3">
        <f t="shared" si="42"/>
        <v>941286.15</v>
      </c>
      <c r="BF90" s="3">
        <f t="shared" si="42"/>
        <v>1557349.87</v>
      </c>
      <c r="BG90" s="3">
        <f t="shared" si="42"/>
        <v>333814.01</v>
      </c>
      <c r="BH90" s="3">
        <f t="shared" ref="BH90" si="43">BH88-BH89</f>
        <v>1009730.7</v>
      </c>
      <c r="BI90" s="3">
        <f t="shared" si="42"/>
        <v>915781.15</v>
      </c>
      <c r="BJ90" s="3">
        <f t="shared" si="42"/>
        <v>273986.23000000004</v>
      </c>
      <c r="BK90" s="3">
        <f t="shared" si="42"/>
        <v>290848.63</v>
      </c>
      <c r="BL90" s="3">
        <f t="shared" si="42"/>
        <v>1903949.7</v>
      </c>
      <c r="BM90" s="3">
        <f t="shared" si="42"/>
        <v>725284.06</v>
      </c>
      <c r="BN90" s="3">
        <f t="shared" si="42"/>
        <v>1220383.3500000001</v>
      </c>
      <c r="BO90" s="3">
        <f t="shared" ref="BO90:BZ90" si="44">BO88-BO89</f>
        <v>1973389.39</v>
      </c>
      <c r="BP90" s="3">
        <f t="shared" si="44"/>
        <v>1769837.5999999999</v>
      </c>
      <c r="BQ90" s="3">
        <f t="shared" si="44"/>
        <v>679757.75</v>
      </c>
      <c r="BR90" s="3">
        <f t="shared" si="44"/>
        <v>4068564.35</v>
      </c>
      <c r="BS90" s="3">
        <f t="shared" si="44"/>
        <v>608470.15</v>
      </c>
      <c r="BT90" s="3">
        <f t="shared" si="44"/>
        <v>411485.4</v>
      </c>
      <c r="BU90" s="3">
        <f t="shared" si="44"/>
        <v>313732.21000000002</v>
      </c>
      <c r="BV90" s="3">
        <f t="shared" si="44"/>
        <v>319433.25</v>
      </c>
      <c r="BW90" s="3">
        <f t="shared" si="44"/>
        <v>3080687.65</v>
      </c>
      <c r="BX90" s="3">
        <f t="shared" si="44"/>
        <v>315900.27</v>
      </c>
      <c r="BY90" s="3">
        <f t="shared" si="44"/>
        <v>722950.09</v>
      </c>
      <c r="BZ90" s="3">
        <f t="shared" si="44"/>
        <v>1916648</v>
      </c>
    </row>
    <row r="91" spans="1:80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</row>
    <row r="92" spans="1:80" x14ac:dyDescent="0.2">
      <c r="B92" t="s">
        <v>92</v>
      </c>
      <c r="C92" s="3">
        <f>SUM(D92:BZ92)</f>
        <v>145052016.23440474</v>
      </c>
      <c r="D92" s="3">
        <f>D90/D86</f>
        <v>23140813.862499997</v>
      </c>
      <c r="E92" s="3">
        <f t="shared" ref="E92:BN92" si="45">E90/E86</f>
        <v>2225592.5124999997</v>
      </c>
      <c r="F92" s="3">
        <f t="shared" si="45"/>
        <v>354152.87499999994</v>
      </c>
      <c r="G92" s="3">
        <f t="shared" si="45"/>
        <v>293294.22499999998</v>
      </c>
      <c r="H92" s="3">
        <f t="shared" si="45"/>
        <v>1339411.25</v>
      </c>
      <c r="I92" s="3">
        <f t="shared" si="45"/>
        <v>2633198.9</v>
      </c>
      <c r="J92" s="3">
        <f t="shared" si="45"/>
        <v>1062347.6666666667</v>
      </c>
      <c r="K92" s="3">
        <f t="shared" si="45"/>
        <v>256368.50000000003</v>
      </c>
      <c r="L92" s="3">
        <f t="shared" si="45"/>
        <v>536423</v>
      </c>
      <c r="M92" s="3">
        <f t="shared" si="45"/>
        <v>274492</v>
      </c>
      <c r="N92" s="3">
        <f t="shared" si="45"/>
        <v>571989.3125</v>
      </c>
      <c r="O92" s="3">
        <f t="shared" si="45"/>
        <v>2038040.5374999999</v>
      </c>
      <c r="P92" s="3">
        <f t="shared" si="45"/>
        <v>2270877.5</v>
      </c>
      <c r="Q92" s="3">
        <f t="shared" si="45"/>
        <v>2143023.125</v>
      </c>
      <c r="R92" s="3">
        <f t="shared" si="45"/>
        <v>837084.93749999988</v>
      </c>
      <c r="S92" s="3">
        <f t="shared" si="45"/>
        <v>1684267.5624999998</v>
      </c>
      <c r="T92" s="3">
        <f t="shared" si="45"/>
        <v>2292776.5499999998</v>
      </c>
      <c r="U92" s="3">
        <f t="shared" si="45"/>
        <v>1193928.75</v>
      </c>
      <c r="V92" s="3">
        <f t="shared" si="45"/>
        <v>1625063.4833333334</v>
      </c>
      <c r="W92" s="3">
        <f t="shared" si="45"/>
        <v>1985667.8166666667</v>
      </c>
      <c r="X92" s="3">
        <f t="shared" si="45"/>
        <v>3151445.3749999995</v>
      </c>
      <c r="Y92" s="3">
        <f t="shared" si="45"/>
        <v>1124272.5</v>
      </c>
      <c r="Z92" s="3">
        <f t="shared" si="45"/>
        <v>539926.9</v>
      </c>
      <c r="AA92" s="3">
        <f t="shared" si="45"/>
        <v>3172913.8625000003</v>
      </c>
      <c r="AB92" s="3">
        <f t="shared" si="45"/>
        <v>392141.76249999995</v>
      </c>
      <c r="AC92" s="3">
        <f t="shared" si="45"/>
        <v>2533314.2499999995</v>
      </c>
      <c r="AD92" s="3">
        <f t="shared" si="45"/>
        <v>686425.5</v>
      </c>
      <c r="AE92" s="3">
        <f t="shared" si="45"/>
        <v>1859998.15</v>
      </c>
      <c r="AF92" s="3">
        <f t="shared" si="45"/>
        <v>863053.4375</v>
      </c>
      <c r="AG92" s="3">
        <f t="shared" si="45"/>
        <v>1754423.25</v>
      </c>
      <c r="AH92" s="3">
        <f t="shared" si="45"/>
        <v>3594140.4857142856</v>
      </c>
      <c r="AI92" s="3">
        <f t="shared" si="45"/>
        <v>1278207.25</v>
      </c>
      <c r="AJ92" s="3">
        <f t="shared" si="45"/>
        <v>1309665.642857143</v>
      </c>
      <c r="AK92" s="3">
        <f t="shared" si="45"/>
        <v>1579941.6875</v>
      </c>
      <c r="AL92" s="3">
        <f t="shared" si="45"/>
        <v>1354047.5</v>
      </c>
      <c r="AM92" s="3">
        <f t="shared" si="45"/>
        <v>2162811.25</v>
      </c>
      <c r="AN92" s="3">
        <f t="shared" si="45"/>
        <v>539431</v>
      </c>
      <c r="AO92" s="3">
        <f t="shared" si="45"/>
        <v>2493320.125</v>
      </c>
      <c r="AP92" s="3">
        <f t="shared" si="45"/>
        <v>1568562.0250000001</v>
      </c>
      <c r="AQ92" s="3">
        <f t="shared" si="45"/>
        <v>1504975.1125</v>
      </c>
      <c r="AR92" s="3">
        <f t="shared" si="45"/>
        <v>1211913.3125</v>
      </c>
      <c r="AS92" s="3">
        <f t="shared" si="45"/>
        <v>680228.87499999988</v>
      </c>
      <c r="AT92" s="3">
        <f t="shared" si="45"/>
        <v>546551.65</v>
      </c>
      <c r="AU92" s="3">
        <f t="shared" si="45"/>
        <v>925866</v>
      </c>
      <c r="AV92" s="3">
        <f t="shared" si="45"/>
        <v>732568.87499999988</v>
      </c>
      <c r="AW92" s="3">
        <f t="shared" si="45"/>
        <v>1133671.6875</v>
      </c>
      <c r="AX92" s="3">
        <f t="shared" si="45"/>
        <v>1651142.1875</v>
      </c>
      <c r="AY92" s="3">
        <f t="shared" si="45"/>
        <v>1775123.5999999999</v>
      </c>
      <c r="AZ92" s="3">
        <f t="shared" si="45"/>
        <v>1171397.8374999999</v>
      </c>
      <c r="BA92" s="3">
        <f t="shared" si="45"/>
        <v>10218977.833333334</v>
      </c>
      <c r="BB92" s="3">
        <f t="shared" si="45"/>
        <v>2741029.4499999997</v>
      </c>
      <c r="BC92" s="3">
        <f t="shared" si="45"/>
        <v>1052077.1249999998</v>
      </c>
      <c r="BD92" s="3">
        <f t="shared" si="45"/>
        <v>827844.5625</v>
      </c>
      <c r="BE92" s="3">
        <f t="shared" si="45"/>
        <v>1176607.6875</v>
      </c>
      <c r="BF92" s="3">
        <f t="shared" si="45"/>
        <v>1946687.3375000001</v>
      </c>
      <c r="BG92" s="3">
        <f t="shared" si="45"/>
        <v>417267.51250000001</v>
      </c>
      <c r="BH92" s="3">
        <f t="shared" ref="BH92" si="46">BH90/BH86</f>
        <v>1262163.3749999998</v>
      </c>
      <c r="BI92" s="3">
        <f t="shared" si="45"/>
        <v>1144726.4375</v>
      </c>
      <c r="BJ92" s="3">
        <f t="shared" si="45"/>
        <v>342482.78750000003</v>
      </c>
      <c r="BK92" s="3">
        <f t="shared" si="45"/>
        <v>581697.26</v>
      </c>
      <c r="BL92" s="3">
        <f t="shared" si="45"/>
        <v>2379937.125</v>
      </c>
      <c r="BM92" s="3">
        <f t="shared" si="45"/>
        <v>1208806.7666666668</v>
      </c>
      <c r="BN92" s="3">
        <f t="shared" si="45"/>
        <v>1525479.1875</v>
      </c>
      <c r="BO92" s="3">
        <f t="shared" ref="BO92:BZ92" si="47">BO90/BO86</f>
        <v>3288982.3166666664</v>
      </c>
      <c r="BP92" s="3">
        <f t="shared" si="47"/>
        <v>2212296.9999999995</v>
      </c>
      <c r="BQ92" s="3">
        <f t="shared" si="47"/>
        <v>849697.1875</v>
      </c>
      <c r="BR92" s="3">
        <f t="shared" si="47"/>
        <v>6780940.583333334</v>
      </c>
      <c r="BS92" s="3">
        <f t="shared" si="47"/>
        <v>1521175.375</v>
      </c>
      <c r="BT92" s="3">
        <f t="shared" si="47"/>
        <v>1371618.0000000002</v>
      </c>
      <c r="BU92" s="3">
        <f t="shared" si="47"/>
        <v>392165.26250000001</v>
      </c>
      <c r="BV92" s="3">
        <f t="shared" si="47"/>
        <v>798583.125</v>
      </c>
      <c r="BW92" s="3">
        <f t="shared" si="47"/>
        <v>5134479.416666667</v>
      </c>
      <c r="BX92" s="3">
        <f t="shared" si="47"/>
        <v>526500.45000000007</v>
      </c>
      <c r="BY92" s="3">
        <f t="shared" si="47"/>
        <v>903687.61249999993</v>
      </c>
      <c r="BZ92" s="3">
        <f t="shared" si="47"/>
        <v>2395810</v>
      </c>
    </row>
    <row r="93" spans="1:80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</row>
    <row r="94" spans="1:80" s="19" customFormat="1" x14ac:dyDescent="0.2">
      <c r="B94" s="19" t="s">
        <v>89</v>
      </c>
      <c r="C94" s="13">
        <f>C92*$C86</f>
        <v>100249679.95000003</v>
      </c>
      <c r="D94" s="13">
        <f>D92*$C86</f>
        <v>15993291.535839427</v>
      </c>
      <c r="E94" s="13">
        <f t="shared" ref="E94:BN94" si="48">E92*$C86</f>
        <v>1538171.9114933682</v>
      </c>
      <c r="F94" s="13">
        <f t="shared" si="48"/>
        <v>244765.38343836734</v>
      </c>
      <c r="G94" s="13">
        <f t="shared" si="48"/>
        <v>202704.19502420753</v>
      </c>
      <c r="H94" s="13">
        <f t="shared" si="48"/>
        <v>925706.18885393185</v>
      </c>
      <c r="I94" s="13">
        <f t="shared" si="48"/>
        <v>1819880.5767932483</v>
      </c>
      <c r="J94" s="13">
        <f t="shared" si="48"/>
        <v>734219.4637740032</v>
      </c>
      <c r="K94" s="13">
        <f t="shared" si="48"/>
        <v>177183.74926087807</v>
      </c>
      <c r="L94" s="13">
        <f t="shared" si="48"/>
        <v>370737.58410166611</v>
      </c>
      <c r="M94" s="13">
        <f t="shared" si="48"/>
        <v>189709.42881873919</v>
      </c>
      <c r="N94" s="13">
        <f t="shared" si="48"/>
        <v>395318.50022878015</v>
      </c>
      <c r="O94" s="13">
        <f t="shared" si="48"/>
        <v>1408549.2702102836</v>
      </c>
      <c r="P94" s="13">
        <f t="shared" si="48"/>
        <v>1569469.6874310595</v>
      </c>
      <c r="Q94" s="13">
        <f t="shared" si="48"/>
        <v>1481105.7990363999</v>
      </c>
      <c r="R94" s="13">
        <f t="shared" si="48"/>
        <v>578533.82016923977</v>
      </c>
      <c r="S94" s="13">
        <f t="shared" si="48"/>
        <v>1164046.4467445503</v>
      </c>
      <c r="T94" s="13">
        <f t="shared" si="48"/>
        <v>1584604.7597361649</v>
      </c>
      <c r="U94" s="13">
        <f t="shared" si="48"/>
        <v>825158.98901523999</v>
      </c>
      <c r="V94" s="13">
        <f t="shared" si="48"/>
        <v>1123128.78050128</v>
      </c>
      <c r="W94" s="13">
        <f t="shared" si="48"/>
        <v>1372352.9549990026</v>
      </c>
      <c r="X94" s="13">
        <f t="shared" si="48"/>
        <v>2178055.8342126808</v>
      </c>
      <c r="Y94" s="13">
        <f t="shared" si="48"/>
        <v>777017.52259306633</v>
      </c>
      <c r="Z94" s="13">
        <f t="shared" si="48"/>
        <v>373159.23160919995</v>
      </c>
      <c r="AA94" s="13">
        <f t="shared" si="48"/>
        <v>2192893.3322134512</v>
      </c>
      <c r="AB94" s="13">
        <f t="shared" si="48"/>
        <v>271020.6118205582</v>
      </c>
      <c r="AC94" s="13">
        <f t="shared" si="48"/>
        <v>1750847.3812929797</v>
      </c>
      <c r="AD94" s="13">
        <f t="shared" si="48"/>
        <v>474408.68780007231</v>
      </c>
      <c r="AE94" s="13">
        <f t="shared" si="48"/>
        <v>1285498.9822669206</v>
      </c>
      <c r="AF94" s="13">
        <f t="shared" si="48"/>
        <v>596481.40808538836</v>
      </c>
      <c r="AG94" s="13">
        <f t="shared" si="48"/>
        <v>1212533.0889928159</v>
      </c>
      <c r="AH94" s="13">
        <f t="shared" si="48"/>
        <v>2484015.3397518434</v>
      </c>
      <c r="AI94" s="13">
        <f t="shared" si="48"/>
        <v>883406.31898004806</v>
      </c>
      <c r="AJ94" s="13">
        <f t="shared" si="48"/>
        <v>905148.13200368488</v>
      </c>
      <c r="AK94" s="13">
        <f t="shared" si="48"/>
        <v>1091943.7910851315</v>
      </c>
      <c r="AL94" s="13">
        <f t="shared" si="48"/>
        <v>935821.72820498142</v>
      </c>
      <c r="AM94" s="13">
        <f t="shared" si="48"/>
        <v>1494781.9494930392</v>
      </c>
      <c r="AN94" s="13">
        <f t="shared" si="48"/>
        <v>372816.50065255561</v>
      </c>
      <c r="AO94" s="13">
        <f t="shared" si="48"/>
        <v>1723206.2747767416</v>
      </c>
      <c r="AP94" s="13">
        <f t="shared" si="48"/>
        <v>1084078.9743581412</v>
      </c>
      <c r="AQ94" s="13">
        <f t="shared" si="48"/>
        <v>1040132.204139985</v>
      </c>
      <c r="AR94" s="13">
        <f t="shared" si="48"/>
        <v>837588.6448136965</v>
      </c>
      <c r="AS94" s="13">
        <f t="shared" si="48"/>
        <v>470126.01949150983</v>
      </c>
      <c r="AT94" s="13">
        <f t="shared" si="48"/>
        <v>377737.78959474032</v>
      </c>
      <c r="AU94" s="13">
        <f t="shared" si="48"/>
        <v>639893.00242881675</v>
      </c>
      <c r="AV94" s="13">
        <f t="shared" si="48"/>
        <v>506299.72038032557</v>
      </c>
      <c r="AW94" s="13">
        <f t="shared" si="48"/>
        <v>783513.57527214335</v>
      </c>
      <c r="AX94" s="13">
        <f t="shared" si="48"/>
        <v>1141152.5337319432</v>
      </c>
      <c r="AY94" s="13">
        <f t="shared" si="48"/>
        <v>1226839.7047588418</v>
      </c>
      <c r="AZ94" s="13">
        <f t="shared" si="48"/>
        <v>809587.21810337366</v>
      </c>
      <c r="BA94" s="13">
        <f t="shared" si="48"/>
        <v>7062633.693779869</v>
      </c>
      <c r="BB94" s="13">
        <f t="shared" si="48"/>
        <v>1894405.4155853095</v>
      </c>
      <c r="BC94" s="13">
        <f t="shared" si="48"/>
        <v>727121.19281076035</v>
      </c>
      <c r="BD94" s="13">
        <f t="shared" si="48"/>
        <v>572147.52744187089</v>
      </c>
      <c r="BE94" s="13">
        <f t="shared" si="48"/>
        <v>813187.8974227393</v>
      </c>
      <c r="BF94" s="13">
        <f t="shared" si="48"/>
        <v>1345412.4086887676</v>
      </c>
      <c r="BG94" s="13">
        <f t="shared" si="48"/>
        <v>288385.75062657968</v>
      </c>
      <c r="BH94" s="13">
        <f t="shared" ref="BH94" si="49">BH92*$C86</f>
        <v>872317.9289275537</v>
      </c>
      <c r="BI94" s="13">
        <f t="shared" si="48"/>
        <v>791153.83549187274</v>
      </c>
      <c r="BJ94" s="13">
        <f t="shared" si="48"/>
        <v>236699.84552145284</v>
      </c>
      <c r="BK94" s="13">
        <f t="shared" si="48"/>
        <v>402027.94595115929</v>
      </c>
      <c r="BL94" s="13">
        <f t="shared" si="48"/>
        <v>1644843.9758108151</v>
      </c>
      <c r="BM94" s="13">
        <f t="shared" si="48"/>
        <v>835441.62036256178</v>
      </c>
      <c r="BN94" s="13">
        <f t="shared" si="48"/>
        <v>1054303.1685276779</v>
      </c>
      <c r="BO94" s="13">
        <f t="shared" ref="BO94:BZ94" si="50">BO92*$C86</f>
        <v>2273111.6268953807</v>
      </c>
      <c r="BP94" s="13">
        <f t="shared" si="50"/>
        <v>1528982.9949412374</v>
      </c>
      <c r="BQ94" s="13">
        <f t="shared" si="50"/>
        <v>587250.51407514291</v>
      </c>
      <c r="BR94" s="13">
        <f t="shared" si="50"/>
        <v>4686505.854152306</v>
      </c>
      <c r="BS94" s="13">
        <f t="shared" si="50"/>
        <v>1051328.678155944</v>
      </c>
      <c r="BT94" s="13">
        <f t="shared" si="50"/>
        <v>947965.21333044837</v>
      </c>
      <c r="BU94" s="13">
        <f t="shared" si="50"/>
        <v>271036.85335611209</v>
      </c>
      <c r="BV94" s="13">
        <f t="shared" si="50"/>
        <v>551924.0943562428</v>
      </c>
      <c r="BW94" s="13">
        <f t="shared" si="50"/>
        <v>3548588.5104753748</v>
      </c>
      <c r="BX94" s="13">
        <f t="shared" si="50"/>
        <v>363879.82033104484</v>
      </c>
      <c r="BY94" s="13">
        <f t="shared" si="50"/>
        <v>624564.87182848714</v>
      </c>
      <c r="BZ94" s="13">
        <f t="shared" si="50"/>
        <v>1655814.1827748113</v>
      </c>
      <c r="CB94"/>
    </row>
    <row r="95" spans="1:80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</row>
    <row r="96" spans="1:80" s="19" customFormat="1" x14ac:dyDescent="0.2">
      <c r="A96" s="23" t="s">
        <v>154</v>
      </c>
      <c r="B96" s="24" t="s">
        <v>85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25"/>
      <c r="CB96" s="23"/>
    </row>
    <row r="97" spans="1:80" x14ac:dyDescent="0.2">
      <c r="B97" t="s">
        <v>81</v>
      </c>
      <c r="C97" s="3">
        <f>SUM(D97:BZ97)</f>
        <v>1616929.5499999998</v>
      </c>
      <c r="D97" s="10">
        <v>341027</v>
      </c>
      <c r="E97" s="10">
        <v>31901.68</v>
      </c>
      <c r="F97" s="10">
        <v>3311.7</v>
      </c>
      <c r="G97" s="10">
        <v>2931.7</v>
      </c>
      <c r="H97" s="10">
        <v>10902.2</v>
      </c>
      <c r="I97" s="10">
        <v>16205.84</v>
      </c>
      <c r="J97" s="10">
        <v>11989.2</v>
      </c>
      <c r="K97" s="10">
        <v>1878.3</v>
      </c>
      <c r="L97" s="10">
        <v>0</v>
      </c>
      <c r="M97" s="10">
        <v>2746.55</v>
      </c>
      <c r="N97" s="10">
        <v>6172.45</v>
      </c>
      <c r="O97" s="10">
        <v>16555.62</v>
      </c>
      <c r="P97" s="10">
        <v>38852.199999999997</v>
      </c>
      <c r="Q97" s="10">
        <v>21580.7</v>
      </c>
      <c r="R97" s="10">
        <v>12147.95</v>
      </c>
      <c r="S97" s="10">
        <v>12664.89</v>
      </c>
      <c r="T97" s="10">
        <v>28948.69</v>
      </c>
      <c r="U97" s="10">
        <v>7523</v>
      </c>
      <c r="V97" s="10">
        <v>11090.66</v>
      </c>
      <c r="W97" s="10">
        <v>19959.3</v>
      </c>
      <c r="X97" s="10">
        <v>16613.75</v>
      </c>
      <c r="Y97" s="10">
        <v>7913</v>
      </c>
      <c r="Z97" s="10">
        <v>3799.01</v>
      </c>
      <c r="AA97" s="10">
        <v>42771.94</v>
      </c>
      <c r="AB97" s="10">
        <v>2056.04</v>
      </c>
      <c r="AC97" s="10">
        <v>25533.35</v>
      </c>
      <c r="AD97" s="10">
        <v>4008.77</v>
      </c>
      <c r="AE97" s="10">
        <v>27407.35</v>
      </c>
      <c r="AF97" s="10">
        <v>7632.6</v>
      </c>
      <c r="AG97" s="10">
        <v>43384.85</v>
      </c>
      <c r="AH97" s="10">
        <v>34305</v>
      </c>
      <c r="AI97" s="10">
        <v>6301.4</v>
      </c>
      <c r="AJ97" s="10">
        <v>12029.15</v>
      </c>
      <c r="AK97" s="10">
        <v>12230.15</v>
      </c>
      <c r="AL97" s="10">
        <v>9732</v>
      </c>
      <c r="AM97" s="10">
        <v>11666</v>
      </c>
      <c r="AN97" s="10">
        <v>25556.94</v>
      </c>
      <c r="AO97" s="10">
        <v>27293.85</v>
      </c>
      <c r="AP97" s="10">
        <v>11505.78</v>
      </c>
      <c r="AQ97" s="10">
        <v>11991.8</v>
      </c>
      <c r="AR97" s="10">
        <v>184.2</v>
      </c>
      <c r="AS97" s="10">
        <v>5677.95</v>
      </c>
      <c r="AT97" s="10">
        <v>6184.17</v>
      </c>
      <c r="AU97" s="10">
        <v>6822.64</v>
      </c>
      <c r="AV97" s="10">
        <v>5899.6</v>
      </c>
      <c r="AW97" s="10">
        <v>8853.4500000000007</v>
      </c>
      <c r="AX97" s="10">
        <v>10893.05</v>
      </c>
      <c r="AY97" s="10">
        <v>26791.88</v>
      </c>
      <c r="AZ97" s="10">
        <v>13657.6</v>
      </c>
      <c r="BA97" s="10">
        <v>104845.2</v>
      </c>
      <c r="BB97" s="10">
        <v>23051.66</v>
      </c>
      <c r="BC97" s="10">
        <v>8106.2</v>
      </c>
      <c r="BD97" s="10">
        <v>19773.55</v>
      </c>
      <c r="BE97" s="10">
        <v>14735.22</v>
      </c>
      <c r="BF97" s="10">
        <v>33792.5</v>
      </c>
      <c r="BG97" s="10">
        <v>4306.3500000000004</v>
      </c>
      <c r="BH97" s="10">
        <v>22577.9</v>
      </c>
      <c r="BI97" s="10">
        <v>17110.900000000001</v>
      </c>
      <c r="BJ97" s="10">
        <v>3108</v>
      </c>
      <c r="BK97" s="10">
        <v>10078.24</v>
      </c>
      <c r="BL97" s="10">
        <v>30393.919999999998</v>
      </c>
      <c r="BM97" s="10">
        <v>8183.93</v>
      </c>
      <c r="BN97" s="10">
        <v>13801.55</v>
      </c>
      <c r="BO97" s="10">
        <v>32491</v>
      </c>
      <c r="BP97" s="10">
        <v>28138</v>
      </c>
      <c r="BQ97" s="10">
        <v>12760.25</v>
      </c>
      <c r="BR97" s="10">
        <v>101700.02</v>
      </c>
      <c r="BS97" s="10">
        <v>8815.0499999999993</v>
      </c>
      <c r="BT97" s="10">
        <v>9826.65</v>
      </c>
      <c r="BU97" s="10">
        <v>1268.4000000000001</v>
      </c>
      <c r="BV97" s="10">
        <v>7994.3</v>
      </c>
      <c r="BW97" s="10">
        <v>30836.34</v>
      </c>
      <c r="BX97" s="10">
        <v>5595.46</v>
      </c>
      <c r="BY97" s="10">
        <v>12626.06</v>
      </c>
      <c r="BZ97" s="10">
        <v>23926</v>
      </c>
      <c r="CB97" t="s">
        <v>108</v>
      </c>
    </row>
    <row r="98" spans="1:80" x14ac:dyDescent="0.2">
      <c r="B98" t="s">
        <v>82</v>
      </c>
      <c r="C98" s="3">
        <f>SUM(D98:BZ98)</f>
        <v>11.92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0.2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11.72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B98" t="s">
        <v>108</v>
      </c>
    </row>
    <row r="99" spans="1:80" s="19" customFormat="1" x14ac:dyDescent="0.2">
      <c r="B99" s="19" t="s">
        <v>90</v>
      </c>
      <c r="C99" s="13">
        <f>SUM(D99:BZ99)</f>
        <v>1616917.6299999997</v>
      </c>
      <c r="D99" s="13">
        <f>D97-D98</f>
        <v>341027</v>
      </c>
      <c r="E99" s="13">
        <f t="shared" ref="E99:BN99" si="51">E97-E98</f>
        <v>31901.68</v>
      </c>
      <c r="F99" s="13">
        <f t="shared" si="51"/>
        <v>3311.7</v>
      </c>
      <c r="G99" s="13">
        <f t="shared" si="51"/>
        <v>2931.7</v>
      </c>
      <c r="H99" s="13">
        <f t="shared" si="51"/>
        <v>10902.2</v>
      </c>
      <c r="I99" s="13">
        <f t="shared" si="51"/>
        <v>16205.84</v>
      </c>
      <c r="J99" s="13">
        <f t="shared" si="51"/>
        <v>11989.2</v>
      </c>
      <c r="K99" s="13">
        <f t="shared" si="51"/>
        <v>1878.3</v>
      </c>
      <c r="L99" s="13">
        <f t="shared" si="51"/>
        <v>0</v>
      </c>
      <c r="M99" s="13">
        <f t="shared" si="51"/>
        <v>2746.55</v>
      </c>
      <c r="N99" s="13">
        <f t="shared" si="51"/>
        <v>6172.45</v>
      </c>
      <c r="O99" s="13">
        <f t="shared" si="51"/>
        <v>16555.62</v>
      </c>
      <c r="P99" s="13">
        <f t="shared" si="51"/>
        <v>38852.199999999997</v>
      </c>
      <c r="Q99" s="13">
        <f t="shared" si="51"/>
        <v>21580.7</v>
      </c>
      <c r="R99" s="13">
        <f t="shared" si="51"/>
        <v>12147.95</v>
      </c>
      <c r="S99" s="13">
        <f t="shared" si="51"/>
        <v>12664.89</v>
      </c>
      <c r="T99" s="13">
        <f t="shared" si="51"/>
        <v>28948.69</v>
      </c>
      <c r="U99" s="13">
        <f t="shared" si="51"/>
        <v>7523</v>
      </c>
      <c r="V99" s="13">
        <f t="shared" si="51"/>
        <v>11090.66</v>
      </c>
      <c r="W99" s="13">
        <f t="shared" si="51"/>
        <v>19959.3</v>
      </c>
      <c r="X99" s="13">
        <f t="shared" si="51"/>
        <v>16613.75</v>
      </c>
      <c r="Y99" s="13">
        <f t="shared" si="51"/>
        <v>7913</v>
      </c>
      <c r="Z99" s="13">
        <f t="shared" si="51"/>
        <v>3799.01</v>
      </c>
      <c r="AA99" s="13">
        <f t="shared" si="51"/>
        <v>42771.94</v>
      </c>
      <c r="AB99" s="13">
        <f t="shared" si="51"/>
        <v>2056.04</v>
      </c>
      <c r="AC99" s="13">
        <f t="shared" si="51"/>
        <v>25533.35</v>
      </c>
      <c r="AD99" s="13">
        <f t="shared" si="51"/>
        <v>4008.57</v>
      </c>
      <c r="AE99" s="13">
        <f t="shared" si="51"/>
        <v>27407.35</v>
      </c>
      <c r="AF99" s="13">
        <f t="shared" si="51"/>
        <v>7632.6</v>
      </c>
      <c r="AG99" s="13">
        <f t="shared" si="51"/>
        <v>43384.85</v>
      </c>
      <c r="AH99" s="13">
        <f t="shared" si="51"/>
        <v>34305</v>
      </c>
      <c r="AI99" s="13">
        <f t="shared" si="51"/>
        <v>6301.4</v>
      </c>
      <c r="AJ99" s="13">
        <f t="shared" si="51"/>
        <v>12029.15</v>
      </c>
      <c r="AK99" s="13">
        <f t="shared" si="51"/>
        <v>12230.15</v>
      </c>
      <c r="AL99" s="13">
        <f t="shared" si="51"/>
        <v>9732</v>
      </c>
      <c r="AM99" s="13">
        <f t="shared" si="51"/>
        <v>11666</v>
      </c>
      <c r="AN99" s="13">
        <f t="shared" si="51"/>
        <v>25556.94</v>
      </c>
      <c r="AO99" s="13">
        <f t="shared" si="51"/>
        <v>27293.85</v>
      </c>
      <c r="AP99" s="13">
        <f t="shared" si="51"/>
        <v>11505.78</v>
      </c>
      <c r="AQ99" s="13">
        <f t="shared" si="51"/>
        <v>11991.8</v>
      </c>
      <c r="AR99" s="13">
        <f t="shared" si="51"/>
        <v>184.2</v>
      </c>
      <c r="AS99" s="13">
        <f t="shared" si="51"/>
        <v>5677.95</v>
      </c>
      <c r="AT99" s="13">
        <f t="shared" si="51"/>
        <v>6184.17</v>
      </c>
      <c r="AU99" s="13">
        <f t="shared" si="51"/>
        <v>6822.64</v>
      </c>
      <c r="AV99" s="13">
        <f t="shared" si="51"/>
        <v>5899.6</v>
      </c>
      <c r="AW99" s="13">
        <f t="shared" si="51"/>
        <v>8853.4500000000007</v>
      </c>
      <c r="AX99" s="13">
        <f t="shared" si="51"/>
        <v>10893.05</v>
      </c>
      <c r="AY99" s="13">
        <f t="shared" si="51"/>
        <v>26791.88</v>
      </c>
      <c r="AZ99" s="13">
        <f t="shared" si="51"/>
        <v>13657.6</v>
      </c>
      <c r="BA99" s="13">
        <f t="shared" si="51"/>
        <v>104845.2</v>
      </c>
      <c r="BB99" s="13">
        <f t="shared" si="51"/>
        <v>23051.66</v>
      </c>
      <c r="BC99" s="13">
        <f t="shared" si="51"/>
        <v>8106.2</v>
      </c>
      <c r="BD99" s="13">
        <f t="shared" si="51"/>
        <v>19773.55</v>
      </c>
      <c r="BE99" s="13">
        <f t="shared" si="51"/>
        <v>14735.22</v>
      </c>
      <c r="BF99" s="13">
        <f t="shared" si="51"/>
        <v>33792.5</v>
      </c>
      <c r="BG99" s="13">
        <f t="shared" si="51"/>
        <v>4306.3500000000004</v>
      </c>
      <c r="BH99" s="13">
        <f t="shared" si="51"/>
        <v>22577.9</v>
      </c>
      <c r="BI99" s="13">
        <f t="shared" si="51"/>
        <v>17110.900000000001</v>
      </c>
      <c r="BJ99" s="13">
        <f t="shared" si="51"/>
        <v>3108</v>
      </c>
      <c r="BK99" s="13">
        <f t="shared" si="51"/>
        <v>10078.24</v>
      </c>
      <c r="BL99" s="13">
        <f t="shared" si="51"/>
        <v>30382.199999999997</v>
      </c>
      <c r="BM99" s="13">
        <f t="shared" si="51"/>
        <v>8183.93</v>
      </c>
      <c r="BN99" s="13">
        <f t="shared" si="51"/>
        <v>13801.55</v>
      </c>
      <c r="BO99" s="13">
        <f t="shared" ref="BO99:BZ99" si="52">BO97-BO98</f>
        <v>32491</v>
      </c>
      <c r="BP99" s="13">
        <f t="shared" si="52"/>
        <v>28138</v>
      </c>
      <c r="BQ99" s="13">
        <f t="shared" si="52"/>
        <v>12760.25</v>
      </c>
      <c r="BR99" s="13">
        <f t="shared" si="52"/>
        <v>101700.02</v>
      </c>
      <c r="BS99" s="13">
        <f t="shared" si="52"/>
        <v>8815.0499999999993</v>
      </c>
      <c r="BT99" s="13">
        <f t="shared" si="52"/>
        <v>9826.65</v>
      </c>
      <c r="BU99" s="13">
        <f t="shared" si="52"/>
        <v>1268.4000000000001</v>
      </c>
      <c r="BV99" s="13">
        <f t="shared" si="52"/>
        <v>7994.3</v>
      </c>
      <c r="BW99" s="13">
        <f t="shared" si="52"/>
        <v>30836.34</v>
      </c>
      <c r="BX99" s="13">
        <f t="shared" si="52"/>
        <v>5595.46</v>
      </c>
      <c r="BY99" s="13">
        <f t="shared" si="52"/>
        <v>12626.06</v>
      </c>
      <c r="BZ99" s="13">
        <f t="shared" si="52"/>
        <v>23926</v>
      </c>
    </row>
    <row r="100" spans="1:80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</row>
    <row r="101" spans="1:80" s="19" customFormat="1" x14ac:dyDescent="0.2">
      <c r="A101" s="23" t="s">
        <v>155</v>
      </c>
      <c r="B101" s="24" t="s">
        <v>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25"/>
      <c r="CB101" s="23"/>
    </row>
    <row r="102" spans="1:80" x14ac:dyDescent="0.2">
      <c r="B102" t="s">
        <v>81</v>
      </c>
      <c r="C102" s="3">
        <f>SUM(D102:BZ102)</f>
        <v>66697905.510000005</v>
      </c>
      <c r="D102" s="10">
        <v>10747087.699999999</v>
      </c>
      <c r="E102" s="10">
        <v>1043078.83</v>
      </c>
      <c r="F102" s="10">
        <v>130609.25</v>
      </c>
      <c r="G102" s="10">
        <v>63419.6</v>
      </c>
      <c r="H102" s="10">
        <v>657110.5</v>
      </c>
      <c r="I102" s="10">
        <v>818506.56</v>
      </c>
      <c r="J102" s="10">
        <v>484469.95</v>
      </c>
      <c r="K102" s="10">
        <v>280086.40000000002</v>
      </c>
      <c r="L102" s="10">
        <v>150547.85</v>
      </c>
      <c r="M102" s="10">
        <v>39640.449999999997</v>
      </c>
      <c r="N102" s="10">
        <v>211831.45</v>
      </c>
      <c r="O102" s="10">
        <v>1764100.94</v>
      </c>
      <c r="P102" s="10">
        <v>1232195.5</v>
      </c>
      <c r="Q102" s="10">
        <v>822027.05</v>
      </c>
      <c r="R102" s="10">
        <v>427526.35</v>
      </c>
      <c r="S102" s="10">
        <v>1058235.48</v>
      </c>
      <c r="T102" s="10">
        <v>1472774.96</v>
      </c>
      <c r="U102" s="10">
        <v>465984</v>
      </c>
      <c r="V102" s="10">
        <v>496769.45</v>
      </c>
      <c r="W102" s="10">
        <v>1047267.57</v>
      </c>
      <c r="X102" s="10">
        <v>1137544.25</v>
      </c>
      <c r="Y102" s="10">
        <v>534555</v>
      </c>
      <c r="Z102" s="10">
        <v>150512.47</v>
      </c>
      <c r="AA102" s="10">
        <v>1221347.06</v>
      </c>
      <c r="AB102" s="10">
        <v>152245.79</v>
      </c>
      <c r="AC102" s="10">
        <v>868191.49</v>
      </c>
      <c r="AD102" s="10">
        <v>208144.87</v>
      </c>
      <c r="AE102" s="10">
        <v>592568.85</v>
      </c>
      <c r="AF102" s="10">
        <v>314155.95</v>
      </c>
      <c r="AG102" s="10">
        <v>662938.80000000005</v>
      </c>
      <c r="AH102" s="10">
        <v>1532879.61</v>
      </c>
      <c r="AI102" s="10">
        <v>712353.9</v>
      </c>
      <c r="AJ102" s="10">
        <v>676079.2</v>
      </c>
      <c r="AK102" s="10">
        <v>753282.7</v>
      </c>
      <c r="AL102" s="10">
        <v>507399</v>
      </c>
      <c r="AM102" s="10">
        <v>788651</v>
      </c>
      <c r="AN102" s="10">
        <v>118401.31</v>
      </c>
      <c r="AO102" s="10">
        <v>1046843.5</v>
      </c>
      <c r="AP102" s="10">
        <v>890717.45</v>
      </c>
      <c r="AQ102" s="10">
        <v>365733.64</v>
      </c>
      <c r="AR102" s="10">
        <v>357911.3</v>
      </c>
      <c r="AS102" s="10">
        <v>319816.8</v>
      </c>
      <c r="AT102" s="10">
        <v>238631.67999999999</v>
      </c>
      <c r="AU102" s="10">
        <v>417986.07</v>
      </c>
      <c r="AV102" s="10">
        <v>242948.85</v>
      </c>
      <c r="AW102" s="10">
        <v>585988.69999999995</v>
      </c>
      <c r="AX102" s="10">
        <v>1062006.2</v>
      </c>
      <c r="AY102" s="10">
        <v>1534595.16</v>
      </c>
      <c r="AZ102" s="10">
        <v>481626.92</v>
      </c>
      <c r="BA102" s="10">
        <v>3963250.2</v>
      </c>
      <c r="BB102" s="10">
        <v>1392136.69</v>
      </c>
      <c r="BC102" s="10">
        <v>399077.45</v>
      </c>
      <c r="BD102" s="10">
        <v>438589.81</v>
      </c>
      <c r="BE102" s="10">
        <v>477269.77</v>
      </c>
      <c r="BF102" s="10">
        <v>1364961.86</v>
      </c>
      <c r="BG102" s="10">
        <v>525157.80000000005</v>
      </c>
      <c r="BH102" s="10">
        <v>578932.35</v>
      </c>
      <c r="BI102" s="10">
        <v>324153.05</v>
      </c>
      <c r="BJ102" s="10">
        <v>132032.98000000001</v>
      </c>
      <c r="BK102" s="10">
        <v>143051.35</v>
      </c>
      <c r="BL102" s="10">
        <v>735867.75</v>
      </c>
      <c r="BM102" s="10">
        <v>578276.04</v>
      </c>
      <c r="BN102" s="10">
        <v>598875.30000000005</v>
      </c>
      <c r="BO102" s="10">
        <v>1884720.85</v>
      </c>
      <c r="BP102" s="10">
        <v>1106897.8500000001</v>
      </c>
      <c r="BQ102" s="10">
        <v>501559.2</v>
      </c>
      <c r="BR102" s="10">
        <v>3832501.4</v>
      </c>
      <c r="BS102" s="10">
        <v>864370.7</v>
      </c>
      <c r="BT102" s="10">
        <v>818061</v>
      </c>
      <c r="BU102" s="10">
        <v>84187.08</v>
      </c>
      <c r="BV102" s="10">
        <v>228669.6</v>
      </c>
      <c r="BW102" s="10">
        <v>2111197.44</v>
      </c>
      <c r="BX102" s="10">
        <v>328055.43</v>
      </c>
      <c r="BY102" s="10">
        <v>321128.2</v>
      </c>
      <c r="BZ102" s="10">
        <v>1075597</v>
      </c>
      <c r="CB102" t="s">
        <v>108</v>
      </c>
    </row>
    <row r="103" spans="1:80" x14ac:dyDescent="0.2">
      <c r="B103" t="s">
        <v>82</v>
      </c>
      <c r="C103" s="3">
        <f>SUM(D103:BZ103)</f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  <c r="BW103" s="10">
        <v>0</v>
      </c>
      <c r="BX103" s="10">
        <v>0</v>
      </c>
      <c r="BY103" s="10">
        <v>0</v>
      </c>
      <c r="BZ103" s="10">
        <v>0</v>
      </c>
      <c r="CB103" t="s">
        <v>108</v>
      </c>
    </row>
    <row r="104" spans="1:80" s="19" customFormat="1" x14ac:dyDescent="0.2">
      <c r="B104" s="19" t="s">
        <v>90</v>
      </c>
      <c r="C104" s="13">
        <f>SUM(D104:BZ104)</f>
        <v>66697905.510000005</v>
      </c>
      <c r="D104" s="13">
        <f>D102-D103</f>
        <v>10747087.699999999</v>
      </c>
      <c r="E104" s="13">
        <f t="shared" ref="E104:BN104" si="53">E102-E103</f>
        <v>1043078.83</v>
      </c>
      <c r="F104" s="13">
        <f t="shared" si="53"/>
        <v>130609.25</v>
      </c>
      <c r="G104" s="13">
        <f t="shared" si="53"/>
        <v>63419.6</v>
      </c>
      <c r="H104" s="13">
        <f t="shared" si="53"/>
        <v>657110.5</v>
      </c>
      <c r="I104" s="13">
        <f t="shared" si="53"/>
        <v>818506.56</v>
      </c>
      <c r="J104" s="13">
        <f t="shared" si="53"/>
        <v>484469.95</v>
      </c>
      <c r="K104" s="13">
        <f t="shared" si="53"/>
        <v>280086.40000000002</v>
      </c>
      <c r="L104" s="13">
        <f t="shared" si="53"/>
        <v>150547.85</v>
      </c>
      <c r="M104" s="13">
        <f t="shared" si="53"/>
        <v>39640.449999999997</v>
      </c>
      <c r="N104" s="13">
        <f t="shared" si="53"/>
        <v>211831.45</v>
      </c>
      <c r="O104" s="13">
        <f t="shared" si="53"/>
        <v>1764100.94</v>
      </c>
      <c r="P104" s="13">
        <f t="shared" si="53"/>
        <v>1232195.5</v>
      </c>
      <c r="Q104" s="13">
        <f t="shared" si="53"/>
        <v>822027.05</v>
      </c>
      <c r="R104" s="13">
        <f t="shared" si="53"/>
        <v>427526.35</v>
      </c>
      <c r="S104" s="13">
        <f t="shared" si="53"/>
        <v>1058235.48</v>
      </c>
      <c r="T104" s="13">
        <f t="shared" si="53"/>
        <v>1472774.96</v>
      </c>
      <c r="U104" s="13">
        <f t="shared" si="53"/>
        <v>465984</v>
      </c>
      <c r="V104" s="13">
        <f t="shared" si="53"/>
        <v>496769.45</v>
      </c>
      <c r="W104" s="13">
        <f t="shared" si="53"/>
        <v>1047267.57</v>
      </c>
      <c r="X104" s="13">
        <f t="shared" si="53"/>
        <v>1137544.25</v>
      </c>
      <c r="Y104" s="13">
        <f t="shared" si="53"/>
        <v>534555</v>
      </c>
      <c r="Z104" s="13">
        <f t="shared" si="53"/>
        <v>150512.47</v>
      </c>
      <c r="AA104" s="13">
        <f t="shared" si="53"/>
        <v>1221347.06</v>
      </c>
      <c r="AB104" s="13">
        <f t="shared" si="53"/>
        <v>152245.79</v>
      </c>
      <c r="AC104" s="13">
        <f t="shared" si="53"/>
        <v>868191.49</v>
      </c>
      <c r="AD104" s="13">
        <f t="shared" si="53"/>
        <v>208144.87</v>
      </c>
      <c r="AE104" s="13">
        <f t="shared" si="53"/>
        <v>592568.85</v>
      </c>
      <c r="AF104" s="13">
        <f t="shared" si="53"/>
        <v>314155.95</v>
      </c>
      <c r="AG104" s="13">
        <f t="shared" si="53"/>
        <v>662938.80000000005</v>
      </c>
      <c r="AH104" s="13">
        <f t="shared" si="53"/>
        <v>1532879.61</v>
      </c>
      <c r="AI104" s="13">
        <f t="shared" si="53"/>
        <v>712353.9</v>
      </c>
      <c r="AJ104" s="13">
        <f t="shared" si="53"/>
        <v>676079.2</v>
      </c>
      <c r="AK104" s="13">
        <f t="shared" si="53"/>
        <v>753282.7</v>
      </c>
      <c r="AL104" s="13">
        <f t="shared" si="53"/>
        <v>507399</v>
      </c>
      <c r="AM104" s="13">
        <f t="shared" si="53"/>
        <v>788651</v>
      </c>
      <c r="AN104" s="13">
        <f t="shared" si="53"/>
        <v>118401.31</v>
      </c>
      <c r="AO104" s="13">
        <f t="shared" si="53"/>
        <v>1046843.5</v>
      </c>
      <c r="AP104" s="13">
        <f t="shared" si="53"/>
        <v>890717.45</v>
      </c>
      <c r="AQ104" s="13">
        <f t="shared" si="53"/>
        <v>365733.64</v>
      </c>
      <c r="AR104" s="13">
        <f t="shared" si="53"/>
        <v>357911.3</v>
      </c>
      <c r="AS104" s="13">
        <f t="shared" si="53"/>
        <v>319816.8</v>
      </c>
      <c r="AT104" s="13">
        <f t="shared" si="53"/>
        <v>238631.67999999999</v>
      </c>
      <c r="AU104" s="13">
        <f t="shared" si="53"/>
        <v>417986.07</v>
      </c>
      <c r="AV104" s="13">
        <f t="shared" si="53"/>
        <v>242948.85</v>
      </c>
      <c r="AW104" s="13">
        <f t="shared" si="53"/>
        <v>585988.69999999995</v>
      </c>
      <c r="AX104" s="13">
        <f t="shared" si="53"/>
        <v>1062006.2</v>
      </c>
      <c r="AY104" s="13">
        <f t="shared" si="53"/>
        <v>1534595.16</v>
      </c>
      <c r="AZ104" s="13">
        <f t="shared" si="53"/>
        <v>481626.92</v>
      </c>
      <c r="BA104" s="13">
        <f t="shared" si="53"/>
        <v>3963250.2</v>
      </c>
      <c r="BB104" s="13">
        <f t="shared" si="53"/>
        <v>1392136.69</v>
      </c>
      <c r="BC104" s="13">
        <f t="shared" si="53"/>
        <v>399077.45</v>
      </c>
      <c r="BD104" s="13">
        <f t="shared" si="53"/>
        <v>438589.81</v>
      </c>
      <c r="BE104" s="13">
        <f t="shared" si="53"/>
        <v>477269.77</v>
      </c>
      <c r="BF104" s="13">
        <f t="shared" si="53"/>
        <v>1364961.86</v>
      </c>
      <c r="BG104" s="13">
        <f t="shared" si="53"/>
        <v>525157.80000000005</v>
      </c>
      <c r="BH104" s="13">
        <f t="shared" si="53"/>
        <v>578932.35</v>
      </c>
      <c r="BI104" s="13">
        <f t="shared" si="53"/>
        <v>324153.05</v>
      </c>
      <c r="BJ104" s="13">
        <f t="shared" si="53"/>
        <v>132032.98000000001</v>
      </c>
      <c r="BK104" s="13">
        <f t="shared" si="53"/>
        <v>143051.35</v>
      </c>
      <c r="BL104" s="13">
        <f t="shared" si="53"/>
        <v>735867.75</v>
      </c>
      <c r="BM104" s="13">
        <f t="shared" si="53"/>
        <v>578276.04</v>
      </c>
      <c r="BN104" s="13">
        <f t="shared" si="53"/>
        <v>598875.30000000005</v>
      </c>
      <c r="BO104" s="13">
        <f t="shared" ref="BO104:BZ104" si="54">BO102-BO103</f>
        <v>1884720.85</v>
      </c>
      <c r="BP104" s="13">
        <f t="shared" si="54"/>
        <v>1106897.8500000001</v>
      </c>
      <c r="BQ104" s="13">
        <f t="shared" si="54"/>
        <v>501559.2</v>
      </c>
      <c r="BR104" s="13">
        <f t="shared" si="54"/>
        <v>3832501.4</v>
      </c>
      <c r="BS104" s="13">
        <f t="shared" si="54"/>
        <v>864370.7</v>
      </c>
      <c r="BT104" s="13">
        <f t="shared" si="54"/>
        <v>818061</v>
      </c>
      <c r="BU104" s="13">
        <f t="shared" si="54"/>
        <v>84187.08</v>
      </c>
      <c r="BV104" s="13">
        <f t="shared" si="54"/>
        <v>228669.6</v>
      </c>
      <c r="BW104" s="13">
        <f t="shared" si="54"/>
        <v>2111197.44</v>
      </c>
      <c r="BX104" s="13">
        <f t="shared" si="54"/>
        <v>328055.43</v>
      </c>
      <c r="BY104" s="13">
        <f t="shared" si="54"/>
        <v>321128.2</v>
      </c>
      <c r="BZ104" s="13">
        <f t="shared" si="54"/>
        <v>1075597</v>
      </c>
    </row>
    <row r="105" spans="1:80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</row>
    <row r="106" spans="1:80" s="19" customFormat="1" x14ac:dyDescent="0.2">
      <c r="A106" s="23" t="s">
        <v>156</v>
      </c>
      <c r="B106" s="24" t="s">
        <v>3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25"/>
      <c r="CB106" s="23"/>
    </row>
    <row r="107" spans="1:80" x14ac:dyDescent="0.2">
      <c r="B107" t="s">
        <v>81</v>
      </c>
      <c r="C107" s="3">
        <f>SUM(D107:BZ107)</f>
        <v>104406820.00000004</v>
      </c>
      <c r="D107" s="7">
        <v>16851786.949999999</v>
      </c>
      <c r="E107" s="7">
        <v>2081416.75</v>
      </c>
      <c r="F107" s="7">
        <v>280270.90000000002</v>
      </c>
      <c r="G107" s="7">
        <v>170378.35</v>
      </c>
      <c r="H107" s="7">
        <v>1891906.2</v>
      </c>
      <c r="I107" s="7">
        <v>1188319.55</v>
      </c>
      <c r="J107" s="7">
        <v>376225.7</v>
      </c>
      <c r="K107" s="7">
        <v>301232.34999999998</v>
      </c>
      <c r="L107" s="7">
        <v>217145.65</v>
      </c>
      <c r="M107" s="7">
        <v>-44848.15</v>
      </c>
      <c r="N107" s="7">
        <v>155263.04999999999</v>
      </c>
      <c r="O107" s="7">
        <v>1116246.45</v>
      </c>
      <c r="P107" s="7">
        <v>2711163.6</v>
      </c>
      <c r="Q107" s="7">
        <v>799833.3</v>
      </c>
      <c r="R107" s="7">
        <v>836199.7</v>
      </c>
      <c r="S107" s="7">
        <v>1978241.55</v>
      </c>
      <c r="T107" s="7">
        <v>1757086.45</v>
      </c>
      <c r="U107" s="7">
        <v>694071.65</v>
      </c>
      <c r="V107" s="7">
        <v>1212217.8500000001</v>
      </c>
      <c r="W107" s="7">
        <v>1297422.1000000001</v>
      </c>
      <c r="X107" s="7">
        <v>2099683.15</v>
      </c>
      <c r="Y107" s="7">
        <v>998789.55</v>
      </c>
      <c r="Z107" s="7">
        <v>290842.84999999998</v>
      </c>
      <c r="AA107" s="7">
        <v>2547396.0499999998</v>
      </c>
      <c r="AB107" s="7">
        <v>238412.05</v>
      </c>
      <c r="AC107" s="7">
        <v>1804698.45</v>
      </c>
      <c r="AD107" s="7">
        <v>273054.34999999998</v>
      </c>
      <c r="AE107" s="7">
        <v>1346923.3</v>
      </c>
      <c r="AF107" s="7">
        <v>695833.7</v>
      </c>
      <c r="AG107" s="7">
        <v>1563625.2</v>
      </c>
      <c r="AH107" s="7">
        <v>3098474.85</v>
      </c>
      <c r="AI107" s="7">
        <v>883678.3</v>
      </c>
      <c r="AJ107" s="7">
        <v>998782.55</v>
      </c>
      <c r="AK107" s="7">
        <v>1401788.1</v>
      </c>
      <c r="AL107" s="7">
        <v>708206</v>
      </c>
      <c r="AM107" s="7">
        <v>1480239.85</v>
      </c>
      <c r="AN107" s="7">
        <v>176567.6</v>
      </c>
      <c r="AO107" s="7">
        <v>763483.75</v>
      </c>
      <c r="AP107" s="7">
        <v>1447153.4</v>
      </c>
      <c r="AQ107" s="7">
        <v>482699.7</v>
      </c>
      <c r="AR107" s="7">
        <v>786436.5</v>
      </c>
      <c r="AS107" s="7">
        <v>846769.6</v>
      </c>
      <c r="AT107" s="7">
        <v>308881</v>
      </c>
      <c r="AU107" s="7">
        <v>471269.75</v>
      </c>
      <c r="AV107" s="7">
        <v>763926.35</v>
      </c>
      <c r="AW107" s="7">
        <v>480151.15</v>
      </c>
      <c r="AX107" s="7">
        <v>1947710.7</v>
      </c>
      <c r="AY107" s="7">
        <v>1637513.2</v>
      </c>
      <c r="AZ107" s="7">
        <v>335644.85</v>
      </c>
      <c r="BA107" s="7">
        <v>9175916.75</v>
      </c>
      <c r="BB107" s="7">
        <v>1414357.95</v>
      </c>
      <c r="BC107" s="7">
        <v>475110.95</v>
      </c>
      <c r="BD107" s="7">
        <v>450220.9</v>
      </c>
      <c r="BE107" s="7">
        <v>849752.35</v>
      </c>
      <c r="BF107" s="7">
        <v>2206604.4</v>
      </c>
      <c r="BG107" s="7">
        <v>247702</v>
      </c>
      <c r="BH107" s="7">
        <v>897912.75000000012</v>
      </c>
      <c r="BI107" s="7">
        <v>897180.45</v>
      </c>
      <c r="BJ107" s="7">
        <v>177912.05</v>
      </c>
      <c r="BK107" s="7">
        <v>121733.7</v>
      </c>
      <c r="BL107" s="7">
        <v>2960802.2</v>
      </c>
      <c r="BM107" s="7">
        <v>449204.65</v>
      </c>
      <c r="BN107" s="7">
        <v>824094.2</v>
      </c>
      <c r="BO107" s="7">
        <v>2453118.7999999998</v>
      </c>
      <c r="BP107" s="7">
        <v>1528981.1</v>
      </c>
      <c r="BQ107" s="7">
        <v>570195.4</v>
      </c>
      <c r="BR107" s="7">
        <v>3511591.15</v>
      </c>
      <c r="BS107" s="7">
        <v>1269487.55</v>
      </c>
      <c r="BT107" s="7">
        <v>836992.15</v>
      </c>
      <c r="BU107" s="7">
        <v>277014.34999999998</v>
      </c>
      <c r="BV107" s="7">
        <v>196839.2</v>
      </c>
      <c r="BW107" s="7">
        <v>2893917.7</v>
      </c>
      <c r="BX107" s="7">
        <v>286068.3</v>
      </c>
      <c r="BY107" s="7">
        <v>685947.45</v>
      </c>
      <c r="BZ107" s="7">
        <v>1997945.75</v>
      </c>
      <c r="CB107" t="s">
        <v>107</v>
      </c>
    </row>
    <row r="108" spans="1:80" x14ac:dyDescent="0.2">
      <c r="B108" t="s">
        <v>86</v>
      </c>
      <c r="C108" s="3">
        <f>SUM(D108:BZ108)</f>
        <v>21810.15</v>
      </c>
      <c r="D108" s="7">
        <v>50.55</v>
      </c>
      <c r="E108" s="7">
        <v>23.5</v>
      </c>
      <c r="F108" s="7">
        <v>0</v>
      </c>
      <c r="G108" s="7">
        <v>0</v>
      </c>
      <c r="H108" s="7">
        <v>6.45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1.4</v>
      </c>
      <c r="O108" s="7">
        <v>23.85</v>
      </c>
      <c r="P108" s="7">
        <v>0.45</v>
      </c>
      <c r="Q108" s="7">
        <v>15.15</v>
      </c>
      <c r="R108" s="7">
        <v>26.8</v>
      </c>
      <c r="S108" s="7">
        <v>17.45</v>
      </c>
      <c r="T108" s="7">
        <v>16.7</v>
      </c>
      <c r="U108" s="7">
        <v>15.3</v>
      </c>
      <c r="V108" s="7">
        <v>0.15</v>
      </c>
      <c r="W108" s="7">
        <v>0.3</v>
      </c>
      <c r="X108" s="7">
        <v>12.55</v>
      </c>
      <c r="Y108" s="7">
        <v>12</v>
      </c>
      <c r="Z108" s="7">
        <v>0</v>
      </c>
      <c r="AA108" s="7">
        <v>14.8</v>
      </c>
      <c r="AB108" s="7">
        <v>8.35</v>
      </c>
      <c r="AC108" s="7">
        <v>14.5</v>
      </c>
      <c r="AD108" s="7">
        <v>10.75</v>
      </c>
      <c r="AE108" s="7">
        <v>14.25</v>
      </c>
      <c r="AF108" s="7">
        <v>12.55</v>
      </c>
      <c r="AG108" s="7">
        <v>27.1</v>
      </c>
      <c r="AH108" s="7">
        <v>41.9</v>
      </c>
      <c r="AI108" s="7">
        <v>5.65</v>
      </c>
      <c r="AJ108" s="7">
        <v>69.7</v>
      </c>
      <c r="AK108" s="7">
        <v>5.95</v>
      </c>
      <c r="AL108" s="7">
        <v>32.450000000000003</v>
      </c>
      <c r="AM108" s="7">
        <v>23.200000000000003</v>
      </c>
      <c r="AN108" s="7">
        <v>13.5</v>
      </c>
      <c r="AO108" s="7">
        <v>26.1</v>
      </c>
      <c r="AP108" s="7">
        <v>9.0500000000000007</v>
      </c>
      <c r="AQ108" s="7">
        <v>24.950000000000003</v>
      </c>
      <c r="AR108" s="7">
        <v>14399.1</v>
      </c>
      <c r="AS108" s="7">
        <v>6.4</v>
      </c>
      <c r="AT108" s="7">
        <v>17.2</v>
      </c>
      <c r="AU108" s="7">
        <v>1.7</v>
      </c>
      <c r="AV108" s="7">
        <v>14.45</v>
      </c>
      <c r="AW108" s="7">
        <v>3.15</v>
      </c>
      <c r="AX108" s="7">
        <v>6.8</v>
      </c>
      <c r="AY108" s="7">
        <v>0</v>
      </c>
      <c r="AZ108" s="7">
        <v>2939.15</v>
      </c>
      <c r="BA108" s="7">
        <v>43.5</v>
      </c>
      <c r="BB108" s="7">
        <v>22.55</v>
      </c>
      <c r="BC108" s="7">
        <v>0.20000000000000018</v>
      </c>
      <c r="BD108" s="7">
        <v>9.35</v>
      </c>
      <c r="BE108" s="7">
        <v>24.95</v>
      </c>
      <c r="BF108" s="7">
        <v>7.05</v>
      </c>
      <c r="BG108" s="7">
        <v>3.65</v>
      </c>
      <c r="BH108" s="7">
        <v>20.100000000000001</v>
      </c>
      <c r="BI108" s="7">
        <v>12</v>
      </c>
      <c r="BJ108" s="7">
        <v>9</v>
      </c>
      <c r="BK108" s="7">
        <v>6.4</v>
      </c>
      <c r="BL108" s="7">
        <v>4.3499999999999996</v>
      </c>
      <c r="BM108" s="7">
        <v>0</v>
      </c>
      <c r="BN108" s="7">
        <v>0.4</v>
      </c>
      <c r="BO108" s="7">
        <v>17.850000000000001</v>
      </c>
      <c r="BP108" s="7">
        <v>3557.55</v>
      </c>
      <c r="BQ108" s="7">
        <v>1.55</v>
      </c>
      <c r="BR108" s="7">
        <v>30.5</v>
      </c>
      <c r="BS108" s="7">
        <v>4.55</v>
      </c>
      <c r="BT108" s="7">
        <v>0.7</v>
      </c>
      <c r="BU108" s="7">
        <v>3.7</v>
      </c>
      <c r="BV108" s="7">
        <v>11</v>
      </c>
      <c r="BW108" s="7">
        <v>22.7</v>
      </c>
      <c r="BX108" s="7">
        <v>0</v>
      </c>
      <c r="BY108" s="7">
        <v>11.75</v>
      </c>
      <c r="BZ108" s="7">
        <v>19.5</v>
      </c>
      <c r="CB108" t="s">
        <v>107</v>
      </c>
    </row>
    <row r="109" spans="1:80" s="19" customFormat="1" x14ac:dyDescent="0.2">
      <c r="B109" s="19" t="s">
        <v>90</v>
      </c>
      <c r="C109" s="13">
        <f>SUM(D109:BZ109)</f>
        <v>104385009.85000001</v>
      </c>
      <c r="D109" s="13">
        <f>D107-D108</f>
        <v>16851736.399999999</v>
      </c>
      <c r="E109" s="13">
        <f t="shared" ref="E109:BN109" si="55">E107-E108</f>
        <v>2081393.25</v>
      </c>
      <c r="F109" s="13">
        <f t="shared" si="55"/>
        <v>280270.90000000002</v>
      </c>
      <c r="G109" s="13">
        <f t="shared" si="55"/>
        <v>170378.35</v>
      </c>
      <c r="H109" s="13">
        <f t="shared" si="55"/>
        <v>1891899.75</v>
      </c>
      <c r="I109" s="13">
        <f t="shared" si="55"/>
        <v>1188319.55</v>
      </c>
      <c r="J109" s="13">
        <f t="shared" si="55"/>
        <v>376225.7</v>
      </c>
      <c r="K109" s="13">
        <f t="shared" si="55"/>
        <v>301232.34999999998</v>
      </c>
      <c r="L109" s="13">
        <f t="shared" si="55"/>
        <v>217145.65</v>
      </c>
      <c r="M109" s="13">
        <f t="shared" si="55"/>
        <v>-44848.15</v>
      </c>
      <c r="N109" s="13">
        <f t="shared" si="55"/>
        <v>155261.65</v>
      </c>
      <c r="O109" s="13">
        <f t="shared" si="55"/>
        <v>1116222.5999999999</v>
      </c>
      <c r="P109" s="13">
        <f t="shared" si="55"/>
        <v>2711163.15</v>
      </c>
      <c r="Q109" s="13">
        <f t="shared" si="55"/>
        <v>799818.15</v>
      </c>
      <c r="R109" s="13">
        <f t="shared" si="55"/>
        <v>836172.89999999991</v>
      </c>
      <c r="S109" s="13">
        <f t="shared" si="55"/>
        <v>1978224.1</v>
      </c>
      <c r="T109" s="13">
        <f t="shared" si="55"/>
        <v>1757069.75</v>
      </c>
      <c r="U109" s="13">
        <f t="shared" si="55"/>
        <v>694056.35</v>
      </c>
      <c r="V109" s="13">
        <f t="shared" si="55"/>
        <v>1212217.7000000002</v>
      </c>
      <c r="W109" s="13">
        <f t="shared" si="55"/>
        <v>1297421.8</v>
      </c>
      <c r="X109" s="13">
        <f t="shared" si="55"/>
        <v>2099670.6</v>
      </c>
      <c r="Y109" s="13">
        <f t="shared" si="55"/>
        <v>998777.55</v>
      </c>
      <c r="Z109" s="13">
        <f t="shared" si="55"/>
        <v>290842.84999999998</v>
      </c>
      <c r="AA109" s="13">
        <f t="shared" si="55"/>
        <v>2547381.25</v>
      </c>
      <c r="AB109" s="13">
        <f t="shared" si="55"/>
        <v>238403.69999999998</v>
      </c>
      <c r="AC109" s="13">
        <f t="shared" si="55"/>
        <v>1804683.95</v>
      </c>
      <c r="AD109" s="13">
        <f t="shared" si="55"/>
        <v>273043.59999999998</v>
      </c>
      <c r="AE109" s="13">
        <f t="shared" si="55"/>
        <v>1346909.05</v>
      </c>
      <c r="AF109" s="13">
        <f t="shared" si="55"/>
        <v>695821.14999999991</v>
      </c>
      <c r="AG109" s="13">
        <f t="shared" si="55"/>
        <v>1563598.0999999999</v>
      </c>
      <c r="AH109" s="13">
        <f t="shared" si="55"/>
        <v>3098432.95</v>
      </c>
      <c r="AI109" s="13">
        <f t="shared" si="55"/>
        <v>883672.65</v>
      </c>
      <c r="AJ109" s="13">
        <f t="shared" si="55"/>
        <v>998712.85000000009</v>
      </c>
      <c r="AK109" s="13">
        <f t="shared" si="55"/>
        <v>1401782.1500000001</v>
      </c>
      <c r="AL109" s="13">
        <f t="shared" si="55"/>
        <v>708173.55</v>
      </c>
      <c r="AM109" s="13">
        <f t="shared" si="55"/>
        <v>1480216.6500000001</v>
      </c>
      <c r="AN109" s="13">
        <f t="shared" si="55"/>
        <v>176554.1</v>
      </c>
      <c r="AO109" s="13">
        <f t="shared" si="55"/>
        <v>763457.65</v>
      </c>
      <c r="AP109" s="13">
        <f t="shared" si="55"/>
        <v>1447144.3499999999</v>
      </c>
      <c r="AQ109" s="13">
        <f t="shared" si="55"/>
        <v>482674.75</v>
      </c>
      <c r="AR109" s="13">
        <f t="shared" si="55"/>
        <v>772037.4</v>
      </c>
      <c r="AS109" s="13">
        <f t="shared" si="55"/>
        <v>846763.2</v>
      </c>
      <c r="AT109" s="13">
        <f t="shared" si="55"/>
        <v>308863.8</v>
      </c>
      <c r="AU109" s="13">
        <f t="shared" si="55"/>
        <v>471268.05</v>
      </c>
      <c r="AV109" s="13">
        <f t="shared" si="55"/>
        <v>763911.9</v>
      </c>
      <c r="AW109" s="13">
        <f t="shared" si="55"/>
        <v>480148</v>
      </c>
      <c r="AX109" s="13">
        <f t="shared" si="55"/>
        <v>1947703.9</v>
      </c>
      <c r="AY109" s="13">
        <f t="shared" si="55"/>
        <v>1637513.2</v>
      </c>
      <c r="AZ109" s="13">
        <f t="shared" si="55"/>
        <v>332705.69999999995</v>
      </c>
      <c r="BA109" s="13">
        <f t="shared" si="55"/>
        <v>9175873.25</v>
      </c>
      <c r="BB109" s="13">
        <f t="shared" si="55"/>
        <v>1414335.4</v>
      </c>
      <c r="BC109" s="13">
        <f t="shared" si="55"/>
        <v>475110.75</v>
      </c>
      <c r="BD109" s="13">
        <f t="shared" si="55"/>
        <v>450211.55000000005</v>
      </c>
      <c r="BE109" s="13">
        <f t="shared" si="55"/>
        <v>849727.4</v>
      </c>
      <c r="BF109" s="13">
        <f t="shared" si="55"/>
        <v>2206597.35</v>
      </c>
      <c r="BG109" s="13">
        <f t="shared" si="55"/>
        <v>247698.35</v>
      </c>
      <c r="BH109" s="13">
        <f t="shared" si="55"/>
        <v>897892.65000000014</v>
      </c>
      <c r="BI109" s="13">
        <f t="shared" si="55"/>
        <v>897168.45</v>
      </c>
      <c r="BJ109" s="13">
        <f t="shared" si="55"/>
        <v>177903.05</v>
      </c>
      <c r="BK109" s="13">
        <f t="shared" si="55"/>
        <v>121727.3</v>
      </c>
      <c r="BL109" s="13">
        <f t="shared" si="55"/>
        <v>2960797.85</v>
      </c>
      <c r="BM109" s="13">
        <f t="shared" si="55"/>
        <v>449204.65</v>
      </c>
      <c r="BN109" s="13">
        <f t="shared" si="55"/>
        <v>824093.79999999993</v>
      </c>
      <c r="BO109" s="13">
        <f t="shared" ref="BO109:BZ109" si="56">BO107-BO108</f>
        <v>2453100.9499999997</v>
      </c>
      <c r="BP109" s="13">
        <f t="shared" si="56"/>
        <v>1525423.55</v>
      </c>
      <c r="BQ109" s="13">
        <f t="shared" si="56"/>
        <v>570193.85</v>
      </c>
      <c r="BR109" s="13">
        <f t="shared" si="56"/>
        <v>3511560.65</v>
      </c>
      <c r="BS109" s="13">
        <f t="shared" si="56"/>
        <v>1269483</v>
      </c>
      <c r="BT109" s="13">
        <f t="shared" si="56"/>
        <v>836991.45000000007</v>
      </c>
      <c r="BU109" s="13">
        <f t="shared" si="56"/>
        <v>277010.64999999997</v>
      </c>
      <c r="BV109" s="13">
        <f t="shared" si="56"/>
        <v>196828.2</v>
      </c>
      <c r="BW109" s="13">
        <f t="shared" si="56"/>
        <v>2893895</v>
      </c>
      <c r="BX109" s="13">
        <f t="shared" si="56"/>
        <v>286068.3</v>
      </c>
      <c r="BY109" s="13">
        <f t="shared" si="56"/>
        <v>685935.7</v>
      </c>
      <c r="BZ109" s="13">
        <f t="shared" si="56"/>
        <v>1997926.25</v>
      </c>
    </row>
    <row r="110" spans="1:80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</row>
    <row r="111" spans="1:80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</row>
    <row r="112" spans="1:80" s="41" customFormat="1" ht="15.75" x14ac:dyDescent="0.25">
      <c r="A112" s="20" t="s">
        <v>99</v>
      </c>
      <c r="B112" s="20" t="s">
        <v>93</v>
      </c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20"/>
      <c r="CB112" s="20"/>
    </row>
    <row r="113" spans="1:80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</row>
    <row r="114" spans="1:80" x14ac:dyDescent="0.2">
      <c r="A114" s="23" t="s">
        <v>157</v>
      </c>
      <c r="B114" s="25" t="s">
        <v>369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23"/>
      <c r="CB114" s="23"/>
    </row>
    <row r="115" spans="1:80" x14ac:dyDescent="0.2">
      <c r="B115" t="s">
        <v>4</v>
      </c>
      <c r="C115" s="3">
        <f t="shared" ref="C115:AH115" si="57">C21</f>
        <v>1405520382.9119864</v>
      </c>
      <c r="D115" s="3">
        <f t="shared" si="57"/>
        <v>208631644.46984756</v>
      </c>
      <c r="E115" s="3">
        <f t="shared" si="57"/>
        <v>21875077.81003467</v>
      </c>
      <c r="F115" s="3">
        <f t="shared" si="57"/>
        <v>3480550.5553599568</v>
      </c>
      <c r="G115" s="3">
        <f t="shared" si="57"/>
        <v>2877832.3219808368</v>
      </c>
      <c r="H115" s="3">
        <f t="shared" si="57"/>
        <v>18629755.772601642</v>
      </c>
      <c r="I115" s="3">
        <f t="shared" si="57"/>
        <v>26765491.227638207</v>
      </c>
      <c r="J115" s="3">
        <f t="shared" si="57"/>
        <v>9310290.1782599166</v>
      </c>
      <c r="K115" s="3">
        <f t="shared" si="57"/>
        <v>3704257.8397945119</v>
      </c>
      <c r="L115" s="3">
        <f t="shared" si="57"/>
        <v>5075580.8770061797</v>
      </c>
      <c r="M115" s="3">
        <f t="shared" si="57"/>
        <v>2903014.3246493344</v>
      </c>
      <c r="N115" s="3">
        <f t="shared" si="57"/>
        <v>7155068.6118988907</v>
      </c>
      <c r="O115" s="3">
        <f t="shared" si="57"/>
        <v>22576479.711924132</v>
      </c>
      <c r="P115" s="3">
        <f t="shared" si="57"/>
        <v>17677567.483963769</v>
      </c>
      <c r="Q115" s="3">
        <f t="shared" si="57"/>
        <v>20518747.625917699</v>
      </c>
      <c r="R115" s="3">
        <f t="shared" si="57"/>
        <v>6996649.589711464</v>
      </c>
      <c r="S115" s="3">
        <f t="shared" si="57"/>
        <v>11276782.504159991</v>
      </c>
      <c r="T115" s="3">
        <f t="shared" si="57"/>
        <v>22152611.090066019</v>
      </c>
      <c r="U115" s="3">
        <f t="shared" si="57"/>
        <v>12642655.565447945</v>
      </c>
      <c r="V115" s="3">
        <f t="shared" si="57"/>
        <v>20425648.4537526</v>
      </c>
      <c r="W115" s="3">
        <f t="shared" si="57"/>
        <v>18032823.770436998</v>
      </c>
      <c r="X115" s="3">
        <f t="shared" si="57"/>
        <v>27307231.705154829</v>
      </c>
      <c r="Y115" s="3">
        <f t="shared" si="57"/>
        <v>12071888.847559892</v>
      </c>
      <c r="Z115" s="3">
        <f t="shared" si="57"/>
        <v>5653662.7232514098</v>
      </c>
      <c r="AA115" s="3">
        <f t="shared" si="57"/>
        <v>29921711.672746655</v>
      </c>
      <c r="AB115" s="3">
        <f t="shared" si="57"/>
        <v>3617094.2042706329</v>
      </c>
      <c r="AC115" s="3">
        <f t="shared" si="57"/>
        <v>22010739.206409596</v>
      </c>
      <c r="AD115" s="3">
        <f t="shared" si="57"/>
        <v>5468197.1579240579</v>
      </c>
      <c r="AE115" s="3">
        <f t="shared" si="57"/>
        <v>15572057.650283678</v>
      </c>
      <c r="AF115" s="3">
        <f t="shared" si="57"/>
        <v>8428340.27961093</v>
      </c>
      <c r="AG115" s="3">
        <f t="shared" si="57"/>
        <v>17745644.503419604</v>
      </c>
      <c r="AH115" s="3">
        <f t="shared" si="57"/>
        <v>34794142.768680081</v>
      </c>
      <c r="AI115" s="3">
        <f t="shared" ref="AI115:BL115" si="58">AI21</f>
        <v>12046831.654687624</v>
      </c>
      <c r="AJ115" s="3">
        <f t="shared" si="58"/>
        <v>10925710.250654407</v>
      </c>
      <c r="AK115" s="3">
        <f t="shared" si="58"/>
        <v>15260056.176419901</v>
      </c>
      <c r="AL115" s="3">
        <f t="shared" si="58"/>
        <v>11552283.878766621</v>
      </c>
      <c r="AM115" s="3">
        <f t="shared" si="58"/>
        <v>19456198.515652746</v>
      </c>
      <c r="AN115" s="3">
        <f t="shared" si="58"/>
        <v>3051496.4404134471</v>
      </c>
      <c r="AO115" s="3">
        <f t="shared" si="58"/>
        <v>21339849.376375206</v>
      </c>
      <c r="AP115" s="3">
        <f t="shared" si="58"/>
        <v>10983316.874211717</v>
      </c>
      <c r="AQ115" s="3">
        <f t="shared" si="58"/>
        <v>14948017.964824928</v>
      </c>
      <c r="AR115" s="3">
        <f t="shared" si="58"/>
        <v>7883689.5028146254</v>
      </c>
      <c r="AS115" s="3">
        <f t="shared" si="58"/>
        <v>6408861.9819932263</v>
      </c>
      <c r="AT115" s="3">
        <f t="shared" si="58"/>
        <v>6045406.7415327765</v>
      </c>
      <c r="AU115" s="3">
        <f t="shared" si="58"/>
        <v>8249744.6486059288</v>
      </c>
      <c r="AV115" s="3">
        <f t="shared" si="58"/>
        <v>6587349.1876146961</v>
      </c>
      <c r="AW115" s="3">
        <f t="shared" si="58"/>
        <v>12186095.069651917</v>
      </c>
      <c r="AX115" s="3">
        <f t="shared" si="58"/>
        <v>17457049.438954845</v>
      </c>
      <c r="AY115" s="3">
        <f t="shared" si="58"/>
        <v>16397935.356761318</v>
      </c>
      <c r="AZ115" s="3">
        <f t="shared" si="58"/>
        <v>12563306.958089035</v>
      </c>
      <c r="BA115" s="3">
        <f t="shared" si="58"/>
        <v>126059030.63805842</v>
      </c>
      <c r="BB115" s="3">
        <f t="shared" si="58"/>
        <v>26098754.996693447</v>
      </c>
      <c r="BC115" s="3">
        <f t="shared" si="58"/>
        <v>6611280.2361016255</v>
      </c>
      <c r="BD115" s="3">
        <f t="shared" si="58"/>
        <v>8107227.4029145231</v>
      </c>
      <c r="BE115" s="3">
        <f t="shared" si="58"/>
        <v>9715681.7921797764</v>
      </c>
      <c r="BF115" s="3">
        <f t="shared" si="58"/>
        <v>18014330.423901469</v>
      </c>
      <c r="BG115" s="3">
        <f t="shared" si="58"/>
        <v>4833497.5614576405</v>
      </c>
      <c r="BH115" s="3">
        <f t="shared" ref="BH115" si="59">BH21</f>
        <v>11872662.106625291</v>
      </c>
      <c r="BI115" s="3">
        <f t="shared" si="58"/>
        <v>10799983.38247324</v>
      </c>
      <c r="BJ115" s="3">
        <f t="shared" si="58"/>
        <v>3285861.9145704759</v>
      </c>
      <c r="BK115" s="3">
        <f t="shared" si="58"/>
        <v>5732400.799128985</v>
      </c>
      <c r="BL115" s="3">
        <f t="shared" si="58"/>
        <v>20688207.345369369</v>
      </c>
      <c r="BM115" s="3">
        <f t="shared" ref="BM115:BZ115" si="60">BM21</f>
        <v>9832414.3630339596</v>
      </c>
      <c r="BN115" s="3">
        <f t="shared" si="60"/>
        <v>16555755.017770356</v>
      </c>
      <c r="BO115" s="3">
        <f t="shared" si="60"/>
        <v>31629128.028796792</v>
      </c>
      <c r="BP115" s="3">
        <f t="shared" si="60"/>
        <v>22871011.0733721</v>
      </c>
      <c r="BQ115" s="3">
        <f t="shared" si="60"/>
        <v>7284061.2668695776</v>
      </c>
      <c r="BR115" s="3">
        <f t="shared" si="60"/>
        <v>72779262.830733478</v>
      </c>
      <c r="BS115" s="3">
        <f t="shared" si="60"/>
        <v>19938353.337890252</v>
      </c>
      <c r="BT115" s="3">
        <f t="shared" si="60"/>
        <v>12421966.354974544</v>
      </c>
      <c r="BU115" s="3">
        <f t="shared" si="60"/>
        <v>3999226.4287437145</v>
      </c>
      <c r="BV115" s="3">
        <f t="shared" si="60"/>
        <v>8020819.1477274345</v>
      </c>
      <c r="BW115" s="3">
        <f t="shared" si="60"/>
        <v>46410569.812252238</v>
      </c>
      <c r="BX115" s="3">
        <f t="shared" si="60"/>
        <v>6400004.8926260602</v>
      </c>
      <c r="BY115" s="3">
        <f t="shared" si="60"/>
        <v>8369573.0808549272</v>
      </c>
      <c r="BZ115" s="3">
        <f t="shared" si="60"/>
        <v>28546878.155077804</v>
      </c>
    </row>
    <row r="116" spans="1:80" x14ac:dyDescent="0.2">
      <c r="B116" t="s">
        <v>0</v>
      </c>
      <c r="C116" s="3">
        <f t="shared" ref="C116:AH116" si="61">C26</f>
        <v>82404742.259999976</v>
      </c>
      <c r="D116" s="3">
        <f t="shared" si="61"/>
        <v>18101401.379999999</v>
      </c>
      <c r="E116" s="3">
        <f t="shared" si="61"/>
        <v>767236.25</v>
      </c>
      <c r="F116" s="3">
        <f t="shared" si="61"/>
        <v>127407.75</v>
      </c>
      <c r="G116" s="3">
        <f t="shared" si="61"/>
        <v>85527.25</v>
      </c>
      <c r="H116" s="3">
        <f t="shared" si="61"/>
        <v>137410.15000000002</v>
      </c>
      <c r="I116" s="3">
        <f t="shared" si="61"/>
        <v>1020377.4</v>
      </c>
      <c r="J116" s="3">
        <f t="shared" si="61"/>
        <v>711277.44999999984</v>
      </c>
      <c r="K116" s="3">
        <f t="shared" si="61"/>
        <v>46238.100000000013</v>
      </c>
      <c r="L116" s="3">
        <f t="shared" si="61"/>
        <v>83470.349999999991</v>
      </c>
      <c r="M116" s="3">
        <f t="shared" si="61"/>
        <v>39011.65</v>
      </c>
      <c r="N116" s="3">
        <f t="shared" si="61"/>
        <v>79478.599999999991</v>
      </c>
      <c r="O116" s="3">
        <f t="shared" si="61"/>
        <v>707596.89999999991</v>
      </c>
      <c r="P116" s="3">
        <f t="shared" si="61"/>
        <v>2748938.06</v>
      </c>
      <c r="Q116" s="3">
        <f t="shared" si="61"/>
        <v>1708297.45</v>
      </c>
      <c r="R116" s="3">
        <f t="shared" si="61"/>
        <v>561058.14999999991</v>
      </c>
      <c r="S116" s="3">
        <f t="shared" si="61"/>
        <v>2689973.5999999996</v>
      </c>
      <c r="T116" s="3">
        <f t="shared" si="61"/>
        <v>3503453.7</v>
      </c>
      <c r="U116" s="3">
        <f t="shared" si="61"/>
        <v>817117.3</v>
      </c>
      <c r="V116" s="3">
        <f t="shared" si="61"/>
        <v>2482173.6500000004</v>
      </c>
      <c r="W116" s="3">
        <f t="shared" si="61"/>
        <v>2533171.5</v>
      </c>
      <c r="X116" s="3">
        <f t="shared" si="61"/>
        <v>1837869.7799999998</v>
      </c>
      <c r="Y116" s="3">
        <f t="shared" si="61"/>
        <v>872536.83000000019</v>
      </c>
      <c r="Z116" s="3">
        <f t="shared" si="61"/>
        <v>249227.59999999998</v>
      </c>
      <c r="AA116" s="3">
        <f t="shared" si="61"/>
        <v>3207383.4499999997</v>
      </c>
      <c r="AB116" s="3">
        <f t="shared" si="61"/>
        <v>128456.43000000001</v>
      </c>
      <c r="AC116" s="3">
        <f t="shared" si="61"/>
        <v>2034643.1</v>
      </c>
      <c r="AD116" s="3">
        <f t="shared" si="61"/>
        <v>584092.44999999995</v>
      </c>
      <c r="AE116" s="3">
        <f t="shared" si="61"/>
        <v>3003049.15</v>
      </c>
      <c r="AF116" s="3">
        <f t="shared" si="61"/>
        <v>423308.05</v>
      </c>
      <c r="AG116" s="3">
        <f t="shared" si="61"/>
        <v>1533455.56</v>
      </c>
      <c r="AH116" s="3">
        <f t="shared" si="61"/>
        <v>3642949.76</v>
      </c>
      <c r="AI116" s="3">
        <f t="shared" ref="AI116:BL116" si="62">AI26</f>
        <v>1032907.75</v>
      </c>
      <c r="AJ116" s="3">
        <f t="shared" si="62"/>
        <v>858711.26</v>
      </c>
      <c r="AK116" s="3">
        <f t="shared" si="62"/>
        <v>954082.6399999999</v>
      </c>
      <c r="AL116" s="3">
        <f t="shared" si="62"/>
        <v>410221.3</v>
      </c>
      <c r="AM116" s="3">
        <f t="shared" si="62"/>
        <v>1328370.3</v>
      </c>
      <c r="AN116" s="3">
        <f t="shared" si="62"/>
        <v>268115</v>
      </c>
      <c r="AO116" s="3">
        <f t="shared" si="62"/>
        <v>680547.44000000006</v>
      </c>
      <c r="AP116" s="3">
        <f t="shared" si="62"/>
        <v>524782.04999999993</v>
      </c>
      <c r="AQ116" s="3">
        <f t="shared" si="62"/>
        <v>499313</v>
      </c>
      <c r="AR116" s="3">
        <f t="shared" si="62"/>
        <v>272480.78000000003</v>
      </c>
      <c r="AS116" s="3">
        <f t="shared" si="62"/>
        <v>48089.75</v>
      </c>
      <c r="AT116" s="3">
        <f t="shared" si="62"/>
        <v>69369.100000000006</v>
      </c>
      <c r="AU116" s="3">
        <f t="shared" si="62"/>
        <v>347260.95000000007</v>
      </c>
      <c r="AV116" s="3">
        <f t="shared" si="62"/>
        <v>191963.04999999996</v>
      </c>
      <c r="AW116" s="3">
        <f t="shared" si="62"/>
        <v>303881.40000000002</v>
      </c>
      <c r="AX116" s="3">
        <f t="shared" si="62"/>
        <v>306574.40000000002</v>
      </c>
      <c r="AY116" s="3">
        <f t="shared" si="62"/>
        <v>829568.57000000007</v>
      </c>
      <c r="AZ116" s="3">
        <f t="shared" si="62"/>
        <v>378719.4</v>
      </c>
      <c r="BA116" s="3">
        <f t="shared" si="62"/>
        <v>2653687.0000000005</v>
      </c>
      <c r="BB116" s="3">
        <f t="shared" si="62"/>
        <v>766305.25</v>
      </c>
      <c r="BC116" s="3">
        <f t="shared" si="62"/>
        <v>370030.05</v>
      </c>
      <c r="BD116" s="3">
        <f t="shared" si="62"/>
        <v>149946.15</v>
      </c>
      <c r="BE116" s="3">
        <f t="shared" si="62"/>
        <v>215437.99999999997</v>
      </c>
      <c r="BF116" s="3">
        <f t="shared" si="62"/>
        <v>648801.53999999992</v>
      </c>
      <c r="BG116" s="3">
        <f t="shared" si="62"/>
        <v>255738.34999999998</v>
      </c>
      <c r="BH116" s="3">
        <f t="shared" ref="BH116" si="63">BH26</f>
        <v>320958.19999999995</v>
      </c>
      <c r="BI116" s="3">
        <f t="shared" si="62"/>
        <v>397446.9</v>
      </c>
      <c r="BJ116" s="3">
        <f t="shared" si="62"/>
        <v>110451.09999999998</v>
      </c>
      <c r="BK116" s="3">
        <f t="shared" si="62"/>
        <v>89683.05</v>
      </c>
      <c r="BL116" s="3">
        <f t="shared" si="62"/>
        <v>1388443.6</v>
      </c>
      <c r="BM116" s="3">
        <f t="shared" ref="BM116:BZ116" si="64">BM26</f>
        <v>346903.00000000006</v>
      </c>
      <c r="BN116" s="3">
        <f t="shared" si="64"/>
        <v>458938.74999999994</v>
      </c>
      <c r="BO116" s="3">
        <f t="shared" si="64"/>
        <v>1717724.5000000002</v>
      </c>
      <c r="BP116" s="3">
        <f t="shared" si="64"/>
        <v>914625.14999999991</v>
      </c>
      <c r="BQ116" s="3">
        <f t="shared" si="64"/>
        <v>308856.55</v>
      </c>
      <c r="BR116" s="3">
        <f t="shared" si="64"/>
        <v>2679184.5499999998</v>
      </c>
      <c r="BS116" s="3">
        <f t="shared" si="64"/>
        <v>214690.63000000003</v>
      </c>
      <c r="BT116" s="3">
        <f t="shared" si="64"/>
        <v>299691</v>
      </c>
      <c r="BU116" s="3">
        <f t="shared" si="64"/>
        <v>86070.250000000015</v>
      </c>
      <c r="BV116" s="3">
        <f t="shared" si="64"/>
        <v>97875.599999999991</v>
      </c>
      <c r="BW116" s="3">
        <f t="shared" si="64"/>
        <v>1522157.2</v>
      </c>
      <c r="BX116" s="3">
        <f t="shared" si="64"/>
        <v>78972.150000000009</v>
      </c>
      <c r="BY116" s="3">
        <f t="shared" si="64"/>
        <v>192943.24999999997</v>
      </c>
      <c r="BZ116" s="3">
        <f t="shared" si="64"/>
        <v>346633.55</v>
      </c>
    </row>
    <row r="117" spans="1:80" x14ac:dyDescent="0.2">
      <c r="B117" t="s">
        <v>1</v>
      </c>
      <c r="C117" s="3">
        <f t="shared" ref="C117:AH117" si="65">C32</f>
        <v>190594876.85000008</v>
      </c>
      <c r="D117" s="3">
        <f t="shared" si="65"/>
        <v>45708507.649999999</v>
      </c>
      <c r="E117" s="3">
        <f t="shared" si="65"/>
        <v>1795703</v>
      </c>
      <c r="F117" s="3">
        <f t="shared" si="65"/>
        <v>86828.650000000009</v>
      </c>
      <c r="G117" s="3">
        <f t="shared" si="65"/>
        <v>82609.349999999991</v>
      </c>
      <c r="H117" s="3">
        <f t="shared" si="65"/>
        <v>924600</v>
      </c>
      <c r="I117" s="3">
        <f t="shared" si="65"/>
        <v>4422455.5999999996</v>
      </c>
      <c r="J117" s="3">
        <f t="shared" si="65"/>
        <v>763307</v>
      </c>
      <c r="K117" s="3">
        <f t="shared" si="65"/>
        <v>66756.100000000006</v>
      </c>
      <c r="L117" s="3">
        <f t="shared" si="65"/>
        <v>430444.05</v>
      </c>
      <c r="M117" s="3">
        <f t="shared" si="65"/>
        <v>66228.2</v>
      </c>
      <c r="N117" s="3">
        <f t="shared" si="65"/>
        <v>147480.25</v>
      </c>
      <c r="O117" s="3">
        <f t="shared" si="65"/>
        <v>1288945.2000000002</v>
      </c>
      <c r="P117" s="3">
        <f t="shared" si="65"/>
        <v>3545060.5</v>
      </c>
      <c r="Q117" s="3">
        <f t="shared" si="65"/>
        <v>2399979.8000000003</v>
      </c>
      <c r="R117" s="3">
        <f t="shared" si="65"/>
        <v>778454.5</v>
      </c>
      <c r="S117" s="3">
        <f t="shared" si="65"/>
        <v>2406206.2000000002</v>
      </c>
      <c r="T117" s="3">
        <f t="shared" si="65"/>
        <v>2985083.2</v>
      </c>
      <c r="U117" s="3">
        <f t="shared" si="65"/>
        <v>1325690.9999999998</v>
      </c>
      <c r="V117" s="3">
        <f t="shared" si="65"/>
        <v>5728371.5999999996</v>
      </c>
      <c r="W117" s="3">
        <f t="shared" si="65"/>
        <v>2517644.15</v>
      </c>
      <c r="X117" s="3">
        <f t="shared" si="65"/>
        <v>5858522.1000000006</v>
      </c>
      <c r="Y117" s="3">
        <f t="shared" si="65"/>
        <v>1412222.8</v>
      </c>
      <c r="Z117" s="3">
        <f t="shared" si="65"/>
        <v>306005.5</v>
      </c>
      <c r="AA117" s="3">
        <f t="shared" si="65"/>
        <v>4014922.0500000003</v>
      </c>
      <c r="AB117" s="3">
        <f t="shared" si="65"/>
        <v>33181.4</v>
      </c>
      <c r="AC117" s="3">
        <f t="shared" si="65"/>
        <v>2847339.4000000004</v>
      </c>
      <c r="AD117" s="3">
        <f t="shared" si="65"/>
        <v>868147.1</v>
      </c>
      <c r="AE117" s="3">
        <f t="shared" si="65"/>
        <v>5807603.9500000002</v>
      </c>
      <c r="AF117" s="3">
        <f t="shared" si="65"/>
        <v>506098.65</v>
      </c>
      <c r="AG117" s="3">
        <f t="shared" si="65"/>
        <v>1100910.05</v>
      </c>
      <c r="AH117" s="3">
        <f t="shared" si="65"/>
        <v>7974221.7999999998</v>
      </c>
      <c r="AI117" s="3">
        <f t="shared" ref="AI117:BL117" si="66">AI32</f>
        <v>636730.25</v>
      </c>
      <c r="AJ117" s="3">
        <f t="shared" si="66"/>
        <v>1005503.75</v>
      </c>
      <c r="AK117" s="3">
        <f t="shared" si="66"/>
        <v>1253760.2</v>
      </c>
      <c r="AL117" s="3">
        <f t="shared" si="66"/>
        <v>1442709.75</v>
      </c>
      <c r="AM117" s="3">
        <f t="shared" si="66"/>
        <v>1556863.9000000001</v>
      </c>
      <c r="AN117" s="3">
        <f t="shared" si="66"/>
        <v>80313.3</v>
      </c>
      <c r="AO117" s="3">
        <f t="shared" si="66"/>
        <v>1640412.95</v>
      </c>
      <c r="AP117" s="3">
        <f t="shared" si="66"/>
        <v>939211.14999999991</v>
      </c>
      <c r="AQ117" s="3">
        <f t="shared" si="66"/>
        <v>648944.75</v>
      </c>
      <c r="AR117" s="3">
        <f t="shared" si="66"/>
        <v>338453.45</v>
      </c>
      <c r="AS117" s="3">
        <f t="shared" si="66"/>
        <v>197012</v>
      </c>
      <c r="AT117" s="3">
        <f t="shared" si="66"/>
        <v>161160.9</v>
      </c>
      <c r="AU117" s="3">
        <f t="shared" si="66"/>
        <v>495070.39999999997</v>
      </c>
      <c r="AV117" s="3">
        <f t="shared" si="66"/>
        <v>513221.2</v>
      </c>
      <c r="AW117" s="3">
        <f t="shared" si="66"/>
        <v>581246</v>
      </c>
      <c r="AX117" s="3">
        <f t="shared" si="66"/>
        <v>548051.65</v>
      </c>
      <c r="AY117" s="3">
        <f t="shared" si="66"/>
        <v>2200690.2000000002</v>
      </c>
      <c r="AZ117" s="3">
        <f t="shared" si="66"/>
        <v>1534282.0499999998</v>
      </c>
      <c r="BA117" s="3">
        <f t="shared" si="66"/>
        <v>20749179.75</v>
      </c>
      <c r="BB117" s="3">
        <f t="shared" si="66"/>
        <v>1849153.95</v>
      </c>
      <c r="BC117" s="3">
        <f t="shared" si="66"/>
        <v>264721.8</v>
      </c>
      <c r="BD117" s="3">
        <f t="shared" si="66"/>
        <v>457127.5</v>
      </c>
      <c r="BE117" s="3">
        <f t="shared" si="66"/>
        <v>1323143</v>
      </c>
      <c r="BF117" s="3">
        <f t="shared" si="66"/>
        <v>2034404.55</v>
      </c>
      <c r="BG117" s="3">
        <f t="shared" si="66"/>
        <v>334689.75</v>
      </c>
      <c r="BH117" s="3">
        <f t="shared" ref="BH117" si="67">BH32</f>
        <v>349140.3</v>
      </c>
      <c r="BI117" s="3">
        <f t="shared" si="66"/>
        <v>1110749.55</v>
      </c>
      <c r="BJ117" s="3">
        <f t="shared" si="66"/>
        <v>112286.75</v>
      </c>
      <c r="BK117" s="3">
        <f t="shared" si="66"/>
        <v>322114.05000000005</v>
      </c>
      <c r="BL117" s="3">
        <f t="shared" si="66"/>
        <v>2065542.4000000001</v>
      </c>
      <c r="BM117" s="3">
        <f t="shared" ref="BM117:BZ117" si="68">BM32</f>
        <v>1104982.1000000001</v>
      </c>
      <c r="BN117" s="3">
        <f t="shared" si="68"/>
        <v>851475.04999999993</v>
      </c>
      <c r="BO117" s="3">
        <f t="shared" si="68"/>
        <v>3479278.1999999997</v>
      </c>
      <c r="BP117" s="3">
        <f t="shared" si="68"/>
        <v>2268867.6999999997</v>
      </c>
      <c r="BQ117" s="3">
        <f t="shared" si="68"/>
        <v>1731438.3</v>
      </c>
      <c r="BR117" s="3">
        <f t="shared" si="68"/>
        <v>14403687.299999999</v>
      </c>
      <c r="BS117" s="3">
        <f t="shared" si="68"/>
        <v>944612.85000000009</v>
      </c>
      <c r="BT117" s="3">
        <f t="shared" si="68"/>
        <v>2488664.1</v>
      </c>
      <c r="BU117" s="3">
        <f t="shared" si="68"/>
        <v>76748.099999999991</v>
      </c>
      <c r="BV117" s="3">
        <f t="shared" si="68"/>
        <v>244369.65</v>
      </c>
      <c r="BW117" s="3">
        <f t="shared" si="68"/>
        <v>6647637.8499999996</v>
      </c>
      <c r="BX117" s="3">
        <f t="shared" si="68"/>
        <v>256967.05</v>
      </c>
      <c r="BY117" s="3">
        <f t="shared" si="68"/>
        <v>615148.25</v>
      </c>
      <c r="BZ117" s="3">
        <f t="shared" si="68"/>
        <v>535578.35</v>
      </c>
    </row>
    <row r="118" spans="1:80" x14ac:dyDescent="0.2">
      <c r="B118" t="s">
        <v>84</v>
      </c>
      <c r="C118" s="3">
        <f t="shared" ref="C118:AH118" si="69">C43</f>
        <v>103333673.64999999</v>
      </c>
      <c r="D118" s="3">
        <f t="shared" si="69"/>
        <v>16371458.825314078</v>
      </c>
      <c r="E118" s="3">
        <f t="shared" si="69"/>
        <v>1572005.1630869312</v>
      </c>
      <c r="F118" s="3">
        <f t="shared" si="69"/>
        <v>255883.22622831704</v>
      </c>
      <c r="G118" s="3">
        <f t="shared" si="69"/>
        <v>208224.8058213451</v>
      </c>
      <c r="H118" s="3">
        <f t="shared" si="69"/>
        <v>955535.41060925764</v>
      </c>
      <c r="I118" s="3">
        <f t="shared" si="69"/>
        <v>1871247.6044534913</v>
      </c>
      <c r="J118" s="3">
        <f t="shared" si="69"/>
        <v>750178.11696676107</v>
      </c>
      <c r="K118" s="3">
        <f t="shared" si="69"/>
        <v>184354.90034273689</v>
      </c>
      <c r="L118" s="3">
        <f t="shared" si="69"/>
        <v>380110.02480093832</v>
      </c>
      <c r="M118" s="3">
        <f t="shared" si="69"/>
        <v>197845.43050971089</v>
      </c>
      <c r="N118" s="3">
        <f t="shared" si="69"/>
        <v>408048.14250446571</v>
      </c>
      <c r="O118" s="3">
        <f t="shared" si="69"/>
        <v>1450309.0859416514</v>
      </c>
      <c r="P118" s="3">
        <f t="shared" si="69"/>
        <v>1591603.3327862255</v>
      </c>
      <c r="Q118" s="3">
        <f t="shared" si="69"/>
        <v>1532902.3320377071</v>
      </c>
      <c r="R118" s="3">
        <f t="shared" si="69"/>
        <v>586881.72408322699</v>
      </c>
      <c r="S118" s="3">
        <f t="shared" si="69"/>
        <v>1225117.3140797499</v>
      </c>
      <c r="T118" s="3">
        <f t="shared" si="69"/>
        <v>1634126.0423549544</v>
      </c>
      <c r="U118" s="3">
        <f t="shared" si="69"/>
        <v>847296.83276369644</v>
      </c>
      <c r="V118" s="3">
        <f t="shared" si="69"/>
        <v>1142544.6293554425</v>
      </c>
      <c r="W118" s="3">
        <f t="shared" si="69"/>
        <v>1408151.862690358</v>
      </c>
      <c r="X118" s="3">
        <f t="shared" si="69"/>
        <v>2218367.0412430898</v>
      </c>
      <c r="Y118" s="3">
        <f t="shared" si="69"/>
        <v>803272.5107391167</v>
      </c>
      <c r="Z118" s="3">
        <f t="shared" si="69"/>
        <v>380709.36691359396</v>
      </c>
      <c r="AA118" s="3">
        <f t="shared" si="69"/>
        <v>2263880.3452891326</v>
      </c>
      <c r="AB118" s="3">
        <f t="shared" si="69"/>
        <v>280727.96832967241</v>
      </c>
      <c r="AC118" s="3">
        <f t="shared" si="69"/>
        <v>1800513.1573914902</v>
      </c>
      <c r="AD118" s="3">
        <f t="shared" si="69"/>
        <v>487854.54642322031</v>
      </c>
      <c r="AE118" s="3">
        <f t="shared" si="69"/>
        <v>1339923.1786213059</v>
      </c>
      <c r="AF118" s="3">
        <f t="shared" si="69"/>
        <v>622260.2362104815</v>
      </c>
      <c r="AG118" s="3">
        <f t="shared" si="69"/>
        <v>1261579.2054848657</v>
      </c>
      <c r="AH118" s="3">
        <f t="shared" si="69"/>
        <v>2596426.1552981241</v>
      </c>
      <c r="AI118" s="3">
        <f t="shared" ref="AI118:BL118" si="70">AI43</f>
        <v>897096.63811870245</v>
      </c>
      <c r="AJ118" s="3">
        <f t="shared" si="70"/>
        <v>922068.52152782201</v>
      </c>
      <c r="AK118" s="3">
        <f t="shared" si="70"/>
        <v>1119270.1515800997</v>
      </c>
      <c r="AL118" s="3">
        <f t="shared" si="70"/>
        <v>966099.77822089952</v>
      </c>
      <c r="AM118" s="3">
        <f t="shared" si="70"/>
        <v>1543138.4982958022</v>
      </c>
      <c r="AN118" s="3">
        <f t="shared" si="70"/>
        <v>377018.93093630683</v>
      </c>
      <c r="AO118" s="3">
        <f t="shared" si="70"/>
        <v>1807608.9922906552</v>
      </c>
      <c r="AP118" s="3">
        <f t="shared" si="70"/>
        <v>1119042.5353934772</v>
      </c>
      <c r="AQ118" s="3">
        <f t="shared" si="70"/>
        <v>1059701.1641463744</v>
      </c>
      <c r="AR118" s="3">
        <f t="shared" si="70"/>
        <v>870613.64277499076</v>
      </c>
      <c r="AS118" s="3">
        <f t="shared" si="70"/>
        <v>477597.4327851467</v>
      </c>
      <c r="AT118" s="3">
        <f t="shared" si="70"/>
        <v>383973.53829084954</v>
      </c>
      <c r="AU118" s="3">
        <f t="shared" si="70"/>
        <v>666476.33815281221</v>
      </c>
      <c r="AV118" s="3">
        <f t="shared" si="70"/>
        <v>520949.84560057102</v>
      </c>
      <c r="AW118" s="3">
        <f t="shared" si="70"/>
        <v>802311.28774844168</v>
      </c>
      <c r="AX118" s="3">
        <f t="shared" si="70"/>
        <v>1189833.5283722759</v>
      </c>
      <c r="AY118" s="3">
        <f t="shared" si="70"/>
        <v>1286438.8903937242</v>
      </c>
      <c r="AZ118" s="3">
        <f t="shared" si="70"/>
        <v>843728.62414812751</v>
      </c>
      <c r="BA118" s="3">
        <f t="shared" si="70"/>
        <v>7241642.6172987586</v>
      </c>
      <c r="BB118" s="3">
        <f t="shared" si="70"/>
        <v>1955729.2371253083</v>
      </c>
      <c r="BC118" s="3">
        <f t="shared" si="70"/>
        <v>755229.9496461628</v>
      </c>
      <c r="BD118" s="3">
        <f t="shared" si="70"/>
        <v>595919.46345483104</v>
      </c>
      <c r="BE118" s="3">
        <f t="shared" si="70"/>
        <v>826334.89598581998</v>
      </c>
      <c r="BF118" s="3">
        <f t="shared" si="70"/>
        <v>1433949.0106191481</v>
      </c>
      <c r="BG118" s="3">
        <f t="shared" si="70"/>
        <v>306148.14576727041</v>
      </c>
      <c r="BH118" s="3">
        <f t="shared" ref="BH118" si="71">BH43</f>
        <v>888540.4225698252</v>
      </c>
      <c r="BI118" s="3">
        <f t="shared" si="70"/>
        <v>830223.01392627938</v>
      </c>
      <c r="BJ118" s="3">
        <f t="shared" si="70"/>
        <v>246245.96460688309</v>
      </c>
      <c r="BK118" s="3">
        <f t="shared" si="70"/>
        <v>424760.69824042224</v>
      </c>
      <c r="BL118" s="3">
        <f t="shared" si="70"/>
        <v>1680440.3821031023</v>
      </c>
      <c r="BM118" s="3">
        <f t="shared" ref="BM118:BZ118" si="72">BM43</f>
        <v>883405.28359562729</v>
      </c>
      <c r="BN118" s="3">
        <f t="shared" si="72"/>
        <v>1083825.8893842392</v>
      </c>
      <c r="BO118" s="3">
        <f t="shared" si="72"/>
        <v>2375023.5607273621</v>
      </c>
      <c r="BP118" s="3">
        <f t="shared" si="72"/>
        <v>1574509.3443039313</v>
      </c>
      <c r="BQ118" s="3">
        <f t="shared" si="72"/>
        <v>600768.45595737221</v>
      </c>
      <c r="BR118" s="3">
        <f t="shared" si="72"/>
        <v>4844101.5895446334</v>
      </c>
      <c r="BS118" s="3">
        <f t="shared" si="72"/>
        <v>1104944.9572458374</v>
      </c>
      <c r="BT118" s="3">
        <f t="shared" si="72"/>
        <v>974802.99714125646</v>
      </c>
      <c r="BU118" s="3">
        <f t="shared" si="72"/>
        <v>274960.21619266446</v>
      </c>
      <c r="BV118" s="3">
        <f t="shared" si="72"/>
        <v>568310.73944138503</v>
      </c>
      <c r="BW118" s="3">
        <f t="shared" si="72"/>
        <v>3660008.8070298275</v>
      </c>
      <c r="BX118" s="3">
        <f t="shared" si="72"/>
        <v>378808.14199001587</v>
      </c>
      <c r="BY118" s="3">
        <f t="shared" si="72"/>
        <v>634359.95584817184</v>
      </c>
      <c r="BZ118" s="3">
        <f t="shared" si="72"/>
        <v>1708373.0528015983</v>
      </c>
    </row>
    <row r="119" spans="1:80" x14ac:dyDescent="0.2">
      <c r="B119" t="s">
        <v>85</v>
      </c>
      <c r="C119" s="3">
        <f t="shared" ref="C119:AH119" si="73">C48</f>
        <v>1630039.1099999996</v>
      </c>
      <c r="D119" s="3">
        <f t="shared" si="73"/>
        <v>339501.63</v>
      </c>
      <c r="E119" s="3">
        <f t="shared" si="73"/>
        <v>31977.08</v>
      </c>
      <c r="F119" s="3">
        <f t="shared" si="73"/>
        <v>3326.5</v>
      </c>
      <c r="G119" s="3">
        <f t="shared" si="73"/>
        <v>2921.6</v>
      </c>
      <c r="H119" s="3">
        <f t="shared" si="73"/>
        <v>10930.4</v>
      </c>
      <c r="I119" s="3">
        <f t="shared" si="73"/>
        <v>16285.84</v>
      </c>
      <c r="J119" s="3">
        <f t="shared" si="73"/>
        <v>14373.8</v>
      </c>
      <c r="K119" s="3">
        <f t="shared" si="73"/>
        <v>1878.3</v>
      </c>
      <c r="L119" s="3">
        <f t="shared" si="73"/>
        <v>0</v>
      </c>
      <c r="M119" s="3">
        <f t="shared" si="73"/>
        <v>2843.15</v>
      </c>
      <c r="N119" s="3">
        <f t="shared" si="73"/>
        <v>6184.3</v>
      </c>
      <c r="O119" s="3">
        <f t="shared" si="73"/>
        <v>17053.2</v>
      </c>
      <c r="P119" s="3">
        <f t="shared" si="73"/>
        <v>37120.6</v>
      </c>
      <c r="Q119" s="3">
        <f t="shared" si="73"/>
        <v>23900.5</v>
      </c>
      <c r="R119" s="3">
        <f t="shared" si="73"/>
        <v>12555.95</v>
      </c>
      <c r="S119" s="3">
        <f t="shared" si="73"/>
        <v>13203.52</v>
      </c>
      <c r="T119" s="3">
        <f t="shared" si="73"/>
        <v>29035.09</v>
      </c>
      <c r="U119" s="3">
        <f t="shared" si="73"/>
        <v>7458.6</v>
      </c>
      <c r="V119" s="3">
        <f t="shared" si="73"/>
        <v>11143.4</v>
      </c>
      <c r="W119" s="3">
        <f t="shared" si="73"/>
        <v>21788.44</v>
      </c>
      <c r="X119" s="3">
        <f t="shared" si="73"/>
        <v>20549.95</v>
      </c>
      <c r="Y119" s="3">
        <f t="shared" si="73"/>
        <v>7968.2</v>
      </c>
      <c r="Z119" s="3">
        <f t="shared" si="73"/>
        <v>3863.04</v>
      </c>
      <c r="AA119" s="3">
        <f t="shared" si="73"/>
        <v>42924.98</v>
      </c>
      <c r="AB119" s="3">
        <f t="shared" si="73"/>
        <v>2200</v>
      </c>
      <c r="AC119" s="3">
        <f t="shared" si="73"/>
        <v>25820.27</v>
      </c>
      <c r="AD119" s="3">
        <f t="shared" si="73"/>
        <v>4020.62</v>
      </c>
      <c r="AE119" s="3">
        <f t="shared" si="73"/>
        <v>27408.15</v>
      </c>
      <c r="AF119" s="3">
        <f t="shared" si="73"/>
        <v>7667.8</v>
      </c>
      <c r="AG119" s="3">
        <f t="shared" si="73"/>
        <v>44157.05</v>
      </c>
      <c r="AH119" s="3">
        <f t="shared" si="73"/>
        <v>33433</v>
      </c>
      <c r="AI119" s="3">
        <f t="shared" ref="AI119:BL119" si="74">AI48</f>
        <v>9619.2000000000007</v>
      </c>
      <c r="AJ119" s="3">
        <f t="shared" si="74"/>
        <v>11965.55</v>
      </c>
      <c r="AK119" s="3">
        <f t="shared" si="74"/>
        <v>12319.75</v>
      </c>
      <c r="AL119" s="3">
        <f t="shared" si="74"/>
        <v>9797.75</v>
      </c>
      <c r="AM119" s="3">
        <f t="shared" si="74"/>
        <v>11665.5</v>
      </c>
      <c r="AN119" s="3">
        <f t="shared" si="74"/>
        <v>25600.94</v>
      </c>
      <c r="AO119" s="3">
        <f t="shared" si="74"/>
        <v>27212.95</v>
      </c>
      <c r="AP119" s="3">
        <f t="shared" si="74"/>
        <v>11985.38</v>
      </c>
      <c r="AQ119" s="3">
        <f t="shared" si="74"/>
        <v>11991.8</v>
      </c>
      <c r="AR119" s="3">
        <f t="shared" si="74"/>
        <v>184.2</v>
      </c>
      <c r="AS119" s="3">
        <f t="shared" si="74"/>
        <v>5690.15</v>
      </c>
      <c r="AT119" s="3">
        <f t="shared" si="74"/>
        <v>6231</v>
      </c>
      <c r="AU119" s="3">
        <f t="shared" si="74"/>
        <v>6864.64</v>
      </c>
      <c r="AV119" s="3">
        <f t="shared" si="74"/>
        <v>6029</v>
      </c>
      <c r="AW119" s="3">
        <f t="shared" si="74"/>
        <v>8935.25</v>
      </c>
      <c r="AX119" s="3">
        <f t="shared" si="74"/>
        <v>11471</v>
      </c>
      <c r="AY119" s="3">
        <f t="shared" si="74"/>
        <v>25841.94</v>
      </c>
      <c r="AZ119" s="3">
        <f t="shared" si="74"/>
        <v>13783.6</v>
      </c>
      <c r="BA119" s="3">
        <f t="shared" si="74"/>
        <v>105516.6</v>
      </c>
      <c r="BB119" s="3">
        <f t="shared" si="74"/>
        <v>22402.69</v>
      </c>
      <c r="BC119" s="3">
        <f t="shared" si="74"/>
        <v>8108.2</v>
      </c>
      <c r="BD119" s="3">
        <f t="shared" si="74"/>
        <v>19866.849999999999</v>
      </c>
      <c r="BE119" s="3">
        <f t="shared" si="74"/>
        <v>14631.22</v>
      </c>
      <c r="BF119" s="3">
        <f t="shared" si="74"/>
        <v>30194.25</v>
      </c>
      <c r="BG119" s="3">
        <f t="shared" si="74"/>
        <v>4183.55</v>
      </c>
      <c r="BH119" s="3">
        <f t="shared" ref="BH119" si="75">BH48</f>
        <v>22689.599999999999</v>
      </c>
      <c r="BI119" s="3">
        <f t="shared" si="74"/>
        <v>17348.7</v>
      </c>
      <c r="BJ119" s="3">
        <f t="shared" si="74"/>
        <v>919.57</v>
      </c>
      <c r="BK119" s="3">
        <f t="shared" si="74"/>
        <v>10660.26</v>
      </c>
      <c r="BL119" s="3">
        <f t="shared" si="74"/>
        <v>30294.95</v>
      </c>
      <c r="BM119" s="3">
        <f t="shared" ref="BM119:BZ119" si="76">BM48</f>
        <v>8419</v>
      </c>
      <c r="BN119" s="3">
        <f t="shared" si="76"/>
        <v>15453.7</v>
      </c>
      <c r="BO119" s="3">
        <f t="shared" si="76"/>
        <v>32753.200000000001</v>
      </c>
      <c r="BP119" s="3">
        <f t="shared" si="76"/>
        <v>27197.45</v>
      </c>
      <c r="BQ119" s="3">
        <f t="shared" si="76"/>
        <v>12695.25</v>
      </c>
      <c r="BR119" s="3">
        <f t="shared" si="76"/>
        <v>102501.85</v>
      </c>
      <c r="BS119" s="3">
        <f t="shared" si="76"/>
        <v>8751.25</v>
      </c>
      <c r="BT119" s="3">
        <f t="shared" si="76"/>
        <v>10761.95</v>
      </c>
      <c r="BU119" s="3">
        <f t="shared" si="76"/>
        <v>1268.4000000000001</v>
      </c>
      <c r="BV119" s="3">
        <f t="shared" si="76"/>
        <v>8016.65</v>
      </c>
      <c r="BW119" s="3">
        <f t="shared" si="76"/>
        <v>32040</v>
      </c>
      <c r="BX119" s="3">
        <f t="shared" si="76"/>
        <v>5595.2</v>
      </c>
      <c r="BY119" s="3">
        <f t="shared" si="76"/>
        <v>12916.96</v>
      </c>
      <c r="BZ119" s="3">
        <f t="shared" si="76"/>
        <v>24167.25</v>
      </c>
    </row>
    <row r="120" spans="1:80" x14ac:dyDescent="0.2">
      <c r="B120" t="s">
        <v>2</v>
      </c>
      <c r="C120" s="3">
        <f t="shared" ref="C120:AH120" si="77">C53</f>
        <v>59811725.519999988</v>
      </c>
      <c r="D120" s="3">
        <f t="shared" si="77"/>
        <v>10387286.300000001</v>
      </c>
      <c r="E120" s="3">
        <f t="shared" si="77"/>
        <v>912441.64</v>
      </c>
      <c r="F120" s="3">
        <f t="shared" si="77"/>
        <v>185351.85</v>
      </c>
      <c r="G120" s="3">
        <f t="shared" si="77"/>
        <v>86210.44</v>
      </c>
      <c r="H120" s="3">
        <f t="shared" si="77"/>
        <v>600536.94999999995</v>
      </c>
      <c r="I120" s="3">
        <f t="shared" si="77"/>
        <v>930406</v>
      </c>
      <c r="J120" s="3">
        <f t="shared" si="77"/>
        <v>234393</v>
      </c>
      <c r="K120" s="3">
        <f t="shared" si="77"/>
        <v>29776</v>
      </c>
      <c r="L120" s="3">
        <f t="shared" si="77"/>
        <v>60475</v>
      </c>
      <c r="M120" s="3">
        <f t="shared" si="77"/>
        <v>78724.75</v>
      </c>
      <c r="N120" s="3">
        <f t="shared" si="77"/>
        <v>341357.5</v>
      </c>
      <c r="O120" s="3">
        <f t="shared" si="77"/>
        <v>1437093.72</v>
      </c>
      <c r="P120" s="3">
        <f t="shared" si="77"/>
        <v>1368530.86</v>
      </c>
      <c r="Q120" s="3">
        <f t="shared" si="77"/>
        <v>1308723.3999999999</v>
      </c>
      <c r="R120" s="3">
        <f t="shared" si="77"/>
        <v>208071.5</v>
      </c>
      <c r="S120" s="3">
        <f t="shared" si="77"/>
        <v>1126899.76</v>
      </c>
      <c r="T120" s="3">
        <f t="shared" si="77"/>
        <v>862486.84</v>
      </c>
      <c r="U120" s="3">
        <f t="shared" si="77"/>
        <v>535210.23999999999</v>
      </c>
      <c r="V120" s="3">
        <f t="shared" si="77"/>
        <v>533677.94999999995</v>
      </c>
      <c r="W120" s="3">
        <f t="shared" si="77"/>
        <v>398843.6</v>
      </c>
      <c r="X120" s="3">
        <f t="shared" si="77"/>
        <v>968996.8</v>
      </c>
      <c r="Y120" s="3">
        <f t="shared" si="77"/>
        <v>468125.79</v>
      </c>
      <c r="Z120" s="3">
        <f t="shared" si="77"/>
        <v>166423.67000000001</v>
      </c>
      <c r="AA120" s="3">
        <f t="shared" si="77"/>
        <v>1265992.3799999999</v>
      </c>
      <c r="AB120" s="3">
        <f t="shared" si="77"/>
        <v>161970</v>
      </c>
      <c r="AC120" s="3">
        <f t="shared" si="77"/>
        <v>497524.99</v>
      </c>
      <c r="AD120" s="3">
        <f t="shared" si="77"/>
        <v>325591.33</v>
      </c>
      <c r="AE120" s="3">
        <f t="shared" si="77"/>
        <v>865209.3</v>
      </c>
      <c r="AF120" s="3">
        <f t="shared" si="77"/>
        <v>367587.8</v>
      </c>
      <c r="AG120" s="3">
        <f t="shared" si="77"/>
        <v>597556.44999999995</v>
      </c>
      <c r="AH120" s="3">
        <f t="shared" si="77"/>
        <v>1624695</v>
      </c>
      <c r="AI120" s="3">
        <f t="shared" ref="AI120:BL120" si="78">AI53</f>
        <v>284900.7</v>
      </c>
      <c r="AJ120" s="3">
        <f t="shared" si="78"/>
        <v>824728.9</v>
      </c>
      <c r="AK120" s="3">
        <f t="shared" si="78"/>
        <v>740033.5</v>
      </c>
      <c r="AL120" s="3">
        <f t="shared" si="78"/>
        <v>399609</v>
      </c>
      <c r="AM120" s="3">
        <f t="shared" si="78"/>
        <v>1042034.75</v>
      </c>
      <c r="AN120" s="3">
        <f t="shared" si="78"/>
        <v>121047.9</v>
      </c>
      <c r="AO120" s="3">
        <f t="shared" si="78"/>
        <v>1493596.95</v>
      </c>
      <c r="AP120" s="3">
        <f t="shared" si="78"/>
        <v>831892.61</v>
      </c>
      <c r="AQ120" s="3">
        <f t="shared" si="78"/>
        <v>327902.03000000003</v>
      </c>
      <c r="AR120" s="3">
        <f t="shared" si="78"/>
        <v>447439.4</v>
      </c>
      <c r="AS120" s="3">
        <f t="shared" si="78"/>
        <v>270893.84999999998</v>
      </c>
      <c r="AT120" s="3">
        <f t="shared" si="78"/>
        <v>152915</v>
      </c>
      <c r="AU120" s="3">
        <f t="shared" si="78"/>
        <v>553171.19999999995</v>
      </c>
      <c r="AV120" s="3">
        <f t="shared" si="78"/>
        <v>367129.1</v>
      </c>
      <c r="AW120" s="3">
        <f t="shared" si="78"/>
        <v>304323.8</v>
      </c>
      <c r="AX120" s="3">
        <f t="shared" si="78"/>
        <v>761999.5</v>
      </c>
      <c r="AY120" s="3">
        <f t="shared" si="78"/>
        <v>425033.39</v>
      </c>
      <c r="AZ120" s="3">
        <f t="shared" si="78"/>
        <v>136149.95000000001</v>
      </c>
      <c r="BA120" s="3">
        <f t="shared" si="78"/>
        <v>3326250.72</v>
      </c>
      <c r="BB120" s="3">
        <f t="shared" si="78"/>
        <v>1308917.49</v>
      </c>
      <c r="BC120" s="3">
        <f t="shared" si="78"/>
        <v>291165.40000000002</v>
      </c>
      <c r="BD120" s="3">
        <f t="shared" si="78"/>
        <v>270517.48</v>
      </c>
      <c r="BE120" s="3">
        <f t="shared" si="78"/>
        <v>571905.85</v>
      </c>
      <c r="BF120" s="3">
        <f t="shared" si="78"/>
        <v>1153720.8899999999</v>
      </c>
      <c r="BG120" s="3">
        <f t="shared" si="78"/>
        <v>220128.65</v>
      </c>
      <c r="BH120" s="3">
        <f t="shared" ref="BH120" si="79">BH53</f>
        <v>433491.3</v>
      </c>
      <c r="BI120" s="3">
        <f t="shared" si="78"/>
        <v>701451.25</v>
      </c>
      <c r="BJ120" s="3">
        <f t="shared" si="78"/>
        <v>193302.71</v>
      </c>
      <c r="BK120" s="3">
        <f t="shared" si="78"/>
        <v>204503.55</v>
      </c>
      <c r="BL120" s="3">
        <f t="shared" si="78"/>
        <v>1398569.25</v>
      </c>
      <c r="BM120" s="3">
        <f t="shared" ref="BM120:BZ120" si="80">BM53</f>
        <v>319742</v>
      </c>
      <c r="BN120" s="3">
        <f t="shared" si="80"/>
        <v>745478.55</v>
      </c>
      <c r="BO120" s="3">
        <f t="shared" si="80"/>
        <v>1577461.65</v>
      </c>
      <c r="BP120" s="3">
        <f t="shared" si="80"/>
        <v>496148</v>
      </c>
      <c r="BQ120" s="3">
        <f t="shared" si="80"/>
        <v>252982.75</v>
      </c>
      <c r="BR120" s="3">
        <f t="shared" si="80"/>
        <v>2834887.38</v>
      </c>
      <c r="BS120" s="3">
        <f t="shared" si="80"/>
        <v>671883.3</v>
      </c>
      <c r="BT120" s="3">
        <f t="shared" si="80"/>
        <v>718516.3</v>
      </c>
      <c r="BU120" s="3">
        <f t="shared" si="80"/>
        <v>113448.67</v>
      </c>
      <c r="BV120" s="3">
        <f t="shared" si="80"/>
        <v>442705.15</v>
      </c>
      <c r="BW120" s="3">
        <f t="shared" si="80"/>
        <v>1926176</v>
      </c>
      <c r="BX120" s="3">
        <f t="shared" si="80"/>
        <v>133294.62</v>
      </c>
      <c r="BY120" s="3">
        <f t="shared" si="80"/>
        <v>198180.18</v>
      </c>
      <c r="BZ120" s="3">
        <f t="shared" si="80"/>
        <v>885924.09</v>
      </c>
    </row>
    <row r="121" spans="1:80" x14ac:dyDescent="0.2">
      <c r="B121" t="s">
        <v>3</v>
      </c>
      <c r="C121" s="3">
        <f t="shared" ref="C121:AH121" si="81">C58</f>
        <v>93024769.550000012</v>
      </c>
      <c r="D121" s="3">
        <f t="shared" si="81"/>
        <v>14503610.399999999</v>
      </c>
      <c r="E121" s="3">
        <f t="shared" si="81"/>
        <v>2194433.9500000002</v>
      </c>
      <c r="F121" s="3">
        <f t="shared" si="81"/>
        <v>206255.85</v>
      </c>
      <c r="G121" s="3">
        <f t="shared" si="81"/>
        <v>304943.7</v>
      </c>
      <c r="H121" s="3">
        <f t="shared" si="81"/>
        <v>1345683.65</v>
      </c>
      <c r="I121" s="3">
        <f t="shared" si="81"/>
        <v>1325563.3499999999</v>
      </c>
      <c r="J121" s="3">
        <f t="shared" si="81"/>
        <v>378256.45</v>
      </c>
      <c r="K121" s="3">
        <f t="shared" si="81"/>
        <v>118967.6</v>
      </c>
      <c r="L121" s="3">
        <f t="shared" si="81"/>
        <v>288846</v>
      </c>
      <c r="M121" s="3">
        <f t="shared" si="81"/>
        <v>132500.4</v>
      </c>
      <c r="N121" s="3">
        <f t="shared" si="81"/>
        <v>680006.7</v>
      </c>
      <c r="O121" s="3">
        <f t="shared" si="81"/>
        <v>974316</v>
      </c>
      <c r="P121" s="3">
        <f t="shared" si="81"/>
        <v>566976.05000000005</v>
      </c>
      <c r="Q121" s="3">
        <f t="shared" si="81"/>
        <v>1346155.4</v>
      </c>
      <c r="R121" s="3">
        <f t="shared" si="81"/>
        <v>512265.5</v>
      </c>
      <c r="S121" s="3">
        <f t="shared" si="81"/>
        <v>1549913.1500000001</v>
      </c>
      <c r="T121" s="3">
        <f t="shared" si="81"/>
        <v>962812.29999999993</v>
      </c>
      <c r="U121" s="3">
        <f t="shared" si="81"/>
        <v>1081516.8500000001</v>
      </c>
      <c r="V121" s="3">
        <f t="shared" si="81"/>
        <v>1171297.6500000001</v>
      </c>
      <c r="W121" s="3">
        <f t="shared" si="81"/>
        <v>854594.35</v>
      </c>
      <c r="X121" s="3">
        <f t="shared" si="81"/>
        <v>1749454.4000000001</v>
      </c>
      <c r="Y121" s="3">
        <f t="shared" si="81"/>
        <v>334132.25</v>
      </c>
      <c r="Z121" s="3">
        <f t="shared" si="81"/>
        <v>392686.10000000003</v>
      </c>
      <c r="AA121" s="3">
        <f t="shared" si="81"/>
        <v>1854597.8</v>
      </c>
      <c r="AB121" s="3">
        <f t="shared" si="81"/>
        <v>329099.60000000003</v>
      </c>
      <c r="AC121" s="3">
        <f t="shared" si="81"/>
        <v>1775125.8499999999</v>
      </c>
      <c r="AD121" s="3">
        <f t="shared" si="81"/>
        <v>1039949.5</v>
      </c>
      <c r="AE121" s="3">
        <f t="shared" si="81"/>
        <v>807319.75</v>
      </c>
      <c r="AF121" s="3">
        <f t="shared" si="81"/>
        <v>756692.7</v>
      </c>
      <c r="AG121" s="3">
        <f t="shared" si="81"/>
        <v>1302260.05</v>
      </c>
      <c r="AH121" s="3">
        <f t="shared" si="81"/>
        <v>1460644.25</v>
      </c>
      <c r="AI121" s="3">
        <f t="shared" ref="AI121:BL121" si="82">AI58</f>
        <v>520668.05</v>
      </c>
      <c r="AJ121" s="3">
        <f t="shared" si="82"/>
        <v>715502</v>
      </c>
      <c r="AK121" s="3">
        <f t="shared" si="82"/>
        <v>1335619.25</v>
      </c>
      <c r="AL121" s="3">
        <f t="shared" si="82"/>
        <v>893270.7</v>
      </c>
      <c r="AM121" s="3">
        <f t="shared" si="82"/>
        <v>2160312.5499999998</v>
      </c>
      <c r="AN121" s="3">
        <f t="shared" si="82"/>
        <v>48691.9</v>
      </c>
      <c r="AO121" s="3">
        <f t="shared" si="82"/>
        <v>1190567.4000000001</v>
      </c>
      <c r="AP121" s="3">
        <f t="shared" si="82"/>
        <v>1167514.8500000001</v>
      </c>
      <c r="AQ121" s="3">
        <f t="shared" si="82"/>
        <v>747359.55</v>
      </c>
      <c r="AR121" s="3">
        <f t="shared" si="82"/>
        <v>588765.5</v>
      </c>
      <c r="AS121" s="3">
        <f t="shared" si="82"/>
        <v>568929.44999999995</v>
      </c>
      <c r="AT121" s="3">
        <f t="shared" si="82"/>
        <v>310362.25</v>
      </c>
      <c r="AU121" s="3">
        <f t="shared" si="82"/>
        <v>616128.25</v>
      </c>
      <c r="AV121" s="3">
        <f t="shared" si="82"/>
        <v>634761.55000000005</v>
      </c>
      <c r="AW121" s="3">
        <f t="shared" si="82"/>
        <v>513879.6</v>
      </c>
      <c r="AX121" s="3">
        <f t="shared" si="82"/>
        <v>1195155.25</v>
      </c>
      <c r="AY121" s="3">
        <f t="shared" si="82"/>
        <v>635043.75</v>
      </c>
      <c r="AZ121" s="3">
        <f t="shared" si="82"/>
        <v>414650.8</v>
      </c>
      <c r="BA121" s="3">
        <f t="shared" si="82"/>
        <v>9785077.75</v>
      </c>
      <c r="BB121" s="3">
        <f t="shared" si="82"/>
        <v>1858938.25</v>
      </c>
      <c r="BC121" s="3">
        <f t="shared" si="82"/>
        <v>751230.15</v>
      </c>
      <c r="BD121" s="3">
        <f t="shared" si="82"/>
        <v>586251.4</v>
      </c>
      <c r="BE121" s="3">
        <f t="shared" si="82"/>
        <v>840513.3</v>
      </c>
      <c r="BF121" s="3">
        <f t="shared" si="82"/>
        <v>1345992.8</v>
      </c>
      <c r="BG121" s="3">
        <f t="shared" si="82"/>
        <v>627200.4</v>
      </c>
      <c r="BH121" s="3">
        <f t="shared" ref="BH121" si="83">BH58</f>
        <v>579346.69999999995</v>
      </c>
      <c r="BI121" s="3">
        <f t="shared" si="82"/>
        <v>1135100.05</v>
      </c>
      <c r="BJ121" s="3">
        <f t="shared" si="82"/>
        <v>182903.80000000002</v>
      </c>
      <c r="BK121" s="3">
        <f t="shared" si="82"/>
        <v>459966.55000000005</v>
      </c>
      <c r="BL121" s="3">
        <f t="shared" si="82"/>
        <v>1389198.55</v>
      </c>
      <c r="BM121" s="3">
        <f t="shared" ref="BM121:BZ121" si="84">BM58</f>
        <v>550873.05000000005</v>
      </c>
      <c r="BN121" s="3">
        <f t="shared" si="84"/>
        <v>1252610.55</v>
      </c>
      <c r="BO121" s="3">
        <f t="shared" si="84"/>
        <v>1794911.8</v>
      </c>
      <c r="BP121" s="3">
        <f t="shared" si="84"/>
        <v>1306155.05</v>
      </c>
      <c r="BQ121" s="3">
        <f t="shared" si="84"/>
        <v>244665.4</v>
      </c>
      <c r="BR121" s="3">
        <f t="shared" si="84"/>
        <v>3419966.9</v>
      </c>
      <c r="BS121" s="3">
        <f t="shared" si="84"/>
        <v>1289045</v>
      </c>
      <c r="BT121" s="3">
        <f t="shared" si="84"/>
        <v>1428331.65</v>
      </c>
      <c r="BU121" s="3">
        <f t="shared" si="84"/>
        <v>122269.65</v>
      </c>
      <c r="BV121" s="3">
        <f t="shared" si="84"/>
        <v>511257.14999999997</v>
      </c>
      <c r="BW121" s="3">
        <f t="shared" si="84"/>
        <v>3048473.45</v>
      </c>
      <c r="BX121" s="3">
        <f t="shared" si="84"/>
        <v>199602</v>
      </c>
      <c r="BY121" s="3">
        <f t="shared" si="84"/>
        <v>608478.9</v>
      </c>
      <c r="BZ121" s="3">
        <f t="shared" si="84"/>
        <v>1148349.0999999999</v>
      </c>
    </row>
    <row r="122" spans="1:80" x14ac:dyDescent="0.2">
      <c r="B122" t="s">
        <v>79</v>
      </c>
      <c r="C122" s="3">
        <f>SUM(C115:C121)</f>
        <v>1936320209.8519864</v>
      </c>
      <c r="D122" s="3">
        <f t="shared" ref="D122:BM122" si="85">SUM(D115:D121)</f>
        <v>314043410.65516162</v>
      </c>
      <c r="E122" s="3">
        <f t="shared" si="85"/>
        <v>29148874.8931216</v>
      </c>
      <c r="F122" s="3">
        <f t="shared" si="85"/>
        <v>4345604.3815882737</v>
      </c>
      <c r="G122" s="3">
        <f t="shared" si="85"/>
        <v>3648269.4678021823</v>
      </c>
      <c r="H122" s="3">
        <f t="shared" si="85"/>
        <v>22604452.333210893</v>
      </c>
      <c r="I122" s="3">
        <f t="shared" si="85"/>
        <v>36351827.022091702</v>
      </c>
      <c r="J122" s="3">
        <f t="shared" si="85"/>
        <v>12162075.995226678</v>
      </c>
      <c r="K122" s="3">
        <f t="shared" si="85"/>
        <v>4152228.8401372489</v>
      </c>
      <c r="L122" s="3">
        <f t="shared" si="85"/>
        <v>6318926.3018071176</v>
      </c>
      <c r="M122" s="3">
        <f t="shared" si="85"/>
        <v>3420167.905159045</v>
      </c>
      <c r="N122" s="3">
        <f t="shared" si="85"/>
        <v>8817624.1044033561</v>
      </c>
      <c r="O122" s="3">
        <f t="shared" si="85"/>
        <v>28451793.817865778</v>
      </c>
      <c r="P122" s="3">
        <f t="shared" si="85"/>
        <v>27535796.886749994</v>
      </c>
      <c r="Q122" s="3">
        <f t="shared" si="85"/>
        <v>28838706.507955402</v>
      </c>
      <c r="R122" s="3">
        <f t="shared" si="85"/>
        <v>9655936.9137946889</v>
      </c>
      <c r="S122" s="3">
        <f t="shared" si="85"/>
        <v>20288096.048239741</v>
      </c>
      <c r="T122" s="3">
        <f t="shared" si="85"/>
        <v>32129608.262420971</v>
      </c>
      <c r="U122" s="3">
        <f t="shared" si="85"/>
        <v>17256946.388211641</v>
      </c>
      <c r="V122" s="3">
        <f t="shared" si="85"/>
        <v>31494857.333108038</v>
      </c>
      <c r="W122" s="3">
        <f t="shared" si="85"/>
        <v>25767017.673127361</v>
      </c>
      <c r="X122" s="3">
        <f t="shared" si="85"/>
        <v>39960991.776397921</v>
      </c>
      <c r="Y122" s="3">
        <f t="shared" si="85"/>
        <v>15970147.228299007</v>
      </c>
      <c r="Z122" s="3">
        <f t="shared" si="85"/>
        <v>7152578.0001650034</v>
      </c>
      <c r="AA122" s="3">
        <f t="shared" si="85"/>
        <v>42571412.678035781</v>
      </c>
      <c r="AB122" s="3">
        <f t="shared" si="85"/>
        <v>4552729.6026003044</v>
      </c>
      <c r="AC122" s="3">
        <f t="shared" si="85"/>
        <v>30991705.973801084</v>
      </c>
      <c r="AD122" s="3">
        <f t="shared" si="85"/>
        <v>8777852.7043472789</v>
      </c>
      <c r="AE122" s="3">
        <f t="shared" si="85"/>
        <v>27422571.128904983</v>
      </c>
      <c r="AF122" s="3">
        <f t="shared" si="85"/>
        <v>11111955.515821414</v>
      </c>
      <c r="AG122" s="3">
        <f t="shared" si="85"/>
        <v>23585562.868904471</v>
      </c>
      <c r="AH122" s="3">
        <f t="shared" si="85"/>
        <v>52126512.733978197</v>
      </c>
      <c r="AI122" s="3">
        <f t="shared" si="85"/>
        <v>15428754.242806327</v>
      </c>
      <c r="AJ122" s="3">
        <f t="shared" si="85"/>
        <v>15264190.232182229</v>
      </c>
      <c r="AK122" s="3">
        <f t="shared" si="85"/>
        <v>20675141.668000001</v>
      </c>
      <c r="AL122" s="3">
        <f t="shared" si="85"/>
        <v>15673992.15698752</v>
      </c>
      <c r="AM122" s="3">
        <f t="shared" si="85"/>
        <v>27098584.013948549</v>
      </c>
      <c r="AN122" s="3">
        <f t="shared" si="85"/>
        <v>3972284.4113497534</v>
      </c>
      <c r="AO122" s="3">
        <f t="shared" si="85"/>
        <v>28179796.058665857</v>
      </c>
      <c r="AP122" s="3">
        <f t="shared" si="85"/>
        <v>15577745.449605195</v>
      </c>
      <c r="AQ122" s="3">
        <f t="shared" si="85"/>
        <v>18243230.258971304</v>
      </c>
      <c r="AR122" s="3">
        <f t="shared" si="85"/>
        <v>10401626.475589616</v>
      </c>
      <c r="AS122" s="3">
        <f t="shared" si="85"/>
        <v>7977074.6147783734</v>
      </c>
      <c r="AT122" s="3">
        <f t="shared" si="85"/>
        <v>7129418.5298236264</v>
      </c>
      <c r="AU122" s="3">
        <f t="shared" si="85"/>
        <v>10934716.426758742</v>
      </c>
      <c r="AV122" s="3">
        <f t="shared" si="85"/>
        <v>8821402.933215268</v>
      </c>
      <c r="AW122" s="3">
        <f t="shared" si="85"/>
        <v>14700672.407400358</v>
      </c>
      <c r="AX122" s="3">
        <f t="shared" si="85"/>
        <v>21470134.767327119</v>
      </c>
      <c r="AY122" s="3">
        <f t="shared" si="85"/>
        <v>21800552.097155042</v>
      </c>
      <c r="AZ122" s="3">
        <f t="shared" si="85"/>
        <v>15884621.382237161</v>
      </c>
      <c r="BA122" s="3">
        <f t="shared" si="85"/>
        <v>169920385.07535717</v>
      </c>
      <c r="BB122" s="3">
        <f t="shared" si="85"/>
        <v>33860201.86381875</v>
      </c>
      <c r="BC122" s="3">
        <f t="shared" si="85"/>
        <v>9051765.7857477888</v>
      </c>
      <c r="BD122" s="3">
        <f t="shared" si="85"/>
        <v>10186856.246369354</v>
      </c>
      <c r="BE122" s="3">
        <f t="shared" si="85"/>
        <v>13507648.058165597</v>
      </c>
      <c r="BF122" s="3">
        <f t="shared" si="85"/>
        <v>24661393.464520618</v>
      </c>
      <c r="BG122" s="3">
        <f t="shared" si="85"/>
        <v>6581586.4072249113</v>
      </c>
      <c r="BH122" s="3">
        <f t="shared" ref="BH122" si="86">SUM(BH115:BH121)</f>
        <v>14466828.629195115</v>
      </c>
      <c r="BI122" s="3">
        <f t="shared" si="85"/>
        <v>14992302.84639952</v>
      </c>
      <c r="BJ122" s="3">
        <f t="shared" si="85"/>
        <v>4131971.8091773586</v>
      </c>
      <c r="BK122" s="3">
        <f t="shared" si="85"/>
        <v>7244088.9573694067</v>
      </c>
      <c r="BL122" s="3">
        <f t="shared" si="85"/>
        <v>28640696.477472469</v>
      </c>
      <c r="BM122" s="3">
        <f t="shared" si="85"/>
        <v>13046738.796629587</v>
      </c>
      <c r="BN122" s="3">
        <f t="shared" ref="BN122:BZ122" si="87">SUM(BN115:BN121)</f>
        <v>20963537.507154595</v>
      </c>
      <c r="BO122" s="3">
        <f t="shared" si="87"/>
        <v>42606280.939524159</v>
      </c>
      <c r="BP122" s="3">
        <f t="shared" si="87"/>
        <v>29458513.767676029</v>
      </c>
      <c r="BQ122" s="3">
        <f t="shared" si="87"/>
        <v>10435467.97282695</v>
      </c>
      <c r="BR122" s="3">
        <f t="shared" si="87"/>
        <v>101063592.40027811</v>
      </c>
      <c r="BS122" s="3">
        <f t="shared" si="87"/>
        <v>24172281.325136092</v>
      </c>
      <c r="BT122" s="3">
        <f t="shared" si="87"/>
        <v>18342734.352115799</v>
      </c>
      <c r="BU122" s="3">
        <f t="shared" si="87"/>
        <v>4673991.7149363793</v>
      </c>
      <c r="BV122" s="3">
        <f t="shared" si="87"/>
        <v>9893354.0871688202</v>
      </c>
      <c r="BW122" s="3">
        <f t="shared" si="87"/>
        <v>63247063.119282074</v>
      </c>
      <c r="BX122" s="3">
        <f t="shared" si="87"/>
        <v>7453244.0546160769</v>
      </c>
      <c r="BY122" s="3">
        <f t="shared" si="87"/>
        <v>10631600.5767031</v>
      </c>
      <c r="BZ122" s="3">
        <f t="shared" si="87"/>
        <v>33195903.547879405</v>
      </c>
    </row>
    <row r="124" spans="1:80" x14ac:dyDescent="0.2">
      <c r="B124" t="s">
        <v>80</v>
      </c>
      <c r="C124" s="35">
        <f>SUM(D124:BZ124)</f>
        <v>535114</v>
      </c>
      <c r="D124" s="35">
        <v>78213</v>
      </c>
      <c r="E124" s="35">
        <v>10026</v>
      </c>
      <c r="F124" s="35">
        <v>1431</v>
      </c>
      <c r="G124" s="35">
        <v>1257</v>
      </c>
      <c r="H124" s="35">
        <v>3662</v>
      </c>
      <c r="I124" s="35">
        <v>9709</v>
      </c>
      <c r="J124" s="35">
        <v>3580</v>
      </c>
      <c r="K124" s="35">
        <v>1012</v>
      </c>
      <c r="L124" s="35">
        <v>1594</v>
      </c>
      <c r="M124" s="35">
        <v>1027</v>
      </c>
      <c r="N124" s="35">
        <v>2475</v>
      </c>
      <c r="O124" s="35">
        <v>7685</v>
      </c>
      <c r="P124" s="35">
        <v>9955</v>
      </c>
      <c r="Q124" s="35">
        <v>7097</v>
      </c>
      <c r="R124" s="35">
        <v>3516</v>
      </c>
      <c r="S124" s="35">
        <v>6558</v>
      </c>
      <c r="T124" s="35">
        <v>8481</v>
      </c>
      <c r="U124" s="35">
        <v>3989</v>
      </c>
      <c r="V124" s="35">
        <v>5139</v>
      </c>
      <c r="W124" s="35">
        <v>6928</v>
      </c>
      <c r="X124" s="35">
        <v>10337</v>
      </c>
      <c r="Y124" s="35">
        <v>5051</v>
      </c>
      <c r="Z124" s="35">
        <v>2118</v>
      </c>
      <c r="AA124" s="35">
        <v>12456</v>
      </c>
      <c r="AB124" s="35">
        <v>1571</v>
      </c>
      <c r="AC124" s="35">
        <v>9291</v>
      </c>
      <c r="AD124" s="35">
        <v>2542</v>
      </c>
      <c r="AE124" s="35">
        <v>6269</v>
      </c>
      <c r="AF124" s="35">
        <v>3711</v>
      </c>
      <c r="AG124" s="35">
        <v>7402</v>
      </c>
      <c r="AH124" s="35">
        <v>13931</v>
      </c>
      <c r="AI124" s="35">
        <v>5392</v>
      </c>
      <c r="AJ124" s="35">
        <v>5496</v>
      </c>
      <c r="AK124" s="35">
        <v>6522</v>
      </c>
      <c r="AL124" s="35">
        <v>5057</v>
      </c>
      <c r="AM124" s="35">
        <v>6835</v>
      </c>
      <c r="AN124" s="35">
        <v>1601</v>
      </c>
      <c r="AO124" s="35">
        <v>9538</v>
      </c>
      <c r="AP124" s="35">
        <v>5347</v>
      </c>
      <c r="AQ124" s="35">
        <v>5852</v>
      </c>
      <c r="AR124" s="35">
        <v>3085</v>
      </c>
      <c r="AS124" s="35">
        <v>1906</v>
      </c>
      <c r="AT124" s="35">
        <v>1871</v>
      </c>
      <c r="AU124" s="35">
        <v>4154</v>
      </c>
      <c r="AV124" s="35">
        <v>3035</v>
      </c>
      <c r="AW124" s="35">
        <v>5084</v>
      </c>
      <c r="AX124" s="35">
        <v>5657</v>
      </c>
      <c r="AY124" s="35">
        <v>7014</v>
      </c>
      <c r="AZ124" s="35">
        <v>4162</v>
      </c>
      <c r="BA124" s="35">
        <v>28640</v>
      </c>
      <c r="BB124" s="35">
        <v>10169</v>
      </c>
      <c r="BC124" s="35">
        <v>2618</v>
      </c>
      <c r="BD124" s="35">
        <v>3833</v>
      </c>
      <c r="BE124" s="35">
        <v>5092</v>
      </c>
      <c r="BF124" s="35">
        <v>9161</v>
      </c>
      <c r="BG124" s="35">
        <v>2079</v>
      </c>
      <c r="BH124" s="35">
        <v>6437</v>
      </c>
      <c r="BI124" s="35">
        <v>5202</v>
      </c>
      <c r="BJ124" s="35">
        <v>1645</v>
      </c>
      <c r="BK124" s="35">
        <v>2969</v>
      </c>
      <c r="BL124" s="35">
        <v>9755</v>
      </c>
      <c r="BM124" s="35">
        <v>4023</v>
      </c>
      <c r="BN124" s="35">
        <v>6674</v>
      </c>
      <c r="BO124" s="35">
        <v>14279</v>
      </c>
      <c r="BP124" s="35">
        <v>10631</v>
      </c>
      <c r="BQ124" s="35">
        <v>4132</v>
      </c>
      <c r="BR124" s="35">
        <v>24980</v>
      </c>
      <c r="BS124" s="35">
        <v>5026</v>
      </c>
      <c r="BT124" s="35">
        <v>4660</v>
      </c>
      <c r="BU124" s="35">
        <v>1497</v>
      </c>
      <c r="BV124" s="35">
        <v>3256</v>
      </c>
      <c r="BW124" s="35">
        <v>18454</v>
      </c>
      <c r="BX124" s="35">
        <v>2128</v>
      </c>
      <c r="BY124" s="35">
        <v>3544</v>
      </c>
      <c r="BZ124" s="35">
        <v>8609</v>
      </c>
      <c r="CB124" t="s">
        <v>110</v>
      </c>
    </row>
    <row r="126" spans="1:80" s="19" customFormat="1" x14ac:dyDescent="0.2">
      <c r="B126" s="19" t="s">
        <v>104</v>
      </c>
      <c r="C126" s="117">
        <f>C122/C124</f>
        <v>3618.5190629510466</v>
      </c>
      <c r="D126" s="37">
        <f t="shared" ref="D126:BM126" si="88">D122/D124</f>
        <v>4015.2328980497055</v>
      </c>
      <c r="E126" s="37">
        <f t="shared" si="88"/>
        <v>2907.3284353801714</v>
      </c>
      <c r="F126" s="37">
        <f t="shared" si="88"/>
        <v>3036.7605741357606</v>
      </c>
      <c r="G126" s="37">
        <f t="shared" si="88"/>
        <v>2902.3623451091348</v>
      </c>
      <c r="H126" s="37">
        <f t="shared" si="88"/>
        <v>6172.7068086321387</v>
      </c>
      <c r="I126" s="37">
        <f t="shared" si="88"/>
        <v>3744.1370915739726</v>
      </c>
      <c r="J126" s="37">
        <f t="shared" si="88"/>
        <v>3397.2279316275635</v>
      </c>
      <c r="K126" s="37">
        <f t="shared" si="88"/>
        <v>4102.9929250368068</v>
      </c>
      <c r="L126" s="37">
        <f t="shared" si="88"/>
        <v>3964.1946686368365</v>
      </c>
      <c r="M126" s="37">
        <f t="shared" si="88"/>
        <v>3330.2511247897223</v>
      </c>
      <c r="N126" s="37">
        <f t="shared" si="88"/>
        <v>3562.6764058195376</v>
      </c>
      <c r="O126" s="37">
        <f t="shared" si="88"/>
        <v>3702.2503341399843</v>
      </c>
      <c r="P126" s="37">
        <f t="shared" si="88"/>
        <v>2766.0268093169257</v>
      </c>
      <c r="Q126" s="37">
        <f t="shared" si="88"/>
        <v>4063.5066236375092</v>
      </c>
      <c r="R126" s="37">
        <f t="shared" si="88"/>
        <v>2746.28467400304</v>
      </c>
      <c r="S126" s="37">
        <f t="shared" si="88"/>
        <v>3093.6407514851694</v>
      </c>
      <c r="T126" s="37">
        <f t="shared" si="88"/>
        <v>3788.4221509752351</v>
      </c>
      <c r="U126" s="37">
        <f t="shared" si="88"/>
        <v>4326.1334640791283</v>
      </c>
      <c r="V126" s="37">
        <f t="shared" si="88"/>
        <v>6128.5964843564971</v>
      </c>
      <c r="W126" s="37">
        <f t="shared" si="88"/>
        <v>3719.2577472758894</v>
      </c>
      <c r="X126" s="37">
        <f t="shared" si="88"/>
        <v>3865.8210096157418</v>
      </c>
      <c r="Y126" s="37">
        <f t="shared" si="88"/>
        <v>3161.7792968321137</v>
      </c>
      <c r="Z126" s="37">
        <f t="shared" si="88"/>
        <v>3377.0434372828154</v>
      </c>
      <c r="AA126" s="37">
        <f t="shared" si="88"/>
        <v>3417.7434712617037</v>
      </c>
      <c r="AB126" s="37">
        <f t="shared" si="88"/>
        <v>2897.9819239976478</v>
      </c>
      <c r="AC126" s="37">
        <f t="shared" si="88"/>
        <v>3335.6695698849517</v>
      </c>
      <c r="AD126" s="37">
        <f t="shared" si="88"/>
        <v>3453.1285225599054</v>
      </c>
      <c r="AE126" s="37">
        <f t="shared" si="88"/>
        <v>4374.3134676830405</v>
      </c>
      <c r="AF126" s="37">
        <f t="shared" si="88"/>
        <v>2994.3291608249565</v>
      </c>
      <c r="AG126" s="37">
        <f t="shared" si="88"/>
        <v>3186.3770425431603</v>
      </c>
      <c r="AH126" s="37">
        <f t="shared" si="88"/>
        <v>3741.7638887357834</v>
      </c>
      <c r="AI126" s="37">
        <f t="shared" si="88"/>
        <v>2861.4158462177907</v>
      </c>
      <c r="AJ126" s="37">
        <f t="shared" si="88"/>
        <v>2777.3271892616863</v>
      </c>
      <c r="AK126" s="37">
        <f t="shared" si="88"/>
        <v>3170.0615866298685</v>
      </c>
      <c r="AL126" s="37">
        <f t="shared" si="88"/>
        <v>3099.4645356906308</v>
      </c>
      <c r="AM126" s="37">
        <f t="shared" si="88"/>
        <v>3964.6794460787928</v>
      </c>
      <c r="AN126" s="37">
        <f t="shared" si="88"/>
        <v>2481.1270526856674</v>
      </c>
      <c r="AO126" s="37">
        <f t="shared" si="88"/>
        <v>2954.4764162996285</v>
      </c>
      <c r="AP126" s="37">
        <f t="shared" si="88"/>
        <v>2913.3617822339993</v>
      </c>
      <c r="AQ126" s="37">
        <f t="shared" si="88"/>
        <v>3117.4351091885346</v>
      </c>
      <c r="AR126" s="37">
        <f t="shared" si="88"/>
        <v>3371.6779499480117</v>
      </c>
      <c r="AS126" s="37">
        <f t="shared" si="88"/>
        <v>4185.2437643118437</v>
      </c>
      <c r="AT126" s="37">
        <f t="shared" si="88"/>
        <v>3810.4855851542634</v>
      </c>
      <c r="AU126" s="37">
        <f t="shared" si="88"/>
        <v>2632.3342385071596</v>
      </c>
      <c r="AV126" s="37">
        <f t="shared" si="88"/>
        <v>2906.5578033658212</v>
      </c>
      <c r="AW126" s="37">
        <f t="shared" si="88"/>
        <v>2891.5563350512111</v>
      </c>
      <c r="AX126" s="37">
        <f t="shared" si="88"/>
        <v>3795.3216841660101</v>
      </c>
      <c r="AY126" s="37">
        <f t="shared" si="88"/>
        <v>3108.1482887304023</v>
      </c>
      <c r="AZ126" s="37">
        <f t="shared" si="88"/>
        <v>3816.583705487064</v>
      </c>
      <c r="BA126" s="37">
        <f t="shared" si="88"/>
        <v>5932.974339223365</v>
      </c>
      <c r="BB126" s="37">
        <f t="shared" si="88"/>
        <v>3329.7474544024731</v>
      </c>
      <c r="BC126" s="37">
        <f t="shared" si="88"/>
        <v>3457.5117592619513</v>
      </c>
      <c r="BD126" s="37">
        <f t="shared" si="88"/>
        <v>2657.6718618234686</v>
      </c>
      <c r="BE126" s="37">
        <f t="shared" si="88"/>
        <v>2652.7195715172029</v>
      </c>
      <c r="BF126" s="37">
        <f t="shared" si="88"/>
        <v>2691.9979766969345</v>
      </c>
      <c r="BG126" s="37">
        <f t="shared" si="88"/>
        <v>3165.7462276214101</v>
      </c>
      <c r="BH126" s="37">
        <f t="shared" si="88"/>
        <v>2247.4489093048182</v>
      </c>
      <c r="BI126" s="37">
        <f t="shared" si="88"/>
        <v>2882.0266909649213</v>
      </c>
      <c r="BJ126" s="37">
        <f t="shared" si="88"/>
        <v>2511.8369660652638</v>
      </c>
      <c r="BK126" s="37">
        <f t="shared" si="88"/>
        <v>2439.9087091173483</v>
      </c>
      <c r="BL126" s="37">
        <f t="shared" si="88"/>
        <v>2936.0016891309551</v>
      </c>
      <c r="BM126" s="37">
        <f t="shared" si="88"/>
        <v>3243.0372350558259</v>
      </c>
      <c r="BN126" s="37">
        <f t="shared" ref="BN126:BZ126" si="89">BN122/BN124</f>
        <v>3141.0754430857951</v>
      </c>
      <c r="BO126" s="37">
        <f t="shared" si="89"/>
        <v>2983.8420715403149</v>
      </c>
      <c r="BP126" s="37">
        <f t="shared" si="89"/>
        <v>2771.0012009854227</v>
      </c>
      <c r="BQ126" s="37">
        <f t="shared" si="89"/>
        <v>2525.5246788061349</v>
      </c>
      <c r="BR126" s="37">
        <f t="shared" si="89"/>
        <v>4045.7803202673381</v>
      </c>
      <c r="BS126" s="37">
        <f t="shared" si="89"/>
        <v>4809.4471398997393</v>
      </c>
      <c r="BT126" s="37">
        <f t="shared" si="89"/>
        <v>3936.2090884368668</v>
      </c>
      <c r="BU126" s="37">
        <f t="shared" si="89"/>
        <v>3122.2389545333194</v>
      </c>
      <c r="BV126" s="37">
        <f t="shared" si="89"/>
        <v>3038.4994125211365</v>
      </c>
      <c r="BW126" s="37">
        <f t="shared" si="89"/>
        <v>3427.2820591352593</v>
      </c>
      <c r="BX126" s="37">
        <f t="shared" si="89"/>
        <v>3502.4643113797356</v>
      </c>
      <c r="BY126" s="37">
        <f t="shared" si="89"/>
        <v>2999.8872959094524</v>
      </c>
      <c r="BZ126" s="37">
        <f t="shared" si="89"/>
        <v>3855.9534844789646</v>
      </c>
    </row>
    <row r="127" spans="1:80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</row>
    <row r="128" spans="1:80" x14ac:dyDescent="0.2">
      <c r="A128" s="23" t="s">
        <v>158</v>
      </c>
      <c r="B128" s="25" t="s">
        <v>354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23"/>
      <c r="CB128" s="23"/>
    </row>
    <row r="129" spans="1:80" x14ac:dyDescent="0.2">
      <c r="B129" t="s">
        <v>4</v>
      </c>
      <c r="C129" s="3">
        <f t="shared" ref="C129:AH129" si="90">C72</f>
        <v>1333491487.5416548</v>
      </c>
      <c r="D129" s="3">
        <f t="shared" si="90"/>
        <v>199173361.02881616</v>
      </c>
      <c r="E129" s="3">
        <f t="shared" si="90"/>
        <v>21517889.418415431</v>
      </c>
      <c r="F129" s="3">
        <f t="shared" si="90"/>
        <v>3293910.3596002422</v>
      </c>
      <c r="G129" s="3">
        <f t="shared" si="90"/>
        <v>2721838.0358735914</v>
      </c>
      <c r="H129" s="3">
        <f t="shared" si="90"/>
        <v>20358251.62938083</v>
      </c>
      <c r="I129" s="3">
        <f t="shared" si="90"/>
        <v>25747442.581227154</v>
      </c>
      <c r="J129" s="3">
        <f t="shared" si="90"/>
        <v>8696764.8630281352</v>
      </c>
      <c r="K129" s="3">
        <f t="shared" si="90"/>
        <v>2951301.7479932955</v>
      </c>
      <c r="L129" s="3">
        <f t="shared" si="90"/>
        <v>5650694.8450162029</v>
      </c>
      <c r="M129" s="3">
        <f t="shared" si="90"/>
        <v>2881910.3464770452</v>
      </c>
      <c r="N129" s="3">
        <f t="shared" si="90"/>
        <v>6362915.1721743299</v>
      </c>
      <c r="O129" s="3">
        <f t="shared" si="90"/>
        <v>21958704.959439412</v>
      </c>
      <c r="P129" s="3">
        <f t="shared" si="90"/>
        <v>16740687.541154969</v>
      </c>
      <c r="Q129" s="3">
        <f t="shared" si="90"/>
        <v>19948984.719819907</v>
      </c>
      <c r="R129" s="3">
        <f t="shared" si="90"/>
        <v>6834996.9624708472</v>
      </c>
      <c r="S129" s="3">
        <f t="shared" si="90"/>
        <v>10508612.028493192</v>
      </c>
      <c r="T129" s="3">
        <f t="shared" si="90"/>
        <v>20707521.894161426</v>
      </c>
      <c r="U129" s="3">
        <f t="shared" si="90"/>
        <v>12158326.418635724</v>
      </c>
      <c r="V129" s="3">
        <f t="shared" si="90"/>
        <v>17867685.987735752</v>
      </c>
      <c r="W129" s="3">
        <f t="shared" si="90"/>
        <v>17009210.442082621</v>
      </c>
      <c r="X129" s="3">
        <f t="shared" si="90"/>
        <v>25800821.738483295</v>
      </c>
      <c r="Y129" s="3">
        <f t="shared" si="90"/>
        <v>12338065.273596955</v>
      </c>
      <c r="Z129" s="3">
        <f t="shared" si="90"/>
        <v>5240944.8567408575</v>
      </c>
      <c r="AA129" s="3">
        <f t="shared" si="90"/>
        <v>28151615.81094994</v>
      </c>
      <c r="AB129" s="3">
        <f t="shared" si="90"/>
        <v>3477194.2766201147</v>
      </c>
      <c r="AC129" s="3">
        <f t="shared" si="90"/>
        <v>21166544.806011509</v>
      </c>
      <c r="AD129" s="3">
        <f t="shared" si="90"/>
        <v>5084630.1266549155</v>
      </c>
      <c r="AE129" s="3">
        <f t="shared" si="90"/>
        <v>14423214.487780914</v>
      </c>
      <c r="AF129" s="3">
        <f t="shared" si="90"/>
        <v>8157782.6960986862</v>
      </c>
      <c r="AG129" s="3">
        <f t="shared" si="90"/>
        <v>16723100.551117893</v>
      </c>
      <c r="AH129" s="3">
        <f t="shared" si="90"/>
        <v>31257899.422750253</v>
      </c>
      <c r="AI129" s="3">
        <f t="shared" ref="AI129:BL129" si="91">AI72</f>
        <v>11445165.233717773</v>
      </c>
      <c r="AJ129" s="3">
        <f t="shared" si="91"/>
        <v>10130167.333335806</v>
      </c>
      <c r="AK129" s="3">
        <f t="shared" si="91"/>
        <v>14294362.780395161</v>
      </c>
      <c r="AL129" s="3">
        <f t="shared" si="91"/>
        <v>11001969.164639561</v>
      </c>
      <c r="AM129" s="3">
        <f t="shared" si="91"/>
        <v>18127422.140728079</v>
      </c>
      <c r="AN129" s="3">
        <f t="shared" si="91"/>
        <v>3102547.180697096</v>
      </c>
      <c r="AO129" s="3">
        <f t="shared" si="91"/>
        <v>19877484.034355581</v>
      </c>
      <c r="AP129" s="3">
        <f t="shared" si="91"/>
        <v>10456928.489552004</v>
      </c>
      <c r="AQ129" s="3">
        <f t="shared" si="91"/>
        <v>14825331.770740788</v>
      </c>
      <c r="AR129" s="3">
        <f t="shared" si="91"/>
        <v>7604812.9949635006</v>
      </c>
      <c r="AS129" s="3">
        <f t="shared" si="91"/>
        <v>6102741.7460063556</v>
      </c>
      <c r="AT129" s="3">
        <f t="shared" si="91"/>
        <v>5521236.3070440665</v>
      </c>
      <c r="AU129" s="3">
        <f t="shared" si="91"/>
        <v>7887414.5584288752</v>
      </c>
      <c r="AV129" s="3">
        <f t="shared" si="91"/>
        <v>6462263.5591781829</v>
      </c>
      <c r="AW129" s="3">
        <f t="shared" si="91"/>
        <v>11254325.35311671</v>
      </c>
      <c r="AX129" s="3">
        <f t="shared" si="91"/>
        <v>16277111.320827153</v>
      </c>
      <c r="AY129" s="3">
        <f t="shared" si="91"/>
        <v>15348312.008516744</v>
      </c>
      <c r="AZ129" s="3">
        <f t="shared" si="91"/>
        <v>11780140.197877135</v>
      </c>
      <c r="BA129" s="3">
        <f t="shared" si="91"/>
        <v>117904184.22937626</v>
      </c>
      <c r="BB129" s="3">
        <f t="shared" si="91"/>
        <v>24432747.611717034</v>
      </c>
      <c r="BC129" s="3">
        <f t="shared" si="91"/>
        <v>6370490.1307588909</v>
      </c>
      <c r="BD129" s="3">
        <f t="shared" si="91"/>
        <v>7489667.5982384831</v>
      </c>
      <c r="BE129" s="3">
        <f t="shared" si="91"/>
        <v>9995937.6047758646</v>
      </c>
      <c r="BF129" s="3">
        <f t="shared" si="91"/>
        <v>17521726.35049659</v>
      </c>
      <c r="BG129" s="3">
        <f t="shared" si="91"/>
        <v>4559948.612935178</v>
      </c>
      <c r="BH129" s="3">
        <f t="shared" ref="BH129" si="92">BH72</f>
        <v>10919651.371615304</v>
      </c>
      <c r="BI129" s="3">
        <f t="shared" si="91"/>
        <v>10250441.546847254</v>
      </c>
      <c r="BJ129" s="3">
        <f t="shared" si="91"/>
        <v>3184847.5537661584</v>
      </c>
      <c r="BK129" s="3">
        <f t="shared" si="91"/>
        <v>5557055.5604075436</v>
      </c>
      <c r="BL129" s="3">
        <f t="shared" si="91"/>
        <v>19431817.207371686</v>
      </c>
      <c r="BM129" s="3">
        <f t="shared" ref="BM129:BZ129" si="93">BM72</f>
        <v>9322850.8801903483</v>
      </c>
      <c r="BN129" s="3">
        <f t="shared" si="93"/>
        <v>14933418.968093837</v>
      </c>
      <c r="BO129" s="3">
        <f t="shared" si="93"/>
        <v>28710173.276946351</v>
      </c>
      <c r="BP129" s="3">
        <f t="shared" si="93"/>
        <v>21635073.737984892</v>
      </c>
      <c r="BQ129" s="3">
        <f t="shared" si="93"/>
        <v>7383121.7399476739</v>
      </c>
      <c r="BR129" s="3">
        <f t="shared" si="93"/>
        <v>67237186.19052428</v>
      </c>
      <c r="BS129" s="3">
        <f t="shared" si="93"/>
        <v>17681403.454974309</v>
      </c>
      <c r="BT129" s="3">
        <f t="shared" si="93"/>
        <v>11741109.640094889</v>
      </c>
      <c r="BU129" s="3">
        <f t="shared" si="93"/>
        <v>3656648.905996907</v>
      </c>
      <c r="BV129" s="3">
        <f t="shared" si="93"/>
        <v>8220444.1146791223</v>
      </c>
      <c r="BW129" s="3">
        <f t="shared" si="93"/>
        <v>47296521.45693092</v>
      </c>
      <c r="BX129" s="3">
        <f t="shared" si="93"/>
        <v>5883150.2796520153</v>
      </c>
      <c r="BY129" s="3">
        <f t="shared" si="93"/>
        <v>8750921.1440672576</v>
      </c>
      <c r="BZ129" s="3">
        <f t="shared" si="93"/>
        <v>27008387.170343496</v>
      </c>
    </row>
    <row r="130" spans="1:80" x14ac:dyDescent="0.2">
      <c r="B130" t="s">
        <v>0</v>
      </c>
      <c r="C130" s="3">
        <f t="shared" ref="C130:AH130" si="94">C77</f>
        <v>70556371.389999971</v>
      </c>
      <c r="D130" s="3">
        <f t="shared" si="94"/>
        <v>14992898.85</v>
      </c>
      <c r="E130" s="3">
        <f t="shared" si="94"/>
        <v>587771.39999999991</v>
      </c>
      <c r="F130" s="3">
        <f t="shared" si="94"/>
        <v>80202.149999999994</v>
      </c>
      <c r="G130" s="3">
        <f t="shared" si="94"/>
        <v>63744.9</v>
      </c>
      <c r="H130" s="3">
        <f t="shared" si="94"/>
        <v>121353.15</v>
      </c>
      <c r="I130" s="3">
        <f t="shared" si="94"/>
        <v>793924.99999999988</v>
      </c>
      <c r="J130" s="3">
        <f t="shared" si="94"/>
        <v>606563.24999999988</v>
      </c>
      <c r="K130" s="3">
        <f t="shared" si="94"/>
        <v>52341.850000000006</v>
      </c>
      <c r="L130" s="3">
        <f t="shared" si="94"/>
        <v>59317.950000000004</v>
      </c>
      <c r="M130" s="3">
        <f t="shared" si="94"/>
        <v>22506.15</v>
      </c>
      <c r="N130" s="3">
        <f t="shared" si="94"/>
        <v>50257.2</v>
      </c>
      <c r="O130" s="3">
        <f t="shared" si="94"/>
        <v>573951.70000000007</v>
      </c>
      <c r="P130" s="3">
        <f t="shared" si="94"/>
        <v>2218962.1500000004</v>
      </c>
      <c r="Q130" s="3">
        <f t="shared" si="94"/>
        <v>1078944.2499999998</v>
      </c>
      <c r="R130" s="3">
        <f t="shared" si="94"/>
        <v>511366.8</v>
      </c>
      <c r="S130" s="3">
        <f t="shared" si="94"/>
        <v>2333286.65</v>
      </c>
      <c r="T130" s="3">
        <f t="shared" si="94"/>
        <v>2512678.75</v>
      </c>
      <c r="U130" s="3">
        <f t="shared" si="94"/>
        <v>779302.5</v>
      </c>
      <c r="V130" s="3">
        <f t="shared" si="94"/>
        <v>2308174.7000000002</v>
      </c>
      <c r="W130" s="3">
        <f t="shared" si="94"/>
        <v>1881814.6800000002</v>
      </c>
      <c r="X130" s="3">
        <f t="shared" si="94"/>
        <v>3192366.5500000003</v>
      </c>
      <c r="Y130" s="3">
        <f t="shared" si="94"/>
        <v>726288.35</v>
      </c>
      <c r="Z130" s="3">
        <f t="shared" si="94"/>
        <v>234022.04999999996</v>
      </c>
      <c r="AA130" s="3">
        <f t="shared" si="94"/>
        <v>2794796.9999999995</v>
      </c>
      <c r="AB130" s="3">
        <f t="shared" si="94"/>
        <v>121385.10000000002</v>
      </c>
      <c r="AC130" s="3">
        <f t="shared" si="94"/>
        <v>1885189.1500000001</v>
      </c>
      <c r="AD130" s="3">
        <f t="shared" si="94"/>
        <v>496356.5</v>
      </c>
      <c r="AE130" s="3">
        <f t="shared" si="94"/>
        <v>3066282.97</v>
      </c>
      <c r="AF130" s="3">
        <f t="shared" si="94"/>
        <v>397418.94999999995</v>
      </c>
      <c r="AG130" s="3">
        <f t="shared" si="94"/>
        <v>1419915.3</v>
      </c>
      <c r="AH130" s="3">
        <f t="shared" si="94"/>
        <v>3066346.1500000004</v>
      </c>
      <c r="AI130" s="3">
        <f t="shared" ref="AI130:BL130" si="95">AI77</f>
        <v>983786.35</v>
      </c>
      <c r="AJ130" s="3">
        <f t="shared" si="95"/>
        <v>751119.25</v>
      </c>
      <c r="AK130" s="3">
        <f t="shared" si="95"/>
        <v>898735.74999999988</v>
      </c>
      <c r="AL130" s="3">
        <f t="shared" si="95"/>
        <v>341910.04999999993</v>
      </c>
      <c r="AM130" s="3">
        <f t="shared" si="95"/>
        <v>1081715.4000000001</v>
      </c>
      <c r="AN130" s="3">
        <f t="shared" si="95"/>
        <v>289143.14999999997</v>
      </c>
      <c r="AO130" s="3">
        <f t="shared" si="95"/>
        <v>527259.46</v>
      </c>
      <c r="AP130" s="3">
        <f t="shared" si="95"/>
        <v>485048.05</v>
      </c>
      <c r="AQ130" s="3">
        <f t="shared" si="95"/>
        <v>471923.10000000003</v>
      </c>
      <c r="AR130" s="3">
        <f t="shared" si="95"/>
        <v>253793.1</v>
      </c>
      <c r="AS130" s="3">
        <f t="shared" si="95"/>
        <v>58207.650000000009</v>
      </c>
      <c r="AT130" s="3">
        <f t="shared" si="95"/>
        <v>51437.599999999999</v>
      </c>
      <c r="AU130" s="3">
        <f t="shared" si="95"/>
        <v>209295.25000000003</v>
      </c>
      <c r="AV130" s="3">
        <f t="shared" si="95"/>
        <v>184514.95</v>
      </c>
      <c r="AW130" s="3">
        <f t="shared" si="95"/>
        <v>267251.84999999998</v>
      </c>
      <c r="AX130" s="3">
        <f t="shared" si="95"/>
        <v>258392.8</v>
      </c>
      <c r="AY130" s="3">
        <f t="shared" si="95"/>
        <v>644526.65</v>
      </c>
      <c r="AZ130" s="3">
        <f t="shared" si="95"/>
        <v>314974.29999999993</v>
      </c>
      <c r="BA130" s="3">
        <f t="shared" si="95"/>
        <v>2324421.8899999997</v>
      </c>
      <c r="BB130" s="3">
        <f t="shared" si="95"/>
        <v>640030.15</v>
      </c>
      <c r="BC130" s="3">
        <f t="shared" si="95"/>
        <v>276196.65000000002</v>
      </c>
      <c r="BD130" s="3">
        <f t="shared" si="95"/>
        <v>97646.85</v>
      </c>
      <c r="BE130" s="3">
        <f t="shared" si="95"/>
        <v>186363.24999999997</v>
      </c>
      <c r="BF130" s="3">
        <f t="shared" si="95"/>
        <v>456745.05</v>
      </c>
      <c r="BG130" s="3">
        <f t="shared" si="95"/>
        <v>145742.29999999999</v>
      </c>
      <c r="BH130" s="3">
        <f t="shared" ref="BH130" si="96">BH77</f>
        <v>265600.65000000002</v>
      </c>
      <c r="BI130" s="3">
        <f t="shared" si="95"/>
        <v>324151.05</v>
      </c>
      <c r="BJ130" s="3">
        <f t="shared" si="95"/>
        <v>116475.35</v>
      </c>
      <c r="BK130" s="3">
        <f t="shared" si="95"/>
        <v>68802.400000000009</v>
      </c>
      <c r="BL130" s="3">
        <f t="shared" si="95"/>
        <v>1503215.2500000002</v>
      </c>
      <c r="BM130" s="3">
        <f t="shared" ref="BM130:BZ130" si="97">BM77</f>
        <v>245519.05000000002</v>
      </c>
      <c r="BN130" s="3">
        <f t="shared" si="97"/>
        <v>437780.29</v>
      </c>
      <c r="BO130" s="3">
        <f t="shared" si="97"/>
        <v>1260929.2</v>
      </c>
      <c r="BP130" s="3">
        <f t="shared" si="97"/>
        <v>693310</v>
      </c>
      <c r="BQ130" s="3">
        <f t="shared" si="97"/>
        <v>251238.19999999998</v>
      </c>
      <c r="BR130" s="3">
        <f t="shared" si="97"/>
        <v>1832588.2000000002</v>
      </c>
      <c r="BS130" s="3">
        <f t="shared" si="97"/>
        <v>130962.95000000001</v>
      </c>
      <c r="BT130" s="3">
        <f t="shared" si="97"/>
        <v>309873.25</v>
      </c>
      <c r="BU130" s="3">
        <f t="shared" si="97"/>
        <v>83563.799999999988</v>
      </c>
      <c r="BV130" s="3">
        <f t="shared" si="97"/>
        <v>89015.95</v>
      </c>
      <c r="BW130" s="3">
        <f t="shared" si="97"/>
        <v>1195706.8499999999</v>
      </c>
      <c r="BX130" s="3">
        <f t="shared" si="97"/>
        <v>47583.950000000004</v>
      </c>
      <c r="BY130" s="3">
        <f t="shared" si="97"/>
        <v>163730.5</v>
      </c>
      <c r="BZ130" s="3">
        <f t="shared" si="97"/>
        <v>306411.55</v>
      </c>
    </row>
    <row r="131" spans="1:80" x14ac:dyDescent="0.2">
      <c r="B131" t="s">
        <v>1</v>
      </c>
      <c r="C131" s="3">
        <f t="shared" ref="C131:AH131" si="98">C83</f>
        <v>194696872.80000001</v>
      </c>
      <c r="D131" s="3">
        <f t="shared" si="98"/>
        <v>50975505.600000001</v>
      </c>
      <c r="E131" s="3">
        <f t="shared" si="98"/>
        <v>1845917.4</v>
      </c>
      <c r="F131" s="3">
        <f t="shared" si="98"/>
        <v>137885</v>
      </c>
      <c r="G131" s="3">
        <f t="shared" si="98"/>
        <v>102340.25</v>
      </c>
      <c r="H131" s="3">
        <f t="shared" si="98"/>
        <v>892930.45</v>
      </c>
      <c r="I131" s="3">
        <f t="shared" si="98"/>
        <v>5293344.2</v>
      </c>
      <c r="J131" s="3">
        <f t="shared" si="98"/>
        <v>1096223.5</v>
      </c>
      <c r="K131" s="3">
        <f t="shared" si="98"/>
        <v>66262.5</v>
      </c>
      <c r="L131" s="3">
        <f t="shared" si="98"/>
        <v>487408.65</v>
      </c>
      <c r="M131" s="3">
        <f t="shared" si="98"/>
        <v>81682.349999999991</v>
      </c>
      <c r="N131" s="3">
        <f t="shared" si="98"/>
        <v>106388.25</v>
      </c>
      <c r="O131" s="3">
        <f t="shared" si="98"/>
        <v>1029488.55</v>
      </c>
      <c r="P131" s="3">
        <f t="shared" si="98"/>
        <v>3550826.85</v>
      </c>
      <c r="Q131" s="3">
        <f t="shared" si="98"/>
        <v>3198700.65</v>
      </c>
      <c r="R131" s="3">
        <f t="shared" si="98"/>
        <v>747230.7</v>
      </c>
      <c r="S131" s="3">
        <f t="shared" si="98"/>
        <v>2759774.85</v>
      </c>
      <c r="T131" s="3">
        <f t="shared" si="98"/>
        <v>3172712.8000000003</v>
      </c>
      <c r="U131" s="3">
        <f t="shared" si="98"/>
        <v>1725511</v>
      </c>
      <c r="V131" s="3">
        <f t="shared" si="98"/>
        <v>4686930.7</v>
      </c>
      <c r="W131" s="3">
        <f t="shared" si="98"/>
        <v>3176957.65</v>
      </c>
      <c r="X131" s="3">
        <f t="shared" si="98"/>
        <v>6552558.3499999996</v>
      </c>
      <c r="Y131" s="3">
        <f t="shared" si="98"/>
        <v>1939941.0499999998</v>
      </c>
      <c r="Z131" s="3">
        <f t="shared" si="98"/>
        <v>381334.6</v>
      </c>
      <c r="AA131" s="3">
        <f t="shared" si="98"/>
        <v>3780119.85</v>
      </c>
      <c r="AB131" s="3">
        <f t="shared" si="98"/>
        <v>77970</v>
      </c>
      <c r="AC131" s="3">
        <f t="shared" si="98"/>
        <v>2526844.7999999998</v>
      </c>
      <c r="AD131" s="3">
        <f t="shared" si="98"/>
        <v>944623.1</v>
      </c>
      <c r="AE131" s="3">
        <f t="shared" si="98"/>
        <v>6753911</v>
      </c>
      <c r="AF131" s="3">
        <f t="shared" si="98"/>
        <v>682033.7</v>
      </c>
      <c r="AG131" s="3">
        <f t="shared" si="98"/>
        <v>1069851.3500000001</v>
      </c>
      <c r="AH131" s="3">
        <f t="shared" si="98"/>
        <v>6056015.3500000006</v>
      </c>
      <c r="AI131" s="3">
        <f t="shared" ref="AI131:BL131" si="99">AI83</f>
        <v>738899.9</v>
      </c>
      <c r="AJ131" s="3">
        <f t="shared" si="99"/>
        <v>690350.35</v>
      </c>
      <c r="AK131" s="3">
        <f t="shared" si="99"/>
        <v>1485821.5499999998</v>
      </c>
      <c r="AL131" s="3">
        <f t="shared" si="99"/>
        <v>1228525.6499999999</v>
      </c>
      <c r="AM131" s="3">
        <f t="shared" si="99"/>
        <v>1396316.9</v>
      </c>
      <c r="AN131" s="3">
        <f t="shared" si="99"/>
        <v>88761.75</v>
      </c>
      <c r="AO131" s="3">
        <f t="shared" si="99"/>
        <v>1917802.15</v>
      </c>
      <c r="AP131" s="3">
        <f t="shared" si="99"/>
        <v>739854.6</v>
      </c>
      <c r="AQ131" s="3">
        <f t="shared" si="99"/>
        <v>569516.44999999995</v>
      </c>
      <c r="AR131" s="3">
        <f t="shared" si="99"/>
        <v>234802.95</v>
      </c>
      <c r="AS131" s="3">
        <f t="shared" si="99"/>
        <v>174292.80000000002</v>
      </c>
      <c r="AT131" s="3">
        <f t="shared" si="99"/>
        <v>179840.19999999998</v>
      </c>
      <c r="AU131" s="3">
        <f t="shared" si="99"/>
        <v>339938.9</v>
      </c>
      <c r="AV131" s="3">
        <f t="shared" si="99"/>
        <v>538998.5</v>
      </c>
      <c r="AW131" s="3">
        <f t="shared" si="99"/>
        <v>683822.4</v>
      </c>
      <c r="AX131" s="3">
        <f t="shared" si="99"/>
        <v>469153.65</v>
      </c>
      <c r="AY131" s="3">
        <f t="shared" si="99"/>
        <v>1936714.6500000001</v>
      </c>
      <c r="AZ131" s="3">
        <f t="shared" si="99"/>
        <v>918674.55</v>
      </c>
      <c r="BA131" s="3">
        <f t="shared" si="99"/>
        <v>22882863.699999999</v>
      </c>
      <c r="BB131" s="3">
        <f t="shared" si="99"/>
        <v>1715808.45</v>
      </c>
      <c r="BC131" s="3">
        <f t="shared" si="99"/>
        <v>375063.39999999997</v>
      </c>
      <c r="BD131" s="3">
        <f t="shared" si="99"/>
        <v>482947.14999999997</v>
      </c>
      <c r="BE131" s="3">
        <f t="shared" si="99"/>
        <v>969250.35</v>
      </c>
      <c r="BF131" s="3">
        <f t="shared" si="99"/>
        <v>1600937.8499999999</v>
      </c>
      <c r="BG131" s="3">
        <f t="shared" si="99"/>
        <v>143185.75</v>
      </c>
      <c r="BH131" s="3">
        <f t="shared" ref="BH131" si="100">BH83</f>
        <v>486525.6</v>
      </c>
      <c r="BI131" s="3">
        <f t="shared" si="99"/>
        <v>959751.8</v>
      </c>
      <c r="BJ131" s="3">
        <f t="shared" si="99"/>
        <v>279634.45</v>
      </c>
      <c r="BK131" s="3">
        <f t="shared" si="99"/>
        <v>225023.15</v>
      </c>
      <c r="BL131" s="3">
        <f t="shared" si="99"/>
        <v>2406817.7999999998</v>
      </c>
      <c r="BM131" s="3">
        <f t="shared" ref="BM131:BZ131" si="101">BM83</f>
        <v>1012851.2</v>
      </c>
      <c r="BN131" s="3">
        <f t="shared" si="101"/>
        <v>871467</v>
      </c>
      <c r="BO131" s="3">
        <f t="shared" si="101"/>
        <v>2733525.9</v>
      </c>
      <c r="BP131" s="3">
        <f t="shared" si="101"/>
        <v>2373868.5</v>
      </c>
      <c r="BQ131" s="3">
        <f t="shared" si="101"/>
        <v>2099366.75</v>
      </c>
      <c r="BR131" s="3">
        <f t="shared" si="101"/>
        <v>11559832.200000001</v>
      </c>
      <c r="BS131" s="3">
        <f t="shared" si="101"/>
        <v>887491.9</v>
      </c>
      <c r="BT131" s="3">
        <f t="shared" si="101"/>
        <v>1998334.95</v>
      </c>
      <c r="BU131" s="3">
        <f t="shared" si="101"/>
        <v>128551.15000000001</v>
      </c>
      <c r="BV131" s="3">
        <f t="shared" si="101"/>
        <v>265861.15000000002</v>
      </c>
      <c r="BW131" s="3">
        <f t="shared" si="101"/>
        <v>6269870.1499999994</v>
      </c>
      <c r="BX131" s="3">
        <f t="shared" si="101"/>
        <v>279835.45</v>
      </c>
      <c r="BY131" s="3">
        <f t="shared" si="101"/>
        <v>526239.54999999993</v>
      </c>
      <c r="BZ131" s="3">
        <f t="shared" si="101"/>
        <v>930654.55</v>
      </c>
    </row>
    <row r="132" spans="1:80" x14ac:dyDescent="0.2">
      <c r="B132" t="s">
        <v>84</v>
      </c>
      <c r="C132" s="3">
        <f t="shared" ref="C132:AH132" si="102">C94</f>
        <v>100249679.95000003</v>
      </c>
      <c r="D132" s="3">
        <f t="shared" si="102"/>
        <v>15993291.535839427</v>
      </c>
      <c r="E132" s="3">
        <f t="shared" si="102"/>
        <v>1538171.9114933682</v>
      </c>
      <c r="F132" s="3">
        <f t="shared" si="102"/>
        <v>244765.38343836734</v>
      </c>
      <c r="G132" s="3">
        <f t="shared" si="102"/>
        <v>202704.19502420753</v>
      </c>
      <c r="H132" s="3">
        <f t="shared" si="102"/>
        <v>925706.18885393185</v>
      </c>
      <c r="I132" s="3">
        <f t="shared" si="102"/>
        <v>1819880.5767932483</v>
      </c>
      <c r="J132" s="3">
        <f t="shared" si="102"/>
        <v>734219.4637740032</v>
      </c>
      <c r="K132" s="3">
        <f t="shared" si="102"/>
        <v>177183.74926087807</v>
      </c>
      <c r="L132" s="3">
        <f t="shared" si="102"/>
        <v>370737.58410166611</v>
      </c>
      <c r="M132" s="3">
        <f t="shared" si="102"/>
        <v>189709.42881873919</v>
      </c>
      <c r="N132" s="3">
        <f t="shared" si="102"/>
        <v>395318.50022878015</v>
      </c>
      <c r="O132" s="3">
        <f t="shared" si="102"/>
        <v>1408549.2702102836</v>
      </c>
      <c r="P132" s="3">
        <f t="shared" si="102"/>
        <v>1569469.6874310595</v>
      </c>
      <c r="Q132" s="3">
        <f t="shared" si="102"/>
        <v>1481105.7990363999</v>
      </c>
      <c r="R132" s="3">
        <f t="shared" si="102"/>
        <v>578533.82016923977</v>
      </c>
      <c r="S132" s="3">
        <f t="shared" si="102"/>
        <v>1164046.4467445503</v>
      </c>
      <c r="T132" s="3">
        <f t="shared" si="102"/>
        <v>1584604.7597361649</v>
      </c>
      <c r="U132" s="3">
        <f t="shared" si="102"/>
        <v>825158.98901523999</v>
      </c>
      <c r="V132" s="3">
        <f t="shared" si="102"/>
        <v>1123128.78050128</v>
      </c>
      <c r="W132" s="3">
        <f t="shared" si="102"/>
        <v>1372352.9549990026</v>
      </c>
      <c r="X132" s="3">
        <f t="shared" si="102"/>
        <v>2178055.8342126808</v>
      </c>
      <c r="Y132" s="3">
        <f t="shared" si="102"/>
        <v>777017.52259306633</v>
      </c>
      <c r="Z132" s="3">
        <f t="shared" si="102"/>
        <v>373159.23160919995</v>
      </c>
      <c r="AA132" s="3">
        <f t="shared" si="102"/>
        <v>2192893.3322134512</v>
      </c>
      <c r="AB132" s="3">
        <f t="shared" si="102"/>
        <v>271020.6118205582</v>
      </c>
      <c r="AC132" s="3">
        <f t="shared" si="102"/>
        <v>1750847.3812929797</v>
      </c>
      <c r="AD132" s="3">
        <f t="shared" si="102"/>
        <v>474408.68780007231</v>
      </c>
      <c r="AE132" s="3">
        <f t="shared" si="102"/>
        <v>1285498.9822669206</v>
      </c>
      <c r="AF132" s="3">
        <f t="shared" si="102"/>
        <v>596481.40808538836</v>
      </c>
      <c r="AG132" s="3">
        <f t="shared" si="102"/>
        <v>1212533.0889928159</v>
      </c>
      <c r="AH132" s="3">
        <f t="shared" si="102"/>
        <v>2484015.3397518434</v>
      </c>
      <c r="AI132" s="3">
        <f t="shared" ref="AI132:BL132" si="103">AI94</f>
        <v>883406.31898004806</v>
      </c>
      <c r="AJ132" s="3">
        <f t="shared" si="103"/>
        <v>905148.13200368488</v>
      </c>
      <c r="AK132" s="3">
        <f t="shared" si="103"/>
        <v>1091943.7910851315</v>
      </c>
      <c r="AL132" s="3">
        <f t="shared" si="103"/>
        <v>935821.72820498142</v>
      </c>
      <c r="AM132" s="3">
        <f t="shared" si="103"/>
        <v>1494781.9494930392</v>
      </c>
      <c r="AN132" s="3">
        <f t="shared" si="103"/>
        <v>372816.50065255561</v>
      </c>
      <c r="AO132" s="3">
        <f t="shared" si="103"/>
        <v>1723206.2747767416</v>
      </c>
      <c r="AP132" s="3">
        <f t="shared" si="103"/>
        <v>1084078.9743581412</v>
      </c>
      <c r="AQ132" s="3">
        <f t="shared" si="103"/>
        <v>1040132.204139985</v>
      </c>
      <c r="AR132" s="3">
        <f t="shared" si="103"/>
        <v>837588.6448136965</v>
      </c>
      <c r="AS132" s="3">
        <f t="shared" si="103"/>
        <v>470126.01949150983</v>
      </c>
      <c r="AT132" s="3">
        <f t="shared" si="103"/>
        <v>377737.78959474032</v>
      </c>
      <c r="AU132" s="3">
        <f t="shared" si="103"/>
        <v>639893.00242881675</v>
      </c>
      <c r="AV132" s="3">
        <f t="shared" si="103"/>
        <v>506299.72038032557</v>
      </c>
      <c r="AW132" s="3">
        <f t="shared" si="103"/>
        <v>783513.57527214335</v>
      </c>
      <c r="AX132" s="3">
        <f t="shared" si="103"/>
        <v>1141152.5337319432</v>
      </c>
      <c r="AY132" s="3">
        <f t="shared" si="103"/>
        <v>1226839.7047588418</v>
      </c>
      <c r="AZ132" s="3">
        <f t="shared" si="103"/>
        <v>809587.21810337366</v>
      </c>
      <c r="BA132" s="3">
        <f t="shared" si="103"/>
        <v>7062633.693779869</v>
      </c>
      <c r="BB132" s="3">
        <f t="shared" si="103"/>
        <v>1894405.4155853095</v>
      </c>
      <c r="BC132" s="3">
        <f t="shared" si="103"/>
        <v>727121.19281076035</v>
      </c>
      <c r="BD132" s="3">
        <f t="shared" si="103"/>
        <v>572147.52744187089</v>
      </c>
      <c r="BE132" s="3">
        <f t="shared" si="103"/>
        <v>813187.8974227393</v>
      </c>
      <c r="BF132" s="3">
        <f t="shared" si="103"/>
        <v>1345412.4086887676</v>
      </c>
      <c r="BG132" s="3">
        <f t="shared" si="103"/>
        <v>288385.75062657968</v>
      </c>
      <c r="BH132" s="3">
        <f t="shared" ref="BH132" si="104">BH94</f>
        <v>872317.9289275537</v>
      </c>
      <c r="BI132" s="3">
        <f t="shared" si="103"/>
        <v>791153.83549187274</v>
      </c>
      <c r="BJ132" s="3">
        <f t="shared" si="103"/>
        <v>236699.84552145284</v>
      </c>
      <c r="BK132" s="3">
        <f t="shared" si="103"/>
        <v>402027.94595115929</v>
      </c>
      <c r="BL132" s="3">
        <f t="shared" si="103"/>
        <v>1644843.9758108151</v>
      </c>
      <c r="BM132" s="3">
        <f t="shared" ref="BM132:BZ132" si="105">BM94</f>
        <v>835441.62036256178</v>
      </c>
      <c r="BN132" s="3">
        <f t="shared" si="105"/>
        <v>1054303.1685276779</v>
      </c>
      <c r="BO132" s="3">
        <f t="shared" si="105"/>
        <v>2273111.6268953807</v>
      </c>
      <c r="BP132" s="3">
        <f t="shared" si="105"/>
        <v>1528982.9949412374</v>
      </c>
      <c r="BQ132" s="3">
        <f t="shared" si="105"/>
        <v>587250.51407514291</v>
      </c>
      <c r="BR132" s="3">
        <f t="shared" si="105"/>
        <v>4686505.854152306</v>
      </c>
      <c r="BS132" s="3">
        <f t="shared" si="105"/>
        <v>1051328.678155944</v>
      </c>
      <c r="BT132" s="3">
        <f t="shared" si="105"/>
        <v>947965.21333044837</v>
      </c>
      <c r="BU132" s="3">
        <f t="shared" si="105"/>
        <v>271036.85335611209</v>
      </c>
      <c r="BV132" s="3">
        <f t="shared" si="105"/>
        <v>551924.0943562428</v>
      </c>
      <c r="BW132" s="3">
        <f t="shared" si="105"/>
        <v>3548588.5104753748</v>
      </c>
      <c r="BX132" s="3">
        <f t="shared" si="105"/>
        <v>363879.82033104484</v>
      </c>
      <c r="BY132" s="3">
        <f t="shared" si="105"/>
        <v>624564.87182848714</v>
      </c>
      <c r="BZ132" s="3">
        <f t="shared" si="105"/>
        <v>1655814.1827748113</v>
      </c>
    </row>
    <row r="133" spans="1:80" x14ac:dyDescent="0.2">
      <c r="B133" t="s">
        <v>85</v>
      </c>
      <c r="C133" s="3">
        <f t="shared" ref="C133:AH133" si="106">C99</f>
        <v>1616917.6299999997</v>
      </c>
      <c r="D133" s="3">
        <f t="shared" si="106"/>
        <v>341027</v>
      </c>
      <c r="E133" s="3">
        <f t="shared" si="106"/>
        <v>31901.68</v>
      </c>
      <c r="F133" s="3">
        <f t="shared" si="106"/>
        <v>3311.7</v>
      </c>
      <c r="G133" s="3">
        <f t="shared" si="106"/>
        <v>2931.7</v>
      </c>
      <c r="H133" s="3">
        <f t="shared" si="106"/>
        <v>10902.2</v>
      </c>
      <c r="I133" s="3">
        <f t="shared" si="106"/>
        <v>16205.84</v>
      </c>
      <c r="J133" s="3">
        <f t="shared" si="106"/>
        <v>11989.2</v>
      </c>
      <c r="K133" s="3">
        <f t="shared" si="106"/>
        <v>1878.3</v>
      </c>
      <c r="L133" s="3">
        <f t="shared" si="106"/>
        <v>0</v>
      </c>
      <c r="M133" s="3">
        <f t="shared" si="106"/>
        <v>2746.55</v>
      </c>
      <c r="N133" s="3">
        <f t="shared" si="106"/>
        <v>6172.45</v>
      </c>
      <c r="O133" s="3">
        <f t="shared" si="106"/>
        <v>16555.62</v>
      </c>
      <c r="P133" s="3">
        <f t="shared" si="106"/>
        <v>38852.199999999997</v>
      </c>
      <c r="Q133" s="3">
        <f t="shared" si="106"/>
        <v>21580.7</v>
      </c>
      <c r="R133" s="3">
        <f t="shared" si="106"/>
        <v>12147.95</v>
      </c>
      <c r="S133" s="3">
        <f t="shared" si="106"/>
        <v>12664.89</v>
      </c>
      <c r="T133" s="3">
        <f t="shared" si="106"/>
        <v>28948.69</v>
      </c>
      <c r="U133" s="3">
        <f t="shared" si="106"/>
        <v>7523</v>
      </c>
      <c r="V133" s="3">
        <f t="shared" si="106"/>
        <v>11090.66</v>
      </c>
      <c r="W133" s="3">
        <f t="shared" si="106"/>
        <v>19959.3</v>
      </c>
      <c r="X133" s="3">
        <f t="shared" si="106"/>
        <v>16613.75</v>
      </c>
      <c r="Y133" s="3">
        <f t="shared" si="106"/>
        <v>7913</v>
      </c>
      <c r="Z133" s="3">
        <f t="shared" si="106"/>
        <v>3799.01</v>
      </c>
      <c r="AA133" s="3">
        <f t="shared" si="106"/>
        <v>42771.94</v>
      </c>
      <c r="AB133" s="3">
        <f t="shared" si="106"/>
        <v>2056.04</v>
      </c>
      <c r="AC133" s="3">
        <f t="shared" si="106"/>
        <v>25533.35</v>
      </c>
      <c r="AD133" s="3">
        <f t="shared" si="106"/>
        <v>4008.57</v>
      </c>
      <c r="AE133" s="3">
        <f t="shared" si="106"/>
        <v>27407.35</v>
      </c>
      <c r="AF133" s="3">
        <f t="shared" si="106"/>
        <v>7632.6</v>
      </c>
      <c r="AG133" s="3">
        <f t="shared" si="106"/>
        <v>43384.85</v>
      </c>
      <c r="AH133" s="3">
        <f t="shared" si="106"/>
        <v>34305</v>
      </c>
      <c r="AI133" s="3">
        <f t="shared" ref="AI133:BL133" si="107">AI99</f>
        <v>6301.4</v>
      </c>
      <c r="AJ133" s="3">
        <f t="shared" si="107"/>
        <v>12029.15</v>
      </c>
      <c r="AK133" s="3">
        <f t="shared" si="107"/>
        <v>12230.15</v>
      </c>
      <c r="AL133" s="3">
        <f t="shared" si="107"/>
        <v>9732</v>
      </c>
      <c r="AM133" s="3">
        <f t="shared" si="107"/>
        <v>11666</v>
      </c>
      <c r="AN133" s="3">
        <f t="shared" si="107"/>
        <v>25556.94</v>
      </c>
      <c r="AO133" s="3">
        <f t="shared" si="107"/>
        <v>27293.85</v>
      </c>
      <c r="AP133" s="3">
        <f t="shared" si="107"/>
        <v>11505.78</v>
      </c>
      <c r="AQ133" s="3">
        <f t="shared" si="107"/>
        <v>11991.8</v>
      </c>
      <c r="AR133" s="3">
        <f t="shared" si="107"/>
        <v>184.2</v>
      </c>
      <c r="AS133" s="3">
        <f t="shared" si="107"/>
        <v>5677.95</v>
      </c>
      <c r="AT133" s="3">
        <f t="shared" si="107"/>
        <v>6184.17</v>
      </c>
      <c r="AU133" s="3">
        <f t="shared" si="107"/>
        <v>6822.64</v>
      </c>
      <c r="AV133" s="3">
        <f t="shared" si="107"/>
        <v>5899.6</v>
      </c>
      <c r="AW133" s="3">
        <f t="shared" si="107"/>
        <v>8853.4500000000007</v>
      </c>
      <c r="AX133" s="3">
        <f t="shared" si="107"/>
        <v>10893.05</v>
      </c>
      <c r="AY133" s="3">
        <f t="shared" si="107"/>
        <v>26791.88</v>
      </c>
      <c r="AZ133" s="3">
        <f t="shared" si="107"/>
        <v>13657.6</v>
      </c>
      <c r="BA133" s="3">
        <f t="shared" si="107"/>
        <v>104845.2</v>
      </c>
      <c r="BB133" s="3">
        <f t="shared" si="107"/>
        <v>23051.66</v>
      </c>
      <c r="BC133" s="3">
        <f t="shared" si="107"/>
        <v>8106.2</v>
      </c>
      <c r="BD133" s="3">
        <f t="shared" si="107"/>
        <v>19773.55</v>
      </c>
      <c r="BE133" s="3">
        <f t="shared" si="107"/>
        <v>14735.22</v>
      </c>
      <c r="BF133" s="3">
        <f t="shared" si="107"/>
        <v>33792.5</v>
      </c>
      <c r="BG133" s="3">
        <f t="shared" si="107"/>
        <v>4306.3500000000004</v>
      </c>
      <c r="BH133" s="3">
        <f t="shared" ref="BH133" si="108">BH99</f>
        <v>22577.9</v>
      </c>
      <c r="BI133" s="3">
        <f t="shared" si="107"/>
        <v>17110.900000000001</v>
      </c>
      <c r="BJ133" s="3">
        <f t="shared" si="107"/>
        <v>3108</v>
      </c>
      <c r="BK133" s="3">
        <f t="shared" si="107"/>
        <v>10078.24</v>
      </c>
      <c r="BL133" s="3">
        <f t="shared" si="107"/>
        <v>30382.199999999997</v>
      </c>
      <c r="BM133" s="3">
        <f t="shared" ref="BM133:BZ133" si="109">BM99</f>
        <v>8183.93</v>
      </c>
      <c r="BN133" s="3">
        <f t="shared" si="109"/>
        <v>13801.55</v>
      </c>
      <c r="BO133" s="3">
        <f t="shared" si="109"/>
        <v>32491</v>
      </c>
      <c r="BP133" s="3">
        <f t="shared" si="109"/>
        <v>28138</v>
      </c>
      <c r="BQ133" s="3">
        <f t="shared" si="109"/>
        <v>12760.25</v>
      </c>
      <c r="BR133" s="3">
        <f t="shared" si="109"/>
        <v>101700.02</v>
      </c>
      <c r="BS133" s="3">
        <f t="shared" si="109"/>
        <v>8815.0499999999993</v>
      </c>
      <c r="BT133" s="3">
        <f t="shared" si="109"/>
        <v>9826.65</v>
      </c>
      <c r="BU133" s="3">
        <f t="shared" si="109"/>
        <v>1268.4000000000001</v>
      </c>
      <c r="BV133" s="3">
        <f t="shared" si="109"/>
        <v>7994.3</v>
      </c>
      <c r="BW133" s="3">
        <f t="shared" si="109"/>
        <v>30836.34</v>
      </c>
      <c r="BX133" s="3">
        <f t="shared" si="109"/>
        <v>5595.46</v>
      </c>
      <c r="BY133" s="3">
        <f t="shared" si="109"/>
        <v>12626.06</v>
      </c>
      <c r="BZ133" s="3">
        <f t="shared" si="109"/>
        <v>23926</v>
      </c>
    </row>
    <row r="134" spans="1:80" x14ac:dyDescent="0.2">
      <c r="B134" t="s">
        <v>2</v>
      </c>
      <c r="C134" s="3">
        <f t="shared" ref="C134:AH134" si="110">C104</f>
        <v>66697905.510000005</v>
      </c>
      <c r="D134" s="3">
        <f t="shared" si="110"/>
        <v>10747087.699999999</v>
      </c>
      <c r="E134" s="3">
        <f t="shared" si="110"/>
        <v>1043078.83</v>
      </c>
      <c r="F134" s="3">
        <f t="shared" si="110"/>
        <v>130609.25</v>
      </c>
      <c r="G134" s="3">
        <f t="shared" si="110"/>
        <v>63419.6</v>
      </c>
      <c r="H134" s="3">
        <f t="shared" si="110"/>
        <v>657110.5</v>
      </c>
      <c r="I134" s="3">
        <f t="shared" si="110"/>
        <v>818506.56</v>
      </c>
      <c r="J134" s="3">
        <f t="shared" si="110"/>
        <v>484469.95</v>
      </c>
      <c r="K134" s="3">
        <f t="shared" si="110"/>
        <v>280086.40000000002</v>
      </c>
      <c r="L134" s="3">
        <f t="shared" si="110"/>
        <v>150547.85</v>
      </c>
      <c r="M134" s="3">
        <f t="shared" si="110"/>
        <v>39640.449999999997</v>
      </c>
      <c r="N134" s="3">
        <f t="shared" si="110"/>
        <v>211831.45</v>
      </c>
      <c r="O134" s="3">
        <f t="shared" si="110"/>
        <v>1764100.94</v>
      </c>
      <c r="P134" s="3">
        <f t="shared" si="110"/>
        <v>1232195.5</v>
      </c>
      <c r="Q134" s="3">
        <f t="shared" si="110"/>
        <v>822027.05</v>
      </c>
      <c r="R134" s="3">
        <f t="shared" si="110"/>
        <v>427526.35</v>
      </c>
      <c r="S134" s="3">
        <f t="shared" si="110"/>
        <v>1058235.48</v>
      </c>
      <c r="T134" s="3">
        <f t="shared" si="110"/>
        <v>1472774.96</v>
      </c>
      <c r="U134" s="3">
        <f t="shared" si="110"/>
        <v>465984</v>
      </c>
      <c r="V134" s="3">
        <f t="shared" si="110"/>
        <v>496769.45</v>
      </c>
      <c r="W134" s="3">
        <f t="shared" si="110"/>
        <v>1047267.57</v>
      </c>
      <c r="X134" s="3">
        <f t="shared" si="110"/>
        <v>1137544.25</v>
      </c>
      <c r="Y134" s="3">
        <f t="shared" si="110"/>
        <v>534555</v>
      </c>
      <c r="Z134" s="3">
        <f t="shared" si="110"/>
        <v>150512.47</v>
      </c>
      <c r="AA134" s="3">
        <f t="shared" si="110"/>
        <v>1221347.06</v>
      </c>
      <c r="AB134" s="3">
        <f t="shared" si="110"/>
        <v>152245.79</v>
      </c>
      <c r="AC134" s="3">
        <f t="shared" si="110"/>
        <v>868191.49</v>
      </c>
      <c r="AD134" s="3">
        <f t="shared" si="110"/>
        <v>208144.87</v>
      </c>
      <c r="AE134" s="3">
        <f t="shared" si="110"/>
        <v>592568.85</v>
      </c>
      <c r="AF134" s="3">
        <f t="shared" si="110"/>
        <v>314155.95</v>
      </c>
      <c r="AG134" s="3">
        <f t="shared" si="110"/>
        <v>662938.80000000005</v>
      </c>
      <c r="AH134" s="3">
        <f t="shared" si="110"/>
        <v>1532879.61</v>
      </c>
      <c r="AI134" s="3">
        <f t="shared" ref="AI134:BL134" si="111">AI104</f>
        <v>712353.9</v>
      </c>
      <c r="AJ134" s="3">
        <f t="shared" si="111"/>
        <v>676079.2</v>
      </c>
      <c r="AK134" s="3">
        <f t="shared" si="111"/>
        <v>753282.7</v>
      </c>
      <c r="AL134" s="3">
        <f t="shared" si="111"/>
        <v>507399</v>
      </c>
      <c r="AM134" s="3">
        <f t="shared" si="111"/>
        <v>788651</v>
      </c>
      <c r="AN134" s="3">
        <f t="shared" si="111"/>
        <v>118401.31</v>
      </c>
      <c r="AO134" s="3">
        <f t="shared" si="111"/>
        <v>1046843.5</v>
      </c>
      <c r="AP134" s="3">
        <f t="shared" si="111"/>
        <v>890717.45</v>
      </c>
      <c r="AQ134" s="3">
        <f t="shared" si="111"/>
        <v>365733.64</v>
      </c>
      <c r="AR134" s="3">
        <f t="shared" si="111"/>
        <v>357911.3</v>
      </c>
      <c r="AS134" s="3">
        <f t="shared" si="111"/>
        <v>319816.8</v>
      </c>
      <c r="AT134" s="3">
        <f t="shared" si="111"/>
        <v>238631.67999999999</v>
      </c>
      <c r="AU134" s="3">
        <f t="shared" si="111"/>
        <v>417986.07</v>
      </c>
      <c r="AV134" s="3">
        <f t="shared" si="111"/>
        <v>242948.85</v>
      </c>
      <c r="AW134" s="3">
        <f t="shared" si="111"/>
        <v>585988.69999999995</v>
      </c>
      <c r="AX134" s="3">
        <f t="shared" si="111"/>
        <v>1062006.2</v>
      </c>
      <c r="AY134" s="3">
        <f t="shared" si="111"/>
        <v>1534595.16</v>
      </c>
      <c r="AZ134" s="3">
        <f t="shared" si="111"/>
        <v>481626.92</v>
      </c>
      <c r="BA134" s="3">
        <f t="shared" si="111"/>
        <v>3963250.2</v>
      </c>
      <c r="BB134" s="3">
        <f t="shared" si="111"/>
        <v>1392136.69</v>
      </c>
      <c r="BC134" s="3">
        <f t="shared" si="111"/>
        <v>399077.45</v>
      </c>
      <c r="BD134" s="3">
        <f t="shared" si="111"/>
        <v>438589.81</v>
      </c>
      <c r="BE134" s="3">
        <f t="shared" si="111"/>
        <v>477269.77</v>
      </c>
      <c r="BF134" s="3">
        <f t="shared" si="111"/>
        <v>1364961.86</v>
      </c>
      <c r="BG134" s="3">
        <f t="shared" si="111"/>
        <v>525157.80000000005</v>
      </c>
      <c r="BH134" s="3">
        <f t="shared" ref="BH134" si="112">BH104</f>
        <v>578932.35</v>
      </c>
      <c r="BI134" s="3">
        <f t="shared" si="111"/>
        <v>324153.05</v>
      </c>
      <c r="BJ134" s="3">
        <f t="shared" si="111"/>
        <v>132032.98000000001</v>
      </c>
      <c r="BK134" s="3">
        <f t="shared" si="111"/>
        <v>143051.35</v>
      </c>
      <c r="BL134" s="3">
        <f t="shared" si="111"/>
        <v>735867.75</v>
      </c>
      <c r="BM134" s="3">
        <f t="shared" ref="BM134:BZ134" si="113">BM104</f>
        <v>578276.04</v>
      </c>
      <c r="BN134" s="3">
        <f t="shared" si="113"/>
        <v>598875.30000000005</v>
      </c>
      <c r="BO134" s="3">
        <f t="shared" si="113"/>
        <v>1884720.85</v>
      </c>
      <c r="BP134" s="3">
        <f t="shared" si="113"/>
        <v>1106897.8500000001</v>
      </c>
      <c r="BQ134" s="3">
        <f t="shared" si="113"/>
        <v>501559.2</v>
      </c>
      <c r="BR134" s="3">
        <f t="shared" si="113"/>
        <v>3832501.4</v>
      </c>
      <c r="BS134" s="3">
        <f t="shared" si="113"/>
        <v>864370.7</v>
      </c>
      <c r="BT134" s="3">
        <f t="shared" si="113"/>
        <v>818061</v>
      </c>
      <c r="BU134" s="3">
        <f t="shared" si="113"/>
        <v>84187.08</v>
      </c>
      <c r="BV134" s="3">
        <f t="shared" si="113"/>
        <v>228669.6</v>
      </c>
      <c r="BW134" s="3">
        <f t="shared" si="113"/>
        <v>2111197.44</v>
      </c>
      <c r="BX134" s="3">
        <f t="shared" si="113"/>
        <v>328055.43</v>
      </c>
      <c r="BY134" s="3">
        <f t="shared" si="113"/>
        <v>321128.2</v>
      </c>
      <c r="BZ134" s="3">
        <f t="shared" si="113"/>
        <v>1075597</v>
      </c>
    </row>
    <row r="135" spans="1:80" x14ac:dyDescent="0.2">
      <c r="B135" t="s">
        <v>3</v>
      </c>
      <c r="C135" s="3">
        <f t="shared" ref="C135:AH135" si="114">C109</f>
        <v>104385009.85000001</v>
      </c>
      <c r="D135" s="3">
        <f t="shared" si="114"/>
        <v>16851736.399999999</v>
      </c>
      <c r="E135" s="3">
        <f t="shared" si="114"/>
        <v>2081393.25</v>
      </c>
      <c r="F135" s="3">
        <f t="shared" si="114"/>
        <v>280270.90000000002</v>
      </c>
      <c r="G135" s="3">
        <f t="shared" si="114"/>
        <v>170378.35</v>
      </c>
      <c r="H135" s="3">
        <f t="shared" si="114"/>
        <v>1891899.75</v>
      </c>
      <c r="I135" s="3">
        <f t="shared" si="114"/>
        <v>1188319.55</v>
      </c>
      <c r="J135" s="3">
        <f t="shared" si="114"/>
        <v>376225.7</v>
      </c>
      <c r="K135" s="3">
        <f t="shared" si="114"/>
        <v>301232.34999999998</v>
      </c>
      <c r="L135" s="3">
        <f t="shared" si="114"/>
        <v>217145.65</v>
      </c>
      <c r="M135" s="3">
        <f t="shared" si="114"/>
        <v>-44848.15</v>
      </c>
      <c r="N135" s="3">
        <f t="shared" si="114"/>
        <v>155261.65</v>
      </c>
      <c r="O135" s="3">
        <f t="shared" si="114"/>
        <v>1116222.5999999999</v>
      </c>
      <c r="P135" s="3">
        <f t="shared" si="114"/>
        <v>2711163.15</v>
      </c>
      <c r="Q135" s="3">
        <f t="shared" si="114"/>
        <v>799818.15</v>
      </c>
      <c r="R135" s="3">
        <f t="shared" si="114"/>
        <v>836172.89999999991</v>
      </c>
      <c r="S135" s="3">
        <f t="shared" si="114"/>
        <v>1978224.1</v>
      </c>
      <c r="T135" s="3">
        <f t="shared" si="114"/>
        <v>1757069.75</v>
      </c>
      <c r="U135" s="3">
        <f t="shared" si="114"/>
        <v>694056.35</v>
      </c>
      <c r="V135" s="3">
        <f t="shared" si="114"/>
        <v>1212217.7000000002</v>
      </c>
      <c r="W135" s="3">
        <f t="shared" si="114"/>
        <v>1297421.8</v>
      </c>
      <c r="X135" s="3">
        <f t="shared" si="114"/>
        <v>2099670.6</v>
      </c>
      <c r="Y135" s="3">
        <f t="shared" si="114"/>
        <v>998777.55</v>
      </c>
      <c r="Z135" s="3">
        <f t="shared" si="114"/>
        <v>290842.84999999998</v>
      </c>
      <c r="AA135" s="3">
        <f t="shared" si="114"/>
        <v>2547381.25</v>
      </c>
      <c r="AB135" s="3">
        <f t="shared" si="114"/>
        <v>238403.69999999998</v>
      </c>
      <c r="AC135" s="3">
        <f t="shared" si="114"/>
        <v>1804683.95</v>
      </c>
      <c r="AD135" s="3">
        <f t="shared" si="114"/>
        <v>273043.59999999998</v>
      </c>
      <c r="AE135" s="3">
        <f t="shared" si="114"/>
        <v>1346909.05</v>
      </c>
      <c r="AF135" s="3">
        <f t="shared" si="114"/>
        <v>695821.14999999991</v>
      </c>
      <c r="AG135" s="3">
        <f t="shared" si="114"/>
        <v>1563598.0999999999</v>
      </c>
      <c r="AH135" s="3">
        <f t="shared" si="114"/>
        <v>3098432.95</v>
      </c>
      <c r="AI135" s="3">
        <f t="shared" ref="AI135:BL135" si="115">AI109</f>
        <v>883672.65</v>
      </c>
      <c r="AJ135" s="3">
        <f t="shared" si="115"/>
        <v>998712.85000000009</v>
      </c>
      <c r="AK135" s="3">
        <f t="shared" si="115"/>
        <v>1401782.1500000001</v>
      </c>
      <c r="AL135" s="3">
        <f t="shared" si="115"/>
        <v>708173.55</v>
      </c>
      <c r="AM135" s="3">
        <f t="shared" si="115"/>
        <v>1480216.6500000001</v>
      </c>
      <c r="AN135" s="3">
        <f t="shared" si="115"/>
        <v>176554.1</v>
      </c>
      <c r="AO135" s="3">
        <f t="shared" si="115"/>
        <v>763457.65</v>
      </c>
      <c r="AP135" s="3">
        <f t="shared" si="115"/>
        <v>1447144.3499999999</v>
      </c>
      <c r="AQ135" s="3">
        <f t="shared" si="115"/>
        <v>482674.75</v>
      </c>
      <c r="AR135" s="3">
        <f t="shared" si="115"/>
        <v>772037.4</v>
      </c>
      <c r="AS135" s="3">
        <f t="shared" si="115"/>
        <v>846763.2</v>
      </c>
      <c r="AT135" s="3">
        <f t="shared" si="115"/>
        <v>308863.8</v>
      </c>
      <c r="AU135" s="3">
        <f t="shared" si="115"/>
        <v>471268.05</v>
      </c>
      <c r="AV135" s="3">
        <f t="shared" si="115"/>
        <v>763911.9</v>
      </c>
      <c r="AW135" s="3">
        <f t="shared" si="115"/>
        <v>480148</v>
      </c>
      <c r="AX135" s="3">
        <f t="shared" si="115"/>
        <v>1947703.9</v>
      </c>
      <c r="AY135" s="3">
        <f t="shared" si="115"/>
        <v>1637513.2</v>
      </c>
      <c r="AZ135" s="3">
        <f t="shared" si="115"/>
        <v>332705.69999999995</v>
      </c>
      <c r="BA135" s="3">
        <f t="shared" si="115"/>
        <v>9175873.25</v>
      </c>
      <c r="BB135" s="3">
        <f t="shared" si="115"/>
        <v>1414335.4</v>
      </c>
      <c r="BC135" s="3">
        <f t="shared" si="115"/>
        <v>475110.75</v>
      </c>
      <c r="BD135" s="3">
        <f t="shared" si="115"/>
        <v>450211.55000000005</v>
      </c>
      <c r="BE135" s="3">
        <f t="shared" si="115"/>
        <v>849727.4</v>
      </c>
      <c r="BF135" s="3">
        <f t="shared" si="115"/>
        <v>2206597.35</v>
      </c>
      <c r="BG135" s="3">
        <f t="shared" si="115"/>
        <v>247698.35</v>
      </c>
      <c r="BH135" s="3">
        <f t="shared" ref="BH135" si="116">BH109</f>
        <v>897892.65000000014</v>
      </c>
      <c r="BI135" s="3">
        <f t="shared" si="115"/>
        <v>897168.45</v>
      </c>
      <c r="BJ135" s="3">
        <f t="shared" si="115"/>
        <v>177903.05</v>
      </c>
      <c r="BK135" s="3">
        <f t="shared" si="115"/>
        <v>121727.3</v>
      </c>
      <c r="BL135" s="3">
        <f t="shared" si="115"/>
        <v>2960797.85</v>
      </c>
      <c r="BM135" s="3">
        <f t="shared" ref="BM135:BZ135" si="117">BM109</f>
        <v>449204.65</v>
      </c>
      <c r="BN135" s="3">
        <f t="shared" si="117"/>
        <v>824093.79999999993</v>
      </c>
      <c r="BO135" s="3">
        <f t="shared" si="117"/>
        <v>2453100.9499999997</v>
      </c>
      <c r="BP135" s="3">
        <f t="shared" si="117"/>
        <v>1525423.55</v>
      </c>
      <c r="BQ135" s="3">
        <f t="shared" si="117"/>
        <v>570193.85</v>
      </c>
      <c r="BR135" s="3">
        <f t="shared" si="117"/>
        <v>3511560.65</v>
      </c>
      <c r="BS135" s="3">
        <f t="shared" si="117"/>
        <v>1269483</v>
      </c>
      <c r="BT135" s="3">
        <f t="shared" si="117"/>
        <v>836991.45000000007</v>
      </c>
      <c r="BU135" s="3">
        <f t="shared" si="117"/>
        <v>277010.64999999997</v>
      </c>
      <c r="BV135" s="3">
        <f t="shared" si="117"/>
        <v>196828.2</v>
      </c>
      <c r="BW135" s="3">
        <f t="shared" si="117"/>
        <v>2893895</v>
      </c>
      <c r="BX135" s="3">
        <f t="shared" si="117"/>
        <v>286068.3</v>
      </c>
      <c r="BY135" s="3">
        <f t="shared" si="117"/>
        <v>685935.7</v>
      </c>
      <c r="BZ135" s="3">
        <f t="shared" si="117"/>
        <v>1997926.25</v>
      </c>
    </row>
    <row r="136" spans="1:80" x14ac:dyDescent="0.2">
      <c r="B136" t="s">
        <v>79</v>
      </c>
      <c r="C136" s="3">
        <f>SUM(C129:C135)</f>
        <v>1871694244.6716547</v>
      </c>
      <c r="D136" s="3">
        <f t="shared" ref="D136:BM136" si="118">SUM(D129:D135)</f>
        <v>309074908.11465555</v>
      </c>
      <c r="E136" s="3">
        <f t="shared" si="118"/>
        <v>28646123.889908794</v>
      </c>
      <c r="F136" s="3">
        <f t="shared" si="118"/>
        <v>4170954.7430386096</v>
      </c>
      <c r="G136" s="3">
        <f t="shared" si="118"/>
        <v>3327357.0308977994</v>
      </c>
      <c r="H136" s="3">
        <f t="shared" si="118"/>
        <v>24858153.868234757</v>
      </c>
      <c r="I136" s="3">
        <f t="shared" si="118"/>
        <v>35677624.308020405</v>
      </c>
      <c r="J136" s="3">
        <f t="shared" si="118"/>
        <v>12006455.926802136</v>
      </c>
      <c r="K136" s="3">
        <f t="shared" si="118"/>
        <v>3830286.8972541736</v>
      </c>
      <c r="L136" s="3">
        <f t="shared" si="118"/>
        <v>6935852.5291178692</v>
      </c>
      <c r="M136" s="3">
        <f t="shared" si="118"/>
        <v>3173347.1252957843</v>
      </c>
      <c r="N136" s="3">
        <f t="shared" si="118"/>
        <v>7288144.6724031111</v>
      </c>
      <c r="O136" s="3">
        <f t="shared" si="118"/>
        <v>27867573.6396497</v>
      </c>
      <c r="P136" s="3">
        <f t="shared" si="118"/>
        <v>28062157.078586031</v>
      </c>
      <c r="Q136" s="3">
        <f t="shared" si="118"/>
        <v>27351161.318856303</v>
      </c>
      <c r="R136" s="3">
        <f t="shared" si="118"/>
        <v>9947975.4826400857</v>
      </c>
      <c r="S136" s="3">
        <f t="shared" si="118"/>
        <v>19814844.445237745</v>
      </c>
      <c r="T136" s="3">
        <f t="shared" si="118"/>
        <v>31236311.603897594</v>
      </c>
      <c r="U136" s="3">
        <f t="shared" si="118"/>
        <v>16655862.257650964</v>
      </c>
      <c r="V136" s="3">
        <f t="shared" si="118"/>
        <v>27705997.978237029</v>
      </c>
      <c r="W136" s="3">
        <f t="shared" si="118"/>
        <v>25804984.397081625</v>
      </c>
      <c r="X136" s="3">
        <f t="shared" si="118"/>
        <v>40977631.072695978</v>
      </c>
      <c r="Y136" s="3">
        <f t="shared" si="118"/>
        <v>17322557.746190023</v>
      </c>
      <c r="Z136" s="3">
        <f t="shared" si="118"/>
        <v>6674615.0683500562</v>
      </c>
      <c r="AA136" s="3">
        <f t="shared" si="118"/>
        <v>40730926.243163392</v>
      </c>
      <c r="AB136" s="3">
        <f t="shared" si="118"/>
        <v>4340275.5184406731</v>
      </c>
      <c r="AC136" s="3">
        <f t="shared" si="118"/>
        <v>30027834.927304488</v>
      </c>
      <c r="AD136" s="3">
        <f t="shared" si="118"/>
        <v>7485215.4544549873</v>
      </c>
      <c r="AE136" s="3">
        <f t="shared" si="118"/>
        <v>27495792.690047838</v>
      </c>
      <c r="AF136" s="3">
        <f t="shared" si="118"/>
        <v>10851326.454184074</v>
      </c>
      <c r="AG136" s="3">
        <f t="shared" si="118"/>
        <v>22695322.040110715</v>
      </c>
      <c r="AH136" s="3">
        <f t="shared" si="118"/>
        <v>47529893.822502106</v>
      </c>
      <c r="AI136" s="3">
        <f t="shared" si="118"/>
        <v>15653585.752697822</v>
      </c>
      <c r="AJ136" s="3">
        <f t="shared" si="118"/>
        <v>14163606.26533949</v>
      </c>
      <c r="AK136" s="3">
        <f t="shared" si="118"/>
        <v>19938158.87148029</v>
      </c>
      <c r="AL136" s="3">
        <f t="shared" si="118"/>
        <v>14733531.142844543</v>
      </c>
      <c r="AM136" s="3">
        <f t="shared" si="118"/>
        <v>24380770.040221114</v>
      </c>
      <c r="AN136" s="3">
        <f t="shared" si="118"/>
        <v>4173780.9313496514</v>
      </c>
      <c r="AO136" s="3">
        <f t="shared" si="118"/>
        <v>25883346.919132322</v>
      </c>
      <c r="AP136" s="3">
        <f t="shared" si="118"/>
        <v>15115277.693910144</v>
      </c>
      <c r="AQ136" s="3">
        <f t="shared" si="118"/>
        <v>17767303.714880772</v>
      </c>
      <c r="AR136" s="3">
        <f t="shared" si="118"/>
        <v>10061130.589777198</v>
      </c>
      <c r="AS136" s="3">
        <f t="shared" si="118"/>
        <v>7977626.1654978655</v>
      </c>
      <c r="AT136" s="3">
        <f t="shared" si="118"/>
        <v>6683931.5466388064</v>
      </c>
      <c r="AU136" s="3">
        <f t="shared" si="118"/>
        <v>9972618.4708576929</v>
      </c>
      <c r="AV136" s="3">
        <f t="shared" si="118"/>
        <v>8704837.0795585085</v>
      </c>
      <c r="AW136" s="3">
        <f t="shared" si="118"/>
        <v>14063903.328388851</v>
      </c>
      <c r="AX136" s="3">
        <f t="shared" si="118"/>
        <v>21166413.454559095</v>
      </c>
      <c r="AY136" s="3">
        <f t="shared" si="118"/>
        <v>22355293.253275584</v>
      </c>
      <c r="AZ136" s="3">
        <f t="shared" si="118"/>
        <v>14651366.485980509</v>
      </c>
      <c r="BA136" s="3">
        <f t="shared" si="118"/>
        <v>163418072.16315609</v>
      </c>
      <c r="BB136" s="3">
        <f t="shared" si="118"/>
        <v>31512515.377302341</v>
      </c>
      <c r="BC136" s="3">
        <f t="shared" si="118"/>
        <v>8631165.7735696528</v>
      </c>
      <c r="BD136" s="3">
        <f t="shared" si="118"/>
        <v>9550984.0356803555</v>
      </c>
      <c r="BE136" s="3">
        <f t="shared" si="118"/>
        <v>13306471.492198605</v>
      </c>
      <c r="BF136" s="3">
        <f t="shared" si="118"/>
        <v>24530173.369185362</v>
      </c>
      <c r="BG136" s="3">
        <f t="shared" si="118"/>
        <v>5914424.9135617567</v>
      </c>
      <c r="BH136" s="3">
        <f t="shared" ref="BH136" si="119">SUM(BH129:BH135)</f>
        <v>14043498.450542858</v>
      </c>
      <c r="BI136" s="3">
        <f t="shared" si="118"/>
        <v>13563930.632339129</v>
      </c>
      <c r="BJ136" s="3">
        <f t="shared" si="118"/>
        <v>4130701.2292876113</v>
      </c>
      <c r="BK136" s="3">
        <f t="shared" si="118"/>
        <v>6527765.9463587031</v>
      </c>
      <c r="BL136" s="3">
        <f t="shared" si="118"/>
        <v>28713742.033182502</v>
      </c>
      <c r="BM136" s="3">
        <f t="shared" si="118"/>
        <v>12452327.37055291</v>
      </c>
      <c r="BN136" s="3">
        <f t="shared" ref="BN136:BZ136" si="120">SUM(BN129:BN135)</f>
        <v>18733740.076621518</v>
      </c>
      <c r="BO136" s="3">
        <f t="shared" si="120"/>
        <v>39348052.803841732</v>
      </c>
      <c r="BP136" s="3">
        <f t="shared" si="120"/>
        <v>28891694.632926133</v>
      </c>
      <c r="BQ136" s="3">
        <f t="shared" si="120"/>
        <v>11405490.504022816</v>
      </c>
      <c r="BR136" s="3">
        <f t="shared" si="120"/>
        <v>92761874.514676601</v>
      </c>
      <c r="BS136" s="3">
        <f t="shared" si="120"/>
        <v>21893855.73313025</v>
      </c>
      <c r="BT136" s="3">
        <f t="shared" si="120"/>
        <v>16662162.153425336</v>
      </c>
      <c r="BU136" s="3">
        <f t="shared" si="120"/>
        <v>4502266.8393530194</v>
      </c>
      <c r="BV136" s="3">
        <f t="shared" si="120"/>
        <v>9560737.4090353642</v>
      </c>
      <c r="BW136" s="3">
        <f t="shared" si="120"/>
        <v>63346615.747406296</v>
      </c>
      <c r="BX136" s="3">
        <f t="shared" si="120"/>
        <v>7194168.6899830597</v>
      </c>
      <c r="BY136" s="3">
        <f t="shared" si="120"/>
        <v>11085146.025895745</v>
      </c>
      <c r="BZ136" s="3">
        <f t="shared" si="120"/>
        <v>32998716.703118309</v>
      </c>
    </row>
    <row r="137" spans="1:80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</row>
    <row r="138" spans="1:80" x14ac:dyDescent="0.2">
      <c r="B138" t="s">
        <v>80</v>
      </c>
      <c r="C138" s="35">
        <f>SUM(D138:BZ138)</f>
        <v>525967</v>
      </c>
      <c r="D138" s="36">
        <v>76931</v>
      </c>
      <c r="E138" s="36">
        <v>9914</v>
      </c>
      <c r="F138" s="36">
        <v>1393</v>
      </c>
      <c r="G138" s="36">
        <v>1253</v>
      </c>
      <c r="H138" s="36">
        <v>3619</v>
      </c>
      <c r="I138" s="36">
        <v>9562</v>
      </c>
      <c r="J138" s="36">
        <v>3583</v>
      </c>
      <c r="K138" s="36">
        <v>988</v>
      </c>
      <c r="L138" s="36">
        <v>1587</v>
      </c>
      <c r="M138" s="36">
        <v>1026</v>
      </c>
      <c r="N138" s="36">
        <v>2364</v>
      </c>
      <c r="O138" s="36">
        <v>7620</v>
      </c>
      <c r="P138" s="36">
        <v>9777</v>
      </c>
      <c r="Q138" s="36">
        <v>6914</v>
      </c>
      <c r="R138" s="36">
        <v>3481</v>
      </c>
      <c r="S138" s="36">
        <v>6249</v>
      </c>
      <c r="T138" s="36">
        <v>8252</v>
      </c>
      <c r="U138" s="36">
        <v>3963</v>
      </c>
      <c r="V138" s="36">
        <v>5067</v>
      </c>
      <c r="W138" s="36">
        <v>6889</v>
      </c>
      <c r="X138" s="36">
        <v>10178</v>
      </c>
      <c r="Y138" s="36">
        <v>4906</v>
      </c>
      <c r="Z138" s="36">
        <v>2137</v>
      </c>
      <c r="AA138" s="36">
        <v>12278</v>
      </c>
      <c r="AB138" s="36">
        <v>1556</v>
      </c>
      <c r="AC138" s="36">
        <v>9180</v>
      </c>
      <c r="AD138" s="36">
        <v>2472</v>
      </c>
      <c r="AE138" s="36">
        <v>6101</v>
      </c>
      <c r="AF138" s="36">
        <v>3606</v>
      </c>
      <c r="AG138" s="36">
        <v>7302</v>
      </c>
      <c r="AH138" s="36">
        <v>13605</v>
      </c>
      <c r="AI138" s="36">
        <v>5279</v>
      </c>
      <c r="AJ138" s="36">
        <v>5395</v>
      </c>
      <c r="AK138" s="36">
        <v>6443</v>
      </c>
      <c r="AL138" s="36">
        <v>5015</v>
      </c>
      <c r="AM138" s="36">
        <v>6663</v>
      </c>
      <c r="AN138" s="36">
        <v>1563</v>
      </c>
      <c r="AO138" s="36">
        <v>9311</v>
      </c>
      <c r="AP138" s="36">
        <v>5211</v>
      </c>
      <c r="AQ138" s="36">
        <v>5763</v>
      </c>
      <c r="AR138" s="36">
        <v>3000</v>
      </c>
      <c r="AS138" s="36">
        <v>1847</v>
      </c>
      <c r="AT138" s="36">
        <v>1845</v>
      </c>
      <c r="AU138" s="36">
        <v>4021</v>
      </c>
      <c r="AV138" s="36">
        <v>3018</v>
      </c>
      <c r="AW138" s="36">
        <v>5051</v>
      </c>
      <c r="AX138" s="36">
        <v>5564</v>
      </c>
      <c r="AY138" s="36">
        <v>6850</v>
      </c>
      <c r="AZ138" s="36">
        <v>4110</v>
      </c>
      <c r="BA138" s="36">
        <v>28252</v>
      </c>
      <c r="BB138" s="36">
        <v>9996</v>
      </c>
      <c r="BC138" s="36">
        <v>2612</v>
      </c>
      <c r="BD138" s="36">
        <v>3733</v>
      </c>
      <c r="BE138" s="36">
        <v>4979</v>
      </c>
      <c r="BF138" s="36">
        <v>8954</v>
      </c>
      <c r="BG138" s="36">
        <v>1980</v>
      </c>
      <c r="BH138" s="36">
        <v>6324</v>
      </c>
      <c r="BI138" s="36">
        <v>5163</v>
      </c>
      <c r="BJ138" s="36">
        <v>1619</v>
      </c>
      <c r="BK138" s="36">
        <v>2920</v>
      </c>
      <c r="BL138" s="36">
        <v>9632</v>
      </c>
      <c r="BM138" s="36">
        <v>3961</v>
      </c>
      <c r="BN138" s="36">
        <v>6536</v>
      </c>
      <c r="BO138" s="36">
        <v>13831</v>
      </c>
      <c r="BP138" s="36">
        <v>10446</v>
      </c>
      <c r="BQ138" s="36">
        <v>4081</v>
      </c>
      <c r="BR138" s="36">
        <v>24541</v>
      </c>
      <c r="BS138" s="36">
        <v>4997</v>
      </c>
      <c r="BT138" s="36">
        <v>4588</v>
      </c>
      <c r="BU138" s="36">
        <v>1527</v>
      </c>
      <c r="BV138" s="36">
        <v>3201</v>
      </c>
      <c r="BW138" s="36">
        <v>18226</v>
      </c>
      <c r="BX138" s="36">
        <v>2115</v>
      </c>
      <c r="BY138" s="36">
        <v>3528</v>
      </c>
      <c r="BZ138" s="36">
        <v>8523</v>
      </c>
      <c r="CB138" t="s">
        <v>110</v>
      </c>
    </row>
    <row r="139" spans="1:80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</row>
    <row r="140" spans="1:80" s="19" customFormat="1" x14ac:dyDescent="0.2">
      <c r="B140" s="19" t="s">
        <v>104</v>
      </c>
      <c r="C140" s="117">
        <f>C136/C138</f>
        <v>3558.5773340754358</v>
      </c>
      <c r="D140" s="37">
        <f t="shared" ref="D140:BM140" si="121">D136/D138</f>
        <v>4017.5599968108509</v>
      </c>
      <c r="E140" s="37">
        <f t="shared" si="121"/>
        <v>2889.4617601279801</v>
      </c>
      <c r="F140" s="37">
        <f t="shared" si="121"/>
        <v>2994.2245104369058</v>
      </c>
      <c r="G140" s="37">
        <f t="shared" si="121"/>
        <v>2655.5123949703107</v>
      </c>
      <c r="H140" s="37">
        <f t="shared" si="121"/>
        <v>6868.7907897857858</v>
      </c>
      <c r="I140" s="37">
        <f t="shared" si="121"/>
        <v>3731.1884865112324</v>
      </c>
      <c r="J140" s="37">
        <f t="shared" si="121"/>
        <v>3350.950579626608</v>
      </c>
      <c r="K140" s="37">
        <f t="shared" si="121"/>
        <v>3876.8086004596898</v>
      </c>
      <c r="L140" s="37">
        <f t="shared" si="121"/>
        <v>4370.417472664064</v>
      </c>
      <c r="M140" s="37">
        <f t="shared" si="121"/>
        <v>3092.9309213409206</v>
      </c>
      <c r="N140" s="37">
        <f t="shared" si="121"/>
        <v>3082.9715196290658</v>
      </c>
      <c r="O140" s="37">
        <f t="shared" si="121"/>
        <v>3657.1618949671524</v>
      </c>
      <c r="P140" s="37">
        <f t="shared" si="121"/>
        <v>2870.2216506685108</v>
      </c>
      <c r="Q140" s="37">
        <f t="shared" si="121"/>
        <v>3955.9099390882707</v>
      </c>
      <c r="R140" s="37">
        <f t="shared" si="121"/>
        <v>2857.7924397127508</v>
      </c>
      <c r="S140" s="37">
        <f t="shared" si="121"/>
        <v>3170.8824524304282</v>
      </c>
      <c r="T140" s="37">
        <f t="shared" si="121"/>
        <v>3785.3019393962186</v>
      </c>
      <c r="U140" s="37">
        <f t="shared" si="121"/>
        <v>4202.8418515394815</v>
      </c>
      <c r="V140" s="37">
        <f t="shared" si="121"/>
        <v>5467.9293424584621</v>
      </c>
      <c r="W140" s="37">
        <f t="shared" si="121"/>
        <v>3745.8244153116016</v>
      </c>
      <c r="X140" s="37">
        <f t="shared" si="121"/>
        <v>4026.0985530257394</v>
      </c>
      <c r="Y140" s="37">
        <f t="shared" si="121"/>
        <v>3530.8923249470081</v>
      </c>
      <c r="Z140" s="37">
        <f t="shared" si="121"/>
        <v>3123.3575425128947</v>
      </c>
      <c r="AA140" s="37">
        <f t="shared" si="121"/>
        <v>3317.3909629551549</v>
      </c>
      <c r="AB140" s="37">
        <f t="shared" si="121"/>
        <v>2789.3801532395073</v>
      </c>
      <c r="AC140" s="37">
        <f t="shared" si="121"/>
        <v>3271.0059833665018</v>
      </c>
      <c r="AD140" s="37">
        <f t="shared" si="121"/>
        <v>3027.9997793102698</v>
      </c>
      <c r="AE140" s="37">
        <f t="shared" si="121"/>
        <v>4506.7681839121187</v>
      </c>
      <c r="AF140" s="37">
        <f t="shared" si="121"/>
        <v>3009.2419451425608</v>
      </c>
      <c r="AG140" s="37">
        <f t="shared" si="121"/>
        <v>3108.0966913326097</v>
      </c>
      <c r="AH140" s="37">
        <f t="shared" si="121"/>
        <v>3493.5607366778468</v>
      </c>
      <c r="AI140" s="37">
        <f t="shared" si="121"/>
        <v>2965.2558728353515</v>
      </c>
      <c r="AJ140" s="37">
        <f t="shared" si="121"/>
        <v>2625.3209018238167</v>
      </c>
      <c r="AK140" s="37">
        <f t="shared" si="121"/>
        <v>3094.5458437808925</v>
      </c>
      <c r="AL140" s="37">
        <f t="shared" si="121"/>
        <v>2937.89255091616</v>
      </c>
      <c r="AM140" s="37">
        <f t="shared" si="121"/>
        <v>3659.1280264477132</v>
      </c>
      <c r="AN140" s="37">
        <f t="shared" si="121"/>
        <v>2670.3652791744412</v>
      </c>
      <c r="AO140" s="37">
        <f t="shared" si="121"/>
        <v>2779.8675673002172</v>
      </c>
      <c r="AP140" s="37">
        <f t="shared" si="121"/>
        <v>2900.6481853598434</v>
      </c>
      <c r="AQ140" s="37">
        <f t="shared" si="121"/>
        <v>3082.9956125075087</v>
      </c>
      <c r="AR140" s="37">
        <f t="shared" si="121"/>
        <v>3353.7101965923994</v>
      </c>
      <c r="AS140" s="37">
        <f t="shared" si="121"/>
        <v>4319.2345238212592</v>
      </c>
      <c r="AT140" s="37">
        <f t="shared" si="121"/>
        <v>3622.7271255494884</v>
      </c>
      <c r="AU140" s="37">
        <f t="shared" si="121"/>
        <v>2480.1339146624455</v>
      </c>
      <c r="AV140" s="37">
        <f t="shared" si="121"/>
        <v>2884.3065207284653</v>
      </c>
      <c r="AW140" s="37">
        <f t="shared" si="121"/>
        <v>2784.379989781994</v>
      </c>
      <c r="AX140" s="37">
        <f t="shared" si="121"/>
        <v>3804.1720802586442</v>
      </c>
      <c r="AY140" s="37">
        <f t="shared" si="121"/>
        <v>3263.5464603322021</v>
      </c>
      <c r="AZ140" s="37">
        <f t="shared" si="121"/>
        <v>3564.8093639855251</v>
      </c>
      <c r="BA140" s="37">
        <f t="shared" si="121"/>
        <v>5784.3010110135956</v>
      </c>
      <c r="BB140" s="37">
        <f t="shared" si="121"/>
        <v>3152.5125427473331</v>
      </c>
      <c r="BC140" s="37">
        <f t="shared" si="121"/>
        <v>3304.4279378138026</v>
      </c>
      <c r="BD140" s="37">
        <f t="shared" si="121"/>
        <v>2558.5277352478852</v>
      </c>
      <c r="BE140" s="37">
        <f t="shared" si="121"/>
        <v>2672.518877726171</v>
      </c>
      <c r="BF140" s="37">
        <f t="shared" si="121"/>
        <v>2739.5771017629395</v>
      </c>
      <c r="BG140" s="37">
        <f t="shared" si="121"/>
        <v>2987.0832896776551</v>
      </c>
      <c r="BH140" s="37">
        <f t="shared" ref="BH140" si="122">BH136/BH138</f>
        <v>2220.6670541655371</v>
      </c>
      <c r="BI140" s="37">
        <f t="shared" si="121"/>
        <v>2627.1413194536372</v>
      </c>
      <c r="BJ140" s="37">
        <f t="shared" si="121"/>
        <v>2551.3905060454672</v>
      </c>
      <c r="BK140" s="37">
        <f t="shared" si="121"/>
        <v>2235.5362829995556</v>
      </c>
      <c r="BL140" s="37">
        <f t="shared" si="121"/>
        <v>2981.077868893532</v>
      </c>
      <c r="BM140" s="37">
        <f t="shared" si="121"/>
        <v>3143.733241745244</v>
      </c>
      <c r="BN140" s="37">
        <f t="shared" ref="BN140:BZ140" si="123">BN136/BN138</f>
        <v>2866.2393018086777</v>
      </c>
      <c r="BO140" s="37">
        <f t="shared" si="123"/>
        <v>2844.9174176734678</v>
      </c>
      <c r="BP140" s="37">
        <f t="shared" si="123"/>
        <v>2765.8141521085709</v>
      </c>
      <c r="BQ140" s="37">
        <f t="shared" si="123"/>
        <v>2794.7783641320302</v>
      </c>
      <c r="BR140" s="37">
        <f t="shared" si="123"/>
        <v>3779.8734572624016</v>
      </c>
      <c r="BS140" s="37">
        <f t="shared" si="123"/>
        <v>4381.3999866180211</v>
      </c>
      <c r="BT140" s="37">
        <f t="shared" si="123"/>
        <v>3631.6831197526885</v>
      </c>
      <c r="BU140" s="37">
        <f t="shared" si="123"/>
        <v>2948.4393185023046</v>
      </c>
      <c r="BV140" s="37">
        <f t="shared" si="123"/>
        <v>2986.7970662403513</v>
      </c>
      <c r="BW140" s="37">
        <f t="shared" si="123"/>
        <v>3475.6181140901072</v>
      </c>
      <c r="BX140" s="37">
        <f t="shared" si="123"/>
        <v>3401.4981985735508</v>
      </c>
      <c r="BY140" s="37">
        <f t="shared" si="123"/>
        <v>3142.0481932811067</v>
      </c>
      <c r="BZ140" s="37">
        <f t="shared" si="123"/>
        <v>3871.725531282214</v>
      </c>
    </row>
    <row r="141" spans="1:80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</row>
    <row r="142" spans="1:80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</row>
    <row r="143" spans="1:80" s="19" customFormat="1" x14ac:dyDescent="0.2">
      <c r="A143" s="23" t="s">
        <v>159</v>
      </c>
      <c r="B143" s="25" t="s">
        <v>380</v>
      </c>
      <c r="C143" s="14">
        <f t="shared" ref="C143:AH143" si="124">AVERAGE(C126,C140)</f>
        <v>3588.548198513241</v>
      </c>
      <c r="D143" s="14">
        <f t="shared" si="124"/>
        <v>4016.3964474302784</v>
      </c>
      <c r="E143" s="14">
        <f t="shared" si="124"/>
        <v>2898.3950977540758</v>
      </c>
      <c r="F143" s="14">
        <f t="shared" si="124"/>
        <v>3015.4925422863334</v>
      </c>
      <c r="G143" s="14">
        <f t="shared" si="124"/>
        <v>2778.9373700397227</v>
      </c>
      <c r="H143" s="14">
        <f t="shared" si="124"/>
        <v>6520.7487992089627</v>
      </c>
      <c r="I143" s="14">
        <f t="shared" si="124"/>
        <v>3737.6627890426025</v>
      </c>
      <c r="J143" s="14">
        <f t="shared" si="124"/>
        <v>3374.0892556270855</v>
      </c>
      <c r="K143" s="14">
        <f t="shared" si="124"/>
        <v>3989.9007627482483</v>
      </c>
      <c r="L143" s="14">
        <f t="shared" si="124"/>
        <v>4167.3060706504502</v>
      </c>
      <c r="M143" s="14">
        <f t="shared" si="124"/>
        <v>3211.5910230653217</v>
      </c>
      <c r="N143" s="14">
        <f t="shared" si="124"/>
        <v>3322.823962724302</v>
      </c>
      <c r="O143" s="14">
        <f t="shared" si="124"/>
        <v>3679.7061145535681</v>
      </c>
      <c r="P143" s="14">
        <f t="shared" si="124"/>
        <v>2818.124229992718</v>
      </c>
      <c r="Q143" s="14">
        <f t="shared" si="124"/>
        <v>4009.7082813628899</v>
      </c>
      <c r="R143" s="14">
        <f t="shared" si="124"/>
        <v>2802.0385568578954</v>
      </c>
      <c r="S143" s="14">
        <f t="shared" si="124"/>
        <v>3132.261601957799</v>
      </c>
      <c r="T143" s="14">
        <f t="shared" si="124"/>
        <v>3786.8620451857269</v>
      </c>
      <c r="U143" s="14">
        <f t="shared" si="124"/>
        <v>4264.4876578093044</v>
      </c>
      <c r="V143" s="14">
        <f t="shared" si="124"/>
        <v>5798.2629134074796</v>
      </c>
      <c r="W143" s="14">
        <f t="shared" si="124"/>
        <v>3732.5410812937453</v>
      </c>
      <c r="X143" s="14">
        <f t="shared" si="124"/>
        <v>3945.9597813207406</v>
      </c>
      <c r="Y143" s="14">
        <f t="shared" si="124"/>
        <v>3346.3358108895609</v>
      </c>
      <c r="Z143" s="14">
        <f t="shared" si="124"/>
        <v>3250.2004898978548</v>
      </c>
      <c r="AA143" s="14">
        <f t="shared" si="124"/>
        <v>3367.5672171084293</v>
      </c>
      <c r="AB143" s="14">
        <f t="shared" si="124"/>
        <v>2843.6810386185775</v>
      </c>
      <c r="AC143" s="14">
        <f t="shared" si="124"/>
        <v>3303.3377766257267</v>
      </c>
      <c r="AD143" s="14">
        <f t="shared" si="124"/>
        <v>3240.5641509350876</v>
      </c>
      <c r="AE143" s="14">
        <f t="shared" si="124"/>
        <v>4440.5408257975796</v>
      </c>
      <c r="AF143" s="14">
        <f t="shared" si="124"/>
        <v>3001.7855529837589</v>
      </c>
      <c r="AG143" s="14">
        <f t="shared" si="124"/>
        <v>3147.2368669378848</v>
      </c>
      <c r="AH143" s="14">
        <f t="shared" si="124"/>
        <v>3617.6623127068151</v>
      </c>
      <c r="AI143" s="14">
        <f t="shared" ref="AI143:BL143" si="125">AVERAGE(AI126,AI140)</f>
        <v>2913.3358595265709</v>
      </c>
      <c r="AJ143" s="14">
        <f t="shared" si="125"/>
        <v>2701.3240455427513</v>
      </c>
      <c r="AK143" s="14">
        <f t="shared" si="125"/>
        <v>3132.3037152053803</v>
      </c>
      <c r="AL143" s="14">
        <f t="shared" si="125"/>
        <v>3018.6785433033956</v>
      </c>
      <c r="AM143" s="14">
        <f t="shared" si="125"/>
        <v>3811.903736263253</v>
      </c>
      <c r="AN143" s="14">
        <f t="shared" si="125"/>
        <v>2575.7461659300543</v>
      </c>
      <c r="AO143" s="14">
        <f t="shared" si="125"/>
        <v>2867.1719917999226</v>
      </c>
      <c r="AP143" s="14">
        <f t="shared" si="125"/>
        <v>2907.0049837969214</v>
      </c>
      <c r="AQ143" s="14">
        <f t="shared" si="125"/>
        <v>3100.2153608480216</v>
      </c>
      <c r="AR143" s="14">
        <f t="shared" si="125"/>
        <v>3362.6940732702055</v>
      </c>
      <c r="AS143" s="14">
        <f t="shared" si="125"/>
        <v>4252.2391440665515</v>
      </c>
      <c r="AT143" s="14">
        <f t="shared" si="125"/>
        <v>3716.6063553518761</v>
      </c>
      <c r="AU143" s="14">
        <f t="shared" si="125"/>
        <v>2556.2340765848026</v>
      </c>
      <c r="AV143" s="14">
        <f t="shared" si="125"/>
        <v>2895.4321620471433</v>
      </c>
      <c r="AW143" s="14">
        <f t="shared" si="125"/>
        <v>2837.9681624166024</v>
      </c>
      <c r="AX143" s="14">
        <f t="shared" si="125"/>
        <v>3799.7468822123274</v>
      </c>
      <c r="AY143" s="14">
        <f t="shared" si="125"/>
        <v>3185.8473745313022</v>
      </c>
      <c r="AZ143" s="14">
        <f t="shared" si="125"/>
        <v>3690.6965347362948</v>
      </c>
      <c r="BA143" s="14">
        <f t="shared" si="125"/>
        <v>5858.6376751184798</v>
      </c>
      <c r="BB143" s="14">
        <f t="shared" si="125"/>
        <v>3241.1299985749029</v>
      </c>
      <c r="BC143" s="14">
        <f t="shared" si="125"/>
        <v>3380.9698485378767</v>
      </c>
      <c r="BD143" s="14">
        <f t="shared" si="125"/>
        <v>2608.0997985356771</v>
      </c>
      <c r="BE143" s="14">
        <f t="shared" si="125"/>
        <v>2662.619224621687</v>
      </c>
      <c r="BF143" s="14">
        <f t="shared" si="125"/>
        <v>2715.787539229937</v>
      </c>
      <c r="BG143" s="14">
        <f t="shared" si="125"/>
        <v>3076.4147586495328</v>
      </c>
      <c r="BH143" s="14">
        <f t="shared" ref="BH143" si="126">AVERAGE(BH126,BH140)</f>
        <v>2234.0579817351777</v>
      </c>
      <c r="BI143" s="14">
        <f t="shared" si="125"/>
        <v>2754.584005209279</v>
      </c>
      <c r="BJ143" s="14">
        <f t="shared" si="125"/>
        <v>2531.6137360553657</v>
      </c>
      <c r="BK143" s="14">
        <f t="shared" si="125"/>
        <v>2337.7224960584517</v>
      </c>
      <c r="BL143" s="14">
        <f t="shared" si="125"/>
        <v>2958.5397790122433</v>
      </c>
      <c r="BM143" s="14">
        <f t="shared" ref="BM143:BZ143" si="127">AVERAGE(BM126,BM140)</f>
        <v>3193.3852384005349</v>
      </c>
      <c r="BN143" s="14">
        <f t="shared" si="127"/>
        <v>3003.6573724472364</v>
      </c>
      <c r="BO143" s="14">
        <f t="shared" si="127"/>
        <v>2914.3797446068911</v>
      </c>
      <c r="BP143" s="14">
        <f t="shared" si="127"/>
        <v>2768.4076765469968</v>
      </c>
      <c r="BQ143" s="14">
        <f t="shared" si="127"/>
        <v>2660.1515214690826</v>
      </c>
      <c r="BR143" s="14">
        <f t="shared" si="127"/>
        <v>3912.8268887648701</v>
      </c>
      <c r="BS143" s="14">
        <f t="shared" si="127"/>
        <v>4595.4235632588807</v>
      </c>
      <c r="BT143" s="14">
        <f t="shared" si="127"/>
        <v>3783.9461040947776</v>
      </c>
      <c r="BU143" s="14">
        <f t="shared" si="127"/>
        <v>3035.3391365178122</v>
      </c>
      <c r="BV143" s="14">
        <f t="shared" si="127"/>
        <v>3012.6482393807437</v>
      </c>
      <c r="BW143" s="14">
        <f t="shared" si="127"/>
        <v>3451.4500866126832</v>
      </c>
      <c r="BX143" s="14">
        <f t="shared" si="127"/>
        <v>3451.981254976643</v>
      </c>
      <c r="BY143" s="14">
        <f t="shared" si="127"/>
        <v>3070.9677445952793</v>
      </c>
      <c r="BZ143" s="14">
        <f t="shared" si="127"/>
        <v>3863.8395078805893</v>
      </c>
      <c r="CA143" s="25"/>
      <c r="CB143" s="25"/>
    </row>
    <row r="144" spans="1:80" s="4" customFormat="1" x14ac:dyDescent="0.2">
      <c r="B144" s="4" t="s">
        <v>140</v>
      </c>
      <c r="C144" s="48">
        <v>1</v>
      </c>
      <c r="D144" s="48">
        <f>D143*$C144/$C143</f>
        <v>1.1192260003904357</v>
      </c>
      <c r="E144" s="48">
        <f t="shared" ref="E144:BN144" si="128">E143*$C144/$C143</f>
        <v>0.80767902154829629</v>
      </c>
      <c r="F144" s="48">
        <f t="shared" si="128"/>
        <v>0.84030989009306656</v>
      </c>
      <c r="G144" s="48">
        <f t="shared" si="128"/>
        <v>0.77439042652152612</v>
      </c>
      <c r="H144" s="48">
        <f t="shared" si="128"/>
        <v>1.8170994058016419</v>
      </c>
      <c r="I144" s="48">
        <f t="shared" si="128"/>
        <v>1.0415529016974443</v>
      </c>
      <c r="J144" s="48">
        <f t="shared" si="128"/>
        <v>0.94023796504251855</v>
      </c>
      <c r="K144" s="48">
        <f t="shared" si="128"/>
        <v>1.1118426009719726</v>
      </c>
      <c r="L144" s="48">
        <f t="shared" si="128"/>
        <v>1.161279113480207</v>
      </c>
      <c r="M144" s="48">
        <f t="shared" si="128"/>
        <v>0.89495552112018584</v>
      </c>
      <c r="N144" s="48">
        <f t="shared" si="128"/>
        <v>0.92595216196370711</v>
      </c>
      <c r="O144" s="48">
        <f t="shared" si="128"/>
        <v>1.0254024499595948</v>
      </c>
      <c r="P144" s="48">
        <f t="shared" si="128"/>
        <v>0.78531040245196804</v>
      </c>
      <c r="Q144" s="48">
        <f t="shared" si="128"/>
        <v>1.1173622477814673</v>
      </c>
      <c r="R144" s="48">
        <f t="shared" si="128"/>
        <v>0.78082790082596587</v>
      </c>
      <c r="S144" s="48">
        <f t="shared" si="128"/>
        <v>0.8728492495253416</v>
      </c>
      <c r="T144" s="48">
        <f t="shared" si="128"/>
        <v>1.0552629742453086</v>
      </c>
      <c r="U144" s="48">
        <f t="shared" si="128"/>
        <v>1.1883601450793135</v>
      </c>
      <c r="V144" s="48">
        <f t="shared" si="128"/>
        <v>1.6157684368875798</v>
      </c>
      <c r="W144" s="48">
        <f t="shared" si="128"/>
        <v>1.0401256649806632</v>
      </c>
      <c r="X144" s="48">
        <f t="shared" si="128"/>
        <v>1.0995978214687425</v>
      </c>
      <c r="Y144" s="48">
        <f t="shared" si="128"/>
        <v>0.93250407289387105</v>
      </c>
      <c r="Z144" s="48">
        <f t="shared" si="128"/>
        <v>0.90571459824461442</v>
      </c>
      <c r="AA144" s="48">
        <f t="shared" si="128"/>
        <v>0.93842050623804762</v>
      </c>
      <c r="AB144" s="48">
        <f t="shared" si="128"/>
        <v>0.79243217070255134</v>
      </c>
      <c r="AC144" s="48">
        <f t="shared" si="128"/>
        <v>0.9205220590305353</v>
      </c>
      <c r="AD144" s="48">
        <f t="shared" si="128"/>
        <v>0.90302929532273646</v>
      </c>
      <c r="AE144" s="48">
        <f t="shared" si="128"/>
        <v>1.2374198645673269</v>
      </c>
      <c r="AF144" s="48">
        <f t="shared" si="128"/>
        <v>0.83649024255196525</v>
      </c>
      <c r="AG144" s="48">
        <f t="shared" si="128"/>
        <v>0.87702232012427916</v>
      </c>
      <c r="AH144" s="48">
        <f t="shared" si="128"/>
        <v>1.0081130620471075</v>
      </c>
      <c r="AI144" s="48">
        <f t="shared" si="128"/>
        <v>0.81184247733765569</v>
      </c>
      <c r="AJ144" s="48">
        <f t="shared" si="128"/>
        <v>0.75276236965743626</v>
      </c>
      <c r="AK144" s="48">
        <f t="shared" si="128"/>
        <v>0.87286098498081044</v>
      </c>
      <c r="AL144" s="48">
        <f t="shared" si="128"/>
        <v>0.84119771459501469</v>
      </c>
      <c r="AM144" s="48">
        <f t="shared" si="128"/>
        <v>1.0622411976638768</v>
      </c>
      <c r="AN144" s="48">
        <f t="shared" si="128"/>
        <v>0.71776830724948959</v>
      </c>
      <c r="AO144" s="48">
        <f t="shared" si="128"/>
        <v>0.79897825894823171</v>
      </c>
      <c r="AP144" s="48">
        <f t="shared" si="128"/>
        <v>0.81007828876349286</v>
      </c>
      <c r="AQ144" s="48">
        <f t="shared" si="128"/>
        <v>0.86391910860566434</v>
      </c>
      <c r="AR144" s="48">
        <f t="shared" si="128"/>
        <v>0.93706253539060491</v>
      </c>
      <c r="AS144" s="48">
        <f t="shared" si="128"/>
        <v>1.184946922498709</v>
      </c>
      <c r="AT144" s="48">
        <f t="shared" si="128"/>
        <v>1.0356852269370913</v>
      </c>
      <c r="AU144" s="48">
        <f t="shared" si="128"/>
        <v>0.71233098600817657</v>
      </c>
      <c r="AV144" s="48">
        <f t="shared" si="128"/>
        <v>0.80685335736795727</v>
      </c>
      <c r="AW144" s="48">
        <f t="shared" si="128"/>
        <v>0.79084019648736814</v>
      </c>
      <c r="AX144" s="48">
        <f t="shared" si="128"/>
        <v>1.0588535173601925</v>
      </c>
      <c r="AY144" s="48">
        <f t="shared" si="128"/>
        <v>0.88778168727153217</v>
      </c>
      <c r="AZ144" s="48">
        <f t="shared" si="128"/>
        <v>1.0284650868742335</v>
      </c>
      <c r="BA144" s="48">
        <f t="shared" si="128"/>
        <v>1.6325927230253594</v>
      </c>
      <c r="BB144" s="48">
        <f t="shared" si="128"/>
        <v>0.90318697681634152</v>
      </c>
      <c r="BC144" s="48">
        <f t="shared" si="128"/>
        <v>0.94215534012853297</v>
      </c>
      <c r="BD144" s="48">
        <f t="shared" si="128"/>
        <v>0.72678410718190434</v>
      </c>
      <c r="BE144" s="48">
        <f t="shared" si="128"/>
        <v>0.74197672075989607</v>
      </c>
      <c r="BF144" s="48">
        <f t="shared" si="128"/>
        <v>0.75679282790603331</v>
      </c>
      <c r="BG144" s="48">
        <f t="shared" si="128"/>
        <v>0.85728673225682506</v>
      </c>
      <c r="BH144" s="48">
        <f t="shared" ref="BH144" si="129">BH143*$C144/$C143</f>
        <v>0.62255203445804697</v>
      </c>
      <c r="BI144" s="48">
        <f t="shared" si="128"/>
        <v>0.76760401500264674</v>
      </c>
      <c r="BJ144" s="48">
        <f t="shared" si="128"/>
        <v>0.70547017791323796</v>
      </c>
      <c r="BK144" s="48">
        <f t="shared" si="128"/>
        <v>0.65143962592643601</v>
      </c>
      <c r="BL144" s="48">
        <f t="shared" si="128"/>
        <v>0.82443919249516717</v>
      </c>
      <c r="BM144" s="48">
        <f t="shared" si="128"/>
        <v>0.88988222025931696</v>
      </c>
      <c r="BN144" s="48">
        <f t="shared" si="128"/>
        <v>0.83701185167073178</v>
      </c>
      <c r="BO144" s="48">
        <f t="shared" ref="BO144:BZ144" si="130">BO143*$C144/$C143</f>
        <v>0.81213337076379177</v>
      </c>
      <c r="BP144" s="48">
        <f t="shared" si="130"/>
        <v>0.7714561776525577</v>
      </c>
      <c r="BQ144" s="48">
        <f t="shared" si="130"/>
        <v>0.74128906017514296</v>
      </c>
      <c r="BR144" s="48">
        <f t="shared" si="130"/>
        <v>1.090364869666786</v>
      </c>
      <c r="BS144" s="48">
        <f t="shared" si="130"/>
        <v>1.2805801424550449</v>
      </c>
      <c r="BT144" s="48">
        <f t="shared" si="130"/>
        <v>1.0544504057831776</v>
      </c>
      <c r="BU144" s="48">
        <f t="shared" si="130"/>
        <v>0.84584042587901509</v>
      </c>
      <c r="BV144" s="48">
        <f t="shared" si="130"/>
        <v>0.83951728463028685</v>
      </c>
      <c r="BW144" s="48">
        <f t="shared" si="130"/>
        <v>0.96179566099812774</v>
      </c>
      <c r="BX144" s="48">
        <f t="shared" si="130"/>
        <v>0.96194367861822827</v>
      </c>
      <c r="BY144" s="48">
        <f t="shared" si="130"/>
        <v>0.85576884431079991</v>
      </c>
      <c r="BZ144" s="48">
        <f t="shared" si="130"/>
        <v>1.0767138391735698</v>
      </c>
    </row>
    <row r="145" spans="1:80" s="4" customFormat="1" x14ac:dyDescent="0.2"/>
    <row r="146" spans="1:80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</row>
    <row r="147" spans="1:80" s="41" customFormat="1" ht="15.75" x14ac:dyDescent="0.25">
      <c r="A147" s="20" t="s">
        <v>101</v>
      </c>
      <c r="B147" s="20" t="s">
        <v>100</v>
      </c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20"/>
      <c r="CB147" s="20"/>
    </row>
    <row r="148" spans="1:80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</row>
    <row r="149" spans="1:80" x14ac:dyDescent="0.2">
      <c r="B149" t="s">
        <v>102</v>
      </c>
      <c r="C149" s="8">
        <v>0.96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B149" t="s">
        <v>111</v>
      </c>
    </row>
    <row r="150" spans="1:80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</row>
    <row r="151" spans="1:80" s="19" customFormat="1" x14ac:dyDescent="0.2">
      <c r="B151" s="112" t="s">
        <v>103</v>
      </c>
      <c r="C151" s="113">
        <f>SUM(D151:BZ151)</f>
        <v>121067800</v>
      </c>
      <c r="D151" s="113">
        <f>ROUND(IF(D143&lt;$C143*$C149,($C143*$C149-D143)*D138,0),-2)</f>
        <v>0</v>
      </c>
      <c r="E151" s="113">
        <f>ROUND(IF(E143&lt;$C143*$C149,($C143*$C149-E143)*E138,0),-2)</f>
        <v>5419100</v>
      </c>
      <c r="F151" s="113">
        <f t="shared" ref="F151:BO151" si="131">ROUND(IF(F143&lt;$C143*$C149,($C143*$C149-F143)*F138,0),-2)</f>
        <v>598300</v>
      </c>
      <c r="G151" s="113">
        <f t="shared" si="131"/>
        <v>834600</v>
      </c>
      <c r="H151" s="113">
        <f t="shared" si="131"/>
        <v>0</v>
      </c>
      <c r="I151" s="113">
        <f t="shared" si="131"/>
        <v>0</v>
      </c>
      <c r="J151" s="113">
        <f t="shared" si="131"/>
        <v>254100</v>
      </c>
      <c r="K151" s="113">
        <f t="shared" si="131"/>
        <v>0</v>
      </c>
      <c r="L151" s="113">
        <f t="shared" si="131"/>
        <v>0</v>
      </c>
      <c r="M151" s="113">
        <f t="shared" si="131"/>
        <v>239500</v>
      </c>
      <c r="N151" s="113">
        <f t="shared" si="131"/>
        <v>288800</v>
      </c>
      <c r="O151" s="113">
        <f t="shared" si="131"/>
        <v>0</v>
      </c>
      <c r="P151" s="113">
        <f t="shared" si="131"/>
        <v>6129000</v>
      </c>
      <c r="Q151" s="113">
        <f t="shared" si="131"/>
        <v>0</v>
      </c>
      <c r="R151" s="113">
        <f t="shared" si="131"/>
        <v>2238200</v>
      </c>
      <c r="S151" s="113">
        <f t="shared" si="131"/>
        <v>1954300</v>
      </c>
      <c r="T151" s="113">
        <f t="shared" si="131"/>
        <v>0</v>
      </c>
      <c r="U151" s="113">
        <f t="shared" si="131"/>
        <v>0</v>
      </c>
      <c r="V151" s="113">
        <f t="shared" si="131"/>
        <v>0</v>
      </c>
      <c r="W151" s="113">
        <f t="shared" si="131"/>
        <v>0</v>
      </c>
      <c r="X151" s="113">
        <f t="shared" si="131"/>
        <v>0</v>
      </c>
      <c r="Y151" s="113">
        <f t="shared" si="131"/>
        <v>484100</v>
      </c>
      <c r="Z151" s="113">
        <f t="shared" si="131"/>
        <v>416300</v>
      </c>
      <c r="AA151" s="113">
        <f t="shared" si="131"/>
        <v>950800</v>
      </c>
      <c r="AB151" s="113">
        <f t="shared" si="131"/>
        <v>935700</v>
      </c>
      <c r="AC151" s="113">
        <f t="shared" si="131"/>
        <v>1300500</v>
      </c>
      <c r="AD151" s="113">
        <f t="shared" si="131"/>
        <v>505400</v>
      </c>
      <c r="AE151" s="113">
        <f t="shared" si="131"/>
        <v>0</v>
      </c>
      <c r="AF151" s="113">
        <f t="shared" si="131"/>
        <v>1598300</v>
      </c>
      <c r="AG151" s="113">
        <f t="shared" si="131"/>
        <v>2174300</v>
      </c>
      <c r="AH151" s="113">
        <f t="shared" si="131"/>
        <v>0</v>
      </c>
      <c r="AI151" s="113">
        <f t="shared" si="131"/>
        <v>2806700</v>
      </c>
      <c r="AJ151" s="113">
        <f t="shared" si="131"/>
        <v>4012200</v>
      </c>
      <c r="AK151" s="113">
        <f t="shared" si="131"/>
        <v>2014700</v>
      </c>
      <c r="AL151" s="113">
        <f t="shared" si="131"/>
        <v>2138000</v>
      </c>
      <c r="AM151" s="113">
        <f t="shared" si="131"/>
        <v>0</v>
      </c>
      <c r="AN151" s="113">
        <f t="shared" si="131"/>
        <v>1358700</v>
      </c>
      <c r="AO151" s="113">
        <f t="shared" si="131"/>
        <v>5380200</v>
      </c>
      <c r="AP151" s="113">
        <f t="shared" si="131"/>
        <v>2803500</v>
      </c>
      <c r="AQ151" s="113">
        <f t="shared" si="131"/>
        <v>1987000</v>
      </c>
      <c r="AR151" s="113">
        <f t="shared" si="131"/>
        <v>246900</v>
      </c>
      <c r="AS151" s="113">
        <f t="shared" si="131"/>
        <v>0</v>
      </c>
      <c r="AT151" s="113">
        <f t="shared" si="131"/>
        <v>0</v>
      </c>
      <c r="AU151" s="113">
        <f t="shared" si="131"/>
        <v>3573800</v>
      </c>
      <c r="AV151" s="113">
        <f t="shared" si="131"/>
        <v>1658600</v>
      </c>
      <c r="AW151" s="113">
        <f t="shared" si="131"/>
        <v>3066100</v>
      </c>
      <c r="AX151" s="113">
        <f t="shared" si="131"/>
        <v>0</v>
      </c>
      <c r="AY151" s="113">
        <f t="shared" si="131"/>
        <v>1775200</v>
      </c>
      <c r="AZ151" s="113">
        <f t="shared" si="131"/>
        <v>0</v>
      </c>
      <c r="BA151" s="113">
        <f t="shared" si="131"/>
        <v>0</v>
      </c>
      <c r="BB151" s="113">
        <f t="shared" si="131"/>
        <v>2037900</v>
      </c>
      <c r="BC151" s="113">
        <f t="shared" si="131"/>
        <v>167300</v>
      </c>
      <c r="BD151" s="113">
        <f t="shared" si="131"/>
        <v>3124200</v>
      </c>
      <c r="BE151" s="113">
        <f t="shared" si="131"/>
        <v>3895500</v>
      </c>
      <c r="BF151" s="113">
        <f t="shared" si="131"/>
        <v>6529400</v>
      </c>
      <c r="BG151" s="113">
        <f t="shared" si="131"/>
        <v>729800</v>
      </c>
      <c r="BH151" s="113">
        <f t="shared" si="131"/>
        <v>7658000</v>
      </c>
      <c r="BI151" s="113">
        <f t="shared" si="131"/>
        <v>3564700</v>
      </c>
      <c r="BJ151" s="113">
        <f t="shared" si="131"/>
        <v>1478800</v>
      </c>
      <c r="BK151" s="113">
        <f t="shared" si="131"/>
        <v>3233300</v>
      </c>
      <c r="BL151" s="113">
        <f t="shared" si="131"/>
        <v>4685600</v>
      </c>
      <c r="BM151" s="113">
        <f t="shared" si="131"/>
        <v>996700</v>
      </c>
      <c r="BN151" s="113">
        <f t="shared" si="131"/>
        <v>2884700</v>
      </c>
      <c r="BO151" s="113">
        <f t="shared" si="131"/>
        <v>7339100</v>
      </c>
      <c r="BP151" s="113">
        <f t="shared" ref="BP151:BZ151" si="132">ROUND(IF(BP143&lt;$C143*$C149,($C143*$C149-BP143)*BP138,0),-2)</f>
        <v>7067700</v>
      </c>
      <c r="BQ151" s="113">
        <f t="shared" si="132"/>
        <v>3203000</v>
      </c>
      <c r="BR151" s="113">
        <f t="shared" si="132"/>
        <v>0</v>
      </c>
      <c r="BS151" s="113">
        <f t="shared" si="132"/>
        <v>0</v>
      </c>
      <c r="BT151" s="113">
        <f t="shared" si="132"/>
        <v>0</v>
      </c>
      <c r="BU151" s="113">
        <f t="shared" si="132"/>
        <v>625600</v>
      </c>
      <c r="BV151" s="113">
        <f t="shared" si="132"/>
        <v>1384000</v>
      </c>
      <c r="BW151" s="113">
        <f t="shared" si="132"/>
        <v>0</v>
      </c>
      <c r="BX151" s="113">
        <f t="shared" si="132"/>
        <v>0</v>
      </c>
      <c r="BY151" s="113">
        <f t="shared" si="132"/>
        <v>1319600</v>
      </c>
      <c r="BZ151" s="113">
        <f t="shared" si="132"/>
        <v>0</v>
      </c>
    </row>
    <row r="152" spans="1:80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</row>
    <row r="153" spans="1:80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</row>
    <row r="154" spans="1:80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</row>
    <row r="155" spans="1:80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</row>
    <row r="156" spans="1:80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</row>
    <row r="157" spans="1:80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</row>
    <row r="158" spans="1:80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</row>
    <row r="159" spans="1:80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</row>
    <row r="160" spans="1:80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</row>
    <row r="161" spans="3:78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</row>
    <row r="162" spans="3:78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</row>
    <row r="163" spans="3:78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</row>
    <row r="164" spans="3:78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</row>
    <row r="165" spans="3:78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</row>
    <row r="166" spans="3:78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</row>
    <row r="167" spans="3:78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</row>
    <row r="168" spans="3:78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</row>
    <row r="169" spans="3:78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</row>
    <row r="170" spans="3:78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</row>
    <row r="171" spans="3:78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</row>
    <row r="172" spans="3:78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</row>
  </sheetData>
  <pageMargins left="0.7" right="0.7" top="0.78740157499999996" bottom="0.78740157499999996" header="0.3" footer="0.3"/>
  <pageSetup paperSize="9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CB102"/>
  <sheetViews>
    <sheetView zoomScaleNormal="100" workbookViewId="0">
      <pane xSplit="3" ySplit="9" topLeftCell="W13" activePane="bottomRight" state="frozen"/>
      <selection activeCell="D15" sqref="D15"/>
      <selection pane="topRight" activeCell="D15" sqref="D15"/>
      <selection pane="bottomLeft" activeCell="D15" sqref="D15"/>
      <selection pane="bottomRight" activeCell="D15" sqref="D15"/>
    </sheetView>
  </sheetViews>
  <sheetFormatPr baseColWidth="10" defaultRowHeight="12.75" x14ac:dyDescent="0.2"/>
  <cols>
    <col min="1" max="1" width="4" customWidth="1"/>
    <col min="2" max="2" width="52.42578125" customWidth="1"/>
    <col min="3" max="78" width="21" customWidth="1"/>
    <col min="79" max="79" width="2.140625" customWidth="1"/>
    <col min="80" max="80" width="20.7109375" bestFit="1" customWidth="1"/>
  </cols>
  <sheetData>
    <row r="1" spans="1:80" x14ac:dyDescent="0.2">
      <c r="A1" s="19" t="s">
        <v>193</v>
      </c>
    </row>
    <row r="2" spans="1:80" x14ac:dyDescent="0.2">
      <c r="A2" t="s">
        <v>194</v>
      </c>
    </row>
    <row r="5" spans="1:80" ht="26.25" x14ac:dyDescent="0.4">
      <c r="A5" s="16" t="s">
        <v>367</v>
      </c>
    </row>
    <row r="6" spans="1:80" x14ac:dyDescent="0.2"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</row>
    <row r="7" spans="1:80" x14ac:dyDescent="0.2">
      <c r="B7" s="18" t="s">
        <v>105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</row>
    <row r="8" spans="1:80" s="19" customFormat="1" x14ac:dyDescent="0.2">
      <c r="C8" s="19" t="s">
        <v>79</v>
      </c>
      <c r="D8" s="19" t="s">
        <v>5</v>
      </c>
      <c r="E8" s="19" t="s">
        <v>6</v>
      </c>
      <c r="F8" s="19" t="s">
        <v>7</v>
      </c>
      <c r="G8" s="19" t="s">
        <v>8</v>
      </c>
      <c r="H8" s="19" t="s">
        <v>9</v>
      </c>
      <c r="I8" s="19" t="s">
        <v>10</v>
      </c>
      <c r="J8" s="19" t="s">
        <v>11</v>
      </c>
      <c r="K8" s="19" t="s">
        <v>12</v>
      </c>
      <c r="L8" s="19" t="s">
        <v>13</v>
      </c>
      <c r="M8" s="19" t="s">
        <v>14</v>
      </c>
      <c r="N8" s="19" t="s">
        <v>15</v>
      </c>
      <c r="O8" s="19" t="s">
        <v>16</v>
      </c>
      <c r="P8" s="19" t="s">
        <v>17</v>
      </c>
      <c r="Q8" s="19" t="s">
        <v>18</v>
      </c>
      <c r="R8" s="19" t="s">
        <v>19</v>
      </c>
      <c r="S8" s="19" t="s">
        <v>20</v>
      </c>
      <c r="T8" s="19" t="s">
        <v>21</v>
      </c>
      <c r="U8" s="19" t="s">
        <v>22</v>
      </c>
      <c r="V8" s="19" t="s">
        <v>23</v>
      </c>
      <c r="W8" s="19" t="s">
        <v>24</v>
      </c>
      <c r="X8" s="19" t="s">
        <v>25</v>
      </c>
      <c r="Y8" s="19" t="s">
        <v>26</v>
      </c>
      <c r="Z8" s="19" t="s">
        <v>27</v>
      </c>
      <c r="AA8" s="19" t="s">
        <v>28</v>
      </c>
      <c r="AB8" s="19" t="s">
        <v>29</v>
      </c>
      <c r="AC8" s="19" t="s">
        <v>30</v>
      </c>
      <c r="AD8" s="19" t="s">
        <v>31</v>
      </c>
      <c r="AE8" s="19" t="s">
        <v>32</v>
      </c>
      <c r="AF8" s="19" t="s">
        <v>33</v>
      </c>
      <c r="AG8" s="19" t="s">
        <v>34</v>
      </c>
      <c r="AH8" s="19" t="s">
        <v>35</v>
      </c>
      <c r="AI8" s="19" t="s">
        <v>36</v>
      </c>
      <c r="AJ8" s="19" t="s">
        <v>37</v>
      </c>
      <c r="AK8" s="19" t="s">
        <v>38</v>
      </c>
      <c r="AL8" s="19" t="s">
        <v>39</v>
      </c>
      <c r="AM8" s="19" t="s">
        <v>40</v>
      </c>
      <c r="AN8" s="19" t="s">
        <v>41</v>
      </c>
      <c r="AO8" s="19" t="s">
        <v>42</v>
      </c>
      <c r="AP8" s="19" t="s">
        <v>43</v>
      </c>
      <c r="AQ8" s="19" t="s">
        <v>44</v>
      </c>
      <c r="AR8" s="19" t="s">
        <v>45</v>
      </c>
      <c r="AS8" s="19" t="s">
        <v>46</v>
      </c>
      <c r="AT8" s="19" t="s">
        <v>47</v>
      </c>
      <c r="AU8" s="19" t="s">
        <v>48</v>
      </c>
      <c r="AV8" s="19" t="s">
        <v>49</v>
      </c>
      <c r="AW8" s="19" t="s">
        <v>50</v>
      </c>
      <c r="AX8" s="19" t="s">
        <v>51</v>
      </c>
      <c r="AY8" s="19" t="s">
        <v>52</v>
      </c>
      <c r="AZ8" s="19" t="s">
        <v>53</v>
      </c>
      <c r="BA8" s="19" t="s">
        <v>54</v>
      </c>
      <c r="BB8" s="19" t="s">
        <v>55</v>
      </c>
      <c r="BC8" s="19" t="s">
        <v>56</v>
      </c>
      <c r="BD8" s="19" t="s">
        <v>57</v>
      </c>
      <c r="BE8" s="19" t="s">
        <v>58</v>
      </c>
      <c r="BF8" s="19" t="s">
        <v>59</v>
      </c>
      <c r="BG8" s="19" t="s">
        <v>60</v>
      </c>
      <c r="BH8" s="19" t="s">
        <v>356</v>
      </c>
      <c r="BI8" s="19" t="s">
        <v>61</v>
      </c>
      <c r="BJ8" s="19" t="s">
        <v>62</v>
      </c>
      <c r="BK8" s="19" t="s">
        <v>63</v>
      </c>
      <c r="BL8" s="19" t="s">
        <v>64</v>
      </c>
      <c r="BM8" s="19" t="s">
        <v>65</v>
      </c>
      <c r="BN8" s="19" t="s">
        <v>66</v>
      </c>
      <c r="BO8" s="19" t="s">
        <v>67</v>
      </c>
      <c r="BP8" s="19" t="s">
        <v>68</v>
      </c>
      <c r="BQ8" s="19" t="s">
        <v>69</v>
      </c>
      <c r="BR8" s="19" t="s">
        <v>70</v>
      </c>
      <c r="BS8" s="19" t="s">
        <v>71</v>
      </c>
      <c r="BT8" s="19" t="s">
        <v>72</v>
      </c>
      <c r="BU8" s="19" t="s">
        <v>73</v>
      </c>
      <c r="BV8" s="19" t="s">
        <v>74</v>
      </c>
      <c r="BW8" s="19" t="s">
        <v>75</v>
      </c>
      <c r="BX8" s="19" t="s">
        <v>76</v>
      </c>
      <c r="BY8" s="19" t="s">
        <v>77</v>
      </c>
      <c r="BZ8" s="19" t="s">
        <v>78</v>
      </c>
      <c r="CB8" s="19" t="s">
        <v>106</v>
      </c>
    </row>
    <row r="10" spans="1:80" s="40" customFormat="1" ht="15.75" x14ac:dyDescent="0.25">
      <c r="A10" s="20" t="s">
        <v>97</v>
      </c>
      <c r="B10" s="21" t="s">
        <v>117</v>
      </c>
      <c r="C10" s="2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</row>
    <row r="11" spans="1:80" x14ac:dyDescent="0.2">
      <c r="B11" s="22"/>
      <c r="C11" s="22"/>
    </row>
    <row r="12" spans="1:80" x14ac:dyDescent="0.2">
      <c r="B12" s="26" t="str">
        <f>'Ressourcenausgleich Basis'!B124</f>
        <v>Einwohnerzahl per 31.12.</v>
      </c>
      <c r="C12" s="42">
        <f>'Ressourcenausgleich Basis'!C124</f>
        <v>535114</v>
      </c>
      <c r="D12" s="42">
        <f>'Ressourcenausgleich Basis'!D124</f>
        <v>78213</v>
      </c>
      <c r="E12" s="42">
        <f>'Ressourcenausgleich Basis'!E124</f>
        <v>10026</v>
      </c>
      <c r="F12" s="42">
        <f>'Ressourcenausgleich Basis'!F124</f>
        <v>1431</v>
      </c>
      <c r="G12" s="42">
        <f>'Ressourcenausgleich Basis'!G124</f>
        <v>1257</v>
      </c>
      <c r="H12" s="42">
        <f>'Ressourcenausgleich Basis'!H124</f>
        <v>3662</v>
      </c>
      <c r="I12" s="42">
        <f>'Ressourcenausgleich Basis'!I124</f>
        <v>9709</v>
      </c>
      <c r="J12" s="42">
        <f>'Ressourcenausgleich Basis'!J124</f>
        <v>3580</v>
      </c>
      <c r="K12" s="42">
        <f>'Ressourcenausgleich Basis'!K124</f>
        <v>1012</v>
      </c>
      <c r="L12" s="42">
        <f>'Ressourcenausgleich Basis'!L124</f>
        <v>1594</v>
      </c>
      <c r="M12" s="42">
        <f>'Ressourcenausgleich Basis'!M124</f>
        <v>1027</v>
      </c>
      <c r="N12" s="42">
        <f>'Ressourcenausgleich Basis'!N124</f>
        <v>2475</v>
      </c>
      <c r="O12" s="42">
        <f>'Ressourcenausgleich Basis'!O124</f>
        <v>7685</v>
      </c>
      <c r="P12" s="42">
        <f>'Ressourcenausgleich Basis'!P124</f>
        <v>9955</v>
      </c>
      <c r="Q12" s="42">
        <f>'Ressourcenausgleich Basis'!Q124</f>
        <v>7097</v>
      </c>
      <c r="R12" s="42">
        <f>'Ressourcenausgleich Basis'!R124</f>
        <v>3516</v>
      </c>
      <c r="S12" s="42">
        <f>'Ressourcenausgleich Basis'!S124</f>
        <v>6558</v>
      </c>
      <c r="T12" s="42">
        <f>'Ressourcenausgleich Basis'!T124</f>
        <v>8481</v>
      </c>
      <c r="U12" s="42">
        <f>'Ressourcenausgleich Basis'!U124</f>
        <v>3989</v>
      </c>
      <c r="V12" s="42">
        <f>'Ressourcenausgleich Basis'!V124</f>
        <v>5139</v>
      </c>
      <c r="W12" s="42">
        <f>'Ressourcenausgleich Basis'!W124</f>
        <v>6928</v>
      </c>
      <c r="X12" s="42">
        <f>'Ressourcenausgleich Basis'!X124</f>
        <v>10337</v>
      </c>
      <c r="Y12" s="42">
        <f>'Ressourcenausgleich Basis'!Y124</f>
        <v>5051</v>
      </c>
      <c r="Z12" s="42">
        <f>'Ressourcenausgleich Basis'!Z124</f>
        <v>2118</v>
      </c>
      <c r="AA12" s="42">
        <f>'Ressourcenausgleich Basis'!AA124</f>
        <v>12456</v>
      </c>
      <c r="AB12" s="42">
        <f>'Ressourcenausgleich Basis'!AB124</f>
        <v>1571</v>
      </c>
      <c r="AC12" s="42">
        <f>'Ressourcenausgleich Basis'!AC124</f>
        <v>9291</v>
      </c>
      <c r="AD12" s="42">
        <f>'Ressourcenausgleich Basis'!AD124</f>
        <v>2542</v>
      </c>
      <c r="AE12" s="42">
        <f>'Ressourcenausgleich Basis'!AE124</f>
        <v>6269</v>
      </c>
      <c r="AF12" s="42">
        <f>'Ressourcenausgleich Basis'!AF124</f>
        <v>3711</v>
      </c>
      <c r="AG12" s="42">
        <f>'Ressourcenausgleich Basis'!AG124</f>
        <v>7402</v>
      </c>
      <c r="AH12" s="42">
        <f>'Ressourcenausgleich Basis'!AH124</f>
        <v>13931</v>
      </c>
      <c r="AI12" s="42">
        <f>'Ressourcenausgleich Basis'!AI124</f>
        <v>5392</v>
      </c>
      <c r="AJ12" s="42">
        <f>'Ressourcenausgleich Basis'!AJ124</f>
        <v>5496</v>
      </c>
      <c r="AK12" s="42">
        <f>'Ressourcenausgleich Basis'!AK124</f>
        <v>6522</v>
      </c>
      <c r="AL12" s="42">
        <f>'Ressourcenausgleich Basis'!AL124</f>
        <v>5057</v>
      </c>
      <c r="AM12" s="42">
        <f>'Ressourcenausgleich Basis'!AM124</f>
        <v>6835</v>
      </c>
      <c r="AN12" s="42">
        <f>'Ressourcenausgleich Basis'!AN124</f>
        <v>1601</v>
      </c>
      <c r="AO12" s="42">
        <f>'Ressourcenausgleich Basis'!AO124</f>
        <v>9538</v>
      </c>
      <c r="AP12" s="42">
        <f>'Ressourcenausgleich Basis'!AP124</f>
        <v>5347</v>
      </c>
      <c r="AQ12" s="42">
        <f>'Ressourcenausgleich Basis'!AQ124</f>
        <v>5852</v>
      </c>
      <c r="AR12" s="42">
        <f>'Ressourcenausgleich Basis'!AR124</f>
        <v>3085</v>
      </c>
      <c r="AS12" s="42">
        <f>'Ressourcenausgleich Basis'!AS124</f>
        <v>1906</v>
      </c>
      <c r="AT12" s="42">
        <f>'Ressourcenausgleich Basis'!AT124</f>
        <v>1871</v>
      </c>
      <c r="AU12" s="42">
        <f>'Ressourcenausgleich Basis'!AU124</f>
        <v>4154</v>
      </c>
      <c r="AV12" s="42">
        <f>'Ressourcenausgleich Basis'!AV124</f>
        <v>3035</v>
      </c>
      <c r="AW12" s="42">
        <f>'Ressourcenausgleich Basis'!AW124</f>
        <v>5084</v>
      </c>
      <c r="AX12" s="42">
        <f>'Ressourcenausgleich Basis'!AX124</f>
        <v>5657</v>
      </c>
      <c r="AY12" s="42">
        <f>'Ressourcenausgleich Basis'!AY124</f>
        <v>7014</v>
      </c>
      <c r="AZ12" s="42">
        <f>'Ressourcenausgleich Basis'!AZ124</f>
        <v>4162</v>
      </c>
      <c r="BA12" s="42">
        <f>'Ressourcenausgleich Basis'!BA124</f>
        <v>28640</v>
      </c>
      <c r="BB12" s="42">
        <f>'Ressourcenausgleich Basis'!BB124</f>
        <v>10169</v>
      </c>
      <c r="BC12" s="42">
        <f>'Ressourcenausgleich Basis'!BC124</f>
        <v>2618</v>
      </c>
      <c r="BD12" s="42">
        <f>'Ressourcenausgleich Basis'!BD124</f>
        <v>3833</v>
      </c>
      <c r="BE12" s="42">
        <f>'Ressourcenausgleich Basis'!BE124</f>
        <v>5092</v>
      </c>
      <c r="BF12" s="42">
        <f>'Ressourcenausgleich Basis'!BF124</f>
        <v>9161</v>
      </c>
      <c r="BG12" s="42">
        <f>'Ressourcenausgleich Basis'!BG124</f>
        <v>2079</v>
      </c>
      <c r="BH12" s="42">
        <f>'Ressourcenausgleich Basis'!BH124</f>
        <v>6437</v>
      </c>
      <c r="BI12" s="42">
        <f>'Ressourcenausgleich Basis'!BI124</f>
        <v>5202</v>
      </c>
      <c r="BJ12" s="42">
        <f>'Ressourcenausgleich Basis'!BJ124</f>
        <v>1645</v>
      </c>
      <c r="BK12" s="42">
        <f>'Ressourcenausgleich Basis'!BK124</f>
        <v>2969</v>
      </c>
      <c r="BL12" s="42">
        <f>'Ressourcenausgleich Basis'!BL124</f>
        <v>9755</v>
      </c>
      <c r="BM12" s="42">
        <f>'Ressourcenausgleich Basis'!BM124</f>
        <v>4023</v>
      </c>
      <c r="BN12" s="42">
        <f>'Ressourcenausgleich Basis'!BN124</f>
        <v>6674</v>
      </c>
      <c r="BO12" s="42">
        <f>'Ressourcenausgleich Basis'!BO124</f>
        <v>14279</v>
      </c>
      <c r="BP12" s="42">
        <f>'Ressourcenausgleich Basis'!BP124</f>
        <v>10631</v>
      </c>
      <c r="BQ12" s="42">
        <f>'Ressourcenausgleich Basis'!BQ124</f>
        <v>4132</v>
      </c>
      <c r="BR12" s="42">
        <f>'Ressourcenausgleich Basis'!BR124</f>
        <v>24980</v>
      </c>
      <c r="BS12" s="42">
        <f>'Ressourcenausgleich Basis'!BS124</f>
        <v>5026</v>
      </c>
      <c r="BT12" s="42">
        <f>'Ressourcenausgleich Basis'!BT124</f>
        <v>4660</v>
      </c>
      <c r="BU12" s="42">
        <f>'Ressourcenausgleich Basis'!BU124</f>
        <v>1497</v>
      </c>
      <c r="BV12" s="42">
        <f>'Ressourcenausgleich Basis'!BV124</f>
        <v>3256</v>
      </c>
      <c r="BW12" s="42">
        <f>'Ressourcenausgleich Basis'!BW124</f>
        <v>18454</v>
      </c>
      <c r="BX12" s="42">
        <f>'Ressourcenausgleich Basis'!BX124</f>
        <v>2128</v>
      </c>
      <c r="BY12" s="42">
        <f>'Ressourcenausgleich Basis'!BY124</f>
        <v>3544</v>
      </c>
      <c r="BZ12" s="42">
        <f>'Ressourcenausgleich Basis'!BZ124</f>
        <v>8609</v>
      </c>
    </row>
    <row r="13" spans="1:80" x14ac:dyDescent="0.2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 spans="1:80" x14ac:dyDescent="0.2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 spans="1:80" s="41" customFormat="1" ht="15.75" x14ac:dyDescent="0.25">
      <c r="A15" s="20" t="s">
        <v>98</v>
      </c>
      <c r="B15" s="20" t="s">
        <v>162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20"/>
      <c r="CB15" s="20"/>
    </row>
    <row r="16" spans="1:80" x14ac:dyDescent="0.2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 spans="1:80" s="19" customFormat="1" x14ac:dyDescent="0.2">
      <c r="A17" s="45" t="s">
        <v>128</v>
      </c>
      <c r="B17" s="43" t="s">
        <v>163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3"/>
      <c r="CB17" s="43"/>
    </row>
    <row r="18" spans="1:80" x14ac:dyDescent="0.2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 spans="1:80" s="19" customFormat="1" x14ac:dyDescent="0.2">
      <c r="A19"/>
      <c r="B19" t="s">
        <v>160</v>
      </c>
      <c r="C19" s="53">
        <f>SUM(D19:BZ19)</f>
        <v>125235.23899999999</v>
      </c>
      <c r="D19" s="10">
        <v>10066.2922</v>
      </c>
      <c r="E19" s="10">
        <v>1310.8918000000001</v>
      </c>
      <c r="F19" s="10">
        <v>701.577</v>
      </c>
      <c r="G19" s="10">
        <v>855.18200000000002</v>
      </c>
      <c r="H19" s="10">
        <v>993.25439999999992</v>
      </c>
      <c r="I19" s="10">
        <v>1249.827</v>
      </c>
      <c r="J19" s="10">
        <v>576.48500000000001</v>
      </c>
      <c r="K19" s="10">
        <v>284.22199999999998</v>
      </c>
      <c r="L19" s="10">
        <v>205.68700000000001</v>
      </c>
      <c r="M19" s="10">
        <v>519.89560000000006</v>
      </c>
      <c r="N19" s="10">
        <v>874.25780000000009</v>
      </c>
      <c r="O19" s="10">
        <v>1160.425</v>
      </c>
      <c r="P19" s="10">
        <v>1124.3579999999999</v>
      </c>
      <c r="Q19" s="10">
        <v>1427.3</v>
      </c>
      <c r="R19" s="10">
        <v>572.78199999999993</v>
      </c>
      <c r="S19" s="10">
        <v>1020.1400000000001</v>
      </c>
      <c r="T19" s="10">
        <v>1055.8050000000001</v>
      </c>
      <c r="U19" s="10">
        <v>847.89140000000009</v>
      </c>
      <c r="V19" s="10">
        <v>783.923</v>
      </c>
      <c r="W19" s="10">
        <v>1172.627</v>
      </c>
      <c r="X19" s="10">
        <v>1314.211</v>
      </c>
      <c r="Y19" s="10">
        <v>764.73299999999995</v>
      </c>
      <c r="Z19" s="10">
        <v>687.78399999999999</v>
      </c>
      <c r="AA19" s="10">
        <v>4106.5950000000003</v>
      </c>
      <c r="AB19" s="10">
        <v>602.71699999999998</v>
      </c>
      <c r="AC19" s="10">
        <v>3379.2273999999998</v>
      </c>
      <c r="AD19" s="10">
        <v>883.49200000000008</v>
      </c>
      <c r="AE19" s="10">
        <v>1941.1049999999998</v>
      </c>
      <c r="AF19" s="10">
        <v>1311.4270000000001</v>
      </c>
      <c r="AG19" s="10">
        <v>2734.0092000000004</v>
      </c>
      <c r="AH19" s="10">
        <v>1653.9299999999998</v>
      </c>
      <c r="AI19" s="10">
        <v>1478.3209999999997</v>
      </c>
      <c r="AJ19" s="10">
        <v>1564.5064</v>
      </c>
      <c r="AK19" s="10">
        <v>958.03699999999981</v>
      </c>
      <c r="AL19" s="10">
        <v>1439.2709999999997</v>
      </c>
      <c r="AM19" s="10">
        <v>1158.3412000000001</v>
      </c>
      <c r="AN19" s="10">
        <v>1859.6064000000001</v>
      </c>
      <c r="AO19" s="10">
        <v>3085.0162000000005</v>
      </c>
      <c r="AP19" s="10">
        <v>2034.2468000000001</v>
      </c>
      <c r="AQ19" s="10">
        <v>1313.4089999999999</v>
      </c>
      <c r="AR19" s="10">
        <v>968.56000000000006</v>
      </c>
      <c r="AS19" s="10">
        <v>1535.6024</v>
      </c>
      <c r="AT19" s="10">
        <v>299.94599999999997</v>
      </c>
      <c r="AU19" s="10">
        <v>1259.1119999999999</v>
      </c>
      <c r="AV19" s="10">
        <v>953.00200000000018</v>
      </c>
      <c r="AW19" s="10">
        <v>971.19699999999989</v>
      </c>
      <c r="AX19" s="10">
        <v>1370.6225999999999</v>
      </c>
      <c r="AY19" s="10">
        <v>894.21799999999973</v>
      </c>
      <c r="AZ19" s="10">
        <v>540.46499999999992</v>
      </c>
      <c r="BA19" s="10">
        <v>2652.4189999999999</v>
      </c>
      <c r="BB19" s="10">
        <v>3400.0128</v>
      </c>
      <c r="BC19" s="10">
        <v>2075.4826000000003</v>
      </c>
      <c r="BD19" s="10">
        <v>2633.0697999999998</v>
      </c>
      <c r="BE19" s="10">
        <v>2441.4366</v>
      </c>
      <c r="BF19" s="10">
        <v>3280.3196000000007</v>
      </c>
      <c r="BG19" s="10">
        <v>355.90519999999992</v>
      </c>
      <c r="BH19" s="10">
        <v>5094.0271999999977</v>
      </c>
      <c r="BI19" s="10">
        <v>1871.1374000000003</v>
      </c>
      <c r="BJ19" s="10">
        <v>923.50600000000009</v>
      </c>
      <c r="BK19" s="10">
        <v>2291.0281999999997</v>
      </c>
      <c r="BL19" s="10">
        <v>4033.4391999999998</v>
      </c>
      <c r="BM19" s="10">
        <v>1015.3124</v>
      </c>
      <c r="BN19" s="10">
        <v>1281.5226</v>
      </c>
      <c r="BO19" s="10">
        <v>2407.9790000000003</v>
      </c>
      <c r="BP19" s="10">
        <v>2009.1152000000002</v>
      </c>
      <c r="BQ19" s="10">
        <v>1492.3382000000001</v>
      </c>
      <c r="BR19" s="10">
        <v>3299.3842</v>
      </c>
      <c r="BS19" s="10">
        <v>872.81099999999992</v>
      </c>
      <c r="BT19" s="10">
        <v>1695.6945999999996</v>
      </c>
      <c r="BU19" s="10">
        <v>842.7589999999999</v>
      </c>
      <c r="BV19" s="10">
        <v>1286.0159999999996</v>
      </c>
      <c r="BW19" s="10">
        <v>3461.2002000000007</v>
      </c>
      <c r="BX19" s="10">
        <v>654.58260000000007</v>
      </c>
      <c r="BY19" s="10">
        <v>2371.4128000000005</v>
      </c>
      <c r="BZ19" s="10">
        <v>1627.7938000000001</v>
      </c>
      <c r="CB19" t="s">
        <v>179</v>
      </c>
    </row>
    <row r="20" spans="1:80" x14ac:dyDescent="0.2">
      <c r="B20" t="s">
        <v>166</v>
      </c>
      <c r="C20" s="3"/>
      <c r="D20" s="3">
        <f t="shared" ref="D20:AI20" si="0">D19/D12</f>
        <v>0.12870356846048611</v>
      </c>
      <c r="E20" s="3">
        <f t="shared" si="0"/>
        <v>0.1307492319968083</v>
      </c>
      <c r="F20" s="3">
        <f t="shared" si="0"/>
        <v>0.49027044025157235</v>
      </c>
      <c r="G20" s="3">
        <f t="shared" si="0"/>
        <v>0.68033571996817821</v>
      </c>
      <c r="H20" s="3">
        <f t="shared" si="0"/>
        <v>0.27123276897870013</v>
      </c>
      <c r="I20" s="3">
        <f t="shared" si="0"/>
        <v>0.12872870532495623</v>
      </c>
      <c r="J20" s="3">
        <f t="shared" si="0"/>
        <v>0.16102932960893857</v>
      </c>
      <c r="K20" s="3">
        <f t="shared" si="0"/>
        <v>0.28085177865612648</v>
      </c>
      <c r="L20" s="3">
        <f t="shared" si="0"/>
        <v>0.12903826850690089</v>
      </c>
      <c r="M20" s="3">
        <f t="shared" si="0"/>
        <v>0.50622745861733209</v>
      </c>
      <c r="N20" s="3">
        <f t="shared" si="0"/>
        <v>0.3532354747474748</v>
      </c>
      <c r="O20" s="3">
        <f t="shared" si="0"/>
        <v>0.15099869876382563</v>
      </c>
      <c r="P20" s="3">
        <f t="shared" si="0"/>
        <v>0.11294404821697639</v>
      </c>
      <c r="Q20" s="3">
        <f t="shared" si="0"/>
        <v>0.20111314639988728</v>
      </c>
      <c r="R20" s="3">
        <f t="shared" si="0"/>
        <v>0.16290728100113763</v>
      </c>
      <c r="S20" s="3">
        <f t="shared" si="0"/>
        <v>0.15555657212564808</v>
      </c>
      <c r="T20" s="3">
        <f t="shared" si="0"/>
        <v>0.1244906261054121</v>
      </c>
      <c r="U20" s="3">
        <f t="shared" si="0"/>
        <v>0.21255738280270747</v>
      </c>
      <c r="V20" s="3">
        <f t="shared" si="0"/>
        <v>0.15254388013232145</v>
      </c>
      <c r="W20" s="3">
        <f t="shared" si="0"/>
        <v>0.16925909353348728</v>
      </c>
      <c r="X20" s="3">
        <f t="shared" si="0"/>
        <v>0.12713659669149657</v>
      </c>
      <c r="Y20" s="3">
        <f t="shared" si="0"/>
        <v>0.15140229657493565</v>
      </c>
      <c r="Z20" s="3">
        <f t="shared" si="0"/>
        <v>0.32473276676109536</v>
      </c>
      <c r="AA20" s="3">
        <f t="shared" si="0"/>
        <v>0.32968810211946054</v>
      </c>
      <c r="AB20" s="3">
        <f t="shared" si="0"/>
        <v>0.38365181413112664</v>
      </c>
      <c r="AC20" s="3">
        <f t="shared" si="0"/>
        <v>0.36370976213539985</v>
      </c>
      <c r="AD20" s="3">
        <f t="shared" si="0"/>
        <v>0.34755782848151068</v>
      </c>
      <c r="AE20" s="3">
        <f t="shared" si="0"/>
        <v>0.30963550805551121</v>
      </c>
      <c r="AF20" s="3">
        <f t="shared" si="0"/>
        <v>0.35338911344651042</v>
      </c>
      <c r="AG20" s="3">
        <f t="shared" si="0"/>
        <v>0.36936087543907059</v>
      </c>
      <c r="AH20" s="3">
        <f t="shared" si="0"/>
        <v>0.11872299188859377</v>
      </c>
      <c r="AI20" s="3">
        <f t="shared" si="0"/>
        <v>0.27416932492581597</v>
      </c>
      <c r="AJ20" s="3">
        <f t="shared" ref="AJ20:BM20" si="1">AJ19/AJ12</f>
        <v>0.28466273653566232</v>
      </c>
      <c r="AK20" s="3">
        <f t="shared" si="1"/>
        <v>0.14689313094142897</v>
      </c>
      <c r="AL20" s="3">
        <f t="shared" si="1"/>
        <v>0.28460964999011268</v>
      </c>
      <c r="AM20" s="3">
        <f t="shared" si="1"/>
        <v>0.16947201170446233</v>
      </c>
      <c r="AN20" s="3">
        <f t="shared" si="1"/>
        <v>1.1615280449718925</v>
      </c>
      <c r="AO20" s="3">
        <f t="shared" si="1"/>
        <v>0.32344476829524016</v>
      </c>
      <c r="AP20" s="3">
        <f t="shared" si="1"/>
        <v>0.38044638114830748</v>
      </c>
      <c r="AQ20" s="3">
        <f t="shared" si="1"/>
        <v>0.22443762816131235</v>
      </c>
      <c r="AR20" s="3">
        <f t="shared" si="1"/>
        <v>0.31395786061588332</v>
      </c>
      <c r="AS20" s="3">
        <f t="shared" si="1"/>
        <v>0.80566757607555084</v>
      </c>
      <c r="AT20" s="3">
        <f t="shared" si="1"/>
        <v>0.16031320149652589</v>
      </c>
      <c r="AU20" s="3">
        <f t="shared" si="1"/>
        <v>0.30310832932113624</v>
      </c>
      <c r="AV20" s="3">
        <f t="shared" si="1"/>
        <v>0.31400395387149921</v>
      </c>
      <c r="AW20" s="3">
        <f t="shared" si="1"/>
        <v>0.19103009441384733</v>
      </c>
      <c r="AX20" s="3">
        <f t="shared" si="1"/>
        <v>0.2422878911083613</v>
      </c>
      <c r="AY20" s="3">
        <f t="shared" si="1"/>
        <v>0.12749044767607637</v>
      </c>
      <c r="AZ20" s="3">
        <f t="shared" si="1"/>
        <v>0.12985703988467082</v>
      </c>
      <c r="BA20" s="3">
        <f t="shared" si="1"/>
        <v>9.261239525139664E-2</v>
      </c>
      <c r="BB20" s="3">
        <f t="shared" si="1"/>
        <v>0.33435075228636052</v>
      </c>
      <c r="BC20" s="3">
        <f t="shared" si="1"/>
        <v>0.7927741023682201</v>
      </c>
      <c r="BD20" s="3">
        <f t="shared" si="1"/>
        <v>0.6869475084789981</v>
      </c>
      <c r="BE20" s="3">
        <f t="shared" si="1"/>
        <v>0.47946516103692066</v>
      </c>
      <c r="BF20" s="3">
        <f t="shared" si="1"/>
        <v>0.35807440235782129</v>
      </c>
      <c r="BG20" s="3">
        <f t="shared" si="1"/>
        <v>0.17119057239057237</v>
      </c>
      <c r="BH20" s="3">
        <f t="shared" ref="BH20" si="2">BH19/BH12</f>
        <v>0.79136666148827062</v>
      </c>
      <c r="BI20" s="3">
        <f t="shared" si="1"/>
        <v>0.3596957708573626</v>
      </c>
      <c r="BJ20" s="3">
        <f t="shared" si="1"/>
        <v>0.56140182370820679</v>
      </c>
      <c r="BK20" s="3">
        <f t="shared" si="1"/>
        <v>0.77164978107106763</v>
      </c>
      <c r="BL20" s="3">
        <f t="shared" si="1"/>
        <v>0.41347403382880571</v>
      </c>
      <c r="BM20" s="3">
        <f t="shared" si="1"/>
        <v>0.25237693263733535</v>
      </c>
      <c r="BN20" s="3">
        <f t="shared" ref="BN20:BZ20" si="3">BN19/BN12</f>
        <v>0.19201717111177705</v>
      </c>
      <c r="BO20" s="3">
        <f t="shared" si="3"/>
        <v>0.16863778976118779</v>
      </c>
      <c r="BP20" s="3">
        <f t="shared" si="3"/>
        <v>0.18898647352083531</v>
      </c>
      <c r="BQ20" s="3">
        <f t="shared" si="3"/>
        <v>0.36116606969990322</v>
      </c>
      <c r="BR20" s="3">
        <f t="shared" si="3"/>
        <v>0.13208103282626102</v>
      </c>
      <c r="BS20" s="3">
        <f t="shared" si="3"/>
        <v>0.17365917230401909</v>
      </c>
      <c r="BT20" s="3">
        <f t="shared" si="3"/>
        <v>0.36388296137339049</v>
      </c>
      <c r="BU20" s="3">
        <f t="shared" si="3"/>
        <v>0.56296526386105539</v>
      </c>
      <c r="BV20" s="3">
        <f t="shared" si="3"/>
        <v>0.39496805896805887</v>
      </c>
      <c r="BW20" s="3">
        <f t="shared" si="3"/>
        <v>0.18755826379104804</v>
      </c>
      <c r="BX20" s="3">
        <f t="shared" si="3"/>
        <v>0.30760460526315792</v>
      </c>
      <c r="BY20" s="3">
        <f t="shared" si="3"/>
        <v>0.66913453724604977</v>
      </c>
      <c r="BZ20" s="3">
        <f t="shared" si="3"/>
        <v>0.1890804739226391</v>
      </c>
    </row>
    <row r="21" spans="1:80" x14ac:dyDescent="0.2">
      <c r="B21" t="s">
        <v>169</v>
      </c>
      <c r="C21" s="10">
        <v>1166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B21" t="s">
        <v>180</v>
      </c>
    </row>
    <row r="22" spans="1:80" x14ac:dyDescent="0.2">
      <c r="B22" t="s">
        <v>170</v>
      </c>
      <c r="C22" s="3"/>
      <c r="D22" s="3">
        <f>D20*$C21</f>
        <v>150.0683608249268</v>
      </c>
      <c r="E22" s="3">
        <f t="shared" ref="E22:BN22" si="4">E20*$C21</f>
        <v>152.45360450827846</v>
      </c>
      <c r="F22" s="3">
        <f t="shared" si="4"/>
        <v>571.65533333333337</v>
      </c>
      <c r="G22" s="3">
        <f t="shared" si="4"/>
        <v>793.27144948289583</v>
      </c>
      <c r="H22" s="3">
        <f t="shared" si="4"/>
        <v>316.25740862916433</v>
      </c>
      <c r="I22" s="3">
        <f t="shared" si="4"/>
        <v>150.09767040889895</v>
      </c>
      <c r="J22" s="3">
        <f t="shared" si="4"/>
        <v>187.76019832402235</v>
      </c>
      <c r="K22" s="3">
        <f t="shared" si="4"/>
        <v>327.47317391304347</v>
      </c>
      <c r="L22" s="3">
        <f t="shared" si="4"/>
        <v>150.45862107904645</v>
      </c>
      <c r="M22" s="3">
        <f t="shared" si="4"/>
        <v>590.26121674780927</v>
      </c>
      <c r="N22" s="3">
        <f t="shared" si="4"/>
        <v>411.87256355555559</v>
      </c>
      <c r="O22" s="3">
        <f t="shared" si="4"/>
        <v>176.06448275862067</v>
      </c>
      <c r="P22" s="3">
        <f t="shared" si="4"/>
        <v>131.69276022099447</v>
      </c>
      <c r="Q22" s="3">
        <f t="shared" si="4"/>
        <v>234.49792870226858</v>
      </c>
      <c r="R22" s="3">
        <f t="shared" si="4"/>
        <v>189.94988964732647</v>
      </c>
      <c r="S22" s="3">
        <f t="shared" si="4"/>
        <v>181.37896309850566</v>
      </c>
      <c r="T22" s="3">
        <f t="shared" si="4"/>
        <v>145.15607003891051</v>
      </c>
      <c r="U22" s="3">
        <f t="shared" si="4"/>
        <v>247.84190834795692</v>
      </c>
      <c r="V22" s="3">
        <f t="shared" si="4"/>
        <v>177.8661642342868</v>
      </c>
      <c r="W22" s="3">
        <f t="shared" si="4"/>
        <v>197.35610306004617</v>
      </c>
      <c r="X22" s="3">
        <f t="shared" si="4"/>
        <v>148.24127174228499</v>
      </c>
      <c r="Y22" s="3">
        <f t="shared" si="4"/>
        <v>176.53507780637497</v>
      </c>
      <c r="Z22" s="3">
        <f t="shared" si="4"/>
        <v>378.63840604343721</v>
      </c>
      <c r="AA22" s="3">
        <f t="shared" si="4"/>
        <v>384.41632707129099</v>
      </c>
      <c r="AB22" s="3">
        <f t="shared" si="4"/>
        <v>447.33801527689366</v>
      </c>
      <c r="AC22" s="3">
        <f t="shared" si="4"/>
        <v>424.08558264987624</v>
      </c>
      <c r="AD22" s="3">
        <f t="shared" si="4"/>
        <v>405.25242800944147</v>
      </c>
      <c r="AE22" s="3">
        <f t="shared" si="4"/>
        <v>361.03500239272608</v>
      </c>
      <c r="AF22" s="3">
        <f t="shared" si="4"/>
        <v>412.05170627863117</v>
      </c>
      <c r="AG22" s="3">
        <f t="shared" si="4"/>
        <v>430.6747807619563</v>
      </c>
      <c r="AH22" s="3">
        <f t="shared" si="4"/>
        <v>138.43100854210033</v>
      </c>
      <c r="AI22" s="3">
        <f t="shared" si="4"/>
        <v>319.68143286350141</v>
      </c>
      <c r="AJ22" s="3">
        <f t="shared" si="4"/>
        <v>331.91675080058229</v>
      </c>
      <c r="AK22" s="3">
        <f t="shared" si="4"/>
        <v>171.27739067770619</v>
      </c>
      <c r="AL22" s="3">
        <f t="shared" si="4"/>
        <v>331.85485188847139</v>
      </c>
      <c r="AM22" s="3">
        <f t="shared" si="4"/>
        <v>197.60436564740309</v>
      </c>
      <c r="AN22" s="3">
        <f t="shared" si="4"/>
        <v>1354.3417004372268</v>
      </c>
      <c r="AO22" s="3">
        <f t="shared" si="4"/>
        <v>377.13659983225</v>
      </c>
      <c r="AP22" s="3">
        <f t="shared" si="4"/>
        <v>443.60048041892651</v>
      </c>
      <c r="AQ22" s="3">
        <f t="shared" si="4"/>
        <v>261.69427443609021</v>
      </c>
      <c r="AR22" s="3">
        <f t="shared" si="4"/>
        <v>366.07486547811993</v>
      </c>
      <c r="AS22" s="3">
        <f t="shared" si="4"/>
        <v>939.4083937040923</v>
      </c>
      <c r="AT22" s="3">
        <f t="shared" si="4"/>
        <v>186.9251929449492</v>
      </c>
      <c r="AU22" s="3">
        <f t="shared" si="4"/>
        <v>353.42431198844486</v>
      </c>
      <c r="AV22" s="3">
        <f t="shared" si="4"/>
        <v>366.12861021416808</v>
      </c>
      <c r="AW22" s="3">
        <f t="shared" si="4"/>
        <v>222.741090086546</v>
      </c>
      <c r="AX22" s="3">
        <f t="shared" si="4"/>
        <v>282.5076810323493</v>
      </c>
      <c r="AY22" s="3">
        <f t="shared" si="4"/>
        <v>148.65386199030505</v>
      </c>
      <c r="AZ22" s="3">
        <f t="shared" si="4"/>
        <v>151.41330850552617</v>
      </c>
      <c r="BA22" s="3">
        <f t="shared" si="4"/>
        <v>107.98605286312848</v>
      </c>
      <c r="BB22" s="3">
        <f t="shared" si="4"/>
        <v>389.85297716589639</v>
      </c>
      <c r="BC22" s="3">
        <f t="shared" si="4"/>
        <v>924.37460336134461</v>
      </c>
      <c r="BD22" s="3">
        <f t="shared" si="4"/>
        <v>800.98079488651183</v>
      </c>
      <c r="BE22" s="3">
        <f t="shared" si="4"/>
        <v>559.0563777690495</v>
      </c>
      <c r="BF22" s="3">
        <f t="shared" si="4"/>
        <v>417.51475314921964</v>
      </c>
      <c r="BG22" s="3">
        <f t="shared" si="4"/>
        <v>199.60820740740738</v>
      </c>
      <c r="BH22" s="3">
        <f t="shared" ref="BH22" si="5">BH20*$C21</f>
        <v>922.73352729532348</v>
      </c>
      <c r="BI22" s="3">
        <f t="shared" si="4"/>
        <v>419.40526881968481</v>
      </c>
      <c r="BJ22" s="3">
        <f t="shared" si="4"/>
        <v>654.59452644376915</v>
      </c>
      <c r="BK22" s="3">
        <f t="shared" si="4"/>
        <v>899.74364472886487</v>
      </c>
      <c r="BL22" s="3">
        <f t="shared" si="4"/>
        <v>482.11072344438747</v>
      </c>
      <c r="BM22" s="3">
        <f t="shared" si="4"/>
        <v>294.27150345513303</v>
      </c>
      <c r="BN22" s="3">
        <f t="shared" si="4"/>
        <v>223.89202151633202</v>
      </c>
      <c r="BO22" s="3">
        <f t="shared" ref="BO22:BZ22" si="6">BO20*$C21</f>
        <v>196.63166286154495</v>
      </c>
      <c r="BP22" s="3">
        <f t="shared" si="6"/>
        <v>220.35822812529398</v>
      </c>
      <c r="BQ22" s="3">
        <f t="shared" si="6"/>
        <v>421.11963727008714</v>
      </c>
      <c r="BR22" s="3">
        <f t="shared" si="6"/>
        <v>154.00648427542035</v>
      </c>
      <c r="BS22" s="3">
        <f t="shared" si="6"/>
        <v>202.48659490648626</v>
      </c>
      <c r="BT22" s="3">
        <f t="shared" si="6"/>
        <v>424.2875329613733</v>
      </c>
      <c r="BU22" s="3">
        <f t="shared" si="6"/>
        <v>656.41749766199064</v>
      </c>
      <c r="BV22" s="3">
        <f t="shared" si="6"/>
        <v>460.53275675675661</v>
      </c>
      <c r="BW22" s="3">
        <f t="shared" si="6"/>
        <v>218.69293558036202</v>
      </c>
      <c r="BX22" s="3">
        <f t="shared" si="6"/>
        <v>358.66696973684213</v>
      </c>
      <c r="BY22" s="3">
        <f t="shared" si="6"/>
        <v>780.21087042889405</v>
      </c>
      <c r="BZ22" s="3">
        <f t="shared" si="6"/>
        <v>220.4678325937972</v>
      </c>
    </row>
    <row r="23" spans="1:80" x14ac:dyDescent="0.2">
      <c r="C23" s="3"/>
      <c r="D23" s="3"/>
      <c r="E23" s="4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 spans="1:80" s="19" customFormat="1" x14ac:dyDescent="0.2">
      <c r="B24" s="19" t="s">
        <v>171</v>
      </c>
      <c r="C24" s="13"/>
      <c r="D24" s="13">
        <f t="shared" ref="D24:AI24" si="7">D12*D22</f>
        <v>11737296.7052</v>
      </c>
      <c r="E24" s="13">
        <f t="shared" si="7"/>
        <v>1528499.8387999998</v>
      </c>
      <c r="F24" s="13">
        <f t="shared" si="7"/>
        <v>818038.78200000001</v>
      </c>
      <c r="G24" s="13">
        <f t="shared" si="7"/>
        <v>997142.21200000006</v>
      </c>
      <c r="H24" s="13">
        <f t="shared" si="7"/>
        <v>1158134.6303999997</v>
      </c>
      <c r="I24" s="13">
        <f t="shared" si="7"/>
        <v>1457298.2819999999</v>
      </c>
      <c r="J24" s="13">
        <f t="shared" si="7"/>
        <v>672181.51</v>
      </c>
      <c r="K24" s="13">
        <f t="shared" si="7"/>
        <v>331402.85200000001</v>
      </c>
      <c r="L24" s="13">
        <f t="shared" si="7"/>
        <v>239831.04200000004</v>
      </c>
      <c r="M24" s="13">
        <f t="shared" si="7"/>
        <v>606198.26960000012</v>
      </c>
      <c r="N24" s="13">
        <f t="shared" si="7"/>
        <v>1019384.5948000001</v>
      </c>
      <c r="O24" s="13">
        <f t="shared" si="7"/>
        <v>1353055.5499999998</v>
      </c>
      <c r="P24" s="13">
        <f t="shared" si="7"/>
        <v>1311001.4280000001</v>
      </c>
      <c r="Q24" s="13">
        <f t="shared" si="7"/>
        <v>1664231.8</v>
      </c>
      <c r="R24" s="13">
        <f t="shared" si="7"/>
        <v>667863.81199999992</v>
      </c>
      <c r="S24" s="13">
        <f t="shared" si="7"/>
        <v>1189483.2400000002</v>
      </c>
      <c r="T24" s="13">
        <f t="shared" si="7"/>
        <v>1231068.6300000001</v>
      </c>
      <c r="U24" s="13">
        <f t="shared" si="7"/>
        <v>988641.37240000011</v>
      </c>
      <c r="V24" s="13">
        <f t="shared" si="7"/>
        <v>914054.21799999988</v>
      </c>
      <c r="W24" s="13">
        <f t="shared" si="7"/>
        <v>1367283.0819999999</v>
      </c>
      <c r="X24" s="13">
        <f t="shared" si="7"/>
        <v>1532370.0260000001</v>
      </c>
      <c r="Y24" s="13">
        <f t="shared" si="7"/>
        <v>891678.67799999996</v>
      </c>
      <c r="Z24" s="13">
        <f t="shared" si="7"/>
        <v>801956.14399999997</v>
      </c>
      <c r="AA24" s="13">
        <f t="shared" si="7"/>
        <v>4788289.7700000005</v>
      </c>
      <c r="AB24" s="13">
        <f t="shared" si="7"/>
        <v>702768.02199999988</v>
      </c>
      <c r="AC24" s="13">
        <f t="shared" si="7"/>
        <v>3940179.1484000003</v>
      </c>
      <c r="AD24" s="13">
        <f t="shared" si="7"/>
        <v>1030151.6720000003</v>
      </c>
      <c r="AE24" s="13">
        <f t="shared" si="7"/>
        <v>2263328.4299999997</v>
      </c>
      <c r="AF24" s="13">
        <f t="shared" si="7"/>
        <v>1529123.8820000002</v>
      </c>
      <c r="AG24" s="13">
        <f t="shared" si="7"/>
        <v>3187854.7272000005</v>
      </c>
      <c r="AH24" s="13">
        <f t="shared" si="7"/>
        <v>1928482.3799999997</v>
      </c>
      <c r="AI24" s="13">
        <f t="shared" si="7"/>
        <v>1723722.2859999996</v>
      </c>
      <c r="AJ24" s="13">
        <f t="shared" ref="AJ24:BM24" si="8">AJ12*AJ22</f>
        <v>1824214.4624000003</v>
      </c>
      <c r="AK24" s="13">
        <f t="shared" si="8"/>
        <v>1117071.1419999998</v>
      </c>
      <c r="AL24" s="13">
        <f t="shared" si="8"/>
        <v>1678189.9859999998</v>
      </c>
      <c r="AM24" s="13">
        <f t="shared" si="8"/>
        <v>1350625.8392</v>
      </c>
      <c r="AN24" s="13">
        <f t="shared" si="8"/>
        <v>2168301.0624000002</v>
      </c>
      <c r="AO24" s="13">
        <f t="shared" si="8"/>
        <v>3597128.8892000006</v>
      </c>
      <c r="AP24" s="13">
        <f t="shared" si="8"/>
        <v>2371931.7688000002</v>
      </c>
      <c r="AQ24" s="13">
        <f t="shared" si="8"/>
        <v>1531434.8939999999</v>
      </c>
      <c r="AR24" s="13">
        <f t="shared" si="8"/>
        <v>1129340.96</v>
      </c>
      <c r="AS24" s="13">
        <f t="shared" si="8"/>
        <v>1790512.3983999998</v>
      </c>
      <c r="AT24" s="13">
        <f t="shared" si="8"/>
        <v>349737.03599999996</v>
      </c>
      <c r="AU24" s="13">
        <f t="shared" si="8"/>
        <v>1468124.5919999999</v>
      </c>
      <c r="AV24" s="13">
        <f t="shared" si="8"/>
        <v>1111200.3320000002</v>
      </c>
      <c r="AW24" s="13">
        <f t="shared" si="8"/>
        <v>1132415.7019999998</v>
      </c>
      <c r="AX24" s="13">
        <f t="shared" si="8"/>
        <v>1598145.9516</v>
      </c>
      <c r="AY24" s="13">
        <f t="shared" si="8"/>
        <v>1042658.1879999996</v>
      </c>
      <c r="AZ24" s="13">
        <f t="shared" si="8"/>
        <v>630182.18999999994</v>
      </c>
      <c r="BA24" s="13">
        <f t="shared" si="8"/>
        <v>3092720.5539999995</v>
      </c>
      <c r="BB24" s="13">
        <f t="shared" si="8"/>
        <v>3964414.9248000006</v>
      </c>
      <c r="BC24" s="13">
        <f t="shared" si="8"/>
        <v>2420012.7116</v>
      </c>
      <c r="BD24" s="13">
        <f t="shared" si="8"/>
        <v>3070159.3868</v>
      </c>
      <c r="BE24" s="13">
        <f t="shared" si="8"/>
        <v>2846715.0756000001</v>
      </c>
      <c r="BF24" s="13">
        <f t="shared" si="8"/>
        <v>3824852.6536000012</v>
      </c>
      <c r="BG24" s="13">
        <f t="shared" si="8"/>
        <v>414985.46319999994</v>
      </c>
      <c r="BH24" s="13">
        <f t="shared" ref="BH24" si="9">BH12*BH22</f>
        <v>5939635.7151999976</v>
      </c>
      <c r="BI24" s="13">
        <f t="shared" si="8"/>
        <v>2181746.2084000004</v>
      </c>
      <c r="BJ24" s="13">
        <f t="shared" si="8"/>
        <v>1076807.9960000003</v>
      </c>
      <c r="BK24" s="13">
        <f t="shared" si="8"/>
        <v>2671338.8811999997</v>
      </c>
      <c r="BL24" s="13">
        <f t="shared" si="8"/>
        <v>4702990.1071999995</v>
      </c>
      <c r="BM24" s="13">
        <f t="shared" si="8"/>
        <v>1183854.2584000002</v>
      </c>
      <c r="BN24" s="13">
        <f t="shared" ref="BN24:BZ24" si="10">BN12*BN22</f>
        <v>1494255.3515999999</v>
      </c>
      <c r="BO24" s="13">
        <f t="shared" si="10"/>
        <v>2807703.5140000004</v>
      </c>
      <c r="BP24" s="13">
        <f t="shared" si="10"/>
        <v>2342628.3232000005</v>
      </c>
      <c r="BQ24" s="13">
        <f t="shared" si="10"/>
        <v>1740066.3412000001</v>
      </c>
      <c r="BR24" s="13">
        <f t="shared" si="10"/>
        <v>3847081.9772000001</v>
      </c>
      <c r="BS24" s="13">
        <f t="shared" si="10"/>
        <v>1017697.6259999999</v>
      </c>
      <c r="BT24" s="13">
        <f t="shared" si="10"/>
        <v>1977179.9035999996</v>
      </c>
      <c r="BU24" s="13">
        <f t="shared" si="10"/>
        <v>982656.99399999995</v>
      </c>
      <c r="BV24" s="13">
        <f t="shared" si="10"/>
        <v>1499494.6559999995</v>
      </c>
      <c r="BW24" s="13">
        <f t="shared" si="10"/>
        <v>4035759.4332000008</v>
      </c>
      <c r="BX24" s="13">
        <f t="shared" si="10"/>
        <v>763243.31160000002</v>
      </c>
      <c r="BY24" s="13">
        <f t="shared" si="10"/>
        <v>2765067.3248000005</v>
      </c>
      <c r="BZ24" s="13">
        <f t="shared" si="10"/>
        <v>1898007.5708000001</v>
      </c>
      <c r="CB24"/>
    </row>
    <row r="25" spans="1:80" x14ac:dyDescent="0.2">
      <c r="C25" s="3"/>
      <c r="D25" s="3"/>
      <c r="E25" s="4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 spans="1:80" s="19" customFormat="1" x14ac:dyDescent="0.2">
      <c r="A26" s="45" t="s">
        <v>129</v>
      </c>
      <c r="B26" s="43" t="s">
        <v>164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3"/>
      <c r="CB26" s="45"/>
    </row>
    <row r="27" spans="1:80" x14ac:dyDescent="0.2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 spans="1:80" x14ac:dyDescent="0.2">
      <c r="B28" t="s">
        <v>382</v>
      </c>
      <c r="C28" s="42">
        <f>SUM(D28:BZ28)</f>
        <v>21712</v>
      </c>
      <c r="D28" s="36">
        <v>1750</v>
      </c>
      <c r="E28" s="36">
        <v>0</v>
      </c>
      <c r="F28" s="36">
        <v>1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2224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131</v>
      </c>
      <c r="AB28" s="36">
        <v>0</v>
      </c>
      <c r="AC28" s="36">
        <v>3</v>
      </c>
      <c r="AD28" s="36">
        <v>0</v>
      </c>
      <c r="AE28" s="36">
        <v>1</v>
      </c>
      <c r="AF28" s="36">
        <v>58</v>
      </c>
      <c r="AG28" s="36">
        <v>171</v>
      </c>
      <c r="AH28" s="36">
        <v>15</v>
      </c>
      <c r="AI28" s="36">
        <v>70</v>
      </c>
      <c r="AJ28" s="36">
        <v>37</v>
      </c>
      <c r="AK28" s="36">
        <v>0</v>
      </c>
      <c r="AL28" s="36">
        <v>17</v>
      </c>
      <c r="AM28" s="36">
        <v>11</v>
      </c>
      <c r="AN28" s="36">
        <v>1508</v>
      </c>
      <c r="AO28" s="36">
        <v>266</v>
      </c>
      <c r="AP28" s="36">
        <v>658</v>
      </c>
      <c r="AQ28" s="36">
        <v>148</v>
      </c>
      <c r="AR28" s="36">
        <v>135</v>
      </c>
      <c r="AS28" s="36">
        <v>1478</v>
      </c>
      <c r="AT28" s="36">
        <v>14</v>
      </c>
      <c r="AU28" s="36">
        <v>9</v>
      </c>
      <c r="AV28" s="36">
        <v>0</v>
      </c>
      <c r="AW28" s="36">
        <v>21</v>
      </c>
      <c r="AX28" s="36">
        <v>253</v>
      </c>
      <c r="AY28" s="36">
        <v>0</v>
      </c>
      <c r="AZ28" s="36">
        <v>0</v>
      </c>
      <c r="BA28" s="36">
        <v>0</v>
      </c>
      <c r="BB28" s="36">
        <v>742</v>
      </c>
      <c r="BC28" s="36">
        <v>2618</v>
      </c>
      <c r="BD28" s="36">
        <v>1609</v>
      </c>
      <c r="BE28" s="36">
        <v>463</v>
      </c>
      <c r="BF28" s="36">
        <v>726</v>
      </c>
      <c r="BG28" s="36">
        <v>4</v>
      </c>
      <c r="BH28" s="36">
        <v>3073</v>
      </c>
      <c r="BI28" s="36">
        <v>27</v>
      </c>
      <c r="BJ28" s="36">
        <v>59</v>
      </c>
      <c r="BK28" s="36">
        <v>307</v>
      </c>
      <c r="BL28" s="36">
        <v>120</v>
      </c>
      <c r="BM28" s="36">
        <v>0</v>
      </c>
      <c r="BN28" s="36">
        <v>0</v>
      </c>
      <c r="BO28" s="36">
        <v>0</v>
      </c>
      <c r="BP28" s="36">
        <v>0</v>
      </c>
      <c r="BQ28" s="36">
        <v>2838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3</v>
      </c>
      <c r="BY28" s="18">
        <v>111</v>
      </c>
      <c r="BZ28" s="18">
        <v>33</v>
      </c>
      <c r="CB28" t="s">
        <v>179</v>
      </c>
    </row>
    <row r="29" spans="1:80" x14ac:dyDescent="0.2">
      <c r="B29" t="s">
        <v>167</v>
      </c>
      <c r="C29" s="3"/>
      <c r="D29" s="3">
        <f>D28/D12</f>
        <v>2.2374797028626953E-2</v>
      </c>
      <c r="E29" s="3">
        <f t="shared" ref="E29:BN29" si="11">E28/E12</f>
        <v>0</v>
      </c>
      <c r="F29" s="3">
        <f t="shared" si="11"/>
        <v>6.9881201956673651E-4</v>
      </c>
      <c r="G29" s="3">
        <f t="shared" si="11"/>
        <v>0</v>
      </c>
      <c r="H29" s="3">
        <f t="shared" si="11"/>
        <v>0</v>
      </c>
      <c r="I29" s="3">
        <f t="shared" si="11"/>
        <v>0</v>
      </c>
      <c r="J29" s="3">
        <f t="shared" si="11"/>
        <v>0</v>
      </c>
      <c r="K29" s="3">
        <f t="shared" si="11"/>
        <v>0</v>
      </c>
      <c r="L29" s="3">
        <f t="shared" si="11"/>
        <v>0</v>
      </c>
      <c r="M29" s="3">
        <f t="shared" si="11"/>
        <v>0</v>
      </c>
      <c r="N29" s="3">
        <f t="shared" si="11"/>
        <v>0.8985858585858586</v>
      </c>
      <c r="O29" s="3">
        <f t="shared" si="11"/>
        <v>0</v>
      </c>
      <c r="P29" s="3">
        <f t="shared" si="11"/>
        <v>0</v>
      </c>
      <c r="Q29" s="3">
        <f t="shared" si="11"/>
        <v>0</v>
      </c>
      <c r="R29" s="3">
        <f t="shared" si="11"/>
        <v>0</v>
      </c>
      <c r="S29" s="3">
        <f t="shared" si="11"/>
        <v>0</v>
      </c>
      <c r="T29" s="3">
        <f t="shared" si="11"/>
        <v>0</v>
      </c>
      <c r="U29" s="3">
        <f t="shared" si="11"/>
        <v>0</v>
      </c>
      <c r="V29" s="3">
        <f t="shared" si="11"/>
        <v>0</v>
      </c>
      <c r="W29" s="3">
        <f t="shared" si="11"/>
        <v>0</v>
      </c>
      <c r="X29" s="3">
        <f t="shared" si="11"/>
        <v>0</v>
      </c>
      <c r="Y29" s="3">
        <f t="shared" si="11"/>
        <v>0</v>
      </c>
      <c r="Z29" s="3">
        <f t="shared" si="11"/>
        <v>0</v>
      </c>
      <c r="AA29" s="3">
        <f t="shared" si="11"/>
        <v>1.0517019910083494E-2</v>
      </c>
      <c r="AB29" s="3">
        <f t="shared" si="11"/>
        <v>0</v>
      </c>
      <c r="AC29" s="3">
        <f t="shared" si="11"/>
        <v>3.2289312237649337E-4</v>
      </c>
      <c r="AD29" s="3">
        <f t="shared" si="11"/>
        <v>0</v>
      </c>
      <c r="AE29" s="3">
        <f t="shared" si="11"/>
        <v>1.5951507417450949E-4</v>
      </c>
      <c r="AF29" s="3">
        <f t="shared" si="11"/>
        <v>1.5629210455402855E-2</v>
      </c>
      <c r="AG29" s="3">
        <f t="shared" si="11"/>
        <v>2.3101864360983517E-2</v>
      </c>
      <c r="AH29" s="3">
        <f t="shared" si="11"/>
        <v>1.0767353384538081E-3</v>
      </c>
      <c r="AI29" s="3">
        <f t="shared" si="11"/>
        <v>1.298219584569733E-2</v>
      </c>
      <c r="AJ29" s="3">
        <f t="shared" si="11"/>
        <v>6.7321688500727806E-3</v>
      </c>
      <c r="AK29" s="3">
        <f t="shared" si="11"/>
        <v>0</v>
      </c>
      <c r="AL29" s="3">
        <f t="shared" si="11"/>
        <v>3.3616768835277831E-3</v>
      </c>
      <c r="AM29" s="3">
        <f t="shared" si="11"/>
        <v>1.6093635698610094E-3</v>
      </c>
      <c r="AN29" s="3">
        <f t="shared" si="11"/>
        <v>0.94191130543410373</v>
      </c>
      <c r="AO29" s="3">
        <f t="shared" si="11"/>
        <v>2.7888446215139442E-2</v>
      </c>
      <c r="AP29" s="3">
        <f t="shared" si="11"/>
        <v>0.12305965962221807</v>
      </c>
      <c r="AQ29" s="3">
        <f t="shared" si="11"/>
        <v>2.5290498974709502E-2</v>
      </c>
      <c r="AR29" s="3">
        <f t="shared" si="11"/>
        <v>4.3760129659643439E-2</v>
      </c>
      <c r="AS29" s="3">
        <f t="shared" si="11"/>
        <v>0.77544596012591815</v>
      </c>
      <c r="AT29" s="3">
        <f t="shared" si="11"/>
        <v>7.4826296098343134E-3</v>
      </c>
      <c r="AU29" s="3">
        <f t="shared" si="11"/>
        <v>2.1665864227250844E-3</v>
      </c>
      <c r="AV29" s="3">
        <f t="shared" si="11"/>
        <v>0</v>
      </c>
      <c r="AW29" s="3">
        <f t="shared" si="11"/>
        <v>4.1306058221872539E-3</v>
      </c>
      <c r="AX29" s="3">
        <f t="shared" si="11"/>
        <v>4.4723351599787874E-2</v>
      </c>
      <c r="AY29" s="3">
        <f t="shared" si="11"/>
        <v>0</v>
      </c>
      <c r="AZ29" s="3">
        <f t="shared" si="11"/>
        <v>0</v>
      </c>
      <c r="BA29" s="3">
        <f t="shared" si="11"/>
        <v>0</v>
      </c>
      <c r="BB29" s="3">
        <f t="shared" si="11"/>
        <v>7.2966860064903133E-2</v>
      </c>
      <c r="BC29" s="3">
        <f t="shared" si="11"/>
        <v>1</v>
      </c>
      <c r="BD29" s="3">
        <f t="shared" si="11"/>
        <v>0.41977563266370987</v>
      </c>
      <c r="BE29" s="3">
        <f t="shared" si="11"/>
        <v>9.0926944226237233E-2</v>
      </c>
      <c r="BF29" s="3">
        <f t="shared" si="11"/>
        <v>7.9248990284903398E-2</v>
      </c>
      <c r="BG29" s="3">
        <f t="shared" si="11"/>
        <v>1.9240019240019241E-3</v>
      </c>
      <c r="BH29" s="3">
        <f t="shared" ref="BH29" si="12">BH28/BH12</f>
        <v>0.47739630262544663</v>
      </c>
      <c r="BI29" s="3">
        <f t="shared" si="11"/>
        <v>5.1903114186851208E-3</v>
      </c>
      <c r="BJ29" s="3">
        <f t="shared" si="11"/>
        <v>3.5866261398176294E-2</v>
      </c>
      <c r="BK29" s="3">
        <f t="shared" si="11"/>
        <v>0.1034018187942068</v>
      </c>
      <c r="BL29" s="3">
        <f t="shared" si="11"/>
        <v>1.2301383905689391E-2</v>
      </c>
      <c r="BM29" s="3">
        <f t="shared" si="11"/>
        <v>0</v>
      </c>
      <c r="BN29" s="3">
        <f t="shared" si="11"/>
        <v>0</v>
      </c>
      <c r="BO29" s="3">
        <f t="shared" ref="BO29:BZ29" si="13">BO28/BO12</f>
        <v>0</v>
      </c>
      <c r="BP29" s="3">
        <f t="shared" si="13"/>
        <v>0</v>
      </c>
      <c r="BQ29" s="3">
        <f t="shared" si="13"/>
        <v>0.68683446272991289</v>
      </c>
      <c r="BR29" s="3">
        <f t="shared" si="13"/>
        <v>0</v>
      </c>
      <c r="BS29" s="3">
        <f t="shared" si="13"/>
        <v>0</v>
      </c>
      <c r="BT29" s="3">
        <f t="shared" si="13"/>
        <v>0</v>
      </c>
      <c r="BU29" s="3">
        <f t="shared" si="13"/>
        <v>0</v>
      </c>
      <c r="BV29" s="3">
        <f t="shared" si="13"/>
        <v>0</v>
      </c>
      <c r="BW29" s="3">
        <f t="shared" si="13"/>
        <v>0</v>
      </c>
      <c r="BX29" s="3">
        <f t="shared" si="13"/>
        <v>1.4097744360902255E-3</v>
      </c>
      <c r="BY29" s="3">
        <f t="shared" si="13"/>
        <v>3.1320541760722347E-2</v>
      </c>
      <c r="BZ29" s="3">
        <f t="shared" si="13"/>
        <v>3.83319781623882E-3</v>
      </c>
    </row>
    <row r="30" spans="1:80" x14ac:dyDescent="0.2">
      <c r="B30" t="s">
        <v>172</v>
      </c>
      <c r="C30" s="10">
        <v>134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B30" t="s">
        <v>180</v>
      </c>
    </row>
    <row r="31" spans="1:80" x14ac:dyDescent="0.2">
      <c r="B31" t="s">
        <v>170</v>
      </c>
      <c r="C31" s="3"/>
      <c r="D31" s="3">
        <f>D29*$C30</f>
        <v>2.9982228018360115</v>
      </c>
      <c r="E31" s="3">
        <f t="shared" ref="E31:BN31" si="14">E29*$C30</f>
        <v>0</v>
      </c>
      <c r="F31" s="3">
        <f t="shared" si="14"/>
        <v>9.3640810621942697E-2</v>
      </c>
      <c r="G31" s="3">
        <f t="shared" si="14"/>
        <v>0</v>
      </c>
      <c r="H31" s="3">
        <f t="shared" si="14"/>
        <v>0</v>
      </c>
      <c r="I31" s="3">
        <f t="shared" si="14"/>
        <v>0</v>
      </c>
      <c r="J31" s="3">
        <f t="shared" si="14"/>
        <v>0</v>
      </c>
      <c r="K31" s="3">
        <f t="shared" si="14"/>
        <v>0</v>
      </c>
      <c r="L31" s="3">
        <f t="shared" si="14"/>
        <v>0</v>
      </c>
      <c r="M31" s="3">
        <f t="shared" si="14"/>
        <v>0</v>
      </c>
      <c r="N31" s="3">
        <f t="shared" si="14"/>
        <v>120.41050505050505</v>
      </c>
      <c r="O31" s="3">
        <f t="shared" si="14"/>
        <v>0</v>
      </c>
      <c r="P31" s="3">
        <f t="shared" si="14"/>
        <v>0</v>
      </c>
      <c r="Q31" s="3">
        <f t="shared" si="14"/>
        <v>0</v>
      </c>
      <c r="R31" s="3">
        <f t="shared" si="14"/>
        <v>0</v>
      </c>
      <c r="S31" s="3">
        <f t="shared" si="14"/>
        <v>0</v>
      </c>
      <c r="T31" s="3">
        <f t="shared" si="14"/>
        <v>0</v>
      </c>
      <c r="U31" s="3">
        <f t="shared" si="14"/>
        <v>0</v>
      </c>
      <c r="V31" s="3">
        <f t="shared" si="14"/>
        <v>0</v>
      </c>
      <c r="W31" s="3">
        <f t="shared" si="14"/>
        <v>0</v>
      </c>
      <c r="X31" s="3">
        <f t="shared" si="14"/>
        <v>0</v>
      </c>
      <c r="Y31" s="3">
        <f t="shared" si="14"/>
        <v>0</v>
      </c>
      <c r="Z31" s="3">
        <f t="shared" si="14"/>
        <v>0</v>
      </c>
      <c r="AA31" s="3">
        <f t="shared" si="14"/>
        <v>1.4092806679511882</v>
      </c>
      <c r="AB31" s="3">
        <f t="shared" si="14"/>
        <v>0</v>
      </c>
      <c r="AC31" s="3">
        <f t="shared" si="14"/>
        <v>4.326767839845011E-2</v>
      </c>
      <c r="AD31" s="3">
        <f t="shared" si="14"/>
        <v>0</v>
      </c>
      <c r="AE31" s="3">
        <f t="shared" si="14"/>
        <v>2.137501993938427E-2</v>
      </c>
      <c r="AF31" s="3">
        <f t="shared" si="14"/>
        <v>2.0943142010239826</v>
      </c>
      <c r="AG31" s="3">
        <f t="shared" si="14"/>
        <v>3.0956498243717911</v>
      </c>
      <c r="AH31" s="3">
        <f t="shared" si="14"/>
        <v>0.14428253535281027</v>
      </c>
      <c r="AI31" s="3">
        <f t="shared" si="14"/>
        <v>1.7396142433234423</v>
      </c>
      <c r="AJ31" s="3">
        <f t="shared" si="14"/>
        <v>0.90211062590975255</v>
      </c>
      <c r="AK31" s="3">
        <f t="shared" si="14"/>
        <v>0</v>
      </c>
      <c r="AL31" s="3">
        <f t="shared" si="14"/>
        <v>0.45046470239272296</v>
      </c>
      <c r="AM31" s="3">
        <f t="shared" si="14"/>
        <v>0.21565471836137526</v>
      </c>
      <c r="AN31" s="3">
        <f t="shared" si="14"/>
        <v>126.2161149281699</v>
      </c>
      <c r="AO31" s="3">
        <f t="shared" si="14"/>
        <v>3.737051792828685</v>
      </c>
      <c r="AP31" s="3">
        <f t="shared" si="14"/>
        <v>16.489994389377223</v>
      </c>
      <c r="AQ31" s="3">
        <f t="shared" si="14"/>
        <v>3.3889268626110733</v>
      </c>
      <c r="AR31" s="3">
        <f t="shared" si="14"/>
        <v>5.8638573743922207</v>
      </c>
      <c r="AS31" s="3">
        <f t="shared" si="14"/>
        <v>103.90975865687304</v>
      </c>
      <c r="AT31" s="3">
        <f t="shared" si="14"/>
        <v>1.002672367717798</v>
      </c>
      <c r="AU31" s="3">
        <f t="shared" si="14"/>
        <v>0.29032258064516131</v>
      </c>
      <c r="AV31" s="3">
        <f t="shared" si="14"/>
        <v>0</v>
      </c>
      <c r="AW31" s="3">
        <f t="shared" si="14"/>
        <v>0.55350118017309202</v>
      </c>
      <c r="AX31" s="3">
        <f t="shared" si="14"/>
        <v>5.9929291143715755</v>
      </c>
      <c r="AY31" s="3">
        <f t="shared" si="14"/>
        <v>0</v>
      </c>
      <c r="AZ31" s="3">
        <f t="shared" si="14"/>
        <v>0</v>
      </c>
      <c r="BA31" s="3">
        <f t="shared" si="14"/>
        <v>0</v>
      </c>
      <c r="BB31" s="3">
        <f t="shared" si="14"/>
        <v>9.7775592486970204</v>
      </c>
      <c r="BC31" s="3">
        <f t="shared" si="14"/>
        <v>134</v>
      </c>
      <c r="BD31" s="3">
        <f t="shared" si="14"/>
        <v>56.249934776937124</v>
      </c>
      <c r="BE31" s="3">
        <f t="shared" si="14"/>
        <v>12.184210526315789</v>
      </c>
      <c r="BF31" s="3">
        <f t="shared" si="14"/>
        <v>10.619364698177055</v>
      </c>
      <c r="BG31" s="3">
        <f t="shared" si="14"/>
        <v>0.25781625781625783</v>
      </c>
      <c r="BH31" s="3">
        <f t="shared" ref="BH31" si="15">BH29*$C30</f>
        <v>63.971104551809852</v>
      </c>
      <c r="BI31" s="3">
        <f t="shared" si="14"/>
        <v>0.69550173010380623</v>
      </c>
      <c r="BJ31" s="3">
        <f t="shared" si="14"/>
        <v>4.8060790273556231</v>
      </c>
      <c r="BK31" s="3">
        <f t="shared" si="14"/>
        <v>13.855843718423712</v>
      </c>
      <c r="BL31" s="3">
        <f t="shared" si="14"/>
        <v>1.6483854433623784</v>
      </c>
      <c r="BM31" s="3">
        <f t="shared" si="14"/>
        <v>0</v>
      </c>
      <c r="BN31" s="3">
        <f t="shared" si="14"/>
        <v>0</v>
      </c>
      <c r="BO31" s="3">
        <f t="shared" ref="BO31:BZ31" si="16">BO29*$C30</f>
        <v>0</v>
      </c>
      <c r="BP31" s="3">
        <f t="shared" si="16"/>
        <v>0</v>
      </c>
      <c r="BQ31" s="3">
        <f t="shared" si="16"/>
        <v>92.035818005808324</v>
      </c>
      <c r="BR31" s="3">
        <f t="shared" si="16"/>
        <v>0</v>
      </c>
      <c r="BS31" s="3">
        <f t="shared" si="16"/>
        <v>0</v>
      </c>
      <c r="BT31" s="3">
        <f t="shared" si="16"/>
        <v>0</v>
      </c>
      <c r="BU31" s="3">
        <f t="shared" si="16"/>
        <v>0</v>
      </c>
      <c r="BV31" s="3">
        <f t="shared" si="16"/>
        <v>0</v>
      </c>
      <c r="BW31" s="3">
        <f t="shared" si="16"/>
        <v>0</v>
      </c>
      <c r="BX31" s="3">
        <f t="shared" si="16"/>
        <v>0.18890977443609022</v>
      </c>
      <c r="BY31" s="3">
        <f t="shared" si="16"/>
        <v>4.1969525959367946</v>
      </c>
      <c r="BZ31" s="3">
        <f t="shared" si="16"/>
        <v>0.51364850737600187</v>
      </c>
    </row>
    <row r="32" spans="1:80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 spans="1:80" s="19" customFormat="1" x14ac:dyDescent="0.2">
      <c r="B33" s="19" t="s">
        <v>171</v>
      </c>
      <c r="C33" s="13"/>
      <c r="D33" s="13">
        <f t="shared" ref="D33:AI33" si="17">D31*D12</f>
        <v>234499.99999999997</v>
      </c>
      <c r="E33" s="13">
        <f t="shared" si="17"/>
        <v>0</v>
      </c>
      <c r="F33" s="13">
        <f t="shared" si="17"/>
        <v>134</v>
      </c>
      <c r="G33" s="13">
        <f t="shared" si="17"/>
        <v>0</v>
      </c>
      <c r="H33" s="13">
        <f t="shared" si="17"/>
        <v>0</v>
      </c>
      <c r="I33" s="13">
        <f t="shared" si="17"/>
        <v>0</v>
      </c>
      <c r="J33" s="13">
        <f t="shared" si="17"/>
        <v>0</v>
      </c>
      <c r="K33" s="13">
        <f t="shared" si="17"/>
        <v>0</v>
      </c>
      <c r="L33" s="13">
        <f t="shared" si="17"/>
        <v>0</v>
      </c>
      <c r="M33" s="13">
        <f t="shared" si="17"/>
        <v>0</v>
      </c>
      <c r="N33" s="13">
        <f t="shared" si="17"/>
        <v>298016</v>
      </c>
      <c r="O33" s="13">
        <f t="shared" si="17"/>
        <v>0</v>
      </c>
      <c r="P33" s="13">
        <f t="shared" si="17"/>
        <v>0</v>
      </c>
      <c r="Q33" s="13">
        <f t="shared" si="17"/>
        <v>0</v>
      </c>
      <c r="R33" s="13">
        <f t="shared" si="17"/>
        <v>0</v>
      </c>
      <c r="S33" s="13">
        <f t="shared" si="17"/>
        <v>0</v>
      </c>
      <c r="T33" s="13">
        <f t="shared" si="17"/>
        <v>0</v>
      </c>
      <c r="U33" s="13">
        <f t="shared" si="17"/>
        <v>0</v>
      </c>
      <c r="V33" s="13">
        <f t="shared" si="17"/>
        <v>0</v>
      </c>
      <c r="W33" s="13">
        <f t="shared" si="17"/>
        <v>0</v>
      </c>
      <c r="X33" s="13">
        <f t="shared" si="17"/>
        <v>0</v>
      </c>
      <c r="Y33" s="13">
        <f t="shared" si="17"/>
        <v>0</v>
      </c>
      <c r="Z33" s="13">
        <f t="shared" si="17"/>
        <v>0</v>
      </c>
      <c r="AA33" s="13">
        <f t="shared" si="17"/>
        <v>17554</v>
      </c>
      <c r="AB33" s="13">
        <f t="shared" si="17"/>
        <v>0</v>
      </c>
      <c r="AC33" s="13">
        <f t="shared" si="17"/>
        <v>402</v>
      </c>
      <c r="AD33" s="13">
        <f t="shared" si="17"/>
        <v>0</v>
      </c>
      <c r="AE33" s="13">
        <f t="shared" si="17"/>
        <v>134</v>
      </c>
      <c r="AF33" s="13">
        <f t="shared" si="17"/>
        <v>7771.9999999999991</v>
      </c>
      <c r="AG33" s="13">
        <f t="shared" si="17"/>
        <v>22913.999999999996</v>
      </c>
      <c r="AH33" s="13">
        <f t="shared" si="17"/>
        <v>2009.9999999999998</v>
      </c>
      <c r="AI33" s="13">
        <f t="shared" si="17"/>
        <v>9380</v>
      </c>
      <c r="AJ33" s="13">
        <f t="shared" ref="AJ33:BM33" si="18">AJ31*AJ12</f>
        <v>4958</v>
      </c>
      <c r="AK33" s="13">
        <f t="shared" si="18"/>
        <v>0</v>
      </c>
      <c r="AL33" s="13">
        <f t="shared" si="18"/>
        <v>2278</v>
      </c>
      <c r="AM33" s="13">
        <f t="shared" si="18"/>
        <v>1474</v>
      </c>
      <c r="AN33" s="13">
        <f t="shared" si="18"/>
        <v>202072</v>
      </c>
      <c r="AO33" s="13">
        <f t="shared" si="18"/>
        <v>35644</v>
      </c>
      <c r="AP33" s="13">
        <f t="shared" si="18"/>
        <v>88172.000000000015</v>
      </c>
      <c r="AQ33" s="13">
        <f t="shared" si="18"/>
        <v>19832</v>
      </c>
      <c r="AR33" s="13">
        <f t="shared" si="18"/>
        <v>18090</v>
      </c>
      <c r="AS33" s="13">
        <f t="shared" si="18"/>
        <v>198052</v>
      </c>
      <c r="AT33" s="13">
        <f t="shared" si="18"/>
        <v>1876</v>
      </c>
      <c r="AU33" s="13">
        <f t="shared" si="18"/>
        <v>1206</v>
      </c>
      <c r="AV33" s="13">
        <f t="shared" si="18"/>
        <v>0</v>
      </c>
      <c r="AW33" s="13">
        <f t="shared" si="18"/>
        <v>2814</v>
      </c>
      <c r="AX33" s="13">
        <f t="shared" si="18"/>
        <v>33902</v>
      </c>
      <c r="AY33" s="13">
        <f t="shared" si="18"/>
        <v>0</v>
      </c>
      <c r="AZ33" s="13">
        <f t="shared" si="18"/>
        <v>0</v>
      </c>
      <c r="BA33" s="13">
        <f t="shared" si="18"/>
        <v>0</v>
      </c>
      <c r="BB33" s="13">
        <f t="shared" si="18"/>
        <v>99428</v>
      </c>
      <c r="BC33" s="13">
        <f t="shared" si="18"/>
        <v>350812</v>
      </c>
      <c r="BD33" s="13">
        <f t="shared" si="18"/>
        <v>215606</v>
      </c>
      <c r="BE33" s="13">
        <f t="shared" si="18"/>
        <v>62042</v>
      </c>
      <c r="BF33" s="13">
        <f t="shared" si="18"/>
        <v>97284</v>
      </c>
      <c r="BG33" s="13">
        <f t="shared" si="18"/>
        <v>536</v>
      </c>
      <c r="BH33" s="13">
        <f t="shared" ref="BH33" si="19">BH31*BH12</f>
        <v>411782</v>
      </c>
      <c r="BI33" s="13">
        <f t="shared" si="18"/>
        <v>3618</v>
      </c>
      <c r="BJ33" s="13">
        <f t="shared" si="18"/>
        <v>7906</v>
      </c>
      <c r="BK33" s="13">
        <f t="shared" si="18"/>
        <v>41138</v>
      </c>
      <c r="BL33" s="13">
        <f t="shared" si="18"/>
        <v>16080</v>
      </c>
      <c r="BM33" s="13">
        <f t="shared" si="18"/>
        <v>0</v>
      </c>
      <c r="BN33" s="13">
        <f t="shared" ref="BN33:BZ33" si="20">BN31*BN12</f>
        <v>0</v>
      </c>
      <c r="BO33" s="13">
        <f t="shared" si="20"/>
        <v>0</v>
      </c>
      <c r="BP33" s="13">
        <f t="shared" si="20"/>
        <v>0</v>
      </c>
      <c r="BQ33" s="13">
        <f t="shared" si="20"/>
        <v>380292</v>
      </c>
      <c r="BR33" s="13">
        <f t="shared" si="20"/>
        <v>0</v>
      </c>
      <c r="BS33" s="13">
        <f t="shared" si="20"/>
        <v>0</v>
      </c>
      <c r="BT33" s="13">
        <f t="shared" si="20"/>
        <v>0</v>
      </c>
      <c r="BU33" s="13">
        <f t="shared" si="20"/>
        <v>0</v>
      </c>
      <c r="BV33" s="13">
        <f t="shared" si="20"/>
        <v>0</v>
      </c>
      <c r="BW33" s="13">
        <f t="shared" si="20"/>
        <v>0</v>
      </c>
      <c r="BX33" s="13">
        <f t="shared" si="20"/>
        <v>402</v>
      </c>
      <c r="BY33" s="13">
        <f t="shared" si="20"/>
        <v>14874</v>
      </c>
      <c r="BZ33" s="13">
        <f t="shared" si="20"/>
        <v>4422</v>
      </c>
      <c r="CB33"/>
    </row>
    <row r="34" spans="1:80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 spans="1:80" s="19" customFormat="1" x14ac:dyDescent="0.2">
      <c r="A35" s="45" t="s">
        <v>137</v>
      </c>
      <c r="B35" s="43" t="s">
        <v>161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3"/>
      <c r="CB35" s="45"/>
    </row>
    <row r="36" spans="1:80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 spans="1:80" s="19" customFormat="1" x14ac:dyDescent="0.2">
      <c r="A37"/>
      <c r="B37" t="s">
        <v>383</v>
      </c>
      <c r="C37" s="53">
        <f>SUM(D37:BZ37)</f>
        <v>89559.803917796497</v>
      </c>
      <c r="D37" s="10">
        <v>5635.2650411572204</v>
      </c>
      <c r="E37" s="10">
        <v>0</v>
      </c>
      <c r="F37" s="10">
        <v>0</v>
      </c>
      <c r="G37" s="10">
        <v>0</v>
      </c>
      <c r="H37" s="10">
        <v>1416.34568407917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3386.4689986155199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1303.7378212660001</v>
      </c>
      <c r="AC37" s="10">
        <v>4634.3461056059596</v>
      </c>
      <c r="AD37" s="134">
        <v>0</v>
      </c>
      <c r="AE37" s="10">
        <v>6275.2120479225196</v>
      </c>
      <c r="AF37" s="10">
        <v>0</v>
      </c>
      <c r="AG37" s="10">
        <v>0</v>
      </c>
      <c r="AH37" s="10">
        <v>0</v>
      </c>
      <c r="AI37" s="10">
        <v>0</v>
      </c>
      <c r="AJ37" s="10">
        <v>2878.4220690439602</v>
      </c>
      <c r="AK37" s="10">
        <v>0</v>
      </c>
      <c r="AL37" s="10">
        <v>0</v>
      </c>
      <c r="AM37" s="10">
        <v>0</v>
      </c>
      <c r="AN37" s="10">
        <v>10487.3975728199</v>
      </c>
      <c r="AO37" s="10">
        <v>0</v>
      </c>
      <c r="AP37" s="10">
        <v>0</v>
      </c>
      <c r="AQ37" s="10">
        <v>2706.9270353473698</v>
      </c>
      <c r="AR37" s="10">
        <v>3227.3218332896499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4689.7286970305104</v>
      </c>
      <c r="AY37" s="10">
        <v>0</v>
      </c>
      <c r="AZ37" s="10">
        <v>0</v>
      </c>
      <c r="BA37" s="10">
        <v>4402.5640876747202</v>
      </c>
      <c r="BB37" s="10">
        <v>6359.2100874160296</v>
      </c>
      <c r="BC37" s="10">
        <v>3817.8606913572098</v>
      </c>
      <c r="BD37" s="10">
        <v>0</v>
      </c>
      <c r="BE37" s="10">
        <v>0</v>
      </c>
      <c r="BF37" s="10">
        <v>0</v>
      </c>
      <c r="BG37" s="10">
        <v>0</v>
      </c>
      <c r="BH37" s="10">
        <v>9280.8819766349698</v>
      </c>
      <c r="BI37" s="10">
        <v>0</v>
      </c>
      <c r="BJ37" s="10">
        <v>1621.88716564846</v>
      </c>
      <c r="BK37" s="10">
        <v>0</v>
      </c>
      <c r="BL37" s="10">
        <v>4971.8541876600802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4118.8784341744004</v>
      </c>
      <c r="BU37" s="10">
        <v>0</v>
      </c>
      <c r="BV37" s="10">
        <v>2216.7632924444401</v>
      </c>
      <c r="BW37" s="10">
        <v>0</v>
      </c>
      <c r="BX37" s="10">
        <v>0</v>
      </c>
      <c r="BY37" s="10">
        <v>3701.67700938814</v>
      </c>
      <c r="BZ37" s="10">
        <v>2427.0540792202601</v>
      </c>
      <c r="CB37" t="s">
        <v>179</v>
      </c>
    </row>
    <row r="38" spans="1:80" x14ac:dyDescent="0.2">
      <c r="B38" t="s">
        <v>172</v>
      </c>
      <c r="C38" s="54">
        <v>8.0000000000000002E-3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B38" t="s">
        <v>180</v>
      </c>
    </row>
    <row r="39" spans="1:80" x14ac:dyDescent="0.2">
      <c r="B39" t="s">
        <v>170</v>
      </c>
      <c r="C39" s="3"/>
      <c r="D39" s="3">
        <f>D37*$C38</f>
        <v>45.082120329257762</v>
      </c>
      <c r="E39" s="3">
        <f t="shared" ref="E39:BN39" si="21">E37*$C38</f>
        <v>0</v>
      </c>
      <c r="F39" s="3">
        <f t="shared" si="21"/>
        <v>0</v>
      </c>
      <c r="G39" s="3">
        <f t="shared" si="21"/>
        <v>0</v>
      </c>
      <c r="H39" s="3">
        <f t="shared" si="21"/>
        <v>11.330765472633361</v>
      </c>
      <c r="I39" s="3">
        <f t="shared" si="21"/>
        <v>0</v>
      </c>
      <c r="J39" s="3">
        <f t="shared" si="21"/>
        <v>0</v>
      </c>
      <c r="K39" s="3">
        <f t="shared" si="21"/>
        <v>0</v>
      </c>
      <c r="L39" s="3">
        <f t="shared" si="21"/>
        <v>0</v>
      </c>
      <c r="M39" s="3">
        <f t="shared" si="21"/>
        <v>0</v>
      </c>
      <c r="N39" s="3">
        <f t="shared" si="21"/>
        <v>27.091751988924159</v>
      </c>
      <c r="O39" s="3">
        <f t="shared" si="21"/>
        <v>0</v>
      </c>
      <c r="P39" s="3">
        <f t="shared" si="21"/>
        <v>0</v>
      </c>
      <c r="Q39" s="3">
        <f t="shared" si="21"/>
        <v>0</v>
      </c>
      <c r="R39" s="3">
        <f t="shared" si="21"/>
        <v>0</v>
      </c>
      <c r="S39" s="3">
        <f t="shared" si="21"/>
        <v>0</v>
      </c>
      <c r="T39" s="3">
        <f t="shared" si="21"/>
        <v>0</v>
      </c>
      <c r="U39" s="3">
        <f t="shared" si="21"/>
        <v>0</v>
      </c>
      <c r="V39" s="3">
        <f t="shared" si="21"/>
        <v>0</v>
      </c>
      <c r="W39" s="3">
        <f t="shared" si="21"/>
        <v>0</v>
      </c>
      <c r="X39" s="3">
        <f t="shared" si="21"/>
        <v>0</v>
      </c>
      <c r="Y39" s="3">
        <f t="shared" si="21"/>
        <v>0</v>
      </c>
      <c r="Z39" s="3">
        <f t="shared" si="21"/>
        <v>0</v>
      </c>
      <c r="AA39" s="3">
        <f t="shared" si="21"/>
        <v>0</v>
      </c>
      <c r="AB39" s="3">
        <f t="shared" si="21"/>
        <v>10.429902570128</v>
      </c>
      <c r="AC39" s="3">
        <f t="shared" si="21"/>
        <v>37.074768844847675</v>
      </c>
      <c r="AD39" s="3">
        <f t="shared" si="21"/>
        <v>0</v>
      </c>
      <c r="AE39" s="3">
        <f t="shared" si="21"/>
        <v>50.20169638338016</v>
      </c>
      <c r="AF39" s="3">
        <f t="shared" si="21"/>
        <v>0</v>
      </c>
      <c r="AG39" s="3">
        <f t="shared" si="21"/>
        <v>0</v>
      </c>
      <c r="AH39" s="3">
        <f t="shared" si="21"/>
        <v>0</v>
      </c>
      <c r="AI39" s="3">
        <f t="shared" si="21"/>
        <v>0</v>
      </c>
      <c r="AJ39" s="3">
        <f t="shared" si="21"/>
        <v>23.027376552351683</v>
      </c>
      <c r="AK39" s="3">
        <f t="shared" si="21"/>
        <v>0</v>
      </c>
      <c r="AL39" s="3">
        <f t="shared" si="21"/>
        <v>0</v>
      </c>
      <c r="AM39" s="3">
        <f t="shared" si="21"/>
        <v>0</v>
      </c>
      <c r="AN39" s="3">
        <f t="shared" si="21"/>
        <v>83.899180582559197</v>
      </c>
      <c r="AO39" s="3">
        <f t="shared" si="21"/>
        <v>0</v>
      </c>
      <c r="AP39" s="3">
        <f t="shared" si="21"/>
        <v>0</v>
      </c>
      <c r="AQ39" s="3">
        <f t="shared" si="21"/>
        <v>21.655416282778958</v>
      </c>
      <c r="AR39" s="3">
        <f t="shared" si="21"/>
        <v>25.8185746663172</v>
      </c>
      <c r="AS39" s="3">
        <f t="shared" si="21"/>
        <v>0</v>
      </c>
      <c r="AT39" s="3">
        <f t="shared" si="21"/>
        <v>0</v>
      </c>
      <c r="AU39" s="3">
        <f t="shared" si="21"/>
        <v>0</v>
      </c>
      <c r="AV39" s="3">
        <f t="shared" si="21"/>
        <v>0</v>
      </c>
      <c r="AW39" s="3">
        <f t="shared" si="21"/>
        <v>0</v>
      </c>
      <c r="AX39" s="3">
        <f t="shared" si="21"/>
        <v>37.517829576244083</v>
      </c>
      <c r="AY39" s="3">
        <f t="shared" si="21"/>
        <v>0</v>
      </c>
      <c r="AZ39" s="3">
        <f t="shared" si="21"/>
        <v>0</v>
      </c>
      <c r="BA39" s="3">
        <f t="shared" si="21"/>
        <v>35.220512701397766</v>
      </c>
      <c r="BB39" s="3">
        <f t="shared" si="21"/>
        <v>50.87368069932824</v>
      </c>
      <c r="BC39" s="3">
        <f t="shared" si="21"/>
        <v>30.542885530857678</v>
      </c>
      <c r="BD39" s="3">
        <f t="shared" si="21"/>
        <v>0</v>
      </c>
      <c r="BE39" s="3">
        <f t="shared" si="21"/>
        <v>0</v>
      </c>
      <c r="BF39" s="3">
        <f t="shared" si="21"/>
        <v>0</v>
      </c>
      <c r="BG39" s="3">
        <f t="shared" si="21"/>
        <v>0</v>
      </c>
      <c r="BH39" s="3">
        <f t="shared" ref="BH39" si="22">BH37*$C38</f>
        <v>74.247055813079754</v>
      </c>
      <c r="BI39" s="3">
        <f t="shared" si="21"/>
        <v>0</v>
      </c>
      <c r="BJ39" s="3">
        <f t="shared" si="21"/>
        <v>12.975097325187681</v>
      </c>
      <c r="BK39" s="3">
        <f t="shared" si="21"/>
        <v>0</v>
      </c>
      <c r="BL39" s="3">
        <f t="shared" si="21"/>
        <v>39.774833501280639</v>
      </c>
      <c r="BM39" s="3">
        <f t="shared" si="21"/>
        <v>0</v>
      </c>
      <c r="BN39" s="3">
        <f t="shared" si="21"/>
        <v>0</v>
      </c>
      <c r="BO39" s="3">
        <f t="shared" ref="BO39:BZ39" si="23">BO37*$C38</f>
        <v>0</v>
      </c>
      <c r="BP39" s="3">
        <f t="shared" si="23"/>
        <v>0</v>
      </c>
      <c r="BQ39" s="3">
        <f t="shared" si="23"/>
        <v>0</v>
      </c>
      <c r="BR39" s="3">
        <f t="shared" si="23"/>
        <v>0</v>
      </c>
      <c r="BS39" s="3">
        <f t="shared" si="23"/>
        <v>0</v>
      </c>
      <c r="BT39" s="3">
        <f t="shared" si="23"/>
        <v>32.9510274733952</v>
      </c>
      <c r="BU39" s="3">
        <f t="shared" si="23"/>
        <v>0</v>
      </c>
      <c r="BV39" s="3">
        <f t="shared" si="23"/>
        <v>17.73410633955552</v>
      </c>
      <c r="BW39" s="3">
        <f t="shared" si="23"/>
        <v>0</v>
      </c>
      <c r="BX39" s="3">
        <f t="shared" si="23"/>
        <v>0</v>
      </c>
      <c r="BY39" s="3">
        <f t="shared" si="23"/>
        <v>29.613416075105121</v>
      </c>
      <c r="BZ39" s="3">
        <f t="shared" si="23"/>
        <v>19.416432633762081</v>
      </c>
    </row>
    <row r="40" spans="1:80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 spans="1:80" s="19" customFormat="1" x14ac:dyDescent="0.2">
      <c r="B41" s="19" t="s">
        <v>171</v>
      </c>
      <c r="C41" s="13"/>
      <c r="D41" s="13">
        <f t="shared" ref="D41:AI41" si="24">D39*D12</f>
        <v>3526007.8773122374</v>
      </c>
      <c r="E41" s="13">
        <f t="shared" si="24"/>
        <v>0</v>
      </c>
      <c r="F41" s="13">
        <f t="shared" si="24"/>
        <v>0</v>
      </c>
      <c r="G41" s="13">
        <f t="shared" si="24"/>
        <v>0</v>
      </c>
      <c r="H41" s="13">
        <f t="shared" si="24"/>
        <v>41493.263160783368</v>
      </c>
      <c r="I41" s="13">
        <f t="shared" si="24"/>
        <v>0</v>
      </c>
      <c r="J41" s="13">
        <f t="shared" si="24"/>
        <v>0</v>
      </c>
      <c r="K41" s="13">
        <f t="shared" si="24"/>
        <v>0</v>
      </c>
      <c r="L41" s="13">
        <f t="shared" si="24"/>
        <v>0</v>
      </c>
      <c r="M41" s="13">
        <f t="shared" si="24"/>
        <v>0</v>
      </c>
      <c r="N41" s="13">
        <f t="shared" si="24"/>
        <v>67052.086172587296</v>
      </c>
      <c r="O41" s="13">
        <f t="shared" si="24"/>
        <v>0</v>
      </c>
      <c r="P41" s="13">
        <f t="shared" si="24"/>
        <v>0</v>
      </c>
      <c r="Q41" s="13">
        <f t="shared" si="24"/>
        <v>0</v>
      </c>
      <c r="R41" s="13">
        <f t="shared" si="24"/>
        <v>0</v>
      </c>
      <c r="S41" s="13">
        <f t="shared" si="24"/>
        <v>0</v>
      </c>
      <c r="T41" s="13">
        <f t="shared" si="24"/>
        <v>0</v>
      </c>
      <c r="U41" s="13">
        <f t="shared" si="24"/>
        <v>0</v>
      </c>
      <c r="V41" s="13">
        <f t="shared" si="24"/>
        <v>0</v>
      </c>
      <c r="W41" s="13">
        <f t="shared" si="24"/>
        <v>0</v>
      </c>
      <c r="X41" s="13">
        <f t="shared" si="24"/>
        <v>0</v>
      </c>
      <c r="Y41" s="13">
        <f t="shared" si="24"/>
        <v>0</v>
      </c>
      <c r="Z41" s="13">
        <f t="shared" si="24"/>
        <v>0</v>
      </c>
      <c r="AA41" s="13">
        <f t="shared" si="24"/>
        <v>0</v>
      </c>
      <c r="AB41" s="13">
        <f t="shared" si="24"/>
        <v>16385.376937671088</v>
      </c>
      <c r="AC41" s="13">
        <f t="shared" si="24"/>
        <v>344461.67733747978</v>
      </c>
      <c r="AD41" s="13">
        <f t="shared" si="24"/>
        <v>0</v>
      </c>
      <c r="AE41" s="13">
        <f t="shared" si="24"/>
        <v>314714.4346274102</v>
      </c>
      <c r="AF41" s="13">
        <f t="shared" si="24"/>
        <v>0</v>
      </c>
      <c r="AG41" s="13">
        <f t="shared" si="24"/>
        <v>0</v>
      </c>
      <c r="AH41" s="13">
        <f t="shared" si="24"/>
        <v>0</v>
      </c>
      <c r="AI41" s="13">
        <f t="shared" si="24"/>
        <v>0</v>
      </c>
      <c r="AJ41" s="13">
        <f t="shared" ref="AJ41:BM41" si="25">AJ39*AJ12</f>
        <v>126558.46153172485</v>
      </c>
      <c r="AK41" s="13">
        <f t="shared" si="25"/>
        <v>0</v>
      </c>
      <c r="AL41" s="13">
        <f t="shared" si="25"/>
        <v>0</v>
      </c>
      <c r="AM41" s="13">
        <f t="shared" si="25"/>
        <v>0</v>
      </c>
      <c r="AN41" s="13">
        <f t="shared" si="25"/>
        <v>134322.58811267727</v>
      </c>
      <c r="AO41" s="13">
        <f t="shared" si="25"/>
        <v>0</v>
      </c>
      <c r="AP41" s="13">
        <f t="shared" si="25"/>
        <v>0</v>
      </c>
      <c r="AQ41" s="13">
        <f t="shared" si="25"/>
        <v>126727.49608682246</v>
      </c>
      <c r="AR41" s="13">
        <f t="shared" si="25"/>
        <v>79650.302845588565</v>
      </c>
      <c r="AS41" s="13">
        <f t="shared" si="25"/>
        <v>0</v>
      </c>
      <c r="AT41" s="13">
        <f t="shared" si="25"/>
        <v>0</v>
      </c>
      <c r="AU41" s="13">
        <f t="shared" si="25"/>
        <v>0</v>
      </c>
      <c r="AV41" s="13">
        <f t="shared" si="25"/>
        <v>0</v>
      </c>
      <c r="AW41" s="13">
        <f t="shared" si="25"/>
        <v>0</v>
      </c>
      <c r="AX41" s="13">
        <f t="shared" si="25"/>
        <v>212238.36191281278</v>
      </c>
      <c r="AY41" s="13">
        <f t="shared" si="25"/>
        <v>0</v>
      </c>
      <c r="AZ41" s="13">
        <f t="shared" si="25"/>
        <v>0</v>
      </c>
      <c r="BA41" s="13">
        <f t="shared" si="25"/>
        <v>1008715.483768032</v>
      </c>
      <c r="BB41" s="13">
        <f t="shared" si="25"/>
        <v>517334.4590314689</v>
      </c>
      <c r="BC41" s="13">
        <f t="shared" si="25"/>
        <v>79961.2743197854</v>
      </c>
      <c r="BD41" s="13">
        <f t="shared" si="25"/>
        <v>0</v>
      </c>
      <c r="BE41" s="13">
        <f t="shared" si="25"/>
        <v>0</v>
      </c>
      <c r="BF41" s="13">
        <f t="shared" si="25"/>
        <v>0</v>
      </c>
      <c r="BG41" s="13">
        <f t="shared" si="25"/>
        <v>0</v>
      </c>
      <c r="BH41" s="13">
        <f t="shared" ref="BH41" si="26">BH39*BH12</f>
        <v>477928.29826879437</v>
      </c>
      <c r="BI41" s="13">
        <f t="shared" si="25"/>
        <v>0</v>
      </c>
      <c r="BJ41" s="13">
        <f t="shared" si="25"/>
        <v>21344.035099933735</v>
      </c>
      <c r="BK41" s="13">
        <f t="shared" si="25"/>
        <v>0</v>
      </c>
      <c r="BL41" s="13">
        <f t="shared" si="25"/>
        <v>388003.50080499263</v>
      </c>
      <c r="BM41" s="13">
        <f t="shared" si="25"/>
        <v>0</v>
      </c>
      <c r="BN41" s="13">
        <f t="shared" ref="BN41:BZ41" si="27">BN39*BN12</f>
        <v>0</v>
      </c>
      <c r="BO41" s="13">
        <f t="shared" si="27"/>
        <v>0</v>
      </c>
      <c r="BP41" s="13">
        <f t="shared" si="27"/>
        <v>0</v>
      </c>
      <c r="BQ41" s="13">
        <f t="shared" si="27"/>
        <v>0</v>
      </c>
      <c r="BR41" s="13">
        <f t="shared" si="27"/>
        <v>0</v>
      </c>
      <c r="BS41" s="13">
        <f t="shared" si="27"/>
        <v>0</v>
      </c>
      <c r="BT41" s="13">
        <f t="shared" si="27"/>
        <v>153551.78802602162</v>
      </c>
      <c r="BU41" s="13">
        <f t="shared" si="27"/>
        <v>0</v>
      </c>
      <c r="BV41" s="13">
        <f t="shared" si="27"/>
        <v>57742.250241592774</v>
      </c>
      <c r="BW41" s="13">
        <f t="shared" si="27"/>
        <v>0</v>
      </c>
      <c r="BX41" s="13">
        <f t="shared" si="27"/>
        <v>0</v>
      </c>
      <c r="BY41" s="13">
        <f t="shared" si="27"/>
        <v>104949.94657017256</v>
      </c>
      <c r="BZ41" s="13">
        <f t="shared" si="27"/>
        <v>167156.06854405775</v>
      </c>
      <c r="CB41"/>
    </row>
    <row r="42" spans="1:80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 spans="1:80" s="19" customFormat="1" x14ac:dyDescent="0.2">
      <c r="A43" s="45" t="s">
        <v>143</v>
      </c>
      <c r="B43" s="43" t="s">
        <v>165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3"/>
      <c r="CB43" s="45"/>
    </row>
    <row r="44" spans="1:80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</row>
    <row r="45" spans="1:80" s="19" customFormat="1" x14ac:dyDescent="0.2">
      <c r="A45"/>
      <c r="B45" t="s">
        <v>241</v>
      </c>
      <c r="C45" s="53">
        <f>SUM(D45:BZ45)</f>
        <v>198379.10648000002</v>
      </c>
      <c r="D45" s="10">
        <v>3937.9027499999997</v>
      </c>
      <c r="E45" s="10">
        <v>1219.88625</v>
      </c>
      <c r="F45" s="10">
        <v>907.13576000000012</v>
      </c>
      <c r="G45" s="10">
        <v>1032.60483</v>
      </c>
      <c r="H45" s="10">
        <v>983.80483000000004</v>
      </c>
      <c r="I45" s="10">
        <v>493.55439000000001</v>
      </c>
      <c r="J45" s="10">
        <v>475.64582000000001</v>
      </c>
      <c r="K45" s="10">
        <v>375.54810000000003</v>
      </c>
      <c r="L45" s="10">
        <v>198.92533</v>
      </c>
      <c r="M45" s="10">
        <v>713.53101000000004</v>
      </c>
      <c r="N45" s="10">
        <v>890.26861000000008</v>
      </c>
      <c r="O45" s="10">
        <v>739.52706000000001</v>
      </c>
      <c r="P45" s="10">
        <v>230.66873999999999</v>
      </c>
      <c r="Q45" s="10">
        <v>1061.3524600000001</v>
      </c>
      <c r="R45" s="10">
        <v>220.49409999999997</v>
      </c>
      <c r="S45" s="10">
        <v>686.86050999999998</v>
      </c>
      <c r="T45" s="10">
        <v>465.38316000000003</v>
      </c>
      <c r="U45" s="10">
        <v>562.10793999999999</v>
      </c>
      <c r="V45" s="10">
        <v>652.02472999999998</v>
      </c>
      <c r="W45" s="10">
        <v>1124.5537000000002</v>
      </c>
      <c r="X45" s="10">
        <v>421.82522</v>
      </c>
      <c r="Y45" s="10">
        <v>439.35968000000003</v>
      </c>
      <c r="Z45" s="10">
        <v>438.05007000000001</v>
      </c>
      <c r="AA45" s="10">
        <v>3946.2256600000005</v>
      </c>
      <c r="AB45" s="10">
        <v>543.72095000000002</v>
      </c>
      <c r="AC45" s="10">
        <v>3460.21389</v>
      </c>
      <c r="AD45" s="10">
        <v>933.35056000000009</v>
      </c>
      <c r="AE45" s="10">
        <v>4156.4202999999998</v>
      </c>
      <c r="AF45" s="10">
        <v>2227.3426199999999</v>
      </c>
      <c r="AG45" s="10">
        <v>5464.7331100000001</v>
      </c>
      <c r="AH45" s="10">
        <v>1595.008</v>
      </c>
      <c r="AI45" s="10">
        <v>3032.67929</v>
      </c>
      <c r="AJ45" s="10">
        <v>4175.16255</v>
      </c>
      <c r="AK45" s="10">
        <v>946.38909000000012</v>
      </c>
      <c r="AL45" s="10">
        <v>3271.6751799999997</v>
      </c>
      <c r="AM45" s="10">
        <v>2539.55924</v>
      </c>
      <c r="AN45" s="10">
        <v>12846.14048</v>
      </c>
      <c r="AO45" s="10">
        <v>13910.560019999999</v>
      </c>
      <c r="AP45" s="10">
        <v>7515.4821499999998</v>
      </c>
      <c r="AQ45" s="10">
        <v>4884.1079399999999</v>
      </c>
      <c r="AR45" s="10">
        <v>7321.0383699999993</v>
      </c>
      <c r="AS45" s="10">
        <v>4761.8225600000005</v>
      </c>
      <c r="AT45" s="10">
        <v>574.88233000000002</v>
      </c>
      <c r="AU45" s="10">
        <v>3990.4293000000002</v>
      </c>
      <c r="AV45" s="10">
        <v>1649.5494799999999</v>
      </c>
      <c r="AW45" s="10">
        <v>1864.1369099999999</v>
      </c>
      <c r="AX45" s="10">
        <v>3358.5925400000001</v>
      </c>
      <c r="AY45" s="10">
        <v>753.53891999999996</v>
      </c>
      <c r="AZ45" s="10">
        <v>597.65724999999998</v>
      </c>
      <c r="BA45" s="10">
        <v>3136.8576499999999</v>
      </c>
      <c r="BB45" s="10">
        <v>5489.1676099999995</v>
      </c>
      <c r="BC45" s="10">
        <v>8752.8400199999996</v>
      </c>
      <c r="BD45" s="10">
        <v>9270.1651499999989</v>
      </c>
      <c r="BE45" s="10">
        <v>4354.5886899999996</v>
      </c>
      <c r="BF45" s="10">
        <v>5117.5464700000002</v>
      </c>
      <c r="BG45" s="10">
        <v>282.00812999999999</v>
      </c>
      <c r="BH45" s="10">
        <v>8184.0326200000009</v>
      </c>
      <c r="BI45" s="10">
        <v>2183.3847500000002</v>
      </c>
      <c r="BJ45" s="10">
        <v>1409.60427</v>
      </c>
      <c r="BK45" s="10">
        <v>5051.0874899999999</v>
      </c>
      <c r="BL45" s="10">
        <v>4253.9729800000005</v>
      </c>
      <c r="BM45" s="10">
        <v>1099.4985799999999</v>
      </c>
      <c r="BN45" s="10">
        <v>1407.6019199999998</v>
      </c>
      <c r="BO45" s="10">
        <v>1449.5028100000002</v>
      </c>
      <c r="BP45" s="10">
        <v>1146.90094</v>
      </c>
      <c r="BQ45" s="10">
        <v>1447.7431299999998</v>
      </c>
      <c r="BR45" s="10">
        <v>2081.6392000000001</v>
      </c>
      <c r="BS45" s="10">
        <v>896.7339300000001</v>
      </c>
      <c r="BT45" s="10">
        <v>1773.1319200000003</v>
      </c>
      <c r="BU45" s="10">
        <v>1583.6607000000001</v>
      </c>
      <c r="BV45" s="10">
        <v>1637.16418</v>
      </c>
      <c r="BW45" s="10">
        <v>2750.6227699999999</v>
      </c>
      <c r="BX45" s="10">
        <v>630.62275</v>
      </c>
      <c r="BY45" s="10">
        <v>3134.3092099999999</v>
      </c>
      <c r="BZ45" s="10">
        <v>1263.28487</v>
      </c>
      <c r="CB45" t="s">
        <v>179</v>
      </c>
    </row>
    <row r="46" spans="1:80" x14ac:dyDescent="0.2">
      <c r="B46" t="s">
        <v>168</v>
      </c>
      <c r="C46" s="3"/>
      <c r="D46" s="3">
        <f>D45/D12</f>
        <v>5.0348442714126806E-2</v>
      </c>
      <c r="E46" s="3">
        <f t="shared" ref="E46:BN46" si="28">E45/E12</f>
        <v>0.12167227707959306</v>
      </c>
      <c r="F46" s="3">
        <f t="shared" si="28"/>
        <v>0.63391737246680646</v>
      </c>
      <c r="G46" s="3">
        <f t="shared" si="28"/>
        <v>0.82148355608591883</v>
      </c>
      <c r="H46" s="3">
        <f t="shared" si="28"/>
        <v>0.26865232932823596</v>
      </c>
      <c r="I46" s="3">
        <f t="shared" si="28"/>
        <v>5.083472963229993E-2</v>
      </c>
      <c r="J46" s="3">
        <f t="shared" si="28"/>
        <v>0.13286196089385474</v>
      </c>
      <c r="K46" s="3">
        <f t="shared" si="28"/>
        <v>0.37109496047430834</v>
      </c>
      <c r="L46" s="3">
        <f t="shared" si="28"/>
        <v>0.12479631744040151</v>
      </c>
      <c r="M46" s="3">
        <f t="shared" si="28"/>
        <v>0.69477216163583255</v>
      </c>
      <c r="N46" s="3">
        <f t="shared" si="28"/>
        <v>0.3597044888888889</v>
      </c>
      <c r="O46" s="3">
        <f t="shared" si="28"/>
        <v>9.6229936239427452E-2</v>
      </c>
      <c r="P46" s="3">
        <f t="shared" si="28"/>
        <v>2.3171144148669009E-2</v>
      </c>
      <c r="Q46" s="3">
        <f t="shared" si="28"/>
        <v>0.14954945188107652</v>
      </c>
      <c r="R46" s="3">
        <f t="shared" si="28"/>
        <v>6.271163253697383E-2</v>
      </c>
      <c r="S46" s="3">
        <f t="shared" si="28"/>
        <v>0.10473627782860628</v>
      </c>
      <c r="T46" s="3">
        <f t="shared" si="28"/>
        <v>5.4873618677042803E-2</v>
      </c>
      <c r="U46" s="3">
        <f t="shared" si="28"/>
        <v>0.14091449987465529</v>
      </c>
      <c r="V46" s="3">
        <f t="shared" si="28"/>
        <v>0.12687774469741195</v>
      </c>
      <c r="W46" s="3">
        <f t="shared" si="28"/>
        <v>0.16232010681293305</v>
      </c>
      <c r="X46" s="3">
        <f t="shared" si="28"/>
        <v>4.0807315468704655E-2</v>
      </c>
      <c r="Y46" s="3">
        <f t="shared" si="28"/>
        <v>8.6984692140170267E-2</v>
      </c>
      <c r="Z46" s="3">
        <f t="shared" si="28"/>
        <v>0.20682250708215297</v>
      </c>
      <c r="AA46" s="3">
        <f t="shared" si="28"/>
        <v>0.31681323538856782</v>
      </c>
      <c r="AB46" s="3">
        <f t="shared" si="28"/>
        <v>0.34609863144493952</v>
      </c>
      <c r="AC46" s="3">
        <f t="shared" si="28"/>
        <v>0.37242642234420409</v>
      </c>
      <c r="AD46" s="3">
        <f t="shared" si="28"/>
        <v>0.36717173878835568</v>
      </c>
      <c r="AE46" s="3">
        <f t="shared" si="28"/>
        <v>0.66301169245493696</v>
      </c>
      <c r="AF46" s="3">
        <f t="shared" si="28"/>
        <v>0.60020011317704125</v>
      </c>
      <c r="AG46" s="3">
        <f t="shared" si="28"/>
        <v>0.73827791272629018</v>
      </c>
      <c r="AH46" s="3">
        <f t="shared" si="28"/>
        <v>0.11449343191443544</v>
      </c>
      <c r="AI46" s="3">
        <f t="shared" si="28"/>
        <v>0.56244052114243326</v>
      </c>
      <c r="AJ46" s="3">
        <f t="shared" si="28"/>
        <v>0.75967295305676852</v>
      </c>
      <c r="AK46" s="3">
        <f t="shared" si="28"/>
        <v>0.14510718951241952</v>
      </c>
      <c r="AL46" s="3">
        <f t="shared" si="28"/>
        <v>0.64695969547162346</v>
      </c>
      <c r="AM46" s="3">
        <f t="shared" si="28"/>
        <v>0.37155219312362842</v>
      </c>
      <c r="AN46" s="3">
        <f t="shared" si="28"/>
        <v>8.0238229106808241</v>
      </c>
      <c r="AO46" s="3">
        <f t="shared" si="28"/>
        <v>1.4584357328580415</v>
      </c>
      <c r="AP46" s="3">
        <f t="shared" si="28"/>
        <v>1.4055511782307837</v>
      </c>
      <c r="AQ46" s="3">
        <f t="shared" si="28"/>
        <v>0.83460491114149005</v>
      </c>
      <c r="AR46" s="3">
        <f t="shared" si="28"/>
        <v>2.3731080615883302</v>
      </c>
      <c r="AS46" s="3">
        <f t="shared" si="28"/>
        <v>2.4983329275970623</v>
      </c>
      <c r="AT46" s="3">
        <f t="shared" si="28"/>
        <v>0.30725939604489577</v>
      </c>
      <c r="AU46" s="3">
        <f t="shared" si="28"/>
        <v>0.96062332691381802</v>
      </c>
      <c r="AV46" s="3">
        <f t="shared" si="28"/>
        <v>0.54350888962108723</v>
      </c>
      <c r="AW46" s="3">
        <f t="shared" si="28"/>
        <v>0.36666737018095985</v>
      </c>
      <c r="AX46" s="3">
        <f t="shared" si="28"/>
        <v>0.59370559307053206</v>
      </c>
      <c r="AY46" s="3">
        <f t="shared" si="28"/>
        <v>0.10743355004277159</v>
      </c>
      <c r="AZ46" s="3">
        <f t="shared" si="28"/>
        <v>0.14359857039884671</v>
      </c>
      <c r="BA46" s="3">
        <f t="shared" si="28"/>
        <v>0.10952715258379889</v>
      </c>
      <c r="BB46" s="3">
        <f t="shared" si="28"/>
        <v>0.5397942383715213</v>
      </c>
      <c r="BC46" s="3">
        <f t="shared" si="28"/>
        <v>3.343330794499618</v>
      </c>
      <c r="BD46" s="3">
        <f t="shared" si="28"/>
        <v>2.4185142577615442</v>
      </c>
      <c r="BE46" s="3">
        <f t="shared" si="28"/>
        <v>0.85518238216810671</v>
      </c>
      <c r="BF46" s="3">
        <f t="shared" si="28"/>
        <v>0.55862312738783981</v>
      </c>
      <c r="BG46" s="3">
        <f t="shared" si="28"/>
        <v>0.13564604617604617</v>
      </c>
      <c r="BH46" s="3">
        <f t="shared" ref="BH46" si="29">BH45/BH12</f>
        <v>1.2714047879446948</v>
      </c>
      <c r="BI46" s="3">
        <f t="shared" si="28"/>
        <v>0.41972025182622069</v>
      </c>
      <c r="BJ46" s="3">
        <f t="shared" si="28"/>
        <v>0.85690229179331312</v>
      </c>
      <c r="BK46" s="3">
        <f t="shared" si="28"/>
        <v>1.7012756786796901</v>
      </c>
      <c r="BL46" s="3">
        <f t="shared" si="28"/>
        <v>0.43608128959507947</v>
      </c>
      <c r="BM46" s="3">
        <f t="shared" si="28"/>
        <v>0.27330315187670889</v>
      </c>
      <c r="BN46" s="3">
        <f t="shared" si="28"/>
        <v>0.21090828888222951</v>
      </c>
      <c r="BO46" s="3">
        <f t="shared" ref="BO46:BZ46" si="30">BO45/BO12</f>
        <v>0.10151290776665034</v>
      </c>
      <c r="BP46" s="3">
        <f t="shared" si="30"/>
        <v>0.10788269588938011</v>
      </c>
      <c r="BQ46" s="3">
        <f t="shared" si="30"/>
        <v>0.3503734583736689</v>
      </c>
      <c r="BR46" s="3">
        <f t="shared" si="30"/>
        <v>8.3332233787029628E-2</v>
      </c>
      <c r="BS46" s="3">
        <f t="shared" si="30"/>
        <v>0.17841900716275369</v>
      </c>
      <c r="BT46" s="3">
        <f t="shared" si="30"/>
        <v>0.38050041201716744</v>
      </c>
      <c r="BU46" s="3">
        <f t="shared" si="30"/>
        <v>1.0578895791583167</v>
      </c>
      <c r="BV46" s="3">
        <f t="shared" si="30"/>
        <v>0.50281455159705157</v>
      </c>
      <c r="BW46" s="3">
        <f t="shared" si="30"/>
        <v>0.14905292998807845</v>
      </c>
      <c r="BX46" s="3">
        <f t="shared" si="30"/>
        <v>0.29634527725563908</v>
      </c>
      <c r="BY46" s="3">
        <f t="shared" si="30"/>
        <v>0.88439876128668171</v>
      </c>
      <c r="BZ46" s="3">
        <f t="shared" si="30"/>
        <v>0.14674002439307701</v>
      </c>
    </row>
    <row r="47" spans="1:80" x14ac:dyDescent="0.2">
      <c r="B47" t="s">
        <v>173</v>
      </c>
      <c r="C47" s="10">
        <v>29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B47" t="s">
        <v>180</v>
      </c>
    </row>
    <row r="48" spans="1:80" x14ac:dyDescent="0.2">
      <c r="B48" t="s">
        <v>170</v>
      </c>
      <c r="C48" s="3"/>
      <c r="D48" s="3">
        <f>D46*$C47</f>
        <v>1.4601048387096773</v>
      </c>
      <c r="E48" s="3">
        <f t="shared" ref="E48:BN48" si="31">E46*$C47</f>
        <v>3.5284960353081987</v>
      </c>
      <c r="F48" s="3">
        <f t="shared" si="31"/>
        <v>18.383603801537387</v>
      </c>
      <c r="G48" s="3">
        <f t="shared" si="31"/>
        <v>23.823023126491645</v>
      </c>
      <c r="H48" s="3">
        <f t="shared" si="31"/>
        <v>7.7909175505188433</v>
      </c>
      <c r="I48" s="3">
        <f t="shared" si="31"/>
        <v>1.4742071593366979</v>
      </c>
      <c r="J48" s="3">
        <f t="shared" si="31"/>
        <v>3.8529968659217877</v>
      </c>
      <c r="K48" s="3">
        <f t="shared" si="31"/>
        <v>10.761753853754943</v>
      </c>
      <c r="L48" s="3">
        <f t="shared" si="31"/>
        <v>3.6190932057716436</v>
      </c>
      <c r="M48" s="3">
        <f t="shared" si="31"/>
        <v>20.148392687439145</v>
      </c>
      <c r="N48" s="3">
        <f t="shared" si="31"/>
        <v>10.431430177777777</v>
      </c>
      <c r="O48" s="3">
        <f t="shared" si="31"/>
        <v>2.7906681509433962</v>
      </c>
      <c r="P48" s="3">
        <f t="shared" si="31"/>
        <v>0.67196318031140123</v>
      </c>
      <c r="Q48" s="3">
        <f t="shared" si="31"/>
        <v>4.3369341045512186</v>
      </c>
      <c r="R48" s="3">
        <f t="shared" si="31"/>
        <v>1.8186373435722412</v>
      </c>
      <c r="S48" s="3">
        <f t="shared" si="31"/>
        <v>3.0373520570295822</v>
      </c>
      <c r="T48" s="3">
        <f t="shared" si="31"/>
        <v>1.5913349416342413</v>
      </c>
      <c r="U48" s="3">
        <f t="shared" si="31"/>
        <v>4.0865204963650035</v>
      </c>
      <c r="V48" s="3">
        <f t="shared" si="31"/>
        <v>3.6794545962249465</v>
      </c>
      <c r="W48" s="3">
        <f t="shared" si="31"/>
        <v>4.7072830975750586</v>
      </c>
      <c r="X48" s="3">
        <f t="shared" si="31"/>
        <v>1.1834121485924349</v>
      </c>
      <c r="Y48" s="3">
        <f t="shared" si="31"/>
        <v>2.5225560720649378</v>
      </c>
      <c r="Z48" s="3">
        <f t="shared" si="31"/>
        <v>5.997852705382436</v>
      </c>
      <c r="AA48" s="3">
        <f t="shared" si="31"/>
        <v>9.187583826268467</v>
      </c>
      <c r="AB48" s="3">
        <f t="shared" si="31"/>
        <v>10.036860311903245</v>
      </c>
      <c r="AC48" s="3">
        <f t="shared" si="31"/>
        <v>10.800366247981918</v>
      </c>
      <c r="AD48" s="3">
        <f t="shared" si="31"/>
        <v>10.647980424862315</v>
      </c>
      <c r="AE48" s="3">
        <f t="shared" si="31"/>
        <v>19.227339081193172</v>
      </c>
      <c r="AF48" s="3">
        <f t="shared" si="31"/>
        <v>17.405803282134197</v>
      </c>
      <c r="AG48" s="3">
        <f t="shared" si="31"/>
        <v>21.410059469062414</v>
      </c>
      <c r="AH48" s="3">
        <f t="shared" si="31"/>
        <v>3.3203095255186277</v>
      </c>
      <c r="AI48" s="3">
        <f t="shared" si="31"/>
        <v>16.310775113130564</v>
      </c>
      <c r="AJ48" s="3">
        <f t="shared" si="31"/>
        <v>22.030515638646285</v>
      </c>
      <c r="AK48" s="3">
        <f t="shared" si="31"/>
        <v>4.2081084958601664</v>
      </c>
      <c r="AL48" s="3">
        <f t="shared" si="31"/>
        <v>18.76183116867708</v>
      </c>
      <c r="AM48" s="3">
        <f t="shared" si="31"/>
        <v>10.775013600585224</v>
      </c>
      <c r="AN48" s="3">
        <f t="shared" si="31"/>
        <v>232.69086440974391</v>
      </c>
      <c r="AO48" s="3">
        <f t="shared" si="31"/>
        <v>42.294636252883201</v>
      </c>
      <c r="AP48" s="3">
        <f t="shared" si="31"/>
        <v>40.76098416869273</v>
      </c>
      <c r="AQ48" s="3">
        <f t="shared" si="31"/>
        <v>24.203542423103212</v>
      </c>
      <c r="AR48" s="3">
        <f t="shared" si="31"/>
        <v>68.820133786061575</v>
      </c>
      <c r="AS48" s="3">
        <f t="shared" si="31"/>
        <v>72.451654900314807</v>
      </c>
      <c r="AT48" s="3">
        <f t="shared" si="31"/>
        <v>8.9105224853019767</v>
      </c>
      <c r="AU48" s="3">
        <f t="shared" si="31"/>
        <v>27.858076480500724</v>
      </c>
      <c r="AV48" s="3">
        <f t="shared" si="31"/>
        <v>15.76175779901153</v>
      </c>
      <c r="AW48" s="3">
        <f t="shared" si="31"/>
        <v>10.633353735247836</v>
      </c>
      <c r="AX48" s="3">
        <f t="shared" si="31"/>
        <v>17.217462199045428</v>
      </c>
      <c r="AY48" s="3">
        <f t="shared" si="31"/>
        <v>3.115572951240376</v>
      </c>
      <c r="AZ48" s="3">
        <f t="shared" si="31"/>
        <v>4.1643585415665552</v>
      </c>
      <c r="BA48" s="3">
        <f t="shared" si="31"/>
        <v>3.1762874249301678</v>
      </c>
      <c r="BB48" s="3">
        <f t="shared" si="31"/>
        <v>15.654032912774117</v>
      </c>
      <c r="BC48" s="3">
        <f t="shared" si="31"/>
        <v>96.956593040488926</v>
      </c>
      <c r="BD48" s="3">
        <f t="shared" si="31"/>
        <v>70.136913475084782</v>
      </c>
      <c r="BE48" s="3">
        <f t="shared" si="31"/>
        <v>24.800289082875096</v>
      </c>
      <c r="BF48" s="3">
        <f t="shared" si="31"/>
        <v>16.200070694247355</v>
      </c>
      <c r="BG48" s="3">
        <f t="shared" si="31"/>
        <v>3.9337353391053389</v>
      </c>
      <c r="BH48" s="3">
        <f t="shared" ref="BH48" si="32">BH46*$C47</f>
        <v>36.870738850396151</v>
      </c>
      <c r="BI48" s="3">
        <f t="shared" si="31"/>
        <v>12.1718873029604</v>
      </c>
      <c r="BJ48" s="3">
        <f t="shared" si="31"/>
        <v>24.850166462006079</v>
      </c>
      <c r="BK48" s="3">
        <f t="shared" si="31"/>
        <v>49.336994681711012</v>
      </c>
      <c r="BL48" s="3">
        <f t="shared" si="31"/>
        <v>12.646357398257305</v>
      </c>
      <c r="BM48" s="3">
        <f t="shared" si="31"/>
        <v>7.9257914044245581</v>
      </c>
      <c r="BN48" s="3">
        <f t="shared" si="31"/>
        <v>6.1163403775846561</v>
      </c>
      <c r="BO48" s="3">
        <f t="shared" ref="BO48:BZ48" si="33">BO46*$C47</f>
        <v>2.9438743252328599</v>
      </c>
      <c r="BP48" s="3">
        <f t="shared" si="33"/>
        <v>3.1285981807920233</v>
      </c>
      <c r="BQ48" s="3">
        <f t="shared" si="33"/>
        <v>10.160830292836398</v>
      </c>
      <c r="BR48" s="3">
        <f t="shared" si="33"/>
        <v>2.416634779823859</v>
      </c>
      <c r="BS48" s="3">
        <f t="shared" si="33"/>
        <v>5.1741512077198566</v>
      </c>
      <c r="BT48" s="3">
        <f t="shared" si="33"/>
        <v>11.034511948497856</v>
      </c>
      <c r="BU48" s="3">
        <f t="shared" si="33"/>
        <v>30.678797795591183</v>
      </c>
      <c r="BV48" s="3">
        <f t="shared" si="33"/>
        <v>14.581621996314496</v>
      </c>
      <c r="BW48" s="3">
        <f t="shared" si="33"/>
        <v>4.3225349696542752</v>
      </c>
      <c r="BX48" s="3">
        <f t="shared" si="33"/>
        <v>8.5940130404135342</v>
      </c>
      <c r="BY48" s="3">
        <f t="shared" si="33"/>
        <v>25.647564077313771</v>
      </c>
      <c r="BZ48" s="3">
        <f t="shared" si="33"/>
        <v>4.2554607073992337</v>
      </c>
    </row>
    <row r="49" spans="1:80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</row>
    <row r="50" spans="1:80" s="19" customFormat="1" x14ac:dyDescent="0.2">
      <c r="B50" s="19" t="s">
        <v>171</v>
      </c>
      <c r="C50" s="13"/>
      <c r="D50" s="13">
        <f t="shared" ref="D50:AI50" si="34">D48*D12</f>
        <v>114199.17975</v>
      </c>
      <c r="E50" s="13">
        <f t="shared" si="34"/>
        <v>35376.701249999998</v>
      </c>
      <c r="F50" s="13">
        <f t="shared" si="34"/>
        <v>26306.937040000001</v>
      </c>
      <c r="G50" s="13">
        <f t="shared" si="34"/>
        <v>29945.540069999999</v>
      </c>
      <c r="H50" s="13">
        <f t="shared" si="34"/>
        <v>28530.340070000006</v>
      </c>
      <c r="I50" s="13">
        <f t="shared" si="34"/>
        <v>14313.077310000001</v>
      </c>
      <c r="J50" s="13">
        <f t="shared" si="34"/>
        <v>13793.728779999999</v>
      </c>
      <c r="K50" s="13">
        <f t="shared" si="34"/>
        <v>10890.894900000003</v>
      </c>
      <c r="L50" s="13">
        <f t="shared" si="34"/>
        <v>5768.83457</v>
      </c>
      <c r="M50" s="13">
        <f t="shared" si="34"/>
        <v>20692.399290000001</v>
      </c>
      <c r="N50" s="13">
        <f t="shared" si="34"/>
        <v>25817.789689999998</v>
      </c>
      <c r="O50" s="13">
        <f t="shared" si="34"/>
        <v>21446.284739999999</v>
      </c>
      <c r="P50" s="13">
        <f t="shared" si="34"/>
        <v>6689.3934599999993</v>
      </c>
      <c r="Q50" s="13">
        <f t="shared" si="34"/>
        <v>30779.22134</v>
      </c>
      <c r="R50" s="13">
        <f t="shared" si="34"/>
        <v>6394.3288999999995</v>
      </c>
      <c r="S50" s="13">
        <f t="shared" si="34"/>
        <v>19918.95479</v>
      </c>
      <c r="T50" s="13">
        <f t="shared" si="34"/>
        <v>13496.111640000001</v>
      </c>
      <c r="U50" s="13">
        <f t="shared" si="34"/>
        <v>16301.130259999998</v>
      </c>
      <c r="V50" s="13">
        <f t="shared" si="34"/>
        <v>18908.71717</v>
      </c>
      <c r="W50" s="13">
        <f t="shared" si="34"/>
        <v>32612.057300000008</v>
      </c>
      <c r="X50" s="13">
        <f t="shared" si="34"/>
        <v>12232.93138</v>
      </c>
      <c r="Y50" s="13">
        <f t="shared" si="34"/>
        <v>12741.43072</v>
      </c>
      <c r="Z50" s="13">
        <f t="shared" si="34"/>
        <v>12703.452029999999</v>
      </c>
      <c r="AA50" s="13">
        <f t="shared" si="34"/>
        <v>114440.54414000003</v>
      </c>
      <c r="AB50" s="13">
        <f t="shared" si="34"/>
        <v>15767.907549999998</v>
      </c>
      <c r="AC50" s="13">
        <f t="shared" si="34"/>
        <v>100346.20281</v>
      </c>
      <c r="AD50" s="13">
        <f t="shared" si="34"/>
        <v>27067.166240000002</v>
      </c>
      <c r="AE50" s="13">
        <f t="shared" si="34"/>
        <v>120536.1887</v>
      </c>
      <c r="AF50" s="13">
        <f t="shared" si="34"/>
        <v>64592.935980000009</v>
      </c>
      <c r="AG50" s="13">
        <f t="shared" si="34"/>
        <v>158477.26019</v>
      </c>
      <c r="AH50" s="13">
        <f t="shared" si="34"/>
        <v>46255.232000000004</v>
      </c>
      <c r="AI50" s="13">
        <f t="shared" si="34"/>
        <v>87947.699410000001</v>
      </c>
      <c r="AJ50" s="13">
        <f t="shared" ref="AJ50:BM50" si="35">AJ48*AJ12</f>
        <v>121079.71394999999</v>
      </c>
      <c r="AK50" s="13">
        <f t="shared" si="35"/>
        <v>27445.283610000006</v>
      </c>
      <c r="AL50" s="13">
        <f t="shared" si="35"/>
        <v>94878.580219999989</v>
      </c>
      <c r="AM50" s="13">
        <f t="shared" si="35"/>
        <v>73647.217960000009</v>
      </c>
      <c r="AN50" s="13">
        <f t="shared" si="35"/>
        <v>372538.07392</v>
      </c>
      <c r="AO50" s="13">
        <f t="shared" si="35"/>
        <v>403406.24057999998</v>
      </c>
      <c r="AP50" s="13">
        <f t="shared" si="35"/>
        <v>217948.98235000003</v>
      </c>
      <c r="AQ50" s="13">
        <f t="shared" si="35"/>
        <v>141639.13026000001</v>
      </c>
      <c r="AR50" s="13">
        <f t="shared" si="35"/>
        <v>212310.11272999996</v>
      </c>
      <c r="AS50" s="13">
        <f t="shared" si="35"/>
        <v>138092.85424000002</v>
      </c>
      <c r="AT50" s="13">
        <f t="shared" si="35"/>
        <v>16671.58757</v>
      </c>
      <c r="AU50" s="13">
        <f t="shared" si="35"/>
        <v>115722.44970000001</v>
      </c>
      <c r="AV50" s="13">
        <f t="shared" si="35"/>
        <v>47836.934919999992</v>
      </c>
      <c r="AW50" s="13">
        <f t="shared" si="35"/>
        <v>54059.970389999995</v>
      </c>
      <c r="AX50" s="13">
        <f t="shared" si="35"/>
        <v>97399.183659999995</v>
      </c>
      <c r="AY50" s="13">
        <f t="shared" si="35"/>
        <v>21852.628679999998</v>
      </c>
      <c r="AZ50" s="13">
        <f t="shared" si="35"/>
        <v>17332.060250000002</v>
      </c>
      <c r="BA50" s="13">
        <f t="shared" si="35"/>
        <v>90968.87185000001</v>
      </c>
      <c r="BB50" s="13">
        <f t="shared" si="35"/>
        <v>159185.86069</v>
      </c>
      <c r="BC50" s="13">
        <f t="shared" si="35"/>
        <v>253832.36058000001</v>
      </c>
      <c r="BD50" s="13">
        <f t="shared" si="35"/>
        <v>268834.78934999998</v>
      </c>
      <c r="BE50" s="13">
        <f t="shared" si="35"/>
        <v>126283.07200999999</v>
      </c>
      <c r="BF50" s="13">
        <f t="shared" si="35"/>
        <v>148408.84763</v>
      </c>
      <c r="BG50" s="13">
        <f t="shared" si="35"/>
        <v>8178.2357699999993</v>
      </c>
      <c r="BH50" s="13">
        <f t="shared" ref="BH50" si="36">BH48*BH12</f>
        <v>237336.94598000002</v>
      </c>
      <c r="BI50" s="13">
        <f t="shared" si="35"/>
        <v>63318.157749999998</v>
      </c>
      <c r="BJ50" s="13">
        <f t="shared" si="35"/>
        <v>40878.523829999998</v>
      </c>
      <c r="BK50" s="13">
        <f t="shared" si="35"/>
        <v>146481.53720999998</v>
      </c>
      <c r="BL50" s="13">
        <f t="shared" si="35"/>
        <v>123365.21642000001</v>
      </c>
      <c r="BM50" s="13">
        <f t="shared" si="35"/>
        <v>31885.458819999996</v>
      </c>
      <c r="BN50" s="13">
        <f t="shared" ref="BN50:BZ50" si="37">BN48*BN12</f>
        <v>40820.455679999992</v>
      </c>
      <c r="BO50" s="13">
        <f t="shared" si="37"/>
        <v>42035.581490000004</v>
      </c>
      <c r="BP50" s="13">
        <f t="shared" si="37"/>
        <v>33260.127260000001</v>
      </c>
      <c r="BQ50" s="13">
        <f t="shared" si="37"/>
        <v>41984.550769999994</v>
      </c>
      <c r="BR50" s="13">
        <f t="shared" si="37"/>
        <v>60367.536799999994</v>
      </c>
      <c r="BS50" s="13">
        <f t="shared" si="37"/>
        <v>26005.28397</v>
      </c>
      <c r="BT50" s="13">
        <f t="shared" si="37"/>
        <v>51420.825680000009</v>
      </c>
      <c r="BU50" s="13">
        <f t="shared" si="37"/>
        <v>45926.160300000003</v>
      </c>
      <c r="BV50" s="13">
        <f t="shared" si="37"/>
        <v>47477.76122</v>
      </c>
      <c r="BW50" s="13">
        <f t="shared" si="37"/>
        <v>79768.060329999993</v>
      </c>
      <c r="BX50" s="13">
        <f t="shared" si="37"/>
        <v>18288.05975</v>
      </c>
      <c r="BY50" s="13">
        <f t="shared" si="37"/>
        <v>90894.967090000006</v>
      </c>
      <c r="BZ50" s="13">
        <f t="shared" si="37"/>
        <v>36635.261230000004</v>
      </c>
      <c r="CB50"/>
    </row>
    <row r="51" spans="1:80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</row>
    <row r="52" spans="1:80" s="19" customFormat="1" x14ac:dyDescent="0.2">
      <c r="A52" s="45" t="s">
        <v>154</v>
      </c>
      <c r="B52" s="43" t="s">
        <v>175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3"/>
      <c r="CB52" s="45"/>
    </row>
    <row r="53" spans="1:80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</row>
    <row r="54" spans="1:80" x14ac:dyDescent="0.2">
      <c r="B54" t="s">
        <v>176</v>
      </c>
      <c r="C54" s="10">
        <v>320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B54" t="s">
        <v>180</v>
      </c>
    </row>
    <row r="55" spans="1:80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</row>
    <row r="56" spans="1:80" s="19" customFormat="1" x14ac:dyDescent="0.2">
      <c r="B56" s="19" t="s">
        <v>177</v>
      </c>
      <c r="C56" s="13"/>
      <c r="D56" s="13">
        <f t="shared" ref="D56:AI56" si="38">D12*$C54*-1</f>
        <v>-25028160</v>
      </c>
      <c r="E56" s="13">
        <f t="shared" si="38"/>
        <v>-3208320</v>
      </c>
      <c r="F56" s="13">
        <f t="shared" si="38"/>
        <v>-457920</v>
      </c>
      <c r="G56" s="13">
        <f t="shared" si="38"/>
        <v>-402240</v>
      </c>
      <c r="H56" s="13">
        <f t="shared" si="38"/>
        <v>-1171840</v>
      </c>
      <c r="I56" s="13">
        <f t="shared" si="38"/>
        <v>-3106880</v>
      </c>
      <c r="J56" s="13">
        <f t="shared" si="38"/>
        <v>-1145600</v>
      </c>
      <c r="K56" s="13">
        <f t="shared" si="38"/>
        <v>-323840</v>
      </c>
      <c r="L56" s="13">
        <f t="shared" si="38"/>
        <v>-510080</v>
      </c>
      <c r="M56" s="13">
        <f t="shared" si="38"/>
        <v>-328640</v>
      </c>
      <c r="N56" s="13">
        <f t="shared" si="38"/>
        <v>-792000</v>
      </c>
      <c r="O56" s="13">
        <f t="shared" si="38"/>
        <v>-2459200</v>
      </c>
      <c r="P56" s="13">
        <f t="shared" si="38"/>
        <v>-3185600</v>
      </c>
      <c r="Q56" s="13">
        <f t="shared" si="38"/>
        <v>-2271040</v>
      </c>
      <c r="R56" s="13">
        <f t="shared" si="38"/>
        <v>-1125120</v>
      </c>
      <c r="S56" s="13">
        <f t="shared" si="38"/>
        <v>-2098560</v>
      </c>
      <c r="T56" s="13">
        <f t="shared" si="38"/>
        <v>-2713920</v>
      </c>
      <c r="U56" s="13">
        <f t="shared" si="38"/>
        <v>-1276480</v>
      </c>
      <c r="V56" s="13">
        <f t="shared" si="38"/>
        <v>-1644480</v>
      </c>
      <c r="W56" s="13">
        <f t="shared" si="38"/>
        <v>-2216960</v>
      </c>
      <c r="X56" s="13">
        <f t="shared" si="38"/>
        <v>-3307840</v>
      </c>
      <c r="Y56" s="13">
        <f t="shared" si="38"/>
        <v>-1616320</v>
      </c>
      <c r="Z56" s="13">
        <f t="shared" si="38"/>
        <v>-677760</v>
      </c>
      <c r="AA56" s="13">
        <f t="shared" si="38"/>
        <v>-3985920</v>
      </c>
      <c r="AB56" s="13">
        <f t="shared" si="38"/>
        <v>-502720</v>
      </c>
      <c r="AC56" s="13">
        <f t="shared" si="38"/>
        <v>-2973120</v>
      </c>
      <c r="AD56" s="13">
        <f t="shared" si="38"/>
        <v>-813440</v>
      </c>
      <c r="AE56" s="13">
        <f t="shared" si="38"/>
        <v>-2006080</v>
      </c>
      <c r="AF56" s="13">
        <f t="shared" si="38"/>
        <v>-1187520</v>
      </c>
      <c r="AG56" s="13">
        <f t="shared" si="38"/>
        <v>-2368640</v>
      </c>
      <c r="AH56" s="13">
        <f t="shared" si="38"/>
        <v>-4457920</v>
      </c>
      <c r="AI56" s="13">
        <f t="shared" si="38"/>
        <v>-1725440</v>
      </c>
      <c r="AJ56" s="13">
        <f t="shared" ref="AJ56:BM56" si="39">AJ12*$C54*-1</f>
        <v>-1758720</v>
      </c>
      <c r="AK56" s="13">
        <f t="shared" si="39"/>
        <v>-2087040</v>
      </c>
      <c r="AL56" s="13">
        <f t="shared" si="39"/>
        <v>-1618240</v>
      </c>
      <c r="AM56" s="13">
        <f t="shared" si="39"/>
        <v>-2187200</v>
      </c>
      <c r="AN56" s="13">
        <f t="shared" si="39"/>
        <v>-512320</v>
      </c>
      <c r="AO56" s="13">
        <f t="shared" si="39"/>
        <v>-3052160</v>
      </c>
      <c r="AP56" s="13">
        <f t="shared" si="39"/>
        <v>-1711040</v>
      </c>
      <c r="AQ56" s="13">
        <f t="shared" si="39"/>
        <v>-1872640</v>
      </c>
      <c r="AR56" s="13">
        <f t="shared" si="39"/>
        <v>-987200</v>
      </c>
      <c r="AS56" s="13">
        <f t="shared" si="39"/>
        <v>-609920</v>
      </c>
      <c r="AT56" s="13">
        <f t="shared" si="39"/>
        <v>-598720</v>
      </c>
      <c r="AU56" s="13">
        <f t="shared" si="39"/>
        <v>-1329280</v>
      </c>
      <c r="AV56" s="13">
        <f t="shared" si="39"/>
        <v>-971200</v>
      </c>
      <c r="AW56" s="13">
        <f t="shared" si="39"/>
        <v>-1626880</v>
      </c>
      <c r="AX56" s="13">
        <f t="shared" si="39"/>
        <v>-1810240</v>
      </c>
      <c r="AY56" s="13">
        <f t="shared" si="39"/>
        <v>-2244480</v>
      </c>
      <c r="AZ56" s="13">
        <f t="shared" si="39"/>
        <v>-1331840</v>
      </c>
      <c r="BA56" s="13">
        <f t="shared" si="39"/>
        <v>-9164800</v>
      </c>
      <c r="BB56" s="13">
        <f t="shared" si="39"/>
        <v>-3254080</v>
      </c>
      <c r="BC56" s="13">
        <f t="shared" si="39"/>
        <v>-837760</v>
      </c>
      <c r="BD56" s="13">
        <f t="shared" si="39"/>
        <v>-1226560</v>
      </c>
      <c r="BE56" s="13">
        <f t="shared" si="39"/>
        <v>-1629440</v>
      </c>
      <c r="BF56" s="13">
        <f t="shared" si="39"/>
        <v>-2931520</v>
      </c>
      <c r="BG56" s="13">
        <f t="shared" si="39"/>
        <v>-665280</v>
      </c>
      <c r="BH56" s="13">
        <f t="shared" si="39"/>
        <v>-2059840</v>
      </c>
      <c r="BI56" s="13">
        <f t="shared" si="39"/>
        <v>-1664640</v>
      </c>
      <c r="BJ56" s="13">
        <f t="shared" si="39"/>
        <v>-526400</v>
      </c>
      <c r="BK56" s="13">
        <f t="shared" si="39"/>
        <v>-950080</v>
      </c>
      <c r="BL56" s="13">
        <f t="shared" si="39"/>
        <v>-3121600</v>
      </c>
      <c r="BM56" s="13">
        <f t="shared" si="39"/>
        <v>-1287360</v>
      </c>
      <c r="BN56" s="13">
        <f t="shared" ref="BN56:BZ56" si="40">BN12*$C54*-1</f>
        <v>-2135680</v>
      </c>
      <c r="BO56" s="13">
        <f t="shared" si="40"/>
        <v>-4569280</v>
      </c>
      <c r="BP56" s="13">
        <f t="shared" si="40"/>
        <v>-3401920</v>
      </c>
      <c r="BQ56" s="13">
        <f t="shared" si="40"/>
        <v>-1322240</v>
      </c>
      <c r="BR56" s="13">
        <f t="shared" si="40"/>
        <v>-7993600</v>
      </c>
      <c r="BS56" s="13">
        <f t="shared" si="40"/>
        <v>-1608320</v>
      </c>
      <c r="BT56" s="13">
        <f t="shared" si="40"/>
        <v>-1491200</v>
      </c>
      <c r="BU56" s="13">
        <f t="shared" si="40"/>
        <v>-479040</v>
      </c>
      <c r="BV56" s="13">
        <f t="shared" si="40"/>
        <v>-1041920</v>
      </c>
      <c r="BW56" s="13">
        <f t="shared" si="40"/>
        <v>-5905280</v>
      </c>
      <c r="BX56" s="13">
        <f t="shared" si="40"/>
        <v>-680960</v>
      </c>
      <c r="BY56" s="13">
        <f t="shared" si="40"/>
        <v>-1134080</v>
      </c>
      <c r="BZ56" s="13">
        <f t="shared" si="40"/>
        <v>-2754880</v>
      </c>
      <c r="CB56"/>
    </row>
    <row r="57" spans="1:80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</row>
    <row r="58" spans="1:80" s="19" customFormat="1" x14ac:dyDescent="0.2">
      <c r="A58" s="45" t="s">
        <v>155</v>
      </c>
      <c r="B58" s="43" t="s">
        <v>174</v>
      </c>
      <c r="C58" s="44"/>
      <c r="D58" s="44">
        <f>IF((D24+D33+D41+D50+D56)&lt;0,0,D24+D33+D41+D50+D56)</f>
        <v>0</v>
      </c>
      <c r="E58" s="44">
        <f>IF((E24+E33+E41+E50+E56)&lt;0,0,E24+E33+E41+E50+E56)</f>
        <v>0</v>
      </c>
      <c r="F58" s="44">
        <f>IF((F24+F33+F41+F50+F56)&lt;0,0,F24+F33+F41+F50+F56)</f>
        <v>386559.71904</v>
      </c>
      <c r="G58" s="44">
        <f>IF((G24+G33+G41+G50+G56)&lt;0,0,G24+G33+G41+G50+G56)</f>
        <v>624847.75207000005</v>
      </c>
      <c r="H58" s="44">
        <f t="shared" ref="H58:BQ58" si="41">IF((H24+H33+H41+H50+H56)&lt;0,0,H24+H33+H41+H50+H56)</f>
        <v>56318.233630782925</v>
      </c>
      <c r="I58" s="44">
        <f t="shared" si="41"/>
        <v>0</v>
      </c>
      <c r="J58" s="44">
        <f t="shared" si="41"/>
        <v>0</v>
      </c>
      <c r="K58" s="44">
        <f t="shared" si="41"/>
        <v>18453.746900000027</v>
      </c>
      <c r="L58" s="44">
        <f t="shared" si="41"/>
        <v>0</v>
      </c>
      <c r="M58" s="44">
        <f t="shared" si="41"/>
        <v>298250.66889000009</v>
      </c>
      <c r="N58" s="44">
        <f t="shared" si="41"/>
        <v>618270.47066258732</v>
      </c>
      <c r="O58" s="44">
        <f t="shared" si="41"/>
        <v>0</v>
      </c>
      <c r="P58" s="44">
        <f t="shared" si="41"/>
        <v>0</v>
      </c>
      <c r="Q58" s="44">
        <f t="shared" si="41"/>
        <v>0</v>
      </c>
      <c r="R58" s="44">
        <f t="shared" si="41"/>
        <v>0</v>
      </c>
      <c r="S58" s="44">
        <f t="shared" si="41"/>
        <v>0</v>
      </c>
      <c r="T58" s="44">
        <f t="shared" si="41"/>
        <v>0</v>
      </c>
      <c r="U58" s="44">
        <f t="shared" si="41"/>
        <v>0</v>
      </c>
      <c r="V58" s="44">
        <f t="shared" si="41"/>
        <v>0</v>
      </c>
      <c r="W58" s="44">
        <f t="shared" si="41"/>
        <v>0</v>
      </c>
      <c r="X58" s="44">
        <f t="shared" si="41"/>
        <v>0</v>
      </c>
      <c r="Y58" s="44">
        <f t="shared" si="41"/>
        <v>0</v>
      </c>
      <c r="Z58" s="44">
        <f t="shared" si="41"/>
        <v>136899.59603000002</v>
      </c>
      <c r="AA58" s="44">
        <f t="shared" si="41"/>
        <v>934364.31414000038</v>
      </c>
      <c r="AB58" s="44">
        <f t="shared" si="41"/>
        <v>232201.30648767098</v>
      </c>
      <c r="AC58" s="44">
        <f t="shared" si="41"/>
        <v>1412269.0285474798</v>
      </c>
      <c r="AD58" s="44">
        <f t="shared" si="41"/>
        <v>243778.83824000019</v>
      </c>
      <c r="AE58" s="44">
        <f t="shared" si="41"/>
        <v>692633.05332740955</v>
      </c>
      <c r="AF58" s="44">
        <f t="shared" si="41"/>
        <v>413968.81798000028</v>
      </c>
      <c r="AG58" s="44">
        <f t="shared" si="41"/>
        <v>1000605.9873900004</v>
      </c>
      <c r="AH58" s="44">
        <f t="shared" si="41"/>
        <v>0</v>
      </c>
      <c r="AI58" s="44">
        <f t="shared" si="41"/>
        <v>95609.985409999732</v>
      </c>
      <c r="AJ58" s="44">
        <f t="shared" si="41"/>
        <v>318090.6378817251</v>
      </c>
      <c r="AK58" s="44">
        <f t="shared" si="41"/>
        <v>0</v>
      </c>
      <c r="AL58" s="44">
        <f t="shared" si="41"/>
        <v>157106.56621999969</v>
      </c>
      <c r="AM58" s="44">
        <f t="shared" si="41"/>
        <v>0</v>
      </c>
      <c r="AN58" s="44">
        <f t="shared" si="41"/>
        <v>2364913.7244326775</v>
      </c>
      <c r="AO58" s="44">
        <f t="shared" si="41"/>
        <v>984019.12978000054</v>
      </c>
      <c r="AP58" s="44">
        <f t="shared" si="41"/>
        <v>967012.75115000037</v>
      </c>
      <c r="AQ58" s="44">
        <f t="shared" si="41"/>
        <v>0</v>
      </c>
      <c r="AR58" s="44">
        <f t="shared" si="41"/>
        <v>452191.37557558855</v>
      </c>
      <c r="AS58" s="44">
        <f t="shared" si="41"/>
        <v>1516737.2526399996</v>
      </c>
      <c r="AT58" s="44">
        <f t="shared" si="41"/>
        <v>0</v>
      </c>
      <c r="AU58" s="44">
        <f t="shared" si="41"/>
        <v>255773.04169999994</v>
      </c>
      <c r="AV58" s="44">
        <f t="shared" si="41"/>
        <v>187837.26692000008</v>
      </c>
      <c r="AW58" s="44">
        <f t="shared" si="41"/>
        <v>0</v>
      </c>
      <c r="AX58" s="44">
        <f t="shared" si="41"/>
        <v>131445.49717281293</v>
      </c>
      <c r="AY58" s="44">
        <f t="shared" si="41"/>
        <v>0</v>
      </c>
      <c r="AZ58" s="44">
        <f t="shared" si="41"/>
        <v>0</v>
      </c>
      <c r="BA58" s="44">
        <f t="shared" si="41"/>
        <v>0</v>
      </c>
      <c r="BB58" s="44">
        <f t="shared" si="41"/>
        <v>1486283.2445214689</v>
      </c>
      <c r="BC58" s="44">
        <f t="shared" si="41"/>
        <v>2266858.3464997853</v>
      </c>
      <c r="BD58" s="44">
        <f t="shared" si="41"/>
        <v>2328040.1761499997</v>
      </c>
      <c r="BE58" s="44">
        <f t="shared" si="41"/>
        <v>1405600.1476099999</v>
      </c>
      <c r="BF58" s="44">
        <f t="shared" si="41"/>
        <v>1139025.5012300014</v>
      </c>
      <c r="BG58" s="44">
        <f t="shared" si="41"/>
        <v>0</v>
      </c>
      <c r="BH58" s="44">
        <f t="shared" si="41"/>
        <v>5006842.959448792</v>
      </c>
      <c r="BI58" s="44">
        <f t="shared" si="41"/>
        <v>584042.36615000013</v>
      </c>
      <c r="BJ58" s="44">
        <f t="shared" si="41"/>
        <v>620536.55492993398</v>
      </c>
      <c r="BK58" s="44">
        <f t="shared" si="41"/>
        <v>1908878.4184099995</v>
      </c>
      <c r="BL58" s="44">
        <f t="shared" si="41"/>
        <v>2108838.8244249923</v>
      </c>
      <c r="BM58" s="44">
        <f t="shared" si="41"/>
        <v>0</v>
      </c>
      <c r="BN58" s="44">
        <f t="shared" si="41"/>
        <v>0</v>
      </c>
      <c r="BO58" s="44">
        <f t="shared" si="41"/>
        <v>0</v>
      </c>
      <c r="BP58" s="44">
        <f t="shared" si="41"/>
        <v>0</v>
      </c>
      <c r="BQ58" s="44">
        <f t="shared" si="41"/>
        <v>840102.89197000023</v>
      </c>
      <c r="BR58" s="44">
        <f t="shared" ref="BR58:BZ58" si="42">IF((BR24+BR33+BR41+BR50+BR56)&lt;0,0,BR24+BR33+BR41+BR50+BR56)</f>
        <v>0</v>
      </c>
      <c r="BS58" s="44">
        <f t="shared" si="42"/>
        <v>0</v>
      </c>
      <c r="BT58" s="44">
        <f t="shared" si="42"/>
        <v>690952.51730602141</v>
      </c>
      <c r="BU58" s="44">
        <f t="shared" si="42"/>
        <v>549543.15429999994</v>
      </c>
      <c r="BV58" s="44">
        <f t="shared" si="42"/>
        <v>562794.66746159224</v>
      </c>
      <c r="BW58" s="44">
        <f t="shared" si="42"/>
        <v>0</v>
      </c>
      <c r="BX58" s="44">
        <f t="shared" si="42"/>
        <v>100973.37135000003</v>
      </c>
      <c r="BY58" s="44">
        <f t="shared" si="42"/>
        <v>1841706.2384601729</v>
      </c>
      <c r="BZ58" s="44">
        <f t="shared" si="42"/>
        <v>0</v>
      </c>
      <c r="CA58" s="43"/>
      <c r="CB58" s="45"/>
    </row>
    <row r="59" spans="1:80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</row>
    <row r="60" spans="1:80" x14ac:dyDescent="0.2">
      <c r="A60" s="45" t="s">
        <v>156</v>
      </c>
      <c r="B60" s="43" t="s">
        <v>139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5"/>
      <c r="CB60" s="45"/>
    </row>
    <row r="61" spans="1:80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</row>
    <row r="62" spans="1:80" x14ac:dyDescent="0.2">
      <c r="B62" t="s">
        <v>141</v>
      </c>
      <c r="C62" s="3"/>
      <c r="D62" s="48">
        <f>'Ressourcenausgleich Basis'!D144</f>
        <v>1.1192260003904357</v>
      </c>
      <c r="E62" s="48">
        <f>'Ressourcenausgleich Basis'!E144</f>
        <v>0.80767902154829629</v>
      </c>
      <c r="F62" s="48">
        <f>'Ressourcenausgleich Basis'!F144</f>
        <v>0.84030989009306656</v>
      </c>
      <c r="G62" s="48">
        <f>'Ressourcenausgleich Basis'!G144</f>
        <v>0.77439042652152612</v>
      </c>
      <c r="H62" s="48">
        <f>'Ressourcenausgleich Basis'!H144</f>
        <v>1.8170994058016419</v>
      </c>
      <c r="I62" s="48">
        <f>'Ressourcenausgleich Basis'!I144</f>
        <v>1.0415529016974443</v>
      </c>
      <c r="J62" s="48">
        <f>'Ressourcenausgleich Basis'!J144</f>
        <v>0.94023796504251855</v>
      </c>
      <c r="K62" s="48">
        <f>'Ressourcenausgleich Basis'!K144</f>
        <v>1.1118426009719726</v>
      </c>
      <c r="L62" s="48">
        <f>'Ressourcenausgleich Basis'!L144</f>
        <v>1.161279113480207</v>
      </c>
      <c r="M62" s="48">
        <f>'Ressourcenausgleich Basis'!M144</f>
        <v>0.89495552112018584</v>
      </c>
      <c r="N62" s="48">
        <f>'Ressourcenausgleich Basis'!N144</f>
        <v>0.92595216196370711</v>
      </c>
      <c r="O62" s="48">
        <f>'Ressourcenausgleich Basis'!O144</f>
        <v>1.0254024499595948</v>
      </c>
      <c r="P62" s="48">
        <f>'Ressourcenausgleich Basis'!P144</f>
        <v>0.78531040245196804</v>
      </c>
      <c r="Q62" s="48">
        <f>'Ressourcenausgleich Basis'!Q144</f>
        <v>1.1173622477814673</v>
      </c>
      <c r="R62" s="48">
        <f>'Ressourcenausgleich Basis'!R144</f>
        <v>0.78082790082596587</v>
      </c>
      <c r="S62" s="48">
        <f>'Ressourcenausgleich Basis'!S144</f>
        <v>0.8728492495253416</v>
      </c>
      <c r="T62" s="48">
        <f>'Ressourcenausgleich Basis'!T144</f>
        <v>1.0552629742453086</v>
      </c>
      <c r="U62" s="48">
        <f>'Ressourcenausgleich Basis'!U144</f>
        <v>1.1883601450793135</v>
      </c>
      <c r="V62" s="48">
        <f>'Ressourcenausgleich Basis'!V144</f>
        <v>1.6157684368875798</v>
      </c>
      <c r="W62" s="48">
        <f>'Ressourcenausgleich Basis'!W144</f>
        <v>1.0401256649806632</v>
      </c>
      <c r="X62" s="48">
        <f>'Ressourcenausgleich Basis'!X144</f>
        <v>1.0995978214687425</v>
      </c>
      <c r="Y62" s="48">
        <f>'Ressourcenausgleich Basis'!Y144</f>
        <v>0.93250407289387105</v>
      </c>
      <c r="Z62" s="48">
        <f>'Ressourcenausgleich Basis'!Z144</f>
        <v>0.90571459824461442</v>
      </c>
      <c r="AA62" s="48">
        <f>'Ressourcenausgleich Basis'!AA144</f>
        <v>0.93842050623804762</v>
      </c>
      <c r="AB62" s="48">
        <f>'Ressourcenausgleich Basis'!AB144</f>
        <v>0.79243217070255134</v>
      </c>
      <c r="AC62" s="48">
        <f>'Ressourcenausgleich Basis'!AC144</f>
        <v>0.9205220590305353</v>
      </c>
      <c r="AD62" s="48">
        <f>'Ressourcenausgleich Basis'!AD144</f>
        <v>0.90302929532273646</v>
      </c>
      <c r="AE62" s="48">
        <f>'Ressourcenausgleich Basis'!AE144</f>
        <v>1.2374198645673269</v>
      </c>
      <c r="AF62" s="48">
        <f>'Ressourcenausgleich Basis'!AF144</f>
        <v>0.83649024255196525</v>
      </c>
      <c r="AG62" s="48">
        <f>'Ressourcenausgleich Basis'!AG144</f>
        <v>0.87702232012427916</v>
      </c>
      <c r="AH62" s="48">
        <f>'Ressourcenausgleich Basis'!AH144</f>
        <v>1.0081130620471075</v>
      </c>
      <c r="AI62" s="48">
        <f>'Ressourcenausgleich Basis'!AI144</f>
        <v>0.81184247733765569</v>
      </c>
      <c r="AJ62" s="48">
        <f>'Ressourcenausgleich Basis'!AJ144</f>
        <v>0.75276236965743626</v>
      </c>
      <c r="AK62" s="48">
        <f>'Ressourcenausgleich Basis'!AK144</f>
        <v>0.87286098498081044</v>
      </c>
      <c r="AL62" s="48">
        <f>'Ressourcenausgleich Basis'!AL144</f>
        <v>0.84119771459501469</v>
      </c>
      <c r="AM62" s="48">
        <f>'Ressourcenausgleich Basis'!AM144</f>
        <v>1.0622411976638768</v>
      </c>
      <c r="AN62" s="48">
        <f>'Ressourcenausgleich Basis'!AN144</f>
        <v>0.71776830724948959</v>
      </c>
      <c r="AO62" s="48">
        <f>'Ressourcenausgleich Basis'!AO144</f>
        <v>0.79897825894823171</v>
      </c>
      <c r="AP62" s="48">
        <f>'Ressourcenausgleich Basis'!AP144</f>
        <v>0.81007828876349286</v>
      </c>
      <c r="AQ62" s="48">
        <f>'Ressourcenausgleich Basis'!AQ144</f>
        <v>0.86391910860566434</v>
      </c>
      <c r="AR62" s="48">
        <f>'Ressourcenausgleich Basis'!AR144</f>
        <v>0.93706253539060491</v>
      </c>
      <c r="AS62" s="48">
        <f>'Ressourcenausgleich Basis'!AS144</f>
        <v>1.184946922498709</v>
      </c>
      <c r="AT62" s="48">
        <f>'Ressourcenausgleich Basis'!AT144</f>
        <v>1.0356852269370913</v>
      </c>
      <c r="AU62" s="48">
        <f>'Ressourcenausgleich Basis'!AU144</f>
        <v>0.71233098600817657</v>
      </c>
      <c r="AV62" s="48">
        <f>'Ressourcenausgleich Basis'!AV144</f>
        <v>0.80685335736795727</v>
      </c>
      <c r="AW62" s="48">
        <f>'Ressourcenausgleich Basis'!AW144</f>
        <v>0.79084019648736814</v>
      </c>
      <c r="AX62" s="48">
        <f>'Ressourcenausgleich Basis'!AX144</f>
        <v>1.0588535173601925</v>
      </c>
      <c r="AY62" s="48">
        <f>'Ressourcenausgleich Basis'!AY144</f>
        <v>0.88778168727153217</v>
      </c>
      <c r="AZ62" s="48">
        <f>'Ressourcenausgleich Basis'!AZ144</f>
        <v>1.0284650868742335</v>
      </c>
      <c r="BA62" s="48">
        <f>'Ressourcenausgleich Basis'!BA144</f>
        <v>1.6325927230253594</v>
      </c>
      <c r="BB62" s="48">
        <f>'Ressourcenausgleich Basis'!BB144</f>
        <v>0.90318697681634152</v>
      </c>
      <c r="BC62" s="48">
        <f>'Ressourcenausgleich Basis'!BC144</f>
        <v>0.94215534012853297</v>
      </c>
      <c r="BD62" s="48">
        <f>'Ressourcenausgleich Basis'!BD144</f>
        <v>0.72678410718190434</v>
      </c>
      <c r="BE62" s="48">
        <f>'Ressourcenausgleich Basis'!BE144</f>
        <v>0.74197672075989607</v>
      </c>
      <c r="BF62" s="48">
        <f>'Ressourcenausgleich Basis'!BF144</f>
        <v>0.75679282790603331</v>
      </c>
      <c r="BG62" s="48">
        <f>'Ressourcenausgleich Basis'!BG144</f>
        <v>0.85728673225682506</v>
      </c>
      <c r="BH62" s="48">
        <f>'Ressourcenausgleich Basis'!BH144</f>
        <v>0.62255203445804697</v>
      </c>
      <c r="BI62" s="48">
        <f>'Ressourcenausgleich Basis'!BI144</f>
        <v>0.76760401500264674</v>
      </c>
      <c r="BJ62" s="48">
        <f>'Ressourcenausgleich Basis'!BJ144</f>
        <v>0.70547017791323796</v>
      </c>
      <c r="BK62" s="48">
        <f>'Ressourcenausgleich Basis'!BK144</f>
        <v>0.65143962592643601</v>
      </c>
      <c r="BL62" s="48">
        <f>'Ressourcenausgleich Basis'!BL144</f>
        <v>0.82443919249516717</v>
      </c>
      <c r="BM62" s="48">
        <f>'Ressourcenausgleich Basis'!BM144</f>
        <v>0.88988222025931696</v>
      </c>
      <c r="BN62" s="48">
        <f>'Ressourcenausgleich Basis'!BN144</f>
        <v>0.83701185167073178</v>
      </c>
      <c r="BO62" s="48">
        <f>'Ressourcenausgleich Basis'!BO144</f>
        <v>0.81213337076379177</v>
      </c>
      <c r="BP62" s="48">
        <f>'Ressourcenausgleich Basis'!BP144</f>
        <v>0.7714561776525577</v>
      </c>
      <c r="BQ62" s="48">
        <f>'Ressourcenausgleich Basis'!BQ144</f>
        <v>0.74128906017514296</v>
      </c>
      <c r="BR62" s="48">
        <f>'Ressourcenausgleich Basis'!BR144</f>
        <v>1.090364869666786</v>
      </c>
      <c r="BS62" s="48">
        <f>'Ressourcenausgleich Basis'!BS144</f>
        <v>1.2805801424550449</v>
      </c>
      <c r="BT62" s="48">
        <f>'Ressourcenausgleich Basis'!BT144</f>
        <v>1.0544504057831776</v>
      </c>
      <c r="BU62" s="48">
        <f>'Ressourcenausgleich Basis'!BU144</f>
        <v>0.84584042587901509</v>
      </c>
      <c r="BV62" s="48">
        <f>'Ressourcenausgleich Basis'!BV144</f>
        <v>0.83951728463028685</v>
      </c>
      <c r="BW62" s="48">
        <f>'Ressourcenausgleich Basis'!BW144</f>
        <v>0.96179566099812774</v>
      </c>
      <c r="BX62" s="48">
        <f>'Ressourcenausgleich Basis'!BX144</f>
        <v>0.96194367861822827</v>
      </c>
      <c r="BY62" s="48">
        <f>'Ressourcenausgleich Basis'!BY144</f>
        <v>0.85576884431079991</v>
      </c>
      <c r="BZ62" s="48">
        <f>'Ressourcenausgleich Basis'!BZ144</f>
        <v>1.0767138391735698</v>
      </c>
    </row>
    <row r="63" spans="1:80" x14ac:dyDescent="0.2">
      <c r="C63" s="3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</row>
    <row r="64" spans="1:80" x14ac:dyDescent="0.2">
      <c r="B64" t="s">
        <v>142</v>
      </c>
      <c r="C64" s="3"/>
      <c r="D64" s="48">
        <f>IF(D62&lt;100%,0%,IF(D62&gt;120%,100%,(-100%+D62)/20*100))</f>
        <v>0.59613000195217869</v>
      </c>
      <c r="E64" s="48">
        <f t="shared" ref="E64:BN64" si="43">IF(E62&lt;100%,0%,IF(E62&gt;120%,100%,(-100%+E62)/20*100))</f>
        <v>0</v>
      </c>
      <c r="F64" s="48">
        <f t="shared" si="43"/>
        <v>0</v>
      </c>
      <c r="G64" s="48">
        <f t="shared" si="43"/>
        <v>0</v>
      </c>
      <c r="H64" s="48">
        <f t="shared" si="43"/>
        <v>1</v>
      </c>
      <c r="I64" s="48">
        <f t="shared" si="43"/>
        <v>0.2077645084872215</v>
      </c>
      <c r="J64" s="48">
        <f t="shared" si="43"/>
        <v>0</v>
      </c>
      <c r="K64" s="48">
        <f t="shared" si="43"/>
        <v>0.55921300485986314</v>
      </c>
      <c r="L64" s="48">
        <f t="shared" si="43"/>
        <v>0.80639556740103491</v>
      </c>
      <c r="M64" s="48">
        <f t="shared" si="43"/>
        <v>0</v>
      </c>
      <c r="N64" s="48">
        <f t="shared" si="43"/>
        <v>0</v>
      </c>
      <c r="O64" s="48">
        <f t="shared" si="43"/>
        <v>0.12701224979797421</v>
      </c>
      <c r="P64" s="48">
        <f t="shared" si="43"/>
        <v>0</v>
      </c>
      <c r="Q64" s="48">
        <f t="shared" si="43"/>
        <v>0.58681123890733655</v>
      </c>
      <c r="R64" s="48">
        <f t="shared" si="43"/>
        <v>0</v>
      </c>
      <c r="S64" s="48">
        <f t="shared" si="43"/>
        <v>0</v>
      </c>
      <c r="T64" s="48">
        <f t="shared" si="43"/>
        <v>0.27631487122654286</v>
      </c>
      <c r="U64" s="48">
        <f t="shared" si="43"/>
        <v>0.94180072539656778</v>
      </c>
      <c r="V64" s="48">
        <f t="shared" si="43"/>
        <v>1</v>
      </c>
      <c r="W64" s="48">
        <f t="shared" si="43"/>
        <v>0.20062832490331584</v>
      </c>
      <c r="X64" s="48">
        <f t="shared" si="43"/>
        <v>0.49798910734371266</v>
      </c>
      <c r="Y64" s="48">
        <f t="shared" si="43"/>
        <v>0</v>
      </c>
      <c r="Z64" s="48">
        <f t="shared" si="43"/>
        <v>0</v>
      </c>
      <c r="AA64" s="48">
        <f t="shared" si="43"/>
        <v>0</v>
      </c>
      <c r="AB64" s="48">
        <f t="shared" si="43"/>
        <v>0</v>
      </c>
      <c r="AC64" s="48">
        <f t="shared" si="43"/>
        <v>0</v>
      </c>
      <c r="AD64" s="48">
        <f t="shared" si="43"/>
        <v>0</v>
      </c>
      <c r="AE64" s="48">
        <f t="shared" si="43"/>
        <v>1</v>
      </c>
      <c r="AF64" s="48">
        <f t="shared" si="43"/>
        <v>0</v>
      </c>
      <c r="AG64" s="48">
        <f t="shared" si="43"/>
        <v>0</v>
      </c>
      <c r="AH64" s="48">
        <f t="shared" si="43"/>
        <v>4.0565310235537444E-2</v>
      </c>
      <c r="AI64" s="48">
        <f t="shared" si="43"/>
        <v>0</v>
      </c>
      <c r="AJ64" s="48">
        <f t="shared" si="43"/>
        <v>0</v>
      </c>
      <c r="AK64" s="48">
        <f t="shared" si="43"/>
        <v>0</v>
      </c>
      <c r="AL64" s="48">
        <f t="shared" si="43"/>
        <v>0</v>
      </c>
      <c r="AM64" s="48">
        <f t="shared" si="43"/>
        <v>0.31120598831938406</v>
      </c>
      <c r="AN64" s="48">
        <f t="shared" si="43"/>
        <v>0</v>
      </c>
      <c r="AO64" s="48">
        <f t="shared" si="43"/>
        <v>0</v>
      </c>
      <c r="AP64" s="48">
        <f t="shared" si="43"/>
        <v>0</v>
      </c>
      <c r="AQ64" s="48">
        <f t="shared" si="43"/>
        <v>0</v>
      </c>
      <c r="AR64" s="48">
        <f t="shared" si="43"/>
        <v>0</v>
      </c>
      <c r="AS64" s="48">
        <f t="shared" si="43"/>
        <v>0.92473461249354505</v>
      </c>
      <c r="AT64" s="48">
        <f t="shared" si="43"/>
        <v>0.17842613468545654</v>
      </c>
      <c r="AU64" s="48">
        <f t="shared" si="43"/>
        <v>0</v>
      </c>
      <c r="AV64" s="48">
        <f t="shared" si="43"/>
        <v>0</v>
      </c>
      <c r="AW64" s="48">
        <f t="shared" si="43"/>
        <v>0</v>
      </c>
      <c r="AX64" s="48">
        <f t="shared" si="43"/>
        <v>0.29426758680096254</v>
      </c>
      <c r="AY64" s="48">
        <f t="shared" si="43"/>
        <v>0</v>
      </c>
      <c r="AZ64" s="48">
        <f t="shared" si="43"/>
        <v>0.14232543437116774</v>
      </c>
      <c r="BA64" s="48">
        <f t="shared" si="43"/>
        <v>1</v>
      </c>
      <c r="BB64" s="48">
        <f t="shared" si="43"/>
        <v>0</v>
      </c>
      <c r="BC64" s="48">
        <f t="shared" si="43"/>
        <v>0</v>
      </c>
      <c r="BD64" s="48">
        <f t="shared" si="43"/>
        <v>0</v>
      </c>
      <c r="BE64" s="48">
        <f t="shared" si="43"/>
        <v>0</v>
      </c>
      <c r="BF64" s="48">
        <f t="shared" si="43"/>
        <v>0</v>
      </c>
      <c r="BG64" s="48">
        <f t="shared" si="43"/>
        <v>0</v>
      </c>
      <c r="BH64" s="48">
        <f t="shared" ref="BH64" si="44">IF(BH62&lt;100%,0%,IF(BH62&gt;120%,100%,(-100%+BH62)/20*100))</f>
        <v>0</v>
      </c>
      <c r="BI64" s="48">
        <f t="shared" si="43"/>
        <v>0</v>
      </c>
      <c r="BJ64" s="48">
        <f t="shared" si="43"/>
        <v>0</v>
      </c>
      <c r="BK64" s="48">
        <f t="shared" si="43"/>
        <v>0</v>
      </c>
      <c r="BL64" s="48">
        <f t="shared" si="43"/>
        <v>0</v>
      </c>
      <c r="BM64" s="48">
        <f t="shared" si="43"/>
        <v>0</v>
      </c>
      <c r="BN64" s="48">
        <f t="shared" si="43"/>
        <v>0</v>
      </c>
      <c r="BO64" s="48">
        <f t="shared" ref="BO64:BZ64" si="45">IF(BO62&lt;100%,0%,IF(BO62&gt;120%,100%,(-100%+BO62)/20*100))</f>
        <v>0</v>
      </c>
      <c r="BP64" s="48">
        <f t="shared" si="45"/>
        <v>0</v>
      </c>
      <c r="BQ64" s="48">
        <f t="shared" si="45"/>
        <v>0</v>
      </c>
      <c r="BR64" s="48">
        <f t="shared" si="45"/>
        <v>0.45182434833393015</v>
      </c>
      <c r="BS64" s="48">
        <f t="shared" si="45"/>
        <v>1</v>
      </c>
      <c r="BT64" s="48">
        <f t="shared" si="45"/>
        <v>0.27225202891588807</v>
      </c>
      <c r="BU64" s="48">
        <f t="shared" si="45"/>
        <v>0</v>
      </c>
      <c r="BV64" s="48">
        <f t="shared" si="45"/>
        <v>0</v>
      </c>
      <c r="BW64" s="48">
        <f t="shared" si="45"/>
        <v>0</v>
      </c>
      <c r="BX64" s="48">
        <f t="shared" si="45"/>
        <v>0</v>
      </c>
      <c r="BY64" s="48">
        <f t="shared" si="45"/>
        <v>0</v>
      </c>
      <c r="BZ64" s="48">
        <f t="shared" si="45"/>
        <v>0.38356919586784888</v>
      </c>
    </row>
    <row r="65" spans="1:80" s="3" customFormat="1" x14ac:dyDescent="0.2">
      <c r="B65" s="3" t="s">
        <v>146</v>
      </c>
      <c r="D65" s="3">
        <f t="shared" ref="D65:AI65" si="46">D58*-D64</f>
        <v>0</v>
      </c>
      <c r="E65" s="3">
        <f t="shared" si="46"/>
        <v>0</v>
      </c>
      <c r="F65" s="3">
        <f t="shared" si="46"/>
        <v>0</v>
      </c>
      <c r="G65" s="3">
        <f t="shared" si="46"/>
        <v>0</v>
      </c>
      <c r="H65" s="3">
        <f t="shared" si="46"/>
        <v>-56318.233630782925</v>
      </c>
      <c r="I65" s="3">
        <f t="shared" si="46"/>
        <v>0</v>
      </c>
      <c r="J65" s="3">
        <f t="shared" si="46"/>
        <v>0</v>
      </c>
      <c r="K65" s="3">
        <f t="shared" si="46"/>
        <v>-10319.575254872399</v>
      </c>
      <c r="L65" s="3">
        <f t="shared" si="46"/>
        <v>0</v>
      </c>
      <c r="M65" s="3">
        <f t="shared" si="46"/>
        <v>0</v>
      </c>
      <c r="N65" s="3">
        <f t="shared" si="46"/>
        <v>0</v>
      </c>
      <c r="O65" s="3">
        <f t="shared" si="46"/>
        <v>0</v>
      </c>
      <c r="P65" s="3">
        <f t="shared" si="46"/>
        <v>0</v>
      </c>
      <c r="Q65" s="3">
        <f t="shared" si="46"/>
        <v>0</v>
      </c>
      <c r="R65" s="3">
        <f t="shared" si="46"/>
        <v>0</v>
      </c>
      <c r="S65" s="3">
        <f t="shared" si="46"/>
        <v>0</v>
      </c>
      <c r="T65" s="3">
        <f t="shared" si="46"/>
        <v>0</v>
      </c>
      <c r="U65" s="3">
        <f t="shared" si="46"/>
        <v>0</v>
      </c>
      <c r="V65" s="3">
        <f t="shared" si="46"/>
        <v>0</v>
      </c>
      <c r="W65" s="3">
        <f t="shared" si="46"/>
        <v>0</v>
      </c>
      <c r="X65" s="3">
        <f t="shared" si="46"/>
        <v>0</v>
      </c>
      <c r="Y65" s="3">
        <f t="shared" si="46"/>
        <v>0</v>
      </c>
      <c r="Z65" s="3">
        <f t="shared" si="46"/>
        <v>0</v>
      </c>
      <c r="AA65" s="3">
        <f t="shared" si="46"/>
        <v>0</v>
      </c>
      <c r="AB65" s="3">
        <f t="shared" si="46"/>
        <v>0</v>
      </c>
      <c r="AC65" s="3">
        <f t="shared" si="46"/>
        <v>0</v>
      </c>
      <c r="AD65" s="3">
        <f t="shared" si="46"/>
        <v>0</v>
      </c>
      <c r="AE65" s="3">
        <f t="shared" si="46"/>
        <v>-692633.05332740955</v>
      </c>
      <c r="AF65" s="3">
        <f t="shared" si="46"/>
        <v>0</v>
      </c>
      <c r="AG65" s="3">
        <f t="shared" si="46"/>
        <v>0</v>
      </c>
      <c r="AH65" s="3">
        <f t="shared" si="46"/>
        <v>0</v>
      </c>
      <c r="AI65" s="3">
        <f t="shared" si="46"/>
        <v>0</v>
      </c>
      <c r="AJ65" s="3">
        <f t="shared" ref="AJ65:BM65" si="47">AJ58*-AJ64</f>
        <v>0</v>
      </c>
      <c r="AK65" s="3">
        <f t="shared" si="47"/>
        <v>0</v>
      </c>
      <c r="AL65" s="3">
        <f t="shared" si="47"/>
        <v>0</v>
      </c>
      <c r="AM65" s="3">
        <f t="shared" si="47"/>
        <v>0</v>
      </c>
      <c r="AN65" s="3">
        <f t="shared" si="47"/>
        <v>0</v>
      </c>
      <c r="AO65" s="3">
        <f t="shared" si="47"/>
        <v>0</v>
      </c>
      <c r="AP65" s="3">
        <f t="shared" si="47"/>
        <v>0</v>
      </c>
      <c r="AQ65" s="3">
        <f t="shared" si="47"/>
        <v>0</v>
      </c>
      <c r="AR65" s="3">
        <f t="shared" si="47"/>
        <v>0</v>
      </c>
      <c r="AS65" s="3">
        <f t="shared" si="47"/>
        <v>-1402579.4355745742</v>
      </c>
      <c r="AT65" s="3">
        <f t="shared" si="47"/>
        <v>0</v>
      </c>
      <c r="AU65" s="3">
        <f t="shared" si="47"/>
        <v>0</v>
      </c>
      <c r="AV65" s="3">
        <f t="shared" si="47"/>
        <v>0</v>
      </c>
      <c r="AW65" s="3">
        <f t="shared" si="47"/>
        <v>0</v>
      </c>
      <c r="AX65" s="3">
        <f t="shared" si="47"/>
        <v>-38680.149248896407</v>
      </c>
      <c r="AY65" s="3">
        <f t="shared" si="47"/>
        <v>0</v>
      </c>
      <c r="AZ65" s="3">
        <f t="shared" si="47"/>
        <v>0</v>
      </c>
      <c r="BA65" s="3">
        <f t="shared" si="47"/>
        <v>0</v>
      </c>
      <c r="BB65" s="3">
        <f t="shared" si="47"/>
        <v>0</v>
      </c>
      <c r="BC65" s="3">
        <f t="shared" si="47"/>
        <v>0</v>
      </c>
      <c r="BD65" s="3">
        <f t="shared" si="47"/>
        <v>0</v>
      </c>
      <c r="BE65" s="3">
        <f t="shared" si="47"/>
        <v>0</v>
      </c>
      <c r="BF65" s="3">
        <f t="shared" si="47"/>
        <v>0</v>
      </c>
      <c r="BG65" s="3">
        <f t="shared" si="47"/>
        <v>0</v>
      </c>
      <c r="BH65" s="3">
        <f t="shared" ref="BH65" si="48">BH58*-BH64</f>
        <v>0</v>
      </c>
      <c r="BI65" s="3">
        <f t="shared" si="47"/>
        <v>0</v>
      </c>
      <c r="BJ65" s="3">
        <f t="shared" si="47"/>
        <v>0</v>
      </c>
      <c r="BK65" s="3">
        <f t="shared" si="47"/>
        <v>0</v>
      </c>
      <c r="BL65" s="3">
        <f t="shared" si="47"/>
        <v>0</v>
      </c>
      <c r="BM65" s="3">
        <f t="shared" si="47"/>
        <v>0</v>
      </c>
      <c r="BN65" s="3">
        <f t="shared" ref="BN65:BZ65" si="49">BN58*-BN64</f>
        <v>0</v>
      </c>
      <c r="BO65" s="3">
        <f t="shared" si="49"/>
        <v>0</v>
      </c>
      <c r="BP65" s="3">
        <f t="shared" si="49"/>
        <v>0</v>
      </c>
      <c r="BQ65" s="3">
        <f t="shared" si="49"/>
        <v>0</v>
      </c>
      <c r="BR65" s="3">
        <f t="shared" si="49"/>
        <v>0</v>
      </c>
      <c r="BS65" s="3">
        <f t="shared" si="49"/>
        <v>0</v>
      </c>
      <c r="BT65" s="3">
        <f t="shared" si="49"/>
        <v>-188113.22472110461</v>
      </c>
      <c r="BU65" s="3">
        <f t="shared" si="49"/>
        <v>0</v>
      </c>
      <c r="BV65" s="3">
        <f t="shared" si="49"/>
        <v>0</v>
      </c>
      <c r="BW65" s="3">
        <f t="shared" si="49"/>
        <v>0</v>
      </c>
      <c r="BX65" s="3">
        <f t="shared" si="49"/>
        <v>0</v>
      </c>
      <c r="BY65" s="3">
        <f t="shared" si="49"/>
        <v>0</v>
      </c>
      <c r="BZ65" s="3">
        <f t="shared" si="49"/>
        <v>0</v>
      </c>
    </row>
    <row r="66" spans="1:80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</row>
    <row r="67" spans="1:80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</row>
    <row r="68" spans="1:80" s="41" customFormat="1" ht="15.75" x14ac:dyDescent="0.25">
      <c r="A68" s="50" t="s">
        <v>99</v>
      </c>
      <c r="B68" s="50" t="s">
        <v>144</v>
      </c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0"/>
      <c r="CB68" s="50"/>
    </row>
    <row r="69" spans="1:80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</row>
    <row r="70" spans="1:80" s="19" customFormat="1" x14ac:dyDescent="0.2">
      <c r="B70" s="19" t="s">
        <v>174</v>
      </c>
      <c r="C70" s="13">
        <f>SUM(D70:BZ70)</f>
        <v>37941178.142441496</v>
      </c>
      <c r="D70" s="13">
        <f t="shared" ref="D70:AI70" si="50">D58</f>
        <v>0</v>
      </c>
      <c r="E70" s="13">
        <f t="shared" si="50"/>
        <v>0</v>
      </c>
      <c r="F70" s="13">
        <f t="shared" si="50"/>
        <v>386559.71904</v>
      </c>
      <c r="G70" s="13">
        <f t="shared" si="50"/>
        <v>624847.75207000005</v>
      </c>
      <c r="H70" s="13">
        <f t="shared" si="50"/>
        <v>56318.233630782925</v>
      </c>
      <c r="I70" s="13">
        <f t="shared" si="50"/>
        <v>0</v>
      </c>
      <c r="J70" s="13">
        <f t="shared" si="50"/>
        <v>0</v>
      </c>
      <c r="K70" s="13">
        <f t="shared" si="50"/>
        <v>18453.746900000027</v>
      </c>
      <c r="L70" s="13">
        <f t="shared" si="50"/>
        <v>0</v>
      </c>
      <c r="M70" s="13">
        <f t="shared" si="50"/>
        <v>298250.66889000009</v>
      </c>
      <c r="N70" s="13">
        <f t="shared" si="50"/>
        <v>618270.47066258732</v>
      </c>
      <c r="O70" s="13">
        <f t="shared" si="50"/>
        <v>0</v>
      </c>
      <c r="P70" s="13">
        <f t="shared" si="50"/>
        <v>0</v>
      </c>
      <c r="Q70" s="13">
        <f t="shared" si="50"/>
        <v>0</v>
      </c>
      <c r="R70" s="13">
        <f t="shared" si="50"/>
        <v>0</v>
      </c>
      <c r="S70" s="13">
        <f t="shared" si="50"/>
        <v>0</v>
      </c>
      <c r="T70" s="13">
        <f t="shared" si="50"/>
        <v>0</v>
      </c>
      <c r="U70" s="13">
        <f t="shared" si="50"/>
        <v>0</v>
      </c>
      <c r="V70" s="13">
        <f t="shared" si="50"/>
        <v>0</v>
      </c>
      <c r="W70" s="13">
        <f t="shared" si="50"/>
        <v>0</v>
      </c>
      <c r="X70" s="13">
        <f t="shared" si="50"/>
        <v>0</v>
      </c>
      <c r="Y70" s="13">
        <f t="shared" si="50"/>
        <v>0</v>
      </c>
      <c r="Z70" s="13">
        <f t="shared" si="50"/>
        <v>136899.59603000002</v>
      </c>
      <c r="AA70" s="13">
        <f t="shared" si="50"/>
        <v>934364.31414000038</v>
      </c>
      <c r="AB70" s="13">
        <f t="shared" si="50"/>
        <v>232201.30648767098</v>
      </c>
      <c r="AC70" s="13">
        <f t="shared" si="50"/>
        <v>1412269.0285474798</v>
      </c>
      <c r="AD70" s="13">
        <f t="shared" si="50"/>
        <v>243778.83824000019</v>
      </c>
      <c r="AE70" s="13">
        <f t="shared" si="50"/>
        <v>692633.05332740955</v>
      </c>
      <c r="AF70" s="13">
        <f t="shared" si="50"/>
        <v>413968.81798000028</v>
      </c>
      <c r="AG70" s="13">
        <f t="shared" si="50"/>
        <v>1000605.9873900004</v>
      </c>
      <c r="AH70" s="13">
        <f t="shared" si="50"/>
        <v>0</v>
      </c>
      <c r="AI70" s="13">
        <f t="shared" si="50"/>
        <v>95609.985409999732</v>
      </c>
      <c r="AJ70" s="13">
        <f t="shared" ref="AJ70:BM70" si="51">AJ58</f>
        <v>318090.6378817251</v>
      </c>
      <c r="AK70" s="13">
        <f t="shared" si="51"/>
        <v>0</v>
      </c>
      <c r="AL70" s="13">
        <f t="shared" si="51"/>
        <v>157106.56621999969</v>
      </c>
      <c r="AM70" s="13">
        <f t="shared" si="51"/>
        <v>0</v>
      </c>
      <c r="AN70" s="13">
        <f t="shared" si="51"/>
        <v>2364913.7244326775</v>
      </c>
      <c r="AO70" s="13">
        <f t="shared" si="51"/>
        <v>984019.12978000054</v>
      </c>
      <c r="AP70" s="13">
        <f t="shared" si="51"/>
        <v>967012.75115000037</v>
      </c>
      <c r="AQ70" s="13">
        <f t="shared" si="51"/>
        <v>0</v>
      </c>
      <c r="AR70" s="13">
        <f t="shared" si="51"/>
        <v>452191.37557558855</v>
      </c>
      <c r="AS70" s="13">
        <f t="shared" si="51"/>
        <v>1516737.2526399996</v>
      </c>
      <c r="AT70" s="13">
        <f t="shared" si="51"/>
        <v>0</v>
      </c>
      <c r="AU70" s="13">
        <f t="shared" si="51"/>
        <v>255773.04169999994</v>
      </c>
      <c r="AV70" s="13">
        <f t="shared" si="51"/>
        <v>187837.26692000008</v>
      </c>
      <c r="AW70" s="13">
        <f t="shared" si="51"/>
        <v>0</v>
      </c>
      <c r="AX70" s="13">
        <f t="shared" si="51"/>
        <v>131445.49717281293</v>
      </c>
      <c r="AY70" s="13">
        <f t="shared" si="51"/>
        <v>0</v>
      </c>
      <c r="AZ70" s="13">
        <f t="shared" si="51"/>
        <v>0</v>
      </c>
      <c r="BA70" s="13">
        <f t="shared" si="51"/>
        <v>0</v>
      </c>
      <c r="BB70" s="13">
        <f t="shared" si="51"/>
        <v>1486283.2445214689</v>
      </c>
      <c r="BC70" s="13">
        <f t="shared" si="51"/>
        <v>2266858.3464997853</v>
      </c>
      <c r="BD70" s="13">
        <f t="shared" si="51"/>
        <v>2328040.1761499997</v>
      </c>
      <c r="BE70" s="13">
        <f t="shared" si="51"/>
        <v>1405600.1476099999</v>
      </c>
      <c r="BF70" s="13">
        <f t="shared" si="51"/>
        <v>1139025.5012300014</v>
      </c>
      <c r="BG70" s="13">
        <f t="shared" si="51"/>
        <v>0</v>
      </c>
      <c r="BH70" s="13">
        <f t="shared" ref="BH70" si="52">BH58</f>
        <v>5006842.959448792</v>
      </c>
      <c r="BI70" s="13">
        <f t="shared" si="51"/>
        <v>584042.36615000013</v>
      </c>
      <c r="BJ70" s="13">
        <f t="shared" si="51"/>
        <v>620536.55492993398</v>
      </c>
      <c r="BK70" s="13">
        <f t="shared" si="51"/>
        <v>1908878.4184099995</v>
      </c>
      <c r="BL70" s="13">
        <f t="shared" si="51"/>
        <v>2108838.8244249923</v>
      </c>
      <c r="BM70" s="13">
        <f t="shared" si="51"/>
        <v>0</v>
      </c>
      <c r="BN70" s="13">
        <f t="shared" ref="BN70:BZ70" si="53">BN58</f>
        <v>0</v>
      </c>
      <c r="BO70" s="13">
        <f t="shared" si="53"/>
        <v>0</v>
      </c>
      <c r="BP70" s="13">
        <f t="shared" si="53"/>
        <v>0</v>
      </c>
      <c r="BQ70" s="13">
        <f t="shared" si="53"/>
        <v>840102.89197000023</v>
      </c>
      <c r="BR70" s="13">
        <f t="shared" si="53"/>
        <v>0</v>
      </c>
      <c r="BS70" s="13">
        <f t="shared" si="53"/>
        <v>0</v>
      </c>
      <c r="BT70" s="13">
        <f t="shared" si="53"/>
        <v>690952.51730602141</v>
      </c>
      <c r="BU70" s="13">
        <f t="shared" si="53"/>
        <v>549543.15429999994</v>
      </c>
      <c r="BV70" s="13">
        <f t="shared" si="53"/>
        <v>562794.66746159224</v>
      </c>
      <c r="BW70" s="13">
        <f t="shared" si="53"/>
        <v>0</v>
      </c>
      <c r="BX70" s="13">
        <f t="shared" si="53"/>
        <v>100973.37135000003</v>
      </c>
      <c r="BY70" s="13">
        <f t="shared" si="53"/>
        <v>1841706.2384601729</v>
      </c>
      <c r="BZ70" s="13">
        <f t="shared" si="53"/>
        <v>0</v>
      </c>
    </row>
    <row r="71" spans="1:80" s="19" customFormat="1" x14ac:dyDescent="0.2">
      <c r="C71" s="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</row>
    <row r="72" spans="1:80" x14ac:dyDescent="0.2">
      <c r="B72" t="s">
        <v>139</v>
      </c>
      <c r="C72" s="3">
        <f>SUM(D72:BZ72)</f>
        <v>-2388643.6717576403</v>
      </c>
      <c r="D72" s="3">
        <f t="shared" ref="D72:AI72" si="54">D65</f>
        <v>0</v>
      </c>
      <c r="E72" s="3">
        <f t="shared" si="54"/>
        <v>0</v>
      </c>
      <c r="F72" s="3">
        <f t="shared" si="54"/>
        <v>0</v>
      </c>
      <c r="G72" s="3">
        <f t="shared" si="54"/>
        <v>0</v>
      </c>
      <c r="H72" s="3">
        <f t="shared" si="54"/>
        <v>-56318.233630782925</v>
      </c>
      <c r="I72" s="3">
        <f t="shared" si="54"/>
        <v>0</v>
      </c>
      <c r="J72" s="3">
        <f t="shared" si="54"/>
        <v>0</v>
      </c>
      <c r="K72" s="3">
        <f t="shared" si="54"/>
        <v>-10319.575254872399</v>
      </c>
      <c r="L72" s="3">
        <f t="shared" si="54"/>
        <v>0</v>
      </c>
      <c r="M72" s="3">
        <f t="shared" si="54"/>
        <v>0</v>
      </c>
      <c r="N72" s="3">
        <f t="shared" si="54"/>
        <v>0</v>
      </c>
      <c r="O72" s="3">
        <f t="shared" si="54"/>
        <v>0</v>
      </c>
      <c r="P72" s="3">
        <f t="shared" si="54"/>
        <v>0</v>
      </c>
      <c r="Q72" s="3">
        <f t="shared" si="54"/>
        <v>0</v>
      </c>
      <c r="R72" s="3">
        <f t="shared" si="54"/>
        <v>0</v>
      </c>
      <c r="S72" s="3">
        <f t="shared" si="54"/>
        <v>0</v>
      </c>
      <c r="T72" s="3">
        <f t="shared" si="54"/>
        <v>0</v>
      </c>
      <c r="U72" s="3">
        <f t="shared" si="54"/>
        <v>0</v>
      </c>
      <c r="V72" s="3">
        <f t="shared" si="54"/>
        <v>0</v>
      </c>
      <c r="W72" s="3">
        <f t="shared" si="54"/>
        <v>0</v>
      </c>
      <c r="X72" s="3">
        <f t="shared" si="54"/>
        <v>0</v>
      </c>
      <c r="Y72" s="3">
        <f t="shared" si="54"/>
        <v>0</v>
      </c>
      <c r="Z72" s="3">
        <f t="shared" si="54"/>
        <v>0</v>
      </c>
      <c r="AA72" s="3">
        <f t="shared" si="54"/>
        <v>0</v>
      </c>
      <c r="AB72" s="3">
        <f t="shared" si="54"/>
        <v>0</v>
      </c>
      <c r="AC72" s="3">
        <f t="shared" si="54"/>
        <v>0</v>
      </c>
      <c r="AD72" s="3">
        <f t="shared" si="54"/>
        <v>0</v>
      </c>
      <c r="AE72" s="3">
        <f t="shared" si="54"/>
        <v>-692633.05332740955</v>
      </c>
      <c r="AF72" s="3">
        <f t="shared" si="54"/>
        <v>0</v>
      </c>
      <c r="AG72" s="3">
        <f t="shared" si="54"/>
        <v>0</v>
      </c>
      <c r="AH72" s="3">
        <f t="shared" si="54"/>
        <v>0</v>
      </c>
      <c r="AI72" s="3">
        <f t="shared" si="54"/>
        <v>0</v>
      </c>
      <c r="AJ72" s="3">
        <f t="shared" ref="AJ72:BM72" si="55">AJ65</f>
        <v>0</v>
      </c>
      <c r="AK72" s="3">
        <f t="shared" si="55"/>
        <v>0</v>
      </c>
      <c r="AL72" s="3">
        <f t="shared" si="55"/>
        <v>0</v>
      </c>
      <c r="AM72" s="3">
        <f t="shared" si="55"/>
        <v>0</v>
      </c>
      <c r="AN72" s="3">
        <f t="shared" si="55"/>
        <v>0</v>
      </c>
      <c r="AO72" s="3">
        <f t="shared" si="55"/>
        <v>0</v>
      </c>
      <c r="AP72" s="3">
        <f t="shared" si="55"/>
        <v>0</v>
      </c>
      <c r="AQ72" s="3">
        <f t="shared" si="55"/>
        <v>0</v>
      </c>
      <c r="AR72" s="3">
        <f t="shared" si="55"/>
        <v>0</v>
      </c>
      <c r="AS72" s="3">
        <f t="shared" si="55"/>
        <v>-1402579.4355745742</v>
      </c>
      <c r="AT72" s="3">
        <f t="shared" si="55"/>
        <v>0</v>
      </c>
      <c r="AU72" s="3">
        <f t="shared" si="55"/>
        <v>0</v>
      </c>
      <c r="AV72" s="3">
        <f t="shared" si="55"/>
        <v>0</v>
      </c>
      <c r="AW72" s="3">
        <f t="shared" si="55"/>
        <v>0</v>
      </c>
      <c r="AX72" s="3">
        <f t="shared" si="55"/>
        <v>-38680.149248896407</v>
      </c>
      <c r="AY72" s="3">
        <f t="shared" si="55"/>
        <v>0</v>
      </c>
      <c r="AZ72" s="3">
        <f t="shared" si="55"/>
        <v>0</v>
      </c>
      <c r="BA72" s="3">
        <f t="shared" si="55"/>
        <v>0</v>
      </c>
      <c r="BB72" s="3">
        <f t="shared" si="55"/>
        <v>0</v>
      </c>
      <c r="BC72" s="3">
        <f t="shared" si="55"/>
        <v>0</v>
      </c>
      <c r="BD72" s="3">
        <f t="shared" si="55"/>
        <v>0</v>
      </c>
      <c r="BE72" s="3">
        <f t="shared" si="55"/>
        <v>0</v>
      </c>
      <c r="BF72" s="3">
        <f t="shared" si="55"/>
        <v>0</v>
      </c>
      <c r="BG72" s="3">
        <f t="shared" si="55"/>
        <v>0</v>
      </c>
      <c r="BH72" s="3">
        <f t="shared" ref="BH72" si="56">BH65</f>
        <v>0</v>
      </c>
      <c r="BI72" s="3">
        <f t="shared" si="55"/>
        <v>0</v>
      </c>
      <c r="BJ72" s="3">
        <f t="shared" si="55"/>
        <v>0</v>
      </c>
      <c r="BK72" s="3">
        <f t="shared" si="55"/>
        <v>0</v>
      </c>
      <c r="BL72" s="3">
        <f t="shared" si="55"/>
        <v>0</v>
      </c>
      <c r="BM72" s="3">
        <f t="shared" si="55"/>
        <v>0</v>
      </c>
      <c r="BN72" s="3">
        <f t="shared" ref="BN72:BZ72" si="57">BN65</f>
        <v>0</v>
      </c>
      <c r="BO72" s="3">
        <f t="shared" si="57"/>
        <v>0</v>
      </c>
      <c r="BP72" s="3">
        <f t="shared" si="57"/>
        <v>0</v>
      </c>
      <c r="BQ72" s="3">
        <f t="shared" si="57"/>
        <v>0</v>
      </c>
      <c r="BR72" s="3">
        <f t="shared" si="57"/>
        <v>0</v>
      </c>
      <c r="BS72" s="3">
        <f t="shared" si="57"/>
        <v>0</v>
      </c>
      <c r="BT72" s="3">
        <f t="shared" si="57"/>
        <v>-188113.22472110461</v>
      </c>
      <c r="BU72" s="3">
        <f t="shared" si="57"/>
        <v>0</v>
      </c>
      <c r="BV72" s="3">
        <f t="shared" si="57"/>
        <v>0</v>
      </c>
      <c r="BW72" s="3">
        <f t="shared" si="57"/>
        <v>0</v>
      </c>
      <c r="BX72" s="3">
        <f t="shared" si="57"/>
        <v>0</v>
      </c>
      <c r="BY72" s="3">
        <f t="shared" si="57"/>
        <v>0</v>
      </c>
      <c r="BZ72" s="3">
        <f t="shared" si="57"/>
        <v>0</v>
      </c>
    </row>
    <row r="73" spans="1:80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</row>
    <row r="74" spans="1:80" s="19" customFormat="1" x14ac:dyDescent="0.2">
      <c r="B74" s="112" t="s">
        <v>178</v>
      </c>
      <c r="C74" s="113">
        <f>SUM(D74:BZ74)</f>
        <v>35552500</v>
      </c>
      <c r="D74" s="113">
        <f>ROUND(D70+D72,-2)</f>
        <v>0</v>
      </c>
      <c r="E74" s="113">
        <f t="shared" ref="E74:BN74" si="58">ROUND(E70+E72,-2)</f>
        <v>0</v>
      </c>
      <c r="F74" s="113">
        <f t="shared" si="58"/>
        <v>386600</v>
      </c>
      <c r="G74" s="113">
        <f t="shared" si="58"/>
        <v>624800</v>
      </c>
      <c r="H74" s="113">
        <f t="shared" si="58"/>
        <v>0</v>
      </c>
      <c r="I74" s="113">
        <f t="shared" si="58"/>
        <v>0</v>
      </c>
      <c r="J74" s="113">
        <f t="shared" si="58"/>
        <v>0</v>
      </c>
      <c r="K74" s="113">
        <f t="shared" si="58"/>
        <v>8100</v>
      </c>
      <c r="L74" s="113">
        <f t="shared" si="58"/>
        <v>0</v>
      </c>
      <c r="M74" s="113">
        <f t="shared" si="58"/>
        <v>298300</v>
      </c>
      <c r="N74" s="113">
        <f t="shared" si="58"/>
        <v>618300</v>
      </c>
      <c r="O74" s="113">
        <f t="shared" si="58"/>
        <v>0</v>
      </c>
      <c r="P74" s="113">
        <f t="shared" si="58"/>
        <v>0</v>
      </c>
      <c r="Q74" s="113">
        <f t="shared" si="58"/>
        <v>0</v>
      </c>
      <c r="R74" s="113">
        <f t="shared" si="58"/>
        <v>0</v>
      </c>
      <c r="S74" s="113">
        <f t="shared" si="58"/>
        <v>0</v>
      </c>
      <c r="T74" s="113">
        <f t="shared" si="58"/>
        <v>0</v>
      </c>
      <c r="U74" s="113">
        <f t="shared" si="58"/>
        <v>0</v>
      </c>
      <c r="V74" s="113">
        <f t="shared" si="58"/>
        <v>0</v>
      </c>
      <c r="W74" s="113">
        <f t="shared" si="58"/>
        <v>0</v>
      </c>
      <c r="X74" s="113">
        <f t="shared" si="58"/>
        <v>0</v>
      </c>
      <c r="Y74" s="113">
        <f t="shared" si="58"/>
        <v>0</v>
      </c>
      <c r="Z74" s="113">
        <f t="shared" si="58"/>
        <v>136900</v>
      </c>
      <c r="AA74" s="113">
        <f t="shared" si="58"/>
        <v>934400</v>
      </c>
      <c r="AB74" s="113">
        <f t="shared" si="58"/>
        <v>232200</v>
      </c>
      <c r="AC74" s="113">
        <f t="shared" si="58"/>
        <v>1412300</v>
      </c>
      <c r="AD74" s="113">
        <f t="shared" si="58"/>
        <v>243800</v>
      </c>
      <c r="AE74" s="113">
        <f t="shared" si="58"/>
        <v>0</v>
      </c>
      <c r="AF74" s="113">
        <f t="shared" si="58"/>
        <v>414000</v>
      </c>
      <c r="AG74" s="113">
        <f t="shared" si="58"/>
        <v>1000600</v>
      </c>
      <c r="AH74" s="113">
        <f t="shared" si="58"/>
        <v>0</v>
      </c>
      <c r="AI74" s="113">
        <f t="shared" si="58"/>
        <v>95600</v>
      </c>
      <c r="AJ74" s="113">
        <f t="shared" si="58"/>
        <v>318100</v>
      </c>
      <c r="AK74" s="113">
        <f t="shared" si="58"/>
        <v>0</v>
      </c>
      <c r="AL74" s="113">
        <f t="shared" si="58"/>
        <v>157100</v>
      </c>
      <c r="AM74" s="113">
        <f t="shared" si="58"/>
        <v>0</v>
      </c>
      <c r="AN74" s="113">
        <f t="shared" si="58"/>
        <v>2364900</v>
      </c>
      <c r="AO74" s="113">
        <f t="shared" si="58"/>
        <v>984000</v>
      </c>
      <c r="AP74" s="113">
        <f t="shared" si="58"/>
        <v>967000</v>
      </c>
      <c r="AQ74" s="113">
        <f t="shared" si="58"/>
        <v>0</v>
      </c>
      <c r="AR74" s="113">
        <f t="shared" si="58"/>
        <v>452200</v>
      </c>
      <c r="AS74" s="113">
        <f t="shared" si="58"/>
        <v>114200</v>
      </c>
      <c r="AT74" s="113">
        <f t="shared" si="58"/>
        <v>0</v>
      </c>
      <c r="AU74" s="113">
        <f t="shared" si="58"/>
        <v>255800</v>
      </c>
      <c r="AV74" s="113">
        <f t="shared" si="58"/>
        <v>187800</v>
      </c>
      <c r="AW74" s="113">
        <f t="shared" si="58"/>
        <v>0</v>
      </c>
      <c r="AX74" s="113">
        <f t="shared" si="58"/>
        <v>92800</v>
      </c>
      <c r="AY74" s="113">
        <f t="shared" si="58"/>
        <v>0</v>
      </c>
      <c r="AZ74" s="113">
        <f t="shared" si="58"/>
        <v>0</v>
      </c>
      <c r="BA74" s="113">
        <f t="shared" si="58"/>
        <v>0</v>
      </c>
      <c r="BB74" s="113">
        <f t="shared" si="58"/>
        <v>1486300</v>
      </c>
      <c r="BC74" s="113">
        <f t="shared" si="58"/>
        <v>2266900</v>
      </c>
      <c r="BD74" s="113">
        <f t="shared" si="58"/>
        <v>2328000</v>
      </c>
      <c r="BE74" s="113">
        <f t="shared" si="58"/>
        <v>1405600</v>
      </c>
      <c r="BF74" s="113">
        <f t="shared" si="58"/>
        <v>1139000</v>
      </c>
      <c r="BG74" s="113">
        <f t="shared" si="58"/>
        <v>0</v>
      </c>
      <c r="BH74" s="113">
        <f t="shared" ref="BH74" si="59">ROUND(BH70+BH72,-2)</f>
        <v>5006800</v>
      </c>
      <c r="BI74" s="113">
        <f t="shared" si="58"/>
        <v>584000</v>
      </c>
      <c r="BJ74" s="113">
        <f t="shared" si="58"/>
        <v>620500</v>
      </c>
      <c r="BK74" s="113">
        <f t="shared" si="58"/>
        <v>1908900</v>
      </c>
      <c r="BL74" s="113">
        <f t="shared" si="58"/>
        <v>2108800</v>
      </c>
      <c r="BM74" s="113">
        <f t="shared" si="58"/>
        <v>0</v>
      </c>
      <c r="BN74" s="113">
        <f t="shared" si="58"/>
        <v>0</v>
      </c>
      <c r="BO74" s="113">
        <f t="shared" ref="BO74:BZ74" si="60">ROUND(BO70+BO72,-2)</f>
        <v>0</v>
      </c>
      <c r="BP74" s="113">
        <f t="shared" si="60"/>
        <v>0</v>
      </c>
      <c r="BQ74" s="113">
        <f t="shared" si="60"/>
        <v>840100</v>
      </c>
      <c r="BR74" s="113">
        <f t="shared" si="60"/>
        <v>0</v>
      </c>
      <c r="BS74" s="113">
        <f t="shared" si="60"/>
        <v>0</v>
      </c>
      <c r="BT74" s="113">
        <f t="shared" si="60"/>
        <v>502800</v>
      </c>
      <c r="BU74" s="113">
        <f t="shared" si="60"/>
        <v>549500</v>
      </c>
      <c r="BV74" s="113">
        <f t="shared" si="60"/>
        <v>562800</v>
      </c>
      <c r="BW74" s="113">
        <f t="shared" si="60"/>
        <v>0</v>
      </c>
      <c r="BX74" s="113">
        <f t="shared" si="60"/>
        <v>101000</v>
      </c>
      <c r="BY74" s="113">
        <f t="shared" si="60"/>
        <v>1841700</v>
      </c>
      <c r="BZ74" s="113">
        <f t="shared" si="60"/>
        <v>0</v>
      </c>
    </row>
    <row r="75" spans="1:80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</row>
    <row r="76" spans="1:80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</row>
    <row r="77" spans="1:80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</row>
    <row r="78" spans="1:80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</row>
    <row r="79" spans="1:80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</row>
    <row r="80" spans="1:80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</row>
    <row r="81" spans="3:78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</row>
    <row r="82" spans="3:78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</row>
    <row r="83" spans="3:78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</row>
    <row r="84" spans="3:78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</row>
    <row r="85" spans="3:78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</row>
    <row r="86" spans="3:78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</row>
    <row r="87" spans="3:78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</row>
    <row r="88" spans="3:78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</row>
    <row r="89" spans="3:78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</row>
    <row r="90" spans="3:78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</row>
    <row r="91" spans="3:78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</row>
    <row r="92" spans="3:78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</row>
    <row r="93" spans="3:78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</row>
    <row r="94" spans="3:78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</row>
    <row r="95" spans="3:78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</row>
    <row r="96" spans="3:78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</row>
    <row r="97" spans="3:78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</row>
    <row r="98" spans="3:78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</row>
    <row r="99" spans="3:78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</row>
    <row r="100" spans="3:78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</row>
    <row r="101" spans="3:78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</row>
    <row r="102" spans="3:78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</sheetData>
  <pageMargins left="0.7" right="0.7" top="0.78740157499999996" bottom="0.78740157499999996" header="0.3" footer="0.3"/>
  <pageSetup paperSize="9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83"/>
  <sheetViews>
    <sheetView zoomScale="90" zoomScaleNormal="90" workbookViewId="0">
      <pane xSplit="3" ySplit="9" topLeftCell="T10" activePane="bottomRight" state="frozen"/>
      <selection activeCell="D15" sqref="D15"/>
      <selection pane="topRight" activeCell="D15" sqref="D15"/>
      <selection pane="bottomLeft" activeCell="D15" sqref="D15"/>
      <selection pane="bottomRight" activeCell="D15" sqref="D15"/>
    </sheetView>
  </sheetViews>
  <sheetFormatPr baseColWidth="10" defaultRowHeight="12.75" x14ac:dyDescent="0.2"/>
  <cols>
    <col min="1" max="1" width="4" customWidth="1"/>
    <col min="2" max="2" width="61" bestFit="1" customWidth="1"/>
    <col min="3" max="78" width="21" customWidth="1"/>
    <col min="79" max="79" width="2.140625" customWidth="1"/>
    <col min="80" max="80" width="20.7109375" bestFit="1" customWidth="1"/>
  </cols>
  <sheetData>
    <row r="1" spans="1:80" x14ac:dyDescent="0.2">
      <c r="A1" s="19" t="s">
        <v>193</v>
      </c>
    </row>
    <row r="2" spans="1:80" x14ac:dyDescent="0.2">
      <c r="A2" t="s">
        <v>194</v>
      </c>
    </row>
    <row r="5" spans="1:80" ht="26.25" x14ac:dyDescent="0.4">
      <c r="A5" s="16" t="s">
        <v>364</v>
      </c>
      <c r="D5" s="148" t="s">
        <v>463</v>
      </c>
      <c r="E5" s="147"/>
      <c r="F5" s="147"/>
    </row>
    <row r="6" spans="1:80" x14ac:dyDescent="0.2"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</row>
    <row r="7" spans="1:80" x14ac:dyDescent="0.2">
      <c r="B7" s="18" t="s">
        <v>105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</row>
    <row r="8" spans="1:80" s="19" customFormat="1" x14ac:dyDescent="0.2">
      <c r="C8" s="19" t="s">
        <v>79</v>
      </c>
      <c r="D8" s="19" t="s">
        <v>5</v>
      </c>
      <c r="E8" s="19" t="s">
        <v>6</v>
      </c>
      <c r="F8" s="19" t="s">
        <v>7</v>
      </c>
      <c r="G8" s="19" t="s">
        <v>8</v>
      </c>
      <c r="H8" s="19" t="s">
        <v>9</v>
      </c>
      <c r="I8" s="19" t="s">
        <v>10</v>
      </c>
      <c r="J8" s="19" t="s">
        <v>11</v>
      </c>
      <c r="K8" s="19" t="s">
        <v>12</v>
      </c>
      <c r="L8" s="19" t="s">
        <v>13</v>
      </c>
      <c r="M8" s="19" t="s">
        <v>14</v>
      </c>
      <c r="N8" s="19" t="s">
        <v>15</v>
      </c>
      <c r="O8" s="19" t="s">
        <v>16</v>
      </c>
      <c r="P8" s="19" t="s">
        <v>17</v>
      </c>
      <c r="Q8" s="19" t="s">
        <v>18</v>
      </c>
      <c r="R8" s="19" t="s">
        <v>19</v>
      </c>
      <c r="S8" s="19" t="s">
        <v>20</v>
      </c>
      <c r="T8" s="19" t="s">
        <v>21</v>
      </c>
      <c r="U8" s="19" t="s">
        <v>22</v>
      </c>
      <c r="V8" s="19" t="s">
        <v>23</v>
      </c>
      <c r="W8" s="19" t="s">
        <v>24</v>
      </c>
      <c r="X8" s="19" t="s">
        <v>25</v>
      </c>
      <c r="Y8" s="19" t="s">
        <v>26</v>
      </c>
      <c r="Z8" s="19" t="s">
        <v>27</v>
      </c>
      <c r="AA8" s="19" t="s">
        <v>28</v>
      </c>
      <c r="AB8" s="19" t="s">
        <v>29</v>
      </c>
      <c r="AC8" s="19" t="s">
        <v>30</v>
      </c>
      <c r="AD8" s="19" t="s">
        <v>31</v>
      </c>
      <c r="AE8" s="19" t="s">
        <v>32</v>
      </c>
      <c r="AF8" s="19" t="s">
        <v>33</v>
      </c>
      <c r="AG8" s="19" t="s">
        <v>34</v>
      </c>
      <c r="AH8" s="19" t="s">
        <v>35</v>
      </c>
      <c r="AI8" s="19" t="s">
        <v>36</v>
      </c>
      <c r="AJ8" s="19" t="s">
        <v>37</v>
      </c>
      <c r="AK8" s="19" t="s">
        <v>38</v>
      </c>
      <c r="AL8" s="19" t="s">
        <v>39</v>
      </c>
      <c r="AM8" s="19" t="s">
        <v>40</v>
      </c>
      <c r="AN8" s="19" t="s">
        <v>41</v>
      </c>
      <c r="AO8" s="19" t="s">
        <v>42</v>
      </c>
      <c r="AP8" s="19" t="s">
        <v>43</v>
      </c>
      <c r="AQ8" s="19" t="s">
        <v>44</v>
      </c>
      <c r="AR8" s="19" t="s">
        <v>45</v>
      </c>
      <c r="AS8" s="19" t="s">
        <v>46</v>
      </c>
      <c r="AT8" s="19" t="s">
        <v>47</v>
      </c>
      <c r="AU8" s="19" t="s">
        <v>48</v>
      </c>
      <c r="AV8" s="19" t="s">
        <v>49</v>
      </c>
      <c r="AW8" s="19" t="s">
        <v>50</v>
      </c>
      <c r="AX8" s="19" t="s">
        <v>51</v>
      </c>
      <c r="AY8" s="19" t="s">
        <v>52</v>
      </c>
      <c r="AZ8" s="19" t="s">
        <v>53</v>
      </c>
      <c r="BA8" s="19" t="s">
        <v>54</v>
      </c>
      <c r="BB8" s="19" t="s">
        <v>55</v>
      </c>
      <c r="BC8" s="19" t="s">
        <v>56</v>
      </c>
      <c r="BD8" s="19" t="s">
        <v>57</v>
      </c>
      <c r="BE8" s="19" t="s">
        <v>58</v>
      </c>
      <c r="BF8" s="19" t="s">
        <v>59</v>
      </c>
      <c r="BG8" s="19" t="s">
        <v>60</v>
      </c>
      <c r="BH8" s="19" t="s">
        <v>356</v>
      </c>
      <c r="BI8" s="19" t="s">
        <v>61</v>
      </c>
      <c r="BJ8" s="19" t="s">
        <v>62</v>
      </c>
      <c r="BK8" s="19" t="s">
        <v>63</v>
      </c>
      <c r="BL8" s="19" t="s">
        <v>64</v>
      </c>
      <c r="BM8" s="19" t="s">
        <v>65</v>
      </c>
      <c r="BN8" s="19" t="s">
        <v>66</v>
      </c>
      <c r="BO8" s="19" t="s">
        <v>67</v>
      </c>
      <c r="BP8" s="19" t="s">
        <v>68</v>
      </c>
      <c r="BQ8" s="19" t="s">
        <v>69</v>
      </c>
      <c r="BR8" s="19" t="s">
        <v>70</v>
      </c>
      <c r="BS8" s="19" t="s">
        <v>71</v>
      </c>
      <c r="BT8" s="19" t="s">
        <v>72</v>
      </c>
      <c r="BU8" s="19" t="s">
        <v>73</v>
      </c>
      <c r="BV8" s="19" t="s">
        <v>74</v>
      </c>
      <c r="BW8" s="19" t="s">
        <v>75</v>
      </c>
      <c r="BX8" s="19" t="s">
        <v>76</v>
      </c>
      <c r="BY8" s="19" t="s">
        <v>77</v>
      </c>
      <c r="BZ8" s="19" t="s">
        <v>78</v>
      </c>
      <c r="CB8" s="19" t="s">
        <v>106</v>
      </c>
    </row>
    <row r="10" spans="1:80" s="40" customFormat="1" ht="15.75" x14ac:dyDescent="0.25">
      <c r="A10" s="20" t="s">
        <v>97</v>
      </c>
      <c r="B10" s="21" t="s">
        <v>117</v>
      </c>
      <c r="C10" s="2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</row>
    <row r="11" spans="1:80" x14ac:dyDescent="0.2">
      <c r="B11" s="22"/>
      <c r="C11" s="22"/>
    </row>
    <row r="12" spans="1:80" x14ac:dyDescent="0.2">
      <c r="B12" s="26" t="str">
        <f>'Ressourcenausgleich Basis'!B124</f>
        <v>Einwohnerzahl per 31.12.</v>
      </c>
      <c r="C12" s="42">
        <f>'Ressourcenausgleich Basis'!C124</f>
        <v>535114</v>
      </c>
      <c r="D12" s="42">
        <f>'Ressourcenausgleich Basis'!D124</f>
        <v>78213</v>
      </c>
      <c r="E12" s="42">
        <f>'Ressourcenausgleich Basis'!E124</f>
        <v>10026</v>
      </c>
      <c r="F12" s="42">
        <f>'Ressourcenausgleich Basis'!F124</f>
        <v>1431</v>
      </c>
      <c r="G12" s="42">
        <f>'Ressourcenausgleich Basis'!G124</f>
        <v>1257</v>
      </c>
      <c r="H12" s="42">
        <f>'Ressourcenausgleich Basis'!H124</f>
        <v>3662</v>
      </c>
      <c r="I12" s="42">
        <f>'Ressourcenausgleich Basis'!I124</f>
        <v>9709</v>
      </c>
      <c r="J12" s="42">
        <f>'Ressourcenausgleich Basis'!J124</f>
        <v>3580</v>
      </c>
      <c r="K12" s="42">
        <f>'Ressourcenausgleich Basis'!K124</f>
        <v>1012</v>
      </c>
      <c r="L12" s="42">
        <f>'Ressourcenausgleich Basis'!L124</f>
        <v>1594</v>
      </c>
      <c r="M12" s="42">
        <f>'Ressourcenausgleich Basis'!M124</f>
        <v>1027</v>
      </c>
      <c r="N12" s="42">
        <f>'Ressourcenausgleich Basis'!N124</f>
        <v>2475</v>
      </c>
      <c r="O12" s="42">
        <f>'Ressourcenausgleich Basis'!O124</f>
        <v>7685</v>
      </c>
      <c r="P12" s="42">
        <f>'Ressourcenausgleich Basis'!P124</f>
        <v>9955</v>
      </c>
      <c r="Q12" s="42">
        <f>'Ressourcenausgleich Basis'!Q124</f>
        <v>7097</v>
      </c>
      <c r="R12" s="42">
        <f>'Ressourcenausgleich Basis'!R124</f>
        <v>3516</v>
      </c>
      <c r="S12" s="42">
        <f>'Ressourcenausgleich Basis'!S124</f>
        <v>6558</v>
      </c>
      <c r="T12" s="42">
        <f>'Ressourcenausgleich Basis'!T124</f>
        <v>8481</v>
      </c>
      <c r="U12" s="42">
        <f>'Ressourcenausgleich Basis'!U124</f>
        <v>3989</v>
      </c>
      <c r="V12" s="42">
        <f>'Ressourcenausgleich Basis'!V124</f>
        <v>5139</v>
      </c>
      <c r="W12" s="42">
        <f>'Ressourcenausgleich Basis'!W124</f>
        <v>6928</v>
      </c>
      <c r="X12" s="42">
        <f>'Ressourcenausgleich Basis'!X124</f>
        <v>10337</v>
      </c>
      <c r="Y12" s="42">
        <f>'Ressourcenausgleich Basis'!Y124</f>
        <v>5051</v>
      </c>
      <c r="Z12" s="42">
        <f>'Ressourcenausgleich Basis'!Z124</f>
        <v>2118</v>
      </c>
      <c r="AA12" s="42">
        <f>'Ressourcenausgleich Basis'!AA124</f>
        <v>12456</v>
      </c>
      <c r="AB12" s="42">
        <f>'Ressourcenausgleich Basis'!AB124</f>
        <v>1571</v>
      </c>
      <c r="AC12" s="42">
        <f>'Ressourcenausgleich Basis'!AC124</f>
        <v>9291</v>
      </c>
      <c r="AD12" s="42">
        <f>'Ressourcenausgleich Basis'!AD124</f>
        <v>2542</v>
      </c>
      <c r="AE12" s="42">
        <f>'Ressourcenausgleich Basis'!AE124</f>
        <v>6269</v>
      </c>
      <c r="AF12" s="42">
        <f>'Ressourcenausgleich Basis'!AF124</f>
        <v>3711</v>
      </c>
      <c r="AG12" s="42">
        <f>'Ressourcenausgleich Basis'!AG124</f>
        <v>7402</v>
      </c>
      <c r="AH12" s="42">
        <f>'Ressourcenausgleich Basis'!AH124</f>
        <v>13931</v>
      </c>
      <c r="AI12" s="42">
        <f>'Ressourcenausgleich Basis'!AI124</f>
        <v>5392</v>
      </c>
      <c r="AJ12" s="42">
        <f>'Ressourcenausgleich Basis'!AJ124</f>
        <v>5496</v>
      </c>
      <c r="AK12" s="42">
        <f>'Ressourcenausgleich Basis'!AK124</f>
        <v>6522</v>
      </c>
      <c r="AL12" s="42">
        <f>'Ressourcenausgleich Basis'!AL124</f>
        <v>5057</v>
      </c>
      <c r="AM12" s="42">
        <f>'Ressourcenausgleich Basis'!AM124</f>
        <v>6835</v>
      </c>
      <c r="AN12" s="42">
        <f>'Ressourcenausgleich Basis'!AN124</f>
        <v>1601</v>
      </c>
      <c r="AO12" s="42">
        <f>'Ressourcenausgleich Basis'!AO124</f>
        <v>9538</v>
      </c>
      <c r="AP12" s="42">
        <f>'Ressourcenausgleich Basis'!AP124</f>
        <v>5347</v>
      </c>
      <c r="AQ12" s="42">
        <f>'Ressourcenausgleich Basis'!AQ124</f>
        <v>5852</v>
      </c>
      <c r="AR12" s="42">
        <f>'Ressourcenausgleich Basis'!AR124</f>
        <v>3085</v>
      </c>
      <c r="AS12" s="42">
        <f>'Ressourcenausgleich Basis'!AS124</f>
        <v>1906</v>
      </c>
      <c r="AT12" s="42">
        <f>'Ressourcenausgleich Basis'!AT124</f>
        <v>1871</v>
      </c>
      <c r="AU12" s="42">
        <f>'Ressourcenausgleich Basis'!AU124</f>
        <v>4154</v>
      </c>
      <c r="AV12" s="42">
        <f>'Ressourcenausgleich Basis'!AV124</f>
        <v>3035</v>
      </c>
      <c r="AW12" s="42">
        <f>'Ressourcenausgleich Basis'!AW124</f>
        <v>5084</v>
      </c>
      <c r="AX12" s="42">
        <f>'Ressourcenausgleich Basis'!AX124</f>
        <v>5657</v>
      </c>
      <c r="AY12" s="42">
        <f>'Ressourcenausgleich Basis'!AY124</f>
        <v>7014</v>
      </c>
      <c r="AZ12" s="42">
        <f>'Ressourcenausgleich Basis'!AZ124</f>
        <v>4162</v>
      </c>
      <c r="BA12" s="42">
        <f>'Ressourcenausgleich Basis'!BA124</f>
        <v>28640</v>
      </c>
      <c r="BB12" s="42">
        <f>'Ressourcenausgleich Basis'!BB124</f>
        <v>10169</v>
      </c>
      <c r="BC12" s="42">
        <f>'Ressourcenausgleich Basis'!BC124</f>
        <v>2618</v>
      </c>
      <c r="BD12" s="42">
        <f>'Ressourcenausgleich Basis'!BD124</f>
        <v>3833</v>
      </c>
      <c r="BE12" s="42">
        <f>'Ressourcenausgleich Basis'!BE124</f>
        <v>5092</v>
      </c>
      <c r="BF12" s="42">
        <f>'Ressourcenausgleich Basis'!BF124</f>
        <v>9161</v>
      </c>
      <c r="BG12" s="42">
        <f>'Ressourcenausgleich Basis'!BG124</f>
        <v>2079</v>
      </c>
      <c r="BH12" s="42">
        <f>'Ressourcenausgleich Basis'!BH124</f>
        <v>6437</v>
      </c>
      <c r="BI12" s="42">
        <f>'Ressourcenausgleich Basis'!BI124</f>
        <v>5202</v>
      </c>
      <c r="BJ12" s="42">
        <f>'Ressourcenausgleich Basis'!BJ124</f>
        <v>1645</v>
      </c>
      <c r="BK12" s="42">
        <f>'Ressourcenausgleich Basis'!BK124</f>
        <v>2969</v>
      </c>
      <c r="BL12" s="42">
        <f>'Ressourcenausgleich Basis'!BL124</f>
        <v>9755</v>
      </c>
      <c r="BM12" s="42">
        <f>'Ressourcenausgleich Basis'!BM124</f>
        <v>4023</v>
      </c>
      <c r="BN12" s="42">
        <f>'Ressourcenausgleich Basis'!BN124</f>
        <v>6674</v>
      </c>
      <c r="BO12" s="42">
        <f>'Ressourcenausgleich Basis'!BO124</f>
        <v>14279</v>
      </c>
      <c r="BP12" s="42">
        <f>'Ressourcenausgleich Basis'!BP124</f>
        <v>10631</v>
      </c>
      <c r="BQ12" s="42">
        <f>'Ressourcenausgleich Basis'!BQ124</f>
        <v>4132</v>
      </c>
      <c r="BR12" s="42">
        <f>'Ressourcenausgleich Basis'!BR124</f>
        <v>24980</v>
      </c>
      <c r="BS12" s="42">
        <f>'Ressourcenausgleich Basis'!BS124</f>
        <v>5026</v>
      </c>
      <c r="BT12" s="42">
        <f>'Ressourcenausgleich Basis'!BT124</f>
        <v>4660</v>
      </c>
      <c r="BU12" s="42">
        <f>'Ressourcenausgleich Basis'!BU124</f>
        <v>1497</v>
      </c>
      <c r="BV12" s="42">
        <f>'Ressourcenausgleich Basis'!BV124</f>
        <v>3256</v>
      </c>
      <c r="BW12" s="42">
        <f>'Ressourcenausgleich Basis'!BW124</f>
        <v>18454</v>
      </c>
      <c r="BX12" s="42">
        <f>'Ressourcenausgleich Basis'!BX124</f>
        <v>2128</v>
      </c>
      <c r="BY12" s="42">
        <f>'Ressourcenausgleich Basis'!BY124</f>
        <v>3544</v>
      </c>
      <c r="BZ12" s="42">
        <f>'Ressourcenausgleich Basis'!BZ124</f>
        <v>8609</v>
      </c>
    </row>
    <row r="13" spans="1:80" s="19" customFormat="1" x14ac:dyDescent="0.2">
      <c r="A13"/>
      <c r="B13" s="28"/>
    </row>
    <row r="14" spans="1:80" x14ac:dyDescent="0.2">
      <c r="B14" t="s">
        <v>365</v>
      </c>
      <c r="C14" s="35">
        <f>SUM(D14:BZ14)</f>
        <v>60379</v>
      </c>
      <c r="D14" s="36">
        <v>7466</v>
      </c>
      <c r="E14" s="36">
        <v>1157</v>
      </c>
      <c r="F14" s="36">
        <v>210</v>
      </c>
      <c r="G14" s="36">
        <v>153</v>
      </c>
      <c r="H14" s="36">
        <v>420</v>
      </c>
      <c r="I14" s="36">
        <v>1045</v>
      </c>
      <c r="J14" s="36">
        <v>369</v>
      </c>
      <c r="K14" s="36">
        <v>124</v>
      </c>
      <c r="L14" s="36">
        <v>231</v>
      </c>
      <c r="M14" s="36">
        <v>136</v>
      </c>
      <c r="N14" s="36">
        <v>311</v>
      </c>
      <c r="O14" s="36">
        <v>763</v>
      </c>
      <c r="P14" s="36">
        <v>946</v>
      </c>
      <c r="Q14" s="36">
        <v>731</v>
      </c>
      <c r="R14" s="36">
        <v>324</v>
      </c>
      <c r="S14" s="36">
        <v>752</v>
      </c>
      <c r="T14" s="36">
        <v>901</v>
      </c>
      <c r="U14" s="36">
        <v>466</v>
      </c>
      <c r="V14" s="36">
        <v>588</v>
      </c>
      <c r="W14" s="36">
        <v>818</v>
      </c>
      <c r="X14" s="36">
        <v>1173</v>
      </c>
      <c r="Y14" s="36">
        <v>506</v>
      </c>
      <c r="Z14" s="36">
        <v>229</v>
      </c>
      <c r="AA14" s="36">
        <v>1384</v>
      </c>
      <c r="AB14" s="36">
        <v>191</v>
      </c>
      <c r="AC14" s="36">
        <v>1131</v>
      </c>
      <c r="AD14" s="36">
        <v>344</v>
      </c>
      <c r="AE14" s="36">
        <v>613</v>
      </c>
      <c r="AF14" s="36">
        <v>491</v>
      </c>
      <c r="AG14" s="36">
        <v>903</v>
      </c>
      <c r="AH14" s="36">
        <v>1616</v>
      </c>
      <c r="AI14" s="36">
        <v>685</v>
      </c>
      <c r="AJ14" s="36">
        <v>718</v>
      </c>
      <c r="AK14" s="36">
        <v>793</v>
      </c>
      <c r="AL14" s="36">
        <v>589</v>
      </c>
      <c r="AM14" s="36">
        <v>698</v>
      </c>
      <c r="AN14" s="36">
        <v>186</v>
      </c>
      <c r="AO14" s="36">
        <v>1147</v>
      </c>
      <c r="AP14" s="36">
        <v>664</v>
      </c>
      <c r="AQ14" s="36">
        <v>688</v>
      </c>
      <c r="AR14" s="36">
        <v>313</v>
      </c>
      <c r="AS14" s="36">
        <v>171</v>
      </c>
      <c r="AT14" s="36">
        <v>181</v>
      </c>
      <c r="AU14" s="136">
        <v>582</v>
      </c>
      <c r="AV14" s="36">
        <v>393</v>
      </c>
      <c r="AW14" s="36">
        <v>604</v>
      </c>
      <c r="AX14" s="36">
        <v>581</v>
      </c>
      <c r="AY14" s="36">
        <v>853</v>
      </c>
      <c r="AZ14" s="36">
        <v>441</v>
      </c>
      <c r="BA14" s="36">
        <v>2968</v>
      </c>
      <c r="BB14" s="36">
        <v>1206</v>
      </c>
      <c r="BC14" s="36">
        <v>319</v>
      </c>
      <c r="BD14" s="36">
        <v>417</v>
      </c>
      <c r="BE14" s="36">
        <v>564</v>
      </c>
      <c r="BF14" s="36">
        <v>1034</v>
      </c>
      <c r="BG14" s="36">
        <v>197</v>
      </c>
      <c r="BH14" s="36">
        <v>835</v>
      </c>
      <c r="BI14" s="36">
        <v>681</v>
      </c>
      <c r="BJ14" s="36">
        <v>234</v>
      </c>
      <c r="BK14" s="36">
        <v>420</v>
      </c>
      <c r="BL14" s="36">
        <v>1298</v>
      </c>
      <c r="BM14" s="36">
        <v>537</v>
      </c>
      <c r="BN14" s="36">
        <v>860</v>
      </c>
      <c r="BO14" s="36">
        <v>1744</v>
      </c>
      <c r="BP14" s="36">
        <v>1277</v>
      </c>
      <c r="BQ14" s="36">
        <v>558</v>
      </c>
      <c r="BR14" s="36">
        <v>2744</v>
      </c>
      <c r="BS14" s="36">
        <v>563</v>
      </c>
      <c r="BT14" s="36">
        <v>558</v>
      </c>
      <c r="BU14" s="36">
        <v>217</v>
      </c>
      <c r="BV14" s="36">
        <v>459</v>
      </c>
      <c r="BW14" s="36">
        <v>2065</v>
      </c>
      <c r="BX14" s="36">
        <v>298</v>
      </c>
      <c r="BY14" s="36">
        <v>530</v>
      </c>
      <c r="BZ14" s="36">
        <v>1017</v>
      </c>
      <c r="CB14" t="s">
        <v>120</v>
      </c>
    </row>
    <row r="15" spans="1:80" x14ac:dyDescent="0.2">
      <c r="B15" t="s">
        <v>366</v>
      </c>
      <c r="C15" s="35">
        <f>SUM(D15:BZ15)</f>
        <v>1583</v>
      </c>
      <c r="D15" s="36">
        <v>219</v>
      </c>
      <c r="E15" s="36">
        <v>42</v>
      </c>
      <c r="F15" s="36">
        <v>2</v>
      </c>
      <c r="G15" s="36">
        <v>3</v>
      </c>
      <c r="H15" s="36">
        <v>8</v>
      </c>
      <c r="I15" s="36">
        <v>32</v>
      </c>
      <c r="J15" s="36">
        <v>10</v>
      </c>
      <c r="K15" s="36">
        <v>1</v>
      </c>
      <c r="L15" s="36">
        <v>2</v>
      </c>
      <c r="M15" s="36">
        <v>5</v>
      </c>
      <c r="N15" s="36">
        <v>13</v>
      </c>
      <c r="O15" s="36">
        <v>32</v>
      </c>
      <c r="P15" s="36">
        <v>47</v>
      </c>
      <c r="Q15" s="36">
        <v>13</v>
      </c>
      <c r="R15" s="36">
        <v>12</v>
      </c>
      <c r="S15" s="36">
        <v>22</v>
      </c>
      <c r="T15" s="36">
        <v>28</v>
      </c>
      <c r="U15" s="36">
        <v>10</v>
      </c>
      <c r="V15" s="36">
        <v>10</v>
      </c>
      <c r="W15" s="36">
        <v>13</v>
      </c>
      <c r="X15" s="36">
        <v>38</v>
      </c>
      <c r="Y15" s="36">
        <v>24</v>
      </c>
      <c r="Z15" s="36">
        <v>4</v>
      </c>
      <c r="AA15" s="36">
        <v>39</v>
      </c>
      <c r="AB15" s="36">
        <v>2</v>
      </c>
      <c r="AC15" s="36">
        <v>25</v>
      </c>
      <c r="AD15" s="36">
        <v>5</v>
      </c>
      <c r="AE15" s="36">
        <v>9</v>
      </c>
      <c r="AF15" s="36">
        <v>5</v>
      </c>
      <c r="AG15" s="36">
        <v>21</v>
      </c>
      <c r="AH15" s="36">
        <v>46</v>
      </c>
      <c r="AI15" s="36">
        <v>17</v>
      </c>
      <c r="AJ15" s="36">
        <v>14</v>
      </c>
      <c r="AK15" s="36">
        <v>19</v>
      </c>
      <c r="AL15" s="36">
        <v>11</v>
      </c>
      <c r="AM15" s="36">
        <v>18</v>
      </c>
      <c r="AN15" s="36">
        <v>3</v>
      </c>
      <c r="AO15" s="36">
        <v>28</v>
      </c>
      <c r="AP15" s="36">
        <v>13</v>
      </c>
      <c r="AQ15" s="36">
        <v>16</v>
      </c>
      <c r="AR15" s="36">
        <v>1</v>
      </c>
      <c r="AS15" s="36">
        <v>3</v>
      </c>
      <c r="AT15" s="36">
        <v>4</v>
      </c>
      <c r="AU15" s="36">
        <v>13</v>
      </c>
      <c r="AV15" s="36">
        <v>12</v>
      </c>
      <c r="AW15" s="36">
        <v>10</v>
      </c>
      <c r="AX15" s="36">
        <v>11</v>
      </c>
      <c r="AY15" s="36">
        <v>35</v>
      </c>
      <c r="AZ15" s="36">
        <v>10</v>
      </c>
      <c r="BA15" s="36">
        <v>63</v>
      </c>
      <c r="BB15" s="36">
        <v>31</v>
      </c>
      <c r="BC15" s="36">
        <v>0</v>
      </c>
      <c r="BD15" s="36">
        <v>12</v>
      </c>
      <c r="BE15" s="36">
        <v>22</v>
      </c>
      <c r="BF15" s="36">
        <v>46</v>
      </c>
      <c r="BG15" s="36">
        <v>12</v>
      </c>
      <c r="BH15" s="36">
        <v>29</v>
      </c>
      <c r="BI15" s="36">
        <v>21</v>
      </c>
      <c r="BJ15" s="36">
        <v>6</v>
      </c>
      <c r="BK15" s="36">
        <v>5</v>
      </c>
      <c r="BL15" s="36">
        <v>37</v>
      </c>
      <c r="BM15" s="36">
        <v>6</v>
      </c>
      <c r="BN15" s="36">
        <v>26</v>
      </c>
      <c r="BO15" s="36">
        <v>43</v>
      </c>
      <c r="BP15" s="36">
        <v>43</v>
      </c>
      <c r="BQ15" s="36">
        <v>10</v>
      </c>
      <c r="BR15" s="36">
        <v>82</v>
      </c>
      <c r="BS15" s="36">
        <v>14</v>
      </c>
      <c r="BT15" s="36">
        <v>8</v>
      </c>
      <c r="BU15" s="36">
        <v>2</v>
      </c>
      <c r="BV15" s="36">
        <v>5</v>
      </c>
      <c r="BW15" s="36">
        <v>45</v>
      </c>
      <c r="BX15" s="36">
        <v>3</v>
      </c>
      <c r="BY15" s="36">
        <v>5</v>
      </c>
      <c r="BZ15" s="36">
        <v>27</v>
      </c>
      <c r="CB15" t="s">
        <v>120</v>
      </c>
    </row>
    <row r="16" spans="1:80" x14ac:dyDescent="0.2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 spans="1:80" x14ac:dyDescent="0.2">
      <c r="B17" t="s">
        <v>239</v>
      </c>
      <c r="C17" s="3">
        <f>SUM(D17:BZ17)</f>
        <v>6056128.3800000008</v>
      </c>
      <c r="D17" s="10">
        <v>26415.95</v>
      </c>
      <c r="E17" s="10">
        <v>15160</v>
      </c>
      <c r="F17" s="10">
        <v>47814.75</v>
      </c>
      <c r="G17" s="10">
        <v>29394.2</v>
      </c>
      <c r="H17" s="10">
        <v>0</v>
      </c>
      <c r="I17" s="10">
        <v>156205</v>
      </c>
      <c r="J17" s="10">
        <v>79802.649999999994</v>
      </c>
      <c r="K17" s="10">
        <v>70229.25</v>
      </c>
      <c r="L17" s="10">
        <v>29928</v>
      </c>
      <c r="M17" s="10">
        <v>50949.11</v>
      </c>
      <c r="N17" s="10">
        <v>77894.8</v>
      </c>
      <c r="O17" s="10">
        <v>261485.15</v>
      </c>
      <c r="P17" s="10">
        <v>249309.45</v>
      </c>
      <c r="Q17" s="10">
        <v>75871.070000000007</v>
      </c>
      <c r="R17" s="10">
        <v>109590.15</v>
      </c>
      <c r="S17" s="10">
        <v>142707.25</v>
      </c>
      <c r="T17" s="10">
        <v>0</v>
      </c>
      <c r="U17" s="149">
        <v>115564.1</v>
      </c>
      <c r="V17" s="10">
        <v>0</v>
      </c>
      <c r="W17" s="10">
        <v>249430.9</v>
      </c>
      <c r="X17" s="10">
        <v>336027.05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19939.2</v>
      </c>
      <c r="AE17" s="10">
        <v>149071.29999999999</v>
      </c>
      <c r="AF17" s="10">
        <v>152488.48000000001</v>
      </c>
      <c r="AG17" s="10">
        <v>54651.1</v>
      </c>
      <c r="AH17" s="10">
        <v>125182</v>
      </c>
      <c r="AI17" s="10">
        <v>143787.1</v>
      </c>
      <c r="AJ17" s="10">
        <v>114955.45</v>
      </c>
      <c r="AK17" s="10">
        <v>113756.7</v>
      </c>
      <c r="AL17" s="10">
        <v>83437.19</v>
      </c>
      <c r="AM17" s="10">
        <v>145649.60999999999</v>
      </c>
      <c r="AN17" s="10">
        <v>43079.45</v>
      </c>
      <c r="AO17" s="10">
        <v>173573.95</v>
      </c>
      <c r="AP17" s="10">
        <v>102806.68</v>
      </c>
      <c r="AQ17" s="10">
        <v>16751.349999999999</v>
      </c>
      <c r="AR17" s="10">
        <v>116178.6</v>
      </c>
      <c r="AS17" s="10">
        <v>0</v>
      </c>
      <c r="AT17" s="10">
        <v>0</v>
      </c>
      <c r="AU17" s="10">
        <v>0</v>
      </c>
      <c r="AV17" s="10">
        <v>74938.55</v>
      </c>
      <c r="AW17" s="10">
        <v>6858.6</v>
      </c>
      <c r="AX17" s="10">
        <v>0</v>
      </c>
      <c r="AY17" s="10">
        <v>0</v>
      </c>
      <c r="AZ17" s="10">
        <v>0</v>
      </c>
      <c r="BA17" s="10">
        <v>98605</v>
      </c>
      <c r="BB17" s="10">
        <v>43123.5</v>
      </c>
      <c r="BC17" s="10">
        <v>49582.17</v>
      </c>
      <c r="BD17" s="10">
        <v>31603.15</v>
      </c>
      <c r="BE17" s="10">
        <v>129850</v>
      </c>
      <c r="BF17" s="10">
        <v>0</v>
      </c>
      <c r="BG17" s="10">
        <v>59249.45</v>
      </c>
      <c r="BH17" s="10">
        <v>6071.65</v>
      </c>
      <c r="BI17" s="10">
        <v>137622.35</v>
      </c>
      <c r="BJ17" s="10">
        <v>0</v>
      </c>
      <c r="BK17" s="10">
        <v>111421.25</v>
      </c>
      <c r="BL17" s="10">
        <v>131797.20000000001</v>
      </c>
      <c r="BM17" s="10">
        <v>110114.3</v>
      </c>
      <c r="BN17" s="10">
        <v>69710.05</v>
      </c>
      <c r="BO17" s="10">
        <v>45072.5</v>
      </c>
      <c r="BP17" s="10">
        <v>266518.24</v>
      </c>
      <c r="BQ17" s="10">
        <v>98895.25</v>
      </c>
      <c r="BR17" s="10">
        <v>36364.6</v>
      </c>
      <c r="BS17" s="10">
        <v>96290.15</v>
      </c>
      <c r="BT17" s="10">
        <v>0</v>
      </c>
      <c r="BU17" s="10">
        <v>0</v>
      </c>
      <c r="BV17" s="10">
        <v>35057.35</v>
      </c>
      <c r="BW17" s="10">
        <v>321412.09999999998</v>
      </c>
      <c r="BX17" s="10">
        <v>0</v>
      </c>
      <c r="BY17" s="10">
        <v>169745.83</v>
      </c>
      <c r="BZ17" s="10">
        <v>247138.15</v>
      </c>
      <c r="CB17" t="s">
        <v>119</v>
      </c>
    </row>
    <row r="18" spans="1:80" x14ac:dyDescent="0.2">
      <c r="B18" t="s">
        <v>238</v>
      </c>
      <c r="C18" s="3">
        <f>SUM(D18:BZ18)</f>
        <v>1195498738.5199997</v>
      </c>
      <c r="D18" s="10">
        <v>164793011.09999999</v>
      </c>
      <c r="E18" s="10">
        <v>22153096.57</v>
      </c>
      <c r="F18" s="10">
        <v>3868385.54</v>
      </c>
      <c r="G18" s="10">
        <v>3149919.75</v>
      </c>
      <c r="H18" s="10">
        <v>8937112.8000000007</v>
      </c>
      <c r="I18" s="10">
        <v>19532274.260000002</v>
      </c>
      <c r="J18" s="10">
        <v>7451553.4199999999</v>
      </c>
      <c r="K18" s="10">
        <v>2559988.5099999998</v>
      </c>
      <c r="L18" s="10">
        <v>3897994.25</v>
      </c>
      <c r="M18" s="10">
        <v>2730834.19</v>
      </c>
      <c r="N18" s="10">
        <v>5930382.1500000004</v>
      </c>
      <c r="O18" s="10">
        <v>15778316.699999999</v>
      </c>
      <c r="P18" s="10">
        <v>21124537.739999998</v>
      </c>
      <c r="Q18" s="10">
        <v>14716464.550000001</v>
      </c>
      <c r="R18" s="10">
        <v>6067391.8899999997</v>
      </c>
      <c r="S18" s="10">
        <v>13286183.58</v>
      </c>
      <c r="T18" s="10">
        <v>18030765.5</v>
      </c>
      <c r="U18" s="10">
        <v>8959580.3900000006</v>
      </c>
      <c r="V18" s="10">
        <v>10332332.640000001</v>
      </c>
      <c r="W18" s="10">
        <v>14634823.93</v>
      </c>
      <c r="X18" s="10">
        <v>19418440.23</v>
      </c>
      <c r="Y18" s="10">
        <v>10676102.33</v>
      </c>
      <c r="Z18" s="10">
        <v>4868991.03</v>
      </c>
      <c r="AA18" s="10">
        <v>26895536.140000001</v>
      </c>
      <c r="AB18" s="10">
        <v>3613717.87</v>
      </c>
      <c r="AC18" s="10">
        <v>22184318.289999999</v>
      </c>
      <c r="AD18" s="10">
        <v>6330471.7000000002</v>
      </c>
      <c r="AE18" s="10">
        <v>12131719.24</v>
      </c>
      <c r="AF18" s="10">
        <v>8986756.4700000007</v>
      </c>
      <c r="AG18" s="10">
        <v>17073003.699999999</v>
      </c>
      <c r="AH18" s="10">
        <v>29202051.82</v>
      </c>
      <c r="AI18" s="10">
        <v>13161143.199999999</v>
      </c>
      <c r="AJ18" s="10">
        <v>13315055.810000001</v>
      </c>
      <c r="AK18" s="10">
        <v>14248350</v>
      </c>
      <c r="AL18" s="10">
        <v>11752890.4</v>
      </c>
      <c r="AM18" s="10">
        <v>13007284.76</v>
      </c>
      <c r="AN18" s="10">
        <v>4577235.72</v>
      </c>
      <c r="AO18" s="10">
        <v>20559907.489999998</v>
      </c>
      <c r="AP18" s="10">
        <v>11380074.560000001</v>
      </c>
      <c r="AQ18" s="10">
        <v>11975122.550000001</v>
      </c>
      <c r="AR18" s="10">
        <v>5581747.46</v>
      </c>
      <c r="AS18" s="10">
        <v>3851683.23</v>
      </c>
      <c r="AT18" s="10">
        <v>3933518.05</v>
      </c>
      <c r="AU18" s="10">
        <v>8948826.5299999993</v>
      </c>
      <c r="AV18" s="10">
        <v>7533931.9400000004</v>
      </c>
      <c r="AW18" s="10">
        <v>10947301.51</v>
      </c>
      <c r="AX18" s="10">
        <v>12678046.34</v>
      </c>
      <c r="AY18" s="10">
        <v>16322011.460000001</v>
      </c>
      <c r="AZ18" s="10">
        <v>9234890.4100000001</v>
      </c>
      <c r="BA18" s="10">
        <v>64971345.130000003</v>
      </c>
      <c r="BB18" s="10">
        <v>23788559.23</v>
      </c>
      <c r="BC18" s="10">
        <v>6042872.1699999999</v>
      </c>
      <c r="BD18" s="10">
        <v>8069592.6299999999</v>
      </c>
      <c r="BE18" s="10">
        <v>13366357.689999999</v>
      </c>
      <c r="BF18" s="10">
        <v>17961727.52</v>
      </c>
      <c r="BG18" s="10">
        <v>3786615.99</v>
      </c>
      <c r="BH18" s="10">
        <v>17505606.879999999</v>
      </c>
      <c r="BI18" s="10">
        <v>12802282.82</v>
      </c>
      <c r="BJ18" s="10">
        <v>4885962.83</v>
      </c>
      <c r="BK18" s="10">
        <v>8608225.5500000007</v>
      </c>
      <c r="BL18" s="10">
        <v>27680948.93</v>
      </c>
      <c r="BM18" s="10">
        <v>11415023.720000001</v>
      </c>
      <c r="BN18" s="10">
        <v>17851846.510000002</v>
      </c>
      <c r="BO18" s="10">
        <v>29670025.649999999</v>
      </c>
      <c r="BP18" s="10">
        <v>25007218.350000001</v>
      </c>
      <c r="BQ18" s="10">
        <v>9829828.7300000004</v>
      </c>
      <c r="BR18" s="10">
        <v>56050109.32</v>
      </c>
      <c r="BS18" s="10">
        <v>11798939.5</v>
      </c>
      <c r="BT18" s="10">
        <v>11879644.59</v>
      </c>
      <c r="BU18" s="10">
        <v>4788722.1500000004</v>
      </c>
      <c r="BV18" s="10">
        <v>9168570.1300000008</v>
      </c>
      <c r="BW18" s="10">
        <v>38844774.369999997</v>
      </c>
      <c r="BX18" s="10">
        <v>5590125</v>
      </c>
      <c r="BY18" s="10">
        <v>10303068.359999999</v>
      </c>
      <c r="BZ18" s="10">
        <v>21505665.07</v>
      </c>
      <c r="CB18" t="s">
        <v>119</v>
      </c>
    </row>
    <row r="19" spans="1:80" x14ac:dyDescent="0.2">
      <c r="B19" t="s">
        <v>240</v>
      </c>
      <c r="C19" s="3">
        <f>SUM(D19:BZ19)</f>
        <v>3910715.6699999995</v>
      </c>
      <c r="D19" s="10">
        <v>1736001.76</v>
      </c>
      <c r="E19" s="10">
        <v>37046.449999999997</v>
      </c>
      <c r="F19" s="10">
        <v>8034.2</v>
      </c>
      <c r="G19" s="10">
        <v>4431</v>
      </c>
      <c r="H19" s="10">
        <v>0</v>
      </c>
      <c r="I19" s="10">
        <v>65020.2</v>
      </c>
      <c r="J19" s="10">
        <v>17787.099999999999</v>
      </c>
      <c r="K19" s="10">
        <v>3219.15</v>
      </c>
      <c r="L19" s="10">
        <v>9316.9500000000007</v>
      </c>
      <c r="M19" s="10">
        <v>7034.7</v>
      </c>
      <c r="N19" s="10">
        <v>10007.15</v>
      </c>
      <c r="O19" s="10">
        <v>36218.550000000003</v>
      </c>
      <c r="P19" s="10">
        <v>30945.4</v>
      </c>
      <c r="Q19" s="10">
        <v>38767.82</v>
      </c>
      <c r="R19" s="10">
        <v>15065.7</v>
      </c>
      <c r="S19" s="10">
        <v>22894</v>
      </c>
      <c r="T19" s="10">
        <v>0</v>
      </c>
      <c r="U19" s="10">
        <v>15080.95</v>
      </c>
      <c r="V19" s="10">
        <v>0</v>
      </c>
      <c r="W19" s="10">
        <v>36917.300000000003</v>
      </c>
      <c r="X19" s="10">
        <v>48998.239999999998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8746.49</v>
      </c>
      <c r="AE19" s="10">
        <v>30642.5</v>
      </c>
      <c r="AF19" s="10">
        <v>23538.05</v>
      </c>
      <c r="AG19" s="10">
        <v>54799.66</v>
      </c>
      <c r="AH19" s="10">
        <v>86784.1</v>
      </c>
      <c r="AI19" s="10">
        <v>28854.55</v>
      </c>
      <c r="AJ19" s="10">
        <v>29927.85</v>
      </c>
      <c r="AK19" s="10">
        <v>28771.25</v>
      </c>
      <c r="AL19" s="10">
        <v>31745.599999999999</v>
      </c>
      <c r="AM19" s="10">
        <v>33557.25</v>
      </c>
      <c r="AN19" s="10">
        <v>9012.77</v>
      </c>
      <c r="AO19" s="10">
        <v>27877.65</v>
      </c>
      <c r="AP19" s="10">
        <v>37114.050000000003</v>
      </c>
      <c r="AQ19" s="10">
        <v>38674.949999999997</v>
      </c>
      <c r="AR19" s="10">
        <v>29732.6</v>
      </c>
      <c r="AS19" s="10">
        <v>0</v>
      </c>
      <c r="AT19" s="10">
        <v>0</v>
      </c>
      <c r="AU19" s="10">
        <v>38837.300000000003</v>
      </c>
      <c r="AV19" s="10">
        <v>17110.900000000001</v>
      </c>
      <c r="AW19" s="10">
        <v>33778.199999999997</v>
      </c>
      <c r="AX19" s="10">
        <v>22098.3</v>
      </c>
      <c r="AY19" s="10">
        <v>45322.1</v>
      </c>
      <c r="AZ19" s="10">
        <v>26285.8</v>
      </c>
      <c r="BA19" s="10">
        <v>161101.41</v>
      </c>
      <c r="BB19" s="10">
        <v>65967.850000000006</v>
      </c>
      <c r="BC19" s="10">
        <v>16169.8</v>
      </c>
      <c r="BD19" s="10">
        <v>32979.440000000002</v>
      </c>
      <c r="BE19" s="10">
        <v>32234.25</v>
      </c>
      <c r="BF19" s="10">
        <v>0</v>
      </c>
      <c r="BG19" s="10">
        <v>7729.8</v>
      </c>
      <c r="BH19" s="10">
        <v>21442</v>
      </c>
      <c r="BI19" s="10">
        <v>22486.71</v>
      </c>
      <c r="BJ19" s="10">
        <v>0</v>
      </c>
      <c r="BK19" s="10">
        <v>27404.15</v>
      </c>
      <c r="BL19" s="10">
        <v>66930.350000000006</v>
      </c>
      <c r="BM19" s="10">
        <v>26132.45</v>
      </c>
      <c r="BN19" s="10">
        <v>23515.69</v>
      </c>
      <c r="BO19" s="10">
        <v>66877.14</v>
      </c>
      <c r="BP19" s="10">
        <v>53979.25</v>
      </c>
      <c r="BQ19" s="10">
        <v>11534.25</v>
      </c>
      <c r="BR19" s="10">
        <v>231893.2</v>
      </c>
      <c r="BS19" s="10">
        <v>31065.85</v>
      </c>
      <c r="BT19" s="10">
        <v>0</v>
      </c>
      <c r="BU19" s="10">
        <v>0</v>
      </c>
      <c r="BV19" s="10">
        <v>18957.3</v>
      </c>
      <c r="BW19" s="10">
        <v>88327.06</v>
      </c>
      <c r="BX19" s="10">
        <v>0</v>
      </c>
      <c r="BY19" s="10">
        <v>24569.88</v>
      </c>
      <c r="BZ19" s="10">
        <v>53419.3</v>
      </c>
      <c r="CB19" t="s">
        <v>119</v>
      </c>
    </row>
    <row r="20" spans="1:80" x14ac:dyDescent="0.2">
      <c r="B20" t="s">
        <v>79</v>
      </c>
      <c r="C20" s="3">
        <f t="shared" ref="C20:AH20" si="0">SUM(C17:C19)</f>
        <v>1205465582.5699999</v>
      </c>
      <c r="D20" s="3">
        <f t="shared" si="0"/>
        <v>166555428.80999997</v>
      </c>
      <c r="E20" s="3">
        <f t="shared" si="0"/>
        <v>22205303.02</v>
      </c>
      <c r="F20" s="3">
        <f t="shared" si="0"/>
        <v>3924234.49</v>
      </c>
      <c r="G20" s="3">
        <f t="shared" si="0"/>
        <v>3183744.95</v>
      </c>
      <c r="H20" s="3">
        <f t="shared" si="0"/>
        <v>8937112.8000000007</v>
      </c>
      <c r="I20" s="3">
        <f t="shared" si="0"/>
        <v>19753499.460000001</v>
      </c>
      <c r="J20" s="3">
        <f t="shared" si="0"/>
        <v>7549143.1699999999</v>
      </c>
      <c r="K20" s="3">
        <f t="shared" si="0"/>
        <v>2633436.9099999997</v>
      </c>
      <c r="L20" s="3">
        <f t="shared" si="0"/>
        <v>3937239.2</v>
      </c>
      <c r="M20" s="3">
        <f t="shared" si="0"/>
        <v>2788818</v>
      </c>
      <c r="N20" s="3">
        <f t="shared" si="0"/>
        <v>6018284.1000000006</v>
      </c>
      <c r="O20" s="3">
        <f t="shared" si="0"/>
        <v>16076020.4</v>
      </c>
      <c r="P20" s="3">
        <f t="shared" si="0"/>
        <v>21404792.589999996</v>
      </c>
      <c r="Q20" s="3">
        <f t="shared" si="0"/>
        <v>14831103.440000001</v>
      </c>
      <c r="R20" s="3">
        <f t="shared" si="0"/>
        <v>6192047.7400000002</v>
      </c>
      <c r="S20" s="3">
        <f t="shared" si="0"/>
        <v>13451784.83</v>
      </c>
      <c r="T20" s="3">
        <f t="shared" si="0"/>
        <v>18030765.5</v>
      </c>
      <c r="U20" s="3">
        <f t="shared" si="0"/>
        <v>9090225.4399999995</v>
      </c>
      <c r="V20" s="3">
        <f t="shared" si="0"/>
        <v>10332332.640000001</v>
      </c>
      <c r="W20" s="3">
        <f t="shared" si="0"/>
        <v>14921172.130000001</v>
      </c>
      <c r="X20" s="3">
        <f t="shared" si="0"/>
        <v>19803465.52</v>
      </c>
      <c r="Y20" s="3">
        <f t="shared" si="0"/>
        <v>10676102.33</v>
      </c>
      <c r="Z20" s="3">
        <f t="shared" si="0"/>
        <v>4868991.03</v>
      </c>
      <c r="AA20" s="3">
        <f t="shared" si="0"/>
        <v>26895536.140000001</v>
      </c>
      <c r="AB20" s="3">
        <f t="shared" si="0"/>
        <v>3613717.87</v>
      </c>
      <c r="AC20" s="3">
        <f t="shared" si="0"/>
        <v>22184318.289999999</v>
      </c>
      <c r="AD20" s="3">
        <f t="shared" si="0"/>
        <v>6359157.3900000006</v>
      </c>
      <c r="AE20" s="3">
        <f t="shared" si="0"/>
        <v>12311433.040000001</v>
      </c>
      <c r="AF20" s="3">
        <f t="shared" si="0"/>
        <v>9162783.0000000019</v>
      </c>
      <c r="AG20" s="3">
        <f t="shared" si="0"/>
        <v>17182454.460000001</v>
      </c>
      <c r="AH20" s="3">
        <f t="shared" si="0"/>
        <v>29414017.920000002</v>
      </c>
      <c r="AI20" s="3">
        <f t="shared" ref="AI20:BN20" si="1">SUM(AI17:AI19)</f>
        <v>13333784.85</v>
      </c>
      <c r="AJ20" s="3">
        <f t="shared" si="1"/>
        <v>13459939.109999999</v>
      </c>
      <c r="AK20" s="3">
        <f t="shared" si="1"/>
        <v>14390877.949999999</v>
      </c>
      <c r="AL20" s="3">
        <f t="shared" si="1"/>
        <v>11868073.189999999</v>
      </c>
      <c r="AM20" s="3">
        <f t="shared" si="1"/>
        <v>13186491.619999999</v>
      </c>
      <c r="AN20" s="3">
        <f t="shared" si="1"/>
        <v>4629327.9399999995</v>
      </c>
      <c r="AO20" s="3">
        <f t="shared" si="1"/>
        <v>20761359.089999996</v>
      </c>
      <c r="AP20" s="3">
        <f t="shared" si="1"/>
        <v>11519995.290000001</v>
      </c>
      <c r="AQ20" s="3">
        <f t="shared" si="1"/>
        <v>12030548.85</v>
      </c>
      <c r="AR20" s="3">
        <f t="shared" si="1"/>
        <v>5727658.6599999992</v>
      </c>
      <c r="AS20" s="3">
        <f t="shared" si="1"/>
        <v>3851683.23</v>
      </c>
      <c r="AT20" s="3">
        <f t="shared" si="1"/>
        <v>3933518.05</v>
      </c>
      <c r="AU20" s="3">
        <f t="shared" si="1"/>
        <v>8987663.8300000001</v>
      </c>
      <c r="AV20" s="3">
        <f t="shared" si="1"/>
        <v>7625981.3900000006</v>
      </c>
      <c r="AW20" s="3">
        <f t="shared" si="1"/>
        <v>10987938.309999999</v>
      </c>
      <c r="AX20" s="3">
        <f t="shared" si="1"/>
        <v>12700144.640000001</v>
      </c>
      <c r="AY20" s="3">
        <f t="shared" si="1"/>
        <v>16367333.560000001</v>
      </c>
      <c r="AZ20" s="3">
        <f t="shared" si="1"/>
        <v>9261176.2100000009</v>
      </c>
      <c r="BA20" s="3">
        <f t="shared" si="1"/>
        <v>65231051.539999999</v>
      </c>
      <c r="BB20" s="3">
        <f t="shared" si="1"/>
        <v>23897650.580000002</v>
      </c>
      <c r="BC20" s="3">
        <f t="shared" si="1"/>
        <v>6108624.1399999997</v>
      </c>
      <c r="BD20" s="3">
        <f t="shared" si="1"/>
        <v>8134175.2200000007</v>
      </c>
      <c r="BE20" s="3">
        <f t="shared" si="1"/>
        <v>13528441.939999999</v>
      </c>
      <c r="BF20" s="3">
        <f t="shared" si="1"/>
        <v>17961727.52</v>
      </c>
      <c r="BG20" s="3">
        <f t="shared" si="1"/>
        <v>3853595.24</v>
      </c>
      <c r="BH20" s="3">
        <f t="shared" si="1"/>
        <v>17533120.529999997</v>
      </c>
      <c r="BI20" s="3">
        <f t="shared" si="1"/>
        <v>12962391.880000001</v>
      </c>
      <c r="BJ20" s="3">
        <f t="shared" si="1"/>
        <v>4885962.83</v>
      </c>
      <c r="BK20" s="3">
        <f t="shared" si="1"/>
        <v>8747050.9500000011</v>
      </c>
      <c r="BL20" s="3">
        <f t="shared" si="1"/>
        <v>27879676.48</v>
      </c>
      <c r="BM20" s="3">
        <f t="shared" si="1"/>
        <v>11551270.470000001</v>
      </c>
      <c r="BN20" s="3">
        <f t="shared" si="1"/>
        <v>17945072.250000004</v>
      </c>
      <c r="BO20" s="3">
        <f t="shared" ref="BO20:BZ20" si="2">SUM(BO17:BO19)</f>
        <v>29781975.289999999</v>
      </c>
      <c r="BP20" s="3">
        <f t="shared" si="2"/>
        <v>25327715.84</v>
      </c>
      <c r="BQ20" s="3">
        <f t="shared" si="2"/>
        <v>9940258.2300000004</v>
      </c>
      <c r="BR20" s="3">
        <f t="shared" si="2"/>
        <v>56318367.120000005</v>
      </c>
      <c r="BS20" s="3">
        <f t="shared" si="2"/>
        <v>11926295.5</v>
      </c>
      <c r="BT20" s="3">
        <f t="shared" si="2"/>
        <v>11879644.59</v>
      </c>
      <c r="BU20" s="3">
        <f t="shared" si="2"/>
        <v>4788722.1500000004</v>
      </c>
      <c r="BV20" s="3">
        <f t="shared" si="2"/>
        <v>9222584.7800000012</v>
      </c>
      <c r="BW20" s="3">
        <f t="shared" si="2"/>
        <v>39254513.530000001</v>
      </c>
      <c r="BX20" s="3">
        <f t="shared" si="2"/>
        <v>5590125</v>
      </c>
      <c r="BY20" s="3">
        <f t="shared" si="2"/>
        <v>10497384.07</v>
      </c>
      <c r="BZ20" s="3">
        <f t="shared" si="2"/>
        <v>21806222.52</v>
      </c>
    </row>
    <row r="21" spans="1:80" x14ac:dyDescent="0.2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 spans="1:80" x14ac:dyDescent="0.2">
      <c r="B22" t="s">
        <v>134</v>
      </c>
      <c r="C22" s="3">
        <f>C20/C14</f>
        <v>19964.980913397041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 spans="1:80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 spans="1:80" x14ac:dyDescent="0.2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 spans="1:80" s="41" customFormat="1" ht="15.75" x14ac:dyDescent="0.25">
      <c r="A25" s="20" t="s">
        <v>98</v>
      </c>
      <c r="B25" s="20" t="s">
        <v>122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20"/>
      <c r="CB25" s="20"/>
    </row>
    <row r="26" spans="1:80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 spans="1:80" s="19" customFormat="1" x14ac:dyDescent="0.2">
      <c r="A27" s="45" t="s">
        <v>128</v>
      </c>
      <c r="B27" s="43" t="s">
        <v>127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3"/>
      <c r="CB27" s="43"/>
    </row>
    <row r="28" spans="1:80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 spans="1:80" x14ac:dyDescent="0.2">
      <c r="B29" t="s">
        <v>130</v>
      </c>
      <c r="C29" s="8">
        <v>0.65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 spans="1:80" x14ac:dyDescent="0.2">
      <c r="B30" t="s">
        <v>131</v>
      </c>
      <c r="C30" s="8">
        <v>0.2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 spans="1:80" x14ac:dyDescent="0.2">
      <c r="B31" t="s">
        <v>132</v>
      </c>
      <c r="C31" s="46">
        <f t="shared" ref="C31:AH31" si="3">C14/C12</f>
        <v>0.11283390081365839</v>
      </c>
      <c r="D31" s="46">
        <f t="shared" si="3"/>
        <v>9.5457276923273618E-2</v>
      </c>
      <c r="E31" s="46">
        <f t="shared" si="3"/>
        <v>0.1153999601037303</v>
      </c>
      <c r="F31" s="46">
        <f t="shared" si="3"/>
        <v>0.14675052410901468</v>
      </c>
      <c r="G31" s="46">
        <f t="shared" si="3"/>
        <v>0.12171837708830549</v>
      </c>
      <c r="H31" s="46">
        <f t="shared" si="3"/>
        <v>0.11469142545057345</v>
      </c>
      <c r="I31" s="46">
        <f t="shared" si="3"/>
        <v>0.10763209393346379</v>
      </c>
      <c r="J31" s="46">
        <f t="shared" si="3"/>
        <v>0.10307262569832402</v>
      </c>
      <c r="K31" s="46">
        <f t="shared" si="3"/>
        <v>0.1225296442687747</v>
      </c>
      <c r="L31" s="46">
        <f t="shared" si="3"/>
        <v>0.14491844416562108</v>
      </c>
      <c r="M31" s="46">
        <f t="shared" si="3"/>
        <v>0.13242453748782862</v>
      </c>
      <c r="N31" s="46">
        <f t="shared" si="3"/>
        <v>0.12565656565656566</v>
      </c>
      <c r="O31" s="46">
        <f t="shared" si="3"/>
        <v>9.9284320104098892E-2</v>
      </c>
      <c r="P31" s="46">
        <f t="shared" si="3"/>
        <v>9.5027624309392267E-2</v>
      </c>
      <c r="Q31" s="46">
        <f t="shared" si="3"/>
        <v>0.10300126814146822</v>
      </c>
      <c r="R31" s="46">
        <f t="shared" si="3"/>
        <v>9.2150170648464161E-2</v>
      </c>
      <c r="S31" s="46">
        <f t="shared" si="3"/>
        <v>0.11466910643488869</v>
      </c>
      <c r="T31" s="46">
        <f t="shared" si="3"/>
        <v>0.10623747199622686</v>
      </c>
      <c r="U31" s="46">
        <f t="shared" si="3"/>
        <v>0.11682125846076712</v>
      </c>
      <c r="V31" s="46">
        <f t="shared" si="3"/>
        <v>0.11441914769410391</v>
      </c>
      <c r="W31" s="46">
        <f t="shared" si="3"/>
        <v>0.1180715935334873</v>
      </c>
      <c r="X31" s="46">
        <f t="shared" si="3"/>
        <v>0.11347586340330851</v>
      </c>
      <c r="Y31" s="46">
        <f t="shared" si="3"/>
        <v>0.10017818253811127</v>
      </c>
      <c r="Z31" s="46">
        <f t="shared" si="3"/>
        <v>0.10812086874409821</v>
      </c>
      <c r="AA31" s="46">
        <f t="shared" si="3"/>
        <v>0.1111111111111111</v>
      </c>
      <c r="AB31" s="46">
        <f t="shared" si="3"/>
        <v>0.1215786123488224</v>
      </c>
      <c r="AC31" s="46">
        <f t="shared" si="3"/>
        <v>0.121730707135938</v>
      </c>
      <c r="AD31" s="46">
        <f t="shared" si="3"/>
        <v>0.13532651455546812</v>
      </c>
      <c r="AE31" s="46">
        <f t="shared" si="3"/>
        <v>9.7782740468974325E-2</v>
      </c>
      <c r="AF31" s="46">
        <f t="shared" si="3"/>
        <v>0.13230935057935866</v>
      </c>
      <c r="AG31" s="46">
        <f t="shared" si="3"/>
        <v>0.12199405566063226</v>
      </c>
      <c r="AH31" s="46">
        <f t="shared" si="3"/>
        <v>0.11600028712942359</v>
      </c>
      <c r="AI31" s="46">
        <f t="shared" ref="AI31:BN31" si="4">AI14/AI12</f>
        <v>0.12704005934718102</v>
      </c>
      <c r="AJ31" s="46">
        <f t="shared" si="4"/>
        <v>0.13064046579330421</v>
      </c>
      <c r="AK31" s="46">
        <f t="shared" si="4"/>
        <v>0.12158846979454155</v>
      </c>
      <c r="AL31" s="46">
        <f t="shared" si="4"/>
        <v>0.11647221672928613</v>
      </c>
      <c r="AM31" s="46">
        <f t="shared" si="4"/>
        <v>0.10212143379663496</v>
      </c>
      <c r="AN31" s="46">
        <f t="shared" si="4"/>
        <v>0.11617738913179262</v>
      </c>
      <c r="AO31" s="46">
        <f t="shared" si="4"/>
        <v>0.12025581882994338</v>
      </c>
      <c r="AP31" s="46">
        <f t="shared" si="4"/>
        <v>0.12418178417804376</v>
      </c>
      <c r="AQ31" s="46">
        <f t="shared" si="4"/>
        <v>0.11756664388243336</v>
      </c>
      <c r="AR31" s="46">
        <f t="shared" si="4"/>
        <v>0.10145867098865478</v>
      </c>
      <c r="AS31" s="46">
        <f t="shared" si="4"/>
        <v>8.9716684155299056E-2</v>
      </c>
      <c r="AT31" s="46">
        <f t="shared" si="4"/>
        <v>9.6739711384286484E-2</v>
      </c>
      <c r="AU31" s="46">
        <f t="shared" si="4"/>
        <v>0.14010592200288879</v>
      </c>
      <c r="AV31" s="46">
        <f t="shared" si="4"/>
        <v>0.12948929159802305</v>
      </c>
      <c r="AW31" s="46">
        <f t="shared" si="4"/>
        <v>0.11880409126671912</v>
      </c>
      <c r="AX31" s="46">
        <f t="shared" si="4"/>
        <v>0.10270461375287254</v>
      </c>
      <c r="AY31" s="46">
        <f t="shared" si="4"/>
        <v>0.12161391502708868</v>
      </c>
      <c r="AZ31" s="46">
        <f t="shared" si="4"/>
        <v>0.1059586737145603</v>
      </c>
      <c r="BA31" s="46">
        <f t="shared" si="4"/>
        <v>0.10363128491620112</v>
      </c>
      <c r="BB31" s="46">
        <f t="shared" si="4"/>
        <v>0.11859573212705281</v>
      </c>
      <c r="BC31" s="46">
        <f t="shared" si="4"/>
        <v>0.12184873949579832</v>
      </c>
      <c r="BD31" s="46">
        <f t="shared" si="4"/>
        <v>0.1087920688755544</v>
      </c>
      <c r="BE31" s="46">
        <f t="shared" si="4"/>
        <v>0.11076197957580518</v>
      </c>
      <c r="BF31" s="46">
        <f t="shared" si="4"/>
        <v>0.11286977404213513</v>
      </c>
      <c r="BG31" s="46">
        <f t="shared" si="4"/>
        <v>9.4757094757094762E-2</v>
      </c>
      <c r="BH31" s="46">
        <f t="shared" si="4"/>
        <v>0.129718813111698</v>
      </c>
      <c r="BI31" s="46">
        <f t="shared" si="4"/>
        <v>0.1309111880046136</v>
      </c>
      <c r="BJ31" s="46">
        <f t="shared" si="4"/>
        <v>0.14224924012158055</v>
      </c>
      <c r="BK31" s="46">
        <f t="shared" si="4"/>
        <v>0.14146177164028292</v>
      </c>
      <c r="BL31" s="46">
        <f t="shared" si="4"/>
        <v>0.13305996924654023</v>
      </c>
      <c r="BM31" s="46">
        <f t="shared" si="4"/>
        <v>0.13348247576435496</v>
      </c>
      <c r="BN31" s="46">
        <f t="shared" si="4"/>
        <v>0.12885825591848965</v>
      </c>
      <c r="BO31" s="46">
        <f t="shared" ref="BO31:BZ31" si="5">BO14/BO12</f>
        <v>0.12213740458015267</v>
      </c>
      <c r="BP31" s="46">
        <f t="shared" si="5"/>
        <v>0.12012040259618098</v>
      </c>
      <c r="BQ31" s="46">
        <f t="shared" si="5"/>
        <v>0.13504356243949661</v>
      </c>
      <c r="BR31" s="46">
        <f t="shared" si="5"/>
        <v>0.10984787830264212</v>
      </c>
      <c r="BS31" s="46">
        <f t="shared" si="5"/>
        <v>0.1120175089534421</v>
      </c>
      <c r="BT31" s="46">
        <f t="shared" si="5"/>
        <v>0.11974248927038626</v>
      </c>
      <c r="BU31" s="46">
        <f t="shared" si="5"/>
        <v>0.14495657982631929</v>
      </c>
      <c r="BV31" s="46">
        <f t="shared" si="5"/>
        <v>0.14097051597051596</v>
      </c>
      <c r="BW31" s="46">
        <f t="shared" si="5"/>
        <v>0.11189985910913623</v>
      </c>
      <c r="BX31" s="46">
        <f t="shared" si="5"/>
        <v>0.14003759398496241</v>
      </c>
      <c r="BY31" s="46">
        <f t="shared" si="5"/>
        <v>0.14954853273137697</v>
      </c>
      <c r="BZ31" s="46">
        <f t="shared" si="5"/>
        <v>0.11813218724590545</v>
      </c>
    </row>
    <row r="32" spans="1:80" x14ac:dyDescent="0.2">
      <c r="B32" t="s">
        <v>118</v>
      </c>
      <c r="C32" s="3"/>
      <c r="D32" s="10">
        <v>1.1100000000000001</v>
      </c>
      <c r="E32" s="10">
        <v>1.06</v>
      </c>
      <c r="F32" s="10">
        <v>0.83</v>
      </c>
      <c r="G32" s="10">
        <v>0.84</v>
      </c>
      <c r="H32" s="10">
        <v>0.81</v>
      </c>
      <c r="I32" s="10">
        <v>0.99</v>
      </c>
      <c r="J32" s="10">
        <v>0.97</v>
      </c>
      <c r="K32" s="10">
        <v>0.85</v>
      </c>
      <c r="L32" s="10">
        <v>0.83</v>
      </c>
      <c r="M32" s="10">
        <v>0.8</v>
      </c>
      <c r="N32" s="10">
        <v>0.85</v>
      </c>
      <c r="O32" s="10">
        <v>1</v>
      </c>
      <c r="P32" s="10">
        <v>1.2</v>
      </c>
      <c r="Q32" s="10">
        <v>0.94</v>
      </c>
      <c r="R32" s="10">
        <v>1.04</v>
      </c>
      <c r="S32" s="10">
        <v>1.1100000000000001</v>
      </c>
      <c r="T32" s="10">
        <v>1.02</v>
      </c>
      <c r="U32" s="10">
        <v>0.88</v>
      </c>
      <c r="V32" s="10">
        <v>0.89</v>
      </c>
      <c r="W32" s="10">
        <v>0.91</v>
      </c>
      <c r="X32" s="10">
        <v>0.94</v>
      </c>
      <c r="Y32" s="10">
        <v>1.03</v>
      </c>
      <c r="Z32" s="10">
        <v>0.88</v>
      </c>
      <c r="AA32" s="10">
        <v>0.98</v>
      </c>
      <c r="AB32" s="10">
        <v>0.87</v>
      </c>
      <c r="AC32" s="10">
        <v>0.91</v>
      </c>
      <c r="AD32" s="10">
        <v>0.92</v>
      </c>
      <c r="AE32" s="10">
        <v>0.94</v>
      </c>
      <c r="AF32" s="10">
        <v>0.9</v>
      </c>
      <c r="AG32" s="10">
        <v>0.92</v>
      </c>
      <c r="AH32" s="10">
        <v>1.03</v>
      </c>
      <c r="AI32" s="10">
        <v>1.05</v>
      </c>
      <c r="AJ32" s="10">
        <v>0.98</v>
      </c>
      <c r="AK32" s="10">
        <v>0.95</v>
      </c>
      <c r="AL32" s="10">
        <v>0.89</v>
      </c>
      <c r="AM32" s="10">
        <v>0.93</v>
      </c>
      <c r="AN32" s="10">
        <v>0.86</v>
      </c>
      <c r="AO32" s="10">
        <v>0.92</v>
      </c>
      <c r="AP32" s="10">
        <v>0.96</v>
      </c>
      <c r="AQ32" s="10">
        <v>0.92</v>
      </c>
      <c r="AR32" s="10">
        <v>0.87</v>
      </c>
      <c r="AS32" s="10">
        <v>0.83</v>
      </c>
      <c r="AT32" s="10">
        <v>0.93</v>
      </c>
      <c r="AU32" s="10">
        <v>0.92</v>
      </c>
      <c r="AV32" s="10">
        <v>0.87</v>
      </c>
      <c r="AW32" s="10">
        <v>0.93</v>
      </c>
      <c r="AX32" s="10">
        <v>0.9</v>
      </c>
      <c r="AY32" s="10">
        <v>1.01</v>
      </c>
      <c r="AZ32" s="10">
        <v>0.98</v>
      </c>
      <c r="BA32" s="10">
        <v>0.92</v>
      </c>
      <c r="BB32" s="10">
        <v>0.9</v>
      </c>
      <c r="BC32" s="10">
        <v>0.86</v>
      </c>
      <c r="BD32" s="10">
        <v>0.95</v>
      </c>
      <c r="BE32" s="10">
        <v>0.99</v>
      </c>
      <c r="BF32" s="10">
        <v>1.05</v>
      </c>
      <c r="BG32" s="10">
        <v>1.05</v>
      </c>
      <c r="BH32" s="10">
        <v>0.97</v>
      </c>
      <c r="BI32" s="10">
        <v>0.96</v>
      </c>
      <c r="BJ32" s="10">
        <v>0.91</v>
      </c>
      <c r="BK32" s="10">
        <v>0.86</v>
      </c>
      <c r="BL32" s="10">
        <v>1.02</v>
      </c>
      <c r="BM32" s="10">
        <v>0.88</v>
      </c>
      <c r="BN32" s="10">
        <v>0.94</v>
      </c>
      <c r="BO32" s="10">
        <v>1.01</v>
      </c>
      <c r="BP32" s="10">
        <v>1.03</v>
      </c>
      <c r="BQ32" s="10">
        <v>0.97</v>
      </c>
      <c r="BR32" s="10">
        <v>1.0900000000000001</v>
      </c>
      <c r="BS32" s="10">
        <v>0.86</v>
      </c>
      <c r="BT32" s="10">
        <v>0.87</v>
      </c>
      <c r="BU32" s="10">
        <v>0.8</v>
      </c>
      <c r="BV32" s="10">
        <v>0.83</v>
      </c>
      <c r="BW32" s="10">
        <v>0.94</v>
      </c>
      <c r="BX32" s="10">
        <v>0.85</v>
      </c>
      <c r="BY32" s="10">
        <v>0.85</v>
      </c>
      <c r="BZ32" s="10">
        <v>0.92</v>
      </c>
      <c r="CB32" t="s">
        <v>121</v>
      </c>
    </row>
    <row r="33" spans="1:80" x14ac:dyDescent="0.2">
      <c r="B33" t="s">
        <v>133</v>
      </c>
      <c r="C33" s="3"/>
      <c r="D33" s="3">
        <f>1+(D32-1)*0.15</f>
        <v>1.0165</v>
      </c>
      <c r="E33" s="3">
        <f t="shared" ref="E33:BN33" si="6">1+(E32-1)*0.15</f>
        <v>1.0089999999999999</v>
      </c>
      <c r="F33" s="3">
        <f t="shared" si="6"/>
        <v>0.97450000000000003</v>
      </c>
      <c r="G33" s="3">
        <f t="shared" si="6"/>
        <v>0.97599999999999998</v>
      </c>
      <c r="H33" s="3">
        <f t="shared" si="6"/>
        <v>0.97150000000000003</v>
      </c>
      <c r="I33" s="3">
        <f t="shared" si="6"/>
        <v>0.99849999999999994</v>
      </c>
      <c r="J33" s="3">
        <f t="shared" si="6"/>
        <v>0.99550000000000005</v>
      </c>
      <c r="K33" s="3">
        <f t="shared" si="6"/>
        <v>0.97750000000000004</v>
      </c>
      <c r="L33" s="3">
        <f t="shared" si="6"/>
        <v>0.97450000000000003</v>
      </c>
      <c r="M33" s="3">
        <f t="shared" si="6"/>
        <v>0.97</v>
      </c>
      <c r="N33" s="3">
        <f t="shared" si="6"/>
        <v>0.97750000000000004</v>
      </c>
      <c r="O33" s="3">
        <f t="shared" si="6"/>
        <v>1</v>
      </c>
      <c r="P33" s="3">
        <f t="shared" si="6"/>
        <v>1.03</v>
      </c>
      <c r="Q33" s="3">
        <f t="shared" si="6"/>
        <v>0.99099999999999999</v>
      </c>
      <c r="R33" s="3">
        <f t="shared" si="6"/>
        <v>1.006</v>
      </c>
      <c r="S33" s="3">
        <f t="shared" si="6"/>
        <v>1.0165</v>
      </c>
      <c r="T33" s="3">
        <f t="shared" si="6"/>
        <v>1.0030000000000001</v>
      </c>
      <c r="U33" s="3">
        <f t="shared" si="6"/>
        <v>0.98199999999999998</v>
      </c>
      <c r="V33" s="3">
        <f t="shared" si="6"/>
        <v>0.98350000000000004</v>
      </c>
      <c r="W33" s="3">
        <f t="shared" si="6"/>
        <v>0.98650000000000004</v>
      </c>
      <c r="X33" s="3">
        <f t="shared" si="6"/>
        <v>0.99099999999999999</v>
      </c>
      <c r="Y33" s="3">
        <f t="shared" si="6"/>
        <v>1.0044999999999999</v>
      </c>
      <c r="Z33" s="3">
        <f t="shared" si="6"/>
        <v>0.98199999999999998</v>
      </c>
      <c r="AA33" s="3">
        <f t="shared" si="6"/>
        <v>0.997</v>
      </c>
      <c r="AB33" s="3">
        <f t="shared" si="6"/>
        <v>0.98050000000000004</v>
      </c>
      <c r="AC33" s="3">
        <f t="shared" si="6"/>
        <v>0.98650000000000004</v>
      </c>
      <c r="AD33" s="3">
        <f t="shared" si="6"/>
        <v>0.98799999999999999</v>
      </c>
      <c r="AE33" s="3">
        <f t="shared" si="6"/>
        <v>0.99099999999999999</v>
      </c>
      <c r="AF33" s="3">
        <f t="shared" si="6"/>
        <v>0.98499999999999999</v>
      </c>
      <c r="AG33" s="3">
        <f t="shared" si="6"/>
        <v>0.98799999999999999</v>
      </c>
      <c r="AH33" s="3">
        <f t="shared" si="6"/>
        <v>1.0044999999999999</v>
      </c>
      <c r="AI33" s="3">
        <f t="shared" si="6"/>
        <v>1.0075000000000001</v>
      </c>
      <c r="AJ33" s="3">
        <f t="shared" si="6"/>
        <v>0.997</v>
      </c>
      <c r="AK33" s="3">
        <f t="shared" si="6"/>
        <v>0.99249999999999994</v>
      </c>
      <c r="AL33" s="3">
        <f t="shared" si="6"/>
        <v>0.98350000000000004</v>
      </c>
      <c r="AM33" s="3">
        <f t="shared" si="6"/>
        <v>0.98950000000000005</v>
      </c>
      <c r="AN33" s="3">
        <f t="shared" si="6"/>
        <v>0.97899999999999998</v>
      </c>
      <c r="AO33" s="3">
        <f t="shared" si="6"/>
        <v>0.98799999999999999</v>
      </c>
      <c r="AP33" s="3">
        <f t="shared" si="6"/>
        <v>0.99399999999999999</v>
      </c>
      <c r="AQ33" s="3">
        <f t="shared" si="6"/>
        <v>0.98799999999999999</v>
      </c>
      <c r="AR33" s="3">
        <f t="shared" si="6"/>
        <v>0.98050000000000004</v>
      </c>
      <c r="AS33" s="3">
        <f t="shared" si="6"/>
        <v>0.97450000000000003</v>
      </c>
      <c r="AT33" s="3">
        <f t="shared" si="6"/>
        <v>0.98950000000000005</v>
      </c>
      <c r="AU33" s="3">
        <f t="shared" si="6"/>
        <v>0.98799999999999999</v>
      </c>
      <c r="AV33" s="3">
        <f t="shared" si="6"/>
        <v>0.98050000000000004</v>
      </c>
      <c r="AW33" s="3">
        <f t="shared" si="6"/>
        <v>0.98950000000000005</v>
      </c>
      <c r="AX33" s="3">
        <f t="shared" si="6"/>
        <v>0.98499999999999999</v>
      </c>
      <c r="AY33" s="3">
        <f t="shared" si="6"/>
        <v>1.0015000000000001</v>
      </c>
      <c r="AZ33" s="3">
        <f t="shared" si="6"/>
        <v>0.997</v>
      </c>
      <c r="BA33" s="3">
        <f t="shared" si="6"/>
        <v>0.98799999999999999</v>
      </c>
      <c r="BB33" s="3">
        <f t="shared" si="6"/>
        <v>0.98499999999999999</v>
      </c>
      <c r="BC33" s="3">
        <f t="shared" si="6"/>
        <v>0.97899999999999998</v>
      </c>
      <c r="BD33" s="3">
        <f t="shared" si="6"/>
        <v>0.99249999999999994</v>
      </c>
      <c r="BE33" s="3">
        <f t="shared" si="6"/>
        <v>0.99849999999999994</v>
      </c>
      <c r="BF33" s="3">
        <f t="shared" si="6"/>
        <v>1.0075000000000001</v>
      </c>
      <c r="BG33" s="3">
        <f t="shared" si="6"/>
        <v>1.0075000000000001</v>
      </c>
      <c r="BH33" s="3">
        <f t="shared" ref="BH33" si="7">1+(BH32-1)*0.15</f>
        <v>0.99550000000000005</v>
      </c>
      <c r="BI33" s="3">
        <f t="shared" si="6"/>
        <v>0.99399999999999999</v>
      </c>
      <c r="BJ33" s="3">
        <f t="shared" si="6"/>
        <v>0.98650000000000004</v>
      </c>
      <c r="BK33" s="3">
        <f t="shared" si="6"/>
        <v>0.97899999999999998</v>
      </c>
      <c r="BL33" s="3">
        <f t="shared" si="6"/>
        <v>1.0030000000000001</v>
      </c>
      <c r="BM33" s="3">
        <f t="shared" si="6"/>
        <v>0.98199999999999998</v>
      </c>
      <c r="BN33" s="3">
        <f t="shared" si="6"/>
        <v>0.99099999999999999</v>
      </c>
      <c r="BO33" s="3">
        <f t="shared" ref="BO33:BZ33" si="8">1+(BO32-1)*0.15</f>
        <v>1.0015000000000001</v>
      </c>
      <c r="BP33" s="3">
        <f t="shared" si="8"/>
        <v>1.0044999999999999</v>
      </c>
      <c r="BQ33" s="3">
        <f t="shared" si="8"/>
        <v>0.99550000000000005</v>
      </c>
      <c r="BR33" s="3">
        <f t="shared" si="8"/>
        <v>1.0135000000000001</v>
      </c>
      <c r="BS33" s="3">
        <f t="shared" si="8"/>
        <v>0.97899999999999998</v>
      </c>
      <c r="BT33" s="3">
        <f t="shared" si="8"/>
        <v>0.98050000000000004</v>
      </c>
      <c r="BU33" s="3">
        <f t="shared" si="8"/>
        <v>0.97</v>
      </c>
      <c r="BV33" s="3">
        <f t="shared" si="8"/>
        <v>0.97450000000000003</v>
      </c>
      <c r="BW33" s="3">
        <f t="shared" si="8"/>
        <v>0.99099999999999999</v>
      </c>
      <c r="BX33" s="3">
        <f t="shared" si="8"/>
        <v>0.97750000000000004</v>
      </c>
      <c r="BY33" s="3">
        <f t="shared" si="8"/>
        <v>0.97750000000000004</v>
      </c>
      <c r="BZ33" s="3">
        <f t="shared" si="8"/>
        <v>0.98799999999999999</v>
      </c>
    </row>
    <row r="34" spans="1:80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 spans="1:80" s="19" customFormat="1" x14ac:dyDescent="0.2">
      <c r="B35" s="19" t="s">
        <v>135</v>
      </c>
      <c r="C35" s="13"/>
      <c r="D35" s="13">
        <f t="shared" ref="D35:AI35" si="9">IF(D31*D33&gt;$C31,(D31*D33-$C31)*D12*$C22*$C29,(D31*D33-$C31)*D12*$C22*$C30)</f>
        <v>-4934899.5973802023</v>
      </c>
      <c r="E35" s="13">
        <f t="shared" si="9"/>
        <v>469001.39531958726</v>
      </c>
      <c r="F35" s="13">
        <f t="shared" si="9"/>
        <v>560353.0695631631</v>
      </c>
      <c r="G35" s="13">
        <f t="shared" si="9"/>
        <v>97274.604662183527</v>
      </c>
      <c r="H35" s="13">
        <f t="shared" si="9"/>
        <v>-20634.785178072318</v>
      </c>
      <c r="I35" s="13">
        <f t="shared" si="9"/>
        <v>-207922.67032332061</v>
      </c>
      <c r="J35" s="13">
        <f t="shared" si="9"/>
        <v>-146167.07886087592</v>
      </c>
      <c r="K35" s="13">
        <f t="shared" si="9"/>
        <v>91127.361175815226</v>
      </c>
      <c r="L35" s="13">
        <f t="shared" si="9"/>
        <v>587249.35696375323</v>
      </c>
      <c r="M35" s="13">
        <f t="shared" si="9"/>
        <v>208149.49071217244</v>
      </c>
      <c r="N35" s="13">
        <f t="shared" si="9"/>
        <v>321038.63135899336</v>
      </c>
      <c r="O35" s="13">
        <f t="shared" si="9"/>
        <v>-415784.8138256151</v>
      </c>
      <c r="P35" s="13">
        <f t="shared" si="9"/>
        <v>-594483.19169332786</v>
      </c>
      <c r="Q35" s="13">
        <f t="shared" si="9"/>
        <v>-304909.95644445432</v>
      </c>
      <c r="R35" s="13">
        <f t="shared" si="9"/>
        <v>-282624.25088653254</v>
      </c>
      <c r="S35" s="13">
        <f t="shared" si="9"/>
        <v>317206.23219686263</v>
      </c>
      <c r="T35" s="13">
        <f t="shared" si="9"/>
        <v>-212592.35877378276</v>
      </c>
      <c r="U35" s="13">
        <f t="shared" si="9"/>
        <v>97557.287531317459</v>
      </c>
      <c r="V35" s="13">
        <f t="shared" si="9"/>
        <v>-6210.7712740695315</v>
      </c>
      <c r="W35" s="13">
        <f t="shared" si="9"/>
        <v>327593.9489625654</v>
      </c>
      <c r="X35" s="13">
        <f t="shared" si="9"/>
        <v>-15656.668646332742</v>
      </c>
      <c r="Y35" s="13">
        <f t="shared" si="9"/>
        <v>-246156.367481597</v>
      </c>
      <c r="Z35" s="13">
        <f t="shared" si="9"/>
        <v>-56318.024439590168</v>
      </c>
      <c r="AA35" s="13">
        <f t="shared" si="9"/>
        <v>-102264.89889431246</v>
      </c>
      <c r="AB35" s="13">
        <f t="shared" si="9"/>
        <v>129946.81365152763</v>
      </c>
      <c r="AC35" s="13">
        <f t="shared" si="9"/>
        <v>874558.46014091291</v>
      </c>
      <c r="AD35" s="13">
        <f t="shared" si="9"/>
        <v>688419.40848109417</v>
      </c>
      <c r="AE35" s="13">
        <f t="shared" si="9"/>
        <v>-398791.40648768534</v>
      </c>
      <c r="AF35" s="13">
        <f t="shared" si="9"/>
        <v>842331.65180886129</v>
      </c>
      <c r="AG35" s="13">
        <f t="shared" si="9"/>
        <v>739280.34369435813</v>
      </c>
      <c r="AH35" s="13">
        <f t="shared" si="9"/>
        <v>666808.46186576888</v>
      </c>
      <c r="AI35" s="13">
        <f t="shared" si="9"/>
        <v>1060721.8553314048</v>
      </c>
      <c r="AJ35" s="13">
        <f t="shared" ref="AJ35:BO35" si="10">IF(AJ31*AJ33&gt;$C31,(AJ31*AJ33-$C31)*AJ12*$C22*$C29,(AJ31*AJ33-$C31)*AJ12*$C22*$C30)</f>
        <v>1242062.8447029372</v>
      </c>
      <c r="AK35" s="13">
        <f t="shared" si="10"/>
        <v>663783.09310899884</v>
      </c>
      <c r="AL35" s="13">
        <f t="shared" si="10"/>
        <v>112648.43837035249</v>
      </c>
      <c r="AM35" s="13">
        <f t="shared" si="10"/>
        <v>-321630.69978073379</v>
      </c>
      <c r="AN35" s="13">
        <f t="shared" si="10"/>
        <v>18777.086875217035</v>
      </c>
      <c r="AO35" s="13">
        <f t="shared" si="10"/>
        <v>740043.24774749123</v>
      </c>
      <c r="AP35" s="13">
        <f t="shared" si="10"/>
        <v>735720.24842929386</v>
      </c>
      <c r="AQ35" s="13">
        <f t="shared" si="10"/>
        <v>252277.6602386804</v>
      </c>
      <c r="AR35" s="13">
        <f t="shared" si="10"/>
        <v>-164495.80619381368</v>
      </c>
      <c r="AS35" s="13">
        <f t="shared" si="10"/>
        <v>-193348.52155670268</v>
      </c>
      <c r="AT35" s="13">
        <f t="shared" si="10"/>
        <v>-127826.70238761549</v>
      </c>
      <c r="AU35" s="13">
        <f t="shared" si="10"/>
        <v>1379531.9539682041</v>
      </c>
      <c r="AV35" s="13">
        <f t="shared" si="10"/>
        <v>556536.76369475294</v>
      </c>
      <c r="AW35" s="13">
        <f t="shared" si="10"/>
        <v>311589.29184506781</v>
      </c>
      <c r="AX35" s="13">
        <f t="shared" si="10"/>
        <v>-263603.1409674671</v>
      </c>
      <c r="AY35" s="13">
        <f t="shared" si="10"/>
        <v>815781.85379521537</v>
      </c>
      <c r="AZ35" s="13">
        <f t="shared" si="10"/>
        <v>-119541.1025976995</v>
      </c>
      <c r="BA35" s="13">
        <f t="shared" si="10"/>
        <v>-1194620.2827157343</v>
      </c>
      <c r="BB35" s="13">
        <f t="shared" si="10"/>
        <v>525604.88973165036</v>
      </c>
      <c r="BC35" s="13">
        <f t="shared" si="10"/>
        <v>219339.29298420501</v>
      </c>
      <c r="BD35" s="13">
        <f t="shared" si="10"/>
        <v>-74348.957304373675</v>
      </c>
      <c r="BE35" s="13">
        <f t="shared" si="10"/>
        <v>-45505.074708955719</v>
      </c>
      <c r="BF35" s="13">
        <f t="shared" si="10"/>
        <v>104903.24742285261</v>
      </c>
      <c r="BG35" s="13">
        <f t="shared" si="10"/>
        <v>-144163.85208661295</v>
      </c>
      <c r="BH35" s="13">
        <f t="shared" si="10"/>
        <v>1361710.3712310784</v>
      </c>
      <c r="BI35" s="13">
        <f t="shared" si="10"/>
        <v>1167329.0985129133</v>
      </c>
      <c r="BJ35" s="13">
        <f t="shared" si="10"/>
        <v>586950.50491842045</v>
      </c>
      <c r="BK35" s="13">
        <f t="shared" si="10"/>
        <v>988555.97785367433</v>
      </c>
      <c r="BL35" s="13">
        <f t="shared" si="10"/>
        <v>2611011.0881591388</v>
      </c>
      <c r="BM35" s="13">
        <f t="shared" si="10"/>
        <v>952570.98749738489</v>
      </c>
      <c r="BN35" s="13">
        <f t="shared" si="10"/>
        <v>1287426.9178991897</v>
      </c>
      <c r="BO35" s="13">
        <f t="shared" si="10"/>
        <v>1757906.0814837608</v>
      </c>
      <c r="BP35" s="13">
        <f t="shared" ref="BP35:BZ35" si="11">IF(BP31*BP33&gt;$C31,(BP31*BP33-$C31)*BP12*$C22*$C29,(BP31*BP33-$C31)*BP12*$C22*$C30)</f>
        <v>1079826.8619458594</v>
      </c>
      <c r="BQ35" s="13">
        <f t="shared" si="11"/>
        <v>1158339.4269445085</v>
      </c>
      <c r="BR35" s="13">
        <f t="shared" si="11"/>
        <v>-149924.39807613453</v>
      </c>
      <c r="BS35" s="13">
        <f t="shared" si="11"/>
        <v>-63593.197864006324</v>
      </c>
      <c r="BT35" s="13">
        <f t="shared" si="11"/>
        <v>276584.15303775953</v>
      </c>
      <c r="BU35" s="13">
        <f t="shared" si="11"/>
        <v>539563.04889246018</v>
      </c>
      <c r="BV35" s="13">
        <f t="shared" si="11"/>
        <v>1036989.240737407</v>
      </c>
      <c r="BW35" s="13">
        <f t="shared" si="11"/>
        <v>-143036.33307838449</v>
      </c>
      <c r="BX35" s="13">
        <f t="shared" si="11"/>
        <v>664232.88643780374</v>
      </c>
      <c r="BY35" s="13">
        <f t="shared" si="11"/>
        <v>1533801.1952299511</v>
      </c>
      <c r="BZ35" s="13">
        <f t="shared" si="11"/>
        <v>433555.85459201777</v>
      </c>
    </row>
    <row r="36" spans="1:80" x14ac:dyDescent="0.2">
      <c r="C36" s="3"/>
      <c r="D36" s="3"/>
      <c r="E36" s="47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 spans="1:80" s="19" customFormat="1" x14ac:dyDescent="0.2">
      <c r="A37" s="45" t="s">
        <v>129</v>
      </c>
      <c r="B37" s="43" t="s">
        <v>123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3"/>
      <c r="CB37" s="43"/>
    </row>
    <row r="38" spans="1:80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 spans="1:80" x14ac:dyDescent="0.2">
      <c r="B39" t="s">
        <v>125</v>
      </c>
      <c r="C39" s="10">
        <v>11000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 spans="1:80" x14ac:dyDescent="0.2">
      <c r="B40" t="s">
        <v>126</v>
      </c>
      <c r="C40" s="8">
        <v>0.65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 spans="1:80" x14ac:dyDescent="0.2">
      <c r="B41" t="s">
        <v>124</v>
      </c>
      <c r="C41" s="46">
        <f t="shared" ref="C41:AH41" si="12">C15/C12</f>
        <v>2.9582481489925511E-3</v>
      </c>
      <c r="D41" s="46">
        <f t="shared" si="12"/>
        <v>2.8000460281538873E-3</v>
      </c>
      <c r="E41" s="46">
        <f t="shared" si="12"/>
        <v>4.1891083183722318E-3</v>
      </c>
      <c r="F41" s="46">
        <f t="shared" si="12"/>
        <v>1.397624039133473E-3</v>
      </c>
      <c r="G41" s="46">
        <f t="shared" si="12"/>
        <v>2.3866348448687352E-3</v>
      </c>
      <c r="H41" s="46">
        <f t="shared" si="12"/>
        <v>2.1845985800109228E-3</v>
      </c>
      <c r="I41" s="46">
        <f t="shared" si="12"/>
        <v>3.2959110104027189E-3</v>
      </c>
      <c r="J41" s="46">
        <f t="shared" si="12"/>
        <v>2.7932960893854749E-3</v>
      </c>
      <c r="K41" s="46">
        <f t="shared" si="12"/>
        <v>9.8814229249011851E-4</v>
      </c>
      <c r="L41" s="46">
        <f t="shared" si="12"/>
        <v>1.2547051442910915E-3</v>
      </c>
      <c r="M41" s="46">
        <f t="shared" si="12"/>
        <v>4.8685491723466411E-3</v>
      </c>
      <c r="N41" s="46">
        <f t="shared" si="12"/>
        <v>5.2525252525252525E-3</v>
      </c>
      <c r="O41" s="46">
        <f t="shared" si="12"/>
        <v>4.1639557579700717E-3</v>
      </c>
      <c r="P41" s="46">
        <f t="shared" si="12"/>
        <v>4.7212456052235056E-3</v>
      </c>
      <c r="Q41" s="46">
        <f t="shared" si="12"/>
        <v>1.8317598985486826E-3</v>
      </c>
      <c r="R41" s="46">
        <f t="shared" si="12"/>
        <v>3.4129692832764505E-3</v>
      </c>
      <c r="S41" s="46">
        <f t="shared" si="12"/>
        <v>3.3546813052759989E-3</v>
      </c>
      <c r="T41" s="46">
        <f t="shared" si="12"/>
        <v>3.3014974649215895E-3</v>
      </c>
      <c r="U41" s="46">
        <f t="shared" si="12"/>
        <v>2.5068939583855602E-3</v>
      </c>
      <c r="V41" s="46">
        <f t="shared" si="12"/>
        <v>1.945903872348706E-3</v>
      </c>
      <c r="W41" s="46">
        <f t="shared" si="12"/>
        <v>1.8764434180138568E-3</v>
      </c>
      <c r="X41" s="46">
        <f t="shared" si="12"/>
        <v>3.6761149269614007E-3</v>
      </c>
      <c r="Y41" s="46">
        <f t="shared" si="12"/>
        <v>4.751534349633736E-3</v>
      </c>
      <c r="Z41" s="46">
        <f t="shared" si="12"/>
        <v>1.8885741265344666E-3</v>
      </c>
      <c r="AA41" s="46">
        <f t="shared" si="12"/>
        <v>3.1310211946050095E-3</v>
      </c>
      <c r="AB41" s="46">
        <f t="shared" si="12"/>
        <v>1.273074474856779E-3</v>
      </c>
      <c r="AC41" s="46">
        <f t="shared" si="12"/>
        <v>2.6907760198041117E-3</v>
      </c>
      <c r="AD41" s="46">
        <f t="shared" si="12"/>
        <v>1.966955153422502E-3</v>
      </c>
      <c r="AE41" s="46">
        <f t="shared" si="12"/>
        <v>1.4356356675705854E-3</v>
      </c>
      <c r="AF41" s="46">
        <f t="shared" si="12"/>
        <v>1.3473457289140394E-3</v>
      </c>
      <c r="AG41" s="46">
        <f t="shared" si="12"/>
        <v>2.8370710618751691E-3</v>
      </c>
      <c r="AH41" s="46">
        <f t="shared" si="12"/>
        <v>3.3019883712583449E-3</v>
      </c>
      <c r="AI41" s="46">
        <f t="shared" ref="AI41:BN41" si="13">AI15/AI12</f>
        <v>3.1528189910979229E-3</v>
      </c>
      <c r="AJ41" s="46">
        <f t="shared" si="13"/>
        <v>2.5473071324599709E-3</v>
      </c>
      <c r="AK41" s="46">
        <f t="shared" si="13"/>
        <v>2.9132168046611469E-3</v>
      </c>
      <c r="AL41" s="46">
        <f t="shared" si="13"/>
        <v>2.1752026893415068E-3</v>
      </c>
      <c r="AM41" s="46">
        <f t="shared" si="13"/>
        <v>2.6335040234089246E-3</v>
      </c>
      <c r="AN41" s="46">
        <f t="shared" si="13"/>
        <v>1.8738288569643974E-3</v>
      </c>
      <c r="AO41" s="46">
        <f t="shared" si="13"/>
        <v>2.935625917383099E-3</v>
      </c>
      <c r="AP41" s="46">
        <f t="shared" si="13"/>
        <v>2.4312698709556763E-3</v>
      </c>
      <c r="AQ41" s="46">
        <f t="shared" si="13"/>
        <v>2.7341079972658922E-3</v>
      </c>
      <c r="AR41" s="46">
        <f t="shared" si="13"/>
        <v>3.2414910858995135E-4</v>
      </c>
      <c r="AS41" s="46">
        <f t="shared" si="13"/>
        <v>1.5739769150052466E-3</v>
      </c>
      <c r="AT41" s="46">
        <f t="shared" si="13"/>
        <v>2.137894174238375E-3</v>
      </c>
      <c r="AU41" s="46">
        <f t="shared" si="13"/>
        <v>3.1295137217140106E-3</v>
      </c>
      <c r="AV41" s="46">
        <f t="shared" si="13"/>
        <v>3.953871499176277E-3</v>
      </c>
      <c r="AW41" s="46">
        <f t="shared" si="13"/>
        <v>1.966955153422502E-3</v>
      </c>
      <c r="AX41" s="46">
        <f t="shared" si="13"/>
        <v>1.944493547816864E-3</v>
      </c>
      <c r="AY41" s="46">
        <f t="shared" si="13"/>
        <v>4.9900199600798403E-3</v>
      </c>
      <c r="AZ41" s="46">
        <f t="shared" si="13"/>
        <v>2.4026910139356081E-3</v>
      </c>
      <c r="BA41" s="46">
        <f t="shared" si="13"/>
        <v>2.1997206703910613E-3</v>
      </c>
      <c r="BB41" s="46">
        <f t="shared" si="13"/>
        <v>3.0484806765660342E-3</v>
      </c>
      <c r="BC41" s="46">
        <f t="shared" si="13"/>
        <v>0</v>
      </c>
      <c r="BD41" s="46">
        <f t="shared" si="13"/>
        <v>3.1307070180015655E-3</v>
      </c>
      <c r="BE41" s="46">
        <f t="shared" si="13"/>
        <v>4.3205027494108402E-3</v>
      </c>
      <c r="BF41" s="46">
        <f t="shared" si="13"/>
        <v>5.0212858858203254E-3</v>
      </c>
      <c r="BG41" s="46">
        <f t="shared" si="13"/>
        <v>5.772005772005772E-3</v>
      </c>
      <c r="BH41" s="46">
        <f t="shared" si="13"/>
        <v>4.5052042877116666E-3</v>
      </c>
      <c r="BI41" s="46">
        <f t="shared" si="13"/>
        <v>4.0369088811995383E-3</v>
      </c>
      <c r="BJ41" s="46">
        <f t="shared" si="13"/>
        <v>3.64741641337386E-3</v>
      </c>
      <c r="BK41" s="46">
        <f t="shared" si="13"/>
        <v>1.6840687100033681E-3</v>
      </c>
      <c r="BL41" s="46">
        <f t="shared" si="13"/>
        <v>3.7929267042542286E-3</v>
      </c>
      <c r="BM41" s="46">
        <f t="shared" si="13"/>
        <v>1.4914243102162564E-3</v>
      </c>
      <c r="BN41" s="46">
        <f t="shared" si="13"/>
        <v>3.8957147138148039E-3</v>
      </c>
      <c r="BO41" s="46">
        <f t="shared" ref="BO41:BZ41" si="14">BO15/BO12</f>
        <v>3.0114153652216541E-3</v>
      </c>
      <c r="BP41" s="46">
        <f t="shared" si="14"/>
        <v>4.0447747154548023E-3</v>
      </c>
      <c r="BQ41" s="46">
        <f t="shared" si="14"/>
        <v>2.4201355275895449E-3</v>
      </c>
      <c r="BR41" s="46">
        <f t="shared" si="14"/>
        <v>3.2826261008807047E-3</v>
      </c>
      <c r="BS41" s="46">
        <f t="shared" si="14"/>
        <v>2.7855153203342618E-3</v>
      </c>
      <c r="BT41" s="46">
        <f t="shared" si="14"/>
        <v>1.7167381974248926E-3</v>
      </c>
      <c r="BU41" s="46">
        <f t="shared" si="14"/>
        <v>1.3360053440213762E-3</v>
      </c>
      <c r="BV41" s="46">
        <f t="shared" si="14"/>
        <v>1.5356265356265355E-3</v>
      </c>
      <c r="BW41" s="46">
        <f t="shared" si="14"/>
        <v>2.4384957190852932E-3</v>
      </c>
      <c r="BX41" s="46">
        <f t="shared" si="14"/>
        <v>1.4097744360902255E-3</v>
      </c>
      <c r="BY41" s="46">
        <f t="shared" si="14"/>
        <v>1.4108352144469526E-3</v>
      </c>
      <c r="BZ41" s="46">
        <f t="shared" si="14"/>
        <v>3.1362527587408527E-3</v>
      </c>
    </row>
    <row r="42" spans="1:80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 spans="1:80" s="19" customFormat="1" x14ac:dyDescent="0.2">
      <c r="B43" s="19" t="s">
        <v>136</v>
      </c>
      <c r="C43" s="13"/>
      <c r="D43" s="13">
        <f t="shared" ref="D43:AI43" si="15">IF(D41&gt;$C41,(D41-$C41)*D12*$C39*$C40,0)</f>
        <v>0</v>
      </c>
      <c r="E43" s="13">
        <f t="shared" si="15"/>
        <v>88235.319016134861</v>
      </c>
      <c r="F43" s="13">
        <f t="shared" si="15"/>
        <v>0</v>
      </c>
      <c r="G43" s="13">
        <f t="shared" si="15"/>
        <v>0</v>
      </c>
      <c r="H43" s="13">
        <f t="shared" si="15"/>
        <v>0</v>
      </c>
      <c r="I43" s="13">
        <f t="shared" si="15"/>
        <v>23440.336358233937</v>
      </c>
      <c r="J43" s="13">
        <f t="shared" si="15"/>
        <v>0</v>
      </c>
      <c r="K43" s="13">
        <f t="shared" si="15"/>
        <v>0</v>
      </c>
      <c r="L43" s="13">
        <f t="shared" si="15"/>
        <v>0</v>
      </c>
      <c r="M43" s="13">
        <f t="shared" si="15"/>
        <v>14027.43592954025</v>
      </c>
      <c r="N43" s="13">
        <f t="shared" si="15"/>
        <v>40600.101193390568</v>
      </c>
      <c r="O43" s="13">
        <f t="shared" si="15"/>
        <v>66250.920271194555</v>
      </c>
      <c r="P43" s="13">
        <f t="shared" si="15"/>
        <v>125487.07368897094</v>
      </c>
      <c r="Q43" s="13">
        <f t="shared" si="15"/>
        <v>0</v>
      </c>
      <c r="R43" s="13">
        <f t="shared" si="15"/>
        <v>11431.416483216664</v>
      </c>
      <c r="S43" s="13">
        <f t="shared" si="15"/>
        <v>18588.631768183983</v>
      </c>
      <c r="T43" s="13">
        <f t="shared" si="15"/>
        <v>20814.346756018356</v>
      </c>
      <c r="U43" s="13">
        <f t="shared" si="15"/>
        <v>0</v>
      </c>
      <c r="V43" s="13">
        <f t="shared" si="15"/>
        <v>0</v>
      </c>
      <c r="W43" s="13">
        <f t="shared" si="15"/>
        <v>0</v>
      </c>
      <c r="X43" s="13">
        <f t="shared" si="15"/>
        <v>53057.210519627595</v>
      </c>
      <c r="Y43" s="13">
        <f t="shared" si="15"/>
        <v>64763.903485986171</v>
      </c>
      <c r="Z43" s="13">
        <f t="shared" si="15"/>
        <v>0</v>
      </c>
      <c r="AA43" s="13">
        <f t="shared" si="15"/>
        <v>15387.236551463795</v>
      </c>
      <c r="AB43" s="13">
        <f t="shared" si="15"/>
        <v>0</v>
      </c>
      <c r="AC43" s="13">
        <f t="shared" si="15"/>
        <v>0</v>
      </c>
      <c r="AD43" s="13">
        <f t="shared" si="15"/>
        <v>0</v>
      </c>
      <c r="AE43" s="13">
        <f t="shared" si="15"/>
        <v>0</v>
      </c>
      <c r="AF43" s="13">
        <f t="shared" si="15"/>
        <v>0</v>
      </c>
      <c r="AG43" s="13">
        <f t="shared" si="15"/>
        <v>0</v>
      </c>
      <c r="AH43" s="13">
        <f t="shared" si="15"/>
        <v>34238.81201015113</v>
      </c>
      <c r="AI43" s="13">
        <f t="shared" si="15"/>
        <v>7501.2507615199775</v>
      </c>
      <c r="AJ43" s="13">
        <f t="shared" ref="AJ43:BO43" si="16">IF(AJ41&gt;$C41,(AJ41-$C41)*AJ12*$C39*$C40,0)</f>
        <v>0</v>
      </c>
      <c r="AK43" s="13">
        <f t="shared" si="16"/>
        <v>0</v>
      </c>
      <c r="AL43" s="13">
        <f t="shared" si="16"/>
        <v>0</v>
      </c>
      <c r="AM43" s="13">
        <f t="shared" si="16"/>
        <v>0</v>
      </c>
      <c r="AN43" s="13">
        <f t="shared" si="16"/>
        <v>0</v>
      </c>
      <c r="AO43" s="13">
        <f t="shared" si="16"/>
        <v>0</v>
      </c>
      <c r="AP43" s="13">
        <f t="shared" si="16"/>
        <v>0</v>
      </c>
      <c r="AQ43" s="13">
        <f t="shared" si="16"/>
        <v>0</v>
      </c>
      <c r="AR43" s="13">
        <f t="shared" si="16"/>
        <v>0</v>
      </c>
      <c r="AS43" s="13">
        <f t="shared" si="16"/>
        <v>0</v>
      </c>
      <c r="AT43" s="13">
        <f t="shared" si="16"/>
        <v>0</v>
      </c>
      <c r="AU43" s="13">
        <f t="shared" si="16"/>
        <v>5086.7759019573414</v>
      </c>
      <c r="AV43" s="13">
        <f t="shared" si="16"/>
        <v>21605.275604824401</v>
      </c>
      <c r="AW43" s="13">
        <f t="shared" si="16"/>
        <v>0</v>
      </c>
      <c r="AX43" s="13">
        <f t="shared" si="16"/>
        <v>0</v>
      </c>
      <c r="AY43" s="13">
        <f t="shared" si="16"/>
        <v>101893.55950320866</v>
      </c>
      <c r="AZ43" s="13">
        <f t="shared" si="16"/>
        <v>0</v>
      </c>
      <c r="BA43" s="13">
        <f t="shared" si="16"/>
        <v>0</v>
      </c>
      <c r="BB43" s="13">
        <f t="shared" si="16"/>
        <v>6560.6581961974643</v>
      </c>
      <c r="BC43" s="13">
        <f t="shared" si="16"/>
        <v>0</v>
      </c>
      <c r="BD43" s="13">
        <f t="shared" si="16"/>
        <v>4726.3991411175984</v>
      </c>
      <c r="BE43" s="13">
        <f t="shared" si="16"/>
        <v>49596.693041108992</v>
      </c>
      <c r="BF43" s="13">
        <f t="shared" si="16"/>
        <v>135131.34425561657</v>
      </c>
      <c r="BG43" s="13">
        <f t="shared" si="16"/>
        <v>41826.085002448082</v>
      </c>
      <c r="BH43" s="13">
        <f t="shared" si="16"/>
        <v>71197.960154284869</v>
      </c>
      <c r="BI43" s="13">
        <f t="shared" si="16"/>
        <v>40120.030871926348</v>
      </c>
      <c r="BJ43" s="13">
        <f t="shared" si="16"/>
        <v>8105.8248335868611</v>
      </c>
      <c r="BK43" s="13">
        <f t="shared" si="16"/>
        <v>0</v>
      </c>
      <c r="BL43" s="13">
        <f t="shared" si="16"/>
        <v>58217.368542030301</v>
      </c>
      <c r="BM43" s="13">
        <f t="shared" si="16"/>
        <v>0</v>
      </c>
      <c r="BN43" s="13">
        <f t="shared" si="16"/>
        <v>44735.060753409569</v>
      </c>
      <c r="BO43" s="13">
        <f t="shared" si="16"/>
        <v>5428.0989658278368</v>
      </c>
      <c r="BP43" s="13">
        <f t="shared" ref="BP43:BZ43" si="17">IF(BP41&gt;$C41,(BP41-$C41)*BP12*$C39*$C40,0)</f>
        <v>82588.677085630377</v>
      </c>
      <c r="BQ43" s="13">
        <f t="shared" si="17"/>
        <v>0</v>
      </c>
      <c r="BR43" s="13">
        <f t="shared" si="17"/>
        <v>57936.172852887459</v>
      </c>
      <c r="BS43" s="13">
        <f t="shared" si="17"/>
        <v>0</v>
      </c>
      <c r="BT43" s="13">
        <f t="shared" si="17"/>
        <v>0</v>
      </c>
      <c r="BU43" s="13">
        <f t="shared" si="17"/>
        <v>0</v>
      </c>
      <c r="BV43" s="13">
        <f t="shared" si="17"/>
        <v>0</v>
      </c>
      <c r="BW43" s="13">
        <f t="shared" si="17"/>
        <v>0</v>
      </c>
      <c r="BX43" s="13">
        <f t="shared" si="17"/>
        <v>0</v>
      </c>
      <c r="BY43" s="13">
        <f t="shared" si="17"/>
        <v>0</v>
      </c>
      <c r="BZ43" s="13">
        <f t="shared" si="17"/>
        <v>10956.95805006037</v>
      </c>
    </row>
    <row r="44" spans="1:80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</row>
    <row r="45" spans="1:80" s="19" customFormat="1" x14ac:dyDescent="0.2">
      <c r="A45" s="45" t="s">
        <v>137</v>
      </c>
      <c r="B45" s="43" t="s">
        <v>138</v>
      </c>
      <c r="C45" s="44"/>
      <c r="D45" s="44">
        <f t="shared" ref="D45:J45" si="18">IF(D35+D43&lt;0,0,D35+D43)</f>
        <v>0</v>
      </c>
      <c r="E45" s="44">
        <f t="shared" si="18"/>
        <v>557236.71433572215</v>
      </c>
      <c r="F45" s="44">
        <f t="shared" si="18"/>
        <v>560353.0695631631</v>
      </c>
      <c r="G45" s="44">
        <f t="shared" si="18"/>
        <v>97274.604662183527</v>
      </c>
      <c r="H45" s="44">
        <f t="shared" si="18"/>
        <v>0</v>
      </c>
      <c r="I45" s="44">
        <f t="shared" si="18"/>
        <v>0</v>
      </c>
      <c r="J45" s="44">
        <f t="shared" si="18"/>
        <v>0</v>
      </c>
      <c r="K45" s="44">
        <f t="shared" ref="K45:BT45" si="19">IF(K35+K43&lt;0,0,K35+K43)</f>
        <v>91127.361175815226</v>
      </c>
      <c r="L45" s="44">
        <f t="shared" si="19"/>
        <v>587249.35696375323</v>
      </c>
      <c r="M45" s="44">
        <f t="shared" si="19"/>
        <v>222176.92664171269</v>
      </c>
      <c r="N45" s="44">
        <f t="shared" si="19"/>
        <v>361638.73255238391</v>
      </c>
      <c r="O45" s="44">
        <f t="shared" si="19"/>
        <v>0</v>
      </c>
      <c r="P45" s="44">
        <f t="shared" si="19"/>
        <v>0</v>
      </c>
      <c r="Q45" s="44">
        <f t="shared" si="19"/>
        <v>0</v>
      </c>
      <c r="R45" s="44">
        <f t="shared" si="19"/>
        <v>0</v>
      </c>
      <c r="S45" s="44">
        <f t="shared" si="19"/>
        <v>335794.86396504659</v>
      </c>
      <c r="T45" s="44">
        <f t="shared" si="19"/>
        <v>0</v>
      </c>
      <c r="U45" s="44">
        <f t="shared" si="19"/>
        <v>97557.287531317459</v>
      </c>
      <c r="V45" s="44">
        <f t="shared" si="19"/>
        <v>0</v>
      </c>
      <c r="W45" s="44">
        <f t="shared" si="19"/>
        <v>327593.9489625654</v>
      </c>
      <c r="X45" s="44">
        <f t="shared" si="19"/>
        <v>37400.541873294853</v>
      </c>
      <c r="Y45" s="44">
        <f t="shared" si="19"/>
        <v>0</v>
      </c>
      <c r="Z45" s="44">
        <f t="shared" si="19"/>
        <v>0</v>
      </c>
      <c r="AA45" s="44">
        <f t="shared" si="19"/>
        <v>0</v>
      </c>
      <c r="AB45" s="44">
        <f t="shared" si="19"/>
        <v>129946.81365152763</v>
      </c>
      <c r="AC45" s="44">
        <f t="shared" si="19"/>
        <v>874558.46014091291</v>
      </c>
      <c r="AD45" s="44">
        <f t="shared" si="19"/>
        <v>688419.40848109417</v>
      </c>
      <c r="AE45" s="44">
        <f t="shared" si="19"/>
        <v>0</v>
      </c>
      <c r="AF45" s="44">
        <f t="shared" si="19"/>
        <v>842331.65180886129</v>
      </c>
      <c r="AG45" s="44">
        <f t="shared" si="19"/>
        <v>739280.34369435813</v>
      </c>
      <c r="AH45" s="44">
        <f t="shared" si="19"/>
        <v>701047.27387591999</v>
      </c>
      <c r="AI45" s="44">
        <f t="shared" si="19"/>
        <v>1068223.1060929247</v>
      </c>
      <c r="AJ45" s="44">
        <f t="shared" si="19"/>
        <v>1242062.8447029372</v>
      </c>
      <c r="AK45" s="44">
        <f t="shared" si="19"/>
        <v>663783.09310899884</v>
      </c>
      <c r="AL45" s="44">
        <f t="shared" si="19"/>
        <v>112648.43837035249</v>
      </c>
      <c r="AM45" s="44">
        <f t="shared" si="19"/>
        <v>0</v>
      </c>
      <c r="AN45" s="44">
        <f t="shared" si="19"/>
        <v>18777.086875217035</v>
      </c>
      <c r="AO45" s="44">
        <f t="shared" si="19"/>
        <v>740043.24774749123</v>
      </c>
      <c r="AP45" s="44">
        <f t="shared" si="19"/>
        <v>735720.24842929386</v>
      </c>
      <c r="AQ45" s="44">
        <f t="shared" si="19"/>
        <v>252277.6602386804</v>
      </c>
      <c r="AR45" s="44">
        <f t="shared" si="19"/>
        <v>0</v>
      </c>
      <c r="AS45" s="44">
        <f t="shared" si="19"/>
        <v>0</v>
      </c>
      <c r="AT45" s="44">
        <f t="shared" si="19"/>
        <v>0</v>
      </c>
      <c r="AU45" s="44">
        <f t="shared" si="19"/>
        <v>1384618.7298701615</v>
      </c>
      <c r="AV45" s="44">
        <f t="shared" si="19"/>
        <v>578142.03929957736</v>
      </c>
      <c r="AW45" s="44">
        <f t="shared" si="19"/>
        <v>311589.29184506781</v>
      </c>
      <c r="AX45" s="44">
        <f t="shared" si="19"/>
        <v>0</v>
      </c>
      <c r="AY45" s="44">
        <f t="shared" si="19"/>
        <v>917675.41329842398</v>
      </c>
      <c r="AZ45" s="44">
        <f t="shared" si="19"/>
        <v>0</v>
      </c>
      <c r="BA45" s="44">
        <f t="shared" si="19"/>
        <v>0</v>
      </c>
      <c r="BB45" s="44">
        <f t="shared" si="19"/>
        <v>532165.54792784783</v>
      </c>
      <c r="BC45" s="44">
        <f t="shared" si="19"/>
        <v>219339.29298420501</v>
      </c>
      <c r="BD45" s="44">
        <f t="shared" si="19"/>
        <v>0</v>
      </c>
      <c r="BE45" s="44">
        <f t="shared" si="19"/>
        <v>4091.6183321532735</v>
      </c>
      <c r="BF45" s="44">
        <f t="shared" si="19"/>
        <v>240034.59167846918</v>
      </c>
      <c r="BG45" s="44">
        <f t="shared" si="19"/>
        <v>0</v>
      </c>
      <c r="BH45" s="44">
        <f t="shared" ref="BH45" si="20">IF(BH35+BH43&lt;0,0,BH35+BH43)</f>
        <v>1432908.3313853634</v>
      </c>
      <c r="BI45" s="44">
        <f t="shared" si="19"/>
        <v>1207449.1293848397</v>
      </c>
      <c r="BJ45" s="44">
        <f t="shared" si="19"/>
        <v>595056.32975200727</v>
      </c>
      <c r="BK45" s="44">
        <f t="shared" si="19"/>
        <v>988555.97785367433</v>
      </c>
      <c r="BL45" s="44">
        <f t="shared" si="19"/>
        <v>2669228.4567011693</v>
      </c>
      <c r="BM45" s="44">
        <f t="shared" si="19"/>
        <v>952570.98749738489</v>
      </c>
      <c r="BN45" s="44">
        <f t="shared" si="19"/>
        <v>1332161.9786525993</v>
      </c>
      <c r="BO45" s="44">
        <f t="shared" si="19"/>
        <v>1763334.1804495887</v>
      </c>
      <c r="BP45" s="44">
        <f t="shared" si="19"/>
        <v>1162415.5390314898</v>
      </c>
      <c r="BQ45" s="44">
        <f t="shared" si="19"/>
        <v>1158339.4269445085</v>
      </c>
      <c r="BR45" s="44">
        <f t="shared" si="19"/>
        <v>0</v>
      </c>
      <c r="BS45" s="44">
        <f t="shared" si="19"/>
        <v>0</v>
      </c>
      <c r="BT45" s="44">
        <f t="shared" si="19"/>
        <v>276584.15303775953</v>
      </c>
      <c r="BU45" s="44">
        <f t="shared" ref="BU45:BZ45" si="21">IF(BU35+BU43&lt;0,0,BU35+BU43)</f>
        <v>539563.04889246018</v>
      </c>
      <c r="BV45" s="44">
        <f t="shared" si="21"/>
        <v>1036989.240737407</v>
      </c>
      <c r="BW45" s="44">
        <f t="shared" si="21"/>
        <v>0</v>
      </c>
      <c r="BX45" s="44">
        <f t="shared" si="21"/>
        <v>664232.88643780374</v>
      </c>
      <c r="BY45" s="44">
        <f t="shared" si="21"/>
        <v>1533801.1952299511</v>
      </c>
      <c r="BZ45" s="44">
        <f t="shared" si="21"/>
        <v>444512.81264207815</v>
      </c>
      <c r="CA45" s="43"/>
      <c r="CB45" s="43"/>
    </row>
    <row r="46" spans="1:80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</row>
    <row r="47" spans="1:80" x14ac:dyDescent="0.2">
      <c r="A47" s="45" t="s">
        <v>143</v>
      </c>
      <c r="B47" s="43" t="s">
        <v>139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5"/>
      <c r="CB47" s="45"/>
    </row>
    <row r="48" spans="1:80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</row>
    <row r="49" spans="1:80" x14ac:dyDescent="0.2">
      <c r="B49" t="s">
        <v>141</v>
      </c>
      <c r="C49" s="3"/>
      <c r="D49" s="48">
        <f>'Ressourcenausgleich Basis'!D144</f>
        <v>1.1192260003904357</v>
      </c>
      <c r="E49" s="48">
        <f>'Ressourcenausgleich Basis'!E144</f>
        <v>0.80767902154829629</v>
      </c>
      <c r="F49" s="48">
        <f>'Ressourcenausgleich Basis'!F144</f>
        <v>0.84030989009306656</v>
      </c>
      <c r="G49" s="48">
        <f>'Ressourcenausgleich Basis'!G144</f>
        <v>0.77439042652152612</v>
      </c>
      <c r="H49" s="48">
        <f>'Ressourcenausgleich Basis'!H144</f>
        <v>1.8170994058016419</v>
      </c>
      <c r="I49" s="48">
        <f>'Ressourcenausgleich Basis'!I144</f>
        <v>1.0415529016974443</v>
      </c>
      <c r="J49" s="48">
        <f>'Ressourcenausgleich Basis'!J144</f>
        <v>0.94023796504251855</v>
      </c>
      <c r="K49" s="48">
        <f>'Ressourcenausgleich Basis'!K144</f>
        <v>1.1118426009719726</v>
      </c>
      <c r="L49" s="48">
        <f>'Ressourcenausgleich Basis'!L144</f>
        <v>1.161279113480207</v>
      </c>
      <c r="M49" s="48">
        <f>'Ressourcenausgleich Basis'!M144</f>
        <v>0.89495552112018584</v>
      </c>
      <c r="N49" s="48">
        <f>'Ressourcenausgleich Basis'!N144</f>
        <v>0.92595216196370711</v>
      </c>
      <c r="O49" s="48">
        <f>'Ressourcenausgleich Basis'!O144</f>
        <v>1.0254024499595948</v>
      </c>
      <c r="P49" s="48">
        <f>'Ressourcenausgleich Basis'!P144</f>
        <v>0.78531040245196804</v>
      </c>
      <c r="Q49" s="48">
        <f>'Ressourcenausgleich Basis'!Q144</f>
        <v>1.1173622477814673</v>
      </c>
      <c r="R49" s="48">
        <f>'Ressourcenausgleich Basis'!R144</f>
        <v>0.78082790082596587</v>
      </c>
      <c r="S49" s="48">
        <f>'Ressourcenausgleich Basis'!S144</f>
        <v>0.8728492495253416</v>
      </c>
      <c r="T49" s="48">
        <f>'Ressourcenausgleich Basis'!T144</f>
        <v>1.0552629742453086</v>
      </c>
      <c r="U49" s="48">
        <f>'Ressourcenausgleich Basis'!U144</f>
        <v>1.1883601450793135</v>
      </c>
      <c r="V49" s="48">
        <f>'Ressourcenausgleich Basis'!V144</f>
        <v>1.6157684368875798</v>
      </c>
      <c r="W49" s="48">
        <f>'Ressourcenausgleich Basis'!W144</f>
        <v>1.0401256649806632</v>
      </c>
      <c r="X49" s="48">
        <f>'Ressourcenausgleich Basis'!X144</f>
        <v>1.0995978214687425</v>
      </c>
      <c r="Y49" s="48">
        <f>'Ressourcenausgleich Basis'!Y144</f>
        <v>0.93250407289387105</v>
      </c>
      <c r="Z49" s="48">
        <f>'Ressourcenausgleich Basis'!Z144</f>
        <v>0.90571459824461442</v>
      </c>
      <c r="AA49" s="48">
        <f>'Ressourcenausgleich Basis'!AA144</f>
        <v>0.93842050623804762</v>
      </c>
      <c r="AB49" s="48">
        <f>'Ressourcenausgleich Basis'!AB144</f>
        <v>0.79243217070255134</v>
      </c>
      <c r="AC49" s="48">
        <f>'Ressourcenausgleich Basis'!AC144</f>
        <v>0.9205220590305353</v>
      </c>
      <c r="AD49" s="48">
        <f>'Ressourcenausgleich Basis'!AD144</f>
        <v>0.90302929532273646</v>
      </c>
      <c r="AE49" s="48">
        <f>'Ressourcenausgleich Basis'!AE144</f>
        <v>1.2374198645673269</v>
      </c>
      <c r="AF49" s="48">
        <f>'Ressourcenausgleich Basis'!AF144</f>
        <v>0.83649024255196525</v>
      </c>
      <c r="AG49" s="48">
        <f>'Ressourcenausgleich Basis'!AG144</f>
        <v>0.87702232012427916</v>
      </c>
      <c r="AH49" s="48">
        <f>'Ressourcenausgleich Basis'!AH144</f>
        <v>1.0081130620471075</v>
      </c>
      <c r="AI49" s="48">
        <f>'Ressourcenausgleich Basis'!AI144</f>
        <v>0.81184247733765569</v>
      </c>
      <c r="AJ49" s="48">
        <f>'Ressourcenausgleich Basis'!AJ144</f>
        <v>0.75276236965743626</v>
      </c>
      <c r="AK49" s="48">
        <f>'Ressourcenausgleich Basis'!AK144</f>
        <v>0.87286098498081044</v>
      </c>
      <c r="AL49" s="48">
        <f>'Ressourcenausgleich Basis'!AL144</f>
        <v>0.84119771459501469</v>
      </c>
      <c r="AM49" s="48">
        <f>'Ressourcenausgleich Basis'!AM144</f>
        <v>1.0622411976638768</v>
      </c>
      <c r="AN49" s="48">
        <f>'Ressourcenausgleich Basis'!AN144</f>
        <v>0.71776830724948959</v>
      </c>
      <c r="AO49" s="48">
        <f>'Ressourcenausgleich Basis'!AO144</f>
        <v>0.79897825894823171</v>
      </c>
      <c r="AP49" s="48">
        <f>'Ressourcenausgleich Basis'!AP144</f>
        <v>0.81007828876349286</v>
      </c>
      <c r="AQ49" s="48">
        <f>'Ressourcenausgleich Basis'!AQ144</f>
        <v>0.86391910860566434</v>
      </c>
      <c r="AR49" s="48">
        <f>'Ressourcenausgleich Basis'!AR144</f>
        <v>0.93706253539060491</v>
      </c>
      <c r="AS49" s="48">
        <f>'Ressourcenausgleich Basis'!AS144</f>
        <v>1.184946922498709</v>
      </c>
      <c r="AT49" s="48">
        <f>'Ressourcenausgleich Basis'!AT144</f>
        <v>1.0356852269370913</v>
      </c>
      <c r="AU49" s="48">
        <f>'Ressourcenausgleich Basis'!AU144</f>
        <v>0.71233098600817657</v>
      </c>
      <c r="AV49" s="48">
        <f>'Ressourcenausgleich Basis'!AV144</f>
        <v>0.80685335736795727</v>
      </c>
      <c r="AW49" s="48">
        <f>'Ressourcenausgleich Basis'!AW144</f>
        <v>0.79084019648736814</v>
      </c>
      <c r="AX49" s="48">
        <f>'Ressourcenausgleich Basis'!AX144</f>
        <v>1.0588535173601925</v>
      </c>
      <c r="AY49" s="48">
        <f>'Ressourcenausgleich Basis'!AY144</f>
        <v>0.88778168727153217</v>
      </c>
      <c r="AZ49" s="48">
        <f>'Ressourcenausgleich Basis'!AZ144</f>
        <v>1.0284650868742335</v>
      </c>
      <c r="BA49" s="48">
        <f>'Ressourcenausgleich Basis'!BA144</f>
        <v>1.6325927230253594</v>
      </c>
      <c r="BB49" s="48">
        <f>'Ressourcenausgleich Basis'!BB144</f>
        <v>0.90318697681634152</v>
      </c>
      <c r="BC49" s="48">
        <f>'Ressourcenausgleich Basis'!BC144</f>
        <v>0.94215534012853297</v>
      </c>
      <c r="BD49" s="48">
        <f>'Ressourcenausgleich Basis'!BD144</f>
        <v>0.72678410718190434</v>
      </c>
      <c r="BE49" s="48">
        <f>'Ressourcenausgleich Basis'!BE144</f>
        <v>0.74197672075989607</v>
      </c>
      <c r="BF49" s="48">
        <f>'Ressourcenausgleich Basis'!BF144</f>
        <v>0.75679282790603331</v>
      </c>
      <c r="BG49" s="48">
        <f>'Ressourcenausgleich Basis'!BG144</f>
        <v>0.85728673225682506</v>
      </c>
      <c r="BH49" s="48">
        <f>'Ressourcenausgleich Basis'!BH144</f>
        <v>0.62255203445804697</v>
      </c>
      <c r="BI49" s="48">
        <f>'Ressourcenausgleich Basis'!BI144</f>
        <v>0.76760401500264674</v>
      </c>
      <c r="BJ49" s="48">
        <f>'Ressourcenausgleich Basis'!BJ144</f>
        <v>0.70547017791323796</v>
      </c>
      <c r="BK49" s="48">
        <f>'Ressourcenausgleich Basis'!BK144</f>
        <v>0.65143962592643601</v>
      </c>
      <c r="BL49" s="48">
        <f>'Ressourcenausgleich Basis'!BL144</f>
        <v>0.82443919249516717</v>
      </c>
      <c r="BM49" s="48">
        <f>'Ressourcenausgleich Basis'!BM144</f>
        <v>0.88988222025931696</v>
      </c>
      <c r="BN49" s="48">
        <f>'Ressourcenausgleich Basis'!BN144</f>
        <v>0.83701185167073178</v>
      </c>
      <c r="BO49" s="48">
        <f>'Ressourcenausgleich Basis'!BO144</f>
        <v>0.81213337076379177</v>
      </c>
      <c r="BP49" s="48">
        <f>'Ressourcenausgleich Basis'!BP144</f>
        <v>0.7714561776525577</v>
      </c>
      <c r="BQ49" s="48">
        <f>'Ressourcenausgleich Basis'!BQ144</f>
        <v>0.74128906017514296</v>
      </c>
      <c r="BR49" s="48">
        <f>'Ressourcenausgleich Basis'!BR144</f>
        <v>1.090364869666786</v>
      </c>
      <c r="BS49" s="48">
        <f>'Ressourcenausgleich Basis'!BS144</f>
        <v>1.2805801424550449</v>
      </c>
      <c r="BT49" s="48">
        <f>'Ressourcenausgleich Basis'!BT144</f>
        <v>1.0544504057831776</v>
      </c>
      <c r="BU49" s="48">
        <f>'Ressourcenausgleich Basis'!BU144</f>
        <v>0.84584042587901509</v>
      </c>
      <c r="BV49" s="48">
        <f>'Ressourcenausgleich Basis'!BV144</f>
        <v>0.83951728463028685</v>
      </c>
      <c r="BW49" s="48">
        <f>'Ressourcenausgleich Basis'!BW144</f>
        <v>0.96179566099812774</v>
      </c>
      <c r="BX49" s="48">
        <f>'Ressourcenausgleich Basis'!BX144</f>
        <v>0.96194367861822827</v>
      </c>
      <c r="BY49" s="48">
        <f>'Ressourcenausgleich Basis'!BY144</f>
        <v>0.85576884431079991</v>
      </c>
      <c r="BZ49" s="48">
        <f>'Ressourcenausgleich Basis'!BZ144</f>
        <v>1.0767138391735698</v>
      </c>
    </row>
    <row r="50" spans="1:80" x14ac:dyDescent="0.2">
      <c r="C50" s="3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</row>
    <row r="51" spans="1:80" x14ac:dyDescent="0.2">
      <c r="B51" t="s">
        <v>142</v>
      </c>
      <c r="C51" s="3"/>
      <c r="D51" s="48">
        <f>IF(D49&lt;100%,0%,IF(D49&gt;120%,100%,(-100%+D49)/20*100))</f>
        <v>0.59613000195217869</v>
      </c>
      <c r="E51" s="48">
        <f t="shared" ref="E51:BN51" si="22">IF(E49&lt;100%,0%,IF(E49&gt;120%,100%,(-100%+E49)/20*100))</f>
        <v>0</v>
      </c>
      <c r="F51" s="48">
        <f t="shared" si="22"/>
        <v>0</v>
      </c>
      <c r="G51" s="48">
        <f t="shared" si="22"/>
        <v>0</v>
      </c>
      <c r="H51" s="48">
        <f t="shared" si="22"/>
        <v>1</v>
      </c>
      <c r="I51" s="48">
        <f t="shared" si="22"/>
        <v>0.2077645084872215</v>
      </c>
      <c r="J51" s="48">
        <f t="shared" si="22"/>
        <v>0</v>
      </c>
      <c r="K51" s="48">
        <f t="shared" si="22"/>
        <v>0.55921300485986314</v>
      </c>
      <c r="L51" s="48">
        <f t="shared" si="22"/>
        <v>0.80639556740103491</v>
      </c>
      <c r="M51" s="48">
        <f t="shared" si="22"/>
        <v>0</v>
      </c>
      <c r="N51" s="48">
        <f t="shared" si="22"/>
        <v>0</v>
      </c>
      <c r="O51" s="48">
        <f t="shared" si="22"/>
        <v>0.12701224979797421</v>
      </c>
      <c r="P51" s="48">
        <f t="shared" si="22"/>
        <v>0</v>
      </c>
      <c r="Q51" s="48">
        <f t="shared" si="22"/>
        <v>0.58681123890733655</v>
      </c>
      <c r="R51" s="48">
        <f t="shared" si="22"/>
        <v>0</v>
      </c>
      <c r="S51" s="48">
        <f t="shared" si="22"/>
        <v>0</v>
      </c>
      <c r="T51" s="48">
        <f t="shared" si="22"/>
        <v>0.27631487122654286</v>
      </c>
      <c r="U51" s="48">
        <f t="shared" si="22"/>
        <v>0.94180072539656778</v>
      </c>
      <c r="V51" s="48">
        <f t="shared" si="22"/>
        <v>1</v>
      </c>
      <c r="W51" s="48">
        <f t="shared" si="22"/>
        <v>0.20062832490331584</v>
      </c>
      <c r="X51" s="48">
        <f t="shared" si="22"/>
        <v>0.49798910734371266</v>
      </c>
      <c r="Y51" s="48">
        <f t="shared" si="22"/>
        <v>0</v>
      </c>
      <c r="Z51" s="48">
        <f t="shared" si="22"/>
        <v>0</v>
      </c>
      <c r="AA51" s="48">
        <f t="shared" si="22"/>
        <v>0</v>
      </c>
      <c r="AB51" s="48">
        <f t="shared" si="22"/>
        <v>0</v>
      </c>
      <c r="AC51" s="48">
        <f t="shared" si="22"/>
        <v>0</v>
      </c>
      <c r="AD51" s="48">
        <f t="shared" si="22"/>
        <v>0</v>
      </c>
      <c r="AE51" s="48">
        <f t="shared" si="22"/>
        <v>1</v>
      </c>
      <c r="AF51" s="48">
        <f t="shared" si="22"/>
        <v>0</v>
      </c>
      <c r="AG51" s="48">
        <f t="shared" si="22"/>
        <v>0</v>
      </c>
      <c r="AH51" s="48">
        <f t="shared" si="22"/>
        <v>4.0565310235537444E-2</v>
      </c>
      <c r="AI51" s="48">
        <f t="shared" si="22"/>
        <v>0</v>
      </c>
      <c r="AJ51" s="48">
        <f t="shared" si="22"/>
        <v>0</v>
      </c>
      <c r="AK51" s="48">
        <f t="shared" si="22"/>
        <v>0</v>
      </c>
      <c r="AL51" s="48">
        <f t="shared" si="22"/>
        <v>0</v>
      </c>
      <c r="AM51" s="48">
        <f t="shared" si="22"/>
        <v>0.31120598831938406</v>
      </c>
      <c r="AN51" s="48">
        <f t="shared" si="22"/>
        <v>0</v>
      </c>
      <c r="AO51" s="48">
        <f t="shared" si="22"/>
        <v>0</v>
      </c>
      <c r="AP51" s="48">
        <f t="shared" si="22"/>
        <v>0</v>
      </c>
      <c r="AQ51" s="48">
        <f t="shared" si="22"/>
        <v>0</v>
      </c>
      <c r="AR51" s="48">
        <f t="shared" si="22"/>
        <v>0</v>
      </c>
      <c r="AS51" s="48">
        <f t="shared" si="22"/>
        <v>0.92473461249354505</v>
      </c>
      <c r="AT51" s="48">
        <f t="shared" si="22"/>
        <v>0.17842613468545654</v>
      </c>
      <c r="AU51" s="48">
        <f t="shared" si="22"/>
        <v>0</v>
      </c>
      <c r="AV51" s="48">
        <f t="shared" si="22"/>
        <v>0</v>
      </c>
      <c r="AW51" s="48">
        <f t="shared" si="22"/>
        <v>0</v>
      </c>
      <c r="AX51" s="48">
        <f t="shared" si="22"/>
        <v>0.29426758680096254</v>
      </c>
      <c r="AY51" s="48">
        <f t="shared" si="22"/>
        <v>0</v>
      </c>
      <c r="AZ51" s="48">
        <f t="shared" si="22"/>
        <v>0.14232543437116774</v>
      </c>
      <c r="BA51" s="48">
        <f t="shared" si="22"/>
        <v>1</v>
      </c>
      <c r="BB51" s="48">
        <f t="shared" si="22"/>
        <v>0</v>
      </c>
      <c r="BC51" s="48">
        <f t="shared" si="22"/>
        <v>0</v>
      </c>
      <c r="BD51" s="48">
        <f t="shared" si="22"/>
        <v>0</v>
      </c>
      <c r="BE51" s="48">
        <f t="shared" si="22"/>
        <v>0</v>
      </c>
      <c r="BF51" s="48">
        <f t="shared" si="22"/>
        <v>0</v>
      </c>
      <c r="BG51" s="48">
        <f t="shared" si="22"/>
        <v>0</v>
      </c>
      <c r="BH51" s="48">
        <f t="shared" ref="BH51" si="23">IF(BH49&lt;100%,0%,IF(BH49&gt;120%,100%,(-100%+BH49)/20*100))</f>
        <v>0</v>
      </c>
      <c r="BI51" s="48">
        <f t="shared" si="22"/>
        <v>0</v>
      </c>
      <c r="BJ51" s="48">
        <f t="shared" si="22"/>
        <v>0</v>
      </c>
      <c r="BK51" s="48">
        <f t="shared" si="22"/>
        <v>0</v>
      </c>
      <c r="BL51" s="48">
        <f t="shared" si="22"/>
        <v>0</v>
      </c>
      <c r="BM51" s="48">
        <f t="shared" si="22"/>
        <v>0</v>
      </c>
      <c r="BN51" s="48">
        <f t="shared" si="22"/>
        <v>0</v>
      </c>
      <c r="BO51" s="48">
        <f t="shared" ref="BO51:BZ51" si="24">IF(BO49&lt;100%,0%,IF(BO49&gt;120%,100%,(-100%+BO49)/20*100))</f>
        <v>0</v>
      </c>
      <c r="BP51" s="48">
        <f t="shared" si="24"/>
        <v>0</v>
      </c>
      <c r="BQ51" s="48">
        <f t="shared" si="24"/>
        <v>0</v>
      </c>
      <c r="BR51" s="48">
        <f t="shared" si="24"/>
        <v>0.45182434833393015</v>
      </c>
      <c r="BS51" s="48">
        <f t="shared" si="24"/>
        <v>1</v>
      </c>
      <c r="BT51" s="48">
        <f t="shared" si="24"/>
        <v>0.27225202891588807</v>
      </c>
      <c r="BU51" s="48">
        <f t="shared" si="24"/>
        <v>0</v>
      </c>
      <c r="BV51" s="48">
        <f t="shared" si="24"/>
        <v>0</v>
      </c>
      <c r="BW51" s="48">
        <f t="shared" si="24"/>
        <v>0</v>
      </c>
      <c r="BX51" s="48">
        <f t="shared" si="24"/>
        <v>0</v>
      </c>
      <c r="BY51" s="48">
        <f t="shared" si="24"/>
        <v>0</v>
      </c>
      <c r="BZ51" s="48">
        <f t="shared" si="24"/>
        <v>0.38356919586784888</v>
      </c>
    </row>
    <row r="52" spans="1:80" s="3" customFormat="1" x14ac:dyDescent="0.2">
      <c r="B52" s="3" t="s">
        <v>146</v>
      </c>
      <c r="D52" s="3">
        <f t="shared" ref="D52:AI52" si="25">D45*-D51</f>
        <v>0</v>
      </c>
      <c r="E52" s="3">
        <f t="shared" si="25"/>
        <v>0</v>
      </c>
      <c r="F52" s="3">
        <f t="shared" si="25"/>
        <v>0</v>
      </c>
      <c r="G52" s="3">
        <f t="shared" si="25"/>
        <v>0</v>
      </c>
      <c r="H52" s="3">
        <f t="shared" si="25"/>
        <v>0</v>
      </c>
      <c r="I52" s="3">
        <f t="shared" si="25"/>
        <v>0</v>
      </c>
      <c r="J52" s="3">
        <f t="shared" si="25"/>
        <v>0</v>
      </c>
      <c r="K52" s="3">
        <f t="shared" si="25"/>
        <v>-50959.605468077665</v>
      </c>
      <c r="L52" s="3">
        <f t="shared" si="25"/>
        <v>-473555.2784146787</v>
      </c>
      <c r="M52" s="3">
        <f t="shared" si="25"/>
        <v>0</v>
      </c>
      <c r="N52" s="3">
        <f t="shared" si="25"/>
        <v>0</v>
      </c>
      <c r="O52" s="3">
        <f t="shared" si="25"/>
        <v>0</v>
      </c>
      <c r="P52" s="3">
        <f t="shared" si="25"/>
        <v>0</v>
      </c>
      <c r="Q52" s="3">
        <f t="shared" si="25"/>
        <v>0</v>
      </c>
      <c r="R52" s="3">
        <f t="shared" si="25"/>
        <v>0</v>
      </c>
      <c r="S52" s="3">
        <f t="shared" si="25"/>
        <v>0</v>
      </c>
      <c r="T52" s="3">
        <f t="shared" si="25"/>
        <v>0</v>
      </c>
      <c r="U52" s="3">
        <f t="shared" si="25"/>
        <v>-91879.52416471632</v>
      </c>
      <c r="V52" s="3">
        <f t="shared" si="25"/>
        <v>0</v>
      </c>
      <c r="W52" s="3">
        <f t="shared" si="25"/>
        <v>-65724.625228821838</v>
      </c>
      <c r="X52" s="3">
        <f t="shared" si="25"/>
        <v>-18625.062461653251</v>
      </c>
      <c r="Y52" s="3">
        <f t="shared" si="25"/>
        <v>0</v>
      </c>
      <c r="Z52" s="3">
        <f t="shared" si="25"/>
        <v>0</v>
      </c>
      <c r="AA52" s="3">
        <f t="shared" si="25"/>
        <v>0</v>
      </c>
      <c r="AB52" s="3">
        <f t="shared" si="25"/>
        <v>0</v>
      </c>
      <c r="AC52" s="3">
        <f t="shared" si="25"/>
        <v>0</v>
      </c>
      <c r="AD52" s="3">
        <f t="shared" si="25"/>
        <v>0</v>
      </c>
      <c r="AE52" s="3">
        <f t="shared" si="25"/>
        <v>0</v>
      </c>
      <c r="AF52" s="3">
        <f t="shared" si="25"/>
        <v>0</v>
      </c>
      <c r="AG52" s="3">
        <f t="shared" si="25"/>
        <v>0</v>
      </c>
      <c r="AH52" s="3">
        <f t="shared" si="25"/>
        <v>-28438.200154554477</v>
      </c>
      <c r="AI52" s="3">
        <f t="shared" si="25"/>
        <v>0</v>
      </c>
      <c r="AJ52" s="3">
        <f t="shared" ref="AJ52:BM52" si="26">AJ45*-AJ51</f>
        <v>0</v>
      </c>
      <c r="AK52" s="3">
        <f t="shared" si="26"/>
        <v>0</v>
      </c>
      <c r="AL52" s="3">
        <f t="shared" si="26"/>
        <v>0</v>
      </c>
      <c r="AM52" s="3">
        <f t="shared" si="26"/>
        <v>0</v>
      </c>
      <c r="AN52" s="3">
        <f t="shared" si="26"/>
        <v>0</v>
      </c>
      <c r="AO52" s="3">
        <f t="shared" si="26"/>
        <v>0</v>
      </c>
      <c r="AP52" s="3">
        <f t="shared" si="26"/>
        <v>0</v>
      </c>
      <c r="AQ52" s="3">
        <f t="shared" si="26"/>
        <v>0</v>
      </c>
      <c r="AR52" s="3">
        <f t="shared" si="26"/>
        <v>0</v>
      </c>
      <c r="AS52" s="3">
        <f t="shared" si="26"/>
        <v>0</v>
      </c>
      <c r="AT52" s="3">
        <f t="shared" si="26"/>
        <v>0</v>
      </c>
      <c r="AU52" s="3">
        <f t="shared" si="26"/>
        <v>0</v>
      </c>
      <c r="AV52" s="3">
        <f t="shared" si="26"/>
        <v>0</v>
      </c>
      <c r="AW52" s="3">
        <f t="shared" si="26"/>
        <v>0</v>
      </c>
      <c r="AX52" s="3">
        <f t="shared" si="26"/>
        <v>0</v>
      </c>
      <c r="AY52" s="3">
        <f t="shared" si="26"/>
        <v>0</v>
      </c>
      <c r="AZ52" s="3">
        <f t="shared" si="26"/>
        <v>0</v>
      </c>
      <c r="BA52" s="3">
        <f t="shared" si="26"/>
        <v>0</v>
      </c>
      <c r="BB52" s="3">
        <f t="shared" si="26"/>
        <v>0</v>
      </c>
      <c r="BC52" s="3">
        <f t="shared" si="26"/>
        <v>0</v>
      </c>
      <c r="BD52" s="3">
        <f t="shared" si="26"/>
        <v>0</v>
      </c>
      <c r="BE52" s="3">
        <f t="shared" si="26"/>
        <v>0</v>
      </c>
      <c r="BF52" s="3">
        <f t="shared" si="26"/>
        <v>0</v>
      </c>
      <c r="BG52" s="3">
        <f t="shared" si="26"/>
        <v>0</v>
      </c>
      <c r="BH52" s="3">
        <f t="shared" ref="BH52" si="27">BH45*-BH51</f>
        <v>0</v>
      </c>
      <c r="BI52" s="3">
        <f t="shared" si="26"/>
        <v>0</v>
      </c>
      <c r="BJ52" s="3">
        <f t="shared" si="26"/>
        <v>0</v>
      </c>
      <c r="BK52" s="3">
        <f t="shared" si="26"/>
        <v>0</v>
      </c>
      <c r="BL52" s="3">
        <f t="shared" si="26"/>
        <v>0</v>
      </c>
      <c r="BM52" s="3">
        <f t="shared" si="26"/>
        <v>0</v>
      </c>
      <c r="BN52" s="3">
        <f t="shared" ref="BN52:BZ52" si="28">BN45*-BN51</f>
        <v>0</v>
      </c>
      <c r="BO52" s="3">
        <f t="shared" si="28"/>
        <v>0</v>
      </c>
      <c r="BP52" s="3">
        <f t="shared" si="28"/>
        <v>0</v>
      </c>
      <c r="BQ52" s="3">
        <f t="shared" si="28"/>
        <v>0</v>
      </c>
      <c r="BR52" s="3">
        <f t="shared" si="28"/>
        <v>0</v>
      </c>
      <c r="BS52" s="3">
        <f t="shared" si="28"/>
        <v>0</v>
      </c>
      <c r="BT52" s="3">
        <f t="shared" si="28"/>
        <v>-75300.596830512513</v>
      </c>
      <c r="BU52" s="3">
        <f t="shared" si="28"/>
        <v>0</v>
      </c>
      <c r="BV52" s="3">
        <f t="shared" si="28"/>
        <v>0</v>
      </c>
      <c r="BW52" s="3">
        <f t="shared" si="28"/>
        <v>0</v>
      </c>
      <c r="BX52" s="3">
        <f t="shared" si="28"/>
        <v>0</v>
      </c>
      <c r="BY52" s="3">
        <f t="shared" si="28"/>
        <v>0</v>
      </c>
      <c r="BZ52" s="3">
        <f t="shared" si="28"/>
        <v>-170501.42209807769</v>
      </c>
    </row>
    <row r="53" spans="1:80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</row>
    <row r="54" spans="1:80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</row>
    <row r="55" spans="1:80" s="41" customFormat="1" ht="15.75" x14ac:dyDescent="0.25">
      <c r="A55" s="50" t="s">
        <v>99</v>
      </c>
      <c r="B55" s="50" t="s">
        <v>144</v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0"/>
      <c r="CB55" s="50"/>
    </row>
    <row r="56" spans="1:80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</row>
    <row r="57" spans="1:80" x14ac:dyDescent="0.2">
      <c r="B57" t="s">
        <v>127</v>
      </c>
      <c r="C57" s="3">
        <f>SUM(D57:BZ57)</f>
        <v>22242517.071800586</v>
      </c>
      <c r="D57" s="3">
        <f t="shared" ref="D57:AI57" si="29">D35</f>
        <v>-4934899.5973802023</v>
      </c>
      <c r="E57" s="3">
        <f t="shared" si="29"/>
        <v>469001.39531958726</v>
      </c>
      <c r="F57" s="3">
        <f t="shared" si="29"/>
        <v>560353.0695631631</v>
      </c>
      <c r="G57" s="3">
        <f t="shared" si="29"/>
        <v>97274.604662183527</v>
      </c>
      <c r="H57" s="3">
        <f t="shared" si="29"/>
        <v>-20634.785178072318</v>
      </c>
      <c r="I57" s="3">
        <f t="shared" si="29"/>
        <v>-207922.67032332061</v>
      </c>
      <c r="J57" s="3">
        <f t="shared" si="29"/>
        <v>-146167.07886087592</v>
      </c>
      <c r="K57" s="3">
        <f t="shared" si="29"/>
        <v>91127.361175815226</v>
      </c>
      <c r="L57" s="3">
        <f t="shared" si="29"/>
        <v>587249.35696375323</v>
      </c>
      <c r="M57" s="3">
        <f t="shared" si="29"/>
        <v>208149.49071217244</v>
      </c>
      <c r="N57" s="3">
        <f t="shared" si="29"/>
        <v>321038.63135899336</v>
      </c>
      <c r="O57" s="3">
        <f t="shared" si="29"/>
        <v>-415784.8138256151</v>
      </c>
      <c r="P57" s="3">
        <f t="shared" si="29"/>
        <v>-594483.19169332786</v>
      </c>
      <c r="Q57" s="3">
        <f t="shared" si="29"/>
        <v>-304909.95644445432</v>
      </c>
      <c r="R57" s="3">
        <f t="shared" si="29"/>
        <v>-282624.25088653254</v>
      </c>
      <c r="S57" s="3">
        <f t="shared" si="29"/>
        <v>317206.23219686263</v>
      </c>
      <c r="T57" s="3">
        <f t="shared" si="29"/>
        <v>-212592.35877378276</v>
      </c>
      <c r="U57" s="3">
        <f t="shared" si="29"/>
        <v>97557.287531317459</v>
      </c>
      <c r="V57" s="3">
        <f t="shared" si="29"/>
        <v>-6210.7712740695315</v>
      </c>
      <c r="W57" s="3">
        <f t="shared" si="29"/>
        <v>327593.9489625654</v>
      </c>
      <c r="X57" s="3">
        <f t="shared" si="29"/>
        <v>-15656.668646332742</v>
      </c>
      <c r="Y57" s="3">
        <f t="shared" si="29"/>
        <v>-246156.367481597</v>
      </c>
      <c r="Z57" s="3">
        <f t="shared" si="29"/>
        <v>-56318.024439590168</v>
      </c>
      <c r="AA57" s="3">
        <f t="shared" si="29"/>
        <v>-102264.89889431246</v>
      </c>
      <c r="AB57" s="3">
        <f t="shared" si="29"/>
        <v>129946.81365152763</v>
      </c>
      <c r="AC57" s="3">
        <f t="shared" si="29"/>
        <v>874558.46014091291</v>
      </c>
      <c r="AD57" s="3">
        <f t="shared" si="29"/>
        <v>688419.40848109417</v>
      </c>
      <c r="AE57" s="3">
        <f t="shared" si="29"/>
        <v>-398791.40648768534</v>
      </c>
      <c r="AF57" s="3">
        <f t="shared" si="29"/>
        <v>842331.65180886129</v>
      </c>
      <c r="AG57" s="3">
        <f t="shared" si="29"/>
        <v>739280.34369435813</v>
      </c>
      <c r="AH57" s="3">
        <f t="shared" si="29"/>
        <v>666808.46186576888</v>
      </c>
      <c r="AI57" s="3">
        <f t="shared" si="29"/>
        <v>1060721.8553314048</v>
      </c>
      <c r="AJ57" s="3">
        <f t="shared" ref="AJ57:BM57" si="30">AJ35</f>
        <v>1242062.8447029372</v>
      </c>
      <c r="AK57" s="3">
        <f t="shared" si="30"/>
        <v>663783.09310899884</v>
      </c>
      <c r="AL57" s="3">
        <f t="shared" si="30"/>
        <v>112648.43837035249</v>
      </c>
      <c r="AM57" s="3">
        <f t="shared" si="30"/>
        <v>-321630.69978073379</v>
      </c>
      <c r="AN57" s="3">
        <f t="shared" si="30"/>
        <v>18777.086875217035</v>
      </c>
      <c r="AO57" s="3">
        <f t="shared" si="30"/>
        <v>740043.24774749123</v>
      </c>
      <c r="AP57" s="3">
        <f t="shared" si="30"/>
        <v>735720.24842929386</v>
      </c>
      <c r="AQ57" s="3">
        <f t="shared" si="30"/>
        <v>252277.6602386804</v>
      </c>
      <c r="AR57" s="3">
        <f t="shared" si="30"/>
        <v>-164495.80619381368</v>
      </c>
      <c r="AS57" s="3">
        <f t="shared" si="30"/>
        <v>-193348.52155670268</v>
      </c>
      <c r="AT57" s="3">
        <f t="shared" si="30"/>
        <v>-127826.70238761549</v>
      </c>
      <c r="AU57" s="3">
        <f t="shared" si="30"/>
        <v>1379531.9539682041</v>
      </c>
      <c r="AV57" s="3">
        <f t="shared" si="30"/>
        <v>556536.76369475294</v>
      </c>
      <c r="AW57" s="3">
        <f t="shared" si="30"/>
        <v>311589.29184506781</v>
      </c>
      <c r="AX57" s="3">
        <f t="shared" si="30"/>
        <v>-263603.1409674671</v>
      </c>
      <c r="AY57" s="3">
        <f t="shared" si="30"/>
        <v>815781.85379521537</v>
      </c>
      <c r="AZ57" s="3">
        <f t="shared" si="30"/>
        <v>-119541.1025976995</v>
      </c>
      <c r="BA57" s="3">
        <f t="shared" si="30"/>
        <v>-1194620.2827157343</v>
      </c>
      <c r="BB57" s="3">
        <f t="shared" si="30"/>
        <v>525604.88973165036</v>
      </c>
      <c r="BC57" s="3">
        <f t="shared" si="30"/>
        <v>219339.29298420501</v>
      </c>
      <c r="BD57" s="3">
        <f t="shared" si="30"/>
        <v>-74348.957304373675</v>
      </c>
      <c r="BE57" s="3">
        <f t="shared" si="30"/>
        <v>-45505.074708955719</v>
      </c>
      <c r="BF57" s="3">
        <f t="shared" si="30"/>
        <v>104903.24742285261</v>
      </c>
      <c r="BG57" s="3">
        <f t="shared" si="30"/>
        <v>-144163.85208661295</v>
      </c>
      <c r="BH57" s="3">
        <f t="shared" ref="BH57" si="31">BH35</f>
        <v>1361710.3712310784</v>
      </c>
      <c r="BI57" s="3">
        <f t="shared" si="30"/>
        <v>1167329.0985129133</v>
      </c>
      <c r="BJ57" s="3">
        <f t="shared" si="30"/>
        <v>586950.50491842045</v>
      </c>
      <c r="BK57" s="3">
        <f t="shared" si="30"/>
        <v>988555.97785367433</v>
      </c>
      <c r="BL57" s="3">
        <f t="shared" si="30"/>
        <v>2611011.0881591388</v>
      </c>
      <c r="BM57" s="3">
        <f t="shared" si="30"/>
        <v>952570.98749738489</v>
      </c>
      <c r="BN57" s="3">
        <f t="shared" ref="BN57:BZ57" si="32">BN35</f>
        <v>1287426.9178991897</v>
      </c>
      <c r="BO57" s="3">
        <f t="shared" si="32"/>
        <v>1757906.0814837608</v>
      </c>
      <c r="BP57" s="3">
        <f t="shared" si="32"/>
        <v>1079826.8619458594</v>
      </c>
      <c r="BQ57" s="3">
        <f t="shared" si="32"/>
        <v>1158339.4269445085</v>
      </c>
      <c r="BR57" s="3">
        <f t="shared" si="32"/>
        <v>-149924.39807613453</v>
      </c>
      <c r="BS57" s="3">
        <f t="shared" si="32"/>
        <v>-63593.197864006324</v>
      </c>
      <c r="BT57" s="3">
        <f t="shared" si="32"/>
        <v>276584.15303775953</v>
      </c>
      <c r="BU57" s="3">
        <f t="shared" si="32"/>
        <v>539563.04889246018</v>
      </c>
      <c r="BV57" s="3">
        <f t="shared" si="32"/>
        <v>1036989.240737407</v>
      </c>
      <c r="BW57" s="3">
        <f t="shared" si="32"/>
        <v>-143036.33307838449</v>
      </c>
      <c r="BX57" s="3">
        <f t="shared" si="32"/>
        <v>664232.88643780374</v>
      </c>
      <c r="BY57" s="3">
        <f t="shared" si="32"/>
        <v>1533801.1952299511</v>
      </c>
      <c r="BZ57" s="3">
        <f t="shared" si="32"/>
        <v>433555.85459201777</v>
      </c>
    </row>
    <row r="58" spans="1:80" x14ac:dyDescent="0.2">
      <c r="B58" t="s">
        <v>123</v>
      </c>
      <c r="C58" s="3">
        <f>SUM(D58:BZ58)</f>
        <v>1329536.9375497557</v>
      </c>
      <c r="D58" s="3">
        <f t="shared" ref="D58:AI58" si="33">D43</f>
        <v>0</v>
      </c>
      <c r="E58" s="3">
        <f t="shared" si="33"/>
        <v>88235.319016134861</v>
      </c>
      <c r="F58" s="3">
        <f t="shared" si="33"/>
        <v>0</v>
      </c>
      <c r="G58" s="3">
        <f t="shared" si="33"/>
        <v>0</v>
      </c>
      <c r="H58" s="3">
        <f t="shared" si="33"/>
        <v>0</v>
      </c>
      <c r="I58" s="3">
        <f t="shared" si="33"/>
        <v>23440.336358233937</v>
      </c>
      <c r="J58" s="3">
        <f t="shared" si="33"/>
        <v>0</v>
      </c>
      <c r="K58" s="3">
        <f t="shared" si="33"/>
        <v>0</v>
      </c>
      <c r="L58" s="3">
        <f t="shared" si="33"/>
        <v>0</v>
      </c>
      <c r="M58" s="3">
        <f t="shared" si="33"/>
        <v>14027.43592954025</v>
      </c>
      <c r="N58" s="3">
        <f t="shared" si="33"/>
        <v>40600.101193390568</v>
      </c>
      <c r="O58" s="3">
        <f t="shared" si="33"/>
        <v>66250.920271194555</v>
      </c>
      <c r="P58" s="3">
        <f t="shared" si="33"/>
        <v>125487.07368897094</v>
      </c>
      <c r="Q58" s="3">
        <f t="shared" si="33"/>
        <v>0</v>
      </c>
      <c r="R58" s="3">
        <f t="shared" si="33"/>
        <v>11431.416483216664</v>
      </c>
      <c r="S58" s="3">
        <f t="shared" si="33"/>
        <v>18588.631768183983</v>
      </c>
      <c r="T58" s="3">
        <f t="shared" si="33"/>
        <v>20814.346756018356</v>
      </c>
      <c r="U58" s="3">
        <f t="shared" si="33"/>
        <v>0</v>
      </c>
      <c r="V58" s="3">
        <f t="shared" si="33"/>
        <v>0</v>
      </c>
      <c r="W58" s="3">
        <f t="shared" si="33"/>
        <v>0</v>
      </c>
      <c r="X58" s="3">
        <f t="shared" si="33"/>
        <v>53057.210519627595</v>
      </c>
      <c r="Y58" s="3">
        <f t="shared" si="33"/>
        <v>64763.903485986171</v>
      </c>
      <c r="Z58" s="3">
        <f t="shared" si="33"/>
        <v>0</v>
      </c>
      <c r="AA58" s="3">
        <f t="shared" si="33"/>
        <v>15387.236551463795</v>
      </c>
      <c r="AB58" s="3">
        <f t="shared" si="33"/>
        <v>0</v>
      </c>
      <c r="AC58" s="3">
        <f t="shared" si="33"/>
        <v>0</v>
      </c>
      <c r="AD58" s="3">
        <f t="shared" si="33"/>
        <v>0</v>
      </c>
      <c r="AE58" s="3">
        <f t="shared" si="33"/>
        <v>0</v>
      </c>
      <c r="AF58" s="3">
        <f t="shared" si="33"/>
        <v>0</v>
      </c>
      <c r="AG58" s="3">
        <f t="shared" si="33"/>
        <v>0</v>
      </c>
      <c r="AH58" s="3">
        <f t="shared" si="33"/>
        <v>34238.81201015113</v>
      </c>
      <c r="AI58" s="3">
        <f t="shared" si="33"/>
        <v>7501.2507615199775</v>
      </c>
      <c r="AJ58" s="3">
        <f t="shared" ref="AJ58:BM58" si="34">AJ43</f>
        <v>0</v>
      </c>
      <c r="AK58" s="3">
        <f t="shared" si="34"/>
        <v>0</v>
      </c>
      <c r="AL58" s="3">
        <f t="shared" si="34"/>
        <v>0</v>
      </c>
      <c r="AM58" s="3">
        <f t="shared" si="34"/>
        <v>0</v>
      </c>
      <c r="AN58" s="3">
        <f t="shared" si="34"/>
        <v>0</v>
      </c>
      <c r="AO58" s="3">
        <f t="shared" si="34"/>
        <v>0</v>
      </c>
      <c r="AP58" s="3">
        <f t="shared" si="34"/>
        <v>0</v>
      </c>
      <c r="AQ58" s="3">
        <f t="shared" si="34"/>
        <v>0</v>
      </c>
      <c r="AR58" s="3">
        <f t="shared" si="34"/>
        <v>0</v>
      </c>
      <c r="AS58" s="3">
        <f t="shared" si="34"/>
        <v>0</v>
      </c>
      <c r="AT58" s="3">
        <f t="shared" si="34"/>
        <v>0</v>
      </c>
      <c r="AU58" s="3">
        <f t="shared" si="34"/>
        <v>5086.7759019573414</v>
      </c>
      <c r="AV58" s="3">
        <f t="shared" si="34"/>
        <v>21605.275604824401</v>
      </c>
      <c r="AW58" s="3">
        <f t="shared" si="34"/>
        <v>0</v>
      </c>
      <c r="AX58" s="3">
        <f t="shared" si="34"/>
        <v>0</v>
      </c>
      <c r="AY58" s="3">
        <f t="shared" si="34"/>
        <v>101893.55950320866</v>
      </c>
      <c r="AZ58" s="3">
        <f t="shared" si="34"/>
        <v>0</v>
      </c>
      <c r="BA58" s="3">
        <f t="shared" si="34"/>
        <v>0</v>
      </c>
      <c r="BB58" s="3">
        <f t="shared" si="34"/>
        <v>6560.6581961974643</v>
      </c>
      <c r="BC58" s="3">
        <f t="shared" si="34"/>
        <v>0</v>
      </c>
      <c r="BD58" s="3">
        <f t="shared" si="34"/>
        <v>4726.3991411175984</v>
      </c>
      <c r="BE58" s="3">
        <f t="shared" si="34"/>
        <v>49596.693041108992</v>
      </c>
      <c r="BF58" s="3">
        <f t="shared" si="34"/>
        <v>135131.34425561657</v>
      </c>
      <c r="BG58" s="3">
        <f t="shared" si="34"/>
        <v>41826.085002448082</v>
      </c>
      <c r="BH58" s="3">
        <f t="shared" ref="BH58" si="35">BH43</f>
        <v>71197.960154284869</v>
      </c>
      <c r="BI58" s="3">
        <f t="shared" si="34"/>
        <v>40120.030871926348</v>
      </c>
      <c r="BJ58" s="3">
        <f t="shared" si="34"/>
        <v>8105.8248335868611</v>
      </c>
      <c r="BK58" s="3">
        <f t="shared" si="34"/>
        <v>0</v>
      </c>
      <c r="BL58" s="3">
        <f t="shared" si="34"/>
        <v>58217.368542030301</v>
      </c>
      <c r="BM58" s="3">
        <f t="shared" si="34"/>
        <v>0</v>
      </c>
      <c r="BN58" s="3">
        <f t="shared" ref="BN58:BZ58" si="36">BN43</f>
        <v>44735.060753409569</v>
      </c>
      <c r="BO58" s="3">
        <f t="shared" si="36"/>
        <v>5428.0989658278368</v>
      </c>
      <c r="BP58" s="3">
        <f t="shared" si="36"/>
        <v>82588.677085630377</v>
      </c>
      <c r="BQ58" s="3">
        <f t="shared" si="36"/>
        <v>0</v>
      </c>
      <c r="BR58" s="3">
        <f t="shared" si="36"/>
        <v>57936.172852887459</v>
      </c>
      <c r="BS58" s="3">
        <f t="shared" si="36"/>
        <v>0</v>
      </c>
      <c r="BT58" s="3">
        <f t="shared" si="36"/>
        <v>0</v>
      </c>
      <c r="BU58" s="3">
        <f t="shared" si="36"/>
        <v>0</v>
      </c>
      <c r="BV58" s="3">
        <f t="shared" si="36"/>
        <v>0</v>
      </c>
      <c r="BW58" s="3">
        <f t="shared" si="36"/>
        <v>0</v>
      </c>
      <c r="BX58" s="3">
        <f t="shared" si="36"/>
        <v>0</v>
      </c>
      <c r="BY58" s="3">
        <f t="shared" si="36"/>
        <v>0</v>
      </c>
      <c r="BZ58" s="3">
        <f t="shared" si="36"/>
        <v>10956.95805006037</v>
      </c>
    </row>
    <row r="59" spans="1:80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</row>
    <row r="60" spans="1:80" s="19" customFormat="1" x14ac:dyDescent="0.2">
      <c r="B60" s="19" t="s">
        <v>138</v>
      </c>
      <c r="C60" s="13">
        <f>SUM(D60:BZ60)</f>
        <v>34029883.28531152</v>
      </c>
      <c r="D60" s="13">
        <f t="shared" ref="D60:AI60" si="37">D45</f>
        <v>0</v>
      </c>
      <c r="E60" s="13">
        <f t="shared" si="37"/>
        <v>557236.71433572215</v>
      </c>
      <c r="F60" s="13">
        <f t="shared" si="37"/>
        <v>560353.0695631631</v>
      </c>
      <c r="G60" s="13">
        <f t="shared" si="37"/>
        <v>97274.604662183527</v>
      </c>
      <c r="H60" s="13">
        <f t="shared" si="37"/>
        <v>0</v>
      </c>
      <c r="I60" s="13">
        <f t="shared" si="37"/>
        <v>0</v>
      </c>
      <c r="J60" s="13">
        <f t="shared" si="37"/>
        <v>0</v>
      </c>
      <c r="K60" s="13">
        <f t="shared" si="37"/>
        <v>91127.361175815226</v>
      </c>
      <c r="L60" s="13">
        <f t="shared" si="37"/>
        <v>587249.35696375323</v>
      </c>
      <c r="M60" s="13">
        <f t="shared" si="37"/>
        <v>222176.92664171269</v>
      </c>
      <c r="N60" s="13">
        <f t="shared" si="37"/>
        <v>361638.73255238391</v>
      </c>
      <c r="O60" s="13">
        <f t="shared" si="37"/>
        <v>0</v>
      </c>
      <c r="P60" s="13">
        <f t="shared" si="37"/>
        <v>0</v>
      </c>
      <c r="Q60" s="13">
        <f t="shared" si="37"/>
        <v>0</v>
      </c>
      <c r="R60" s="13">
        <f t="shared" si="37"/>
        <v>0</v>
      </c>
      <c r="S60" s="13">
        <f t="shared" si="37"/>
        <v>335794.86396504659</v>
      </c>
      <c r="T60" s="13">
        <f t="shared" si="37"/>
        <v>0</v>
      </c>
      <c r="U60" s="13">
        <f t="shared" si="37"/>
        <v>97557.287531317459</v>
      </c>
      <c r="V60" s="13">
        <f t="shared" si="37"/>
        <v>0</v>
      </c>
      <c r="W60" s="13">
        <f t="shared" si="37"/>
        <v>327593.9489625654</v>
      </c>
      <c r="X60" s="13">
        <f t="shared" si="37"/>
        <v>37400.541873294853</v>
      </c>
      <c r="Y60" s="13">
        <f t="shared" si="37"/>
        <v>0</v>
      </c>
      <c r="Z60" s="13">
        <f t="shared" si="37"/>
        <v>0</v>
      </c>
      <c r="AA60" s="13">
        <f t="shared" si="37"/>
        <v>0</v>
      </c>
      <c r="AB60" s="13">
        <f t="shared" si="37"/>
        <v>129946.81365152763</v>
      </c>
      <c r="AC60" s="13">
        <f t="shared" si="37"/>
        <v>874558.46014091291</v>
      </c>
      <c r="AD60" s="13">
        <f t="shared" si="37"/>
        <v>688419.40848109417</v>
      </c>
      <c r="AE60" s="13">
        <f t="shared" si="37"/>
        <v>0</v>
      </c>
      <c r="AF60" s="13">
        <f t="shared" si="37"/>
        <v>842331.65180886129</v>
      </c>
      <c r="AG60" s="13">
        <f t="shared" si="37"/>
        <v>739280.34369435813</v>
      </c>
      <c r="AH60" s="13">
        <f t="shared" si="37"/>
        <v>701047.27387591999</v>
      </c>
      <c r="AI60" s="13">
        <f t="shared" si="37"/>
        <v>1068223.1060929247</v>
      </c>
      <c r="AJ60" s="13">
        <f t="shared" ref="AJ60:BM60" si="38">AJ45</f>
        <v>1242062.8447029372</v>
      </c>
      <c r="AK60" s="13">
        <f t="shared" si="38"/>
        <v>663783.09310899884</v>
      </c>
      <c r="AL60" s="13">
        <f t="shared" si="38"/>
        <v>112648.43837035249</v>
      </c>
      <c r="AM60" s="13">
        <f t="shared" si="38"/>
        <v>0</v>
      </c>
      <c r="AN60" s="13">
        <f t="shared" si="38"/>
        <v>18777.086875217035</v>
      </c>
      <c r="AO60" s="13">
        <f t="shared" si="38"/>
        <v>740043.24774749123</v>
      </c>
      <c r="AP60" s="13">
        <f t="shared" si="38"/>
        <v>735720.24842929386</v>
      </c>
      <c r="AQ60" s="13">
        <f t="shared" si="38"/>
        <v>252277.6602386804</v>
      </c>
      <c r="AR60" s="13">
        <f t="shared" si="38"/>
        <v>0</v>
      </c>
      <c r="AS60" s="13">
        <f t="shared" si="38"/>
        <v>0</v>
      </c>
      <c r="AT60" s="13">
        <f t="shared" si="38"/>
        <v>0</v>
      </c>
      <c r="AU60" s="13">
        <f t="shared" si="38"/>
        <v>1384618.7298701615</v>
      </c>
      <c r="AV60" s="13">
        <f t="shared" si="38"/>
        <v>578142.03929957736</v>
      </c>
      <c r="AW60" s="13">
        <f t="shared" si="38"/>
        <v>311589.29184506781</v>
      </c>
      <c r="AX60" s="13">
        <f t="shared" si="38"/>
        <v>0</v>
      </c>
      <c r="AY60" s="13">
        <f t="shared" si="38"/>
        <v>917675.41329842398</v>
      </c>
      <c r="AZ60" s="13">
        <f t="shared" si="38"/>
        <v>0</v>
      </c>
      <c r="BA60" s="13">
        <f t="shared" si="38"/>
        <v>0</v>
      </c>
      <c r="BB60" s="13">
        <f t="shared" si="38"/>
        <v>532165.54792784783</v>
      </c>
      <c r="BC60" s="13">
        <f t="shared" si="38"/>
        <v>219339.29298420501</v>
      </c>
      <c r="BD60" s="13">
        <f t="shared" si="38"/>
        <v>0</v>
      </c>
      <c r="BE60" s="13">
        <f t="shared" si="38"/>
        <v>4091.6183321532735</v>
      </c>
      <c r="BF60" s="13">
        <f t="shared" si="38"/>
        <v>240034.59167846918</v>
      </c>
      <c r="BG60" s="13">
        <f t="shared" si="38"/>
        <v>0</v>
      </c>
      <c r="BH60" s="13">
        <f t="shared" ref="BH60" si="39">BH45</f>
        <v>1432908.3313853634</v>
      </c>
      <c r="BI60" s="13">
        <f t="shared" si="38"/>
        <v>1207449.1293848397</v>
      </c>
      <c r="BJ60" s="13">
        <f t="shared" si="38"/>
        <v>595056.32975200727</v>
      </c>
      <c r="BK60" s="13">
        <f t="shared" si="38"/>
        <v>988555.97785367433</v>
      </c>
      <c r="BL60" s="13">
        <f t="shared" si="38"/>
        <v>2669228.4567011693</v>
      </c>
      <c r="BM60" s="13">
        <f t="shared" si="38"/>
        <v>952570.98749738489</v>
      </c>
      <c r="BN60" s="13">
        <f t="shared" ref="BN60:BZ60" si="40">BN45</f>
        <v>1332161.9786525993</v>
      </c>
      <c r="BO60" s="13">
        <f t="shared" si="40"/>
        <v>1763334.1804495887</v>
      </c>
      <c r="BP60" s="13">
        <f t="shared" si="40"/>
        <v>1162415.5390314898</v>
      </c>
      <c r="BQ60" s="13">
        <f t="shared" si="40"/>
        <v>1158339.4269445085</v>
      </c>
      <c r="BR60" s="13">
        <f t="shared" si="40"/>
        <v>0</v>
      </c>
      <c r="BS60" s="13">
        <f t="shared" si="40"/>
        <v>0</v>
      </c>
      <c r="BT60" s="13">
        <f t="shared" si="40"/>
        <v>276584.15303775953</v>
      </c>
      <c r="BU60" s="13">
        <f t="shared" si="40"/>
        <v>539563.04889246018</v>
      </c>
      <c r="BV60" s="13">
        <f t="shared" si="40"/>
        <v>1036989.240737407</v>
      </c>
      <c r="BW60" s="13">
        <f t="shared" si="40"/>
        <v>0</v>
      </c>
      <c r="BX60" s="13">
        <f t="shared" si="40"/>
        <v>664232.88643780374</v>
      </c>
      <c r="BY60" s="13">
        <f t="shared" si="40"/>
        <v>1533801.1952299511</v>
      </c>
      <c r="BZ60" s="13">
        <f t="shared" si="40"/>
        <v>444512.81264207815</v>
      </c>
    </row>
    <row r="61" spans="1:80" s="19" customFormat="1" x14ac:dyDescent="0.2">
      <c r="C61" s="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</row>
    <row r="62" spans="1:80" x14ac:dyDescent="0.2">
      <c r="B62" t="s">
        <v>139</v>
      </c>
      <c r="C62" s="3">
        <f>SUM(D62:BZ62)</f>
        <v>-974984.31482109253</v>
      </c>
      <c r="D62" s="3">
        <f>D52</f>
        <v>0</v>
      </c>
      <c r="E62" s="3">
        <f t="shared" ref="E62:BN62" si="41">E52</f>
        <v>0</v>
      </c>
      <c r="F62" s="3">
        <f t="shared" si="41"/>
        <v>0</v>
      </c>
      <c r="G62" s="3">
        <f t="shared" si="41"/>
        <v>0</v>
      </c>
      <c r="H62" s="3">
        <f t="shared" si="41"/>
        <v>0</v>
      </c>
      <c r="I62" s="3">
        <f t="shared" si="41"/>
        <v>0</v>
      </c>
      <c r="J62" s="3">
        <f t="shared" si="41"/>
        <v>0</v>
      </c>
      <c r="K62" s="3">
        <f t="shared" si="41"/>
        <v>-50959.605468077665</v>
      </c>
      <c r="L62" s="3">
        <f t="shared" si="41"/>
        <v>-473555.2784146787</v>
      </c>
      <c r="M62" s="3">
        <f t="shared" si="41"/>
        <v>0</v>
      </c>
      <c r="N62" s="3">
        <f t="shared" si="41"/>
        <v>0</v>
      </c>
      <c r="O62" s="3">
        <f t="shared" si="41"/>
        <v>0</v>
      </c>
      <c r="P62" s="3">
        <f t="shared" si="41"/>
        <v>0</v>
      </c>
      <c r="Q62" s="3">
        <f t="shared" si="41"/>
        <v>0</v>
      </c>
      <c r="R62" s="3">
        <f t="shared" si="41"/>
        <v>0</v>
      </c>
      <c r="S62" s="3">
        <f t="shared" si="41"/>
        <v>0</v>
      </c>
      <c r="T62" s="3">
        <f t="shared" si="41"/>
        <v>0</v>
      </c>
      <c r="U62" s="3">
        <f t="shared" si="41"/>
        <v>-91879.52416471632</v>
      </c>
      <c r="V62" s="3">
        <f t="shared" si="41"/>
        <v>0</v>
      </c>
      <c r="W62" s="3">
        <f t="shared" si="41"/>
        <v>-65724.625228821838</v>
      </c>
      <c r="X62" s="3">
        <f t="shared" si="41"/>
        <v>-18625.062461653251</v>
      </c>
      <c r="Y62" s="3">
        <f t="shared" si="41"/>
        <v>0</v>
      </c>
      <c r="Z62" s="3">
        <f t="shared" si="41"/>
        <v>0</v>
      </c>
      <c r="AA62" s="3">
        <f t="shared" si="41"/>
        <v>0</v>
      </c>
      <c r="AB62" s="3">
        <f t="shared" si="41"/>
        <v>0</v>
      </c>
      <c r="AC62" s="3">
        <f t="shared" si="41"/>
        <v>0</v>
      </c>
      <c r="AD62" s="3">
        <f t="shared" si="41"/>
        <v>0</v>
      </c>
      <c r="AE62" s="3">
        <f t="shared" si="41"/>
        <v>0</v>
      </c>
      <c r="AF62" s="3">
        <f t="shared" si="41"/>
        <v>0</v>
      </c>
      <c r="AG62" s="3">
        <f t="shared" si="41"/>
        <v>0</v>
      </c>
      <c r="AH62" s="3">
        <f t="shared" si="41"/>
        <v>-28438.200154554477</v>
      </c>
      <c r="AI62" s="3">
        <f t="shared" si="41"/>
        <v>0</v>
      </c>
      <c r="AJ62" s="3">
        <f t="shared" si="41"/>
        <v>0</v>
      </c>
      <c r="AK62" s="3">
        <f t="shared" si="41"/>
        <v>0</v>
      </c>
      <c r="AL62" s="3">
        <f t="shared" si="41"/>
        <v>0</v>
      </c>
      <c r="AM62" s="3">
        <f t="shared" si="41"/>
        <v>0</v>
      </c>
      <c r="AN62" s="3">
        <f t="shared" si="41"/>
        <v>0</v>
      </c>
      <c r="AO62" s="3">
        <f t="shared" si="41"/>
        <v>0</v>
      </c>
      <c r="AP62" s="3">
        <f t="shared" si="41"/>
        <v>0</v>
      </c>
      <c r="AQ62" s="3">
        <f t="shared" si="41"/>
        <v>0</v>
      </c>
      <c r="AR62" s="3">
        <f t="shared" si="41"/>
        <v>0</v>
      </c>
      <c r="AS62" s="3">
        <f t="shared" si="41"/>
        <v>0</v>
      </c>
      <c r="AT62" s="3">
        <f t="shared" si="41"/>
        <v>0</v>
      </c>
      <c r="AU62" s="3">
        <f t="shared" si="41"/>
        <v>0</v>
      </c>
      <c r="AV62" s="3">
        <f t="shared" si="41"/>
        <v>0</v>
      </c>
      <c r="AW62" s="3">
        <f t="shared" si="41"/>
        <v>0</v>
      </c>
      <c r="AX62" s="3">
        <f t="shared" si="41"/>
        <v>0</v>
      </c>
      <c r="AY62" s="3">
        <f t="shared" si="41"/>
        <v>0</v>
      </c>
      <c r="AZ62" s="3">
        <f t="shared" si="41"/>
        <v>0</v>
      </c>
      <c r="BA62" s="3">
        <f t="shared" si="41"/>
        <v>0</v>
      </c>
      <c r="BB62" s="3">
        <f t="shared" si="41"/>
        <v>0</v>
      </c>
      <c r="BC62" s="3">
        <f t="shared" si="41"/>
        <v>0</v>
      </c>
      <c r="BD62" s="3">
        <f t="shared" si="41"/>
        <v>0</v>
      </c>
      <c r="BE62" s="3">
        <f t="shared" si="41"/>
        <v>0</v>
      </c>
      <c r="BF62" s="3">
        <f t="shared" si="41"/>
        <v>0</v>
      </c>
      <c r="BG62" s="3">
        <f t="shared" si="41"/>
        <v>0</v>
      </c>
      <c r="BH62" s="3">
        <f t="shared" ref="BH62" si="42">BH52</f>
        <v>0</v>
      </c>
      <c r="BI62" s="3">
        <f t="shared" si="41"/>
        <v>0</v>
      </c>
      <c r="BJ62" s="3">
        <f t="shared" si="41"/>
        <v>0</v>
      </c>
      <c r="BK62" s="3">
        <f t="shared" si="41"/>
        <v>0</v>
      </c>
      <c r="BL62" s="3">
        <f t="shared" si="41"/>
        <v>0</v>
      </c>
      <c r="BM62" s="3">
        <f t="shared" si="41"/>
        <v>0</v>
      </c>
      <c r="BN62" s="3">
        <f t="shared" si="41"/>
        <v>0</v>
      </c>
      <c r="BO62" s="3">
        <f t="shared" ref="BO62:BZ62" si="43">BO52</f>
        <v>0</v>
      </c>
      <c r="BP62" s="3">
        <f t="shared" si="43"/>
        <v>0</v>
      </c>
      <c r="BQ62" s="3">
        <f t="shared" si="43"/>
        <v>0</v>
      </c>
      <c r="BR62" s="3">
        <f t="shared" si="43"/>
        <v>0</v>
      </c>
      <c r="BS62" s="3">
        <f t="shared" si="43"/>
        <v>0</v>
      </c>
      <c r="BT62" s="3">
        <f t="shared" si="43"/>
        <v>-75300.596830512513</v>
      </c>
      <c r="BU62" s="3">
        <f t="shared" si="43"/>
        <v>0</v>
      </c>
      <c r="BV62" s="3">
        <f t="shared" si="43"/>
        <v>0</v>
      </c>
      <c r="BW62" s="3">
        <f t="shared" si="43"/>
        <v>0</v>
      </c>
      <c r="BX62" s="3">
        <f t="shared" si="43"/>
        <v>0</v>
      </c>
      <c r="BY62" s="3">
        <f t="shared" si="43"/>
        <v>0</v>
      </c>
      <c r="BZ62" s="3">
        <f t="shared" si="43"/>
        <v>-170501.42209807769</v>
      </c>
    </row>
    <row r="63" spans="1:80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</row>
    <row r="64" spans="1:80" s="19" customFormat="1" x14ac:dyDescent="0.2">
      <c r="B64" s="112" t="s">
        <v>145</v>
      </c>
      <c r="C64" s="113">
        <f>SUM(D64:BZ64)</f>
        <v>33054900</v>
      </c>
      <c r="D64" s="113">
        <f>ROUND(D60+D62,-2)</f>
        <v>0</v>
      </c>
      <c r="E64" s="113">
        <f t="shared" ref="E64:BN64" si="44">ROUND(E60+E62,-2)</f>
        <v>557200</v>
      </c>
      <c r="F64" s="113">
        <f t="shared" si="44"/>
        <v>560400</v>
      </c>
      <c r="G64" s="113">
        <f t="shared" si="44"/>
        <v>97300</v>
      </c>
      <c r="H64" s="113">
        <f t="shared" si="44"/>
        <v>0</v>
      </c>
      <c r="I64" s="113">
        <f t="shared" si="44"/>
        <v>0</v>
      </c>
      <c r="J64" s="113">
        <f t="shared" si="44"/>
        <v>0</v>
      </c>
      <c r="K64" s="113">
        <f t="shared" si="44"/>
        <v>40200</v>
      </c>
      <c r="L64" s="113">
        <f t="shared" si="44"/>
        <v>113700</v>
      </c>
      <c r="M64" s="113">
        <f t="shared" si="44"/>
        <v>222200</v>
      </c>
      <c r="N64" s="113">
        <f t="shared" si="44"/>
        <v>361600</v>
      </c>
      <c r="O64" s="113">
        <f t="shared" si="44"/>
        <v>0</v>
      </c>
      <c r="P64" s="113">
        <f t="shared" si="44"/>
        <v>0</v>
      </c>
      <c r="Q64" s="113">
        <f t="shared" si="44"/>
        <v>0</v>
      </c>
      <c r="R64" s="113">
        <f t="shared" si="44"/>
        <v>0</v>
      </c>
      <c r="S64" s="113">
        <f t="shared" si="44"/>
        <v>335800</v>
      </c>
      <c r="T64" s="113">
        <f t="shared" si="44"/>
        <v>0</v>
      </c>
      <c r="U64" s="113">
        <f t="shared" si="44"/>
        <v>5700</v>
      </c>
      <c r="V64" s="113">
        <f t="shared" si="44"/>
        <v>0</v>
      </c>
      <c r="W64" s="113">
        <f t="shared" si="44"/>
        <v>261900</v>
      </c>
      <c r="X64" s="113">
        <f t="shared" si="44"/>
        <v>18800</v>
      </c>
      <c r="Y64" s="113">
        <f t="shared" si="44"/>
        <v>0</v>
      </c>
      <c r="Z64" s="113">
        <f t="shared" si="44"/>
        <v>0</v>
      </c>
      <c r="AA64" s="113">
        <f t="shared" si="44"/>
        <v>0</v>
      </c>
      <c r="AB64" s="113">
        <f t="shared" si="44"/>
        <v>129900</v>
      </c>
      <c r="AC64" s="113">
        <f t="shared" si="44"/>
        <v>874600</v>
      </c>
      <c r="AD64" s="113">
        <f t="shared" si="44"/>
        <v>688400</v>
      </c>
      <c r="AE64" s="113">
        <f t="shared" si="44"/>
        <v>0</v>
      </c>
      <c r="AF64" s="113">
        <f t="shared" si="44"/>
        <v>842300</v>
      </c>
      <c r="AG64" s="113">
        <f t="shared" si="44"/>
        <v>739300</v>
      </c>
      <c r="AH64" s="113">
        <f t="shared" si="44"/>
        <v>672600</v>
      </c>
      <c r="AI64" s="113">
        <f t="shared" si="44"/>
        <v>1068200</v>
      </c>
      <c r="AJ64" s="113">
        <f t="shared" si="44"/>
        <v>1242100</v>
      </c>
      <c r="AK64" s="113">
        <f t="shared" si="44"/>
        <v>663800</v>
      </c>
      <c r="AL64" s="113">
        <f t="shared" si="44"/>
        <v>112600</v>
      </c>
      <c r="AM64" s="113">
        <f t="shared" si="44"/>
        <v>0</v>
      </c>
      <c r="AN64" s="113">
        <f t="shared" si="44"/>
        <v>18800</v>
      </c>
      <c r="AO64" s="113">
        <f t="shared" si="44"/>
        <v>740000</v>
      </c>
      <c r="AP64" s="113">
        <f t="shared" si="44"/>
        <v>735700</v>
      </c>
      <c r="AQ64" s="113">
        <f t="shared" si="44"/>
        <v>252300</v>
      </c>
      <c r="AR64" s="113">
        <f t="shared" si="44"/>
        <v>0</v>
      </c>
      <c r="AS64" s="113">
        <f t="shared" si="44"/>
        <v>0</v>
      </c>
      <c r="AT64" s="113">
        <f t="shared" si="44"/>
        <v>0</v>
      </c>
      <c r="AU64" s="113">
        <f t="shared" si="44"/>
        <v>1384600</v>
      </c>
      <c r="AV64" s="113">
        <f t="shared" si="44"/>
        <v>578100</v>
      </c>
      <c r="AW64" s="113">
        <f t="shared" si="44"/>
        <v>311600</v>
      </c>
      <c r="AX64" s="113">
        <f t="shared" si="44"/>
        <v>0</v>
      </c>
      <c r="AY64" s="113">
        <f t="shared" si="44"/>
        <v>917700</v>
      </c>
      <c r="AZ64" s="113">
        <f t="shared" si="44"/>
        <v>0</v>
      </c>
      <c r="BA64" s="113">
        <f t="shared" si="44"/>
        <v>0</v>
      </c>
      <c r="BB64" s="113">
        <f t="shared" si="44"/>
        <v>532200</v>
      </c>
      <c r="BC64" s="113">
        <f t="shared" si="44"/>
        <v>219300</v>
      </c>
      <c r="BD64" s="113">
        <f t="shared" si="44"/>
        <v>0</v>
      </c>
      <c r="BE64" s="113">
        <f t="shared" si="44"/>
        <v>4100</v>
      </c>
      <c r="BF64" s="113">
        <f t="shared" si="44"/>
        <v>240000</v>
      </c>
      <c r="BG64" s="113">
        <f t="shared" si="44"/>
        <v>0</v>
      </c>
      <c r="BH64" s="113">
        <f t="shared" ref="BH64" si="45">ROUND(BH60+BH62,-2)</f>
        <v>1432900</v>
      </c>
      <c r="BI64" s="113">
        <f t="shared" si="44"/>
        <v>1207400</v>
      </c>
      <c r="BJ64" s="113">
        <f t="shared" si="44"/>
        <v>595100</v>
      </c>
      <c r="BK64" s="113">
        <f t="shared" si="44"/>
        <v>988600</v>
      </c>
      <c r="BL64" s="113">
        <f t="shared" si="44"/>
        <v>2669200</v>
      </c>
      <c r="BM64" s="113">
        <f t="shared" si="44"/>
        <v>952600</v>
      </c>
      <c r="BN64" s="113">
        <f t="shared" si="44"/>
        <v>1332200</v>
      </c>
      <c r="BO64" s="113">
        <f t="shared" ref="BO64:BZ64" si="46">ROUND(BO60+BO62,-2)</f>
        <v>1763300</v>
      </c>
      <c r="BP64" s="113">
        <f t="shared" si="46"/>
        <v>1162400</v>
      </c>
      <c r="BQ64" s="113">
        <f t="shared" si="46"/>
        <v>1158300</v>
      </c>
      <c r="BR64" s="113">
        <f t="shared" si="46"/>
        <v>0</v>
      </c>
      <c r="BS64" s="113">
        <f t="shared" si="46"/>
        <v>0</v>
      </c>
      <c r="BT64" s="113">
        <f t="shared" si="46"/>
        <v>201300</v>
      </c>
      <c r="BU64" s="113">
        <f t="shared" si="46"/>
        <v>539600</v>
      </c>
      <c r="BV64" s="113">
        <f t="shared" si="46"/>
        <v>1037000</v>
      </c>
      <c r="BW64" s="113">
        <f t="shared" si="46"/>
        <v>0</v>
      </c>
      <c r="BX64" s="113">
        <f t="shared" si="46"/>
        <v>664200</v>
      </c>
      <c r="BY64" s="113">
        <f t="shared" si="46"/>
        <v>1533800</v>
      </c>
      <c r="BZ64" s="113">
        <f t="shared" si="46"/>
        <v>274000</v>
      </c>
    </row>
    <row r="65" spans="3:78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</row>
    <row r="66" spans="3:78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</row>
    <row r="67" spans="3:78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</row>
    <row r="68" spans="3:78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</row>
    <row r="69" spans="3:78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</row>
    <row r="70" spans="3:78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</row>
    <row r="71" spans="3:78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</row>
    <row r="72" spans="3:78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</row>
    <row r="73" spans="3:78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</row>
    <row r="74" spans="3:78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</row>
    <row r="75" spans="3:78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</row>
    <row r="76" spans="3:78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</row>
    <row r="77" spans="3:78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</row>
    <row r="78" spans="3:78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</row>
    <row r="79" spans="3:78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</row>
    <row r="80" spans="3:78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</row>
    <row r="81" spans="3:78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</row>
    <row r="82" spans="3:78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</row>
    <row r="83" spans="3:78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</row>
  </sheetData>
  <pageMargins left="0.7" right="0.7" top="0.78740157499999996" bottom="0.78740157499999996" header="0.3" footer="0.3"/>
  <pageSetup paperSize="9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B84"/>
  <sheetViews>
    <sheetView zoomScale="90" zoomScaleNormal="90" workbookViewId="0">
      <pane xSplit="3" ySplit="9" topLeftCell="BD10" activePane="bottomRight" state="frozen"/>
      <selection activeCell="D15" sqref="D15"/>
      <selection pane="topRight" activeCell="D15" sqref="D15"/>
      <selection pane="bottomLeft" activeCell="D15" sqref="D15"/>
      <selection pane="bottomRight" activeCell="D15" sqref="D15"/>
    </sheetView>
  </sheetViews>
  <sheetFormatPr baseColWidth="10" defaultRowHeight="12.75" x14ac:dyDescent="0.2"/>
  <cols>
    <col min="1" max="1" width="4" customWidth="1"/>
    <col min="2" max="2" width="52.42578125" customWidth="1"/>
    <col min="3" max="78" width="21" customWidth="1"/>
    <col min="79" max="79" width="2.140625" customWidth="1"/>
    <col min="80" max="80" width="20.7109375" bestFit="1" customWidth="1"/>
  </cols>
  <sheetData>
    <row r="1" spans="1:80" x14ac:dyDescent="0.2">
      <c r="A1" s="19" t="s">
        <v>193</v>
      </c>
    </row>
    <row r="2" spans="1:80" x14ac:dyDescent="0.2">
      <c r="A2" t="s">
        <v>194</v>
      </c>
    </row>
    <row r="5" spans="1:80" ht="26.25" x14ac:dyDescent="0.4">
      <c r="A5" s="16" t="s">
        <v>361</v>
      </c>
      <c r="E5" s="148" t="s">
        <v>463</v>
      </c>
      <c r="F5" s="147"/>
      <c r="G5" s="147"/>
    </row>
    <row r="6" spans="1:80" x14ac:dyDescent="0.2"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</row>
    <row r="7" spans="1:80" x14ac:dyDescent="0.2">
      <c r="B7" s="18" t="s">
        <v>105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</row>
    <row r="8" spans="1:80" s="19" customFormat="1" x14ac:dyDescent="0.2">
      <c r="C8" s="19" t="s">
        <v>79</v>
      </c>
      <c r="D8" s="19" t="s">
        <v>5</v>
      </c>
      <c r="E8" s="19" t="s">
        <v>6</v>
      </c>
      <c r="F8" s="19" t="s">
        <v>7</v>
      </c>
      <c r="G8" s="19" t="s">
        <v>8</v>
      </c>
      <c r="H8" s="19" t="s">
        <v>9</v>
      </c>
      <c r="I8" s="19" t="s">
        <v>10</v>
      </c>
      <c r="J8" s="19" t="s">
        <v>11</v>
      </c>
      <c r="K8" s="19" t="s">
        <v>12</v>
      </c>
      <c r="L8" s="19" t="s">
        <v>13</v>
      </c>
      <c r="M8" s="19" t="s">
        <v>14</v>
      </c>
      <c r="N8" s="19" t="s">
        <v>15</v>
      </c>
      <c r="O8" s="19" t="s">
        <v>16</v>
      </c>
      <c r="P8" s="19" t="s">
        <v>17</v>
      </c>
      <c r="Q8" s="19" t="s">
        <v>18</v>
      </c>
      <c r="R8" s="19" t="s">
        <v>19</v>
      </c>
      <c r="S8" s="19" t="s">
        <v>20</v>
      </c>
      <c r="T8" s="19" t="s">
        <v>21</v>
      </c>
      <c r="U8" s="19" t="s">
        <v>22</v>
      </c>
      <c r="V8" s="19" t="s">
        <v>23</v>
      </c>
      <c r="W8" s="19" t="s">
        <v>24</v>
      </c>
      <c r="X8" s="19" t="s">
        <v>25</v>
      </c>
      <c r="Y8" s="19" t="s">
        <v>26</v>
      </c>
      <c r="Z8" s="19" t="s">
        <v>27</v>
      </c>
      <c r="AA8" s="19" t="s">
        <v>28</v>
      </c>
      <c r="AB8" s="19" t="s">
        <v>29</v>
      </c>
      <c r="AC8" s="19" t="s">
        <v>30</v>
      </c>
      <c r="AD8" s="19" t="s">
        <v>31</v>
      </c>
      <c r="AE8" s="19" t="s">
        <v>32</v>
      </c>
      <c r="AF8" s="19" t="s">
        <v>33</v>
      </c>
      <c r="AG8" s="19" t="s">
        <v>34</v>
      </c>
      <c r="AH8" s="19" t="s">
        <v>35</v>
      </c>
      <c r="AI8" s="19" t="s">
        <v>36</v>
      </c>
      <c r="AJ8" s="19" t="s">
        <v>37</v>
      </c>
      <c r="AK8" s="19" t="s">
        <v>38</v>
      </c>
      <c r="AL8" s="19" t="s">
        <v>39</v>
      </c>
      <c r="AM8" s="19" t="s">
        <v>40</v>
      </c>
      <c r="AN8" s="19" t="s">
        <v>41</v>
      </c>
      <c r="AO8" s="19" t="s">
        <v>42</v>
      </c>
      <c r="AP8" s="19" t="s">
        <v>43</v>
      </c>
      <c r="AQ8" s="19" t="s">
        <v>44</v>
      </c>
      <c r="AR8" s="19" t="s">
        <v>45</v>
      </c>
      <c r="AS8" s="19" t="s">
        <v>46</v>
      </c>
      <c r="AT8" s="19" t="s">
        <v>47</v>
      </c>
      <c r="AU8" s="19" t="s">
        <v>48</v>
      </c>
      <c r="AV8" s="19" t="s">
        <v>49</v>
      </c>
      <c r="AW8" s="19" t="s">
        <v>50</v>
      </c>
      <c r="AX8" s="19" t="s">
        <v>51</v>
      </c>
      <c r="AY8" s="19" t="s">
        <v>52</v>
      </c>
      <c r="AZ8" s="19" t="s">
        <v>53</v>
      </c>
      <c r="BA8" s="19" t="s">
        <v>54</v>
      </c>
      <c r="BB8" s="19" t="s">
        <v>55</v>
      </c>
      <c r="BC8" s="19" t="s">
        <v>56</v>
      </c>
      <c r="BD8" s="19" t="s">
        <v>57</v>
      </c>
      <c r="BE8" s="19" t="s">
        <v>58</v>
      </c>
      <c r="BF8" s="19" t="s">
        <v>59</v>
      </c>
      <c r="BG8" s="19" t="s">
        <v>60</v>
      </c>
      <c r="BH8" s="19" t="s">
        <v>356</v>
      </c>
      <c r="BI8" s="19" t="s">
        <v>61</v>
      </c>
      <c r="BJ8" s="19" t="s">
        <v>62</v>
      </c>
      <c r="BK8" s="19" t="s">
        <v>63</v>
      </c>
      <c r="BL8" s="19" t="s">
        <v>64</v>
      </c>
      <c r="BM8" s="19" t="s">
        <v>65</v>
      </c>
      <c r="BN8" s="19" t="s">
        <v>66</v>
      </c>
      <c r="BO8" s="19" t="s">
        <v>67</v>
      </c>
      <c r="BP8" s="19" t="s">
        <v>68</v>
      </c>
      <c r="BQ8" s="19" t="s">
        <v>69</v>
      </c>
      <c r="BR8" s="19" t="s">
        <v>70</v>
      </c>
      <c r="BS8" s="19" t="s">
        <v>71</v>
      </c>
      <c r="BT8" s="19" t="s">
        <v>72</v>
      </c>
      <c r="BU8" s="19" t="s">
        <v>73</v>
      </c>
      <c r="BV8" s="19" t="s">
        <v>74</v>
      </c>
      <c r="BW8" s="19" t="s">
        <v>75</v>
      </c>
      <c r="BX8" s="19" t="s">
        <v>76</v>
      </c>
      <c r="BY8" s="19" t="s">
        <v>77</v>
      </c>
      <c r="BZ8" s="19" t="s">
        <v>78</v>
      </c>
      <c r="CB8" s="19" t="s">
        <v>106</v>
      </c>
    </row>
    <row r="10" spans="1:80" s="40" customFormat="1" ht="15.75" x14ac:dyDescent="0.25">
      <c r="A10" s="20" t="s">
        <v>97</v>
      </c>
      <c r="B10" s="21" t="s">
        <v>117</v>
      </c>
      <c r="C10" s="2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</row>
    <row r="11" spans="1:80" x14ac:dyDescent="0.2">
      <c r="B11" s="22"/>
      <c r="C11" s="22"/>
    </row>
    <row r="12" spans="1:80" x14ac:dyDescent="0.2">
      <c r="B12" s="26" t="str">
        <f>'Ressourcenausgleich Basis'!B124</f>
        <v>Einwohnerzahl per 31.12.</v>
      </c>
      <c r="C12" s="42">
        <f>'Ressourcenausgleich Basis'!C124</f>
        <v>535114</v>
      </c>
      <c r="D12" s="42">
        <f>'Ressourcenausgleich Basis'!D124</f>
        <v>78213</v>
      </c>
      <c r="E12" s="42">
        <f>'Ressourcenausgleich Basis'!E124</f>
        <v>10026</v>
      </c>
      <c r="F12" s="42">
        <f>'Ressourcenausgleich Basis'!F124</f>
        <v>1431</v>
      </c>
      <c r="G12" s="42">
        <f>'Ressourcenausgleich Basis'!G124</f>
        <v>1257</v>
      </c>
      <c r="H12" s="42">
        <f>'Ressourcenausgleich Basis'!H124</f>
        <v>3662</v>
      </c>
      <c r="I12" s="42">
        <f>'Ressourcenausgleich Basis'!I124</f>
        <v>9709</v>
      </c>
      <c r="J12" s="42">
        <f>'Ressourcenausgleich Basis'!J124</f>
        <v>3580</v>
      </c>
      <c r="K12" s="42">
        <f>'Ressourcenausgleich Basis'!K124</f>
        <v>1012</v>
      </c>
      <c r="L12" s="42">
        <f>'Ressourcenausgleich Basis'!L124</f>
        <v>1594</v>
      </c>
      <c r="M12" s="42">
        <f>'Ressourcenausgleich Basis'!M124</f>
        <v>1027</v>
      </c>
      <c r="N12" s="42">
        <f>'Ressourcenausgleich Basis'!N124</f>
        <v>2475</v>
      </c>
      <c r="O12" s="42">
        <f>'Ressourcenausgleich Basis'!O124</f>
        <v>7685</v>
      </c>
      <c r="P12" s="42">
        <f>'Ressourcenausgleich Basis'!P124</f>
        <v>9955</v>
      </c>
      <c r="Q12" s="42">
        <f>'Ressourcenausgleich Basis'!Q124</f>
        <v>7097</v>
      </c>
      <c r="R12" s="42">
        <f>'Ressourcenausgleich Basis'!R124</f>
        <v>3516</v>
      </c>
      <c r="S12" s="42">
        <f>'Ressourcenausgleich Basis'!S124</f>
        <v>6558</v>
      </c>
      <c r="T12" s="42">
        <f>'Ressourcenausgleich Basis'!T124</f>
        <v>8481</v>
      </c>
      <c r="U12" s="42">
        <f>'Ressourcenausgleich Basis'!U124</f>
        <v>3989</v>
      </c>
      <c r="V12" s="42">
        <f>'Ressourcenausgleich Basis'!V124</f>
        <v>5139</v>
      </c>
      <c r="W12" s="42">
        <f>'Ressourcenausgleich Basis'!W124</f>
        <v>6928</v>
      </c>
      <c r="X12" s="42">
        <f>'Ressourcenausgleich Basis'!X124</f>
        <v>10337</v>
      </c>
      <c r="Y12" s="42">
        <f>'Ressourcenausgleich Basis'!Y124</f>
        <v>5051</v>
      </c>
      <c r="Z12" s="42">
        <f>'Ressourcenausgleich Basis'!Z124</f>
        <v>2118</v>
      </c>
      <c r="AA12" s="42">
        <f>'Ressourcenausgleich Basis'!AA124</f>
        <v>12456</v>
      </c>
      <c r="AB12" s="42">
        <f>'Ressourcenausgleich Basis'!AB124</f>
        <v>1571</v>
      </c>
      <c r="AC12" s="42">
        <f>'Ressourcenausgleich Basis'!AC124</f>
        <v>9291</v>
      </c>
      <c r="AD12" s="42">
        <f>'Ressourcenausgleich Basis'!AD124</f>
        <v>2542</v>
      </c>
      <c r="AE12" s="42">
        <f>'Ressourcenausgleich Basis'!AE124</f>
        <v>6269</v>
      </c>
      <c r="AF12" s="42">
        <f>'Ressourcenausgleich Basis'!AF124</f>
        <v>3711</v>
      </c>
      <c r="AG12" s="42">
        <f>'Ressourcenausgleich Basis'!AG124</f>
        <v>7402</v>
      </c>
      <c r="AH12" s="42">
        <f>'Ressourcenausgleich Basis'!AH124</f>
        <v>13931</v>
      </c>
      <c r="AI12" s="42">
        <f>'Ressourcenausgleich Basis'!AI124</f>
        <v>5392</v>
      </c>
      <c r="AJ12" s="42">
        <f>'Ressourcenausgleich Basis'!AJ124</f>
        <v>5496</v>
      </c>
      <c r="AK12" s="42">
        <f>'Ressourcenausgleich Basis'!AK124</f>
        <v>6522</v>
      </c>
      <c r="AL12" s="42">
        <f>'Ressourcenausgleich Basis'!AL124</f>
        <v>5057</v>
      </c>
      <c r="AM12" s="42">
        <f>'Ressourcenausgleich Basis'!AM124</f>
        <v>6835</v>
      </c>
      <c r="AN12" s="42">
        <f>'Ressourcenausgleich Basis'!AN124</f>
        <v>1601</v>
      </c>
      <c r="AO12" s="42">
        <f>'Ressourcenausgleich Basis'!AO124</f>
        <v>9538</v>
      </c>
      <c r="AP12" s="42">
        <f>'Ressourcenausgleich Basis'!AP124</f>
        <v>5347</v>
      </c>
      <c r="AQ12" s="42">
        <f>'Ressourcenausgleich Basis'!AQ124</f>
        <v>5852</v>
      </c>
      <c r="AR12" s="42">
        <f>'Ressourcenausgleich Basis'!AR124</f>
        <v>3085</v>
      </c>
      <c r="AS12" s="42">
        <f>'Ressourcenausgleich Basis'!AS124</f>
        <v>1906</v>
      </c>
      <c r="AT12" s="42">
        <f>'Ressourcenausgleich Basis'!AT124</f>
        <v>1871</v>
      </c>
      <c r="AU12" s="42">
        <f>'Ressourcenausgleich Basis'!AU124</f>
        <v>4154</v>
      </c>
      <c r="AV12" s="42">
        <f>'Ressourcenausgleich Basis'!AV124</f>
        <v>3035</v>
      </c>
      <c r="AW12" s="42">
        <f>'Ressourcenausgleich Basis'!AW124</f>
        <v>5084</v>
      </c>
      <c r="AX12" s="42">
        <f>'Ressourcenausgleich Basis'!AX124</f>
        <v>5657</v>
      </c>
      <c r="AY12" s="42">
        <f>'Ressourcenausgleich Basis'!AY124</f>
        <v>7014</v>
      </c>
      <c r="AZ12" s="42">
        <f>'Ressourcenausgleich Basis'!AZ124</f>
        <v>4162</v>
      </c>
      <c r="BA12" s="42">
        <f>'Ressourcenausgleich Basis'!BA124</f>
        <v>28640</v>
      </c>
      <c r="BB12" s="42">
        <f>'Ressourcenausgleich Basis'!BB124</f>
        <v>10169</v>
      </c>
      <c r="BC12" s="42">
        <f>'Ressourcenausgleich Basis'!BC124</f>
        <v>2618</v>
      </c>
      <c r="BD12" s="42">
        <f>'Ressourcenausgleich Basis'!BD124</f>
        <v>3833</v>
      </c>
      <c r="BE12" s="42">
        <f>'Ressourcenausgleich Basis'!BE124</f>
        <v>5092</v>
      </c>
      <c r="BF12" s="42">
        <f>'Ressourcenausgleich Basis'!BF124</f>
        <v>9161</v>
      </c>
      <c r="BG12" s="42">
        <f>'Ressourcenausgleich Basis'!BG124</f>
        <v>2079</v>
      </c>
      <c r="BH12" s="42">
        <f>'Ressourcenausgleich Basis'!BH124</f>
        <v>6437</v>
      </c>
      <c r="BI12" s="42">
        <f>'Ressourcenausgleich Basis'!BI124</f>
        <v>5202</v>
      </c>
      <c r="BJ12" s="42">
        <f>'Ressourcenausgleich Basis'!BJ124</f>
        <v>1645</v>
      </c>
      <c r="BK12" s="42">
        <f>'Ressourcenausgleich Basis'!BK124</f>
        <v>2969</v>
      </c>
      <c r="BL12" s="42">
        <f>'Ressourcenausgleich Basis'!BL124</f>
        <v>9755</v>
      </c>
      <c r="BM12" s="42">
        <f>'Ressourcenausgleich Basis'!BM124</f>
        <v>4023</v>
      </c>
      <c r="BN12" s="42">
        <f>'Ressourcenausgleich Basis'!BN124</f>
        <v>6674</v>
      </c>
      <c r="BO12" s="42">
        <f>'Ressourcenausgleich Basis'!BO124</f>
        <v>14279</v>
      </c>
      <c r="BP12" s="42">
        <f>'Ressourcenausgleich Basis'!BP124</f>
        <v>10631</v>
      </c>
      <c r="BQ12" s="42">
        <f>'Ressourcenausgleich Basis'!BQ124</f>
        <v>4132</v>
      </c>
      <c r="BR12" s="42">
        <f>'Ressourcenausgleich Basis'!BR124</f>
        <v>24980</v>
      </c>
      <c r="BS12" s="42">
        <f>'Ressourcenausgleich Basis'!BS124</f>
        <v>5026</v>
      </c>
      <c r="BT12" s="42">
        <f>'Ressourcenausgleich Basis'!BT124</f>
        <v>4660</v>
      </c>
      <c r="BU12" s="42">
        <f>'Ressourcenausgleich Basis'!BU124</f>
        <v>1497</v>
      </c>
      <c r="BV12" s="42">
        <f>'Ressourcenausgleich Basis'!BV124</f>
        <v>3256</v>
      </c>
      <c r="BW12" s="42">
        <f>'Ressourcenausgleich Basis'!BW124</f>
        <v>18454</v>
      </c>
      <c r="BX12" s="42">
        <f>'Ressourcenausgleich Basis'!BX124</f>
        <v>2128</v>
      </c>
      <c r="BY12" s="42">
        <f>'Ressourcenausgleich Basis'!BY124</f>
        <v>3544</v>
      </c>
      <c r="BZ12" s="42">
        <f>'Ressourcenausgleich Basis'!BZ124</f>
        <v>8609</v>
      </c>
    </row>
    <row r="13" spans="1:80" x14ac:dyDescent="0.2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 spans="1:80" x14ac:dyDescent="0.2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 spans="1:80" s="41" customFormat="1" ht="15.75" x14ac:dyDescent="0.25">
      <c r="A15" s="20" t="s">
        <v>98</v>
      </c>
      <c r="B15" s="20" t="s">
        <v>181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20"/>
      <c r="CB15" s="20"/>
    </row>
    <row r="16" spans="1:80" x14ac:dyDescent="0.2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 spans="1:80" s="19" customFormat="1" x14ac:dyDescent="0.2">
      <c r="A17" s="45" t="s">
        <v>128</v>
      </c>
      <c r="B17" s="43" t="s">
        <v>182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3"/>
      <c r="CB17" s="43"/>
    </row>
    <row r="18" spans="1:80" x14ac:dyDescent="0.2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 spans="1:80" x14ac:dyDescent="0.2">
      <c r="B19" t="s">
        <v>185</v>
      </c>
      <c r="C19" s="8">
        <v>0.6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 spans="1:80" x14ac:dyDescent="0.2">
      <c r="B20" t="s">
        <v>186</v>
      </c>
      <c r="C20" s="8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 spans="1:80" x14ac:dyDescent="0.2"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 spans="1:80" x14ac:dyDescent="0.2">
      <c r="B22" t="s">
        <v>203</v>
      </c>
      <c r="C22" s="3">
        <f>SUM(D22:BZ22)</f>
        <v>72059793.75</v>
      </c>
      <c r="D22" s="10">
        <v>21771194</v>
      </c>
      <c r="E22" s="10">
        <v>1802506.74</v>
      </c>
      <c r="F22" s="10">
        <v>94269.85</v>
      </c>
      <c r="G22" s="10">
        <v>60989.52</v>
      </c>
      <c r="H22" s="10">
        <v>174296.1</v>
      </c>
      <c r="I22" s="10">
        <v>911808</v>
      </c>
      <c r="J22" s="10">
        <v>392428</v>
      </c>
      <c r="K22" s="10">
        <v>5021.7</v>
      </c>
      <c r="L22" s="10">
        <v>98350</v>
      </c>
      <c r="M22" s="10">
        <v>85416.4</v>
      </c>
      <c r="N22" s="10">
        <v>142109.92000000001</v>
      </c>
      <c r="O22" s="10">
        <v>1034327.25</v>
      </c>
      <c r="P22" s="10">
        <v>2627215.5</v>
      </c>
      <c r="Q22" s="10">
        <v>444079.79</v>
      </c>
      <c r="R22" s="10">
        <v>269492.88</v>
      </c>
      <c r="S22" s="10">
        <v>1744712.73</v>
      </c>
      <c r="T22" s="10">
        <v>771676.82</v>
      </c>
      <c r="U22" s="10">
        <v>365825.92</v>
      </c>
      <c r="V22" s="10">
        <v>451561.69</v>
      </c>
      <c r="W22" s="10">
        <v>634045.75</v>
      </c>
      <c r="X22" s="10">
        <v>1280808.74</v>
      </c>
      <c r="Y22" s="134">
        <v>705632.25</v>
      </c>
      <c r="Z22" s="10">
        <v>-1469.51</v>
      </c>
      <c r="AA22" s="134">
        <v>1141359.3400000001</v>
      </c>
      <c r="AB22" s="10">
        <v>77708</v>
      </c>
      <c r="AC22" s="10">
        <v>177954.79</v>
      </c>
      <c r="AD22" s="10">
        <v>352191.47</v>
      </c>
      <c r="AE22" s="10">
        <v>379166.15</v>
      </c>
      <c r="AF22" s="10">
        <v>297749.59999999998</v>
      </c>
      <c r="AG22" s="10">
        <v>661217.06000000006</v>
      </c>
      <c r="AH22" s="10">
        <v>1430178</v>
      </c>
      <c r="AI22" s="10">
        <v>763414.43</v>
      </c>
      <c r="AJ22" s="10">
        <v>712635.14</v>
      </c>
      <c r="AK22" s="10">
        <v>376715.57</v>
      </c>
      <c r="AL22" s="10">
        <v>203391.25</v>
      </c>
      <c r="AM22" s="10">
        <v>387621.99</v>
      </c>
      <c r="AN22" s="10">
        <v>64997.8</v>
      </c>
      <c r="AO22" s="10">
        <v>1184427.78</v>
      </c>
      <c r="AP22" s="10">
        <v>389988.89</v>
      </c>
      <c r="AQ22" s="10">
        <v>604537.61</v>
      </c>
      <c r="AR22" s="10">
        <v>86200.15</v>
      </c>
      <c r="AS22" s="10">
        <v>20277</v>
      </c>
      <c r="AT22" s="10">
        <v>78443</v>
      </c>
      <c r="AU22" s="134">
        <v>363608.5</v>
      </c>
      <c r="AV22" s="10">
        <v>189520.95</v>
      </c>
      <c r="AW22" s="10">
        <v>842148.48</v>
      </c>
      <c r="AX22" s="10">
        <v>162382.51</v>
      </c>
      <c r="AY22" s="10">
        <v>808830.71</v>
      </c>
      <c r="AZ22" s="10">
        <v>411379.45</v>
      </c>
      <c r="BA22" s="10">
        <v>4663945.6100000003</v>
      </c>
      <c r="BB22" s="10">
        <v>1114584.43</v>
      </c>
      <c r="BC22" s="10">
        <v>44881.21</v>
      </c>
      <c r="BD22" s="10">
        <v>345686.59</v>
      </c>
      <c r="BE22" s="149">
        <v>738303.64</v>
      </c>
      <c r="BF22" s="10">
        <v>1247792.67</v>
      </c>
      <c r="BG22" s="10">
        <v>253555.61</v>
      </c>
      <c r="BH22" s="10">
        <v>555947.85</v>
      </c>
      <c r="BI22" s="10">
        <v>288101.2</v>
      </c>
      <c r="BJ22" s="134">
        <v>339376.8</v>
      </c>
      <c r="BK22" s="10">
        <v>44011.6</v>
      </c>
      <c r="BL22" s="134">
        <v>949453.1</v>
      </c>
      <c r="BM22" s="10">
        <v>371258</v>
      </c>
      <c r="BN22" s="10">
        <v>539853.80000000005</v>
      </c>
      <c r="BO22" s="10">
        <v>1035116.93</v>
      </c>
      <c r="BP22" s="10">
        <v>1534198.6</v>
      </c>
      <c r="BQ22" s="10">
        <v>649485.62</v>
      </c>
      <c r="BR22" s="10">
        <v>4710020.25</v>
      </c>
      <c r="BS22" s="10">
        <v>103414.92</v>
      </c>
      <c r="BT22" s="10">
        <v>202640.99</v>
      </c>
      <c r="BU22" s="10">
        <v>66.150000000000006</v>
      </c>
      <c r="BV22" s="10">
        <v>44926.47</v>
      </c>
      <c r="BW22" s="149">
        <v>2591019.6</v>
      </c>
      <c r="BX22" s="10">
        <v>50369.72</v>
      </c>
      <c r="BY22" s="10">
        <v>539342.96</v>
      </c>
      <c r="BZ22" s="10">
        <v>1068093.77</v>
      </c>
      <c r="CB22" t="s">
        <v>119</v>
      </c>
    </row>
    <row r="23" spans="1:80" x14ac:dyDescent="0.2">
      <c r="B23" t="s">
        <v>187</v>
      </c>
      <c r="C23" s="3">
        <f t="shared" ref="C23:AH23" si="0">C22/C12</f>
        <v>134.66250882989419</v>
      </c>
      <c r="D23" s="3">
        <f t="shared" si="0"/>
        <v>278.35774104049199</v>
      </c>
      <c r="E23" s="3">
        <f t="shared" si="0"/>
        <v>179.78323758228606</v>
      </c>
      <c r="F23" s="3">
        <f t="shared" si="0"/>
        <v>65.876904262753328</v>
      </c>
      <c r="G23" s="3">
        <f t="shared" si="0"/>
        <v>48.519904534606205</v>
      </c>
      <c r="H23" s="3">
        <f t="shared" si="0"/>
        <v>47.595876570180231</v>
      </c>
      <c r="I23" s="3">
        <f t="shared" si="0"/>
        <v>93.913688330415084</v>
      </c>
      <c r="J23" s="3">
        <f t="shared" si="0"/>
        <v>109.61675977653631</v>
      </c>
      <c r="K23" s="3">
        <f t="shared" si="0"/>
        <v>4.9621541501976285</v>
      </c>
      <c r="L23" s="3">
        <f t="shared" si="0"/>
        <v>61.700125470514429</v>
      </c>
      <c r="M23" s="3">
        <f t="shared" si="0"/>
        <v>83.170788704965915</v>
      </c>
      <c r="N23" s="3">
        <f t="shared" si="0"/>
        <v>57.418149494949503</v>
      </c>
      <c r="O23" s="3">
        <f t="shared" si="0"/>
        <v>134.59040338321407</v>
      </c>
      <c r="P23" s="3">
        <f t="shared" si="0"/>
        <v>263.90914113510797</v>
      </c>
      <c r="Q23" s="3">
        <f t="shared" si="0"/>
        <v>62.572888544455402</v>
      </c>
      <c r="R23" s="3">
        <f t="shared" si="0"/>
        <v>76.647576791808874</v>
      </c>
      <c r="S23" s="3">
        <f t="shared" si="0"/>
        <v>266.04341720036598</v>
      </c>
      <c r="T23" s="3">
        <f t="shared" si="0"/>
        <v>90.98889517745549</v>
      </c>
      <c r="U23" s="3">
        <f t="shared" si="0"/>
        <v>91.708678866883929</v>
      </c>
      <c r="V23" s="3">
        <f t="shared" si="0"/>
        <v>87.86956411753259</v>
      </c>
      <c r="W23" s="3">
        <f t="shared" si="0"/>
        <v>91.519305715935332</v>
      </c>
      <c r="X23" s="3">
        <f t="shared" si="0"/>
        <v>123.9052665183322</v>
      </c>
      <c r="Y23" s="3">
        <f t="shared" si="0"/>
        <v>139.70149475351417</v>
      </c>
      <c r="Z23" s="3">
        <f t="shared" si="0"/>
        <v>-0.69381964117091599</v>
      </c>
      <c r="AA23" s="3">
        <f t="shared" si="0"/>
        <v>91.631289338471433</v>
      </c>
      <c r="AB23" s="3">
        <f t="shared" si="0"/>
        <v>49.464035646085293</v>
      </c>
      <c r="AC23" s="3">
        <f t="shared" si="0"/>
        <v>19.153459261651061</v>
      </c>
      <c r="AD23" s="3">
        <f t="shared" si="0"/>
        <v>138.54896538158928</v>
      </c>
      <c r="AE23" s="3">
        <f t="shared" si="0"/>
        <v>60.482716541713195</v>
      </c>
      <c r="AF23" s="3">
        <f t="shared" si="0"/>
        <v>80.234330369172724</v>
      </c>
      <c r="AG23" s="3">
        <f t="shared" si="0"/>
        <v>89.329513644960826</v>
      </c>
      <c r="AH23" s="3">
        <f t="shared" si="0"/>
        <v>102.66154619194602</v>
      </c>
      <c r="AI23" s="3">
        <f t="shared" ref="AI23:BL23" si="1">AI22/AI12</f>
        <v>141.58279488130566</v>
      </c>
      <c r="AJ23" s="3">
        <f t="shared" si="1"/>
        <v>129.664326783115</v>
      </c>
      <c r="AK23" s="3">
        <f t="shared" si="1"/>
        <v>57.760743636921191</v>
      </c>
      <c r="AL23" s="3">
        <f t="shared" si="1"/>
        <v>40.219744908048249</v>
      </c>
      <c r="AM23" s="3">
        <f t="shared" si="1"/>
        <v>56.711337234820775</v>
      </c>
      <c r="AN23" s="3">
        <f t="shared" si="1"/>
        <v>40.598251093066835</v>
      </c>
      <c r="AO23" s="3">
        <f t="shared" si="1"/>
        <v>124.17988886559027</v>
      </c>
      <c r="AP23" s="3">
        <f t="shared" si="1"/>
        <v>72.936018328034407</v>
      </c>
      <c r="AQ23" s="3">
        <f t="shared" si="1"/>
        <v>103.30444463431306</v>
      </c>
      <c r="AR23" s="3">
        <f t="shared" si="1"/>
        <v>27.941701782820097</v>
      </c>
      <c r="AS23" s="3">
        <f t="shared" si="1"/>
        <v>10.638509968520461</v>
      </c>
      <c r="AT23" s="3">
        <f t="shared" si="1"/>
        <v>41.925708177445216</v>
      </c>
      <c r="AU23" s="3">
        <f t="shared" si="1"/>
        <v>87.532137698603762</v>
      </c>
      <c r="AV23" s="3">
        <f t="shared" si="1"/>
        <v>62.445123558484354</v>
      </c>
      <c r="AW23" s="3">
        <f t="shared" si="1"/>
        <v>165.64682926829269</v>
      </c>
      <c r="AX23" s="3">
        <f t="shared" si="1"/>
        <v>28.70470390666431</v>
      </c>
      <c r="AY23" s="3">
        <f t="shared" si="1"/>
        <v>115.3166110635871</v>
      </c>
      <c r="AZ23" s="3">
        <f t="shared" si="1"/>
        <v>98.841770783277269</v>
      </c>
      <c r="BA23" s="3">
        <f t="shared" si="1"/>
        <v>162.84726291899443</v>
      </c>
      <c r="BB23" s="3">
        <f t="shared" si="1"/>
        <v>109.60609991149572</v>
      </c>
      <c r="BC23" s="3">
        <f t="shared" si="1"/>
        <v>17.143319327731092</v>
      </c>
      <c r="BD23" s="3">
        <f t="shared" si="1"/>
        <v>90.186952778502487</v>
      </c>
      <c r="BE23" s="3">
        <f t="shared" si="1"/>
        <v>144.99285938727417</v>
      </c>
      <c r="BF23" s="3">
        <f t="shared" si="1"/>
        <v>136.20703744132734</v>
      </c>
      <c r="BG23" s="3">
        <f t="shared" si="1"/>
        <v>121.96037037037037</v>
      </c>
      <c r="BH23" s="3">
        <f t="shared" ref="BH23" si="2">BH22/BH12</f>
        <v>86.367539226347674</v>
      </c>
      <c r="BI23" s="3">
        <f t="shared" si="1"/>
        <v>55.382775855440215</v>
      </c>
      <c r="BJ23" s="3">
        <f t="shared" si="1"/>
        <v>206.30808510638298</v>
      </c>
      <c r="BK23" s="3">
        <f t="shared" si="1"/>
        <v>14.823711687436846</v>
      </c>
      <c r="BL23" s="3">
        <f t="shared" si="1"/>
        <v>97.329892362890817</v>
      </c>
      <c r="BM23" s="3">
        <f t="shared" ref="BM23:BZ23" si="3">BM22/BM12</f>
        <v>92.283867760377831</v>
      </c>
      <c r="BN23" s="3">
        <f t="shared" si="3"/>
        <v>80.88909199880132</v>
      </c>
      <c r="BO23" s="3">
        <f t="shared" si="3"/>
        <v>72.492256460536453</v>
      </c>
      <c r="BP23" s="3">
        <f t="shared" si="3"/>
        <v>144.31366757595711</v>
      </c>
      <c r="BQ23" s="3">
        <f t="shared" si="3"/>
        <v>157.18432236205228</v>
      </c>
      <c r="BR23" s="3">
        <f t="shared" si="3"/>
        <v>188.55165132105685</v>
      </c>
      <c r="BS23" s="3">
        <f t="shared" si="3"/>
        <v>20.575988857938718</v>
      </c>
      <c r="BT23" s="3">
        <f t="shared" si="3"/>
        <v>43.485190987124462</v>
      </c>
      <c r="BU23" s="3">
        <f t="shared" si="3"/>
        <v>4.4188376753507015E-2</v>
      </c>
      <c r="BV23" s="3">
        <f t="shared" si="3"/>
        <v>13.798055896805897</v>
      </c>
      <c r="BW23" s="3">
        <f t="shared" si="3"/>
        <v>140.40422672591308</v>
      </c>
      <c r="BX23" s="3">
        <f t="shared" si="3"/>
        <v>23.66998120300752</v>
      </c>
      <c r="BY23" s="3">
        <f t="shared" si="3"/>
        <v>152.18480812641081</v>
      </c>
      <c r="BZ23" s="3">
        <f t="shared" si="3"/>
        <v>124.06711232431176</v>
      </c>
    </row>
    <row r="24" spans="1:80" x14ac:dyDescent="0.2"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 spans="1:80" s="19" customFormat="1" x14ac:dyDescent="0.2">
      <c r="B25" s="19" t="s">
        <v>182</v>
      </c>
      <c r="C25" s="13">
        <f>SUM(D25:BZ25)</f>
        <v>10062792.346242744</v>
      </c>
      <c r="D25" s="13">
        <f>IF(D23-$C23&gt;0,(D23-$C23)*D12*$C19,(D23-$C23)*D12*$C20)</f>
        <v>6743301.1181324916</v>
      </c>
      <c r="E25" s="13">
        <f>IF(E23-$C23&gt;0,(E23-$C23)*E12*$C19,(E23-$C23)*E12*$C20)</f>
        <v>271428.25588288851</v>
      </c>
      <c r="F25" s="13">
        <f t="shared" ref="F25:BQ25" si="4">IF(F23-$C23&gt;0,(F23-$C23)*F12*$C19,(F23-$C23)*F12*$C20)</f>
        <v>0</v>
      </c>
      <c r="G25" s="13">
        <f t="shared" si="4"/>
        <v>0</v>
      </c>
      <c r="H25" s="13">
        <f t="shared" si="4"/>
        <v>0</v>
      </c>
      <c r="I25" s="13">
        <f t="shared" si="4"/>
        <v>0</v>
      </c>
      <c r="J25" s="13">
        <f t="shared" si="4"/>
        <v>0</v>
      </c>
      <c r="K25" s="13">
        <f t="shared" si="4"/>
        <v>0</v>
      </c>
      <c r="L25" s="13">
        <f t="shared" si="4"/>
        <v>0</v>
      </c>
      <c r="M25" s="13">
        <f t="shared" si="4"/>
        <v>0</v>
      </c>
      <c r="N25" s="13">
        <f t="shared" si="4"/>
        <v>0</v>
      </c>
      <c r="O25" s="13">
        <f t="shared" si="4"/>
        <v>0</v>
      </c>
      <c r="P25" s="13">
        <f t="shared" si="4"/>
        <v>771990.13475904183</v>
      </c>
      <c r="Q25" s="13">
        <f t="shared" si="4"/>
        <v>0</v>
      </c>
      <c r="R25" s="13">
        <f t="shared" si="4"/>
        <v>0</v>
      </c>
      <c r="S25" s="13">
        <f t="shared" si="4"/>
        <v>516957.59825613239</v>
      </c>
      <c r="T25" s="13">
        <f t="shared" si="4"/>
        <v>0</v>
      </c>
      <c r="U25" s="13">
        <f t="shared" si="4"/>
        <v>0</v>
      </c>
      <c r="V25" s="13">
        <f t="shared" si="4"/>
        <v>0</v>
      </c>
      <c r="W25" s="13">
        <f t="shared" si="4"/>
        <v>0</v>
      </c>
      <c r="X25" s="13">
        <f t="shared" si="4"/>
        <v>0</v>
      </c>
      <c r="Y25" s="13">
        <f t="shared" si="4"/>
        <v>15271.150740122695</v>
      </c>
      <c r="Z25" s="13">
        <f t="shared" si="4"/>
        <v>0</v>
      </c>
      <c r="AA25" s="13">
        <f t="shared" si="4"/>
        <v>0</v>
      </c>
      <c r="AB25" s="13">
        <f t="shared" si="4"/>
        <v>0</v>
      </c>
      <c r="AC25" s="13">
        <f t="shared" si="4"/>
        <v>0</v>
      </c>
      <c r="AD25" s="13">
        <f t="shared" si="4"/>
        <v>5927.6235326453516</v>
      </c>
      <c r="AE25" s="13">
        <f t="shared" si="4"/>
        <v>0</v>
      </c>
      <c r="AF25" s="13">
        <f t="shared" si="4"/>
        <v>0</v>
      </c>
      <c r="AG25" s="13">
        <f t="shared" si="4"/>
        <v>0</v>
      </c>
      <c r="AH25" s="13">
        <f t="shared" si="4"/>
        <v>0</v>
      </c>
      <c r="AI25" s="13">
        <f t="shared" si="4"/>
        <v>22388.509433526375</v>
      </c>
      <c r="AJ25" s="13">
        <f t="shared" si="4"/>
        <v>0</v>
      </c>
      <c r="AK25" s="13">
        <f t="shared" si="4"/>
        <v>0</v>
      </c>
      <c r="AL25" s="13">
        <f t="shared" si="4"/>
        <v>0</v>
      </c>
      <c r="AM25" s="13">
        <f t="shared" si="4"/>
        <v>0</v>
      </c>
      <c r="AN25" s="13">
        <f t="shared" si="4"/>
        <v>0</v>
      </c>
      <c r="AO25" s="13">
        <f t="shared" si="4"/>
        <v>0</v>
      </c>
      <c r="AP25" s="13">
        <f t="shared" si="4"/>
        <v>0</v>
      </c>
      <c r="AQ25" s="13">
        <f t="shared" si="4"/>
        <v>0</v>
      </c>
      <c r="AR25" s="13">
        <f t="shared" si="4"/>
        <v>0</v>
      </c>
      <c r="AS25" s="13">
        <f t="shared" si="4"/>
        <v>0</v>
      </c>
      <c r="AT25" s="13">
        <f t="shared" si="4"/>
        <v>0</v>
      </c>
      <c r="AU25" s="13">
        <f t="shared" si="4"/>
        <v>0</v>
      </c>
      <c r="AV25" s="13">
        <f t="shared" si="4"/>
        <v>0</v>
      </c>
      <c r="AW25" s="13">
        <f t="shared" si="4"/>
        <v>94514.571065290787</v>
      </c>
      <c r="AX25" s="13">
        <f t="shared" si="4"/>
        <v>0</v>
      </c>
      <c r="AY25" s="13">
        <f t="shared" si="4"/>
        <v>0</v>
      </c>
      <c r="AZ25" s="13">
        <f t="shared" si="4"/>
        <v>0</v>
      </c>
      <c r="BA25" s="13">
        <f t="shared" si="4"/>
        <v>484326.8142670985</v>
      </c>
      <c r="BB25" s="13">
        <f t="shared" si="4"/>
        <v>0</v>
      </c>
      <c r="BC25" s="13">
        <f t="shared" si="4"/>
        <v>0</v>
      </c>
      <c r="BD25" s="13">
        <f t="shared" si="4"/>
        <v>0</v>
      </c>
      <c r="BE25" s="13">
        <f t="shared" si="4"/>
        <v>31561.287022907294</v>
      </c>
      <c r="BF25" s="13">
        <f t="shared" si="4"/>
        <v>8489.6559656034569</v>
      </c>
      <c r="BG25" s="13">
        <f t="shared" si="4"/>
        <v>0</v>
      </c>
      <c r="BH25" s="13">
        <f t="shared" si="4"/>
        <v>0</v>
      </c>
      <c r="BI25" s="13">
        <f t="shared" si="4"/>
        <v>0</v>
      </c>
      <c r="BJ25" s="13">
        <f t="shared" si="4"/>
        <v>70714.183784894427</v>
      </c>
      <c r="BK25" s="13">
        <f t="shared" si="4"/>
        <v>0</v>
      </c>
      <c r="BL25" s="13">
        <f t="shared" si="4"/>
        <v>0</v>
      </c>
      <c r="BM25" s="13">
        <f t="shared" si="4"/>
        <v>0</v>
      </c>
      <c r="BN25" s="13">
        <f t="shared" si="4"/>
        <v>0</v>
      </c>
      <c r="BO25" s="13">
        <f t="shared" si="4"/>
        <v>0</v>
      </c>
      <c r="BP25" s="13">
        <f t="shared" si="4"/>
        <v>61560.881177636933</v>
      </c>
      <c r="BQ25" s="13">
        <f t="shared" si="4"/>
        <v>55836.08010892634</v>
      </c>
      <c r="BR25" s="13">
        <f t="shared" ref="BR25:BZ25" si="5">IF(BR23-$C23&gt;0,(BR23-$C23)*BR12*$C19,(BR23-$C23)*BR12*$C20)</f>
        <v>807690.46765754593</v>
      </c>
      <c r="BS25" s="13">
        <f t="shared" si="5"/>
        <v>0</v>
      </c>
      <c r="BT25" s="13">
        <f t="shared" si="5"/>
        <v>0</v>
      </c>
      <c r="BU25" s="13">
        <f t="shared" si="5"/>
        <v>0</v>
      </c>
      <c r="BV25" s="13">
        <f t="shared" si="5"/>
        <v>0</v>
      </c>
      <c r="BW25" s="13">
        <f t="shared" si="5"/>
        <v>63574.597231879481</v>
      </c>
      <c r="BX25" s="13">
        <f t="shared" si="5"/>
        <v>0</v>
      </c>
      <c r="BY25" s="13">
        <f t="shared" si="5"/>
        <v>37259.417224112942</v>
      </c>
      <c r="BZ25" s="13">
        <f t="shared" si="5"/>
        <v>0</v>
      </c>
    </row>
    <row r="26" spans="1:80" x14ac:dyDescent="0.2"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 spans="1:80" x14ac:dyDescent="0.2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 spans="1:80" s="19" customFormat="1" x14ac:dyDescent="0.2">
      <c r="A28" s="45" t="s">
        <v>129</v>
      </c>
      <c r="B28" s="43" t="s">
        <v>183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3"/>
      <c r="CB28" s="43"/>
    </row>
    <row r="29" spans="1:80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 spans="1:80" x14ac:dyDescent="0.2">
      <c r="B30" t="s">
        <v>185</v>
      </c>
      <c r="C30" s="8">
        <v>0.6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 spans="1:80" s="19" customFormat="1" x14ac:dyDescent="0.2">
      <c r="B31" t="s">
        <v>186</v>
      </c>
      <c r="C31" s="8">
        <v>0.2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</row>
    <row r="32" spans="1:80" s="19" customFormat="1" x14ac:dyDescent="0.2">
      <c r="B32"/>
      <c r="C32" s="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</row>
    <row r="33" spans="1:80" x14ac:dyDescent="0.2">
      <c r="B33" t="s">
        <v>191</v>
      </c>
      <c r="C33" s="3">
        <f>SUM(D33:BZ33)</f>
        <v>63432250.699999988</v>
      </c>
      <c r="D33" s="10">
        <v>21649705</v>
      </c>
      <c r="E33" s="10">
        <v>1674131.61</v>
      </c>
      <c r="F33" s="10">
        <v>88381.75</v>
      </c>
      <c r="G33" s="10">
        <v>98794.3</v>
      </c>
      <c r="H33" s="10">
        <v>52666.15</v>
      </c>
      <c r="I33" s="10">
        <v>525430</v>
      </c>
      <c r="J33" s="10">
        <v>309808</v>
      </c>
      <c r="K33" s="10">
        <v>0</v>
      </c>
      <c r="L33" s="10">
        <v>13903</v>
      </c>
      <c r="M33" s="10">
        <v>100893.35</v>
      </c>
      <c r="N33" s="10">
        <v>8625.0499999999993</v>
      </c>
      <c r="O33" s="10">
        <v>1298450.1399999999</v>
      </c>
      <c r="P33" s="10">
        <v>1201616.06</v>
      </c>
      <c r="Q33" s="10">
        <v>324197.09999999998</v>
      </c>
      <c r="R33" s="10">
        <v>831767.52</v>
      </c>
      <c r="S33" s="10">
        <v>461720.31</v>
      </c>
      <c r="T33" s="10">
        <v>1132770.8</v>
      </c>
      <c r="U33" s="10">
        <v>183700.11</v>
      </c>
      <c r="V33" s="10">
        <v>-59035.45</v>
      </c>
      <c r="W33" s="10">
        <v>156147.38</v>
      </c>
      <c r="X33" s="10">
        <v>258973.54</v>
      </c>
      <c r="Y33" s="10">
        <v>214685.33</v>
      </c>
      <c r="Z33" s="10">
        <v>175258.02</v>
      </c>
      <c r="AA33" s="10">
        <v>735352.31</v>
      </c>
      <c r="AB33" s="10">
        <v>135147</v>
      </c>
      <c r="AC33" s="10">
        <v>-87876.45</v>
      </c>
      <c r="AD33" s="10">
        <v>75908.3</v>
      </c>
      <c r="AE33" s="10">
        <v>430160.27</v>
      </c>
      <c r="AF33" s="10">
        <v>50432.75</v>
      </c>
      <c r="AG33" s="10">
        <v>469516.51</v>
      </c>
      <c r="AH33" s="10">
        <v>1194268</v>
      </c>
      <c r="AI33" s="10">
        <v>590519.61</v>
      </c>
      <c r="AJ33" s="10">
        <v>512049</v>
      </c>
      <c r="AK33" s="10">
        <v>497985.1</v>
      </c>
      <c r="AL33" s="10">
        <v>116539.85</v>
      </c>
      <c r="AM33" s="10">
        <v>334915.59999999998</v>
      </c>
      <c r="AN33" s="10">
        <v>114665.36</v>
      </c>
      <c r="AO33" s="10">
        <v>383983.25</v>
      </c>
      <c r="AP33" s="10">
        <v>294421.13</v>
      </c>
      <c r="AQ33" s="10">
        <v>74135.48</v>
      </c>
      <c r="AR33" s="10">
        <v>136260.04999999999</v>
      </c>
      <c r="AS33" s="10">
        <v>59817.5</v>
      </c>
      <c r="AT33" s="10">
        <v>-68471</v>
      </c>
      <c r="AU33" s="10">
        <v>388641.37</v>
      </c>
      <c r="AV33" s="10">
        <v>368269.86</v>
      </c>
      <c r="AW33" s="10">
        <v>693942.98</v>
      </c>
      <c r="AX33" s="10">
        <v>222851.88</v>
      </c>
      <c r="AY33" s="10">
        <v>298290.48</v>
      </c>
      <c r="AZ33" s="10">
        <v>531005.38</v>
      </c>
      <c r="BA33" s="10">
        <v>3899133.48</v>
      </c>
      <c r="BB33" s="10">
        <v>574037.87</v>
      </c>
      <c r="BC33" s="134">
        <v>15201.97</v>
      </c>
      <c r="BD33" s="10">
        <v>278950.17</v>
      </c>
      <c r="BE33" s="10">
        <v>666021.93999999994</v>
      </c>
      <c r="BF33" s="10">
        <v>1031510.94</v>
      </c>
      <c r="BG33" s="10">
        <v>109932.75</v>
      </c>
      <c r="BH33" s="10">
        <v>823900.16000000003</v>
      </c>
      <c r="BI33" s="10">
        <v>496318.57</v>
      </c>
      <c r="BJ33" s="10">
        <v>93580.6</v>
      </c>
      <c r="BK33" s="10">
        <v>152268.10999999999</v>
      </c>
      <c r="BL33" s="10">
        <v>2092587.5</v>
      </c>
      <c r="BM33" s="10">
        <v>219532</v>
      </c>
      <c r="BN33" s="10">
        <v>423119.85</v>
      </c>
      <c r="BO33" s="10">
        <v>1277741</v>
      </c>
      <c r="BP33" s="10">
        <v>2104758.84</v>
      </c>
      <c r="BQ33" s="10">
        <v>434193.55</v>
      </c>
      <c r="BR33" s="10">
        <v>5678103.6200000001</v>
      </c>
      <c r="BS33" s="10">
        <v>278665.59999999998</v>
      </c>
      <c r="BT33" s="10">
        <v>187427.6</v>
      </c>
      <c r="BU33" s="10">
        <v>9516.84</v>
      </c>
      <c r="BV33" s="10">
        <v>211300.4</v>
      </c>
      <c r="BW33" s="149">
        <v>1673321.15</v>
      </c>
      <c r="BX33" s="10">
        <v>70748.95</v>
      </c>
      <c r="BY33" s="10">
        <v>326945.77</v>
      </c>
      <c r="BZ33" s="10">
        <v>1048110.83</v>
      </c>
      <c r="CB33" t="s">
        <v>119</v>
      </c>
    </row>
    <row r="34" spans="1:80" x14ac:dyDescent="0.2">
      <c r="B34" t="s">
        <v>188</v>
      </c>
      <c r="C34" s="3">
        <f t="shared" ref="C34:AH34" si="6">C33/C12</f>
        <v>118.5396956536364</v>
      </c>
      <c r="D34" s="3">
        <f t="shared" si="6"/>
        <v>276.80443148837151</v>
      </c>
      <c r="E34" s="3">
        <f t="shared" si="6"/>
        <v>166.97901555954519</v>
      </c>
      <c r="F34" s="3">
        <f t="shared" si="6"/>
        <v>61.762229210342419</v>
      </c>
      <c r="G34" s="3">
        <f t="shared" si="6"/>
        <v>78.595306284805091</v>
      </c>
      <c r="H34" s="3">
        <f t="shared" si="6"/>
        <v>14.381799563080284</v>
      </c>
      <c r="I34" s="3">
        <f t="shared" si="6"/>
        <v>54.117828818621895</v>
      </c>
      <c r="J34" s="3">
        <f t="shared" si="6"/>
        <v>86.538547486033522</v>
      </c>
      <c r="K34" s="3">
        <f t="shared" si="6"/>
        <v>0</v>
      </c>
      <c r="L34" s="3">
        <f t="shared" si="6"/>
        <v>8.7220828105395238</v>
      </c>
      <c r="M34" s="3">
        <f t="shared" si="6"/>
        <v>98.240847127555995</v>
      </c>
      <c r="N34" s="3">
        <f t="shared" si="6"/>
        <v>3.4848686868686864</v>
      </c>
      <c r="O34" s="3">
        <f t="shared" si="6"/>
        <v>168.9590292778139</v>
      </c>
      <c r="P34" s="3">
        <f t="shared" si="6"/>
        <v>120.70477749874435</v>
      </c>
      <c r="Q34" s="3">
        <f t="shared" si="6"/>
        <v>45.680865154290544</v>
      </c>
      <c r="R34" s="3">
        <f t="shared" si="6"/>
        <v>236.56641638225256</v>
      </c>
      <c r="S34" s="3">
        <f t="shared" si="6"/>
        <v>70.405658737419941</v>
      </c>
      <c r="T34" s="3">
        <f t="shared" si="6"/>
        <v>133.56571159061431</v>
      </c>
      <c r="U34" s="3">
        <f t="shared" si="6"/>
        <v>46.051669591376282</v>
      </c>
      <c r="V34" s="3">
        <f t="shared" si="6"/>
        <v>-11.487731076084842</v>
      </c>
      <c r="W34" s="3">
        <f t="shared" si="6"/>
        <v>22.538594110854504</v>
      </c>
      <c r="X34" s="3">
        <f t="shared" si="6"/>
        <v>25.053065686369354</v>
      </c>
      <c r="Y34" s="3">
        <f t="shared" si="6"/>
        <v>42.503529994060578</v>
      </c>
      <c r="Z34" s="3">
        <f t="shared" si="6"/>
        <v>82.746940509915007</v>
      </c>
      <c r="AA34" s="3">
        <f t="shared" si="6"/>
        <v>59.035991490044964</v>
      </c>
      <c r="AB34" s="3">
        <f t="shared" si="6"/>
        <v>86.026098026734559</v>
      </c>
      <c r="AC34" s="3">
        <f t="shared" si="6"/>
        <v>-9.4582337746206004</v>
      </c>
      <c r="AD34" s="3">
        <f t="shared" si="6"/>
        <v>29.861644374508263</v>
      </c>
      <c r="AE34" s="3">
        <f t="shared" si="6"/>
        <v>68.617047375977037</v>
      </c>
      <c r="AF34" s="3">
        <f t="shared" si="6"/>
        <v>13.590070061977903</v>
      </c>
      <c r="AG34" s="3">
        <f t="shared" si="6"/>
        <v>63.431033504458256</v>
      </c>
      <c r="AH34" s="3">
        <f t="shared" si="6"/>
        <v>85.727370612303503</v>
      </c>
      <c r="AI34" s="3">
        <f t="shared" ref="AI34:BL34" si="7">AI33/AI12</f>
        <v>109.51773182492582</v>
      </c>
      <c r="AJ34" s="3">
        <f t="shared" si="7"/>
        <v>93.167576419213972</v>
      </c>
      <c r="AK34" s="3">
        <f t="shared" si="7"/>
        <v>76.354661146887452</v>
      </c>
      <c r="AL34" s="3">
        <f t="shared" si="7"/>
        <v>23.045254103223257</v>
      </c>
      <c r="AM34" s="3">
        <f t="shared" si="7"/>
        <v>49.000087783467443</v>
      </c>
      <c r="AN34" s="3">
        <f t="shared" si="7"/>
        <v>71.621086820737034</v>
      </c>
      <c r="AO34" s="3">
        <f t="shared" si="7"/>
        <v>40.258256447892641</v>
      </c>
      <c r="AP34" s="3">
        <f t="shared" si="7"/>
        <v>55.062863287824946</v>
      </c>
      <c r="AQ34" s="3">
        <f t="shared" si="7"/>
        <v>12.668400546821598</v>
      </c>
      <c r="AR34" s="3">
        <f t="shared" si="7"/>
        <v>44.168573743922202</v>
      </c>
      <c r="AS34" s="3">
        <f t="shared" si="7"/>
        <v>31.383788037775446</v>
      </c>
      <c r="AT34" s="3">
        <f t="shared" si="7"/>
        <v>-36.595938001068944</v>
      </c>
      <c r="AU34" s="3">
        <f t="shared" si="7"/>
        <v>93.558346172363983</v>
      </c>
      <c r="AV34" s="3">
        <f t="shared" si="7"/>
        <v>121.34097528830313</v>
      </c>
      <c r="AW34" s="3">
        <f t="shared" si="7"/>
        <v>136.49547206923683</v>
      </c>
      <c r="AX34" s="3">
        <f t="shared" si="7"/>
        <v>39.394003888987093</v>
      </c>
      <c r="AY34" s="3">
        <f t="shared" si="7"/>
        <v>42.527869974337037</v>
      </c>
      <c r="AZ34" s="3">
        <f t="shared" si="7"/>
        <v>127.58418548774628</v>
      </c>
      <c r="BA34" s="3">
        <f t="shared" si="7"/>
        <v>136.14292877094971</v>
      </c>
      <c r="BB34" s="3">
        <f t="shared" si="7"/>
        <v>56.449785622971774</v>
      </c>
      <c r="BC34" s="3">
        <f t="shared" si="7"/>
        <v>5.806711229946524</v>
      </c>
      <c r="BD34" s="3">
        <f t="shared" si="7"/>
        <v>72.775937907644135</v>
      </c>
      <c r="BE34" s="3">
        <f t="shared" si="7"/>
        <v>130.79771013354281</v>
      </c>
      <c r="BF34" s="3">
        <f t="shared" si="7"/>
        <v>112.59807226285339</v>
      </c>
      <c r="BG34" s="3">
        <f t="shared" si="7"/>
        <v>52.87770562770563</v>
      </c>
      <c r="BH34" s="3">
        <f t="shared" ref="BH34" si="8">BH33/BH12</f>
        <v>127.99443218890788</v>
      </c>
      <c r="BI34" s="3">
        <f t="shared" si="7"/>
        <v>95.409183006535955</v>
      </c>
      <c r="BJ34" s="3">
        <f t="shared" si="7"/>
        <v>56.887902735562314</v>
      </c>
      <c r="BK34" s="3">
        <f t="shared" si="7"/>
        <v>51.285991916470188</v>
      </c>
      <c r="BL34" s="3">
        <f t="shared" si="7"/>
        <v>214.51435161455663</v>
      </c>
      <c r="BM34" s="3">
        <f t="shared" ref="BM34:BZ34" si="9">BM33/BM12</f>
        <v>54.569226945065871</v>
      </c>
      <c r="BN34" s="3">
        <f t="shared" si="9"/>
        <v>63.398239436619711</v>
      </c>
      <c r="BO34" s="3">
        <f t="shared" si="9"/>
        <v>89.483927445899567</v>
      </c>
      <c r="BP34" s="3">
        <f t="shared" si="9"/>
        <v>197.98314739911578</v>
      </c>
      <c r="BQ34" s="3">
        <f t="shared" si="9"/>
        <v>105.08072362052275</v>
      </c>
      <c r="BR34" s="3">
        <f t="shared" si="9"/>
        <v>227.30598959167335</v>
      </c>
      <c r="BS34" s="3">
        <f t="shared" si="9"/>
        <v>55.444807003581374</v>
      </c>
      <c r="BT34" s="3">
        <f t="shared" si="9"/>
        <v>40.220515021459228</v>
      </c>
      <c r="BU34" s="3">
        <f t="shared" si="9"/>
        <v>6.3572745490981966</v>
      </c>
      <c r="BV34" s="3">
        <f t="shared" si="9"/>
        <v>64.89570024570024</v>
      </c>
      <c r="BW34" s="3">
        <f t="shared" si="9"/>
        <v>90.67525468733065</v>
      </c>
      <c r="BX34" s="3">
        <f t="shared" si="9"/>
        <v>33.246687030075186</v>
      </c>
      <c r="BY34" s="3">
        <f t="shared" si="9"/>
        <v>92.253321106094816</v>
      </c>
      <c r="BZ34" s="3">
        <f t="shared" si="9"/>
        <v>121.74594377976535</v>
      </c>
    </row>
    <row r="35" spans="1:80" s="19" customFormat="1" x14ac:dyDescent="0.2"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</row>
    <row r="36" spans="1:80" s="19" customFormat="1" x14ac:dyDescent="0.2">
      <c r="B36" s="19" t="s">
        <v>183</v>
      </c>
      <c r="C36" s="13">
        <f>SUM(D36:BZ36)</f>
        <v>7642281.3780774837</v>
      </c>
      <c r="D36" s="13">
        <f>IF(D34-$C34&gt;0,(D34-$C34)*D12*$C30,(D34-$C34)*D12*$C31)</f>
        <v>7427015.8703052821</v>
      </c>
      <c r="E36" s="13">
        <f t="shared" ref="E36:AI36" si="10">IF(E34-$C34&gt;0,(E34-$C34)*E12*$C30,(E34-$C34)*E12*$C31)</f>
        <v>291391.57282598491</v>
      </c>
      <c r="F36" s="13">
        <f t="shared" si="10"/>
        <v>-16249.710896070739</v>
      </c>
      <c r="G36" s="13">
        <f t="shared" si="10"/>
        <v>-10042.019487324193</v>
      </c>
      <c r="H36" s="13">
        <f t="shared" si="10"/>
        <v>-76285.243096723309</v>
      </c>
      <c r="I36" s="13">
        <f t="shared" si="10"/>
        <v>-125094.38102023116</v>
      </c>
      <c r="J36" s="13">
        <f t="shared" si="10"/>
        <v>-22912.822088003661</v>
      </c>
      <c r="K36" s="13">
        <f t="shared" si="10"/>
        <v>-23992.43440029601</v>
      </c>
      <c r="L36" s="13">
        <f t="shared" si="10"/>
        <v>-35009.85497437929</v>
      </c>
      <c r="M36" s="13">
        <f t="shared" si="10"/>
        <v>-4169.3834872569159</v>
      </c>
      <c r="N36" s="13">
        <f t="shared" si="10"/>
        <v>-56952.13934855003</v>
      </c>
      <c r="O36" s="13">
        <f t="shared" si="10"/>
        <v>232483.54734108242</v>
      </c>
      <c r="P36" s="13">
        <f t="shared" si="10"/>
        <v>12932.033860829777</v>
      </c>
      <c r="Q36" s="13">
        <f t="shared" si="10"/>
        <v>-103415.82401077152</v>
      </c>
      <c r="R36" s="13">
        <f t="shared" si="10"/>
        <v>248989.17004908866</v>
      </c>
      <c r="S36" s="13">
        <f t="shared" si="10"/>
        <v>-63132.602819309512</v>
      </c>
      <c r="T36" s="13">
        <f t="shared" si="10"/>
        <v>76461.384696905807</v>
      </c>
      <c r="U36" s="13">
        <f t="shared" si="10"/>
        <v>-57830.947192471125</v>
      </c>
      <c r="V36" s="13">
        <f t="shared" si="10"/>
        <v>-133642.18919280751</v>
      </c>
      <c r="W36" s="13">
        <f t="shared" si="10"/>
        <v>-133019.12629767859</v>
      </c>
      <c r="X36" s="13">
        <f t="shared" si="10"/>
        <v>-193274.25879432791</v>
      </c>
      <c r="Y36" s="13">
        <f t="shared" si="10"/>
        <v>-76811.73454930351</v>
      </c>
      <c r="Z36" s="13">
        <f t="shared" si="10"/>
        <v>-15161.811078880382</v>
      </c>
      <c r="AA36" s="13">
        <f t="shared" si="10"/>
        <v>-148235.62781233899</v>
      </c>
      <c r="AB36" s="13">
        <f t="shared" si="10"/>
        <v>-10215.772374372558</v>
      </c>
      <c r="AC36" s="13">
        <f t="shared" si="10"/>
        <v>-237845.75246358715</v>
      </c>
      <c r="AD36" s="13">
        <f t="shared" si="10"/>
        <v>-45083.921270308754</v>
      </c>
      <c r="AE36" s="13">
        <f t="shared" si="10"/>
        <v>-62593.016410529315</v>
      </c>
      <c r="AF36" s="13">
        <f t="shared" si="10"/>
        <v>-77893.612114128933</v>
      </c>
      <c r="AG36" s="13">
        <f t="shared" si="10"/>
        <v>-81582.863445643336</v>
      </c>
      <c r="AH36" s="13">
        <f t="shared" si="10"/>
        <v>-91421.700030161723</v>
      </c>
      <c r="AI36" s="13">
        <f t="shared" si="10"/>
        <v>-9729.2857928814919</v>
      </c>
      <c r="AJ36" s="13">
        <f t="shared" ref="AJ36:BM36" si="11">IF(AJ34-$C34&gt;0,(AJ34-$C34)*AJ12*$C30,(AJ34-$C34)*AJ12*$C31)</f>
        <v>-27889.033462477135</v>
      </c>
      <c r="AK36" s="13">
        <f t="shared" si="11"/>
        <v>-55026.159010603325</v>
      </c>
      <c r="AL36" s="13">
        <f t="shared" si="11"/>
        <v>-96583.078184087863</v>
      </c>
      <c r="AM36" s="13">
        <f t="shared" si="11"/>
        <v>-95060.643958520974</v>
      </c>
      <c r="AN36" s="13">
        <f t="shared" si="11"/>
        <v>-15023.338548294378</v>
      </c>
      <c r="AO36" s="13">
        <f t="shared" si="11"/>
        <v>-149329.67342887682</v>
      </c>
      <c r="AP36" s="13">
        <f t="shared" si="11"/>
        <v>-67882.124531998765</v>
      </c>
      <c r="AQ36" s="13">
        <f t="shared" si="11"/>
        <v>-123911.76379301604</v>
      </c>
      <c r="AR36" s="13">
        <f t="shared" si="11"/>
        <v>-45886.982218293655</v>
      </c>
      <c r="AS36" s="13">
        <f t="shared" si="11"/>
        <v>-33223.831983166194</v>
      </c>
      <c r="AT36" s="13">
        <f t="shared" si="11"/>
        <v>-58051.754113590745</v>
      </c>
      <c r="AU36" s="13">
        <f t="shared" si="11"/>
        <v>-20754.505149041128</v>
      </c>
      <c r="AV36" s="13">
        <f t="shared" si="11"/>
        <v>5101.1302147281103</v>
      </c>
      <c r="AW36" s="13">
        <f t="shared" si="11"/>
        <v>54772.300378147535</v>
      </c>
      <c r="AX36" s="13">
        <f t="shared" si="11"/>
        <v>-89545.435662524251</v>
      </c>
      <c r="AY36" s="13">
        <f t="shared" si="11"/>
        <v>-106629.38906292115</v>
      </c>
      <c r="AZ36" s="13">
        <f t="shared" si="11"/>
        <v>22585.900013739199</v>
      </c>
      <c r="BA36" s="13">
        <f t="shared" si="11"/>
        <v>302493.95788791188</v>
      </c>
      <c r="BB36" s="13">
        <f t="shared" si="11"/>
        <v>-126278.45902036573</v>
      </c>
      <c r="BC36" s="13">
        <f t="shared" si="11"/>
        <v>-59026.990644244011</v>
      </c>
      <c r="BD36" s="13">
        <f t="shared" si="11"/>
        <v>-35082.49668807767</v>
      </c>
      <c r="BE36" s="13">
        <f t="shared" si="11"/>
        <v>37450.685839010053</v>
      </c>
      <c r="BF36" s="13">
        <f t="shared" si="11"/>
        <v>-10886.242376592629</v>
      </c>
      <c r="BG36" s="13">
        <f t="shared" si="11"/>
        <v>-27302.255452782018</v>
      </c>
      <c r="BH36" s="13">
        <f t="shared" ref="BH36" si="12">IF(BH34-$C34&gt;0,(BH34-$C34)*BH12*$C30,(BH34-$C34)*BH12*$C31)</f>
        <v>36516.083446525503</v>
      </c>
      <c r="BI36" s="13">
        <f t="shared" si="11"/>
        <v>-24064.985358043305</v>
      </c>
      <c r="BJ36" s="13">
        <f t="shared" si="11"/>
        <v>-20283.439870046375</v>
      </c>
      <c r="BK36" s="13">
        <f t="shared" si="11"/>
        <v>-39935.24927912929</v>
      </c>
      <c r="BL36" s="13">
        <f t="shared" si="11"/>
        <v>561739.66133926611</v>
      </c>
      <c r="BM36" s="13">
        <f t="shared" si="11"/>
        <v>-51470.639122915854</v>
      </c>
      <c r="BN36" s="13">
        <f t="shared" ref="BN36:BZ36" si="13">IF(BN34-$C34&gt;0,(BN34-$C34)*BN12*$C30,(BN34-$C34)*BN12*$C31)</f>
        <v>-73602.81575847388</v>
      </c>
      <c r="BO36" s="13">
        <f t="shared" si="13"/>
        <v>-82977.462847654853</v>
      </c>
      <c r="BP36" s="13">
        <f t="shared" si="13"/>
        <v>506738.0013037147</v>
      </c>
      <c r="BQ36" s="13">
        <f t="shared" si="13"/>
        <v>-11122.494488165124</v>
      </c>
      <c r="BR36" s="13">
        <f t="shared" si="13"/>
        <v>1630189.2135432977</v>
      </c>
      <c r="BS36" s="13">
        <f t="shared" si="13"/>
        <v>-63422.982071035309</v>
      </c>
      <c r="BT36" s="13">
        <f t="shared" si="13"/>
        <v>-72993.476349189121</v>
      </c>
      <c r="BU36" s="13">
        <f t="shared" si="13"/>
        <v>-33587.416878698736</v>
      </c>
      <c r="BV36" s="13">
        <f t="shared" si="13"/>
        <v>-34932.969809648028</v>
      </c>
      <c r="BW36" s="13">
        <f t="shared" si="13"/>
        <v>-102842.07871844126</v>
      </c>
      <c r="BX36" s="13">
        <f t="shared" si="13"/>
        <v>-36300.704470187651</v>
      </c>
      <c r="BY36" s="13">
        <f t="shared" si="13"/>
        <v>-18631.782279297473</v>
      </c>
      <c r="BZ36" s="13">
        <f t="shared" si="13"/>
        <v>16561.554070706501</v>
      </c>
    </row>
    <row r="37" spans="1:80" s="19" customFormat="1" x14ac:dyDescent="0.2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</row>
    <row r="38" spans="1:80" s="19" customFormat="1" x14ac:dyDescent="0.2"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</row>
    <row r="39" spans="1:80" s="19" customFormat="1" x14ac:dyDescent="0.2">
      <c r="A39" s="45" t="s">
        <v>137</v>
      </c>
      <c r="B39" s="43" t="s">
        <v>184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3"/>
      <c r="CB39" s="43"/>
    </row>
    <row r="40" spans="1:80" s="19" customFormat="1" x14ac:dyDescent="0.2"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</row>
    <row r="41" spans="1:80" x14ac:dyDescent="0.2">
      <c r="B41" t="s">
        <v>185</v>
      </c>
      <c r="C41" s="8">
        <v>0.6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 spans="1:80" s="19" customFormat="1" x14ac:dyDescent="0.2">
      <c r="B42" t="s">
        <v>186</v>
      </c>
      <c r="C42" s="8">
        <v>0.2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</row>
    <row r="43" spans="1:80" s="19" customFormat="1" x14ac:dyDescent="0.2"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</row>
    <row r="44" spans="1:80" x14ac:dyDescent="0.2">
      <c r="B44" t="s">
        <v>189</v>
      </c>
      <c r="C44" s="3">
        <f>SUM(D44:BZ44)</f>
        <v>115223720.45000003</v>
      </c>
      <c r="D44" s="10">
        <v>21229161.250000045</v>
      </c>
      <c r="E44" s="10">
        <v>2309180.0500000007</v>
      </c>
      <c r="F44" s="10">
        <v>259026.05000000002</v>
      </c>
      <c r="G44" s="10">
        <v>110200.95</v>
      </c>
      <c r="H44" s="10">
        <v>776135.25</v>
      </c>
      <c r="I44" s="10">
        <v>3282274.2</v>
      </c>
      <c r="J44" s="10">
        <v>622696.1</v>
      </c>
      <c r="K44" s="10">
        <v>278034.10000000003</v>
      </c>
      <c r="L44" s="10">
        <v>304533</v>
      </c>
      <c r="M44" s="10">
        <v>177729.15</v>
      </c>
      <c r="N44" s="10">
        <v>375751.75</v>
      </c>
      <c r="O44" s="10">
        <v>1438868.25</v>
      </c>
      <c r="P44" s="10">
        <v>2440704.5499999998</v>
      </c>
      <c r="Q44" s="10">
        <v>1073409.6499999999</v>
      </c>
      <c r="R44" s="10">
        <v>849853.10000000009</v>
      </c>
      <c r="S44" s="10">
        <v>1221404.9000000001</v>
      </c>
      <c r="T44" s="10">
        <v>1659313</v>
      </c>
      <c r="U44" s="10">
        <v>814853.54999999993</v>
      </c>
      <c r="V44" s="10">
        <v>687597.25</v>
      </c>
      <c r="W44" s="10">
        <v>962063.3</v>
      </c>
      <c r="X44" s="10">
        <v>1432349.6</v>
      </c>
      <c r="Y44" s="10">
        <v>1366736.25</v>
      </c>
      <c r="Z44" s="10">
        <v>324362.14999999997</v>
      </c>
      <c r="AA44" s="10">
        <v>2580739</v>
      </c>
      <c r="AB44" s="10">
        <v>193206.95</v>
      </c>
      <c r="AC44" s="10">
        <v>1200066.25</v>
      </c>
      <c r="AD44" s="10">
        <v>340805</v>
      </c>
      <c r="AE44" s="10">
        <v>778917.55</v>
      </c>
      <c r="AF44" s="10">
        <v>480202.85000000003</v>
      </c>
      <c r="AG44" s="10">
        <v>1365354.4</v>
      </c>
      <c r="AH44" s="10">
        <v>2594782.75</v>
      </c>
      <c r="AI44" s="10">
        <v>926205.85</v>
      </c>
      <c r="AJ44" s="10">
        <v>1048915.05</v>
      </c>
      <c r="AK44" s="10">
        <v>1280075.75</v>
      </c>
      <c r="AL44" s="10">
        <v>741133.15</v>
      </c>
      <c r="AM44" s="10">
        <v>1193529.5499999998</v>
      </c>
      <c r="AN44" s="10">
        <v>570448.19999999995</v>
      </c>
      <c r="AO44" s="10">
        <v>1730664.7999999998</v>
      </c>
      <c r="AP44" s="10">
        <v>1083664.2</v>
      </c>
      <c r="AQ44" s="10">
        <v>1429594.55</v>
      </c>
      <c r="AR44" s="10">
        <v>842519.85</v>
      </c>
      <c r="AS44" s="10">
        <v>365847.60000000003</v>
      </c>
      <c r="AT44" s="10">
        <v>398697.85</v>
      </c>
      <c r="AU44" s="10">
        <v>1123311.5499999996</v>
      </c>
      <c r="AV44" s="10">
        <v>587198.15</v>
      </c>
      <c r="AW44" s="10">
        <v>668866.5</v>
      </c>
      <c r="AX44" s="10">
        <v>804404.79999999993</v>
      </c>
      <c r="AY44" s="10">
        <v>1298549.8500000001</v>
      </c>
      <c r="AZ44" s="10">
        <v>896832.10000000044</v>
      </c>
      <c r="BA44" s="10">
        <v>5891530.049999998</v>
      </c>
      <c r="BB44" s="10">
        <v>1762034.7999999998</v>
      </c>
      <c r="BC44" s="10">
        <v>610025.79999999993</v>
      </c>
      <c r="BD44" s="10">
        <v>1041222.6</v>
      </c>
      <c r="BE44" s="10">
        <v>1461554.75</v>
      </c>
      <c r="BF44" s="10">
        <v>2678912.6999999997</v>
      </c>
      <c r="BG44" s="10">
        <v>513724.65</v>
      </c>
      <c r="BH44" s="10">
        <v>1268775.0499999998</v>
      </c>
      <c r="BI44" s="10">
        <v>1207282.1499999999</v>
      </c>
      <c r="BJ44" s="10">
        <v>223721.15</v>
      </c>
      <c r="BK44" s="10">
        <v>660297.04999999993</v>
      </c>
      <c r="BL44" s="10">
        <v>2478520.35</v>
      </c>
      <c r="BM44" s="10">
        <v>752132.8</v>
      </c>
      <c r="BN44" s="10">
        <v>1449612.3499999999</v>
      </c>
      <c r="BO44" s="10">
        <v>3101702.6500000004</v>
      </c>
      <c r="BP44" s="10">
        <v>2337543.0500000012</v>
      </c>
      <c r="BQ44" s="10">
        <v>1492512.7</v>
      </c>
      <c r="BR44" s="10">
        <v>6888235.6500000022</v>
      </c>
      <c r="BS44" s="10">
        <v>730672.9</v>
      </c>
      <c r="BT44" s="10">
        <v>641328.79999999993</v>
      </c>
      <c r="BU44" s="10">
        <v>103911.5</v>
      </c>
      <c r="BV44" s="10">
        <v>551692.25</v>
      </c>
      <c r="BW44" s="10">
        <v>3972005.4000000027</v>
      </c>
      <c r="BX44" s="10">
        <v>257661.65</v>
      </c>
      <c r="BY44" s="10">
        <v>823698.25</v>
      </c>
      <c r="BZ44" s="10">
        <v>1802637.9000000001</v>
      </c>
      <c r="CB44" t="s">
        <v>353</v>
      </c>
    </row>
    <row r="45" spans="1:80" x14ac:dyDescent="0.2">
      <c r="B45" t="s">
        <v>190</v>
      </c>
      <c r="C45" s="3">
        <f t="shared" ref="C45:AH45" si="14">C44/C12</f>
        <v>215.32555763818556</v>
      </c>
      <c r="D45" s="3">
        <f t="shared" si="14"/>
        <v>271.42752803242485</v>
      </c>
      <c r="E45" s="3">
        <f t="shared" si="14"/>
        <v>230.31917514462404</v>
      </c>
      <c r="F45" s="3">
        <f t="shared" si="14"/>
        <v>181.01051712089449</v>
      </c>
      <c r="G45" s="3">
        <f t="shared" si="14"/>
        <v>87.669809069212405</v>
      </c>
      <c r="H45" s="3">
        <f t="shared" si="14"/>
        <v>211.94299563080284</v>
      </c>
      <c r="I45" s="3">
        <f t="shared" si="14"/>
        <v>338.06511484189929</v>
      </c>
      <c r="J45" s="3">
        <f t="shared" si="14"/>
        <v>173.93745810055864</v>
      </c>
      <c r="K45" s="3">
        <f t="shared" si="14"/>
        <v>274.73725296442689</v>
      </c>
      <c r="L45" s="3">
        <f t="shared" si="14"/>
        <v>191.04956085319949</v>
      </c>
      <c r="M45" s="3">
        <f t="shared" si="14"/>
        <v>173.0566212268744</v>
      </c>
      <c r="N45" s="3">
        <f t="shared" si="14"/>
        <v>151.81888888888889</v>
      </c>
      <c r="O45" s="3">
        <f t="shared" si="14"/>
        <v>187.23074170461939</v>
      </c>
      <c r="P45" s="3">
        <f t="shared" si="14"/>
        <v>245.17373681567051</v>
      </c>
      <c r="Q45" s="3">
        <f t="shared" si="14"/>
        <v>151.24836550655206</v>
      </c>
      <c r="R45" s="3">
        <f t="shared" si="14"/>
        <v>241.71021046643915</v>
      </c>
      <c r="S45" s="3">
        <f t="shared" si="14"/>
        <v>186.24655382738641</v>
      </c>
      <c r="T45" s="3">
        <f t="shared" si="14"/>
        <v>195.65063082183704</v>
      </c>
      <c r="U45" s="3">
        <f t="shared" si="14"/>
        <v>204.2751441464026</v>
      </c>
      <c r="V45" s="3">
        <f t="shared" si="14"/>
        <v>133.79981513913214</v>
      </c>
      <c r="W45" s="3">
        <f t="shared" si="14"/>
        <v>138.86594976905312</v>
      </c>
      <c r="X45" s="3">
        <f t="shared" si="14"/>
        <v>138.56530908387347</v>
      </c>
      <c r="Y45" s="3">
        <f t="shared" si="14"/>
        <v>270.58725994852506</v>
      </c>
      <c r="Z45" s="3">
        <f t="shared" si="14"/>
        <v>153.14549102927288</v>
      </c>
      <c r="AA45" s="3">
        <f t="shared" si="14"/>
        <v>207.18842324983945</v>
      </c>
      <c r="AB45" s="3">
        <f t="shared" si="14"/>
        <v>122.98341820496499</v>
      </c>
      <c r="AC45" s="3">
        <f t="shared" si="14"/>
        <v>129.16437950704983</v>
      </c>
      <c r="AD45" s="3">
        <f t="shared" si="14"/>
        <v>134.06963021243115</v>
      </c>
      <c r="AE45" s="3">
        <f t="shared" si="14"/>
        <v>124.24909076407721</v>
      </c>
      <c r="AF45" s="3">
        <f t="shared" si="14"/>
        <v>129.39985179196984</v>
      </c>
      <c r="AG45" s="3">
        <f t="shared" si="14"/>
        <v>184.45749797352065</v>
      </c>
      <c r="AH45" s="3">
        <f t="shared" si="14"/>
        <v>186.25961883569019</v>
      </c>
      <c r="AI45" s="3">
        <f t="shared" ref="AI45:BL45" si="15">AI44/AI12</f>
        <v>171.77408197329376</v>
      </c>
      <c r="AJ45" s="3">
        <f t="shared" si="15"/>
        <v>190.85062772925764</v>
      </c>
      <c r="AK45" s="3">
        <f t="shared" si="15"/>
        <v>196.2704308494327</v>
      </c>
      <c r="AL45" s="3">
        <f t="shared" si="15"/>
        <v>146.55589282183112</v>
      </c>
      <c r="AM45" s="3">
        <f t="shared" si="15"/>
        <v>174.62027066569127</v>
      </c>
      <c r="AN45" s="3">
        <f t="shared" si="15"/>
        <v>356.30743285446596</v>
      </c>
      <c r="AO45" s="3">
        <f t="shared" si="15"/>
        <v>181.44944432795134</v>
      </c>
      <c r="AP45" s="3">
        <f t="shared" si="15"/>
        <v>202.66770151486813</v>
      </c>
      <c r="AQ45" s="3">
        <f t="shared" si="15"/>
        <v>244.2916182501709</v>
      </c>
      <c r="AR45" s="3">
        <f t="shared" si="15"/>
        <v>273.10205834683956</v>
      </c>
      <c r="AS45" s="3">
        <f t="shared" si="15"/>
        <v>191.94522560335784</v>
      </c>
      <c r="AT45" s="3">
        <f t="shared" si="15"/>
        <v>213.09345269909139</v>
      </c>
      <c r="AU45" s="3">
        <f t="shared" si="15"/>
        <v>270.41683919114098</v>
      </c>
      <c r="AV45" s="3">
        <f t="shared" si="15"/>
        <v>193.4755024711697</v>
      </c>
      <c r="AW45" s="3">
        <f t="shared" si="15"/>
        <v>131.56304091266719</v>
      </c>
      <c r="AX45" s="3">
        <f t="shared" si="15"/>
        <v>142.19635849390136</v>
      </c>
      <c r="AY45" s="3">
        <f t="shared" si="15"/>
        <v>185.13684773310524</v>
      </c>
      <c r="AZ45" s="3">
        <f t="shared" si="15"/>
        <v>215.48104276790016</v>
      </c>
      <c r="BA45" s="3">
        <f t="shared" si="15"/>
        <v>205.70984811452507</v>
      </c>
      <c r="BB45" s="3">
        <f t="shared" si="15"/>
        <v>173.27513029796438</v>
      </c>
      <c r="BC45" s="3">
        <f t="shared" si="15"/>
        <v>233.01214667685252</v>
      </c>
      <c r="BD45" s="3">
        <f t="shared" si="15"/>
        <v>271.64690842681972</v>
      </c>
      <c r="BE45" s="3">
        <f t="shared" si="15"/>
        <v>287.02960526315792</v>
      </c>
      <c r="BF45" s="3">
        <f t="shared" si="15"/>
        <v>292.42579412727866</v>
      </c>
      <c r="BG45" s="3">
        <f t="shared" si="15"/>
        <v>247.10180375180377</v>
      </c>
      <c r="BH45" s="3">
        <f t="shared" ref="BH45" si="16">BH44/BH12</f>
        <v>197.10657915177876</v>
      </c>
      <c r="BI45" s="3">
        <f t="shared" si="15"/>
        <v>232.08038254517493</v>
      </c>
      <c r="BJ45" s="3">
        <f t="shared" si="15"/>
        <v>136.00069908814589</v>
      </c>
      <c r="BK45" s="3">
        <f t="shared" si="15"/>
        <v>222.39712024250588</v>
      </c>
      <c r="BL45" s="3">
        <f t="shared" si="15"/>
        <v>254.07691952844695</v>
      </c>
      <c r="BM45" s="3">
        <f t="shared" ref="BM45:BZ45" si="17">BM44/BM12</f>
        <v>186.95819040517028</v>
      </c>
      <c r="BN45" s="3">
        <f t="shared" si="17"/>
        <v>217.2029292777944</v>
      </c>
      <c r="BO45" s="3">
        <f t="shared" si="17"/>
        <v>217.22127950136567</v>
      </c>
      <c r="BP45" s="3">
        <f t="shared" si="17"/>
        <v>219.87988430063035</v>
      </c>
      <c r="BQ45" s="3">
        <f t="shared" si="17"/>
        <v>361.2083010648596</v>
      </c>
      <c r="BR45" s="3">
        <f t="shared" si="17"/>
        <v>275.75002602081673</v>
      </c>
      <c r="BS45" s="3">
        <f t="shared" si="17"/>
        <v>145.37861122164745</v>
      </c>
      <c r="BT45" s="3">
        <f t="shared" si="17"/>
        <v>137.62420600858368</v>
      </c>
      <c r="BU45" s="3">
        <f t="shared" si="17"/>
        <v>69.413159652638612</v>
      </c>
      <c r="BV45" s="3">
        <f t="shared" si="17"/>
        <v>169.43865171990171</v>
      </c>
      <c r="BW45" s="3">
        <f t="shared" si="17"/>
        <v>215.23818142408166</v>
      </c>
      <c r="BX45" s="3">
        <f t="shared" si="17"/>
        <v>121.08160244360901</v>
      </c>
      <c r="BY45" s="3">
        <f t="shared" si="17"/>
        <v>232.4204994356659</v>
      </c>
      <c r="BZ45" s="3">
        <f t="shared" si="17"/>
        <v>209.38992914391918</v>
      </c>
    </row>
    <row r="46" spans="1:80" s="19" customFormat="1" x14ac:dyDescent="0.2"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</row>
    <row r="47" spans="1:80" s="19" customFormat="1" x14ac:dyDescent="0.2">
      <c r="B47" s="19" t="s">
        <v>184</v>
      </c>
      <c r="C47" s="13">
        <f>SUM(D47:BZ47)</f>
        <v>4563466.9101081826</v>
      </c>
      <c r="D47" s="13">
        <f>IF(D45-$C45&gt;0,(D45-$C45)*D12*$C41,(D45-$C45)*D12*$C42)</f>
        <v>2632742.0462667826</v>
      </c>
      <c r="E47" s="13">
        <f t="shared" ref="E47:BN47" si="18">IF(E45-$C45&gt;0,(E45-$C45)*E12*$C41,(E45-$C45)*E12*$C42)</f>
        <v>90195.605471731338</v>
      </c>
      <c r="F47" s="13">
        <f t="shared" si="18"/>
        <v>-9820.9645960487032</v>
      </c>
      <c r="G47" s="13">
        <f t="shared" si="18"/>
        <v>-32092.655190239853</v>
      </c>
      <c r="H47" s="13">
        <f t="shared" si="18"/>
        <v>-2477.388414207102</v>
      </c>
      <c r="I47" s="13">
        <f t="shared" si="18"/>
        <v>715007.01653451403</v>
      </c>
      <c r="J47" s="13">
        <f t="shared" si="18"/>
        <v>-29633.879268940873</v>
      </c>
      <c r="K47" s="13">
        <f t="shared" si="18"/>
        <v>36074.781402093737</v>
      </c>
      <c r="L47" s="13">
        <f t="shared" si="18"/>
        <v>-7739.1877750535568</v>
      </c>
      <c r="M47" s="13">
        <f t="shared" si="18"/>
        <v>-8682.0395388833113</v>
      </c>
      <c r="N47" s="13">
        <f t="shared" si="18"/>
        <v>-31435.80103090185</v>
      </c>
      <c r="O47" s="13">
        <f t="shared" si="18"/>
        <v>-43181.7320898912</v>
      </c>
      <c r="P47" s="13">
        <f t="shared" si="18"/>
        <v>178283.17422711762</v>
      </c>
      <c r="Q47" s="13">
        <f t="shared" si="18"/>
        <v>-90951.166511640593</v>
      </c>
      <c r="R47" s="13">
        <f t="shared" si="18"/>
        <v>55661.063606483782</v>
      </c>
      <c r="S47" s="13">
        <f t="shared" si="18"/>
        <v>-38140.021398244164</v>
      </c>
      <c r="T47" s="13">
        <f t="shared" si="18"/>
        <v>-33372.610865890361</v>
      </c>
      <c r="U47" s="13">
        <f t="shared" si="18"/>
        <v>-8816.0198837444459</v>
      </c>
      <c r="V47" s="13">
        <f t="shared" si="18"/>
        <v>-83792.158140527114</v>
      </c>
      <c r="W47" s="13">
        <f t="shared" si="18"/>
        <v>-105942.43266346991</v>
      </c>
      <c r="X47" s="13">
        <f t="shared" si="18"/>
        <v>-158694.1378611848</v>
      </c>
      <c r="Y47" s="13">
        <f t="shared" si="18"/>
        <v>167476.11502171488</v>
      </c>
      <c r="Z47" s="13">
        <f t="shared" si="18"/>
        <v>-26339.476215535415</v>
      </c>
      <c r="AA47" s="13">
        <f t="shared" si="18"/>
        <v>-20271.229188247835</v>
      </c>
      <c r="AB47" s="13">
        <f t="shared" si="18"/>
        <v>-29013.900209917905</v>
      </c>
      <c r="AC47" s="13">
        <f t="shared" si="18"/>
        <v>-160104.7012032764</v>
      </c>
      <c r="AD47" s="13">
        <f t="shared" si="18"/>
        <v>-41310.513503253547</v>
      </c>
      <c r="AE47" s="13">
        <f t="shared" si="18"/>
        <v>-114191.67416675706</v>
      </c>
      <c r="AF47" s="13">
        <f t="shared" si="18"/>
        <v>-63774.058879061311</v>
      </c>
      <c r="AG47" s="13">
        <f t="shared" si="18"/>
        <v>-45697.075527569941</v>
      </c>
      <c r="AH47" s="13">
        <f t="shared" si="18"/>
        <v>-80983.518691512596</v>
      </c>
      <c r="AI47" s="13">
        <f t="shared" si="18"/>
        <v>-46965.911357019315</v>
      </c>
      <c r="AJ47" s="13">
        <f t="shared" si="18"/>
        <v>-26902.842955893571</v>
      </c>
      <c r="AK47" s="13">
        <f t="shared" si="18"/>
        <v>-24855.507383249231</v>
      </c>
      <c r="AL47" s="13">
        <f t="shared" si="18"/>
        <v>-69553.638995260873</v>
      </c>
      <c r="AM47" s="13">
        <f t="shared" si="18"/>
        <v>-55644.127291399695</v>
      </c>
      <c r="AN47" s="13">
        <f t="shared" si="18"/>
        <v>135427.18933275895</v>
      </c>
      <c r="AO47" s="13">
        <f t="shared" si="18"/>
        <v>-64622.073750602794</v>
      </c>
      <c r="AP47" s="13">
        <f t="shared" si="18"/>
        <v>-13536.31133827566</v>
      </c>
      <c r="AQ47" s="13">
        <f t="shared" si="18"/>
        <v>101705.63202080294</v>
      </c>
      <c r="AR47" s="13">
        <f t="shared" si="18"/>
        <v>106944.30281171855</v>
      </c>
      <c r="AS47" s="13">
        <f t="shared" si="18"/>
        <v>-8912.5825716763266</v>
      </c>
      <c r="AT47" s="13">
        <f t="shared" si="18"/>
        <v>-835.25366820903878</v>
      </c>
      <c r="AU47" s="13">
        <f t="shared" si="18"/>
        <v>137309.51014258611</v>
      </c>
      <c r="AV47" s="13">
        <f t="shared" si="18"/>
        <v>-13262.983486378624</v>
      </c>
      <c r="AW47" s="13">
        <f t="shared" si="18"/>
        <v>-85169.727006507077</v>
      </c>
      <c r="AX47" s="13">
        <f t="shared" si="18"/>
        <v>-82738.375911843148</v>
      </c>
      <c r="AY47" s="13">
        <f t="shared" si="18"/>
        <v>-42348.722254846667</v>
      </c>
      <c r="AZ47" s="13">
        <f t="shared" si="18"/>
        <v>388.27746592331368</v>
      </c>
      <c r="BA47" s="13">
        <f t="shared" si="18"/>
        <v>-55078.784151527252</v>
      </c>
      <c r="BB47" s="13">
        <f t="shared" si="18"/>
        <v>-85522.159124541839</v>
      </c>
      <c r="BC47" s="13">
        <f t="shared" si="18"/>
        <v>27782.094061938071</v>
      </c>
      <c r="BD47" s="13">
        <f t="shared" si="18"/>
        <v>129527.84254370084</v>
      </c>
      <c r="BE47" s="13">
        <f t="shared" si="18"/>
        <v>219070.20630381556</v>
      </c>
      <c r="BF47" s="13">
        <f t="shared" si="18"/>
        <v>423789.15988594916</v>
      </c>
      <c r="BG47" s="13">
        <f t="shared" si="18"/>
        <v>39637.689402127355</v>
      </c>
      <c r="BH47" s="13">
        <f t="shared" ref="BH47" si="19">IF(BH45-$C45&gt;0,(BH45-$C45)*BH12*$C41,(BH45-$C45)*BH12*$C42)</f>
        <v>-23455.112903400113</v>
      </c>
      <c r="BI47" s="13">
        <f t="shared" si="18"/>
        <v>52295.159499695219</v>
      </c>
      <c r="BJ47" s="13">
        <f t="shared" si="18"/>
        <v>-26097.878462963054</v>
      </c>
      <c r="BK47" s="13">
        <f t="shared" si="18"/>
        <v>12597.281623336219</v>
      </c>
      <c r="BL47" s="13">
        <f t="shared" si="18"/>
        <v>226811.72114369992</v>
      </c>
      <c r="BM47" s="13">
        <f t="shared" si="18"/>
        <v>-22824.38367568409</v>
      </c>
      <c r="BN47" s="13">
        <f t="shared" si="18"/>
        <v>7517.7469936496336</v>
      </c>
      <c r="BO47" s="13">
        <f t="shared" ref="BO47:BZ47" si="20">IF(BO45-$C45&gt;0,(BO45-$C45)*BO12*$C41,(BO45-$C45)*BO12*$C42)</f>
        <v>16241.407490609308</v>
      </c>
      <c r="BP47" s="13">
        <f t="shared" si="20"/>
        <v>29050.22804907036</v>
      </c>
      <c r="BQ47" s="13">
        <f t="shared" si="20"/>
        <v>361672.49750341027</v>
      </c>
      <c r="BR47" s="13">
        <f t="shared" si="20"/>
        <v>905641.93211887602</v>
      </c>
      <c r="BS47" s="13">
        <f t="shared" si="20"/>
        <v>-70310.670537904123</v>
      </c>
      <c r="BT47" s="13">
        <f t="shared" si="20"/>
        <v>-72417.659718788957</v>
      </c>
      <c r="BU47" s="13">
        <f t="shared" si="20"/>
        <v>-43686.171956872757</v>
      </c>
      <c r="BV47" s="13">
        <f t="shared" si="20"/>
        <v>-29881.553133986443</v>
      </c>
      <c r="BW47" s="13">
        <f t="shared" si="20"/>
        <v>-322.48813101466703</v>
      </c>
      <c r="BX47" s="13">
        <f t="shared" si="20"/>
        <v>-40110.22733081178</v>
      </c>
      <c r="BY47" s="13">
        <f t="shared" si="20"/>
        <v>36350.684238162205</v>
      </c>
      <c r="BZ47" s="13">
        <f t="shared" si="20"/>
        <v>-10219.965141427856</v>
      </c>
    </row>
    <row r="48" spans="1:80" s="19" customFormat="1" x14ac:dyDescent="0.2"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</row>
    <row r="49" spans="1:80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</row>
    <row r="50" spans="1:80" s="41" customFormat="1" ht="15.75" x14ac:dyDescent="0.25">
      <c r="A50" s="50" t="s">
        <v>99</v>
      </c>
      <c r="B50" s="50" t="s">
        <v>144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0"/>
      <c r="CB50" s="50"/>
    </row>
    <row r="51" spans="1:80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</row>
    <row r="52" spans="1:80" x14ac:dyDescent="0.2">
      <c r="B52" t="s">
        <v>182</v>
      </c>
      <c r="C52" s="3">
        <f>SUM(D52:BZ52)</f>
        <v>10062792.346242744</v>
      </c>
      <c r="D52" s="3">
        <f t="shared" ref="D52:BM52" si="21">D25</f>
        <v>6743301.1181324916</v>
      </c>
      <c r="E52" s="3">
        <f t="shared" si="21"/>
        <v>271428.25588288851</v>
      </c>
      <c r="F52" s="3">
        <f t="shared" si="21"/>
        <v>0</v>
      </c>
      <c r="G52" s="3">
        <f t="shared" si="21"/>
        <v>0</v>
      </c>
      <c r="H52" s="3">
        <f t="shared" si="21"/>
        <v>0</v>
      </c>
      <c r="I52" s="3">
        <f t="shared" si="21"/>
        <v>0</v>
      </c>
      <c r="J52" s="3">
        <f t="shared" si="21"/>
        <v>0</v>
      </c>
      <c r="K52" s="3">
        <f t="shared" si="21"/>
        <v>0</v>
      </c>
      <c r="L52" s="3">
        <f t="shared" si="21"/>
        <v>0</v>
      </c>
      <c r="M52" s="3">
        <f t="shared" si="21"/>
        <v>0</v>
      </c>
      <c r="N52" s="3">
        <f t="shared" si="21"/>
        <v>0</v>
      </c>
      <c r="O52" s="3">
        <f t="shared" si="21"/>
        <v>0</v>
      </c>
      <c r="P52" s="3">
        <f t="shared" si="21"/>
        <v>771990.13475904183</v>
      </c>
      <c r="Q52" s="3">
        <f t="shared" si="21"/>
        <v>0</v>
      </c>
      <c r="R52" s="3">
        <f t="shared" si="21"/>
        <v>0</v>
      </c>
      <c r="S52" s="3">
        <f t="shared" si="21"/>
        <v>516957.59825613239</v>
      </c>
      <c r="T52" s="3">
        <f t="shared" si="21"/>
        <v>0</v>
      </c>
      <c r="U52" s="3">
        <f t="shared" si="21"/>
        <v>0</v>
      </c>
      <c r="V52" s="3">
        <f t="shared" si="21"/>
        <v>0</v>
      </c>
      <c r="W52" s="3">
        <f t="shared" si="21"/>
        <v>0</v>
      </c>
      <c r="X52" s="3">
        <f t="shared" si="21"/>
        <v>0</v>
      </c>
      <c r="Y52" s="3">
        <f t="shared" si="21"/>
        <v>15271.150740122695</v>
      </c>
      <c r="Z52" s="3">
        <f t="shared" si="21"/>
        <v>0</v>
      </c>
      <c r="AA52" s="3">
        <f t="shared" si="21"/>
        <v>0</v>
      </c>
      <c r="AB52" s="3">
        <f t="shared" si="21"/>
        <v>0</v>
      </c>
      <c r="AC52" s="3">
        <f t="shared" si="21"/>
        <v>0</v>
      </c>
      <c r="AD52" s="3">
        <f t="shared" si="21"/>
        <v>5927.6235326453516</v>
      </c>
      <c r="AE52" s="3">
        <f t="shared" si="21"/>
        <v>0</v>
      </c>
      <c r="AF52" s="3">
        <f t="shared" si="21"/>
        <v>0</v>
      </c>
      <c r="AG52" s="3">
        <f t="shared" si="21"/>
        <v>0</v>
      </c>
      <c r="AH52" s="3">
        <f t="shared" si="21"/>
        <v>0</v>
      </c>
      <c r="AI52" s="3">
        <f t="shared" si="21"/>
        <v>22388.509433526375</v>
      </c>
      <c r="AJ52" s="3">
        <f t="shared" si="21"/>
        <v>0</v>
      </c>
      <c r="AK52" s="3">
        <f t="shared" si="21"/>
        <v>0</v>
      </c>
      <c r="AL52" s="3">
        <f t="shared" si="21"/>
        <v>0</v>
      </c>
      <c r="AM52" s="3">
        <f t="shared" si="21"/>
        <v>0</v>
      </c>
      <c r="AN52" s="3">
        <f t="shared" si="21"/>
        <v>0</v>
      </c>
      <c r="AO52" s="3">
        <f t="shared" si="21"/>
        <v>0</v>
      </c>
      <c r="AP52" s="3">
        <f t="shared" si="21"/>
        <v>0</v>
      </c>
      <c r="AQ52" s="3">
        <f t="shared" si="21"/>
        <v>0</v>
      </c>
      <c r="AR52" s="3">
        <f t="shared" si="21"/>
        <v>0</v>
      </c>
      <c r="AS52" s="3">
        <f t="shared" si="21"/>
        <v>0</v>
      </c>
      <c r="AT52" s="3">
        <f t="shared" si="21"/>
        <v>0</v>
      </c>
      <c r="AU52" s="3">
        <f t="shared" si="21"/>
        <v>0</v>
      </c>
      <c r="AV52" s="3">
        <f t="shared" si="21"/>
        <v>0</v>
      </c>
      <c r="AW52" s="3">
        <f t="shared" si="21"/>
        <v>94514.571065290787</v>
      </c>
      <c r="AX52" s="3">
        <f t="shared" si="21"/>
        <v>0</v>
      </c>
      <c r="AY52" s="3">
        <f t="shared" si="21"/>
        <v>0</v>
      </c>
      <c r="AZ52" s="3">
        <f t="shared" si="21"/>
        <v>0</v>
      </c>
      <c r="BA52" s="3">
        <f t="shared" si="21"/>
        <v>484326.8142670985</v>
      </c>
      <c r="BB52" s="3">
        <f t="shared" si="21"/>
        <v>0</v>
      </c>
      <c r="BC52" s="3">
        <f t="shared" si="21"/>
        <v>0</v>
      </c>
      <c r="BD52" s="3">
        <f t="shared" si="21"/>
        <v>0</v>
      </c>
      <c r="BE52" s="3">
        <f t="shared" si="21"/>
        <v>31561.287022907294</v>
      </c>
      <c r="BF52" s="3">
        <f t="shared" si="21"/>
        <v>8489.6559656034569</v>
      </c>
      <c r="BG52" s="3">
        <f t="shared" si="21"/>
        <v>0</v>
      </c>
      <c r="BH52" s="3">
        <f t="shared" ref="BH52" si="22">BH25</f>
        <v>0</v>
      </c>
      <c r="BI52" s="3">
        <f t="shared" si="21"/>
        <v>0</v>
      </c>
      <c r="BJ52" s="3">
        <f t="shared" si="21"/>
        <v>70714.183784894427</v>
      </c>
      <c r="BK52" s="3">
        <f t="shared" si="21"/>
        <v>0</v>
      </c>
      <c r="BL52" s="3">
        <f t="shared" si="21"/>
        <v>0</v>
      </c>
      <c r="BM52" s="3">
        <f t="shared" si="21"/>
        <v>0</v>
      </c>
      <c r="BN52" s="3">
        <f t="shared" ref="BN52:BZ52" si="23">BN25</f>
        <v>0</v>
      </c>
      <c r="BO52" s="3">
        <f t="shared" si="23"/>
        <v>0</v>
      </c>
      <c r="BP52" s="3">
        <f t="shared" si="23"/>
        <v>61560.881177636933</v>
      </c>
      <c r="BQ52" s="3">
        <f t="shared" si="23"/>
        <v>55836.08010892634</v>
      </c>
      <c r="BR52" s="3">
        <f t="shared" si="23"/>
        <v>807690.46765754593</v>
      </c>
      <c r="BS52" s="3">
        <f t="shared" si="23"/>
        <v>0</v>
      </c>
      <c r="BT52" s="3">
        <f t="shared" si="23"/>
        <v>0</v>
      </c>
      <c r="BU52" s="3">
        <f t="shared" si="23"/>
        <v>0</v>
      </c>
      <c r="BV52" s="3">
        <f t="shared" si="23"/>
        <v>0</v>
      </c>
      <c r="BW52" s="3">
        <f t="shared" si="23"/>
        <v>63574.597231879481</v>
      </c>
      <c r="BX52" s="3">
        <f t="shared" si="23"/>
        <v>0</v>
      </c>
      <c r="BY52" s="3">
        <f t="shared" si="23"/>
        <v>37259.417224112942</v>
      </c>
      <c r="BZ52" s="3">
        <f t="shared" si="23"/>
        <v>0</v>
      </c>
    </row>
    <row r="53" spans="1:80" x14ac:dyDescent="0.2">
      <c r="B53" t="s">
        <v>183</v>
      </c>
      <c r="C53" s="3">
        <f>SUM(D53:BZ53)</f>
        <v>7642281.3780774837</v>
      </c>
      <c r="D53" s="3">
        <f t="shared" ref="D53:BM53" si="24">D36</f>
        <v>7427015.8703052821</v>
      </c>
      <c r="E53" s="3">
        <f t="shared" si="24"/>
        <v>291391.57282598491</v>
      </c>
      <c r="F53" s="3">
        <f t="shared" si="24"/>
        <v>-16249.710896070739</v>
      </c>
      <c r="G53" s="3">
        <f t="shared" si="24"/>
        <v>-10042.019487324193</v>
      </c>
      <c r="H53" s="3">
        <f t="shared" si="24"/>
        <v>-76285.243096723309</v>
      </c>
      <c r="I53" s="3">
        <f t="shared" si="24"/>
        <v>-125094.38102023116</v>
      </c>
      <c r="J53" s="3">
        <f t="shared" si="24"/>
        <v>-22912.822088003661</v>
      </c>
      <c r="K53" s="3">
        <f t="shared" si="24"/>
        <v>-23992.43440029601</v>
      </c>
      <c r="L53" s="3">
        <f t="shared" si="24"/>
        <v>-35009.85497437929</v>
      </c>
      <c r="M53" s="3">
        <f t="shared" si="24"/>
        <v>-4169.3834872569159</v>
      </c>
      <c r="N53" s="3">
        <f t="shared" si="24"/>
        <v>-56952.13934855003</v>
      </c>
      <c r="O53" s="3">
        <f t="shared" si="24"/>
        <v>232483.54734108242</v>
      </c>
      <c r="P53" s="3">
        <f t="shared" si="24"/>
        <v>12932.033860829777</v>
      </c>
      <c r="Q53" s="3">
        <f t="shared" si="24"/>
        <v>-103415.82401077152</v>
      </c>
      <c r="R53" s="3">
        <f t="shared" si="24"/>
        <v>248989.17004908866</v>
      </c>
      <c r="S53" s="3">
        <f t="shared" si="24"/>
        <v>-63132.602819309512</v>
      </c>
      <c r="T53" s="3">
        <f t="shared" si="24"/>
        <v>76461.384696905807</v>
      </c>
      <c r="U53" s="3">
        <f t="shared" si="24"/>
        <v>-57830.947192471125</v>
      </c>
      <c r="V53" s="3">
        <f t="shared" si="24"/>
        <v>-133642.18919280751</v>
      </c>
      <c r="W53" s="3">
        <f t="shared" si="24"/>
        <v>-133019.12629767859</v>
      </c>
      <c r="X53" s="3">
        <f t="shared" si="24"/>
        <v>-193274.25879432791</v>
      </c>
      <c r="Y53" s="3">
        <f t="shared" si="24"/>
        <v>-76811.73454930351</v>
      </c>
      <c r="Z53" s="3">
        <f t="shared" si="24"/>
        <v>-15161.811078880382</v>
      </c>
      <c r="AA53" s="3">
        <f t="shared" si="24"/>
        <v>-148235.62781233899</v>
      </c>
      <c r="AB53" s="3">
        <f t="shared" si="24"/>
        <v>-10215.772374372558</v>
      </c>
      <c r="AC53" s="3">
        <f t="shared" si="24"/>
        <v>-237845.75246358715</v>
      </c>
      <c r="AD53" s="3">
        <f t="shared" si="24"/>
        <v>-45083.921270308754</v>
      </c>
      <c r="AE53" s="3">
        <f t="shared" si="24"/>
        <v>-62593.016410529315</v>
      </c>
      <c r="AF53" s="3">
        <f t="shared" si="24"/>
        <v>-77893.612114128933</v>
      </c>
      <c r="AG53" s="3">
        <f t="shared" si="24"/>
        <v>-81582.863445643336</v>
      </c>
      <c r="AH53" s="3">
        <f t="shared" si="24"/>
        <v>-91421.700030161723</v>
      </c>
      <c r="AI53" s="3">
        <f t="shared" si="24"/>
        <v>-9729.2857928814919</v>
      </c>
      <c r="AJ53" s="3">
        <f t="shared" si="24"/>
        <v>-27889.033462477135</v>
      </c>
      <c r="AK53" s="3">
        <f t="shared" si="24"/>
        <v>-55026.159010603325</v>
      </c>
      <c r="AL53" s="3">
        <f t="shared" si="24"/>
        <v>-96583.078184087863</v>
      </c>
      <c r="AM53" s="3">
        <f t="shared" si="24"/>
        <v>-95060.643958520974</v>
      </c>
      <c r="AN53" s="3">
        <f t="shared" si="24"/>
        <v>-15023.338548294378</v>
      </c>
      <c r="AO53" s="3">
        <f t="shared" si="24"/>
        <v>-149329.67342887682</v>
      </c>
      <c r="AP53" s="3">
        <f t="shared" si="24"/>
        <v>-67882.124531998765</v>
      </c>
      <c r="AQ53" s="3">
        <f t="shared" si="24"/>
        <v>-123911.76379301604</v>
      </c>
      <c r="AR53" s="3">
        <f t="shared" si="24"/>
        <v>-45886.982218293655</v>
      </c>
      <c r="AS53" s="3">
        <f t="shared" si="24"/>
        <v>-33223.831983166194</v>
      </c>
      <c r="AT53" s="3">
        <f t="shared" si="24"/>
        <v>-58051.754113590745</v>
      </c>
      <c r="AU53" s="3">
        <f t="shared" si="24"/>
        <v>-20754.505149041128</v>
      </c>
      <c r="AV53" s="3">
        <f t="shared" si="24"/>
        <v>5101.1302147281103</v>
      </c>
      <c r="AW53" s="3">
        <f t="shared" si="24"/>
        <v>54772.300378147535</v>
      </c>
      <c r="AX53" s="3">
        <f t="shared" si="24"/>
        <v>-89545.435662524251</v>
      </c>
      <c r="AY53" s="3">
        <f t="shared" si="24"/>
        <v>-106629.38906292115</v>
      </c>
      <c r="AZ53" s="3">
        <f t="shared" si="24"/>
        <v>22585.900013739199</v>
      </c>
      <c r="BA53" s="3">
        <f t="shared" si="24"/>
        <v>302493.95788791188</v>
      </c>
      <c r="BB53" s="3">
        <f t="shared" si="24"/>
        <v>-126278.45902036573</v>
      </c>
      <c r="BC53" s="3">
        <f t="shared" si="24"/>
        <v>-59026.990644244011</v>
      </c>
      <c r="BD53" s="3">
        <f t="shared" si="24"/>
        <v>-35082.49668807767</v>
      </c>
      <c r="BE53" s="3">
        <f t="shared" si="24"/>
        <v>37450.685839010053</v>
      </c>
      <c r="BF53" s="3">
        <f t="shared" si="24"/>
        <v>-10886.242376592629</v>
      </c>
      <c r="BG53" s="3">
        <f t="shared" si="24"/>
        <v>-27302.255452782018</v>
      </c>
      <c r="BH53" s="3">
        <f t="shared" ref="BH53" si="25">BH36</f>
        <v>36516.083446525503</v>
      </c>
      <c r="BI53" s="3">
        <f t="shared" si="24"/>
        <v>-24064.985358043305</v>
      </c>
      <c r="BJ53" s="3">
        <f t="shared" si="24"/>
        <v>-20283.439870046375</v>
      </c>
      <c r="BK53" s="3">
        <f t="shared" si="24"/>
        <v>-39935.24927912929</v>
      </c>
      <c r="BL53" s="3">
        <f t="shared" si="24"/>
        <v>561739.66133926611</v>
      </c>
      <c r="BM53" s="3">
        <f t="shared" si="24"/>
        <v>-51470.639122915854</v>
      </c>
      <c r="BN53" s="3">
        <f t="shared" ref="BN53:BZ53" si="26">BN36</f>
        <v>-73602.81575847388</v>
      </c>
      <c r="BO53" s="3">
        <f t="shared" si="26"/>
        <v>-82977.462847654853</v>
      </c>
      <c r="BP53" s="3">
        <f t="shared" si="26"/>
        <v>506738.0013037147</v>
      </c>
      <c r="BQ53" s="3">
        <f t="shared" si="26"/>
        <v>-11122.494488165124</v>
      </c>
      <c r="BR53" s="3">
        <f t="shared" si="26"/>
        <v>1630189.2135432977</v>
      </c>
      <c r="BS53" s="3">
        <f t="shared" si="26"/>
        <v>-63422.982071035309</v>
      </c>
      <c r="BT53" s="3">
        <f t="shared" si="26"/>
        <v>-72993.476349189121</v>
      </c>
      <c r="BU53" s="3">
        <f t="shared" si="26"/>
        <v>-33587.416878698736</v>
      </c>
      <c r="BV53" s="3">
        <f t="shared" si="26"/>
        <v>-34932.969809648028</v>
      </c>
      <c r="BW53" s="3">
        <f t="shared" si="26"/>
        <v>-102842.07871844126</v>
      </c>
      <c r="BX53" s="3">
        <f t="shared" si="26"/>
        <v>-36300.704470187651</v>
      </c>
      <c r="BY53" s="3">
        <f t="shared" si="26"/>
        <v>-18631.782279297473</v>
      </c>
      <c r="BZ53" s="3">
        <f t="shared" si="26"/>
        <v>16561.554070706501</v>
      </c>
    </row>
    <row r="54" spans="1:80" x14ac:dyDescent="0.2">
      <c r="B54" t="s">
        <v>184</v>
      </c>
      <c r="C54" s="3">
        <f>SUM(D54:BZ54)</f>
        <v>4563466.9101081826</v>
      </c>
      <c r="D54" s="3">
        <f t="shared" ref="D54:BM54" si="27">D47</f>
        <v>2632742.0462667826</v>
      </c>
      <c r="E54" s="3">
        <f t="shared" si="27"/>
        <v>90195.605471731338</v>
      </c>
      <c r="F54" s="3">
        <f t="shared" si="27"/>
        <v>-9820.9645960487032</v>
      </c>
      <c r="G54" s="3">
        <f t="shared" si="27"/>
        <v>-32092.655190239853</v>
      </c>
      <c r="H54" s="3">
        <f t="shared" si="27"/>
        <v>-2477.388414207102</v>
      </c>
      <c r="I54" s="3">
        <f t="shared" si="27"/>
        <v>715007.01653451403</v>
      </c>
      <c r="J54" s="3">
        <f t="shared" si="27"/>
        <v>-29633.879268940873</v>
      </c>
      <c r="K54" s="3">
        <f t="shared" si="27"/>
        <v>36074.781402093737</v>
      </c>
      <c r="L54" s="3">
        <f t="shared" si="27"/>
        <v>-7739.1877750535568</v>
      </c>
      <c r="M54" s="3">
        <f t="shared" si="27"/>
        <v>-8682.0395388833113</v>
      </c>
      <c r="N54" s="3">
        <f t="shared" si="27"/>
        <v>-31435.80103090185</v>
      </c>
      <c r="O54" s="3">
        <f t="shared" si="27"/>
        <v>-43181.7320898912</v>
      </c>
      <c r="P54" s="3">
        <f t="shared" si="27"/>
        <v>178283.17422711762</v>
      </c>
      <c r="Q54" s="3">
        <f t="shared" si="27"/>
        <v>-90951.166511640593</v>
      </c>
      <c r="R54" s="3">
        <f t="shared" si="27"/>
        <v>55661.063606483782</v>
      </c>
      <c r="S54" s="3">
        <f t="shared" si="27"/>
        <v>-38140.021398244164</v>
      </c>
      <c r="T54" s="3">
        <f t="shared" si="27"/>
        <v>-33372.610865890361</v>
      </c>
      <c r="U54" s="3">
        <f t="shared" si="27"/>
        <v>-8816.0198837444459</v>
      </c>
      <c r="V54" s="3">
        <f t="shared" si="27"/>
        <v>-83792.158140527114</v>
      </c>
      <c r="W54" s="3">
        <f t="shared" si="27"/>
        <v>-105942.43266346991</v>
      </c>
      <c r="X54" s="3">
        <f t="shared" si="27"/>
        <v>-158694.1378611848</v>
      </c>
      <c r="Y54" s="3">
        <f t="shared" si="27"/>
        <v>167476.11502171488</v>
      </c>
      <c r="Z54" s="3">
        <f t="shared" si="27"/>
        <v>-26339.476215535415</v>
      </c>
      <c r="AA54" s="3">
        <f t="shared" si="27"/>
        <v>-20271.229188247835</v>
      </c>
      <c r="AB54" s="3">
        <f t="shared" si="27"/>
        <v>-29013.900209917905</v>
      </c>
      <c r="AC54" s="3">
        <f t="shared" si="27"/>
        <v>-160104.7012032764</v>
      </c>
      <c r="AD54" s="3">
        <f t="shared" si="27"/>
        <v>-41310.513503253547</v>
      </c>
      <c r="AE54" s="3">
        <f t="shared" si="27"/>
        <v>-114191.67416675706</v>
      </c>
      <c r="AF54" s="3">
        <f t="shared" si="27"/>
        <v>-63774.058879061311</v>
      </c>
      <c r="AG54" s="3">
        <f t="shared" si="27"/>
        <v>-45697.075527569941</v>
      </c>
      <c r="AH54" s="3">
        <f t="shared" si="27"/>
        <v>-80983.518691512596</v>
      </c>
      <c r="AI54" s="3">
        <f t="shared" si="27"/>
        <v>-46965.911357019315</v>
      </c>
      <c r="AJ54" s="3">
        <f t="shared" si="27"/>
        <v>-26902.842955893571</v>
      </c>
      <c r="AK54" s="3">
        <f t="shared" si="27"/>
        <v>-24855.507383249231</v>
      </c>
      <c r="AL54" s="3">
        <f t="shared" si="27"/>
        <v>-69553.638995260873</v>
      </c>
      <c r="AM54" s="3">
        <f t="shared" si="27"/>
        <v>-55644.127291399695</v>
      </c>
      <c r="AN54" s="3">
        <f t="shared" si="27"/>
        <v>135427.18933275895</v>
      </c>
      <c r="AO54" s="3">
        <f t="shared" si="27"/>
        <v>-64622.073750602794</v>
      </c>
      <c r="AP54" s="3">
        <f t="shared" si="27"/>
        <v>-13536.31133827566</v>
      </c>
      <c r="AQ54" s="3">
        <f t="shared" si="27"/>
        <v>101705.63202080294</v>
      </c>
      <c r="AR54" s="3">
        <f t="shared" si="27"/>
        <v>106944.30281171855</v>
      </c>
      <c r="AS54" s="3">
        <f t="shared" si="27"/>
        <v>-8912.5825716763266</v>
      </c>
      <c r="AT54" s="3">
        <f t="shared" si="27"/>
        <v>-835.25366820903878</v>
      </c>
      <c r="AU54" s="3">
        <f t="shared" si="27"/>
        <v>137309.51014258611</v>
      </c>
      <c r="AV54" s="3">
        <f t="shared" si="27"/>
        <v>-13262.983486378624</v>
      </c>
      <c r="AW54" s="3">
        <f t="shared" si="27"/>
        <v>-85169.727006507077</v>
      </c>
      <c r="AX54" s="3">
        <f t="shared" si="27"/>
        <v>-82738.375911843148</v>
      </c>
      <c r="AY54" s="3">
        <f t="shared" si="27"/>
        <v>-42348.722254846667</v>
      </c>
      <c r="AZ54" s="3">
        <f t="shared" si="27"/>
        <v>388.27746592331368</v>
      </c>
      <c r="BA54" s="3">
        <f t="shared" si="27"/>
        <v>-55078.784151527252</v>
      </c>
      <c r="BB54" s="3">
        <f t="shared" si="27"/>
        <v>-85522.159124541839</v>
      </c>
      <c r="BC54" s="3">
        <f t="shared" si="27"/>
        <v>27782.094061938071</v>
      </c>
      <c r="BD54" s="3">
        <f t="shared" si="27"/>
        <v>129527.84254370084</v>
      </c>
      <c r="BE54" s="3">
        <f t="shared" si="27"/>
        <v>219070.20630381556</v>
      </c>
      <c r="BF54" s="3">
        <f t="shared" si="27"/>
        <v>423789.15988594916</v>
      </c>
      <c r="BG54" s="3">
        <f t="shared" si="27"/>
        <v>39637.689402127355</v>
      </c>
      <c r="BH54" s="3">
        <f t="shared" ref="BH54" si="28">BH47</f>
        <v>-23455.112903400113</v>
      </c>
      <c r="BI54" s="3">
        <f t="shared" si="27"/>
        <v>52295.159499695219</v>
      </c>
      <c r="BJ54" s="3">
        <f t="shared" si="27"/>
        <v>-26097.878462963054</v>
      </c>
      <c r="BK54" s="3">
        <f t="shared" si="27"/>
        <v>12597.281623336219</v>
      </c>
      <c r="BL54" s="3">
        <f t="shared" si="27"/>
        <v>226811.72114369992</v>
      </c>
      <c r="BM54" s="3">
        <f t="shared" si="27"/>
        <v>-22824.38367568409</v>
      </c>
      <c r="BN54" s="3">
        <f t="shared" ref="BN54:BZ54" si="29">BN47</f>
        <v>7517.7469936496336</v>
      </c>
      <c r="BO54" s="3">
        <f t="shared" si="29"/>
        <v>16241.407490609308</v>
      </c>
      <c r="BP54" s="3">
        <f t="shared" si="29"/>
        <v>29050.22804907036</v>
      </c>
      <c r="BQ54" s="3">
        <f t="shared" si="29"/>
        <v>361672.49750341027</v>
      </c>
      <c r="BR54" s="3">
        <f t="shared" si="29"/>
        <v>905641.93211887602</v>
      </c>
      <c r="BS54" s="3">
        <f t="shared" si="29"/>
        <v>-70310.670537904123</v>
      </c>
      <c r="BT54" s="3">
        <f t="shared" si="29"/>
        <v>-72417.659718788957</v>
      </c>
      <c r="BU54" s="3">
        <f t="shared" si="29"/>
        <v>-43686.171956872757</v>
      </c>
      <c r="BV54" s="3">
        <f t="shared" si="29"/>
        <v>-29881.553133986443</v>
      </c>
      <c r="BW54" s="3">
        <f t="shared" si="29"/>
        <v>-322.48813101466703</v>
      </c>
      <c r="BX54" s="3">
        <f t="shared" si="29"/>
        <v>-40110.22733081178</v>
      </c>
      <c r="BY54" s="3">
        <f t="shared" si="29"/>
        <v>36350.684238162205</v>
      </c>
      <c r="BZ54" s="3">
        <f t="shared" si="29"/>
        <v>-10219.965141427856</v>
      </c>
    </row>
    <row r="55" spans="1:80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</row>
    <row r="56" spans="1:80" s="19" customFormat="1" x14ac:dyDescent="0.2">
      <c r="B56" s="112" t="s">
        <v>192</v>
      </c>
      <c r="C56" s="113">
        <f>SUM(D56:BZ56)</f>
        <v>27275800</v>
      </c>
      <c r="D56" s="113">
        <f>ROUND(IF((D52+D53+D54)&lt;0,0,(D52+D53+D54)),-2)</f>
        <v>16803100</v>
      </c>
      <c r="E56" s="113">
        <f t="shared" ref="E56:BN56" si="30">ROUND(IF((E52+E53+E54)&lt;0,0,(E52+E53+E54)),-2)</f>
        <v>653000</v>
      </c>
      <c r="F56" s="113">
        <f t="shared" si="30"/>
        <v>0</v>
      </c>
      <c r="G56" s="113">
        <f t="shared" si="30"/>
        <v>0</v>
      </c>
      <c r="H56" s="113">
        <f t="shared" si="30"/>
        <v>0</v>
      </c>
      <c r="I56" s="113">
        <f t="shared" si="30"/>
        <v>589900</v>
      </c>
      <c r="J56" s="113">
        <f t="shared" si="30"/>
        <v>0</v>
      </c>
      <c r="K56" s="113">
        <f t="shared" si="30"/>
        <v>12100</v>
      </c>
      <c r="L56" s="113">
        <f t="shared" si="30"/>
        <v>0</v>
      </c>
      <c r="M56" s="113">
        <f t="shared" si="30"/>
        <v>0</v>
      </c>
      <c r="N56" s="113">
        <f t="shared" si="30"/>
        <v>0</v>
      </c>
      <c r="O56" s="113">
        <f t="shared" si="30"/>
        <v>189300</v>
      </c>
      <c r="P56" s="113">
        <f t="shared" si="30"/>
        <v>963200</v>
      </c>
      <c r="Q56" s="113">
        <f t="shared" si="30"/>
        <v>0</v>
      </c>
      <c r="R56" s="113">
        <f t="shared" si="30"/>
        <v>304700</v>
      </c>
      <c r="S56" s="113">
        <f t="shared" si="30"/>
        <v>415700</v>
      </c>
      <c r="T56" s="113">
        <f t="shared" si="30"/>
        <v>43100</v>
      </c>
      <c r="U56" s="113">
        <f t="shared" si="30"/>
        <v>0</v>
      </c>
      <c r="V56" s="113">
        <f t="shared" si="30"/>
        <v>0</v>
      </c>
      <c r="W56" s="113">
        <f t="shared" si="30"/>
        <v>0</v>
      </c>
      <c r="X56" s="113">
        <f t="shared" si="30"/>
        <v>0</v>
      </c>
      <c r="Y56" s="113">
        <f t="shared" si="30"/>
        <v>105900</v>
      </c>
      <c r="Z56" s="113">
        <f t="shared" si="30"/>
        <v>0</v>
      </c>
      <c r="AA56" s="113">
        <f t="shared" si="30"/>
        <v>0</v>
      </c>
      <c r="AB56" s="113">
        <f t="shared" si="30"/>
        <v>0</v>
      </c>
      <c r="AC56" s="113">
        <f t="shared" si="30"/>
        <v>0</v>
      </c>
      <c r="AD56" s="113">
        <f t="shared" si="30"/>
        <v>0</v>
      </c>
      <c r="AE56" s="113">
        <f t="shared" si="30"/>
        <v>0</v>
      </c>
      <c r="AF56" s="113">
        <f t="shared" si="30"/>
        <v>0</v>
      </c>
      <c r="AG56" s="113">
        <f t="shared" si="30"/>
        <v>0</v>
      </c>
      <c r="AH56" s="113">
        <f t="shared" si="30"/>
        <v>0</v>
      </c>
      <c r="AI56" s="113">
        <f t="shared" si="30"/>
        <v>0</v>
      </c>
      <c r="AJ56" s="113">
        <f t="shared" si="30"/>
        <v>0</v>
      </c>
      <c r="AK56" s="113">
        <f t="shared" si="30"/>
        <v>0</v>
      </c>
      <c r="AL56" s="113">
        <f t="shared" si="30"/>
        <v>0</v>
      </c>
      <c r="AM56" s="113">
        <f t="shared" si="30"/>
        <v>0</v>
      </c>
      <c r="AN56" s="113">
        <f t="shared" si="30"/>
        <v>120400</v>
      </c>
      <c r="AO56" s="113">
        <f t="shared" si="30"/>
        <v>0</v>
      </c>
      <c r="AP56" s="113">
        <f t="shared" si="30"/>
        <v>0</v>
      </c>
      <c r="AQ56" s="113">
        <f t="shared" si="30"/>
        <v>0</v>
      </c>
      <c r="AR56" s="113">
        <f t="shared" si="30"/>
        <v>61100</v>
      </c>
      <c r="AS56" s="113">
        <f t="shared" si="30"/>
        <v>0</v>
      </c>
      <c r="AT56" s="113">
        <f t="shared" si="30"/>
        <v>0</v>
      </c>
      <c r="AU56" s="113">
        <f t="shared" si="30"/>
        <v>116600</v>
      </c>
      <c r="AV56" s="113">
        <f t="shared" si="30"/>
        <v>0</v>
      </c>
      <c r="AW56" s="113">
        <f t="shared" si="30"/>
        <v>64100</v>
      </c>
      <c r="AX56" s="113">
        <f t="shared" si="30"/>
        <v>0</v>
      </c>
      <c r="AY56" s="113">
        <f t="shared" si="30"/>
        <v>0</v>
      </c>
      <c r="AZ56" s="113">
        <f t="shared" si="30"/>
        <v>23000</v>
      </c>
      <c r="BA56" s="113">
        <f t="shared" si="30"/>
        <v>731700</v>
      </c>
      <c r="BB56" s="113">
        <f t="shared" si="30"/>
        <v>0</v>
      </c>
      <c r="BC56" s="113">
        <f t="shared" si="30"/>
        <v>0</v>
      </c>
      <c r="BD56" s="113">
        <f t="shared" si="30"/>
        <v>94400</v>
      </c>
      <c r="BE56" s="113">
        <f t="shared" si="30"/>
        <v>288100</v>
      </c>
      <c r="BF56" s="113">
        <f t="shared" si="30"/>
        <v>421400</v>
      </c>
      <c r="BG56" s="113">
        <f t="shared" si="30"/>
        <v>12300</v>
      </c>
      <c r="BH56" s="113">
        <f t="shared" ref="BH56" si="31">ROUND(IF((BH52+BH53+BH54)&lt;0,0,(BH52+BH53+BH54)),-2)</f>
        <v>13100</v>
      </c>
      <c r="BI56" s="113">
        <f t="shared" si="30"/>
        <v>28200</v>
      </c>
      <c r="BJ56" s="113">
        <f t="shared" si="30"/>
        <v>24300</v>
      </c>
      <c r="BK56" s="113">
        <f t="shared" si="30"/>
        <v>0</v>
      </c>
      <c r="BL56" s="113">
        <f t="shared" si="30"/>
        <v>788600</v>
      </c>
      <c r="BM56" s="113">
        <f t="shared" si="30"/>
        <v>0</v>
      </c>
      <c r="BN56" s="113">
        <f t="shared" si="30"/>
        <v>0</v>
      </c>
      <c r="BO56" s="113">
        <f t="shared" ref="BO56:BZ56" si="32">ROUND(IF((BO52+BO53+BO54)&lt;0,0,(BO52+BO53+BO54)),-2)</f>
        <v>0</v>
      </c>
      <c r="BP56" s="113">
        <f t="shared" si="32"/>
        <v>597300</v>
      </c>
      <c r="BQ56" s="113">
        <f t="shared" si="32"/>
        <v>406400</v>
      </c>
      <c r="BR56" s="113">
        <f t="shared" si="32"/>
        <v>3343500</v>
      </c>
      <c r="BS56" s="113">
        <f t="shared" si="32"/>
        <v>0</v>
      </c>
      <c r="BT56" s="113">
        <f t="shared" si="32"/>
        <v>0</v>
      </c>
      <c r="BU56" s="113">
        <f t="shared" si="32"/>
        <v>0</v>
      </c>
      <c r="BV56" s="113">
        <f t="shared" si="32"/>
        <v>0</v>
      </c>
      <c r="BW56" s="113">
        <f t="shared" si="32"/>
        <v>0</v>
      </c>
      <c r="BX56" s="113">
        <f t="shared" si="32"/>
        <v>0</v>
      </c>
      <c r="BY56" s="113">
        <f t="shared" si="32"/>
        <v>55000</v>
      </c>
      <c r="BZ56" s="113">
        <f t="shared" si="32"/>
        <v>6300</v>
      </c>
    </row>
    <row r="57" spans="1:80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</row>
    <row r="58" spans="1:80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</row>
    <row r="59" spans="1:80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</row>
    <row r="60" spans="1:80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</row>
    <row r="61" spans="1:80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</row>
    <row r="62" spans="1:80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</row>
    <row r="63" spans="1:80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</row>
    <row r="64" spans="1:80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</row>
    <row r="65" spans="3:78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</row>
    <row r="66" spans="3:78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</row>
    <row r="67" spans="3:78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</row>
    <row r="68" spans="3:78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</row>
    <row r="69" spans="3:78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</row>
    <row r="70" spans="3:78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</row>
    <row r="71" spans="3:78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</row>
    <row r="72" spans="3:78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</row>
    <row r="73" spans="3:78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</row>
    <row r="74" spans="3:78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</row>
    <row r="75" spans="3:78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</row>
    <row r="76" spans="3:78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</row>
    <row r="77" spans="3:78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</row>
    <row r="78" spans="3:78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</row>
    <row r="79" spans="3:78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</row>
    <row r="80" spans="3:78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</row>
    <row r="81" spans="3:78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</row>
    <row r="82" spans="3:78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</row>
    <row r="83" spans="3:78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</row>
    <row r="84" spans="3:78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</row>
  </sheetData>
  <pageMargins left="0.7" right="0.7" top="0.78740157499999996" bottom="0.78740157499999996" header="0.3" footer="0.3"/>
  <pageSetup paperSize="9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E34"/>
  <sheetViews>
    <sheetView zoomScale="90" zoomScaleNormal="90" workbookViewId="0">
      <pane xSplit="2" ySplit="9" topLeftCell="C10" activePane="bottomRight" state="frozen"/>
      <selection activeCell="D15" sqref="D15"/>
      <selection pane="topRight" activeCell="D15" sqref="D15"/>
      <selection pane="bottomLeft" activeCell="D15" sqref="D15"/>
      <selection pane="bottomRight" activeCell="D15" sqref="D15"/>
    </sheetView>
  </sheetViews>
  <sheetFormatPr baseColWidth="10" defaultRowHeight="12.75" x14ac:dyDescent="0.2"/>
  <cols>
    <col min="1" max="1" width="4" customWidth="1"/>
    <col min="2" max="2" width="54" bestFit="1" customWidth="1"/>
    <col min="3" max="3" width="21" customWidth="1"/>
    <col min="4" max="4" width="20.5703125" bestFit="1" customWidth="1"/>
  </cols>
  <sheetData>
    <row r="1" spans="1:5" x14ac:dyDescent="0.2">
      <c r="A1" s="19" t="s">
        <v>193</v>
      </c>
    </row>
    <row r="2" spans="1:5" x14ac:dyDescent="0.2">
      <c r="A2" t="s">
        <v>194</v>
      </c>
    </row>
    <row r="5" spans="1:5" ht="26.25" x14ac:dyDescent="0.4">
      <c r="A5" s="16" t="s">
        <v>362</v>
      </c>
      <c r="E5" s="118"/>
    </row>
    <row r="6" spans="1:5" x14ac:dyDescent="0.2">
      <c r="C6" s="17"/>
    </row>
    <row r="7" spans="1:5" x14ac:dyDescent="0.2">
      <c r="B7" s="18" t="s">
        <v>105</v>
      </c>
      <c r="C7" s="17"/>
    </row>
    <row r="8" spans="1:5" s="19" customFormat="1" x14ac:dyDescent="0.2">
      <c r="C8" s="19" t="s">
        <v>5</v>
      </c>
    </row>
    <row r="10" spans="1:5" s="40" customFormat="1" ht="15.75" x14ac:dyDescent="0.25">
      <c r="A10" s="20" t="s">
        <v>97</v>
      </c>
      <c r="B10" s="21" t="s">
        <v>112</v>
      </c>
      <c r="C10" s="5"/>
    </row>
    <row r="11" spans="1:5" x14ac:dyDescent="0.2">
      <c r="B11" s="22"/>
    </row>
    <row r="12" spans="1:5" x14ac:dyDescent="0.2">
      <c r="B12" s="26" t="s">
        <v>113</v>
      </c>
      <c r="C12" s="3">
        <v>10000000</v>
      </c>
    </row>
    <row r="13" spans="1:5" s="19" customFormat="1" x14ac:dyDescent="0.2">
      <c r="A13"/>
      <c r="B13" t="s">
        <v>114</v>
      </c>
      <c r="C13" s="3">
        <v>6000000</v>
      </c>
    </row>
    <row r="14" spans="1:5" x14ac:dyDescent="0.2">
      <c r="C14" s="3"/>
    </row>
    <row r="15" spans="1:5" x14ac:dyDescent="0.2">
      <c r="B15" t="s">
        <v>116</v>
      </c>
      <c r="C15" s="3">
        <v>101.7</v>
      </c>
      <c r="D15" t="s">
        <v>115</v>
      </c>
    </row>
    <row r="16" spans="1:5" x14ac:dyDescent="0.2">
      <c r="B16" t="s">
        <v>363</v>
      </c>
      <c r="C16" s="3">
        <v>110.2</v>
      </c>
    </row>
    <row r="17" spans="2:3" x14ac:dyDescent="0.2">
      <c r="C17" s="3"/>
    </row>
    <row r="18" spans="2:3" x14ac:dyDescent="0.2">
      <c r="B18" s="112" t="s">
        <v>461</v>
      </c>
      <c r="C18" s="113">
        <f>ROUND((C12+C13)/C15*C16,-2)</f>
        <v>17337300</v>
      </c>
    </row>
    <row r="19" spans="2:3" x14ac:dyDescent="0.2">
      <c r="C19" s="3"/>
    </row>
    <row r="20" spans="2:3" x14ac:dyDescent="0.2">
      <c r="C20" s="3"/>
    </row>
    <row r="21" spans="2:3" x14ac:dyDescent="0.2">
      <c r="C21" s="3"/>
    </row>
    <row r="22" spans="2:3" x14ac:dyDescent="0.2">
      <c r="C22" s="3"/>
    </row>
    <row r="23" spans="2:3" x14ac:dyDescent="0.2">
      <c r="C23" s="3"/>
    </row>
    <row r="24" spans="2:3" x14ac:dyDescent="0.2">
      <c r="C24" s="3"/>
    </row>
    <row r="25" spans="2:3" x14ac:dyDescent="0.2">
      <c r="C25" s="3"/>
    </row>
    <row r="26" spans="2:3" x14ac:dyDescent="0.2">
      <c r="C26" s="3"/>
    </row>
    <row r="27" spans="2:3" x14ac:dyDescent="0.2">
      <c r="C27" s="3"/>
    </row>
    <row r="28" spans="2:3" x14ac:dyDescent="0.2">
      <c r="C28" s="3"/>
    </row>
    <row r="29" spans="2:3" x14ac:dyDescent="0.2">
      <c r="C29" s="3"/>
    </row>
    <row r="30" spans="2:3" x14ac:dyDescent="0.2">
      <c r="C30" s="3"/>
    </row>
    <row r="31" spans="2:3" x14ac:dyDescent="0.2">
      <c r="C31" s="3"/>
    </row>
    <row r="32" spans="2:3" x14ac:dyDescent="0.2">
      <c r="C32" s="3"/>
    </row>
    <row r="33" spans="3:3" x14ac:dyDescent="0.2">
      <c r="C33" s="3"/>
    </row>
    <row r="34" spans="3:3" x14ac:dyDescent="0.2">
      <c r="C34" s="3"/>
    </row>
  </sheetData>
  <pageMargins left="0.7" right="0.7" top="0.78740157499999996" bottom="0.78740157499999996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P84"/>
  <sheetViews>
    <sheetView zoomScaleNormal="100" workbookViewId="0">
      <selection activeCell="D15" sqref="D15"/>
    </sheetView>
  </sheetViews>
  <sheetFormatPr baseColWidth="10" defaultRowHeight="12.75" x14ac:dyDescent="0.2"/>
  <cols>
    <col min="1" max="1" width="4" customWidth="1"/>
    <col min="2" max="2" width="20.5703125" bestFit="1" customWidth="1"/>
    <col min="3" max="7" width="17.140625" customWidth="1"/>
    <col min="8" max="8" width="24" customWidth="1"/>
    <col min="9" max="9" width="4.28515625" customWidth="1"/>
    <col min="10" max="14" width="17.140625" customWidth="1"/>
    <col min="15" max="24" width="21" customWidth="1"/>
    <col min="25" max="25" width="22.7109375" bestFit="1" customWidth="1"/>
    <col min="26" max="42" width="21" customWidth="1"/>
  </cols>
  <sheetData>
    <row r="1" spans="1:42" x14ac:dyDescent="0.2">
      <c r="A1" s="19" t="s">
        <v>193</v>
      </c>
    </row>
    <row r="2" spans="1:42" x14ac:dyDescent="0.2">
      <c r="A2" t="s">
        <v>194</v>
      </c>
    </row>
    <row r="5" spans="1:42" ht="26.25" x14ac:dyDescent="0.4">
      <c r="A5" s="16" t="s">
        <v>470</v>
      </c>
    </row>
    <row r="6" spans="1:42" x14ac:dyDescent="0.2">
      <c r="C6" s="3"/>
      <c r="D6" s="3"/>
      <c r="E6" s="3"/>
      <c r="F6" s="3"/>
      <c r="G6" s="3"/>
      <c r="H6" s="148" t="s">
        <v>466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ht="38.25" customHeight="1" x14ac:dyDescent="0.2">
      <c r="A7" s="76" t="s">
        <v>210</v>
      </c>
      <c r="B7" s="84" t="s">
        <v>211</v>
      </c>
      <c r="C7" s="162" t="s">
        <v>205</v>
      </c>
      <c r="D7" s="163" t="s">
        <v>206</v>
      </c>
      <c r="E7" s="164" t="s">
        <v>208</v>
      </c>
      <c r="F7" s="165" t="s">
        <v>207</v>
      </c>
      <c r="G7" s="163" t="s">
        <v>209</v>
      </c>
      <c r="H7" s="163" t="s">
        <v>465</v>
      </c>
      <c r="I7" s="155"/>
      <c r="J7" s="154" t="s">
        <v>205</v>
      </c>
      <c r="K7" s="79" t="s">
        <v>206</v>
      </c>
      <c r="L7" s="78" t="s">
        <v>208</v>
      </c>
      <c r="M7" s="79" t="s">
        <v>207</v>
      </c>
      <c r="N7" s="78" t="s">
        <v>209</v>
      </c>
      <c r="O7" s="157" t="s">
        <v>464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N7" s="3"/>
      <c r="AO7" s="3"/>
      <c r="AP7" s="3"/>
    </row>
    <row r="8" spans="1:42" x14ac:dyDescent="0.2">
      <c r="A8" s="67">
        <v>1</v>
      </c>
      <c r="B8" s="93" t="s">
        <v>5</v>
      </c>
      <c r="C8" s="141">
        <f>HLOOKUP(B8,'Ressourcenausgleich Basis'!$C$8:$BZ$151,144,FALSE)</f>
        <v>0</v>
      </c>
      <c r="D8" s="166">
        <f>HLOOKUP(B8,'SL Weite Basis'!$C$8:$BZ$74,67,FALSE)</f>
        <v>0</v>
      </c>
      <c r="E8" s="166">
        <f>HLOOKUP(B8,'SL Schule Basis'!$C$8:$BZ$64,57,FALSE)</f>
        <v>0</v>
      </c>
      <c r="F8" s="142">
        <f>HLOOKUP(B8,'SL Sozio Basis'!$C$8:$BZ$56,49,FALSE)</f>
        <v>16803100</v>
      </c>
      <c r="G8" s="167">
        <f>'SL Stadt SG Basis'!C18</f>
        <v>17337300</v>
      </c>
      <c r="H8" s="168">
        <f t="shared" ref="H8:H39" si="0">SUM(C8:G8)</f>
        <v>34140400</v>
      </c>
      <c r="I8" s="37"/>
      <c r="J8" s="158">
        <v>0</v>
      </c>
      <c r="K8" s="81">
        <v>0</v>
      </c>
      <c r="L8" s="35">
        <v>0</v>
      </c>
      <c r="M8" s="81">
        <v>16762800</v>
      </c>
      <c r="N8" s="35">
        <v>17337300</v>
      </c>
      <c r="O8" s="81">
        <v>34100100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x14ac:dyDescent="0.2">
      <c r="A9" s="68">
        <v>2</v>
      </c>
      <c r="B9" s="94" t="s">
        <v>6</v>
      </c>
      <c r="C9" s="143">
        <f>HLOOKUP(B9,'Ressourcenausgleich Basis'!$C$8:$BZ$151,144,FALSE)</f>
        <v>5419100</v>
      </c>
      <c r="D9" s="169">
        <f>HLOOKUP(B9,'SL Weite Basis'!$C$8:$BZ$74,67,FALSE)</f>
        <v>0</v>
      </c>
      <c r="E9" s="169">
        <f>HLOOKUP(B9,'SL Schule Basis'!$C$8:$BZ$64,57,FALSE)</f>
        <v>557200</v>
      </c>
      <c r="F9" s="144">
        <f>HLOOKUP(B9,'SL Sozio Basis'!$C$8:$BZ$56,49,FALSE)</f>
        <v>653000</v>
      </c>
      <c r="G9" s="170">
        <v>0</v>
      </c>
      <c r="H9" s="171">
        <f t="shared" si="0"/>
        <v>6629300</v>
      </c>
      <c r="I9" s="37"/>
      <c r="J9" s="158">
        <v>5419100</v>
      </c>
      <c r="K9" s="81">
        <v>0</v>
      </c>
      <c r="L9" s="35">
        <v>557200</v>
      </c>
      <c r="M9" s="81">
        <v>647900</v>
      </c>
      <c r="N9" s="35">
        <v>0</v>
      </c>
      <c r="O9" s="81">
        <v>6624200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x14ac:dyDescent="0.2">
      <c r="A10" s="68">
        <v>3</v>
      </c>
      <c r="B10" s="94" t="s">
        <v>7</v>
      </c>
      <c r="C10" s="143">
        <f>HLOOKUP(B10,'Ressourcenausgleich Basis'!$C$8:$BZ$151,144,FALSE)</f>
        <v>598300</v>
      </c>
      <c r="D10" s="169">
        <f>HLOOKUP(B10,'SL Weite Basis'!$C$8:$BZ$74,67,FALSE)</f>
        <v>386600</v>
      </c>
      <c r="E10" s="169">
        <f>HLOOKUP(B10,'SL Schule Basis'!$C$8:$BZ$64,57,FALSE)</f>
        <v>560400</v>
      </c>
      <c r="F10" s="144">
        <f>HLOOKUP(B10,'SL Sozio Basis'!$C$8:$BZ$56,49,FALSE)</f>
        <v>0</v>
      </c>
      <c r="G10" s="170">
        <v>0</v>
      </c>
      <c r="H10" s="171">
        <f t="shared" si="0"/>
        <v>1545300</v>
      </c>
      <c r="I10" s="37"/>
      <c r="J10" s="158">
        <v>598300</v>
      </c>
      <c r="K10" s="81">
        <v>386600</v>
      </c>
      <c r="L10" s="35">
        <v>560300</v>
      </c>
      <c r="M10" s="81">
        <v>0</v>
      </c>
      <c r="N10" s="35">
        <v>0</v>
      </c>
      <c r="O10" s="81">
        <v>1545200</v>
      </c>
      <c r="P10" s="3"/>
      <c r="Q10" s="3"/>
      <c r="R10" s="3"/>
    </row>
    <row r="11" spans="1:42" x14ac:dyDescent="0.2">
      <c r="A11" s="68">
        <v>4</v>
      </c>
      <c r="B11" s="94" t="s">
        <v>8</v>
      </c>
      <c r="C11" s="143">
        <f>HLOOKUP(B11,'Ressourcenausgleich Basis'!$C$8:$BZ$151,144,FALSE)</f>
        <v>834600</v>
      </c>
      <c r="D11" s="169">
        <f>HLOOKUP(B11,'SL Weite Basis'!$C$8:$BZ$74,67,FALSE)</f>
        <v>624800</v>
      </c>
      <c r="E11" s="169">
        <f>HLOOKUP(B11,'SL Schule Basis'!$C$8:$BZ$64,57,FALSE)</f>
        <v>97300</v>
      </c>
      <c r="F11" s="144">
        <f>HLOOKUP(B11,'SL Sozio Basis'!$C$8:$BZ$56,49,FALSE)</f>
        <v>0</v>
      </c>
      <c r="G11" s="170">
        <v>0</v>
      </c>
      <c r="H11" s="171">
        <f t="shared" si="0"/>
        <v>1556700</v>
      </c>
      <c r="I11" s="37"/>
      <c r="J11" s="158">
        <v>834600</v>
      </c>
      <c r="K11" s="81">
        <v>624800</v>
      </c>
      <c r="L11" s="35">
        <v>97300</v>
      </c>
      <c r="M11" s="81">
        <v>0</v>
      </c>
      <c r="N11" s="35">
        <v>0</v>
      </c>
      <c r="O11" s="81">
        <v>1556700</v>
      </c>
      <c r="P11" s="3"/>
      <c r="Q11" s="3"/>
      <c r="R11" s="3"/>
    </row>
    <row r="12" spans="1:42" x14ac:dyDescent="0.2">
      <c r="A12" s="68">
        <v>5</v>
      </c>
      <c r="B12" s="94" t="s">
        <v>9</v>
      </c>
      <c r="C12" s="143">
        <f>HLOOKUP(B12,'Ressourcenausgleich Basis'!$C$8:$BZ$151,144,FALSE)</f>
        <v>0</v>
      </c>
      <c r="D12" s="169">
        <f>HLOOKUP(B12,'SL Weite Basis'!$C$8:$BZ$74,67,FALSE)</f>
        <v>0</v>
      </c>
      <c r="E12" s="169">
        <f>HLOOKUP(B12,'SL Schule Basis'!$C$8:$BZ$64,57,FALSE)</f>
        <v>0</v>
      </c>
      <c r="F12" s="144">
        <f>HLOOKUP(B12,'SL Sozio Basis'!$C$8:$BZ$56,49,FALSE)</f>
        <v>0</v>
      </c>
      <c r="G12" s="170">
        <v>0</v>
      </c>
      <c r="H12" s="171">
        <f t="shared" si="0"/>
        <v>0</v>
      </c>
      <c r="I12" s="37"/>
      <c r="J12" s="158">
        <v>0</v>
      </c>
      <c r="K12" s="81">
        <v>0</v>
      </c>
      <c r="L12" s="35">
        <v>0</v>
      </c>
      <c r="M12" s="81">
        <v>0</v>
      </c>
      <c r="N12" s="35">
        <v>0</v>
      </c>
      <c r="O12" s="81">
        <v>0</v>
      </c>
      <c r="P12" s="3"/>
      <c r="Q12" s="3"/>
      <c r="R12" s="3"/>
    </row>
    <row r="13" spans="1:42" x14ac:dyDescent="0.2">
      <c r="A13" s="68">
        <v>6</v>
      </c>
      <c r="B13" s="94" t="s">
        <v>10</v>
      </c>
      <c r="C13" s="143">
        <f>HLOOKUP(B13,'Ressourcenausgleich Basis'!$C$8:$BZ$151,144,FALSE)</f>
        <v>0</v>
      </c>
      <c r="D13" s="169">
        <f>HLOOKUP(B13,'SL Weite Basis'!$C$8:$BZ$74,67,FALSE)</f>
        <v>0</v>
      </c>
      <c r="E13" s="169">
        <f>HLOOKUP(B13,'SL Schule Basis'!$C$8:$BZ$64,57,FALSE)</f>
        <v>0</v>
      </c>
      <c r="F13" s="144">
        <f>HLOOKUP(B13,'SL Sozio Basis'!$C$8:$BZ$56,49,FALSE)</f>
        <v>589900</v>
      </c>
      <c r="G13" s="170">
        <v>0</v>
      </c>
      <c r="H13" s="171">
        <f t="shared" si="0"/>
        <v>589900</v>
      </c>
      <c r="I13" s="37"/>
      <c r="J13" s="158">
        <v>0</v>
      </c>
      <c r="K13" s="81">
        <v>0</v>
      </c>
      <c r="L13" s="35">
        <v>0</v>
      </c>
      <c r="M13" s="81">
        <v>588500</v>
      </c>
      <c r="N13" s="35">
        <v>0</v>
      </c>
      <c r="O13" s="81">
        <v>588500</v>
      </c>
      <c r="P13" s="3"/>
      <c r="Q13" s="3"/>
      <c r="R13" s="3"/>
    </row>
    <row r="14" spans="1:42" x14ac:dyDescent="0.2">
      <c r="A14" s="68">
        <v>7</v>
      </c>
      <c r="B14" s="94" t="s">
        <v>11</v>
      </c>
      <c r="C14" s="143">
        <f>HLOOKUP(B14,'Ressourcenausgleich Basis'!$C$8:$BZ$151,144,FALSE)</f>
        <v>254100</v>
      </c>
      <c r="D14" s="169">
        <f>HLOOKUP(B14,'SL Weite Basis'!$C$8:$BZ$74,67,FALSE)</f>
        <v>0</v>
      </c>
      <c r="E14" s="169">
        <f>HLOOKUP(B14,'SL Schule Basis'!$C$8:$BZ$64,57,FALSE)</f>
        <v>0</v>
      </c>
      <c r="F14" s="144">
        <f>HLOOKUP(B14,'SL Sozio Basis'!$C$8:$BZ$56,49,FALSE)</f>
        <v>0</v>
      </c>
      <c r="G14" s="170">
        <v>0</v>
      </c>
      <c r="H14" s="171">
        <f t="shared" si="0"/>
        <v>254100</v>
      </c>
      <c r="I14" s="37"/>
      <c r="J14" s="158">
        <v>254100</v>
      </c>
      <c r="K14" s="81">
        <v>0</v>
      </c>
      <c r="L14" s="35">
        <v>0</v>
      </c>
      <c r="M14" s="81">
        <v>0</v>
      </c>
      <c r="N14" s="35">
        <v>0</v>
      </c>
      <c r="O14" s="81">
        <v>254100</v>
      </c>
      <c r="P14" s="3"/>
      <c r="Q14" s="3"/>
      <c r="R14" s="3"/>
    </row>
    <row r="15" spans="1:42" x14ac:dyDescent="0.2">
      <c r="A15" s="68">
        <v>8</v>
      </c>
      <c r="B15" s="94" t="s">
        <v>12</v>
      </c>
      <c r="C15" s="143">
        <f>HLOOKUP(B15,'Ressourcenausgleich Basis'!$C$8:$BZ$151,144,FALSE)</f>
        <v>0</v>
      </c>
      <c r="D15" s="169">
        <f>HLOOKUP(B15,'SL Weite Basis'!$C$8:$BZ$74,67,FALSE)</f>
        <v>8100</v>
      </c>
      <c r="E15" s="169">
        <f>HLOOKUP(B15,'SL Schule Basis'!$C$8:$BZ$64,57,FALSE)</f>
        <v>40200</v>
      </c>
      <c r="F15" s="144">
        <f>HLOOKUP(B15,'SL Sozio Basis'!$C$8:$BZ$56,49,FALSE)</f>
        <v>12100</v>
      </c>
      <c r="G15" s="170">
        <v>0</v>
      </c>
      <c r="H15" s="171">
        <f t="shared" si="0"/>
        <v>60400</v>
      </c>
      <c r="I15" s="37"/>
      <c r="J15" s="158">
        <v>0</v>
      </c>
      <c r="K15" s="81">
        <v>8100</v>
      </c>
      <c r="L15" s="35">
        <v>40200</v>
      </c>
      <c r="M15" s="81">
        <v>11900</v>
      </c>
      <c r="N15" s="35">
        <v>0</v>
      </c>
      <c r="O15" s="81">
        <v>60200</v>
      </c>
      <c r="P15" s="3"/>
      <c r="Q15" s="3"/>
      <c r="R15" s="3"/>
    </row>
    <row r="16" spans="1:42" x14ac:dyDescent="0.2">
      <c r="A16" s="68">
        <v>9</v>
      </c>
      <c r="B16" s="94" t="s">
        <v>13</v>
      </c>
      <c r="C16" s="143">
        <f>HLOOKUP(B16,'Ressourcenausgleich Basis'!$C$8:$BZ$151,144,FALSE)</f>
        <v>0</v>
      </c>
      <c r="D16" s="169">
        <f>HLOOKUP(B16,'SL Weite Basis'!$C$8:$BZ$74,67,FALSE)</f>
        <v>0</v>
      </c>
      <c r="E16" s="169">
        <f>HLOOKUP(B16,'SL Schule Basis'!$C$8:$BZ$64,57,FALSE)</f>
        <v>113700</v>
      </c>
      <c r="F16" s="144">
        <f>HLOOKUP(B16,'SL Sozio Basis'!$C$8:$BZ$56,49,FALSE)</f>
        <v>0</v>
      </c>
      <c r="G16" s="170">
        <v>0</v>
      </c>
      <c r="H16" s="171">
        <f t="shared" si="0"/>
        <v>113700</v>
      </c>
      <c r="I16" s="37"/>
      <c r="J16" s="158">
        <v>0</v>
      </c>
      <c r="K16" s="81">
        <v>0</v>
      </c>
      <c r="L16" s="35">
        <v>113700</v>
      </c>
      <c r="M16" s="81">
        <v>0</v>
      </c>
      <c r="N16" s="35">
        <v>0</v>
      </c>
      <c r="O16" s="81">
        <v>113700</v>
      </c>
      <c r="P16" s="3"/>
      <c r="Q16" s="3"/>
      <c r="R16" s="3"/>
    </row>
    <row r="17" spans="1:18" x14ac:dyDescent="0.2">
      <c r="A17" s="68">
        <v>10</v>
      </c>
      <c r="B17" s="94" t="s">
        <v>14</v>
      </c>
      <c r="C17" s="143">
        <f>HLOOKUP(B17,'Ressourcenausgleich Basis'!$C$8:$BZ$151,144,FALSE)</f>
        <v>239500</v>
      </c>
      <c r="D17" s="169">
        <f>HLOOKUP(B17,'SL Weite Basis'!$C$8:$BZ$74,67,FALSE)</f>
        <v>298300</v>
      </c>
      <c r="E17" s="169">
        <f>HLOOKUP(B17,'SL Schule Basis'!$C$8:$BZ$64,57,FALSE)</f>
        <v>222200</v>
      </c>
      <c r="F17" s="144">
        <f>HLOOKUP(B17,'SL Sozio Basis'!$C$8:$BZ$56,49,FALSE)</f>
        <v>0</v>
      </c>
      <c r="G17" s="170">
        <v>0</v>
      </c>
      <c r="H17" s="171">
        <f t="shared" si="0"/>
        <v>760000</v>
      </c>
      <c r="I17" s="37"/>
      <c r="J17" s="158">
        <v>239500</v>
      </c>
      <c r="K17" s="81">
        <v>298300</v>
      </c>
      <c r="L17" s="35">
        <v>222200</v>
      </c>
      <c r="M17" s="81">
        <v>0</v>
      </c>
      <c r="N17" s="35">
        <v>0</v>
      </c>
      <c r="O17" s="81">
        <v>760000</v>
      </c>
      <c r="P17" s="3"/>
      <c r="Q17" s="3"/>
      <c r="R17" s="3"/>
    </row>
    <row r="18" spans="1:18" x14ac:dyDescent="0.2">
      <c r="A18" s="68">
        <v>11</v>
      </c>
      <c r="B18" s="94" t="s">
        <v>15</v>
      </c>
      <c r="C18" s="143">
        <f>HLOOKUP(B18,'Ressourcenausgleich Basis'!$C$8:$BZ$151,144,FALSE)</f>
        <v>288800</v>
      </c>
      <c r="D18" s="169">
        <f>HLOOKUP(B18,'SL Weite Basis'!$C$8:$BZ$74,67,FALSE)</f>
        <v>618300</v>
      </c>
      <c r="E18" s="169">
        <f>HLOOKUP(B18,'SL Schule Basis'!$C$8:$BZ$64,57,FALSE)</f>
        <v>361600</v>
      </c>
      <c r="F18" s="144">
        <f>HLOOKUP(B18,'SL Sozio Basis'!$C$8:$BZ$56,49,FALSE)</f>
        <v>0</v>
      </c>
      <c r="G18" s="170">
        <v>0</v>
      </c>
      <c r="H18" s="171">
        <f t="shared" si="0"/>
        <v>1268700</v>
      </c>
      <c r="I18" s="37"/>
      <c r="J18" s="158">
        <v>288800</v>
      </c>
      <c r="K18" s="81">
        <v>618300</v>
      </c>
      <c r="L18" s="35">
        <v>361600</v>
      </c>
      <c r="M18" s="81">
        <v>0</v>
      </c>
      <c r="N18" s="35">
        <v>0</v>
      </c>
      <c r="O18" s="81">
        <v>1268700</v>
      </c>
      <c r="P18" s="3"/>
      <c r="Q18" s="3"/>
      <c r="R18" s="3"/>
    </row>
    <row r="19" spans="1:18" x14ac:dyDescent="0.2">
      <c r="A19" s="68">
        <v>12</v>
      </c>
      <c r="B19" s="94" t="s">
        <v>16</v>
      </c>
      <c r="C19" s="143">
        <f>HLOOKUP(B19,'Ressourcenausgleich Basis'!$C$8:$BZ$151,144,FALSE)</f>
        <v>0</v>
      </c>
      <c r="D19" s="169">
        <f>HLOOKUP(B19,'SL Weite Basis'!$C$8:$BZ$74,67,FALSE)</f>
        <v>0</v>
      </c>
      <c r="E19" s="169">
        <f>HLOOKUP(B19,'SL Schule Basis'!$C$8:$BZ$64,57,FALSE)</f>
        <v>0</v>
      </c>
      <c r="F19" s="144">
        <f>HLOOKUP(B19,'SL Sozio Basis'!$C$8:$BZ$56,49,FALSE)</f>
        <v>189300</v>
      </c>
      <c r="G19" s="170">
        <v>0</v>
      </c>
      <c r="H19" s="171">
        <f t="shared" si="0"/>
        <v>189300</v>
      </c>
      <c r="I19" s="37"/>
      <c r="J19" s="158">
        <v>0</v>
      </c>
      <c r="K19" s="81">
        <v>0</v>
      </c>
      <c r="L19" s="35">
        <v>0</v>
      </c>
      <c r="M19" s="81">
        <v>185900</v>
      </c>
      <c r="N19" s="35">
        <v>0</v>
      </c>
      <c r="O19" s="81">
        <v>185900</v>
      </c>
      <c r="P19" s="3"/>
      <c r="Q19" s="3"/>
      <c r="R19" s="3"/>
    </row>
    <row r="20" spans="1:18" x14ac:dyDescent="0.2">
      <c r="A20" s="68">
        <v>13</v>
      </c>
      <c r="B20" s="94" t="s">
        <v>17</v>
      </c>
      <c r="C20" s="143">
        <f>HLOOKUP(B20,'Ressourcenausgleich Basis'!$C$8:$BZ$151,144,FALSE)</f>
        <v>6129000</v>
      </c>
      <c r="D20" s="169">
        <f>HLOOKUP(B20,'SL Weite Basis'!$C$8:$BZ$74,67,FALSE)</f>
        <v>0</v>
      </c>
      <c r="E20" s="169">
        <f>HLOOKUP(B20,'SL Schule Basis'!$C$8:$BZ$64,57,FALSE)</f>
        <v>0</v>
      </c>
      <c r="F20" s="144">
        <f>HLOOKUP(B20,'SL Sozio Basis'!$C$8:$BZ$56,49,FALSE)</f>
        <v>963200</v>
      </c>
      <c r="G20" s="170">
        <v>0</v>
      </c>
      <c r="H20" s="171">
        <f t="shared" si="0"/>
        <v>7092200</v>
      </c>
      <c r="I20" s="37"/>
      <c r="J20" s="158">
        <v>6129000</v>
      </c>
      <c r="K20" s="81">
        <v>0</v>
      </c>
      <c r="L20" s="35">
        <v>0</v>
      </c>
      <c r="M20" s="81">
        <v>958100</v>
      </c>
      <c r="N20" s="35">
        <v>0</v>
      </c>
      <c r="O20" s="81">
        <v>7087100</v>
      </c>
      <c r="P20" s="3"/>
      <c r="Q20" s="3"/>
      <c r="R20" s="3"/>
    </row>
    <row r="21" spans="1:18" x14ac:dyDescent="0.2">
      <c r="A21" s="68">
        <v>14</v>
      </c>
      <c r="B21" s="94" t="s">
        <v>18</v>
      </c>
      <c r="C21" s="143">
        <f>HLOOKUP(B21,'Ressourcenausgleich Basis'!$C$8:$BZ$151,144,FALSE)</f>
        <v>0</v>
      </c>
      <c r="D21" s="169">
        <f>HLOOKUP(B21,'SL Weite Basis'!$C$8:$BZ$74,67,FALSE)</f>
        <v>0</v>
      </c>
      <c r="E21" s="169">
        <f>HLOOKUP(B21,'SL Schule Basis'!$C$8:$BZ$64,57,FALSE)</f>
        <v>0</v>
      </c>
      <c r="F21" s="144">
        <f>HLOOKUP(B21,'SL Sozio Basis'!$C$8:$BZ$56,49,FALSE)</f>
        <v>0</v>
      </c>
      <c r="G21" s="170">
        <v>0</v>
      </c>
      <c r="H21" s="171">
        <f t="shared" si="0"/>
        <v>0</v>
      </c>
      <c r="I21" s="37"/>
      <c r="J21" s="158">
        <v>0</v>
      </c>
      <c r="K21" s="81">
        <v>0</v>
      </c>
      <c r="L21" s="35">
        <v>0</v>
      </c>
      <c r="M21" s="81">
        <v>0</v>
      </c>
      <c r="N21" s="35">
        <v>0</v>
      </c>
      <c r="O21" s="81">
        <v>0</v>
      </c>
      <c r="P21" s="3"/>
      <c r="Q21" s="3"/>
      <c r="R21" s="3"/>
    </row>
    <row r="22" spans="1:18" x14ac:dyDescent="0.2">
      <c r="A22" s="68">
        <v>15</v>
      </c>
      <c r="B22" s="94" t="s">
        <v>19</v>
      </c>
      <c r="C22" s="143">
        <f>HLOOKUP(B22,'Ressourcenausgleich Basis'!$C$8:$BZ$151,144,FALSE)</f>
        <v>2238200</v>
      </c>
      <c r="D22" s="169">
        <f>HLOOKUP(B22,'SL Weite Basis'!$C$8:$BZ$74,67,FALSE)</f>
        <v>0</v>
      </c>
      <c r="E22" s="169">
        <f>HLOOKUP(B22,'SL Schule Basis'!$C$8:$BZ$64,57,FALSE)</f>
        <v>0</v>
      </c>
      <c r="F22" s="144">
        <f>HLOOKUP(B22,'SL Sozio Basis'!$C$8:$BZ$56,49,FALSE)</f>
        <v>304700</v>
      </c>
      <c r="G22" s="170">
        <v>0</v>
      </c>
      <c r="H22" s="171">
        <f t="shared" si="0"/>
        <v>2542900</v>
      </c>
      <c r="I22" s="37"/>
      <c r="J22" s="158">
        <v>2238200</v>
      </c>
      <c r="K22" s="81">
        <v>0</v>
      </c>
      <c r="L22" s="35">
        <v>0</v>
      </c>
      <c r="M22" s="81">
        <v>303100</v>
      </c>
      <c r="N22" s="35">
        <v>0</v>
      </c>
      <c r="O22" s="81">
        <v>2541300</v>
      </c>
      <c r="P22" s="3"/>
      <c r="Q22" s="3"/>
      <c r="R22" s="3"/>
    </row>
    <row r="23" spans="1:18" x14ac:dyDescent="0.2">
      <c r="A23" s="68">
        <v>16</v>
      </c>
      <c r="B23" s="94" t="s">
        <v>20</v>
      </c>
      <c r="C23" s="143">
        <f>HLOOKUP(B23,'Ressourcenausgleich Basis'!$C$8:$BZ$151,144,FALSE)</f>
        <v>1954300</v>
      </c>
      <c r="D23" s="169">
        <f>HLOOKUP(B23,'SL Weite Basis'!$C$8:$BZ$74,67,FALSE)</f>
        <v>0</v>
      </c>
      <c r="E23" s="169">
        <f>HLOOKUP(B23,'SL Schule Basis'!$C$8:$BZ$64,57,FALSE)</f>
        <v>335800</v>
      </c>
      <c r="F23" s="144">
        <f>HLOOKUP(B23,'SL Sozio Basis'!$C$8:$BZ$56,49,FALSE)</f>
        <v>415700</v>
      </c>
      <c r="G23" s="170">
        <v>0</v>
      </c>
      <c r="H23" s="171">
        <f t="shared" si="0"/>
        <v>2705800</v>
      </c>
      <c r="I23" s="37"/>
      <c r="J23" s="158">
        <v>1954300</v>
      </c>
      <c r="K23" s="81">
        <v>0</v>
      </c>
      <c r="L23" s="35">
        <v>335800</v>
      </c>
      <c r="M23" s="81">
        <v>414200</v>
      </c>
      <c r="N23" s="35">
        <v>0</v>
      </c>
      <c r="O23" s="81">
        <v>2704300</v>
      </c>
      <c r="P23" s="3"/>
      <c r="Q23" s="3"/>
      <c r="R23" s="3"/>
    </row>
    <row r="24" spans="1:18" x14ac:dyDescent="0.2">
      <c r="A24" s="68">
        <v>17</v>
      </c>
      <c r="B24" s="94" t="s">
        <v>21</v>
      </c>
      <c r="C24" s="143">
        <f>HLOOKUP(B24,'Ressourcenausgleich Basis'!$C$8:$BZ$151,144,FALSE)</f>
        <v>0</v>
      </c>
      <c r="D24" s="169">
        <f>HLOOKUP(B24,'SL Weite Basis'!$C$8:$BZ$74,67,FALSE)</f>
        <v>0</v>
      </c>
      <c r="E24" s="169">
        <f>HLOOKUP(B24,'SL Schule Basis'!$C$8:$BZ$64,57,FALSE)</f>
        <v>0</v>
      </c>
      <c r="F24" s="144">
        <f>HLOOKUP(B24,'SL Sozio Basis'!$C$8:$BZ$56,49,FALSE)</f>
        <v>43100</v>
      </c>
      <c r="G24" s="170">
        <v>0</v>
      </c>
      <c r="H24" s="171">
        <f t="shared" si="0"/>
        <v>43100</v>
      </c>
      <c r="I24" s="37"/>
      <c r="J24" s="158">
        <v>0</v>
      </c>
      <c r="K24" s="81">
        <v>0</v>
      </c>
      <c r="L24" s="35">
        <v>0</v>
      </c>
      <c r="M24" s="81">
        <v>39300</v>
      </c>
      <c r="N24" s="35">
        <v>0</v>
      </c>
      <c r="O24" s="81">
        <v>39300</v>
      </c>
      <c r="P24" s="3"/>
      <c r="Q24" s="3"/>
      <c r="R24" s="3"/>
    </row>
    <row r="25" spans="1:18" x14ac:dyDescent="0.2">
      <c r="A25" s="68">
        <v>18</v>
      </c>
      <c r="B25" s="94" t="s">
        <v>22</v>
      </c>
      <c r="C25" s="143">
        <f>HLOOKUP(B25,'Ressourcenausgleich Basis'!$C$8:$BZ$151,144,FALSE)</f>
        <v>0</v>
      </c>
      <c r="D25" s="169">
        <f>HLOOKUP(B25,'SL Weite Basis'!$C$8:$BZ$74,67,FALSE)</f>
        <v>0</v>
      </c>
      <c r="E25" s="169">
        <f>HLOOKUP(B25,'SL Schule Basis'!$C$8:$BZ$64,57,FALSE)</f>
        <v>5700</v>
      </c>
      <c r="F25" s="144">
        <f>HLOOKUP(B25,'SL Sozio Basis'!$C$8:$BZ$56,49,FALSE)</f>
        <v>0</v>
      </c>
      <c r="G25" s="170">
        <v>0</v>
      </c>
      <c r="H25" s="171">
        <f t="shared" si="0"/>
        <v>5700</v>
      </c>
      <c r="I25" s="37"/>
      <c r="J25" s="158">
        <v>0</v>
      </c>
      <c r="K25" s="81">
        <v>0</v>
      </c>
      <c r="L25" s="35">
        <v>5700</v>
      </c>
      <c r="M25" s="81">
        <v>0</v>
      </c>
      <c r="N25" s="35">
        <v>0</v>
      </c>
      <c r="O25" s="81">
        <v>5700</v>
      </c>
      <c r="P25" s="3"/>
      <c r="Q25" s="3"/>
      <c r="R25" s="3"/>
    </row>
    <row r="26" spans="1:18" x14ac:dyDescent="0.2">
      <c r="A26" s="68">
        <v>19</v>
      </c>
      <c r="B26" s="94" t="s">
        <v>23</v>
      </c>
      <c r="C26" s="143">
        <f>HLOOKUP(B26,'Ressourcenausgleich Basis'!$C$8:$BZ$151,144,FALSE)</f>
        <v>0</v>
      </c>
      <c r="D26" s="169">
        <f>HLOOKUP(B26,'SL Weite Basis'!$C$8:$BZ$74,67,FALSE)</f>
        <v>0</v>
      </c>
      <c r="E26" s="169">
        <f>HLOOKUP(B26,'SL Schule Basis'!$C$8:$BZ$64,57,FALSE)</f>
        <v>0</v>
      </c>
      <c r="F26" s="144">
        <f>HLOOKUP(B26,'SL Sozio Basis'!$C$8:$BZ$56,49,FALSE)</f>
        <v>0</v>
      </c>
      <c r="G26" s="170">
        <v>0</v>
      </c>
      <c r="H26" s="171">
        <f t="shared" si="0"/>
        <v>0</v>
      </c>
      <c r="I26" s="37"/>
      <c r="J26" s="158">
        <v>0</v>
      </c>
      <c r="K26" s="81">
        <v>0</v>
      </c>
      <c r="L26" s="35">
        <v>0</v>
      </c>
      <c r="M26" s="81">
        <v>0</v>
      </c>
      <c r="N26" s="35">
        <v>0</v>
      </c>
      <c r="O26" s="81">
        <v>0</v>
      </c>
      <c r="P26" s="3"/>
      <c r="Q26" s="3"/>
      <c r="R26" s="3"/>
    </row>
    <row r="27" spans="1:18" x14ac:dyDescent="0.2">
      <c r="A27" s="68">
        <v>20</v>
      </c>
      <c r="B27" s="94" t="s">
        <v>24</v>
      </c>
      <c r="C27" s="143">
        <f>HLOOKUP(B27,'Ressourcenausgleich Basis'!$C$8:$BZ$151,144,FALSE)</f>
        <v>0</v>
      </c>
      <c r="D27" s="169">
        <f>HLOOKUP(B27,'SL Weite Basis'!$C$8:$BZ$74,67,FALSE)</f>
        <v>0</v>
      </c>
      <c r="E27" s="169">
        <f>HLOOKUP(B27,'SL Schule Basis'!$C$8:$BZ$64,57,FALSE)</f>
        <v>261900</v>
      </c>
      <c r="F27" s="144">
        <f>HLOOKUP(B27,'SL Sozio Basis'!$C$8:$BZ$56,49,FALSE)</f>
        <v>0</v>
      </c>
      <c r="G27" s="170">
        <v>0</v>
      </c>
      <c r="H27" s="171">
        <f t="shared" si="0"/>
        <v>261900</v>
      </c>
      <c r="I27" s="37"/>
      <c r="J27" s="158">
        <v>0</v>
      </c>
      <c r="K27" s="81">
        <v>0</v>
      </c>
      <c r="L27" s="35">
        <v>261800</v>
      </c>
      <c r="M27" s="81">
        <v>0</v>
      </c>
      <c r="N27" s="35">
        <v>0</v>
      </c>
      <c r="O27" s="81">
        <v>261800</v>
      </c>
      <c r="P27" s="3"/>
      <c r="Q27" s="3"/>
      <c r="R27" s="3"/>
    </row>
    <row r="28" spans="1:18" x14ac:dyDescent="0.2">
      <c r="A28" s="68">
        <v>21</v>
      </c>
      <c r="B28" s="94" t="s">
        <v>25</v>
      </c>
      <c r="C28" s="143">
        <f>HLOOKUP(B28,'Ressourcenausgleich Basis'!$C$8:$BZ$151,144,FALSE)</f>
        <v>0</v>
      </c>
      <c r="D28" s="169">
        <f>HLOOKUP(B28,'SL Weite Basis'!$C$8:$BZ$74,67,FALSE)</f>
        <v>0</v>
      </c>
      <c r="E28" s="169">
        <f>HLOOKUP(B28,'SL Schule Basis'!$C$8:$BZ$64,57,FALSE)</f>
        <v>18800</v>
      </c>
      <c r="F28" s="144">
        <f>HLOOKUP(B28,'SL Sozio Basis'!$C$8:$BZ$56,49,FALSE)</f>
        <v>0</v>
      </c>
      <c r="G28" s="170">
        <v>0</v>
      </c>
      <c r="H28" s="171">
        <f t="shared" si="0"/>
        <v>18800</v>
      </c>
      <c r="I28" s="37"/>
      <c r="J28" s="158">
        <v>0</v>
      </c>
      <c r="K28" s="81">
        <v>0</v>
      </c>
      <c r="L28" s="35">
        <v>18800</v>
      </c>
      <c r="M28" s="81">
        <v>0</v>
      </c>
      <c r="N28" s="35">
        <v>0</v>
      </c>
      <c r="O28" s="81">
        <v>18800</v>
      </c>
      <c r="P28" s="3"/>
      <c r="Q28" s="3"/>
      <c r="R28" s="3"/>
    </row>
    <row r="29" spans="1:18" x14ac:dyDescent="0.2">
      <c r="A29" s="68">
        <v>22</v>
      </c>
      <c r="B29" s="94" t="s">
        <v>26</v>
      </c>
      <c r="C29" s="143">
        <f>HLOOKUP(B29,'Ressourcenausgleich Basis'!$C$8:$BZ$151,144,FALSE)</f>
        <v>484100</v>
      </c>
      <c r="D29" s="169">
        <f>HLOOKUP(B29,'SL Weite Basis'!$C$8:$BZ$74,67,FALSE)</f>
        <v>0</v>
      </c>
      <c r="E29" s="169">
        <f>HLOOKUP(B29,'SL Schule Basis'!$C$8:$BZ$64,57,FALSE)</f>
        <v>0</v>
      </c>
      <c r="F29" s="144">
        <f>HLOOKUP(B29,'SL Sozio Basis'!$C$8:$BZ$56,49,FALSE)</f>
        <v>105900</v>
      </c>
      <c r="G29" s="170">
        <v>0</v>
      </c>
      <c r="H29" s="171">
        <f t="shared" si="0"/>
        <v>590000</v>
      </c>
      <c r="I29" s="37"/>
      <c r="J29" s="158">
        <v>484100</v>
      </c>
      <c r="K29" s="81">
        <v>0</v>
      </c>
      <c r="L29" s="35">
        <v>0</v>
      </c>
      <c r="M29" s="81">
        <v>104800</v>
      </c>
      <c r="N29" s="35">
        <v>0</v>
      </c>
      <c r="O29" s="81">
        <v>588900</v>
      </c>
      <c r="P29" s="3"/>
      <c r="Q29" s="3"/>
      <c r="R29" s="3"/>
    </row>
    <row r="30" spans="1:18" x14ac:dyDescent="0.2">
      <c r="A30" s="68">
        <v>23</v>
      </c>
      <c r="B30" s="94" t="s">
        <v>27</v>
      </c>
      <c r="C30" s="143">
        <f>HLOOKUP(B30,'Ressourcenausgleich Basis'!$C$8:$BZ$151,144,FALSE)</f>
        <v>416300</v>
      </c>
      <c r="D30" s="169">
        <f>HLOOKUP(B30,'SL Weite Basis'!$C$8:$BZ$74,67,FALSE)</f>
        <v>136900</v>
      </c>
      <c r="E30" s="169">
        <f>HLOOKUP(B30,'SL Schule Basis'!$C$8:$BZ$64,57,FALSE)</f>
        <v>0</v>
      </c>
      <c r="F30" s="144">
        <f>HLOOKUP(B30,'SL Sozio Basis'!$C$8:$BZ$56,49,FALSE)</f>
        <v>0</v>
      </c>
      <c r="G30" s="170">
        <v>0</v>
      </c>
      <c r="H30" s="171">
        <f t="shared" si="0"/>
        <v>553200</v>
      </c>
      <c r="I30" s="37"/>
      <c r="J30" s="158">
        <v>416300</v>
      </c>
      <c r="K30" s="81">
        <v>136900</v>
      </c>
      <c r="L30" s="35">
        <v>0</v>
      </c>
      <c r="M30" s="81">
        <v>0</v>
      </c>
      <c r="N30" s="35">
        <v>0</v>
      </c>
      <c r="O30" s="81">
        <v>553200</v>
      </c>
      <c r="P30" s="3"/>
      <c r="Q30" s="3"/>
      <c r="R30" s="3"/>
    </row>
    <row r="31" spans="1:18" x14ac:dyDescent="0.2">
      <c r="A31" s="68">
        <v>24</v>
      </c>
      <c r="B31" s="94" t="s">
        <v>28</v>
      </c>
      <c r="C31" s="143">
        <f>HLOOKUP(B31,'Ressourcenausgleich Basis'!$C$8:$BZ$151,144,FALSE)</f>
        <v>950800</v>
      </c>
      <c r="D31" s="169">
        <f>HLOOKUP(B31,'SL Weite Basis'!$C$8:$BZ$74,67,FALSE)</f>
        <v>934400</v>
      </c>
      <c r="E31" s="169">
        <f>HLOOKUP(B31,'SL Schule Basis'!$C$8:$BZ$64,57,FALSE)</f>
        <v>0</v>
      </c>
      <c r="F31" s="144">
        <f>HLOOKUP(B31,'SL Sozio Basis'!$C$8:$BZ$56,49,FALSE)</f>
        <v>0</v>
      </c>
      <c r="G31" s="170">
        <v>0</v>
      </c>
      <c r="H31" s="171">
        <f t="shared" si="0"/>
        <v>1885200</v>
      </c>
      <c r="I31" s="37"/>
      <c r="J31" s="158">
        <v>950800</v>
      </c>
      <c r="K31" s="81">
        <v>934400</v>
      </c>
      <c r="L31" s="35">
        <v>0</v>
      </c>
      <c r="M31" s="81">
        <v>0</v>
      </c>
      <c r="N31" s="35">
        <v>0</v>
      </c>
      <c r="O31" s="81">
        <v>1885200</v>
      </c>
      <c r="P31" s="3"/>
      <c r="Q31" s="3"/>
      <c r="R31" s="3"/>
    </row>
    <row r="32" spans="1:18" x14ac:dyDescent="0.2">
      <c r="A32" s="68">
        <v>25</v>
      </c>
      <c r="B32" s="94" t="s">
        <v>29</v>
      </c>
      <c r="C32" s="143">
        <f>HLOOKUP(B32,'Ressourcenausgleich Basis'!$C$8:$BZ$151,144,FALSE)</f>
        <v>935700</v>
      </c>
      <c r="D32" s="169">
        <f>HLOOKUP(B32,'SL Weite Basis'!$C$8:$BZ$74,67,FALSE)</f>
        <v>232200</v>
      </c>
      <c r="E32" s="169">
        <f>HLOOKUP(B32,'SL Schule Basis'!$C$8:$BZ$64,57,FALSE)</f>
        <v>129900</v>
      </c>
      <c r="F32" s="144">
        <f>HLOOKUP(B32,'SL Sozio Basis'!$C$8:$BZ$56,49,FALSE)</f>
        <v>0</v>
      </c>
      <c r="G32" s="170">
        <v>0</v>
      </c>
      <c r="H32" s="171">
        <f t="shared" si="0"/>
        <v>1297800</v>
      </c>
      <c r="I32" s="37"/>
      <c r="J32" s="158">
        <v>935700</v>
      </c>
      <c r="K32" s="81">
        <v>232200</v>
      </c>
      <c r="L32" s="35">
        <v>129900</v>
      </c>
      <c r="M32" s="81">
        <v>0</v>
      </c>
      <c r="N32" s="35">
        <v>0</v>
      </c>
      <c r="O32" s="81">
        <v>1297800</v>
      </c>
      <c r="P32" s="3"/>
      <c r="Q32" s="3"/>
      <c r="R32" s="3"/>
    </row>
    <row r="33" spans="1:18" x14ac:dyDescent="0.2">
      <c r="A33" s="68">
        <v>26</v>
      </c>
      <c r="B33" s="94" t="s">
        <v>30</v>
      </c>
      <c r="C33" s="143">
        <f>HLOOKUP(B33,'Ressourcenausgleich Basis'!$C$8:$BZ$151,144,FALSE)</f>
        <v>1300500</v>
      </c>
      <c r="D33" s="169">
        <f>HLOOKUP(B33,'SL Weite Basis'!$C$8:$BZ$74,67,FALSE)</f>
        <v>1412300</v>
      </c>
      <c r="E33" s="169">
        <f>HLOOKUP(B33,'SL Schule Basis'!$C$8:$BZ$64,57,FALSE)</f>
        <v>874600</v>
      </c>
      <c r="F33" s="144">
        <f>HLOOKUP(B33,'SL Sozio Basis'!$C$8:$BZ$56,49,FALSE)</f>
        <v>0</v>
      </c>
      <c r="G33" s="170">
        <v>0</v>
      </c>
      <c r="H33" s="171">
        <f t="shared" si="0"/>
        <v>3587400</v>
      </c>
      <c r="I33" s="37"/>
      <c r="J33" s="158">
        <v>1300500</v>
      </c>
      <c r="K33" s="81">
        <v>1412300</v>
      </c>
      <c r="L33" s="35">
        <v>874500</v>
      </c>
      <c r="M33" s="81">
        <v>0</v>
      </c>
      <c r="N33" s="35">
        <v>0</v>
      </c>
      <c r="O33" s="81">
        <v>3587300</v>
      </c>
      <c r="P33" s="3"/>
      <c r="Q33" s="3"/>
      <c r="R33" s="3"/>
    </row>
    <row r="34" spans="1:18" x14ac:dyDescent="0.2">
      <c r="A34" s="68">
        <v>27</v>
      </c>
      <c r="B34" s="94" t="s">
        <v>31</v>
      </c>
      <c r="C34" s="143">
        <f>HLOOKUP(B34,'Ressourcenausgleich Basis'!$C$8:$BZ$151,144,FALSE)</f>
        <v>505400</v>
      </c>
      <c r="D34" s="169">
        <f>HLOOKUP(B34,'SL Weite Basis'!$C$8:$BZ$74,67,FALSE)</f>
        <v>243800</v>
      </c>
      <c r="E34" s="169">
        <f>HLOOKUP(B34,'SL Schule Basis'!$C$8:$BZ$64,57,FALSE)</f>
        <v>688400</v>
      </c>
      <c r="F34" s="144">
        <f>HLOOKUP(B34,'SL Sozio Basis'!$C$8:$BZ$56,49,FALSE)</f>
        <v>0</v>
      </c>
      <c r="G34" s="170">
        <v>0</v>
      </c>
      <c r="H34" s="171">
        <f t="shared" si="0"/>
        <v>1437600</v>
      </c>
      <c r="I34" s="37"/>
      <c r="J34" s="158">
        <v>505400</v>
      </c>
      <c r="K34" s="81">
        <v>243800</v>
      </c>
      <c r="L34" s="35">
        <v>688400</v>
      </c>
      <c r="M34" s="81">
        <v>0</v>
      </c>
      <c r="N34" s="35">
        <v>0</v>
      </c>
      <c r="O34" s="81">
        <v>1437600</v>
      </c>
      <c r="P34" s="3"/>
      <c r="Q34" s="3"/>
      <c r="R34" s="3"/>
    </row>
    <row r="35" spans="1:18" x14ac:dyDescent="0.2">
      <c r="A35" s="68">
        <v>28</v>
      </c>
      <c r="B35" s="94" t="s">
        <v>32</v>
      </c>
      <c r="C35" s="143">
        <f>HLOOKUP(B35,'Ressourcenausgleich Basis'!$C$8:$BZ$151,144,FALSE)</f>
        <v>0</v>
      </c>
      <c r="D35" s="169">
        <f>HLOOKUP(B35,'SL Weite Basis'!$C$8:$BZ$74,67,FALSE)</f>
        <v>0</v>
      </c>
      <c r="E35" s="169">
        <f>HLOOKUP(B35,'SL Schule Basis'!$C$8:$BZ$64,57,FALSE)</f>
        <v>0</v>
      </c>
      <c r="F35" s="144">
        <f>HLOOKUP(B35,'SL Sozio Basis'!$C$8:$BZ$56,49,FALSE)</f>
        <v>0</v>
      </c>
      <c r="G35" s="170">
        <v>0</v>
      </c>
      <c r="H35" s="171">
        <f t="shared" si="0"/>
        <v>0</v>
      </c>
      <c r="I35" s="37"/>
      <c r="J35" s="158">
        <v>0</v>
      </c>
      <c r="K35" s="81">
        <v>0</v>
      </c>
      <c r="L35" s="35">
        <v>0</v>
      </c>
      <c r="M35" s="81">
        <v>0</v>
      </c>
      <c r="N35" s="35">
        <v>0</v>
      </c>
      <c r="O35" s="81">
        <v>0</v>
      </c>
      <c r="P35" s="3"/>
      <c r="Q35" s="3"/>
      <c r="R35" s="3"/>
    </row>
    <row r="36" spans="1:18" x14ac:dyDescent="0.2">
      <c r="A36" s="68">
        <v>29</v>
      </c>
      <c r="B36" s="94" t="s">
        <v>33</v>
      </c>
      <c r="C36" s="143">
        <f>HLOOKUP(B36,'Ressourcenausgleich Basis'!$C$8:$BZ$151,144,FALSE)</f>
        <v>1598300</v>
      </c>
      <c r="D36" s="169">
        <f>HLOOKUP(B36,'SL Weite Basis'!$C$8:$BZ$74,67,FALSE)</f>
        <v>414000</v>
      </c>
      <c r="E36" s="169">
        <f>HLOOKUP(B36,'SL Schule Basis'!$C$8:$BZ$64,57,FALSE)</f>
        <v>842300</v>
      </c>
      <c r="F36" s="144">
        <f>HLOOKUP(B36,'SL Sozio Basis'!$C$8:$BZ$56,49,FALSE)</f>
        <v>0</v>
      </c>
      <c r="G36" s="170">
        <v>0</v>
      </c>
      <c r="H36" s="171">
        <f t="shared" si="0"/>
        <v>2854600</v>
      </c>
      <c r="I36" s="37"/>
      <c r="J36" s="158">
        <v>1598300</v>
      </c>
      <c r="K36" s="81">
        <v>414000</v>
      </c>
      <c r="L36" s="35">
        <v>842300</v>
      </c>
      <c r="M36" s="81">
        <v>0</v>
      </c>
      <c r="N36" s="35">
        <v>0</v>
      </c>
      <c r="O36" s="81">
        <v>2854600</v>
      </c>
      <c r="P36" s="3"/>
      <c r="Q36" s="3"/>
      <c r="R36" s="3"/>
    </row>
    <row r="37" spans="1:18" x14ac:dyDescent="0.2">
      <c r="A37" s="68">
        <v>30</v>
      </c>
      <c r="B37" s="94" t="s">
        <v>34</v>
      </c>
      <c r="C37" s="143">
        <f>HLOOKUP(B37,'Ressourcenausgleich Basis'!$C$8:$BZ$151,144,FALSE)</f>
        <v>2174300</v>
      </c>
      <c r="D37" s="169">
        <f>HLOOKUP(B37,'SL Weite Basis'!$C$8:$BZ$74,67,FALSE)</f>
        <v>1000600</v>
      </c>
      <c r="E37" s="169">
        <f>HLOOKUP(B37,'SL Schule Basis'!$C$8:$BZ$64,57,FALSE)</f>
        <v>739300</v>
      </c>
      <c r="F37" s="144">
        <f>HLOOKUP(B37,'SL Sozio Basis'!$C$8:$BZ$56,49,FALSE)</f>
        <v>0</v>
      </c>
      <c r="G37" s="170">
        <v>0</v>
      </c>
      <c r="H37" s="171">
        <f t="shared" si="0"/>
        <v>3914200</v>
      </c>
      <c r="I37" s="37"/>
      <c r="J37" s="158">
        <v>2174300</v>
      </c>
      <c r="K37" s="81">
        <v>1000600</v>
      </c>
      <c r="L37" s="35">
        <v>739200</v>
      </c>
      <c r="M37" s="81">
        <v>0</v>
      </c>
      <c r="N37" s="35">
        <v>0</v>
      </c>
      <c r="O37" s="81">
        <v>3914100</v>
      </c>
      <c r="P37" s="3"/>
      <c r="Q37" s="3"/>
      <c r="R37" s="3"/>
    </row>
    <row r="38" spans="1:18" x14ac:dyDescent="0.2">
      <c r="A38" s="68">
        <v>31</v>
      </c>
      <c r="B38" s="94" t="s">
        <v>35</v>
      </c>
      <c r="C38" s="143">
        <f>HLOOKUP(B38,'Ressourcenausgleich Basis'!$C$8:$BZ$151,144,FALSE)</f>
        <v>0</v>
      </c>
      <c r="D38" s="169">
        <f>HLOOKUP(B38,'SL Weite Basis'!$C$8:$BZ$74,67,FALSE)</f>
        <v>0</v>
      </c>
      <c r="E38" s="169">
        <f>HLOOKUP(B38,'SL Schule Basis'!$C$8:$BZ$64,57,FALSE)</f>
        <v>672600</v>
      </c>
      <c r="F38" s="144">
        <f>HLOOKUP(B38,'SL Sozio Basis'!$C$8:$BZ$56,49,FALSE)</f>
        <v>0</v>
      </c>
      <c r="G38" s="170">
        <v>0</v>
      </c>
      <c r="H38" s="171">
        <f t="shared" si="0"/>
        <v>672600</v>
      </c>
      <c r="I38" s="37"/>
      <c r="J38" s="158">
        <v>0</v>
      </c>
      <c r="K38" s="81">
        <v>0</v>
      </c>
      <c r="L38" s="35">
        <v>672500</v>
      </c>
      <c r="M38" s="81">
        <v>0</v>
      </c>
      <c r="N38" s="35">
        <v>0</v>
      </c>
      <c r="O38" s="81">
        <v>672500</v>
      </c>
      <c r="P38" s="3"/>
      <c r="Q38" s="3"/>
      <c r="R38" s="3"/>
    </row>
    <row r="39" spans="1:18" x14ac:dyDescent="0.2">
      <c r="A39" s="68">
        <v>32</v>
      </c>
      <c r="B39" s="94" t="s">
        <v>36</v>
      </c>
      <c r="C39" s="143">
        <f>HLOOKUP(B39,'Ressourcenausgleich Basis'!$C$8:$BZ$151,144,FALSE)</f>
        <v>2806700</v>
      </c>
      <c r="D39" s="169">
        <f>HLOOKUP(B39,'SL Weite Basis'!$C$8:$BZ$74,67,FALSE)</f>
        <v>95600</v>
      </c>
      <c r="E39" s="169">
        <f>HLOOKUP(B39,'SL Schule Basis'!$C$8:$BZ$64,57,FALSE)</f>
        <v>1068200</v>
      </c>
      <c r="F39" s="144">
        <f>HLOOKUP(B39,'SL Sozio Basis'!$C$8:$BZ$56,49,FALSE)</f>
        <v>0</v>
      </c>
      <c r="G39" s="170">
        <v>0</v>
      </c>
      <c r="H39" s="171">
        <f t="shared" si="0"/>
        <v>3970500</v>
      </c>
      <c r="I39" s="37"/>
      <c r="J39" s="158">
        <v>2806700</v>
      </c>
      <c r="K39" s="81">
        <v>95600</v>
      </c>
      <c r="L39" s="35">
        <v>1068100</v>
      </c>
      <c r="M39" s="81">
        <v>0</v>
      </c>
      <c r="N39" s="35">
        <v>0</v>
      </c>
      <c r="O39" s="81">
        <v>3970400</v>
      </c>
      <c r="P39" s="3"/>
      <c r="Q39" s="3"/>
      <c r="R39" s="3"/>
    </row>
    <row r="40" spans="1:18" x14ac:dyDescent="0.2">
      <c r="A40" s="68">
        <v>33</v>
      </c>
      <c r="B40" s="94" t="s">
        <v>37</v>
      </c>
      <c r="C40" s="143">
        <f>HLOOKUP(B40,'Ressourcenausgleich Basis'!$C$8:$BZ$151,144,FALSE)</f>
        <v>4012200</v>
      </c>
      <c r="D40" s="169">
        <f>HLOOKUP(B40,'SL Weite Basis'!$C$8:$BZ$74,67,FALSE)</f>
        <v>318100</v>
      </c>
      <c r="E40" s="169">
        <f>HLOOKUP(B40,'SL Schule Basis'!$C$8:$BZ$64,57,FALSE)</f>
        <v>1242100</v>
      </c>
      <c r="F40" s="144">
        <f>HLOOKUP(B40,'SL Sozio Basis'!$C$8:$BZ$56,49,FALSE)</f>
        <v>0</v>
      </c>
      <c r="G40" s="170">
        <v>0</v>
      </c>
      <c r="H40" s="171">
        <f t="shared" ref="H40:H69" si="1">SUM(C40:G40)</f>
        <v>5572400</v>
      </c>
      <c r="I40" s="37"/>
      <c r="J40" s="158">
        <v>4012200</v>
      </c>
      <c r="K40" s="81">
        <v>318100</v>
      </c>
      <c r="L40" s="35">
        <v>1241900</v>
      </c>
      <c r="M40" s="81">
        <v>0</v>
      </c>
      <c r="N40" s="35">
        <v>0</v>
      </c>
      <c r="O40" s="81">
        <v>5572200</v>
      </c>
      <c r="P40" s="3"/>
      <c r="Q40" s="3"/>
      <c r="R40" s="3"/>
    </row>
    <row r="41" spans="1:18" x14ac:dyDescent="0.2">
      <c r="A41" s="68">
        <v>34</v>
      </c>
      <c r="B41" s="94" t="s">
        <v>38</v>
      </c>
      <c r="C41" s="143">
        <f>HLOOKUP(B41,'Ressourcenausgleich Basis'!$C$8:$BZ$151,144,FALSE)</f>
        <v>2014700</v>
      </c>
      <c r="D41" s="169">
        <f>HLOOKUP(B41,'SL Weite Basis'!$C$8:$BZ$74,67,FALSE)</f>
        <v>0</v>
      </c>
      <c r="E41" s="169">
        <f>HLOOKUP(B41,'SL Schule Basis'!$C$8:$BZ$64,57,FALSE)</f>
        <v>663800</v>
      </c>
      <c r="F41" s="144">
        <f>HLOOKUP(B41,'SL Sozio Basis'!$C$8:$BZ$56,49,FALSE)</f>
        <v>0</v>
      </c>
      <c r="G41" s="170">
        <v>0</v>
      </c>
      <c r="H41" s="171">
        <f t="shared" si="1"/>
        <v>2678500</v>
      </c>
      <c r="I41" s="37"/>
      <c r="J41" s="158">
        <v>2014700</v>
      </c>
      <c r="K41" s="81">
        <v>0</v>
      </c>
      <c r="L41" s="35">
        <v>663700</v>
      </c>
      <c r="M41" s="81">
        <v>0</v>
      </c>
      <c r="N41" s="35">
        <v>0</v>
      </c>
      <c r="O41" s="81">
        <v>2678400</v>
      </c>
      <c r="P41" s="3"/>
      <c r="Q41" s="3"/>
      <c r="R41" s="3"/>
    </row>
    <row r="42" spans="1:18" x14ac:dyDescent="0.2">
      <c r="A42" s="68">
        <v>35</v>
      </c>
      <c r="B42" s="94" t="s">
        <v>39</v>
      </c>
      <c r="C42" s="143">
        <f>HLOOKUP(B42,'Ressourcenausgleich Basis'!$C$8:$BZ$151,144,FALSE)</f>
        <v>2138000</v>
      </c>
      <c r="D42" s="169">
        <f>HLOOKUP(B42,'SL Weite Basis'!$C$8:$BZ$74,67,FALSE)</f>
        <v>157100</v>
      </c>
      <c r="E42" s="169">
        <f>HLOOKUP(B42,'SL Schule Basis'!$C$8:$BZ$64,57,FALSE)</f>
        <v>112600</v>
      </c>
      <c r="F42" s="144">
        <f>HLOOKUP(B42,'SL Sozio Basis'!$C$8:$BZ$56,49,FALSE)</f>
        <v>0</v>
      </c>
      <c r="G42" s="170">
        <v>0</v>
      </c>
      <c r="H42" s="171">
        <f t="shared" si="1"/>
        <v>2407700</v>
      </c>
      <c r="I42" s="37"/>
      <c r="J42" s="158">
        <v>2138000</v>
      </c>
      <c r="K42" s="81">
        <v>157100</v>
      </c>
      <c r="L42" s="35">
        <v>112600</v>
      </c>
      <c r="M42" s="81">
        <v>0</v>
      </c>
      <c r="N42" s="35">
        <v>0</v>
      </c>
      <c r="O42" s="81">
        <v>2407700</v>
      </c>
      <c r="P42" s="3"/>
      <c r="Q42" s="3"/>
      <c r="R42" s="3"/>
    </row>
    <row r="43" spans="1:18" x14ac:dyDescent="0.2">
      <c r="A43" s="68">
        <v>36</v>
      </c>
      <c r="B43" s="94" t="s">
        <v>40</v>
      </c>
      <c r="C43" s="143">
        <f>HLOOKUP(B43,'Ressourcenausgleich Basis'!$C$8:$BZ$151,144,FALSE)</f>
        <v>0</v>
      </c>
      <c r="D43" s="169">
        <f>HLOOKUP(B43,'SL Weite Basis'!$C$8:$BZ$74,67,FALSE)</f>
        <v>0</v>
      </c>
      <c r="E43" s="169">
        <f>HLOOKUP(B43,'SL Schule Basis'!$C$8:$BZ$64,57,FALSE)</f>
        <v>0</v>
      </c>
      <c r="F43" s="144">
        <f>HLOOKUP(B43,'SL Sozio Basis'!$C$8:$BZ$56,49,FALSE)</f>
        <v>0</v>
      </c>
      <c r="G43" s="170">
        <v>0</v>
      </c>
      <c r="H43" s="171">
        <f t="shared" si="1"/>
        <v>0</v>
      </c>
      <c r="I43" s="37"/>
      <c r="J43" s="158">
        <v>0</v>
      </c>
      <c r="K43" s="81">
        <v>0</v>
      </c>
      <c r="L43" s="35">
        <v>0</v>
      </c>
      <c r="M43" s="81">
        <v>0</v>
      </c>
      <c r="N43" s="35">
        <v>0</v>
      </c>
      <c r="O43" s="81">
        <v>0</v>
      </c>
      <c r="P43" s="3"/>
      <c r="Q43" s="3"/>
      <c r="R43" s="3"/>
    </row>
    <row r="44" spans="1:18" x14ac:dyDescent="0.2">
      <c r="A44" s="68">
        <v>37</v>
      </c>
      <c r="B44" s="94" t="s">
        <v>41</v>
      </c>
      <c r="C44" s="143">
        <f>HLOOKUP(B44,'Ressourcenausgleich Basis'!$C$8:$BZ$151,144,FALSE)</f>
        <v>1358700</v>
      </c>
      <c r="D44" s="169">
        <f>HLOOKUP(B44,'SL Weite Basis'!$C$8:$BZ$74,67,FALSE)</f>
        <v>2364900</v>
      </c>
      <c r="E44" s="169">
        <f>HLOOKUP(B44,'SL Schule Basis'!$C$8:$BZ$64,57,FALSE)</f>
        <v>18800</v>
      </c>
      <c r="F44" s="144">
        <f>HLOOKUP(B44,'SL Sozio Basis'!$C$8:$BZ$56,49,FALSE)</f>
        <v>120400</v>
      </c>
      <c r="G44" s="170">
        <v>0</v>
      </c>
      <c r="H44" s="171">
        <f t="shared" si="1"/>
        <v>3862800</v>
      </c>
      <c r="I44" s="37"/>
      <c r="J44" s="158">
        <v>1358700</v>
      </c>
      <c r="K44" s="81">
        <v>2364900</v>
      </c>
      <c r="L44" s="35">
        <v>18800</v>
      </c>
      <c r="M44" s="81">
        <v>120200</v>
      </c>
      <c r="N44" s="35">
        <v>0</v>
      </c>
      <c r="O44" s="81">
        <v>3862600</v>
      </c>
      <c r="P44" s="3"/>
      <c r="Q44" s="3"/>
      <c r="R44" s="3"/>
    </row>
    <row r="45" spans="1:18" x14ac:dyDescent="0.2">
      <c r="A45" s="68">
        <v>38</v>
      </c>
      <c r="B45" s="94" t="s">
        <v>42</v>
      </c>
      <c r="C45" s="143">
        <f>HLOOKUP(B45,'Ressourcenausgleich Basis'!$C$8:$BZ$151,144,FALSE)</f>
        <v>5380200</v>
      </c>
      <c r="D45" s="169">
        <f>HLOOKUP(B45,'SL Weite Basis'!$C$8:$BZ$74,67,FALSE)</f>
        <v>984000</v>
      </c>
      <c r="E45" s="169">
        <f>HLOOKUP(B45,'SL Schule Basis'!$C$8:$BZ$64,57,FALSE)</f>
        <v>740000</v>
      </c>
      <c r="F45" s="144">
        <f>HLOOKUP(B45,'SL Sozio Basis'!$C$8:$BZ$56,49,FALSE)</f>
        <v>0</v>
      </c>
      <c r="G45" s="170">
        <v>0</v>
      </c>
      <c r="H45" s="171">
        <f t="shared" si="1"/>
        <v>7104200</v>
      </c>
      <c r="I45" s="37"/>
      <c r="J45" s="158">
        <v>5380200</v>
      </c>
      <c r="K45" s="81">
        <v>984000</v>
      </c>
      <c r="L45" s="35">
        <v>740000</v>
      </c>
      <c r="M45" s="81">
        <v>0</v>
      </c>
      <c r="N45" s="35">
        <v>0</v>
      </c>
      <c r="O45" s="81">
        <v>7104200</v>
      </c>
      <c r="P45" s="3"/>
      <c r="Q45" s="3"/>
      <c r="R45" s="3"/>
    </row>
    <row r="46" spans="1:18" x14ac:dyDescent="0.2">
      <c r="A46" s="68">
        <v>39</v>
      </c>
      <c r="B46" s="94" t="s">
        <v>43</v>
      </c>
      <c r="C46" s="143">
        <f>HLOOKUP(B46,'Ressourcenausgleich Basis'!$C$8:$BZ$151,144,FALSE)</f>
        <v>2803500</v>
      </c>
      <c r="D46" s="169">
        <f>HLOOKUP(B46,'SL Weite Basis'!$C$8:$BZ$74,67,FALSE)</f>
        <v>967000</v>
      </c>
      <c r="E46" s="169">
        <f>HLOOKUP(B46,'SL Schule Basis'!$C$8:$BZ$64,57,FALSE)</f>
        <v>735700</v>
      </c>
      <c r="F46" s="144">
        <f>HLOOKUP(B46,'SL Sozio Basis'!$C$8:$BZ$56,49,FALSE)</f>
        <v>0</v>
      </c>
      <c r="G46" s="170">
        <v>0</v>
      </c>
      <c r="H46" s="171">
        <f t="shared" si="1"/>
        <v>4506200</v>
      </c>
      <c r="I46" s="37"/>
      <c r="J46" s="158">
        <v>2803500</v>
      </c>
      <c r="K46" s="81">
        <v>967000</v>
      </c>
      <c r="L46" s="35">
        <v>735600</v>
      </c>
      <c r="M46" s="81">
        <v>0</v>
      </c>
      <c r="N46" s="35">
        <v>0</v>
      </c>
      <c r="O46" s="81">
        <v>4506100</v>
      </c>
      <c r="P46" s="3"/>
      <c r="Q46" s="3"/>
      <c r="R46" s="3"/>
    </row>
    <row r="47" spans="1:18" x14ac:dyDescent="0.2">
      <c r="A47" s="68">
        <v>40</v>
      </c>
      <c r="B47" s="94" t="s">
        <v>44</v>
      </c>
      <c r="C47" s="143">
        <f>HLOOKUP(B47,'Ressourcenausgleich Basis'!$C$8:$BZ$151,144,FALSE)</f>
        <v>1987000</v>
      </c>
      <c r="D47" s="169">
        <f>HLOOKUP(B47,'SL Weite Basis'!$C$8:$BZ$74,67,FALSE)</f>
        <v>0</v>
      </c>
      <c r="E47" s="169">
        <f>HLOOKUP(B47,'SL Schule Basis'!$C$8:$BZ$64,57,FALSE)</f>
        <v>252300</v>
      </c>
      <c r="F47" s="144">
        <f>HLOOKUP(B47,'SL Sozio Basis'!$C$8:$BZ$56,49,FALSE)</f>
        <v>0</v>
      </c>
      <c r="G47" s="170">
        <v>0</v>
      </c>
      <c r="H47" s="171">
        <f t="shared" si="1"/>
        <v>2239300</v>
      </c>
      <c r="I47" s="37"/>
      <c r="J47" s="158">
        <v>1987000</v>
      </c>
      <c r="K47" s="81">
        <v>0</v>
      </c>
      <c r="L47" s="35">
        <v>252300</v>
      </c>
      <c r="M47" s="81">
        <v>0</v>
      </c>
      <c r="N47" s="35">
        <v>0</v>
      </c>
      <c r="O47" s="81">
        <v>2239300</v>
      </c>
      <c r="P47" s="3"/>
      <c r="Q47" s="3"/>
      <c r="R47" s="3"/>
    </row>
    <row r="48" spans="1:18" x14ac:dyDescent="0.2">
      <c r="A48" s="68">
        <v>41</v>
      </c>
      <c r="B48" s="94" t="s">
        <v>45</v>
      </c>
      <c r="C48" s="143">
        <f>HLOOKUP(B48,'Ressourcenausgleich Basis'!$C$8:$BZ$151,144,FALSE)</f>
        <v>246900</v>
      </c>
      <c r="D48" s="169">
        <f>HLOOKUP(B48,'SL Weite Basis'!$C$8:$BZ$74,67,FALSE)</f>
        <v>452200</v>
      </c>
      <c r="E48" s="169">
        <f>HLOOKUP(B48,'SL Schule Basis'!$C$8:$BZ$64,57,FALSE)</f>
        <v>0</v>
      </c>
      <c r="F48" s="144">
        <f>HLOOKUP(B48,'SL Sozio Basis'!$C$8:$BZ$56,49,FALSE)</f>
        <v>61100</v>
      </c>
      <c r="G48" s="170">
        <v>0</v>
      </c>
      <c r="H48" s="171">
        <f t="shared" si="1"/>
        <v>760200</v>
      </c>
      <c r="I48" s="37"/>
      <c r="J48" s="158">
        <v>246900</v>
      </c>
      <c r="K48" s="81">
        <v>452200</v>
      </c>
      <c r="L48" s="35">
        <v>0</v>
      </c>
      <c r="M48" s="81">
        <v>60600</v>
      </c>
      <c r="N48" s="35">
        <v>0</v>
      </c>
      <c r="O48" s="81">
        <v>759700</v>
      </c>
      <c r="P48" s="3"/>
      <c r="Q48" s="3"/>
      <c r="R48" s="3"/>
    </row>
    <row r="49" spans="1:18" x14ac:dyDescent="0.2">
      <c r="A49" s="68">
        <v>42</v>
      </c>
      <c r="B49" s="94" t="s">
        <v>46</v>
      </c>
      <c r="C49" s="143">
        <f>HLOOKUP(B49,'Ressourcenausgleich Basis'!$C$8:$BZ$151,144,FALSE)</f>
        <v>0</v>
      </c>
      <c r="D49" s="169">
        <f>HLOOKUP(B49,'SL Weite Basis'!$C$8:$BZ$74,67,FALSE)</f>
        <v>114200</v>
      </c>
      <c r="E49" s="169">
        <f>HLOOKUP(B49,'SL Schule Basis'!$C$8:$BZ$64,57,FALSE)</f>
        <v>0</v>
      </c>
      <c r="F49" s="144">
        <f>HLOOKUP(B49,'SL Sozio Basis'!$C$8:$BZ$56,49,FALSE)</f>
        <v>0</v>
      </c>
      <c r="G49" s="170">
        <v>0</v>
      </c>
      <c r="H49" s="171">
        <f t="shared" si="1"/>
        <v>114200</v>
      </c>
      <c r="I49" s="37"/>
      <c r="J49" s="158">
        <v>0</v>
      </c>
      <c r="K49" s="81">
        <v>114200</v>
      </c>
      <c r="L49" s="35">
        <v>0</v>
      </c>
      <c r="M49" s="81">
        <v>0</v>
      </c>
      <c r="N49" s="35">
        <v>0</v>
      </c>
      <c r="O49" s="81">
        <v>114200</v>
      </c>
      <c r="P49" s="3"/>
      <c r="Q49" s="3"/>
      <c r="R49" s="3"/>
    </row>
    <row r="50" spans="1:18" x14ac:dyDescent="0.2">
      <c r="A50" s="68">
        <v>43</v>
      </c>
      <c r="B50" s="94" t="s">
        <v>47</v>
      </c>
      <c r="C50" s="143">
        <f>HLOOKUP(B50,'Ressourcenausgleich Basis'!$C$8:$BZ$151,144,FALSE)</f>
        <v>0</v>
      </c>
      <c r="D50" s="169">
        <f>HLOOKUP(B50,'SL Weite Basis'!$C$8:$BZ$74,67,FALSE)</f>
        <v>0</v>
      </c>
      <c r="E50" s="169">
        <f>HLOOKUP(B50,'SL Schule Basis'!$C$8:$BZ$64,57,FALSE)</f>
        <v>0</v>
      </c>
      <c r="F50" s="144">
        <f>HLOOKUP(B50,'SL Sozio Basis'!$C$8:$BZ$56,49,FALSE)</f>
        <v>0</v>
      </c>
      <c r="G50" s="170">
        <v>0</v>
      </c>
      <c r="H50" s="171">
        <f t="shared" si="1"/>
        <v>0</v>
      </c>
      <c r="I50" s="37"/>
      <c r="J50" s="158">
        <v>0</v>
      </c>
      <c r="K50" s="81">
        <v>0</v>
      </c>
      <c r="L50" s="35">
        <v>0</v>
      </c>
      <c r="M50" s="81">
        <v>0</v>
      </c>
      <c r="N50" s="35">
        <v>0</v>
      </c>
      <c r="O50" s="81">
        <v>0</v>
      </c>
      <c r="P50" s="3"/>
      <c r="Q50" s="3"/>
      <c r="R50" s="3"/>
    </row>
    <row r="51" spans="1:18" x14ac:dyDescent="0.2">
      <c r="A51" s="68">
        <v>44</v>
      </c>
      <c r="B51" s="94" t="s">
        <v>48</v>
      </c>
      <c r="C51" s="143">
        <f>HLOOKUP(B51,'Ressourcenausgleich Basis'!$C$8:$BZ$151,144,FALSE)</f>
        <v>3573800</v>
      </c>
      <c r="D51" s="169">
        <f>HLOOKUP(B51,'SL Weite Basis'!$C$8:$BZ$74,67,FALSE)</f>
        <v>255800</v>
      </c>
      <c r="E51" s="169">
        <f>HLOOKUP(B51,'SL Schule Basis'!$C$8:$BZ$64,57,FALSE)</f>
        <v>1384600</v>
      </c>
      <c r="F51" s="144">
        <f>HLOOKUP(B51,'SL Sozio Basis'!$C$8:$BZ$56,49,FALSE)</f>
        <v>116600</v>
      </c>
      <c r="G51" s="170">
        <v>0</v>
      </c>
      <c r="H51" s="171">
        <f t="shared" si="1"/>
        <v>5330800</v>
      </c>
      <c r="I51" s="37"/>
      <c r="J51" s="158">
        <v>3573800</v>
      </c>
      <c r="K51" s="81">
        <v>255800</v>
      </c>
      <c r="L51" s="35">
        <v>1384500</v>
      </c>
      <c r="M51" s="81">
        <v>115900</v>
      </c>
      <c r="N51" s="35">
        <v>0</v>
      </c>
      <c r="O51" s="81">
        <v>5330000</v>
      </c>
      <c r="P51" s="3"/>
      <c r="Q51" s="3"/>
      <c r="R51" s="3"/>
    </row>
    <row r="52" spans="1:18" x14ac:dyDescent="0.2">
      <c r="A52" s="68">
        <v>45</v>
      </c>
      <c r="B52" s="94" t="s">
        <v>49</v>
      </c>
      <c r="C52" s="143">
        <f>HLOOKUP(B52,'Ressourcenausgleich Basis'!$C$8:$BZ$151,144,FALSE)</f>
        <v>1658600</v>
      </c>
      <c r="D52" s="169">
        <f>HLOOKUP(B52,'SL Weite Basis'!$C$8:$BZ$74,67,FALSE)</f>
        <v>187800</v>
      </c>
      <c r="E52" s="169">
        <f>HLOOKUP(B52,'SL Schule Basis'!$C$8:$BZ$64,57,FALSE)</f>
        <v>578100</v>
      </c>
      <c r="F52" s="144">
        <f>HLOOKUP(B52,'SL Sozio Basis'!$C$8:$BZ$56,49,FALSE)</f>
        <v>0</v>
      </c>
      <c r="G52" s="170">
        <v>0</v>
      </c>
      <c r="H52" s="171">
        <f t="shared" si="1"/>
        <v>2424500</v>
      </c>
      <c r="I52" s="37"/>
      <c r="J52" s="158">
        <v>1658600</v>
      </c>
      <c r="K52" s="81">
        <v>187800</v>
      </c>
      <c r="L52" s="35">
        <v>578100</v>
      </c>
      <c r="M52" s="81">
        <v>0</v>
      </c>
      <c r="N52" s="35">
        <v>0</v>
      </c>
      <c r="O52" s="81">
        <v>2424500</v>
      </c>
      <c r="P52" s="3"/>
      <c r="Q52" s="3"/>
      <c r="R52" s="3"/>
    </row>
    <row r="53" spans="1:18" x14ac:dyDescent="0.2">
      <c r="A53" s="68">
        <v>46</v>
      </c>
      <c r="B53" s="94" t="s">
        <v>50</v>
      </c>
      <c r="C53" s="143">
        <f>HLOOKUP(B53,'Ressourcenausgleich Basis'!$C$8:$BZ$151,144,FALSE)</f>
        <v>3066100</v>
      </c>
      <c r="D53" s="169">
        <f>HLOOKUP(B53,'SL Weite Basis'!$C$8:$BZ$74,67,FALSE)</f>
        <v>0</v>
      </c>
      <c r="E53" s="169">
        <f>HLOOKUP(B53,'SL Schule Basis'!$C$8:$BZ$64,57,FALSE)</f>
        <v>311600</v>
      </c>
      <c r="F53" s="144">
        <f>HLOOKUP(B53,'SL Sozio Basis'!$C$8:$BZ$56,49,FALSE)</f>
        <v>64100</v>
      </c>
      <c r="G53" s="170">
        <v>0</v>
      </c>
      <c r="H53" s="171">
        <f t="shared" si="1"/>
        <v>3441800</v>
      </c>
      <c r="I53" s="37"/>
      <c r="J53" s="158">
        <v>3066100</v>
      </c>
      <c r="K53" s="81">
        <v>0</v>
      </c>
      <c r="L53" s="35">
        <v>311600</v>
      </c>
      <c r="M53" s="81">
        <v>61500</v>
      </c>
      <c r="N53" s="35">
        <v>0</v>
      </c>
      <c r="O53" s="81">
        <v>3439200</v>
      </c>
      <c r="P53" s="3"/>
      <c r="Q53" s="3"/>
      <c r="R53" s="3"/>
    </row>
    <row r="54" spans="1:18" x14ac:dyDescent="0.2">
      <c r="A54" s="68">
        <v>48</v>
      </c>
      <c r="B54" s="94" t="s">
        <v>51</v>
      </c>
      <c r="C54" s="143">
        <f>HLOOKUP(B54,'Ressourcenausgleich Basis'!$C$8:$BZ$151,144,FALSE)</f>
        <v>0</v>
      </c>
      <c r="D54" s="169">
        <f>HLOOKUP(B54,'SL Weite Basis'!$C$8:$BZ$74,67,FALSE)</f>
        <v>92800</v>
      </c>
      <c r="E54" s="169">
        <f>HLOOKUP(B54,'SL Schule Basis'!$C$8:$BZ$64,57,FALSE)</f>
        <v>0</v>
      </c>
      <c r="F54" s="144">
        <f>HLOOKUP(B54,'SL Sozio Basis'!$C$8:$BZ$56,49,FALSE)</f>
        <v>0</v>
      </c>
      <c r="G54" s="170">
        <v>0</v>
      </c>
      <c r="H54" s="171">
        <f t="shared" si="1"/>
        <v>92800</v>
      </c>
      <c r="I54" s="37"/>
      <c r="J54" s="158">
        <v>0</v>
      </c>
      <c r="K54" s="81">
        <v>92800</v>
      </c>
      <c r="L54" s="35">
        <v>0</v>
      </c>
      <c r="M54" s="81">
        <v>0</v>
      </c>
      <c r="N54" s="35">
        <v>0</v>
      </c>
      <c r="O54" s="81">
        <v>92800</v>
      </c>
      <c r="P54" s="3"/>
      <c r="Q54" s="3"/>
      <c r="R54" s="3"/>
    </row>
    <row r="55" spans="1:18" x14ac:dyDescent="0.2">
      <c r="A55" s="68">
        <v>50</v>
      </c>
      <c r="B55" s="94" t="s">
        <v>52</v>
      </c>
      <c r="C55" s="143">
        <f>HLOOKUP(B55,'Ressourcenausgleich Basis'!$C$8:$BZ$151,144,FALSE)</f>
        <v>1775200</v>
      </c>
      <c r="D55" s="169">
        <f>HLOOKUP(B55,'SL Weite Basis'!$C$8:$BZ$74,67,FALSE)</f>
        <v>0</v>
      </c>
      <c r="E55" s="169">
        <f>HLOOKUP(B55,'SL Schule Basis'!$C$8:$BZ$64,57,FALSE)</f>
        <v>917700</v>
      </c>
      <c r="F55" s="144">
        <f>HLOOKUP(B55,'SL Sozio Basis'!$C$8:$BZ$56,49,FALSE)</f>
        <v>0</v>
      </c>
      <c r="G55" s="170">
        <v>0</v>
      </c>
      <c r="H55" s="171">
        <f t="shared" si="1"/>
        <v>2692900</v>
      </c>
      <c r="I55" s="37"/>
      <c r="J55" s="158">
        <v>1775200</v>
      </c>
      <c r="K55" s="81">
        <v>0</v>
      </c>
      <c r="L55" s="35">
        <v>917600</v>
      </c>
      <c r="M55" s="81">
        <v>0</v>
      </c>
      <c r="N55" s="35">
        <v>0</v>
      </c>
      <c r="O55" s="81">
        <v>2692800</v>
      </c>
      <c r="P55" s="3"/>
      <c r="Q55" s="3"/>
      <c r="R55" s="3"/>
    </row>
    <row r="56" spans="1:18" x14ac:dyDescent="0.2">
      <c r="A56" s="68">
        <v>51</v>
      </c>
      <c r="B56" s="94" t="s">
        <v>53</v>
      </c>
      <c r="C56" s="143">
        <f>HLOOKUP(B56,'Ressourcenausgleich Basis'!$C$8:$BZ$151,144,FALSE)</f>
        <v>0</v>
      </c>
      <c r="D56" s="169">
        <f>HLOOKUP(B56,'SL Weite Basis'!$C$8:$BZ$74,67,FALSE)</f>
        <v>0</v>
      </c>
      <c r="E56" s="169">
        <f>HLOOKUP(B56,'SL Schule Basis'!$C$8:$BZ$64,57,FALSE)</f>
        <v>0</v>
      </c>
      <c r="F56" s="144">
        <f>HLOOKUP(B56,'SL Sozio Basis'!$C$8:$BZ$56,49,FALSE)</f>
        <v>23000</v>
      </c>
      <c r="G56" s="170">
        <v>0</v>
      </c>
      <c r="H56" s="171">
        <f t="shared" si="1"/>
        <v>23000</v>
      </c>
      <c r="I56" s="37"/>
      <c r="J56" s="158">
        <v>0</v>
      </c>
      <c r="K56" s="81">
        <v>0</v>
      </c>
      <c r="L56" s="35">
        <v>0</v>
      </c>
      <c r="M56" s="81">
        <v>21100</v>
      </c>
      <c r="N56" s="35">
        <v>0</v>
      </c>
      <c r="O56" s="81">
        <v>21100</v>
      </c>
      <c r="P56" s="3"/>
      <c r="Q56" s="3"/>
      <c r="R56" s="3"/>
    </row>
    <row r="57" spans="1:18" x14ac:dyDescent="0.2">
      <c r="A57" s="68">
        <v>52</v>
      </c>
      <c r="B57" s="94" t="s">
        <v>54</v>
      </c>
      <c r="C57" s="143">
        <f>HLOOKUP(B57,'Ressourcenausgleich Basis'!$C$8:$BZ$151,144,FALSE)</f>
        <v>0</v>
      </c>
      <c r="D57" s="169">
        <f>HLOOKUP(B57,'SL Weite Basis'!$C$8:$BZ$74,67,FALSE)</f>
        <v>0</v>
      </c>
      <c r="E57" s="169">
        <f>HLOOKUP(B57,'SL Schule Basis'!$C$8:$BZ$64,57,FALSE)</f>
        <v>0</v>
      </c>
      <c r="F57" s="144">
        <f>HLOOKUP(B57,'SL Sozio Basis'!$C$8:$BZ$56,49,FALSE)</f>
        <v>731700</v>
      </c>
      <c r="G57" s="170">
        <v>0</v>
      </c>
      <c r="H57" s="171">
        <f t="shared" si="1"/>
        <v>731700</v>
      </c>
      <c r="I57" s="37"/>
      <c r="J57" s="158">
        <v>0</v>
      </c>
      <c r="K57" s="81">
        <v>0</v>
      </c>
      <c r="L57" s="35">
        <v>0</v>
      </c>
      <c r="M57" s="81">
        <v>717000</v>
      </c>
      <c r="N57" s="35">
        <v>0</v>
      </c>
      <c r="O57" s="81">
        <v>717000</v>
      </c>
      <c r="P57" s="3"/>
      <c r="Q57" s="3"/>
      <c r="R57" s="3"/>
    </row>
    <row r="58" spans="1:18" x14ac:dyDescent="0.2">
      <c r="A58" s="68">
        <v>54</v>
      </c>
      <c r="B58" s="94" t="s">
        <v>55</v>
      </c>
      <c r="C58" s="143">
        <f>HLOOKUP(B58,'Ressourcenausgleich Basis'!$C$8:$BZ$151,144,FALSE)</f>
        <v>2037900</v>
      </c>
      <c r="D58" s="169">
        <f>HLOOKUP(B58,'SL Weite Basis'!$C$8:$BZ$74,67,FALSE)</f>
        <v>1486300</v>
      </c>
      <c r="E58" s="169">
        <f>HLOOKUP(B58,'SL Schule Basis'!$C$8:$BZ$64,57,FALSE)</f>
        <v>532200</v>
      </c>
      <c r="F58" s="144">
        <f>HLOOKUP(B58,'SL Sozio Basis'!$C$8:$BZ$56,49,FALSE)</f>
        <v>0</v>
      </c>
      <c r="G58" s="170">
        <v>0</v>
      </c>
      <c r="H58" s="171">
        <f t="shared" si="1"/>
        <v>4056400</v>
      </c>
      <c r="I58" s="37"/>
      <c r="J58" s="158">
        <v>2037900</v>
      </c>
      <c r="K58" s="81">
        <v>1486300</v>
      </c>
      <c r="L58" s="35">
        <v>532100</v>
      </c>
      <c r="M58" s="81">
        <v>0</v>
      </c>
      <c r="N58" s="35">
        <v>0</v>
      </c>
      <c r="O58" s="81">
        <v>4056300</v>
      </c>
      <c r="P58" s="3"/>
      <c r="Q58" s="3"/>
      <c r="R58" s="3"/>
    </row>
    <row r="59" spans="1:18" x14ac:dyDescent="0.2">
      <c r="A59" s="68">
        <v>57</v>
      </c>
      <c r="B59" s="94" t="s">
        <v>56</v>
      </c>
      <c r="C59" s="143">
        <f>HLOOKUP(B59,'Ressourcenausgleich Basis'!$C$8:$BZ$151,144,FALSE)</f>
        <v>167300</v>
      </c>
      <c r="D59" s="169">
        <f>HLOOKUP(B59,'SL Weite Basis'!$C$8:$BZ$74,67,FALSE)</f>
        <v>2266900</v>
      </c>
      <c r="E59" s="169">
        <f>HLOOKUP(B59,'SL Schule Basis'!$C$8:$BZ$64,57,FALSE)</f>
        <v>219300</v>
      </c>
      <c r="F59" s="144">
        <f>HLOOKUP(B59,'SL Sozio Basis'!$C$8:$BZ$56,49,FALSE)</f>
        <v>0</v>
      </c>
      <c r="G59" s="170">
        <v>0</v>
      </c>
      <c r="H59" s="171">
        <f t="shared" si="1"/>
        <v>2653500</v>
      </c>
      <c r="I59" s="37"/>
      <c r="J59" s="158">
        <v>167300</v>
      </c>
      <c r="K59" s="81">
        <v>2266900</v>
      </c>
      <c r="L59" s="35">
        <v>219300</v>
      </c>
      <c r="M59" s="81">
        <v>0</v>
      </c>
      <c r="N59" s="35">
        <v>0</v>
      </c>
      <c r="O59" s="81">
        <v>2653500</v>
      </c>
      <c r="P59" s="3"/>
      <c r="Q59" s="3"/>
      <c r="R59" s="3"/>
    </row>
    <row r="60" spans="1:18" x14ac:dyDescent="0.2">
      <c r="A60" s="68">
        <v>60</v>
      </c>
      <c r="B60" s="94" t="s">
        <v>57</v>
      </c>
      <c r="C60" s="143">
        <f>HLOOKUP(B60,'Ressourcenausgleich Basis'!$C$8:$BZ$151,144,FALSE)</f>
        <v>3124200</v>
      </c>
      <c r="D60" s="169">
        <f>HLOOKUP(B60,'SL Weite Basis'!$C$8:$BZ$74,67,FALSE)</f>
        <v>2328000</v>
      </c>
      <c r="E60" s="169">
        <f>HLOOKUP(B60,'SL Schule Basis'!$C$8:$BZ$64,57,FALSE)</f>
        <v>0</v>
      </c>
      <c r="F60" s="144">
        <f>HLOOKUP(B60,'SL Sozio Basis'!$C$8:$BZ$56,49,FALSE)</f>
        <v>94400</v>
      </c>
      <c r="G60" s="170">
        <v>0</v>
      </c>
      <c r="H60" s="171">
        <f t="shared" si="1"/>
        <v>5546600</v>
      </c>
      <c r="I60" s="37"/>
      <c r="J60" s="158">
        <v>3124200</v>
      </c>
      <c r="K60" s="81">
        <v>2328000</v>
      </c>
      <c r="L60" s="35">
        <v>0</v>
      </c>
      <c r="M60" s="81">
        <v>93900</v>
      </c>
      <c r="N60" s="35">
        <v>0</v>
      </c>
      <c r="O60" s="81">
        <v>5546100</v>
      </c>
      <c r="P60" s="3"/>
      <c r="Q60" s="3"/>
      <c r="R60" s="3"/>
    </row>
    <row r="61" spans="1:18" x14ac:dyDescent="0.2">
      <c r="A61" s="68">
        <v>62</v>
      </c>
      <c r="B61" s="94" t="s">
        <v>58</v>
      </c>
      <c r="C61" s="143">
        <f>HLOOKUP(B61,'Ressourcenausgleich Basis'!$C$8:$BZ$151,144,FALSE)</f>
        <v>3895500</v>
      </c>
      <c r="D61" s="169">
        <f>HLOOKUP(B61,'SL Weite Basis'!$C$8:$BZ$74,67,FALSE)</f>
        <v>1405600</v>
      </c>
      <c r="E61" s="169">
        <f>HLOOKUP(B61,'SL Schule Basis'!$C$8:$BZ$64,57,FALSE)</f>
        <v>4100</v>
      </c>
      <c r="F61" s="144">
        <f>HLOOKUP(B61,'SL Sozio Basis'!$C$8:$BZ$56,49,FALSE)</f>
        <v>288100</v>
      </c>
      <c r="G61" s="170">
        <v>0</v>
      </c>
      <c r="H61" s="171">
        <f t="shared" si="1"/>
        <v>5593300</v>
      </c>
      <c r="I61" s="37"/>
      <c r="J61" s="158">
        <v>3895500</v>
      </c>
      <c r="K61" s="81">
        <v>1405600</v>
      </c>
      <c r="L61" s="35">
        <v>4100</v>
      </c>
      <c r="M61" s="81">
        <v>299400</v>
      </c>
      <c r="N61" s="35">
        <v>0</v>
      </c>
      <c r="O61" s="81">
        <v>5604600</v>
      </c>
      <c r="P61" s="3"/>
      <c r="Q61" s="3"/>
      <c r="R61" s="3"/>
    </row>
    <row r="62" spans="1:18" x14ac:dyDescent="0.2">
      <c r="A62" s="68">
        <v>63</v>
      </c>
      <c r="B62" s="94" t="s">
        <v>59</v>
      </c>
      <c r="C62" s="143">
        <f>HLOOKUP(B62,'Ressourcenausgleich Basis'!$C$8:$BZ$151,144,FALSE)</f>
        <v>6529400</v>
      </c>
      <c r="D62" s="169">
        <f>HLOOKUP(B62,'SL Weite Basis'!$C$8:$BZ$74,67,FALSE)</f>
        <v>1139000</v>
      </c>
      <c r="E62" s="169">
        <f>HLOOKUP(B62,'SL Schule Basis'!$C$8:$BZ$64,57,FALSE)</f>
        <v>240000</v>
      </c>
      <c r="F62" s="144">
        <f>HLOOKUP(B62,'SL Sozio Basis'!$C$8:$BZ$56,49,FALSE)</f>
        <v>421400</v>
      </c>
      <c r="G62" s="170">
        <v>0</v>
      </c>
      <c r="H62" s="171">
        <f t="shared" si="1"/>
        <v>8329800</v>
      </c>
      <c r="I62" s="37"/>
      <c r="J62" s="158">
        <v>6529400</v>
      </c>
      <c r="K62" s="81">
        <v>1139000</v>
      </c>
      <c r="L62" s="35">
        <v>240000</v>
      </c>
      <c r="M62" s="81">
        <v>419400</v>
      </c>
      <c r="N62" s="35">
        <v>0</v>
      </c>
      <c r="O62" s="81">
        <v>8327800</v>
      </c>
      <c r="P62" s="3"/>
      <c r="Q62" s="3"/>
      <c r="R62" s="3"/>
    </row>
    <row r="63" spans="1:18" x14ac:dyDescent="0.2">
      <c r="A63" s="68">
        <v>64</v>
      </c>
      <c r="B63" s="94" t="s">
        <v>60</v>
      </c>
      <c r="C63" s="143">
        <f>HLOOKUP(B63,'Ressourcenausgleich Basis'!$C$8:$BZ$151,144,FALSE)</f>
        <v>729800</v>
      </c>
      <c r="D63" s="169">
        <f>HLOOKUP(B63,'SL Weite Basis'!$C$8:$BZ$74,67,FALSE)</f>
        <v>0</v>
      </c>
      <c r="E63" s="169">
        <f>HLOOKUP(B63,'SL Schule Basis'!$C$8:$BZ$64,57,FALSE)</f>
        <v>0</v>
      </c>
      <c r="F63" s="144">
        <f>HLOOKUP(B63,'SL Sozio Basis'!$C$8:$BZ$56,49,FALSE)</f>
        <v>12300</v>
      </c>
      <c r="G63" s="170">
        <v>0</v>
      </c>
      <c r="H63" s="171">
        <f t="shared" si="1"/>
        <v>742100</v>
      </c>
      <c r="I63" s="37"/>
      <c r="J63" s="158">
        <v>729800</v>
      </c>
      <c r="K63" s="81">
        <v>0</v>
      </c>
      <c r="L63" s="35">
        <v>0</v>
      </c>
      <c r="M63" s="81">
        <v>12000</v>
      </c>
      <c r="N63" s="35">
        <v>0</v>
      </c>
      <c r="O63" s="81">
        <v>741800</v>
      </c>
      <c r="P63" s="3"/>
      <c r="Q63" s="3"/>
      <c r="R63" s="3"/>
    </row>
    <row r="64" spans="1:18" x14ac:dyDescent="0.2">
      <c r="A64" s="68">
        <v>66</v>
      </c>
      <c r="B64" s="94" t="s">
        <v>356</v>
      </c>
      <c r="C64" s="143">
        <f>HLOOKUP(B64,'Ressourcenausgleich Basis'!$C$8:$BZ$151,144,FALSE)</f>
        <v>7658000</v>
      </c>
      <c r="D64" s="169">
        <f>HLOOKUP(B64,'SL Weite Basis'!$C$8:$BZ$74,67,FALSE)</f>
        <v>5006800</v>
      </c>
      <c r="E64" s="169">
        <f>HLOOKUP(B64,'SL Schule Basis'!$C$8:$BZ$64,57,FALSE)</f>
        <v>1432900</v>
      </c>
      <c r="F64" s="144">
        <f>HLOOKUP(B64,'SL Sozio Basis'!$C$8:$BZ$56,49,FALSE)</f>
        <v>13100</v>
      </c>
      <c r="G64" s="170">
        <v>0</v>
      </c>
      <c r="H64" s="171">
        <f t="shared" ref="H64" si="2">SUM(C64:G64)</f>
        <v>14110800</v>
      </c>
      <c r="I64" s="37"/>
      <c r="J64" s="158">
        <v>7658000</v>
      </c>
      <c r="K64" s="81">
        <v>5006800</v>
      </c>
      <c r="L64" s="35">
        <v>1432800</v>
      </c>
      <c r="M64" s="81">
        <v>10200</v>
      </c>
      <c r="N64" s="35">
        <v>0</v>
      </c>
      <c r="O64" s="81">
        <v>14107800</v>
      </c>
      <c r="P64" s="3"/>
      <c r="Q64" s="3"/>
      <c r="R64" s="3"/>
    </row>
    <row r="65" spans="1:18" x14ac:dyDescent="0.2">
      <c r="A65" s="68">
        <v>70</v>
      </c>
      <c r="B65" s="94" t="s">
        <v>61</v>
      </c>
      <c r="C65" s="143">
        <f>HLOOKUP(B65,'Ressourcenausgleich Basis'!$C$8:$BZ$151,144,FALSE)</f>
        <v>3564700</v>
      </c>
      <c r="D65" s="169">
        <f>HLOOKUP(B65,'SL Weite Basis'!$C$8:$BZ$74,67,FALSE)</f>
        <v>584000</v>
      </c>
      <c r="E65" s="169">
        <f>HLOOKUP(B65,'SL Schule Basis'!$C$8:$BZ$64,57,FALSE)</f>
        <v>1207400</v>
      </c>
      <c r="F65" s="144">
        <f>HLOOKUP(B65,'SL Sozio Basis'!$C$8:$BZ$56,49,FALSE)</f>
        <v>28200</v>
      </c>
      <c r="G65" s="170">
        <v>0</v>
      </c>
      <c r="H65" s="171">
        <f t="shared" si="1"/>
        <v>5384300</v>
      </c>
      <c r="I65" s="37"/>
      <c r="J65" s="158">
        <v>3564700</v>
      </c>
      <c r="K65" s="81">
        <v>584000</v>
      </c>
      <c r="L65" s="35">
        <v>1207300</v>
      </c>
      <c r="M65" s="81">
        <v>27500</v>
      </c>
      <c r="N65" s="35">
        <v>0</v>
      </c>
      <c r="O65" s="81">
        <v>5383500</v>
      </c>
      <c r="P65" s="3"/>
      <c r="Q65" s="3"/>
      <c r="R65" s="3"/>
    </row>
    <row r="66" spans="1:18" x14ac:dyDescent="0.2">
      <c r="A66" s="68">
        <v>71</v>
      </c>
      <c r="B66" s="94" t="s">
        <v>62</v>
      </c>
      <c r="C66" s="143">
        <f>HLOOKUP(B66,'Ressourcenausgleich Basis'!$C$8:$BZ$151,144,FALSE)</f>
        <v>1478800</v>
      </c>
      <c r="D66" s="169">
        <f>HLOOKUP(B66,'SL Weite Basis'!$C$8:$BZ$74,67,FALSE)</f>
        <v>620500</v>
      </c>
      <c r="E66" s="169">
        <f>HLOOKUP(B66,'SL Schule Basis'!$C$8:$BZ$64,57,FALSE)</f>
        <v>595100</v>
      </c>
      <c r="F66" s="144">
        <f>HLOOKUP(B66,'SL Sozio Basis'!$C$8:$BZ$56,49,FALSE)</f>
        <v>24300</v>
      </c>
      <c r="G66" s="170">
        <v>0</v>
      </c>
      <c r="H66" s="171">
        <f t="shared" si="1"/>
        <v>2718700</v>
      </c>
      <c r="I66" s="37"/>
      <c r="J66" s="158">
        <v>1478800</v>
      </c>
      <c r="K66" s="81">
        <v>620500</v>
      </c>
      <c r="L66" s="35">
        <v>595000</v>
      </c>
      <c r="M66" s="81">
        <v>24000</v>
      </c>
      <c r="N66" s="35">
        <v>0</v>
      </c>
      <c r="O66" s="81">
        <v>2718300</v>
      </c>
      <c r="P66" s="3"/>
      <c r="Q66" s="3"/>
      <c r="R66" s="3"/>
    </row>
    <row r="67" spans="1:18" x14ac:dyDescent="0.2">
      <c r="A67" s="68">
        <v>72</v>
      </c>
      <c r="B67" s="94" t="s">
        <v>63</v>
      </c>
      <c r="C67" s="143">
        <f>HLOOKUP(B67,'Ressourcenausgleich Basis'!$C$8:$BZ$151,144,FALSE)</f>
        <v>3233300</v>
      </c>
      <c r="D67" s="169">
        <f>HLOOKUP(B67,'SL Weite Basis'!$C$8:$BZ$74,67,FALSE)</f>
        <v>1908900</v>
      </c>
      <c r="E67" s="169">
        <f>HLOOKUP(B67,'SL Schule Basis'!$C$8:$BZ$64,57,FALSE)</f>
        <v>988600</v>
      </c>
      <c r="F67" s="144">
        <f>HLOOKUP(B67,'SL Sozio Basis'!$C$8:$BZ$56,49,FALSE)</f>
        <v>0</v>
      </c>
      <c r="G67" s="170">
        <v>0</v>
      </c>
      <c r="H67" s="171">
        <f t="shared" si="1"/>
        <v>6130800</v>
      </c>
      <c r="I67" s="37"/>
      <c r="J67" s="158">
        <v>3233300</v>
      </c>
      <c r="K67" s="81">
        <v>1908900</v>
      </c>
      <c r="L67" s="35">
        <v>988500</v>
      </c>
      <c r="M67" s="81">
        <v>0</v>
      </c>
      <c r="N67" s="35">
        <v>0</v>
      </c>
      <c r="O67" s="81">
        <v>6130700</v>
      </c>
      <c r="P67" s="3"/>
      <c r="Q67" s="3"/>
      <c r="R67" s="3"/>
    </row>
    <row r="68" spans="1:18" x14ac:dyDescent="0.2">
      <c r="A68" s="68">
        <v>73</v>
      </c>
      <c r="B68" s="94" t="s">
        <v>64</v>
      </c>
      <c r="C68" s="143">
        <f>HLOOKUP(B68,'Ressourcenausgleich Basis'!$C$8:$BZ$151,144,FALSE)</f>
        <v>4685600</v>
      </c>
      <c r="D68" s="169">
        <f>HLOOKUP(B68,'SL Weite Basis'!$C$8:$BZ$74,67,FALSE)</f>
        <v>2108800</v>
      </c>
      <c r="E68" s="169">
        <f>HLOOKUP(B68,'SL Schule Basis'!$C$8:$BZ$64,57,FALSE)</f>
        <v>2669200</v>
      </c>
      <c r="F68" s="144">
        <f>HLOOKUP(B68,'SL Sozio Basis'!$C$8:$BZ$56,49,FALSE)</f>
        <v>788600</v>
      </c>
      <c r="G68" s="170">
        <v>0</v>
      </c>
      <c r="H68" s="171">
        <f t="shared" si="1"/>
        <v>10252200</v>
      </c>
      <c r="I68" s="37"/>
      <c r="J68" s="158">
        <v>4685600</v>
      </c>
      <c r="K68" s="81">
        <v>2108800</v>
      </c>
      <c r="L68" s="35">
        <v>2669000</v>
      </c>
      <c r="M68" s="81">
        <v>784200</v>
      </c>
      <c r="N68" s="35">
        <v>0</v>
      </c>
      <c r="O68" s="81">
        <v>10247600</v>
      </c>
      <c r="P68" s="3"/>
      <c r="Q68" s="3"/>
      <c r="R68" s="3"/>
    </row>
    <row r="69" spans="1:18" x14ac:dyDescent="0.2">
      <c r="A69" s="68">
        <v>76</v>
      </c>
      <c r="B69" s="94" t="s">
        <v>65</v>
      </c>
      <c r="C69" s="143">
        <f>HLOOKUP(B69,'Ressourcenausgleich Basis'!$C$8:$BZ$151,144,FALSE)</f>
        <v>996700</v>
      </c>
      <c r="D69" s="169">
        <f>HLOOKUP(B69,'SL Weite Basis'!$C$8:$BZ$74,67,FALSE)</f>
        <v>0</v>
      </c>
      <c r="E69" s="169">
        <f>HLOOKUP(B69,'SL Schule Basis'!$C$8:$BZ$64,57,FALSE)</f>
        <v>952600</v>
      </c>
      <c r="F69" s="144">
        <f>HLOOKUP(B69,'SL Sozio Basis'!$C$8:$BZ$56,49,FALSE)</f>
        <v>0</v>
      </c>
      <c r="G69" s="170">
        <v>0</v>
      </c>
      <c r="H69" s="171">
        <f t="shared" si="1"/>
        <v>1949300</v>
      </c>
      <c r="I69" s="37"/>
      <c r="J69" s="158">
        <v>996700</v>
      </c>
      <c r="K69" s="81">
        <v>0</v>
      </c>
      <c r="L69" s="35">
        <v>952500</v>
      </c>
      <c r="M69" s="81">
        <v>0</v>
      </c>
      <c r="N69" s="35">
        <v>0</v>
      </c>
      <c r="O69" s="81">
        <v>1949200</v>
      </c>
      <c r="P69" s="3"/>
      <c r="Q69" s="3"/>
      <c r="R69" s="3"/>
    </row>
    <row r="70" spans="1:18" x14ac:dyDescent="0.2">
      <c r="A70" s="68">
        <v>77</v>
      </c>
      <c r="B70" s="94" t="s">
        <v>66</v>
      </c>
      <c r="C70" s="143">
        <f>HLOOKUP(B70,'Ressourcenausgleich Basis'!$C$8:$BZ$151,144,FALSE)</f>
        <v>2884700</v>
      </c>
      <c r="D70" s="169">
        <f>HLOOKUP(B70,'SL Weite Basis'!$C$8:$BZ$74,67,FALSE)</f>
        <v>0</v>
      </c>
      <c r="E70" s="169">
        <f>HLOOKUP(B70,'SL Schule Basis'!$C$8:$BZ$64,57,FALSE)</f>
        <v>1332200</v>
      </c>
      <c r="F70" s="144">
        <f>HLOOKUP(B70,'SL Sozio Basis'!$C$8:$BZ$56,49,FALSE)</f>
        <v>0</v>
      </c>
      <c r="G70" s="170">
        <v>0</v>
      </c>
      <c r="H70" s="171">
        <f t="shared" ref="H70:H82" si="3">SUM(C70:G70)</f>
        <v>4216900</v>
      </c>
      <c r="I70" s="37"/>
      <c r="J70" s="158">
        <v>2884700</v>
      </c>
      <c r="K70" s="81">
        <v>0</v>
      </c>
      <c r="L70" s="35">
        <v>1332000</v>
      </c>
      <c r="M70" s="81">
        <v>0</v>
      </c>
      <c r="N70" s="35">
        <v>0</v>
      </c>
      <c r="O70" s="81">
        <v>4216700</v>
      </c>
      <c r="P70" s="3"/>
      <c r="Q70" s="3"/>
      <c r="R70" s="3"/>
    </row>
    <row r="71" spans="1:18" x14ac:dyDescent="0.2">
      <c r="A71" s="68">
        <v>78</v>
      </c>
      <c r="B71" s="94" t="s">
        <v>67</v>
      </c>
      <c r="C71" s="143">
        <f>HLOOKUP(B71,'Ressourcenausgleich Basis'!$C$8:$BZ$151,144,FALSE)</f>
        <v>7339100</v>
      </c>
      <c r="D71" s="169">
        <f>HLOOKUP(B71,'SL Weite Basis'!$C$8:$BZ$74,67,FALSE)</f>
        <v>0</v>
      </c>
      <c r="E71" s="169">
        <f>HLOOKUP(B71,'SL Schule Basis'!$C$8:$BZ$64,57,FALSE)</f>
        <v>1763300</v>
      </c>
      <c r="F71" s="144">
        <f>HLOOKUP(B71,'SL Sozio Basis'!$C$8:$BZ$56,49,FALSE)</f>
        <v>0</v>
      </c>
      <c r="G71" s="170">
        <v>0</v>
      </c>
      <c r="H71" s="171">
        <f t="shared" si="3"/>
        <v>9102400</v>
      </c>
      <c r="I71" s="37"/>
      <c r="J71" s="158">
        <v>7339100</v>
      </c>
      <c r="K71" s="81">
        <v>0</v>
      </c>
      <c r="L71" s="35">
        <v>1763200</v>
      </c>
      <c r="M71" s="81">
        <v>0</v>
      </c>
      <c r="N71" s="35">
        <v>0</v>
      </c>
      <c r="O71" s="81">
        <v>9102300</v>
      </c>
      <c r="P71" s="3"/>
      <c r="Q71" s="3"/>
      <c r="R71" s="3"/>
    </row>
    <row r="72" spans="1:18" x14ac:dyDescent="0.2">
      <c r="A72" s="68">
        <v>79</v>
      </c>
      <c r="B72" s="94" t="s">
        <v>68</v>
      </c>
      <c r="C72" s="143">
        <f>HLOOKUP(B72,'Ressourcenausgleich Basis'!$C$8:$BZ$151,144,FALSE)</f>
        <v>7067700</v>
      </c>
      <c r="D72" s="169">
        <f>HLOOKUP(B72,'SL Weite Basis'!$C$8:$BZ$74,67,FALSE)</f>
        <v>0</v>
      </c>
      <c r="E72" s="169">
        <f>HLOOKUP(B72,'SL Schule Basis'!$C$8:$BZ$64,57,FALSE)</f>
        <v>1162400</v>
      </c>
      <c r="F72" s="144">
        <f>HLOOKUP(B72,'SL Sozio Basis'!$C$8:$BZ$56,49,FALSE)</f>
        <v>597300</v>
      </c>
      <c r="G72" s="170">
        <v>0</v>
      </c>
      <c r="H72" s="171">
        <f t="shared" si="3"/>
        <v>8827400</v>
      </c>
      <c r="I72" s="37"/>
      <c r="J72" s="158">
        <v>7067700</v>
      </c>
      <c r="K72" s="81">
        <v>0</v>
      </c>
      <c r="L72" s="35">
        <v>1162300</v>
      </c>
      <c r="M72" s="81">
        <v>591900</v>
      </c>
      <c r="N72" s="35">
        <v>0</v>
      </c>
      <c r="O72" s="81">
        <v>8821900</v>
      </c>
      <c r="P72" s="3"/>
      <c r="Q72" s="3"/>
      <c r="R72" s="3"/>
    </row>
    <row r="73" spans="1:18" x14ac:dyDescent="0.2">
      <c r="A73" s="68">
        <v>80</v>
      </c>
      <c r="B73" s="94" t="s">
        <v>69</v>
      </c>
      <c r="C73" s="143">
        <f>HLOOKUP(B73,'Ressourcenausgleich Basis'!$C$8:$BZ$151,144,FALSE)</f>
        <v>3203000</v>
      </c>
      <c r="D73" s="169">
        <f>HLOOKUP(B73,'SL Weite Basis'!$C$8:$BZ$74,67,FALSE)</f>
        <v>840100</v>
      </c>
      <c r="E73" s="169">
        <f>HLOOKUP(B73,'SL Schule Basis'!$C$8:$BZ$64,57,FALSE)</f>
        <v>1158300</v>
      </c>
      <c r="F73" s="144">
        <f>HLOOKUP(B73,'SL Sozio Basis'!$C$8:$BZ$56,49,FALSE)</f>
        <v>406400</v>
      </c>
      <c r="G73" s="170">
        <v>0</v>
      </c>
      <c r="H73" s="171">
        <f t="shared" si="3"/>
        <v>5607800</v>
      </c>
      <c r="I73" s="37"/>
      <c r="J73" s="158">
        <v>3203000</v>
      </c>
      <c r="K73" s="81">
        <v>840100</v>
      </c>
      <c r="L73" s="35">
        <v>1158200</v>
      </c>
      <c r="M73" s="81">
        <v>405500</v>
      </c>
      <c r="N73" s="35">
        <v>0</v>
      </c>
      <c r="O73" s="81">
        <v>5606800</v>
      </c>
      <c r="P73" s="3"/>
      <c r="Q73" s="3"/>
      <c r="R73" s="3"/>
    </row>
    <row r="74" spans="1:18" x14ac:dyDescent="0.2">
      <c r="A74" s="68">
        <v>81</v>
      </c>
      <c r="B74" s="94" t="s">
        <v>70</v>
      </c>
      <c r="C74" s="143">
        <f>HLOOKUP(B74,'Ressourcenausgleich Basis'!$C$8:$BZ$151,144,FALSE)</f>
        <v>0</v>
      </c>
      <c r="D74" s="169">
        <f>HLOOKUP(B74,'SL Weite Basis'!$C$8:$BZ$74,67,FALSE)</f>
        <v>0</v>
      </c>
      <c r="E74" s="169">
        <f>HLOOKUP(B74,'SL Schule Basis'!$C$8:$BZ$64,57,FALSE)</f>
        <v>0</v>
      </c>
      <c r="F74" s="144">
        <f>HLOOKUP(B74,'SL Sozio Basis'!$C$8:$BZ$56,49,FALSE)</f>
        <v>3343500</v>
      </c>
      <c r="G74" s="170">
        <v>0</v>
      </c>
      <c r="H74" s="171">
        <f t="shared" si="3"/>
        <v>3343500</v>
      </c>
      <c r="I74" s="37"/>
      <c r="J74" s="158">
        <v>0</v>
      </c>
      <c r="K74" s="81">
        <v>0</v>
      </c>
      <c r="L74" s="35">
        <v>0</v>
      </c>
      <c r="M74" s="81">
        <v>3330700</v>
      </c>
      <c r="N74" s="35">
        <v>0</v>
      </c>
      <c r="O74" s="81">
        <v>3330700</v>
      </c>
      <c r="P74" s="3"/>
      <c r="Q74" s="3"/>
      <c r="R74" s="3"/>
    </row>
    <row r="75" spans="1:18" x14ac:dyDescent="0.2">
      <c r="A75" s="68">
        <v>83</v>
      </c>
      <c r="B75" s="94" t="s">
        <v>71</v>
      </c>
      <c r="C75" s="143">
        <f>HLOOKUP(B75,'Ressourcenausgleich Basis'!$C$8:$BZ$151,144,FALSE)</f>
        <v>0</v>
      </c>
      <c r="D75" s="169">
        <f>HLOOKUP(B75,'SL Weite Basis'!$C$8:$BZ$74,67,FALSE)</f>
        <v>0</v>
      </c>
      <c r="E75" s="169">
        <f>HLOOKUP(B75,'SL Schule Basis'!$C$8:$BZ$64,57,FALSE)</f>
        <v>0</v>
      </c>
      <c r="F75" s="144">
        <f>HLOOKUP(B75,'SL Sozio Basis'!$C$8:$BZ$56,49,FALSE)</f>
        <v>0</v>
      </c>
      <c r="G75" s="170">
        <v>0</v>
      </c>
      <c r="H75" s="171">
        <f t="shared" si="3"/>
        <v>0</v>
      </c>
      <c r="I75" s="37"/>
      <c r="J75" s="158">
        <v>0</v>
      </c>
      <c r="K75" s="81">
        <v>0</v>
      </c>
      <c r="L75" s="35">
        <v>0</v>
      </c>
      <c r="M75" s="81">
        <v>0</v>
      </c>
      <c r="N75" s="35">
        <v>0</v>
      </c>
      <c r="O75" s="81">
        <v>0</v>
      </c>
      <c r="P75" s="3"/>
      <c r="Q75" s="3"/>
      <c r="R75" s="3"/>
    </row>
    <row r="76" spans="1:18" x14ac:dyDescent="0.2">
      <c r="A76" s="68">
        <v>84</v>
      </c>
      <c r="B76" s="94" t="s">
        <v>72</v>
      </c>
      <c r="C76" s="143">
        <f>HLOOKUP(B76,'Ressourcenausgleich Basis'!$C$8:$BZ$151,144,FALSE)</f>
        <v>0</v>
      </c>
      <c r="D76" s="169">
        <f>HLOOKUP(B76,'SL Weite Basis'!$C$8:$BZ$74,67,FALSE)</f>
        <v>502800</v>
      </c>
      <c r="E76" s="169">
        <f>HLOOKUP(B76,'SL Schule Basis'!$C$8:$BZ$64,57,FALSE)</f>
        <v>201300</v>
      </c>
      <c r="F76" s="144">
        <f>HLOOKUP(B76,'SL Sozio Basis'!$C$8:$BZ$56,49,FALSE)</f>
        <v>0</v>
      </c>
      <c r="G76" s="170">
        <v>0</v>
      </c>
      <c r="H76" s="171">
        <f t="shared" si="3"/>
        <v>704100</v>
      </c>
      <c r="I76" s="37"/>
      <c r="J76" s="158">
        <v>0</v>
      </c>
      <c r="K76" s="81">
        <v>502800</v>
      </c>
      <c r="L76" s="35">
        <v>201300</v>
      </c>
      <c r="M76" s="81">
        <v>0</v>
      </c>
      <c r="N76" s="35">
        <v>0</v>
      </c>
      <c r="O76" s="81">
        <v>704100</v>
      </c>
      <c r="P76" s="3"/>
      <c r="Q76" s="3"/>
      <c r="R76" s="3"/>
    </row>
    <row r="77" spans="1:18" x14ac:dyDescent="0.2">
      <c r="A77" s="68">
        <v>85</v>
      </c>
      <c r="B77" s="94" t="s">
        <v>73</v>
      </c>
      <c r="C77" s="143">
        <f>HLOOKUP(B77,'Ressourcenausgleich Basis'!$C$8:$BZ$151,144,FALSE)</f>
        <v>625600</v>
      </c>
      <c r="D77" s="169">
        <f>HLOOKUP(B77,'SL Weite Basis'!$C$8:$BZ$74,67,FALSE)</f>
        <v>549500</v>
      </c>
      <c r="E77" s="169">
        <f>HLOOKUP(B77,'SL Schule Basis'!$C$8:$BZ$64,57,FALSE)</f>
        <v>539600</v>
      </c>
      <c r="F77" s="144">
        <f>HLOOKUP(B77,'SL Sozio Basis'!$C$8:$BZ$56,49,FALSE)</f>
        <v>0</v>
      </c>
      <c r="G77" s="170">
        <v>0</v>
      </c>
      <c r="H77" s="171">
        <f t="shared" si="3"/>
        <v>1714700</v>
      </c>
      <c r="I77" s="37"/>
      <c r="J77" s="158">
        <v>625600</v>
      </c>
      <c r="K77" s="81">
        <v>549500</v>
      </c>
      <c r="L77" s="35">
        <v>539500</v>
      </c>
      <c r="M77" s="81">
        <v>0</v>
      </c>
      <c r="N77" s="35">
        <v>0</v>
      </c>
      <c r="O77" s="81">
        <v>1714600</v>
      </c>
      <c r="P77" s="3"/>
      <c r="Q77" s="3"/>
      <c r="R77" s="3"/>
    </row>
    <row r="78" spans="1:18" x14ac:dyDescent="0.2">
      <c r="A78" s="68">
        <v>86</v>
      </c>
      <c r="B78" s="94" t="s">
        <v>74</v>
      </c>
      <c r="C78" s="143">
        <f>HLOOKUP(B78,'Ressourcenausgleich Basis'!$C$8:$BZ$151,144,FALSE)</f>
        <v>1384000</v>
      </c>
      <c r="D78" s="169">
        <f>HLOOKUP(B78,'SL Weite Basis'!$C$8:$BZ$74,67,FALSE)</f>
        <v>562800</v>
      </c>
      <c r="E78" s="169">
        <f>HLOOKUP(B78,'SL Schule Basis'!$C$8:$BZ$64,57,FALSE)</f>
        <v>1037000</v>
      </c>
      <c r="F78" s="144">
        <f>HLOOKUP(B78,'SL Sozio Basis'!$C$8:$BZ$56,49,FALSE)</f>
        <v>0</v>
      </c>
      <c r="G78" s="170">
        <v>0</v>
      </c>
      <c r="H78" s="171">
        <f t="shared" si="3"/>
        <v>2983800</v>
      </c>
      <c r="I78" s="37"/>
      <c r="J78" s="158">
        <v>1384000</v>
      </c>
      <c r="K78" s="81">
        <v>562800</v>
      </c>
      <c r="L78" s="35">
        <v>1036900</v>
      </c>
      <c r="M78" s="81">
        <v>0</v>
      </c>
      <c r="N78" s="35">
        <v>0</v>
      </c>
      <c r="O78" s="81">
        <v>2983700</v>
      </c>
      <c r="P78" s="3"/>
      <c r="Q78" s="3"/>
      <c r="R78" s="3"/>
    </row>
    <row r="79" spans="1:18" x14ac:dyDescent="0.2">
      <c r="A79" s="68">
        <v>87</v>
      </c>
      <c r="B79" s="94" t="s">
        <v>75</v>
      </c>
      <c r="C79" s="143">
        <f>HLOOKUP(B79,'Ressourcenausgleich Basis'!$C$8:$BZ$151,144,FALSE)</f>
        <v>0</v>
      </c>
      <c r="D79" s="169">
        <f>HLOOKUP(B79,'SL Weite Basis'!$C$8:$BZ$74,67,FALSE)</f>
        <v>0</v>
      </c>
      <c r="E79" s="169">
        <f>HLOOKUP(B79,'SL Schule Basis'!$C$8:$BZ$64,57,FALSE)</f>
        <v>0</v>
      </c>
      <c r="F79" s="144">
        <f>HLOOKUP(B79,'SL Sozio Basis'!$C$8:$BZ$56,49,FALSE)</f>
        <v>0</v>
      </c>
      <c r="G79" s="170">
        <v>0</v>
      </c>
      <c r="H79" s="171">
        <f t="shared" si="3"/>
        <v>0</v>
      </c>
      <c r="I79" s="37"/>
      <c r="J79" s="158">
        <v>0</v>
      </c>
      <c r="K79" s="81">
        <v>0</v>
      </c>
      <c r="L79" s="35">
        <v>0</v>
      </c>
      <c r="M79" s="81">
        <v>59600</v>
      </c>
      <c r="N79" s="35">
        <v>0</v>
      </c>
      <c r="O79" s="81">
        <v>59600</v>
      </c>
      <c r="P79" s="3"/>
      <c r="Q79" s="3"/>
      <c r="R79" s="3"/>
    </row>
    <row r="80" spans="1:18" x14ac:dyDescent="0.2">
      <c r="A80" s="68">
        <v>88</v>
      </c>
      <c r="B80" s="94" t="s">
        <v>76</v>
      </c>
      <c r="C80" s="143">
        <f>HLOOKUP(B80,'Ressourcenausgleich Basis'!$C$8:$BZ$151,144,FALSE)</f>
        <v>0</v>
      </c>
      <c r="D80" s="169">
        <f>HLOOKUP(B80,'SL Weite Basis'!$C$8:$BZ$74,67,FALSE)</f>
        <v>101000</v>
      </c>
      <c r="E80" s="169">
        <f>HLOOKUP(B80,'SL Schule Basis'!$C$8:$BZ$64,57,FALSE)</f>
        <v>664200</v>
      </c>
      <c r="F80" s="144">
        <f>HLOOKUP(B80,'SL Sozio Basis'!$C$8:$BZ$56,49,FALSE)</f>
        <v>0</v>
      </c>
      <c r="G80" s="170">
        <v>0</v>
      </c>
      <c r="H80" s="171">
        <f t="shared" si="3"/>
        <v>765200</v>
      </c>
      <c r="I80" s="37"/>
      <c r="J80" s="158">
        <v>0</v>
      </c>
      <c r="K80" s="81">
        <v>101000</v>
      </c>
      <c r="L80" s="35">
        <v>664200</v>
      </c>
      <c r="M80" s="81">
        <v>0</v>
      </c>
      <c r="N80" s="35">
        <v>0</v>
      </c>
      <c r="O80" s="81">
        <v>765200</v>
      </c>
      <c r="P80" s="3"/>
      <c r="Q80" s="3"/>
      <c r="R80" s="3"/>
    </row>
    <row r="81" spans="1:18" x14ac:dyDescent="0.2">
      <c r="A81" s="68">
        <v>89</v>
      </c>
      <c r="B81" s="94" t="s">
        <v>77</v>
      </c>
      <c r="C81" s="143">
        <f>HLOOKUP(B81,'Ressourcenausgleich Basis'!$C$8:$BZ$151,144,FALSE)</f>
        <v>1319600</v>
      </c>
      <c r="D81" s="169">
        <f>HLOOKUP(B81,'SL Weite Basis'!$C$8:$BZ$74,67,FALSE)</f>
        <v>1841700</v>
      </c>
      <c r="E81" s="169">
        <f>HLOOKUP(B81,'SL Schule Basis'!$C$8:$BZ$64,57,FALSE)</f>
        <v>1533800</v>
      </c>
      <c r="F81" s="144">
        <f>HLOOKUP(B81,'SL Sozio Basis'!$C$8:$BZ$56,49,FALSE)</f>
        <v>55000</v>
      </c>
      <c r="G81" s="170">
        <v>0</v>
      </c>
      <c r="H81" s="171">
        <f t="shared" si="3"/>
        <v>4750100</v>
      </c>
      <c r="I81" s="37"/>
      <c r="J81" s="158">
        <v>1319600</v>
      </c>
      <c r="K81" s="81">
        <v>1841700</v>
      </c>
      <c r="L81" s="35">
        <v>1533700</v>
      </c>
      <c r="M81" s="81">
        <v>54200</v>
      </c>
      <c r="N81" s="35">
        <v>0</v>
      </c>
      <c r="O81" s="81">
        <v>4749200</v>
      </c>
      <c r="P81" s="3"/>
      <c r="Q81" s="3"/>
      <c r="R81" s="3"/>
    </row>
    <row r="82" spans="1:18" x14ac:dyDescent="0.2">
      <c r="A82" s="72">
        <v>90</v>
      </c>
      <c r="B82" s="89" t="s">
        <v>78</v>
      </c>
      <c r="C82" s="145">
        <f>HLOOKUP(B82,'Ressourcenausgleich Basis'!$C$8:$BZ$151,144,FALSE)</f>
        <v>0</v>
      </c>
      <c r="D82" s="172">
        <f>HLOOKUP(B82,'SL Weite Basis'!$C$8:$BZ$74,67,FALSE)</f>
        <v>0</v>
      </c>
      <c r="E82" s="172">
        <f>HLOOKUP(B82,'SL Schule Basis'!$C$8:$BZ$64,57,FALSE)</f>
        <v>274000</v>
      </c>
      <c r="F82" s="146">
        <f>HLOOKUP(B82,'SL Sozio Basis'!$C$8:$BZ$56,49,FALSE)</f>
        <v>6300</v>
      </c>
      <c r="G82" s="173">
        <v>0</v>
      </c>
      <c r="H82" s="174">
        <f t="shared" si="3"/>
        <v>280300</v>
      </c>
      <c r="I82" s="37"/>
      <c r="J82" s="158">
        <v>0</v>
      </c>
      <c r="K82" s="81">
        <v>0</v>
      </c>
      <c r="L82" s="35">
        <v>274000</v>
      </c>
      <c r="M82" s="81">
        <v>2500</v>
      </c>
      <c r="N82" s="35">
        <v>0</v>
      </c>
      <c r="O82" s="81">
        <v>276500</v>
      </c>
      <c r="P82" s="3"/>
      <c r="Q82" s="3"/>
      <c r="R82" s="3"/>
    </row>
    <row r="83" spans="1:18" x14ac:dyDescent="0.2">
      <c r="A83" s="74"/>
      <c r="B83" s="95" t="s">
        <v>79</v>
      </c>
      <c r="C83" s="175">
        <f>SUM(C8:C82)</f>
        <v>121067800</v>
      </c>
      <c r="D83" s="176">
        <f t="shared" ref="D83:H83" si="4">SUM(D8:D82)</f>
        <v>35552500</v>
      </c>
      <c r="E83" s="174">
        <f>SUM(E8:E82)</f>
        <v>33054900</v>
      </c>
      <c r="F83" s="177">
        <f t="shared" si="4"/>
        <v>27275800</v>
      </c>
      <c r="G83" s="176">
        <f t="shared" si="4"/>
        <v>17337300</v>
      </c>
      <c r="H83" s="176">
        <f t="shared" si="4"/>
        <v>234288300</v>
      </c>
      <c r="I83" s="37"/>
      <c r="J83" s="159">
        <f t="shared" ref="J83:N83" si="5">SUM(J8:J82)</f>
        <v>121067800</v>
      </c>
      <c r="K83" s="156">
        <f t="shared" si="5"/>
        <v>35552500</v>
      </c>
      <c r="L83" s="161">
        <f t="shared" si="5"/>
        <v>33052100</v>
      </c>
      <c r="M83" s="156">
        <f t="shared" si="5"/>
        <v>27227800</v>
      </c>
      <c r="N83" s="160">
        <f t="shared" si="5"/>
        <v>17337300</v>
      </c>
      <c r="O83" s="156">
        <f>SUM(O8:O82)</f>
        <v>234237500</v>
      </c>
      <c r="P83" s="3"/>
    </row>
    <row r="84" spans="1:18" x14ac:dyDescent="0.2">
      <c r="P84" s="3"/>
    </row>
  </sheetData>
  <pageMargins left="0.51181102362204722" right="0.51181102362204722" top="0.39370078740157483" bottom="0.39370078740157483" header="0.31496062992125984" footer="0.31496062992125984"/>
  <pageSetup paperSize="9" scale="7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BS87"/>
  <sheetViews>
    <sheetView zoomScaleNormal="100" workbookViewId="0">
      <selection activeCell="D15" sqref="D15"/>
    </sheetView>
  </sheetViews>
  <sheetFormatPr baseColWidth="10" defaultRowHeight="12.75" x14ac:dyDescent="0.2"/>
  <cols>
    <col min="1" max="1" width="4" customWidth="1"/>
    <col min="2" max="2" width="20.5703125" bestFit="1" customWidth="1"/>
    <col min="3" max="7" width="17.85546875" customWidth="1"/>
    <col min="8" max="8" width="17.140625" customWidth="1"/>
    <col min="9" max="9" width="4.28515625" customWidth="1"/>
    <col min="10" max="10" width="4" customWidth="1"/>
    <col min="11" max="11" width="20.5703125" bestFit="1" customWidth="1"/>
    <col min="12" max="16" width="17.85546875" customWidth="1"/>
    <col min="17" max="17" width="17.140625" customWidth="1"/>
    <col min="18" max="18" width="4.28515625" customWidth="1"/>
    <col min="19" max="19" width="4" customWidth="1"/>
    <col min="20" max="20" width="20.5703125" bestFit="1" customWidth="1"/>
    <col min="21" max="25" width="17.85546875" customWidth="1"/>
    <col min="26" max="26" width="17.140625" customWidth="1"/>
    <col min="27" max="27" width="4.28515625" customWidth="1"/>
    <col min="28" max="28" width="4" customWidth="1"/>
    <col min="29" max="29" width="20.5703125" bestFit="1" customWidth="1"/>
    <col min="30" max="34" width="17.85546875" customWidth="1"/>
    <col min="35" max="35" width="17.140625" customWidth="1"/>
    <col min="36" max="53" width="21" customWidth="1"/>
    <col min="54" max="54" width="22.7109375" bestFit="1" customWidth="1"/>
    <col min="55" max="71" width="21" customWidth="1"/>
  </cols>
  <sheetData>
    <row r="1" spans="1:71" x14ac:dyDescent="0.2">
      <c r="A1" s="19" t="s">
        <v>193</v>
      </c>
      <c r="I1" s="69"/>
      <c r="J1" s="19" t="s">
        <v>193</v>
      </c>
      <c r="R1" s="69"/>
      <c r="S1" s="19" t="s">
        <v>193</v>
      </c>
      <c r="AA1" s="69"/>
      <c r="AB1" s="19" t="s">
        <v>193</v>
      </c>
    </row>
    <row r="2" spans="1:71" x14ac:dyDescent="0.2">
      <c r="A2" t="s">
        <v>194</v>
      </c>
      <c r="D2" s="147" t="s">
        <v>462</v>
      </c>
      <c r="E2" s="147"/>
      <c r="F2" s="147"/>
      <c r="I2" s="69"/>
      <c r="J2" t="s">
        <v>194</v>
      </c>
      <c r="M2" s="147" t="s">
        <v>462</v>
      </c>
      <c r="N2" s="147"/>
      <c r="O2" s="147"/>
      <c r="R2" s="69"/>
      <c r="S2" t="s">
        <v>194</v>
      </c>
      <c r="V2" s="147" t="s">
        <v>462</v>
      </c>
      <c r="W2" s="147"/>
      <c r="X2" s="147"/>
      <c r="AA2" s="69"/>
      <c r="AB2" t="s">
        <v>194</v>
      </c>
    </row>
    <row r="3" spans="1:71" x14ac:dyDescent="0.2">
      <c r="I3" s="69"/>
      <c r="R3" s="69"/>
      <c r="AA3" s="69"/>
    </row>
    <row r="4" spans="1:71" x14ac:dyDescent="0.2">
      <c r="I4" s="69"/>
      <c r="R4" s="69"/>
      <c r="AA4" s="69"/>
    </row>
    <row r="5" spans="1:71" ht="26.25" x14ac:dyDescent="0.4">
      <c r="A5" s="16" t="s">
        <v>371</v>
      </c>
      <c r="I5" s="69"/>
      <c r="J5" s="16" t="s">
        <v>372</v>
      </c>
      <c r="R5" s="69"/>
      <c r="S5" s="16" t="s">
        <v>373</v>
      </c>
      <c r="AA5" s="69"/>
      <c r="AB5" s="16" t="s">
        <v>374</v>
      </c>
    </row>
    <row r="6" spans="1:71" x14ac:dyDescent="0.2">
      <c r="C6" s="3"/>
      <c r="D6" s="3"/>
      <c r="E6" s="3"/>
      <c r="F6" s="3"/>
      <c r="G6" s="3"/>
      <c r="H6" s="3"/>
      <c r="I6" s="70"/>
      <c r="L6" s="3"/>
      <c r="M6" s="3"/>
      <c r="N6" s="3"/>
      <c r="O6" s="3"/>
      <c r="P6" s="3"/>
      <c r="Q6" s="3"/>
      <c r="R6" s="70"/>
      <c r="U6" s="3"/>
      <c r="V6" s="3"/>
      <c r="W6" s="3"/>
      <c r="X6" s="3"/>
      <c r="Y6" s="3"/>
      <c r="Z6" s="3"/>
      <c r="AA6" s="70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spans="1:71" ht="38.25" customHeight="1" x14ac:dyDescent="0.2">
      <c r="A7" s="76" t="s">
        <v>210</v>
      </c>
      <c r="B7" s="84" t="s">
        <v>211</v>
      </c>
      <c r="C7" s="78" t="s">
        <v>205</v>
      </c>
      <c r="D7" s="79" t="s">
        <v>206</v>
      </c>
      <c r="E7" s="79" t="s">
        <v>208</v>
      </c>
      <c r="F7" s="78" t="s">
        <v>207</v>
      </c>
      <c r="G7" s="79" t="s">
        <v>209</v>
      </c>
      <c r="H7" s="79" t="s">
        <v>79</v>
      </c>
      <c r="I7" s="70"/>
      <c r="J7" s="76" t="s">
        <v>210</v>
      </c>
      <c r="K7" s="84" t="s">
        <v>211</v>
      </c>
      <c r="L7" s="78" t="s">
        <v>205</v>
      </c>
      <c r="M7" s="79" t="s">
        <v>206</v>
      </c>
      <c r="N7" s="79" t="s">
        <v>208</v>
      </c>
      <c r="O7" s="78" t="s">
        <v>207</v>
      </c>
      <c r="P7" s="79" t="s">
        <v>209</v>
      </c>
      <c r="Q7" s="79" t="s">
        <v>79</v>
      </c>
      <c r="R7" s="70"/>
      <c r="S7" s="76" t="s">
        <v>210</v>
      </c>
      <c r="T7" s="84" t="s">
        <v>211</v>
      </c>
      <c r="U7" s="78" t="s">
        <v>205</v>
      </c>
      <c r="V7" s="79" t="s">
        <v>206</v>
      </c>
      <c r="W7" s="79" t="s">
        <v>208</v>
      </c>
      <c r="X7" s="78" t="s">
        <v>207</v>
      </c>
      <c r="Y7" s="79" t="s">
        <v>209</v>
      </c>
      <c r="Z7" s="79" t="s">
        <v>79</v>
      </c>
      <c r="AA7" s="70"/>
      <c r="AB7" s="76" t="s">
        <v>210</v>
      </c>
      <c r="AC7" s="84" t="s">
        <v>211</v>
      </c>
      <c r="AD7" s="78" t="s">
        <v>205</v>
      </c>
      <c r="AE7" s="79" t="s">
        <v>206</v>
      </c>
      <c r="AF7" s="79" t="s">
        <v>208</v>
      </c>
      <c r="AG7" s="78" t="s">
        <v>207</v>
      </c>
      <c r="AH7" s="79" t="s">
        <v>209</v>
      </c>
      <c r="AI7" s="79" t="s">
        <v>79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Q7" s="3"/>
      <c r="BR7" s="3"/>
      <c r="BS7" s="3"/>
    </row>
    <row r="8" spans="1:71" x14ac:dyDescent="0.2">
      <c r="A8" s="67">
        <v>1</v>
      </c>
      <c r="B8" s="93" t="s">
        <v>5</v>
      </c>
      <c r="C8" s="141">
        <v>0</v>
      </c>
      <c r="D8" s="142">
        <v>0</v>
      </c>
      <c r="E8" s="142">
        <v>0</v>
      </c>
      <c r="F8" s="141">
        <v>4190700</v>
      </c>
      <c r="G8" s="142">
        <v>4334300</v>
      </c>
      <c r="H8" s="90">
        <f t="shared" ref="H8:H39" si="0">SUM(C8:G8)</f>
        <v>8525000</v>
      </c>
      <c r="I8" s="70"/>
      <c r="J8" s="67">
        <v>1</v>
      </c>
      <c r="K8" s="93" t="s">
        <v>5</v>
      </c>
      <c r="L8" s="141">
        <v>0</v>
      </c>
      <c r="M8" s="142">
        <v>0</v>
      </c>
      <c r="N8" s="142">
        <v>0</v>
      </c>
      <c r="O8" s="141">
        <v>4190700</v>
      </c>
      <c r="P8" s="142">
        <v>4334300</v>
      </c>
      <c r="Q8" s="90">
        <f t="shared" ref="Q8:Q39" si="1">SUM(L8:P8)</f>
        <v>8525000</v>
      </c>
      <c r="R8" s="70"/>
      <c r="S8" s="67">
        <v>1</v>
      </c>
      <c r="T8" s="93" t="s">
        <v>5</v>
      </c>
      <c r="U8" s="141">
        <v>0</v>
      </c>
      <c r="V8" s="142">
        <v>0</v>
      </c>
      <c r="W8" s="142">
        <v>0</v>
      </c>
      <c r="X8" s="141">
        <v>4190700</v>
      </c>
      <c r="Y8" s="142">
        <v>4334300</v>
      </c>
      <c r="Z8" s="90">
        <f t="shared" ref="Z8:Z39" si="2">SUM(U8:Y8)</f>
        <v>8525000</v>
      </c>
      <c r="AA8" s="70"/>
      <c r="AB8" s="67">
        <v>1</v>
      </c>
      <c r="AC8" s="93" t="s">
        <v>5</v>
      </c>
      <c r="AD8" s="92">
        <f>Total!C8-Auszahlungen!C8-Auszahlungen!L8-Auszahlungen!U8</f>
        <v>0</v>
      </c>
      <c r="AE8" s="96">
        <f>Total!D8-Auszahlungen!D8-Auszahlungen!M8-Auszahlungen!V8</f>
        <v>0</v>
      </c>
      <c r="AF8" s="96">
        <f>Total!E8-Auszahlungen!E8-Auszahlungen!N8-Auszahlungen!W8</f>
        <v>0</v>
      </c>
      <c r="AG8" s="92">
        <f>Total!F8-Auszahlungen!F8-Auszahlungen!O8-Auszahlungen!X8</f>
        <v>4231000</v>
      </c>
      <c r="AH8" s="96">
        <f>Total!G8-Auszahlungen!G8-Auszahlungen!P8-Auszahlungen!Y8</f>
        <v>4334400</v>
      </c>
      <c r="AI8" s="90">
        <f t="shared" ref="AI8:AI39" si="3">SUM(AD8:AH8)</f>
        <v>8565400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</row>
    <row r="9" spans="1:71" x14ac:dyDescent="0.2">
      <c r="A9" s="68">
        <v>2</v>
      </c>
      <c r="B9" s="94" t="s">
        <v>6</v>
      </c>
      <c r="C9" s="143">
        <v>1354800</v>
      </c>
      <c r="D9" s="144">
        <v>0</v>
      </c>
      <c r="E9" s="144">
        <v>139300</v>
      </c>
      <c r="F9" s="143">
        <v>162000</v>
      </c>
      <c r="G9" s="144">
        <v>0</v>
      </c>
      <c r="H9" s="97">
        <f t="shared" si="0"/>
        <v>1656100</v>
      </c>
      <c r="I9" s="70"/>
      <c r="J9" s="68">
        <v>2</v>
      </c>
      <c r="K9" s="94" t="s">
        <v>6</v>
      </c>
      <c r="L9" s="143">
        <v>1354800</v>
      </c>
      <c r="M9" s="144">
        <v>0</v>
      </c>
      <c r="N9" s="144">
        <v>139300</v>
      </c>
      <c r="O9" s="143">
        <v>162000</v>
      </c>
      <c r="P9" s="144">
        <v>0</v>
      </c>
      <c r="Q9" s="97">
        <f t="shared" si="1"/>
        <v>1656100</v>
      </c>
      <c r="R9" s="70"/>
      <c r="S9" s="68">
        <v>2</v>
      </c>
      <c r="T9" s="94" t="s">
        <v>6</v>
      </c>
      <c r="U9" s="143">
        <v>1354800</v>
      </c>
      <c r="V9" s="144">
        <v>0</v>
      </c>
      <c r="W9" s="144">
        <v>139300</v>
      </c>
      <c r="X9" s="143">
        <v>162000</v>
      </c>
      <c r="Y9" s="144">
        <v>0</v>
      </c>
      <c r="Z9" s="97">
        <f t="shared" si="2"/>
        <v>1656100</v>
      </c>
      <c r="AA9" s="70"/>
      <c r="AB9" s="68">
        <v>2</v>
      </c>
      <c r="AC9" s="94" t="s">
        <v>6</v>
      </c>
      <c r="AD9" s="35">
        <f>Total!C9-Auszahlungen!C9-Auszahlungen!L9-Auszahlungen!U9</f>
        <v>1354700</v>
      </c>
      <c r="AE9" s="81">
        <f>Total!D9-Auszahlungen!D9-Auszahlungen!M9-Auszahlungen!V9</f>
        <v>0</v>
      </c>
      <c r="AF9" s="81">
        <f>Total!E9-Auszahlungen!E9-Auszahlungen!N9-Auszahlungen!W9</f>
        <v>139300</v>
      </c>
      <c r="AG9" s="35">
        <f>Total!F9-Auszahlungen!F9-Auszahlungen!O9-Auszahlungen!X9</f>
        <v>167000</v>
      </c>
      <c r="AH9" s="81">
        <f>Total!G9-Auszahlungen!G9-Auszahlungen!P9-Auszahlungen!Y9</f>
        <v>0</v>
      </c>
      <c r="AI9" s="97">
        <f t="shared" si="3"/>
        <v>1661000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71" x14ac:dyDescent="0.2">
      <c r="A10" s="68">
        <v>3</v>
      </c>
      <c r="B10" s="94" t="s">
        <v>7</v>
      </c>
      <c r="C10" s="143">
        <v>149600</v>
      </c>
      <c r="D10" s="144">
        <v>96700</v>
      </c>
      <c r="E10" s="144">
        <v>140100</v>
      </c>
      <c r="F10" s="143">
        <v>0</v>
      </c>
      <c r="G10" s="144">
        <v>0</v>
      </c>
      <c r="H10" s="97">
        <f t="shared" si="0"/>
        <v>386400</v>
      </c>
      <c r="I10" s="69"/>
      <c r="J10" s="68">
        <v>3</v>
      </c>
      <c r="K10" s="94" t="s">
        <v>7</v>
      </c>
      <c r="L10" s="143">
        <v>149600</v>
      </c>
      <c r="M10" s="144">
        <v>96700</v>
      </c>
      <c r="N10" s="144">
        <v>140100</v>
      </c>
      <c r="O10" s="143">
        <v>0</v>
      </c>
      <c r="P10" s="144">
        <v>0</v>
      </c>
      <c r="Q10" s="97">
        <f t="shared" si="1"/>
        <v>386400</v>
      </c>
      <c r="R10" s="69"/>
      <c r="S10" s="68">
        <v>3</v>
      </c>
      <c r="T10" s="94" t="s">
        <v>7</v>
      </c>
      <c r="U10" s="143">
        <v>149600</v>
      </c>
      <c r="V10" s="144">
        <v>96700</v>
      </c>
      <c r="W10" s="144">
        <v>140100</v>
      </c>
      <c r="X10" s="143">
        <v>0</v>
      </c>
      <c r="Y10" s="144">
        <v>0</v>
      </c>
      <c r="Z10" s="97">
        <f t="shared" si="2"/>
        <v>386400</v>
      </c>
      <c r="AA10" s="69"/>
      <c r="AB10" s="68">
        <v>3</v>
      </c>
      <c r="AC10" s="94" t="s">
        <v>7</v>
      </c>
      <c r="AD10" s="35">
        <f>Total!C10-Auszahlungen!C10-Auszahlungen!L10-Auszahlungen!U10</f>
        <v>149500</v>
      </c>
      <c r="AE10" s="81">
        <f>Total!D10-Auszahlungen!D10-Auszahlungen!M10-Auszahlungen!V10</f>
        <v>96500</v>
      </c>
      <c r="AF10" s="81">
        <f>Total!E10-Auszahlungen!E10-Auszahlungen!N10-Auszahlungen!W10</f>
        <v>140100</v>
      </c>
      <c r="AG10" s="35">
        <f>Total!F10-Auszahlungen!F10-Auszahlungen!O10-Auszahlungen!X10</f>
        <v>0</v>
      </c>
      <c r="AH10" s="81">
        <f>Total!G10-Auszahlungen!G10-Auszahlungen!P10-Auszahlungen!Y10</f>
        <v>0</v>
      </c>
      <c r="AI10" s="97">
        <f t="shared" si="3"/>
        <v>386100</v>
      </c>
    </row>
    <row r="11" spans="1:71" x14ac:dyDescent="0.2">
      <c r="A11" s="68">
        <v>4</v>
      </c>
      <c r="B11" s="94" t="s">
        <v>8</v>
      </c>
      <c r="C11" s="143">
        <v>208700</v>
      </c>
      <c r="D11" s="144">
        <v>156200</v>
      </c>
      <c r="E11" s="144">
        <v>24300</v>
      </c>
      <c r="F11" s="143">
        <v>0</v>
      </c>
      <c r="G11" s="144">
        <v>0</v>
      </c>
      <c r="H11" s="97">
        <f t="shared" si="0"/>
        <v>389200</v>
      </c>
      <c r="I11" s="69"/>
      <c r="J11" s="68">
        <v>4</v>
      </c>
      <c r="K11" s="94" t="s">
        <v>8</v>
      </c>
      <c r="L11" s="143">
        <v>208700</v>
      </c>
      <c r="M11" s="144">
        <v>156200</v>
      </c>
      <c r="N11" s="144">
        <v>24300</v>
      </c>
      <c r="O11" s="143">
        <v>0</v>
      </c>
      <c r="P11" s="144">
        <v>0</v>
      </c>
      <c r="Q11" s="97">
        <f t="shared" si="1"/>
        <v>389200</v>
      </c>
      <c r="R11" s="69"/>
      <c r="S11" s="68">
        <v>4</v>
      </c>
      <c r="T11" s="94" t="s">
        <v>8</v>
      </c>
      <c r="U11" s="143">
        <v>208700</v>
      </c>
      <c r="V11" s="144">
        <v>156200</v>
      </c>
      <c r="W11" s="144">
        <v>24300</v>
      </c>
      <c r="X11" s="143">
        <v>0</v>
      </c>
      <c r="Y11" s="144">
        <v>0</v>
      </c>
      <c r="Z11" s="97">
        <f t="shared" si="2"/>
        <v>389200</v>
      </c>
      <c r="AA11" s="69"/>
      <c r="AB11" s="68">
        <v>4</v>
      </c>
      <c r="AC11" s="94" t="s">
        <v>8</v>
      </c>
      <c r="AD11" s="35">
        <f>Total!C11-Auszahlungen!C11-Auszahlungen!L11-Auszahlungen!U11</f>
        <v>208500</v>
      </c>
      <c r="AE11" s="81">
        <f>Total!D11-Auszahlungen!D11-Auszahlungen!M11-Auszahlungen!V11</f>
        <v>156200</v>
      </c>
      <c r="AF11" s="81">
        <f>Total!E11-Auszahlungen!E11-Auszahlungen!N11-Auszahlungen!W11</f>
        <v>24400</v>
      </c>
      <c r="AG11" s="35">
        <f>Total!F11-Auszahlungen!F11-Auszahlungen!O11-Auszahlungen!X11</f>
        <v>0</v>
      </c>
      <c r="AH11" s="81">
        <f>Total!G11-Auszahlungen!G11-Auszahlungen!P11-Auszahlungen!Y11</f>
        <v>0</v>
      </c>
      <c r="AI11" s="97">
        <f t="shared" si="3"/>
        <v>389100</v>
      </c>
    </row>
    <row r="12" spans="1:71" x14ac:dyDescent="0.2">
      <c r="A12" s="68">
        <v>5</v>
      </c>
      <c r="B12" s="94" t="s">
        <v>9</v>
      </c>
      <c r="C12" s="143">
        <v>0</v>
      </c>
      <c r="D12" s="144">
        <v>0</v>
      </c>
      <c r="E12" s="144">
        <v>0</v>
      </c>
      <c r="F12" s="143">
        <v>0</v>
      </c>
      <c r="G12" s="144">
        <v>0</v>
      </c>
      <c r="H12" s="97">
        <f t="shared" si="0"/>
        <v>0</v>
      </c>
      <c r="I12" s="69"/>
      <c r="J12" s="68">
        <v>5</v>
      </c>
      <c r="K12" s="94" t="s">
        <v>9</v>
      </c>
      <c r="L12" s="143">
        <v>0</v>
      </c>
      <c r="M12" s="144">
        <v>0</v>
      </c>
      <c r="N12" s="144">
        <v>0</v>
      </c>
      <c r="O12" s="143">
        <v>0</v>
      </c>
      <c r="P12" s="144">
        <v>0</v>
      </c>
      <c r="Q12" s="97">
        <f t="shared" si="1"/>
        <v>0</v>
      </c>
      <c r="R12" s="69"/>
      <c r="S12" s="68">
        <v>5</v>
      </c>
      <c r="T12" s="94" t="s">
        <v>9</v>
      </c>
      <c r="U12" s="143">
        <v>0</v>
      </c>
      <c r="V12" s="144">
        <v>0</v>
      </c>
      <c r="W12" s="144">
        <v>0</v>
      </c>
      <c r="X12" s="143">
        <v>0</v>
      </c>
      <c r="Y12" s="144">
        <v>0</v>
      </c>
      <c r="Z12" s="97">
        <f t="shared" si="2"/>
        <v>0</v>
      </c>
      <c r="AA12" s="69"/>
      <c r="AB12" s="68">
        <v>5</v>
      </c>
      <c r="AC12" s="94" t="s">
        <v>9</v>
      </c>
      <c r="AD12" s="35">
        <f>Total!C12-Auszahlungen!C12-Auszahlungen!L12-Auszahlungen!U12</f>
        <v>0</v>
      </c>
      <c r="AE12" s="81">
        <f>Total!D12-Auszahlungen!D12-Auszahlungen!M12-Auszahlungen!V12</f>
        <v>0</v>
      </c>
      <c r="AF12" s="81">
        <f>Total!E12-Auszahlungen!E12-Auszahlungen!N12-Auszahlungen!W12</f>
        <v>0</v>
      </c>
      <c r="AG12" s="35">
        <f>Total!F12-Auszahlungen!F12-Auszahlungen!O12-Auszahlungen!X12</f>
        <v>0</v>
      </c>
      <c r="AH12" s="81">
        <f>Total!G12-Auszahlungen!G12-Auszahlungen!P12-Auszahlungen!Y12</f>
        <v>0</v>
      </c>
      <c r="AI12" s="97">
        <f t="shared" si="3"/>
        <v>0</v>
      </c>
    </row>
    <row r="13" spans="1:71" x14ac:dyDescent="0.2">
      <c r="A13" s="68">
        <v>6</v>
      </c>
      <c r="B13" s="138" t="s">
        <v>10</v>
      </c>
      <c r="C13" s="143">
        <v>0</v>
      </c>
      <c r="D13" s="144">
        <v>0</v>
      </c>
      <c r="E13" s="144">
        <v>0</v>
      </c>
      <c r="F13" s="143">
        <v>147100</v>
      </c>
      <c r="G13" s="144">
        <v>0</v>
      </c>
      <c r="H13" s="137">
        <f t="shared" si="0"/>
        <v>147100</v>
      </c>
      <c r="I13" s="69"/>
      <c r="J13" s="68">
        <v>6</v>
      </c>
      <c r="K13" s="94" t="s">
        <v>10</v>
      </c>
      <c r="L13" s="143">
        <v>0</v>
      </c>
      <c r="M13" s="144">
        <v>0</v>
      </c>
      <c r="N13" s="144">
        <v>0</v>
      </c>
      <c r="O13" s="143">
        <v>147100</v>
      </c>
      <c r="P13" s="144">
        <v>0</v>
      </c>
      <c r="Q13" s="97">
        <f t="shared" si="1"/>
        <v>147100</v>
      </c>
      <c r="R13" s="69"/>
      <c r="S13" s="68">
        <v>6</v>
      </c>
      <c r="T13" s="94" t="s">
        <v>10</v>
      </c>
      <c r="U13" s="143">
        <v>0</v>
      </c>
      <c r="V13" s="144">
        <v>0</v>
      </c>
      <c r="W13" s="144">
        <v>0</v>
      </c>
      <c r="X13" s="143">
        <v>147100</v>
      </c>
      <c r="Y13" s="144">
        <v>0</v>
      </c>
      <c r="Z13" s="97">
        <f t="shared" si="2"/>
        <v>147100</v>
      </c>
      <c r="AA13" s="69"/>
      <c r="AB13" s="68">
        <v>6</v>
      </c>
      <c r="AC13" s="94" t="s">
        <v>10</v>
      </c>
      <c r="AD13" s="35">
        <f>Total!C13-Auszahlungen!C13-Auszahlungen!L13-Auszahlungen!U13</f>
        <v>0</v>
      </c>
      <c r="AE13" s="81">
        <f>Total!D13-Auszahlungen!D13-Auszahlungen!M13-Auszahlungen!V13</f>
        <v>0</v>
      </c>
      <c r="AF13" s="81">
        <f>Total!E13-Auszahlungen!E13-Auszahlungen!N13-Auszahlungen!W13</f>
        <v>0</v>
      </c>
      <c r="AG13" s="35">
        <f>Total!F13-Auszahlungen!F13-Auszahlungen!O13-Auszahlungen!X13</f>
        <v>148600</v>
      </c>
      <c r="AH13" s="81">
        <f>Total!G13-Auszahlungen!G13-Auszahlungen!P13-Auszahlungen!Y13</f>
        <v>0</v>
      </c>
      <c r="AI13" s="97">
        <f t="shared" si="3"/>
        <v>148600</v>
      </c>
    </row>
    <row r="14" spans="1:71" x14ac:dyDescent="0.2">
      <c r="A14" s="68">
        <v>7</v>
      </c>
      <c r="B14" s="94" t="s">
        <v>11</v>
      </c>
      <c r="C14" s="143">
        <v>63500</v>
      </c>
      <c r="D14" s="144">
        <v>0</v>
      </c>
      <c r="E14" s="144">
        <v>0</v>
      </c>
      <c r="F14" s="143">
        <v>0</v>
      </c>
      <c r="G14" s="144">
        <v>0</v>
      </c>
      <c r="H14" s="97">
        <f t="shared" si="0"/>
        <v>63500</v>
      </c>
      <c r="I14" s="69"/>
      <c r="J14" s="68">
        <v>7</v>
      </c>
      <c r="K14" s="94" t="s">
        <v>11</v>
      </c>
      <c r="L14" s="143">
        <v>63500</v>
      </c>
      <c r="M14" s="144">
        <v>0</v>
      </c>
      <c r="N14" s="144">
        <v>0</v>
      </c>
      <c r="O14" s="143">
        <v>0</v>
      </c>
      <c r="P14" s="144">
        <v>0</v>
      </c>
      <c r="Q14" s="97">
        <f t="shared" si="1"/>
        <v>63500</v>
      </c>
      <c r="R14" s="69"/>
      <c r="S14" s="68">
        <v>7</v>
      </c>
      <c r="T14" s="94" t="s">
        <v>11</v>
      </c>
      <c r="U14" s="143">
        <v>63500</v>
      </c>
      <c r="V14" s="144">
        <v>0</v>
      </c>
      <c r="W14" s="144">
        <v>0</v>
      </c>
      <c r="X14" s="143">
        <v>0</v>
      </c>
      <c r="Y14" s="144">
        <v>0</v>
      </c>
      <c r="Z14" s="97">
        <f t="shared" si="2"/>
        <v>63500</v>
      </c>
      <c r="AA14" s="69"/>
      <c r="AB14" s="68">
        <v>7</v>
      </c>
      <c r="AC14" s="94" t="s">
        <v>11</v>
      </c>
      <c r="AD14" s="35">
        <f>Total!C14-Auszahlungen!C14-Auszahlungen!L14-Auszahlungen!U14</f>
        <v>63600</v>
      </c>
      <c r="AE14" s="81">
        <f>Total!D14-Auszahlungen!D14-Auszahlungen!M14-Auszahlungen!V14</f>
        <v>0</v>
      </c>
      <c r="AF14" s="81">
        <f>Total!E14-Auszahlungen!E14-Auszahlungen!N14-Auszahlungen!W14</f>
        <v>0</v>
      </c>
      <c r="AG14" s="35">
        <f>Total!F14-Auszahlungen!F14-Auszahlungen!O14-Auszahlungen!X14</f>
        <v>0</v>
      </c>
      <c r="AH14" s="81">
        <f>Total!G14-Auszahlungen!G14-Auszahlungen!P14-Auszahlungen!Y14</f>
        <v>0</v>
      </c>
      <c r="AI14" s="97">
        <f t="shared" si="3"/>
        <v>63600</v>
      </c>
    </row>
    <row r="15" spans="1:71" x14ac:dyDescent="0.2">
      <c r="A15" s="68">
        <v>8</v>
      </c>
      <c r="B15" s="94" t="s">
        <v>12</v>
      </c>
      <c r="C15" s="143">
        <v>0</v>
      </c>
      <c r="D15" s="144">
        <v>2000</v>
      </c>
      <c r="E15" s="144">
        <v>10100</v>
      </c>
      <c r="F15" s="143">
        <v>3000</v>
      </c>
      <c r="G15" s="144">
        <v>0</v>
      </c>
      <c r="H15" s="97">
        <f t="shared" si="0"/>
        <v>15100</v>
      </c>
      <c r="I15" s="69"/>
      <c r="J15" s="68">
        <v>8</v>
      </c>
      <c r="K15" s="94" t="s">
        <v>12</v>
      </c>
      <c r="L15" s="143">
        <v>0</v>
      </c>
      <c r="M15" s="144">
        <v>2000</v>
      </c>
      <c r="N15" s="144">
        <v>10100</v>
      </c>
      <c r="O15" s="143">
        <v>3000</v>
      </c>
      <c r="P15" s="144">
        <v>0</v>
      </c>
      <c r="Q15" s="97">
        <f t="shared" si="1"/>
        <v>15100</v>
      </c>
      <c r="R15" s="69"/>
      <c r="S15" s="68">
        <v>8</v>
      </c>
      <c r="T15" s="94" t="s">
        <v>12</v>
      </c>
      <c r="U15" s="143">
        <v>0</v>
      </c>
      <c r="V15" s="144">
        <v>2000</v>
      </c>
      <c r="W15" s="144">
        <v>10100</v>
      </c>
      <c r="X15" s="143">
        <v>3000</v>
      </c>
      <c r="Y15" s="144">
        <v>0</v>
      </c>
      <c r="Z15" s="97">
        <f t="shared" si="2"/>
        <v>15100</v>
      </c>
      <c r="AA15" s="69"/>
      <c r="AB15" s="68">
        <v>8</v>
      </c>
      <c r="AC15" s="94" t="s">
        <v>12</v>
      </c>
      <c r="AD15" s="35">
        <f>Total!C15-Auszahlungen!C15-Auszahlungen!L15-Auszahlungen!U15</f>
        <v>0</v>
      </c>
      <c r="AE15" s="81">
        <f>Total!D15-Auszahlungen!D15-Auszahlungen!M15-Auszahlungen!V15</f>
        <v>2100</v>
      </c>
      <c r="AF15" s="81">
        <f>Total!E15-Auszahlungen!E15-Auszahlungen!N15-Auszahlungen!W15</f>
        <v>9900</v>
      </c>
      <c r="AG15" s="35">
        <f>Total!F15-Auszahlungen!F15-Auszahlungen!O15-Auszahlungen!X15</f>
        <v>3100</v>
      </c>
      <c r="AH15" s="81">
        <f>Total!G15-Auszahlungen!G15-Auszahlungen!P15-Auszahlungen!Y15</f>
        <v>0</v>
      </c>
      <c r="AI15" s="97">
        <f t="shared" si="3"/>
        <v>15100</v>
      </c>
    </row>
    <row r="16" spans="1:71" x14ac:dyDescent="0.2">
      <c r="A16" s="68">
        <v>9</v>
      </c>
      <c r="B16" s="94" t="s">
        <v>13</v>
      </c>
      <c r="C16" s="143">
        <v>0</v>
      </c>
      <c r="D16" s="144">
        <v>0</v>
      </c>
      <c r="E16" s="144">
        <v>28400</v>
      </c>
      <c r="F16" s="143">
        <v>0</v>
      </c>
      <c r="G16" s="144">
        <v>0</v>
      </c>
      <c r="H16" s="97">
        <f t="shared" si="0"/>
        <v>28400</v>
      </c>
      <c r="I16" s="69"/>
      <c r="J16" s="68">
        <v>9</v>
      </c>
      <c r="K16" s="94" t="s">
        <v>13</v>
      </c>
      <c r="L16" s="143">
        <v>0</v>
      </c>
      <c r="M16" s="144">
        <v>0</v>
      </c>
      <c r="N16" s="144">
        <v>28400</v>
      </c>
      <c r="O16" s="143">
        <v>0</v>
      </c>
      <c r="P16" s="144">
        <v>0</v>
      </c>
      <c r="Q16" s="97">
        <f t="shared" si="1"/>
        <v>28400</v>
      </c>
      <c r="R16" s="69"/>
      <c r="S16" s="68">
        <v>9</v>
      </c>
      <c r="T16" s="94" t="s">
        <v>13</v>
      </c>
      <c r="U16" s="143">
        <v>0</v>
      </c>
      <c r="V16" s="144">
        <v>0</v>
      </c>
      <c r="W16" s="144">
        <v>28400</v>
      </c>
      <c r="X16" s="143">
        <v>0</v>
      </c>
      <c r="Y16" s="144">
        <v>0</v>
      </c>
      <c r="Z16" s="97">
        <f t="shared" si="2"/>
        <v>28400</v>
      </c>
      <c r="AA16" s="69"/>
      <c r="AB16" s="68">
        <v>9</v>
      </c>
      <c r="AC16" s="94" t="s">
        <v>13</v>
      </c>
      <c r="AD16" s="35">
        <f>Total!C16-Auszahlungen!C16-Auszahlungen!L16-Auszahlungen!U16</f>
        <v>0</v>
      </c>
      <c r="AE16" s="81">
        <f>Total!D16-Auszahlungen!D16-Auszahlungen!M16-Auszahlungen!V16</f>
        <v>0</v>
      </c>
      <c r="AF16" s="81">
        <f>Total!E16-Auszahlungen!E16-Auszahlungen!N16-Auszahlungen!W16</f>
        <v>28500</v>
      </c>
      <c r="AG16" s="35">
        <f>Total!F16-Auszahlungen!F16-Auszahlungen!O16-Auszahlungen!X16</f>
        <v>0</v>
      </c>
      <c r="AH16" s="81">
        <f>Total!G16-Auszahlungen!G16-Auszahlungen!P16-Auszahlungen!Y16</f>
        <v>0</v>
      </c>
      <c r="AI16" s="97">
        <f t="shared" si="3"/>
        <v>28500</v>
      </c>
    </row>
    <row r="17" spans="1:35" x14ac:dyDescent="0.2">
      <c r="A17" s="68">
        <v>10</v>
      </c>
      <c r="B17" s="94" t="s">
        <v>14</v>
      </c>
      <c r="C17" s="143">
        <v>59900</v>
      </c>
      <c r="D17" s="144">
        <v>74600</v>
      </c>
      <c r="E17" s="144">
        <v>55600</v>
      </c>
      <c r="F17" s="143">
        <v>0</v>
      </c>
      <c r="G17" s="144">
        <v>0</v>
      </c>
      <c r="H17" s="97">
        <f t="shared" si="0"/>
        <v>190100</v>
      </c>
      <c r="I17" s="69"/>
      <c r="J17" s="68">
        <v>10</v>
      </c>
      <c r="K17" s="94" t="s">
        <v>14</v>
      </c>
      <c r="L17" s="143">
        <v>59900</v>
      </c>
      <c r="M17" s="144">
        <v>74600</v>
      </c>
      <c r="N17" s="144">
        <v>55600</v>
      </c>
      <c r="O17" s="143">
        <v>0</v>
      </c>
      <c r="P17" s="144">
        <v>0</v>
      </c>
      <c r="Q17" s="97">
        <f t="shared" si="1"/>
        <v>190100</v>
      </c>
      <c r="R17" s="69"/>
      <c r="S17" s="68">
        <v>10</v>
      </c>
      <c r="T17" s="94" t="s">
        <v>14</v>
      </c>
      <c r="U17" s="143">
        <v>59900</v>
      </c>
      <c r="V17" s="144">
        <v>74600</v>
      </c>
      <c r="W17" s="144">
        <v>55600</v>
      </c>
      <c r="X17" s="143">
        <v>0</v>
      </c>
      <c r="Y17" s="144">
        <v>0</v>
      </c>
      <c r="Z17" s="97">
        <f t="shared" si="2"/>
        <v>190100</v>
      </c>
      <c r="AA17" s="69"/>
      <c r="AB17" s="68">
        <v>10</v>
      </c>
      <c r="AC17" s="94" t="s">
        <v>14</v>
      </c>
      <c r="AD17" s="35">
        <f>Total!C17-Auszahlungen!C17-Auszahlungen!L17-Auszahlungen!U17</f>
        <v>59800</v>
      </c>
      <c r="AE17" s="81">
        <f>Total!D17-Auszahlungen!D17-Auszahlungen!M17-Auszahlungen!V17</f>
        <v>74500</v>
      </c>
      <c r="AF17" s="81">
        <f>Total!E17-Auszahlungen!E17-Auszahlungen!N17-Auszahlungen!W17</f>
        <v>55400</v>
      </c>
      <c r="AG17" s="35">
        <f>Total!F17-Auszahlungen!F17-Auszahlungen!O17-Auszahlungen!X17</f>
        <v>0</v>
      </c>
      <c r="AH17" s="81">
        <f>Total!G17-Auszahlungen!G17-Auszahlungen!P17-Auszahlungen!Y17</f>
        <v>0</v>
      </c>
      <c r="AI17" s="97">
        <f t="shared" si="3"/>
        <v>189700</v>
      </c>
    </row>
    <row r="18" spans="1:35" x14ac:dyDescent="0.2">
      <c r="A18" s="68">
        <v>11</v>
      </c>
      <c r="B18" s="94" t="s">
        <v>15</v>
      </c>
      <c r="C18" s="143">
        <v>72200</v>
      </c>
      <c r="D18" s="144">
        <v>154600</v>
      </c>
      <c r="E18" s="144">
        <v>90400</v>
      </c>
      <c r="F18" s="143">
        <v>0</v>
      </c>
      <c r="G18" s="144">
        <v>0</v>
      </c>
      <c r="H18" s="97">
        <f t="shared" si="0"/>
        <v>317200</v>
      </c>
      <c r="I18" s="69"/>
      <c r="J18" s="68">
        <v>11</v>
      </c>
      <c r="K18" s="94" t="s">
        <v>15</v>
      </c>
      <c r="L18" s="143">
        <v>72200</v>
      </c>
      <c r="M18" s="144">
        <v>154600</v>
      </c>
      <c r="N18" s="144">
        <v>90400</v>
      </c>
      <c r="O18" s="143">
        <v>0</v>
      </c>
      <c r="P18" s="144">
        <v>0</v>
      </c>
      <c r="Q18" s="97">
        <f t="shared" si="1"/>
        <v>317200</v>
      </c>
      <c r="R18" s="69"/>
      <c r="S18" s="68">
        <v>11</v>
      </c>
      <c r="T18" s="94" t="s">
        <v>15</v>
      </c>
      <c r="U18" s="143">
        <v>72200</v>
      </c>
      <c r="V18" s="144">
        <v>154600</v>
      </c>
      <c r="W18" s="144">
        <v>90400</v>
      </c>
      <c r="X18" s="143">
        <v>0</v>
      </c>
      <c r="Y18" s="144">
        <v>0</v>
      </c>
      <c r="Z18" s="97">
        <f t="shared" si="2"/>
        <v>317200</v>
      </c>
      <c r="AA18" s="69"/>
      <c r="AB18" s="68">
        <v>11</v>
      </c>
      <c r="AC18" s="94" t="s">
        <v>15</v>
      </c>
      <c r="AD18" s="35">
        <f>Total!C18-Auszahlungen!C18-Auszahlungen!L18-Auszahlungen!U18</f>
        <v>72200</v>
      </c>
      <c r="AE18" s="81">
        <f>Total!D18-Auszahlungen!D18-Auszahlungen!M18-Auszahlungen!V18</f>
        <v>154500</v>
      </c>
      <c r="AF18" s="81">
        <f>Total!E18-Auszahlungen!E18-Auszahlungen!N18-Auszahlungen!W18</f>
        <v>90400</v>
      </c>
      <c r="AG18" s="35">
        <f>Total!F18-Auszahlungen!F18-Auszahlungen!O18-Auszahlungen!X18</f>
        <v>0</v>
      </c>
      <c r="AH18" s="81">
        <f>Total!G18-Auszahlungen!G18-Auszahlungen!P18-Auszahlungen!Y18</f>
        <v>0</v>
      </c>
      <c r="AI18" s="97">
        <f t="shared" si="3"/>
        <v>317100</v>
      </c>
    </row>
    <row r="19" spans="1:35" x14ac:dyDescent="0.2">
      <c r="A19" s="68">
        <v>12</v>
      </c>
      <c r="B19" s="94" t="s">
        <v>16</v>
      </c>
      <c r="C19" s="143">
        <v>0</v>
      </c>
      <c r="D19" s="144">
        <v>0</v>
      </c>
      <c r="E19" s="144">
        <v>0</v>
      </c>
      <c r="F19" s="143">
        <v>46500</v>
      </c>
      <c r="G19" s="144">
        <v>0</v>
      </c>
      <c r="H19" s="97">
        <f t="shared" si="0"/>
        <v>46500</v>
      </c>
      <c r="I19" s="69"/>
      <c r="J19" s="68">
        <v>12</v>
      </c>
      <c r="K19" s="94" t="s">
        <v>16</v>
      </c>
      <c r="L19" s="143">
        <v>0</v>
      </c>
      <c r="M19" s="144">
        <v>0</v>
      </c>
      <c r="N19" s="144">
        <v>0</v>
      </c>
      <c r="O19" s="143">
        <v>46500</v>
      </c>
      <c r="P19" s="144">
        <v>0</v>
      </c>
      <c r="Q19" s="97">
        <f t="shared" si="1"/>
        <v>46500</v>
      </c>
      <c r="R19" s="69"/>
      <c r="S19" s="68">
        <v>12</v>
      </c>
      <c r="T19" s="94" t="s">
        <v>16</v>
      </c>
      <c r="U19" s="143">
        <v>0</v>
      </c>
      <c r="V19" s="144">
        <v>0</v>
      </c>
      <c r="W19" s="144">
        <v>0</v>
      </c>
      <c r="X19" s="143">
        <v>46500</v>
      </c>
      <c r="Y19" s="144">
        <v>0</v>
      </c>
      <c r="Z19" s="97">
        <f t="shared" si="2"/>
        <v>46500</v>
      </c>
      <c r="AA19" s="69"/>
      <c r="AB19" s="68">
        <v>12</v>
      </c>
      <c r="AC19" s="94" t="s">
        <v>16</v>
      </c>
      <c r="AD19" s="35">
        <f>Total!C19-Auszahlungen!C19-Auszahlungen!L19-Auszahlungen!U19</f>
        <v>0</v>
      </c>
      <c r="AE19" s="81">
        <f>Total!D19-Auszahlungen!D19-Auszahlungen!M19-Auszahlungen!V19</f>
        <v>0</v>
      </c>
      <c r="AF19" s="81">
        <f>Total!E19-Auszahlungen!E19-Auszahlungen!N19-Auszahlungen!W19</f>
        <v>0</v>
      </c>
      <c r="AG19" s="35">
        <f>Total!F19-Auszahlungen!F19-Auszahlungen!O19-Auszahlungen!X19</f>
        <v>49800</v>
      </c>
      <c r="AH19" s="81">
        <f>Total!G19-Auszahlungen!G19-Auszahlungen!P19-Auszahlungen!Y19</f>
        <v>0</v>
      </c>
      <c r="AI19" s="97">
        <f t="shared" si="3"/>
        <v>49800</v>
      </c>
    </row>
    <row r="20" spans="1:35" x14ac:dyDescent="0.2">
      <c r="A20" s="68">
        <v>13</v>
      </c>
      <c r="B20" s="94" t="s">
        <v>17</v>
      </c>
      <c r="C20" s="143">
        <v>1532300</v>
      </c>
      <c r="D20" s="144">
        <v>0</v>
      </c>
      <c r="E20" s="144">
        <v>0</v>
      </c>
      <c r="F20" s="143">
        <v>239500</v>
      </c>
      <c r="G20" s="144">
        <v>0</v>
      </c>
      <c r="H20" s="97">
        <f t="shared" si="0"/>
        <v>1771800</v>
      </c>
      <c r="I20" s="69"/>
      <c r="J20" s="68">
        <v>13</v>
      </c>
      <c r="K20" s="94" t="s">
        <v>17</v>
      </c>
      <c r="L20" s="143">
        <v>1532300</v>
      </c>
      <c r="M20" s="144">
        <v>0</v>
      </c>
      <c r="N20" s="144">
        <v>0</v>
      </c>
      <c r="O20" s="143">
        <v>239500</v>
      </c>
      <c r="P20" s="144">
        <v>0</v>
      </c>
      <c r="Q20" s="97">
        <f t="shared" si="1"/>
        <v>1771800</v>
      </c>
      <c r="R20" s="69"/>
      <c r="S20" s="68">
        <v>13</v>
      </c>
      <c r="T20" s="94" t="s">
        <v>17</v>
      </c>
      <c r="U20" s="143">
        <v>1532300</v>
      </c>
      <c r="V20" s="144">
        <v>0</v>
      </c>
      <c r="W20" s="144">
        <v>0</v>
      </c>
      <c r="X20" s="143">
        <v>239500</v>
      </c>
      <c r="Y20" s="144">
        <v>0</v>
      </c>
      <c r="Z20" s="97">
        <f t="shared" si="2"/>
        <v>1771800</v>
      </c>
      <c r="AA20" s="69"/>
      <c r="AB20" s="68">
        <v>13</v>
      </c>
      <c r="AC20" s="94" t="s">
        <v>17</v>
      </c>
      <c r="AD20" s="35">
        <f>Total!C20-Auszahlungen!C20-Auszahlungen!L20-Auszahlungen!U20</f>
        <v>1532100</v>
      </c>
      <c r="AE20" s="81">
        <f>Total!D20-Auszahlungen!D20-Auszahlungen!M20-Auszahlungen!V20</f>
        <v>0</v>
      </c>
      <c r="AF20" s="81">
        <f>Total!E20-Auszahlungen!E20-Auszahlungen!N20-Auszahlungen!W20</f>
        <v>0</v>
      </c>
      <c r="AG20" s="35">
        <f>Total!F20-Auszahlungen!F20-Auszahlungen!O20-Auszahlungen!X20</f>
        <v>244700</v>
      </c>
      <c r="AH20" s="81">
        <f>Total!G20-Auszahlungen!G20-Auszahlungen!P20-Auszahlungen!Y20</f>
        <v>0</v>
      </c>
      <c r="AI20" s="97">
        <f t="shared" si="3"/>
        <v>1776800</v>
      </c>
    </row>
    <row r="21" spans="1:35" x14ac:dyDescent="0.2">
      <c r="A21" s="68">
        <v>14</v>
      </c>
      <c r="B21" s="94" t="s">
        <v>18</v>
      </c>
      <c r="C21" s="143">
        <v>0</v>
      </c>
      <c r="D21" s="144">
        <v>0</v>
      </c>
      <c r="E21" s="144">
        <v>0</v>
      </c>
      <c r="F21" s="143">
        <v>0</v>
      </c>
      <c r="G21" s="144">
        <v>0</v>
      </c>
      <c r="H21" s="97">
        <f t="shared" si="0"/>
        <v>0</v>
      </c>
      <c r="I21" s="69"/>
      <c r="J21" s="68">
        <v>14</v>
      </c>
      <c r="K21" s="94" t="s">
        <v>18</v>
      </c>
      <c r="L21" s="143">
        <v>0</v>
      </c>
      <c r="M21" s="144">
        <v>0</v>
      </c>
      <c r="N21" s="144">
        <v>0</v>
      </c>
      <c r="O21" s="143">
        <v>0</v>
      </c>
      <c r="P21" s="144">
        <v>0</v>
      </c>
      <c r="Q21" s="97">
        <f t="shared" si="1"/>
        <v>0</v>
      </c>
      <c r="R21" s="69"/>
      <c r="S21" s="68">
        <v>14</v>
      </c>
      <c r="T21" s="94" t="s">
        <v>18</v>
      </c>
      <c r="U21" s="143">
        <v>0</v>
      </c>
      <c r="V21" s="144">
        <v>0</v>
      </c>
      <c r="W21" s="144">
        <v>0</v>
      </c>
      <c r="X21" s="143">
        <v>0</v>
      </c>
      <c r="Y21" s="144">
        <v>0</v>
      </c>
      <c r="Z21" s="97">
        <f t="shared" si="2"/>
        <v>0</v>
      </c>
      <c r="AA21" s="69"/>
      <c r="AB21" s="68">
        <v>14</v>
      </c>
      <c r="AC21" s="94" t="s">
        <v>18</v>
      </c>
      <c r="AD21" s="35">
        <f>Total!C21-Auszahlungen!C21-Auszahlungen!L21-Auszahlungen!U21</f>
        <v>0</v>
      </c>
      <c r="AE21" s="81">
        <f>Total!D21-Auszahlungen!D21-Auszahlungen!M21-Auszahlungen!V21</f>
        <v>0</v>
      </c>
      <c r="AF21" s="81">
        <f>Total!E21-Auszahlungen!E21-Auszahlungen!N21-Auszahlungen!W21</f>
        <v>0</v>
      </c>
      <c r="AG21" s="35">
        <f>Total!F21-Auszahlungen!F21-Auszahlungen!O21-Auszahlungen!X21</f>
        <v>0</v>
      </c>
      <c r="AH21" s="81">
        <f>Total!G21-Auszahlungen!G21-Auszahlungen!P21-Auszahlungen!Y21</f>
        <v>0</v>
      </c>
      <c r="AI21" s="97">
        <f t="shared" si="3"/>
        <v>0</v>
      </c>
    </row>
    <row r="22" spans="1:35" x14ac:dyDescent="0.2">
      <c r="A22" s="68">
        <v>15</v>
      </c>
      <c r="B22" s="94" t="s">
        <v>19</v>
      </c>
      <c r="C22" s="143">
        <v>559600</v>
      </c>
      <c r="D22" s="144">
        <v>0</v>
      </c>
      <c r="E22" s="144">
        <v>0</v>
      </c>
      <c r="F22" s="143">
        <v>75800</v>
      </c>
      <c r="G22" s="144">
        <v>0</v>
      </c>
      <c r="H22" s="97">
        <f t="shared" si="0"/>
        <v>635400</v>
      </c>
      <c r="I22" s="69"/>
      <c r="J22" s="68">
        <v>15</v>
      </c>
      <c r="K22" s="94" t="s">
        <v>19</v>
      </c>
      <c r="L22" s="143">
        <v>559600</v>
      </c>
      <c r="M22" s="144">
        <v>0</v>
      </c>
      <c r="N22" s="144">
        <v>0</v>
      </c>
      <c r="O22" s="143">
        <v>75800</v>
      </c>
      <c r="P22" s="144">
        <v>0</v>
      </c>
      <c r="Q22" s="97">
        <f t="shared" si="1"/>
        <v>635400</v>
      </c>
      <c r="R22" s="69"/>
      <c r="S22" s="68">
        <v>15</v>
      </c>
      <c r="T22" s="94" t="s">
        <v>19</v>
      </c>
      <c r="U22" s="143">
        <v>559600</v>
      </c>
      <c r="V22" s="144">
        <v>0</v>
      </c>
      <c r="W22" s="144">
        <v>0</v>
      </c>
      <c r="X22" s="143">
        <v>75800</v>
      </c>
      <c r="Y22" s="144">
        <v>0</v>
      </c>
      <c r="Z22" s="97">
        <f t="shared" si="2"/>
        <v>635400</v>
      </c>
      <c r="AA22" s="69"/>
      <c r="AB22" s="68">
        <v>15</v>
      </c>
      <c r="AC22" s="94" t="s">
        <v>19</v>
      </c>
      <c r="AD22" s="35">
        <f>Total!C22-Auszahlungen!C22-Auszahlungen!L22-Auszahlungen!U22</f>
        <v>559400</v>
      </c>
      <c r="AE22" s="81">
        <f>Total!D22-Auszahlungen!D22-Auszahlungen!M22-Auszahlungen!V22</f>
        <v>0</v>
      </c>
      <c r="AF22" s="81">
        <f>Total!E22-Auszahlungen!E22-Auszahlungen!N22-Auszahlungen!W22</f>
        <v>0</v>
      </c>
      <c r="AG22" s="35">
        <f>Total!F22-Auszahlungen!F22-Auszahlungen!O22-Auszahlungen!X22</f>
        <v>77300</v>
      </c>
      <c r="AH22" s="81">
        <f>Total!G22-Auszahlungen!G22-Auszahlungen!P22-Auszahlungen!Y22</f>
        <v>0</v>
      </c>
      <c r="AI22" s="97">
        <f t="shared" si="3"/>
        <v>636700</v>
      </c>
    </row>
    <row r="23" spans="1:35" x14ac:dyDescent="0.2">
      <c r="A23" s="68">
        <v>16</v>
      </c>
      <c r="B23" s="94" t="s">
        <v>20</v>
      </c>
      <c r="C23" s="143">
        <v>488600</v>
      </c>
      <c r="D23" s="144">
        <v>0</v>
      </c>
      <c r="E23" s="144">
        <v>84000</v>
      </c>
      <c r="F23" s="143">
        <v>103600</v>
      </c>
      <c r="G23" s="144">
        <v>0</v>
      </c>
      <c r="H23" s="97">
        <f t="shared" si="0"/>
        <v>676200</v>
      </c>
      <c r="I23" s="69"/>
      <c r="J23" s="68">
        <v>16</v>
      </c>
      <c r="K23" s="94" t="s">
        <v>20</v>
      </c>
      <c r="L23" s="143">
        <v>488600</v>
      </c>
      <c r="M23" s="144">
        <v>0</v>
      </c>
      <c r="N23" s="144">
        <v>84000</v>
      </c>
      <c r="O23" s="143">
        <v>103600</v>
      </c>
      <c r="P23" s="144">
        <v>0</v>
      </c>
      <c r="Q23" s="97">
        <f t="shared" si="1"/>
        <v>676200</v>
      </c>
      <c r="R23" s="69"/>
      <c r="S23" s="68">
        <v>16</v>
      </c>
      <c r="T23" s="94" t="s">
        <v>20</v>
      </c>
      <c r="U23" s="143">
        <v>488600</v>
      </c>
      <c r="V23" s="144">
        <v>0</v>
      </c>
      <c r="W23" s="144">
        <v>84000</v>
      </c>
      <c r="X23" s="143">
        <v>103600</v>
      </c>
      <c r="Y23" s="144">
        <v>0</v>
      </c>
      <c r="Z23" s="97">
        <f t="shared" si="2"/>
        <v>676200</v>
      </c>
      <c r="AA23" s="69"/>
      <c r="AB23" s="68">
        <v>16</v>
      </c>
      <c r="AC23" s="94" t="s">
        <v>20</v>
      </c>
      <c r="AD23" s="35">
        <f>Total!C23-Auszahlungen!C23-Auszahlungen!L23-Auszahlungen!U23</f>
        <v>488500</v>
      </c>
      <c r="AE23" s="81">
        <f>Total!D23-Auszahlungen!D23-Auszahlungen!M23-Auszahlungen!V23</f>
        <v>0</v>
      </c>
      <c r="AF23" s="81">
        <f>Total!E23-Auszahlungen!E23-Auszahlungen!N23-Auszahlungen!W23</f>
        <v>83800</v>
      </c>
      <c r="AG23" s="35">
        <f>Total!F23-Auszahlungen!F23-Auszahlungen!O23-Auszahlungen!X23</f>
        <v>104900</v>
      </c>
      <c r="AH23" s="81">
        <f>Total!G23-Auszahlungen!G23-Auszahlungen!P23-Auszahlungen!Y23</f>
        <v>0</v>
      </c>
      <c r="AI23" s="97">
        <f t="shared" si="3"/>
        <v>677200</v>
      </c>
    </row>
    <row r="24" spans="1:35" x14ac:dyDescent="0.2">
      <c r="A24" s="68">
        <v>17</v>
      </c>
      <c r="B24" s="138" t="s">
        <v>21</v>
      </c>
      <c r="C24" s="143">
        <v>0</v>
      </c>
      <c r="D24" s="144">
        <v>0</v>
      </c>
      <c r="E24" s="144">
        <v>0</v>
      </c>
      <c r="F24" s="143">
        <v>9800</v>
      </c>
      <c r="G24" s="144">
        <v>0</v>
      </c>
      <c r="H24" s="137">
        <f t="shared" si="0"/>
        <v>9800</v>
      </c>
      <c r="I24" s="69"/>
      <c r="J24" s="68">
        <v>17</v>
      </c>
      <c r="K24" s="94" t="s">
        <v>21</v>
      </c>
      <c r="L24" s="143">
        <v>0</v>
      </c>
      <c r="M24" s="144">
        <v>0</v>
      </c>
      <c r="N24" s="144">
        <v>0</v>
      </c>
      <c r="O24" s="143">
        <v>9800</v>
      </c>
      <c r="P24" s="144">
        <v>0</v>
      </c>
      <c r="Q24" s="97">
        <f t="shared" si="1"/>
        <v>9800</v>
      </c>
      <c r="R24" s="69"/>
      <c r="S24" s="68">
        <v>17</v>
      </c>
      <c r="T24" s="94" t="s">
        <v>21</v>
      </c>
      <c r="U24" s="143">
        <v>0</v>
      </c>
      <c r="V24" s="144">
        <v>0</v>
      </c>
      <c r="W24" s="144">
        <v>0</v>
      </c>
      <c r="X24" s="143">
        <v>9800</v>
      </c>
      <c r="Y24" s="144">
        <v>0</v>
      </c>
      <c r="Z24" s="97">
        <f t="shared" si="2"/>
        <v>9800</v>
      </c>
      <c r="AA24" s="69"/>
      <c r="AB24" s="68">
        <v>17</v>
      </c>
      <c r="AC24" s="94" t="s">
        <v>21</v>
      </c>
      <c r="AD24" s="35">
        <f>Total!C24-Auszahlungen!C24-Auszahlungen!L24-Auszahlungen!U24</f>
        <v>0</v>
      </c>
      <c r="AE24" s="81">
        <f>Total!D24-Auszahlungen!D24-Auszahlungen!M24-Auszahlungen!V24</f>
        <v>0</v>
      </c>
      <c r="AF24" s="81">
        <f>Total!E24-Auszahlungen!E24-Auszahlungen!N24-Auszahlungen!W24</f>
        <v>0</v>
      </c>
      <c r="AG24" s="35">
        <f>Total!F24-Auszahlungen!F24-Auszahlungen!O24-Auszahlungen!X24</f>
        <v>13700</v>
      </c>
      <c r="AH24" s="81">
        <f>Total!G24-Auszahlungen!G24-Auszahlungen!P24-Auszahlungen!Y24</f>
        <v>0</v>
      </c>
      <c r="AI24" s="97">
        <f t="shared" si="3"/>
        <v>13700</v>
      </c>
    </row>
    <row r="25" spans="1:35" x14ac:dyDescent="0.2">
      <c r="A25" s="68">
        <v>18</v>
      </c>
      <c r="B25" s="94" t="s">
        <v>22</v>
      </c>
      <c r="C25" s="143">
        <v>0</v>
      </c>
      <c r="D25" s="144">
        <v>0</v>
      </c>
      <c r="E25" s="144">
        <v>1400</v>
      </c>
      <c r="F25" s="143">
        <v>0</v>
      </c>
      <c r="G25" s="144">
        <v>0</v>
      </c>
      <c r="H25" s="97">
        <f t="shared" si="0"/>
        <v>1400</v>
      </c>
      <c r="I25" s="69"/>
      <c r="J25" s="68">
        <v>18</v>
      </c>
      <c r="K25" s="94" t="s">
        <v>22</v>
      </c>
      <c r="L25" s="143">
        <v>0</v>
      </c>
      <c r="M25" s="144">
        <v>0</v>
      </c>
      <c r="N25" s="144">
        <v>1400</v>
      </c>
      <c r="O25" s="143">
        <v>0</v>
      </c>
      <c r="P25" s="144">
        <v>0</v>
      </c>
      <c r="Q25" s="97">
        <f t="shared" si="1"/>
        <v>1400</v>
      </c>
      <c r="R25" s="69"/>
      <c r="S25" s="68">
        <v>18</v>
      </c>
      <c r="T25" s="94" t="s">
        <v>22</v>
      </c>
      <c r="U25" s="143">
        <v>0</v>
      </c>
      <c r="V25" s="144">
        <v>0</v>
      </c>
      <c r="W25" s="144">
        <v>1400</v>
      </c>
      <c r="X25" s="143">
        <v>0</v>
      </c>
      <c r="Y25" s="144">
        <v>0</v>
      </c>
      <c r="Z25" s="97">
        <f t="shared" si="2"/>
        <v>1400</v>
      </c>
      <c r="AA25" s="69"/>
      <c r="AB25" s="68">
        <v>18</v>
      </c>
      <c r="AC25" s="94" t="s">
        <v>22</v>
      </c>
      <c r="AD25" s="35">
        <f>Total!C25-Auszahlungen!C25-Auszahlungen!L25-Auszahlungen!U25</f>
        <v>0</v>
      </c>
      <c r="AE25" s="81">
        <f>Total!D25-Auszahlungen!D25-Auszahlungen!M25-Auszahlungen!V25</f>
        <v>0</v>
      </c>
      <c r="AF25" s="81">
        <f>Total!E25-Auszahlungen!E25-Auszahlungen!N25-Auszahlungen!W25</f>
        <v>1500</v>
      </c>
      <c r="AG25" s="35">
        <f>Total!F25-Auszahlungen!F25-Auszahlungen!O25-Auszahlungen!X25</f>
        <v>0</v>
      </c>
      <c r="AH25" s="81">
        <f>Total!G25-Auszahlungen!G25-Auszahlungen!P25-Auszahlungen!Y25</f>
        <v>0</v>
      </c>
      <c r="AI25" s="97">
        <f t="shared" si="3"/>
        <v>1500</v>
      </c>
    </row>
    <row r="26" spans="1:35" x14ac:dyDescent="0.2">
      <c r="A26" s="68">
        <v>19</v>
      </c>
      <c r="B26" s="94" t="s">
        <v>23</v>
      </c>
      <c r="C26" s="143">
        <v>0</v>
      </c>
      <c r="D26" s="144">
        <v>0</v>
      </c>
      <c r="E26" s="144">
        <v>0</v>
      </c>
      <c r="F26" s="143">
        <v>0</v>
      </c>
      <c r="G26" s="144">
        <v>0</v>
      </c>
      <c r="H26" s="97">
        <f t="shared" si="0"/>
        <v>0</v>
      </c>
      <c r="I26" s="69"/>
      <c r="J26" s="68">
        <v>19</v>
      </c>
      <c r="K26" s="94" t="s">
        <v>23</v>
      </c>
      <c r="L26" s="143">
        <v>0</v>
      </c>
      <c r="M26" s="144">
        <v>0</v>
      </c>
      <c r="N26" s="144">
        <v>0</v>
      </c>
      <c r="O26" s="143">
        <v>0</v>
      </c>
      <c r="P26" s="144">
        <v>0</v>
      </c>
      <c r="Q26" s="97">
        <f t="shared" si="1"/>
        <v>0</v>
      </c>
      <c r="R26" s="69"/>
      <c r="S26" s="68">
        <v>19</v>
      </c>
      <c r="T26" s="94" t="s">
        <v>23</v>
      </c>
      <c r="U26" s="143">
        <v>0</v>
      </c>
      <c r="V26" s="144">
        <v>0</v>
      </c>
      <c r="W26" s="144">
        <v>0</v>
      </c>
      <c r="X26" s="143">
        <v>0</v>
      </c>
      <c r="Y26" s="144">
        <v>0</v>
      </c>
      <c r="Z26" s="97">
        <f t="shared" si="2"/>
        <v>0</v>
      </c>
      <c r="AA26" s="69"/>
      <c r="AB26" s="68">
        <v>19</v>
      </c>
      <c r="AC26" s="94" t="s">
        <v>23</v>
      </c>
      <c r="AD26" s="35">
        <f>Total!C26-Auszahlungen!C26-Auszahlungen!L26-Auszahlungen!U26</f>
        <v>0</v>
      </c>
      <c r="AE26" s="81">
        <f>Total!D26-Auszahlungen!D26-Auszahlungen!M26-Auszahlungen!V26</f>
        <v>0</v>
      </c>
      <c r="AF26" s="81">
        <f>Total!E26-Auszahlungen!E26-Auszahlungen!N26-Auszahlungen!W26</f>
        <v>0</v>
      </c>
      <c r="AG26" s="35">
        <f>Total!F26-Auszahlungen!F26-Auszahlungen!O26-Auszahlungen!X26</f>
        <v>0</v>
      </c>
      <c r="AH26" s="81">
        <f>Total!G26-Auszahlungen!G26-Auszahlungen!P26-Auszahlungen!Y26</f>
        <v>0</v>
      </c>
      <c r="AI26" s="97">
        <f t="shared" si="3"/>
        <v>0</v>
      </c>
    </row>
    <row r="27" spans="1:35" x14ac:dyDescent="0.2">
      <c r="A27" s="68">
        <v>20</v>
      </c>
      <c r="B27" s="94" t="s">
        <v>24</v>
      </c>
      <c r="C27" s="143">
        <v>0</v>
      </c>
      <c r="D27" s="144">
        <v>0</v>
      </c>
      <c r="E27" s="144">
        <v>65500</v>
      </c>
      <c r="F27" s="143">
        <v>0</v>
      </c>
      <c r="G27" s="144">
        <v>0</v>
      </c>
      <c r="H27" s="97">
        <f t="shared" si="0"/>
        <v>65500</v>
      </c>
      <c r="I27" s="69"/>
      <c r="J27" s="68">
        <v>20</v>
      </c>
      <c r="K27" s="94" t="s">
        <v>24</v>
      </c>
      <c r="L27" s="143">
        <v>0</v>
      </c>
      <c r="M27" s="144">
        <v>0</v>
      </c>
      <c r="N27" s="144">
        <v>65500</v>
      </c>
      <c r="O27" s="143">
        <v>0</v>
      </c>
      <c r="P27" s="144">
        <v>0</v>
      </c>
      <c r="Q27" s="97">
        <f t="shared" si="1"/>
        <v>65500</v>
      </c>
      <c r="R27" s="69"/>
      <c r="S27" s="68">
        <v>20</v>
      </c>
      <c r="T27" s="94" t="s">
        <v>24</v>
      </c>
      <c r="U27" s="143">
        <v>0</v>
      </c>
      <c r="V27" s="144">
        <v>0</v>
      </c>
      <c r="W27" s="144">
        <v>65500</v>
      </c>
      <c r="X27" s="143">
        <v>0</v>
      </c>
      <c r="Y27" s="144">
        <v>0</v>
      </c>
      <c r="Z27" s="97">
        <f t="shared" si="2"/>
        <v>65500</v>
      </c>
      <c r="AA27" s="69"/>
      <c r="AB27" s="68">
        <v>20</v>
      </c>
      <c r="AC27" s="94" t="s">
        <v>24</v>
      </c>
      <c r="AD27" s="35">
        <f>Total!C27-Auszahlungen!C27-Auszahlungen!L27-Auszahlungen!U27</f>
        <v>0</v>
      </c>
      <c r="AE27" s="81">
        <f>Total!D27-Auszahlungen!D27-Auszahlungen!M27-Auszahlungen!V27</f>
        <v>0</v>
      </c>
      <c r="AF27" s="81">
        <f>Total!E27-Auszahlungen!E27-Auszahlungen!N27-Auszahlungen!W27</f>
        <v>65400</v>
      </c>
      <c r="AG27" s="35">
        <f>Total!F27-Auszahlungen!F27-Auszahlungen!O27-Auszahlungen!X27</f>
        <v>0</v>
      </c>
      <c r="AH27" s="81">
        <f>Total!G27-Auszahlungen!G27-Auszahlungen!P27-Auszahlungen!Y27</f>
        <v>0</v>
      </c>
      <c r="AI27" s="97">
        <f t="shared" si="3"/>
        <v>65400</v>
      </c>
    </row>
    <row r="28" spans="1:35" x14ac:dyDescent="0.2">
      <c r="A28" s="68">
        <v>21</v>
      </c>
      <c r="B28" s="94" t="s">
        <v>25</v>
      </c>
      <c r="C28" s="143">
        <v>0</v>
      </c>
      <c r="D28" s="144">
        <v>0</v>
      </c>
      <c r="E28" s="144">
        <v>4700</v>
      </c>
      <c r="F28" s="143">
        <v>0</v>
      </c>
      <c r="G28" s="144">
        <v>0</v>
      </c>
      <c r="H28" s="97">
        <f t="shared" si="0"/>
        <v>4700</v>
      </c>
      <c r="I28" s="69"/>
      <c r="J28" s="68">
        <v>21</v>
      </c>
      <c r="K28" s="94" t="s">
        <v>25</v>
      </c>
      <c r="L28" s="143">
        <v>0</v>
      </c>
      <c r="M28" s="144">
        <v>0</v>
      </c>
      <c r="N28" s="144">
        <v>4700</v>
      </c>
      <c r="O28" s="143">
        <v>0</v>
      </c>
      <c r="P28" s="144">
        <v>0</v>
      </c>
      <c r="Q28" s="97">
        <f t="shared" si="1"/>
        <v>4700</v>
      </c>
      <c r="R28" s="69"/>
      <c r="S28" s="68">
        <v>21</v>
      </c>
      <c r="T28" s="94" t="s">
        <v>25</v>
      </c>
      <c r="U28" s="143">
        <v>0</v>
      </c>
      <c r="V28" s="144">
        <v>0</v>
      </c>
      <c r="W28" s="144">
        <v>4700</v>
      </c>
      <c r="X28" s="143">
        <v>0</v>
      </c>
      <c r="Y28" s="144">
        <v>0</v>
      </c>
      <c r="Z28" s="97">
        <f t="shared" si="2"/>
        <v>4700</v>
      </c>
      <c r="AA28" s="69"/>
      <c r="AB28" s="68">
        <v>21</v>
      </c>
      <c r="AC28" s="94" t="s">
        <v>25</v>
      </c>
      <c r="AD28" s="35">
        <f>Total!C28-Auszahlungen!C28-Auszahlungen!L28-Auszahlungen!U28</f>
        <v>0</v>
      </c>
      <c r="AE28" s="81">
        <f>Total!D28-Auszahlungen!D28-Auszahlungen!M28-Auszahlungen!V28</f>
        <v>0</v>
      </c>
      <c r="AF28" s="81">
        <f>Total!E28-Auszahlungen!E28-Auszahlungen!N28-Auszahlungen!W28</f>
        <v>4700</v>
      </c>
      <c r="AG28" s="35">
        <f>Total!F28-Auszahlungen!F28-Auszahlungen!O28-Auszahlungen!X28</f>
        <v>0</v>
      </c>
      <c r="AH28" s="81">
        <f>Total!G28-Auszahlungen!G28-Auszahlungen!P28-Auszahlungen!Y28</f>
        <v>0</v>
      </c>
      <c r="AI28" s="97">
        <f t="shared" si="3"/>
        <v>4700</v>
      </c>
    </row>
    <row r="29" spans="1:35" x14ac:dyDescent="0.2">
      <c r="A29" s="68">
        <v>22</v>
      </c>
      <c r="B29" s="94" t="s">
        <v>26</v>
      </c>
      <c r="C29" s="143">
        <v>121000</v>
      </c>
      <c r="D29" s="144">
        <v>0</v>
      </c>
      <c r="E29" s="144">
        <v>0</v>
      </c>
      <c r="F29" s="143">
        <v>26200</v>
      </c>
      <c r="G29" s="144">
        <v>0</v>
      </c>
      <c r="H29" s="97">
        <f t="shared" si="0"/>
        <v>147200</v>
      </c>
      <c r="I29" s="69"/>
      <c r="J29" s="68">
        <v>22</v>
      </c>
      <c r="K29" s="94" t="s">
        <v>26</v>
      </c>
      <c r="L29" s="143">
        <v>121000</v>
      </c>
      <c r="M29" s="144">
        <v>0</v>
      </c>
      <c r="N29" s="144">
        <v>0</v>
      </c>
      <c r="O29" s="143">
        <v>26200</v>
      </c>
      <c r="P29" s="144">
        <v>0</v>
      </c>
      <c r="Q29" s="97">
        <f t="shared" si="1"/>
        <v>147200</v>
      </c>
      <c r="R29" s="69"/>
      <c r="S29" s="68">
        <v>22</v>
      </c>
      <c r="T29" s="94" t="s">
        <v>26</v>
      </c>
      <c r="U29" s="143">
        <v>121000</v>
      </c>
      <c r="V29" s="144">
        <v>0</v>
      </c>
      <c r="W29" s="144">
        <v>0</v>
      </c>
      <c r="X29" s="143">
        <v>26200</v>
      </c>
      <c r="Y29" s="144">
        <v>0</v>
      </c>
      <c r="Z29" s="97">
        <f t="shared" si="2"/>
        <v>147200</v>
      </c>
      <c r="AA29" s="69"/>
      <c r="AB29" s="68">
        <v>22</v>
      </c>
      <c r="AC29" s="94" t="s">
        <v>26</v>
      </c>
      <c r="AD29" s="35">
        <f>Total!C29-Auszahlungen!C29-Auszahlungen!L29-Auszahlungen!U29</f>
        <v>121100</v>
      </c>
      <c r="AE29" s="81">
        <f>Total!D29-Auszahlungen!D29-Auszahlungen!M29-Auszahlungen!V29</f>
        <v>0</v>
      </c>
      <c r="AF29" s="81">
        <f>Total!E29-Auszahlungen!E29-Auszahlungen!N29-Auszahlungen!W29</f>
        <v>0</v>
      </c>
      <c r="AG29" s="35">
        <f>Total!F29-Auszahlungen!F29-Auszahlungen!O29-Auszahlungen!X29</f>
        <v>27300</v>
      </c>
      <c r="AH29" s="81">
        <f>Total!G29-Auszahlungen!G29-Auszahlungen!P29-Auszahlungen!Y29</f>
        <v>0</v>
      </c>
      <c r="AI29" s="97">
        <f t="shared" si="3"/>
        <v>148400</v>
      </c>
    </row>
    <row r="30" spans="1:35" x14ac:dyDescent="0.2">
      <c r="A30" s="68">
        <v>23</v>
      </c>
      <c r="B30" s="94" t="s">
        <v>27</v>
      </c>
      <c r="C30" s="143">
        <v>104100</v>
      </c>
      <c r="D30" s="144">
        <v>34200</v>
      </c>
      <c r="E30" s="144">
        <v>0</v>
      </c>
      <c r="F30" s="143">
        <v>0</v>
      </c>
      <c r="G30" s="144">
        <v>0</v>
      </c>
      <c r="H30" s="97">
        <f t="shared" si="0"/>
        <v>138300</v>
      </c>
      <c r="I30" s="69"/>
      <c r="J30" s="68">
        <v>23</v>
      </c>
      <c r="K30" s="94" t="s">
        <v>27</v>
      </c>
      <c r="L30" s="143">
        <v>104100</v>
      </c>
      <c r="M30" s="144">
        <v>34200</v>
      </c>
      <c r="N30" s="144">
        <v>0</v>
      </c>
      <c r="O30" s="143">
        <v>0</v>
      </c>
      <c r="P30" s="144">
        <v>0</v>
      </c>
      <c r="Q30" s="97">
        <f t="shared" si="1"/>
        <v>138300</v>
      </c>
      <c r="R30" s="69"/>
      <c r="S30" s="68">
        <v>23</v>
      </c>
      <c r="T30" s="94" t="s">
        <v>27</v>
      </c>
      <c r="U30" s="143">
        <v>104100</v>
      </c>
      <c r="V30" s="144">
        <v>34200</v>
      </c>
      <c r="W30" s="144">
        <v>0</v>
      </c>
      <c r="X30" s="143">
        <v>0</v>
      </c>
      <c r="Y30" s="144">
        <v>0</v>
      </c>
      <c r="Z30" s="97">
        <f t="shared" si="2"/>
        <v>138300</v>
      </c>
      <c r="AA30" s="69"/>
      <c r="AB30" s="68">
        <v>23</v>
      </c>
      <c r="AC30" s="94" t="s">
        <v>27</v>
      </c>
      <c r="AD30" s="35">
        <f>Total!C30-Auszahlungen!C30-Auszahlungen!L30-Auszahlungen!U30</f>
        <v>104000</v>
      </c>
      <c r="AE30" s="81">
        <f>Total!D30-Auszahlungen!D30-Auszahlungen!M30-Auszahlungen!V30</f>
        <v>34300</v>
      </c>
      <c r="AF30" s="81">
        <f>Total!E30-Auszahlungen!E30-Auszahlungen!N30-Auszahlungen!W30</f>
        <v>0</v>
      </c>
      <c r="AG30" s="35">
        <f>Total!F30-Auszahlungen!F30-Auszahlungen!O30-Auszahlungen!X30</f>
        <v>0</v>
      </c>
      <c r="AH30" s="81">
        <f>Total!G30-Auszahlungen!G30-Auszahlungen!P30-Auszahlungen!Y30</f>
        <v>0</v>
      </c>
      <c r="AI30" s="97">
        <f t="shared" si="3"/>
        <v>138300</v>
      </c>
    </row>
    <row r="31" spans="1:35" x14ac:dyDescent="0.2">
      <c r="A31" s="68">
        <v>24</v>
      </c>
      <c r="B31" s="94" t="s">
        <v>28</v>
      </c>
      <c r="C31" s="143">
        <v>237700</v>
      </c>
      <c r="D31" s="144">
        <v>233600</v>
      </c>
      <c r="E31" s="144">
        <v>0</v>
      </c>
      <c r="F31" s="143">
        <v>0</v>
      </c>
      <c r="G31" s="144">
        <v>0</v>
      </c>
      <c r="H31" s="97">
        <f t="shared" si="0"/>
        <v>471300</v>
      </c>
      <c r="I31" s="69"/>
      <c r="J31" s="68">
        <v>24</v>
      </c>
      <c r="K31" s="94" t="s">
        <v>28</v>
      </c>
      <c r="L31" s="143">
        <v>237700</v>
      </c>
      <c r="M31" s="144">
        <v>233600</v>
      </c>
      <c r="N31" s="144">
        <v>0</v>
      </c>
      <c r="O31" s="143">
        <v>0</v>
      </c>
      <c r="P31" s="144">
        <v>0</v>
      </c>
      <c r="Q31" s="97">
        <f t="shared" si="1"/>
        <v>471300</v>
      </c>
      <c r="R31" s="69"/>
      <c r="S31" s="68">
        <v>24</v>
      </c>
      <c r="T31" s="94" t="s">
        <v>28</v>
      </c>
      <c r="U31" s="143">
        <v>237700</v>
      </c>
      <c r="V31" s="144">
        <v>233600</v>
      </c>
      <c r="W31" s="144">
        <v>0</v>
      </c>
      <c r="X31" s="143">
        <v>0</v>
      </c>
      <c r="Y31" s="144">
        <v>0</v>
      </c>
      <c r="Z31" s="97">
        <f t="shared" si="2"/>
        <v>471300</v>
      </c>
      <c r="AA31" s="69"/>
      <c r="AB31" s="68">
        <v>24</v>
      </c>
      <c r="AC31" s="94" t="s">
        <v>28</v>
      </c>
      <c r="AD31" s="35">
        <f>Total!C31-Auszahlungen!C31-Auszahlungen!L31-Auszahlungen!U31</f>
        <v>237700</v>
      </c>
      <c r="AE31" s="81">
        <f>Total!D31-Auszahlungen!D31-Auszahlungen!M31-Auszahlungen!V31</f>
        <v>233600</v>
      </c>
      <c r="AF31" s="81">
        <f>Total!E31-Auszahlungen!E31-Auszahlungen!N31-Auszahlungen!W31</f>
        <v>0</v>
      </c>
      <c r="AG31" s="35">
        <f>Total!F31-Auszahlungen!F31-Auszahlungen!O31-Auszahlungen!X31</f>
        <v>0</v>
      </c>
      <c r="AH31" s="81">
        <f>Total!G31-Auszahlungen!G31-Auszahlungen!P31-Auszahlungen!Y31</f>
        <v>0</v>
      </c>
      <c r="AI31" s="97">
        <f t="shared" si="3"/>
        <v>471300</v>
      </c>
    </row>
    <row r="32" spans="1:35" x14ac:dyDescent="0.2">
      <c r="A32" s="68">
        <v>25</v>
      </c>
      <c r="B32" s="94" t="s">
        <v>29</v>
      </c>
      <c r="C32" s="143">
        <v>233900</v>
      </c>
      <c r="D32" s="144">
        <v>58100</v>
      </c>
      <c r="E32" s="144">
        <v>32500</v>
      </c>
      <c r="F32" s="143">
        <v>0</v>
      </c>
      <c r="G32" s="144">
        <v>0</v>
      </c>
      <c r="H32" s="97">
        <f t="shared" si="0"/>
        <v>324500</v>
      </c>
      <c r="I32" s="69"/>
      <c r="J32" s="68">
        <v>25</v>
      </c>
      <c r="K32" s="94" t="s">
        <v>29</v>
      </c>
      <c r="L32" s="143">
        <v>233900</v>
      </c>
      <c r="M32" s="144">
        <v>58100</v>
      </c>
      <c r="N32" s="144">
        <v>32500</v>
      </c>
      <c r="O32" s="143">
        <v>0</v>
      </c>
      <c r="P32" s="144">
        <v>0</v>
      </c>
      <c r="Q32" s="97">
        <f t="shared" si="1"/>
        <v>324500</v>
      </c>
      <c r="R32" s="69"/>
      <c r="S32" s="68">
        <v>25</v>
      </c>
      <c r="T32" s="94" t="s">
        <v>29</v>
      </c>
      <c r="U32" s="143">
        <v>233900</v>
      </c>
      <c r="V32" s="144">
        <v>58100</v>
      </c>
      <c r="W32" s="144">
        <v>32500</v>
      </c>
      <c r="X32" s="143">
        <v>0</v>
      </c>
      <c r="Y32" s="144">
        <v>0</v>
      </c>
      <c r="Z32" s="97">
        <f t="shared" si="2"/>
        <v>324500</v>
      </c>
      <c r="AA32" s="69"/>
      <c r="AB32" s="68">
        <v>25</v>
      </c>
      <c r="AC32" s="94" t="s">
        <v>29</v>
      </c>
      <c r="AD32" s="35">
        <f>Total!C32-Auszahlungen!C32-Auszahlungen!L32-Auszahlungen!U32</f>
        <v>234000</v>
      </c>
      <c r="AE32" s="81">
        <f>Total!D32-Auszahlungen!D32-Auszahlungen!M32-Auszahlungen!V32</f>
        <v>57900</v>
      </c>
      <c r="AF32" s="81">
        <f>Total!E32-Auszahlungen!E32-Auszahlungen!N32-Auszahlungen!W32</f>
        <v>32400</v>
      </c>
      <c r="AG32" s="35">
        <f>Total!F32-Auszahlungen!F32-Auszahlungen!O32-Auszahlungen!X32</f>
        <v>0</v>
      </c>
      <c r="AH32" s="81">
        <f>Total!G32-Auszahlungen!G32-Auszahlungen!P32-Auszahlungen!Y32</f>
        <v>0</v>
      </c>
      <c r="AI32" s="97">
        <f t="shared" si="3"/>
        <v>324300</v>
      </c>
    </row>
    <row r="33" spans="1:35" x14ac:dyDescent="0.2">
      <c r="A33" s="68">
        <v>26</v>
      </c>
      <c r="B33" s="94" t="s">
        <v>30</v>
      </c>
      <c r="C33" s="143">
        <v>325100</v>
      </c>
      <c r="D33" s="144">
        <v>353100</v>
      </c>
      <c r="E33" s="144">
        <v>218600</v>
      </c>
      <c r="F33" s="143">
        <v>0</v>
      </c>
      <c r="G33" s="144">
        <v>0</v>
      </c>
      <c r="H33" s="97">
        <f t="shared" si="0"/>
        <v>896800</v>
      </c>
      <c r="I33" s="69"/>
      <c r="J33" s="68">
        <v>26</v>
      </c>
      <c r="K33" s="94" t="s">
        <v>30</v>
      </c>
      <c r="L33" s="143">
        <v>325100</v>
      </c>
      <c r="M33" s="144">
        <v>353100</v>
      </c>
      <c r="N33" s="144">
        <v>218600</v>
      </c>
      <c r="O33" s="143">
        <v>0</v>
      </c>
      <c r="P33" s="144">
        <v>0</v>
      </c>
      <c r="Q33" s="97">
        <f t="shared" si="1"/>
        <v>896800</v>
      </c>
      <c r="R33" s="69"/>
      <c r="S33" s="68">
        <v>26</v>
      </c>
      <c r="T33" s="94" t="s">
        <v>30</v>
      </c>
      <c r="U33" s="143">
        <v>325100</v>
      </c>
      <c r="V33" s="144">
        <v>353100</v>
      </c>
      <c r="W33" s="144">
        <v>218600</v>
      </c>
      <c r="X33" s="143">
        <v>0</v>
      </c>
      <c r="Y33" s="144">
        <v>0</v>
      </c>
      <c r="Z33" s="97">
        <f t="shared" si="2"/>
        <v>896800</v>
      </c>
      <c r="AA33" s="69"/>
      <c r="AB33" s="68">
        <v>26</v>
      </c>
      <c r="AC33" s="94" t="s">
        <v>30</v>
      </c>
      <c r="AD33" s="35">
        <f>Total!C33-Auszahlungen!C33-Auszahlungen!L33-Auszahlungen!U33</f>
        <v>325200</v>
      </c>
      <c r="AE33" s="81">
        <f>Total!D33-Auszahlungen!D33-Auszahlungen!M33-Auszahlungen!V33</f>
        <v>353000</v>
      </c>
      <c r="AF33" s="81">
        <f>Total!E33-Auszahlungen!E33-Auszahlungen!N33-Auszahlungen!W33</f>
        <v>218800</v>
      </c>
      <c r="AG33" s="35">
        <f>Total!F33-Auszahlungen!F33-Auszahlungen!O33-Auszahlungen!X33</f>
        <v>0</v>
      </c>
      <c r="AH33" s="81">
        <f>Total!G33-Auszahlungen!G33-Auszahlungen!P33-Auszahlungen!Y33</f>
        <v>0</v>
      </c>
      <c r="AI33" s="97">
        <f t="shared" si="3"/>
        <v>897000</v>
      </c>
    </row>
    <row r="34" spans="1:35" x14ac:dyDescent="0.2">
      <c r="A34" s="68">
        <v>27</v>
      </c>
      <c r="B34" s="94" t="s">
        <v>31</v>
      </c>
      <c r="C34" s="143">
        <v>126400</v>
      </c>
      <c r="D34" s="144">
        <v>61000</v>
      </c>
      <c r="E34" s="144">
        <v>172100</v>
      </c>
      <c r="F34" s="143">
        <v>0</v>
      </c>
      <c r="G34" s="144">
        <v>0</v>
      </c>
      <c r="H34" s="97">
        <f t="shared" si="0"/>
        <v>359500</v>
      </c>
      <c r="I34" s="69"/>
      <c r="J34" s="68">
        <v>27</v>
      </c>
      <c r="K34" s="94" t="s">
        <v>31</v>
      </c>
      <c r="L34" s="143">
        <v>126400</v>
      </c>
      <c r="M34" s="144">
        <v>61000</v>
      </c>
      <c r="N34" s="144">
        <v>172100</v>
      </c>
      <c r="O34" s="143">
        <v>0</v>
      </c>
      <c r="P34" s="144">
        <v>0</v>
      </c>
      <c r="Q34" s="97">
        <f t="shared" si="1"/>
        <v>359500</v>
      </c>
      <c r="R34" s="69"/>
      <c r="S34" s="68">
        <v>27</v>
      </c>
      <c r="T34" s="94" t="s">
        <v>31</v>
      </c>
      <c r="U34" s="143">
        <v>126400</v>
      </c>
      <c r="V34" s="144">
        <v>61000</v>
      </c>
      <c r="W34" s="144">
        <v>172100</v>
      </c>
      <c r="X34" s="143">
        <v>0</v>
      </c>
      <c r="Y34" s="144">
        <v>0</v>
      </c>
      <c r="Z34" s="97">
        <f t="shared" si="2"/>
        <v>359500</v>
      </c>
      <c r="AA34" s="69"/>
      <c r="AB34" s="68">
        <v>27</v>
      </c>
      <c r="AC34" s="94" t="s">
        <v>31</v>
      </c>
      <c r="AD34" s="35">
        <f>Total!C34-Auszahlungen!C34-Auszahlungen!L34-Auszahlungen!U34</f>
        <v>126200</v>
      </c>
      <c r="AE34" s="81">
        <f>Total!D34-Auszahlungen!D34-Auszahlungen!M34-Auszahlungen!V34</f>
        <v>60800</v>
      </c>
      <c r="AF34" s="81">
        <f>Total!E34-Auszahlungen!E34-Auszahlungen!N34-Auszahlungen!W34</f>
        <v>172100</v>
      </c>
      <c r="AG34" s="35">
        <f>Total!F34-Auszahlungen!F34-Auszahlungen!O34-Auszahlungen!X34</f>
        <v>0</v>
      </c>
      <c r="AH34" s="81">
        <f>Total!G34-Auszahlungen!G34-Auszahlungen!P34-Auszahlungen!Y34</f>
        <v>0</v>
      </c>
      <c r="AI34" s="97">
        <f t="shared" si="3"/>
        <v>359100</v>
      </c>
    </row>
    <row r="35" spans="1:35" x14ac:dyDescent="0.2">
      <c r="A35" s="68">
        <v>28</v>
      </c>
      <c r="B35" s="94" t="s">
        <v>32</v>
      </c>
      <c r="C35" s="143">
        <v>0</v>
      </c>
      <c r="D35" s="144">
        <v>0</v>
      </c>
      <c r="E35" s="144">
        <v>0</v>
      </c>
      <c r="F35" s="143">
        <v>0</v>
      </c>
      <c r="G35" s="144">
        <v>0</v>
      </c>
      <c r="H35" s="97">
        <f t="shared" si="0"/>
        <v>0</v>
      </c>
      <c r="I35" s="69"/>
      <c r="J35" s="68">
        <v>28</v>
      </c>
      <c r="K35" s="94" t="s">
        <v>32</v>
      </c>
      <c r="L35" s="143">
        <v>0</v>
      </c>
      <c r="M35" s="144">
        <v>0</v>
      </c>
      <c r="N35" s="144">
        <v>0</v>
      </c>
      <c r="O35" s="143">
        <v>0</v>
      </c>
      <c r="P35" s="144">
        <v>0</v>
      </c>
      <c r="Q35" s="97">
        <f t="shared" si="1"/>
        <v>0</v>
      </c>
      <c r="R35" s="69"/>
      <c r="S35" s="68">
        <v>28</v>
      </c>
      <c r="T35" s="94" t="s">
        <v>32</v>
      </c>
      <c r="U35" s="143">
        <v>0</v>
      </c>
      <c r="V35" s="144">
        <v>0</v>
      </c>
      <c r="W35" s="144">
        <v>0</v>
      </c>
      <c r="X35" s="143">
        <v>0</v>
      </c>
      <c r="Y35" s="144">
        <v>0</v>
      </c>
      <c r="Z35" s="97">
        <f t="shared" si="2"/>
        <v>0</v>
      </c>
      <c r="AA35" s="69"/>
      <c r="AB35" s="68">
        <v>28</v>
      </c>
      <c r="AC35" s="94" t="s">
        <v>32</v>
      </c>
      <c r="AD35" s="35">
        <f>Total!C35-Auszahlungen!C35-Auszahlungen!L35-Auszahlungen!U35</f>
        <v>0</v>
      </c>
      <c r="AE35" s="81">
        <f>Total!D35-Auszahlungen!D35-Auszahlungen!M35-Auszahlungen!V35</f>
        <v>0</v>
      </c>
      <c r="AF35" s="81">
        <f>Total!E35-Auszahlungen!E35-Auszahlungen!N35-Auszahlungen!W35</f>
        <v>0</v>
      </c>
      <c r="AG35" s="35">
        <f>Total!F35-Auszahlungen!F35-Auszahlungen!O35-Auszahlungen!X35</f>
        <v>0</v>
      </c>
      <c r="AH35" s="81">
        <f>Total!G35-Auszahlungen!G35-Auszahlungen!P35-Auszahlungen!Y35</f>
        <v>0</v>
      </c>
      <c r="AI35" s="97">
        <f t="shared" si="3"/>
        <v>0</v>
      </c>
    </row>
    <row r="36" spans="1:35" x14ac:dyDescent="0.2">
      <c r="A36" s="68">
        <v>29</v>
      </c>
      <c r="B36" s="94" t="s">
        <v>33</v>
      </c>
      <c r="C36" s="143">
        <v>399600</v>
      </c>
      <c r="D36" s="144">
        <v>103500</v>
      </c>
      <c r="E36" s="144">
        <v>210600</v>
      </c>
      <c r="F36" s="143">
        <v>0</v>
      </c>
      <c r="G36" s="144">
        <v>0</v>
      </c>
      <c r="H36" s="97">
        <f t="shared" si="0"/>
        <v>713700</v>
      </c>
      <c r="I36" s="69"/>
      <c r="J36" s="68">
        <v>29</v>
      </c>
      <c r="K36" s="94" t="s">
        <v>33</v>
      </c>
      <c r="L36" s="143">
        <v>399600</v>
      </c>
      <c r="M36" s="144">
        <v>103500</v>
      </c>
      <c r="N36" s="144">
        <v>210600</v>
      </c>
      <c r="O36" s="143">
        <v>0</v>
      </c>
      <c r="P36" s="144">
        <v>0</v>
      </c>
      <c r="Q36" s="97">
        <f t="shared" si="1"/>
        <v>713700</v>
      </c>
      <c r="R36" s="69"/>
      <c r="S36" s="68">
        <v>29</v>
      </c>
      <c r="T36" s="94" t="s">
        <v>33</v>
      </c>
      <c r="U36" s="143">
        <v>399600</v>
      </c>
      <c r="V36" s="144">
        <v>103500</v>
      </c>
      <c r="W36" s="144">
        <v>210600</v>
      </c>
      <c r="X36" s="143">
        <v>0</v>
      </c>
      <c r="Y36" s="144">
        <v>0</v>
      </c>
      <c r="Z36" s="97">
        <f t="shared" si="2"/>
        <v>713700</v>
      </c>
      <c r="AA36" s="69"/>
      <c r="AB36" s="68">
        <v>29</v>
      </c>
      <c r="AC36" s="94" t="s">
        <v>33</v>
      </c>
      <c r="AD36" s="35">
        <f>Total!C36-Auszahlungen!C36-Auszahlungen!L36-Auszahlungen!U36</f>
        <v>399500</v>
      </c>
      <c r="AE36" s="81">
        <f>Total!D36-Auszahlungen!D36-Auszahlungen!M36-Auszahlungen!V36</f>
        <v>103500</v>
      </c>
      <c r="AF36" s="81">
        <f>Total!E36-Auszahlungen!E36-Auszahlungen!N36-Auszahlungen!W36</f>
        <v>210500</v>
      </c>
      <c r="AG36" s="35">
        <f>Total!F36-Auszahlungen!F36-Auszahlungen!O36-Auszahlungen!X36</f>
        <v>0</v>
      </c>
      <c r="AH36" s="81">
        <f>Total!G36-Auszahlungen!G36-Auszahlungen!P36-Auszahlungen!Y36</f>
        <v>0</v>
      </c>
      <c r="AI36" s="97">
        <f t="shared" si="3"/>
        <v>713500</v>
      </c>
    </row>
    <row r="37" spans="1:35" x14ac:dyDescent="0.2">
      <c r="A37" s="68">
        <v>30</v>
      </c>
      <c r="B37" s="94" t="s">
        <v>34</v>
      </c>
      <c r="C37" s="143">
        <v>543600</v>
      </c>
      <c r="D37" s="144">
        <v>250200</v>
      </c>
      <c r="E37" s="144">
        <v>184800</v>
      </c>
      <c r="F37" s="143">
        <v>0</v>
      </c>
      <c r="G37" s="144">
        <v>0</v>
      </c>
      <c r="H37" s="97">
        <f t="shared" si="0"/>
        <v>978600</v>
      </c>
      <c r="I37" s="69"/>
      <c r="J37" s="68">
        <v>30</v>
      </c>
      <c r="K37" s="94" t="s">
        <v>34</v>
      </c>
      <c r="L37" s="143">
        <v>543600</v>
      </c>
      <c r="M37" s="144">
        <v>250200</v>
      </c>
      <c r="N37" s="144">
        <v>184800</v>
      </c>
      <c r="O37" s="143">
        <v>0</v>
      </c>
      <c r="P37" s="144">
        <v>0</v>
      </c>
      <c r="Q37" s="97">
        <f t="shared" si="1"/>
        <v>978600</v>
      </c>
      <c r="R37" s="69"/>
      <c r="S37" s="68">
        <v>30</v>
      </c>
      <c r="T37" s="94" t="s">
        <v>34</v>
      </c>
      <c r="U37" s="143">
        <v>543600</v>
      </c>
      <c r="V37" s="144">
        <v>250200</v>
      </c>
      <c r="W37" s="144">
        <v>184800</v>
      </c>
      <c r="X37" s="143">
        <v>0</v>
      </c>
      <c r="Y37" s="144">
        <v>0</v>
      </c>
      <c r="Z37" s="97">
        <f t="shared" si="2"/>
        <v>978600</v>
      </c>
      <c r="AA37" s="69"/>
      <c r="AB37" s="68">
        <v>30</v>
      </c>
      <c r="AC37" s="94" t="s">
        <v>34</v>
      </c>
      <c r="AD37" s="35">
        <f>Total!C37-Auszahlungen!C37-Auszahlungen!L37-Auszahlungen!U37</f>
        <v>543500</v>
      </c>
      <c r="AE37" s="81">
        <f>Total!D37-Auszahlungen!D37-Auszahlungen!M37-Auszahlungen!V37</f>
        <v>250000</v>
      </c>
      <c r="AF37" s="81">
        <f>Total!E37-Auszahlungen!E37-Auszahlungen!N37-Auszahlungen!W37</f>
        <v>184900</v>
      </c>
      <c r="AG37" s="35">
        <f>Total!F37-Auszahlungen!F37-Auszahlungen!O37-Auszahlungen!X37</f>
        <v>0</v>
      </c>
      <c r="AH37" s="81">
        <f>Total!G37-Auszahlungen!G37-Auszahlungen!P37-Auszahlungen!Y37</f>
        <v>0</v>
      </c>
      <c r="AI37" s="97">
        <f t="shared" si="3"/>
        <v>978400</v>
      </c>
    </row>
    <row r="38" spans="1:35" x14ac:dyDescent="0.2">
      <c r="A38" s="68">
        <v>31</v>
      </c>
      <c r="B38" s="94" t="s">
        <v>35</v>
      </c>
      <c r="C38" s="143">
        <v>0</v>
      </c>
      <c r="D38" s="144">
        <v>0</v>
      </c>
      <c r="E38" s="144">
        <v>168100</v>
      </c>
      <c r="F38" s="143">
        <v>0</v>
      </c>
      <c r="G38" s="144">
        <v>0</v>
      </c>
      <c r="H38" s="97">
        <f t="shared" si="0"/>
        <v>168100</v>
      </c>
      <c r="I38" s="69"/>
      <c r="J38" s="68">
        <v>31</v>
      </c>
      <c r="K38" s="94" t="s">
        <v>35</v>
      </c>
      <c r="L38" s="143">
        <v>0</v>
      </c>
      <c r="M38" s="144">
        <v>0</v>
      </c>
      <c r="N38" s="144">
        <v>168100</v>
      </c>
      <c r="O38" s="143">
        <v>0</v>
      </c>
      <c r="P38" s="144">
        <v>0</v>
      </c>
      <c r="Q38" s="97">
        <f t="shared" si="1"/>
        <v>168100</v>
      </c>
      <c r="R38" s="69"/>
      <c r="S38" s="68">
        <v>31</v>
      </c>
      <c r="T38" s="94" t="s">
        <v>35</v>
      </c>
      <c r="U38" s="143">
        <v>0</v>
      </c>
      <c r="V38" s="144">
        <v>0</v>
      </c>
      <c r="W38" s="144">
        <v>168100</v>
      </c>
      <c r="X38" s="143">
        <v>0</v>
      </c>
      <c r="Y38" s="144">
        <v>0</v>
      </c>
      <c r="Z38" s="97">
        <f t="shared" si="2"/>
        <v>168100</v>
      </c>
      <c r="AA38" s="69"/>
      <c r="AB38" s="68">
        <v>31</v>
      </c>
      <c r="AC38" s="94" t="s">
        <v>35</v>
      </c>
      <c r="AD38" s="35">
        <f>Total!C38-Auszahlungen!C38-Auszahlungen!L38-Auszahlungen!U38</f>
        <v>0</v>
      </c>
      <c r="AE38" s="81">
        <f>Total!D38-Auszahlungen!D38-Auszahlungen!M38-Auszahlungen!V38</f>
        <v>0</v>
      </c>
      <c r="AF38" s="81">
        <f>Total!E38-Auszahlungen!E38-Auszahlungen!N38-Auszahlungen!W38</f>
        <v>168300</v>
      </c>
      <c r="AG38" s="35">
        <f>Total!F38-Auszahlungen!F38-Auszahlungen!O38-Auszahlungen!X38</f>
        <v>0</v>
      </c>
      <c r="AH38" s="81">
        <f>Total!G38-Auszahlungen!G38-Auszahlungen!P38-Auszahlungen!Y38</f>
        <v>0</v>
      </c>
      <c r="AI38" s="97">
        <f t="shared" si="3"/>
        <v>168300</v>
      </c>
    </row>
    <row r="39" spans="1:35" x14ac:dyDescent="0.2">
      <c r="A39" s="68">
        <v>32</v>
      </c>
      <c r="B39" s="94" t="s">
        <v>36</v>
      </c>
      <c r="C39" s="143">
        <v>701700</v>
      </c>
      <c r="D39" s="144">
        <v>23900</v>
      </c>
      <c r="E39" s="144">
        <v>267000</v>
      </c>
      <c r="F39" s="143">
        <v>0</v>
      </c>
      <c r="G39" s="144">
        <v>0</v>
      </c>
      <c r="H39" s="97">
        <f t="shared" si="0"/>
        <v>992600</v>
      </c>
      <c r="I39" s="69"/>
      <c r="J39" s="68">
        <v>32</v>
      </c>
      <c r="K39" s="94" t="s">
        <v>36</v>
      </c>
      <c r="L39" s="143">
        <v>701700</v>
      </c>
      <c r="M39" s="144">
        <v>23900</v>
      </c>
      <c r="N39" s="144">
        <v>267000</v>
      </c>
      <c r="O39" s="143">
        <v>0</v>
      </c>
      <c r="P39" s="144">
        <v>0</v>
      </c>
      <c r="Q39" s="97">
        <f t="shared" si="1"/>
        <v>992600</v>
      </c>
      <c r="R39" s="69"/>
      <c r="S39" s="68">
        <v>32</v>
      </c>
      <c r="T39" s="94" t="s">
        <v>36</v>
      </c>
      <c r="U39" s="143">
        <v>701700</v>
      </c>
      <c r="V39" s="144">
        <v>23900</v>
      </c>
      <c r="W39" s="144">
        <v>267000</v>
      </c>
      <c r="X39" s="143">
        <v>0</v>
      </c>
      <c r="Y39" s="144">
        <v>0</v>
      </c>
      <c r="Z39" s="97">
        <f t="shared" si="2"/>
        <v>992600</v>
      </c>
      <c r="AA39" s="69"/>
      <c r="AB39" s="68">
        <v>32</v>
      </c>
      <c r="AC39" s="94" t="s">
        <v>36</v>
      </c>
      <c r="AD39" s="35">
        <f>Total!C39-Auszahlungen!C39-Auszahlungen!L39-Auszahlungen!U39</f>
        <v>701600</v>
      </c>
      <c r="AE39" s="81">
        <f>Total!D39-Auszahlungen!D39-Auszahlungen!M39-Auszahlungen!V39</f>
        <v>23900</v>
      </c>
      <c r="AF39" s="81">
        <f>Total!E39-Auszahlungen!E39-Auszahlungen!N39-Auszahlungen!W39</f>
        <v>267200</v>
      </c>
      <c r="AG39" s="35">
        <f>Total!F39-Auszahlungen!F39-Auszahlungen!O39-Auszahlungen!X39</f>
        <v>0</v>
      </c>
      <c r="AH39" s="81">
        <f>Total!G39-Auszahlungen!G39-Auszahlungen!P39-Auszahlungen!Y39</f>
        <v>0</v>
      </c>
      <c r="AI39" s="97">
        <f t="shared" si="3"/>
        <v>992700</v>
      </c>
    </row>
    <row r="40" spans="1:35" x14ac:dyDescent="0.2">
      <c r="A40" s="68">
        <v>33</v>
      </c>
      <c r="B40" s="94" t="s">
        <v>37</v>
      </c>
      <c r="C40" s="143">
        <v>1003100</v>
      </c>
      <c r="D40" s="144">
        <v>79500</v>
      </c>
      <c r="E40" s="144">
        <v>310500</v>
      </c>
      <c r="F40" s="143">
        <v>0</v>
      </c>
      <c r="G40" s="144">
        <v>0</v>
      </c>
      <c r="H40" s="97">
        <f t="shared" ref="H40:H69" si="4">SUM(C40:G40)</f>
        <v>1393100</v>
      </c>
      <c r="I40" s="69"/>
      <c r="J40" s="68">
        <v>33</v>
      </c>
      <c r="K40" s="94" t="s">
        <v>37</v>
      </c>
      <c r="L40" s="143">
        <v>1003100</v>
      </c>
      <c r="M40" s="144">
        <v>79500</v>
      </c>
      <c r="N40" s="144">
        <v>310500</v>
      </c>
      <c r="O40" s="143">
        <v>0</v>
      </c>
      <c r="P40" s="144">
        <v>0</v>
      </c>
      <c r="Q40" s="97">
        <f t="shared" ref="Q40:Q69" si="5">SUM(L40:P40)</f>
        <v>1393100</v>
      </c>
      <c r="R40" s="69"/>
      <c r="S40" s="68">
        <v>33</v>
      </c>
      <c r="T40" s="94" t="s">
        <v>37</v>
      </c>
      <c r="U40" s="143">
        <v>1003100</v>
      </c>
      <c r="V40" s="144">
        <v>79500</v>
      </c>
      <c r="W40" s="144">
        <v>310500</v>
      </c>
      <c r="X40" s="143">
        <v>0</v>
      </c>
      <c r="Y40" s="144">
        <v>0</v>
      </c>
      <c r="Z40" s="97">
        <f t="shared" ref="Z40:Z69" si="6">SUM(U40:Y40)</f>
        <v>1393100</v>
      </c>
      <c r="AA40" s="69"/>
      <c r="AB40" s="68">
        <v>33</v>
      </c>
      <c r="AC40" s="94" t="s">
        <v>37</v>
      </c>
      <c r="AD40" s="35">
        <f>Total!C40-Auszahlungen!C40-Auszahlungen!L40-Auszahlungen!U40</f>
        <v>1002900</v>
      </c>
      <c r="AE40" s="81">
        <f>Total!D40-Auszahlungen!D40-Auszahlungen!M40-Auszahlungen!V40</f>
        <v>79600</v>
      </c>
      <c r="AF40" s="81">
        <f>Total!E40-Auszahlungen!E40-Auszahlungen!N40-Auszahlungen!W40</f>
        <v>310600</v>
      </c>
      <c r="AG40" s="35">
        <f>Total!F40-Auszahlungen!F40-Auszahlungen!O40-Auszahlungen!X40</f>
        <v>0</v>
      </c>
      <c r="AH40" s="81">
        <f>Total!G40-Auszahlungen!G40-Auszahlungen!P40-Auszahlungen!Y40</f>
        <v>0</v>
      </c>
      <c r="AI40" s="97">
        <f t="shared" ref="AI40:AI69" si="7">SUM(AD40:AH40)</f>
        <v>1393100</v>
      </c>
    </row>
    <row r="41" spans="1:35" x14ac:dyDescent="0.2">
      <c r="A41" s="68">
        <v>34</v>
      </c>
      <c r="B41" s="94" t="s">
        <v>38</v>
      </c>
      <c r="C41" s="143">
        <v>503700</v>
      </c>
      <c r="D41" s="144">
        <v>0</v>
      </c>
      <c r="E41" s="144">
        <v>165900</v>
      </c>
      <c r="F41" s="143">
        <v>0</v>
      </c>
      <c r="G41" s="144">
        <v>0</v>
      </c>
      <c r="H41" s="97">
        <f t="shared" si="4"/>
        <v>669600</v>
      </c>
      <c r="I41" s="69"/>
      <c r="J41" s="68">
        <v>34</v>
      </c>
      <c r="K41" s="94" t="s">
        <v>38</v>
      </c>
      <c r="L41" s="143">
        <v>503700</v>
      </c>
      <c r="M41" s="144">
        <v>0</v>
      </c>
      <c r="N41" s="144">
        <v>165900</v>
      </c>
      <c r="O41" s="143">
        <v>0</v>
      </c>
      <c r="P41" s="144">
        <v>0</v>
      </c>
      <c r="Q41" s="97">
        <f t="shared" si="5"/>
        <v>669600</v>
      </c>
      <c r="R41" s="69"/>
      <c r="S41" s="68">
        <v>34</v>
      </c>
      <c r="T41" s="94" t="s">
        <v>38</v>
      </c>
      <c r="U41" s="143">
        <v>503700</v>
      </c>
      <c r="V41" s="144">
        <v>0</v>
      </c>
      <c r="W41" s="144">
        <v>165900</v>
      </c>
      <c r="X41" s="143">
        <v>0</v>
      </c>
      <c r="Y41" s="144">
        <v>0</v>
      </c>
      <c r="Z41" s="97">
        <f t="shared" si="6"/>
        <v>669600</v>
      </c>
      <c r="AA41" s="69"/>
      <c r="AB41" s="68">
        <v>34</v>
      </c>
      <c r="AC41" s="94" t="s">
        <v>38</v>
      </c>
      <c r="AD41" s="35">
        <f>Total!C41-Auszahlungen!C41-Auszahlungen!L41-Auszahlungen!U41</f>
        <v>503600</v>
      </c>
      <c r="AE41" s="81">
        <f>Total!D41-Auszahlungen!D41-Auszahlungen!M41-Auszahlungen!V41</f>
        <v>0</v>
      </c>
      <c r="AF41" s="81">
        <f>Total!E41-Auszahlungen!E41-Auszahlungen!N41-Auszahlungen!W41</f>
        <v>166100</v>
      </c>
      <c r="AG41" s="35">
        <f>Total!F41-Auszahlungen!F41-Auszahlungen!O41-Auszahlungen!X41</f>
        <v>0</v>
      </c>
      <c r="AH41" s="81">
        <f>Total!G41-Auszahlungen!G41-Auszahlungen!P41-Auszahlungen!Y41</f>
        <v>0</v>
      </c>
      <c r="AI41" s="97">
        <f t="shared" si="7"/>
        <v>669700</v>
      </c>
    </row>
    <row r="42" spans="1:35" x14ac:dyDescent="0.2">
      <c r="A42" s="68">
        <v>35</v>
      </c>
      <c r="B42" s="94" t="s">
        <v>39</v>
      </c>
      <c r="C42" s="143">
        <v>534500</v>
      </c>
      <c r="D42" s="144">
        <v>39300</v>
      </c>
      <c r="E42" s="144">
        <v>28200</v>
      </c>
      <c r="F42" s="143">
        <v>0</v>
      </c>
      <c r="G42" s="144">
        <v>0</v>
      </c>
      <c r="H42" s="97">
        <f t="shared" si="4"/>
        <v>602000</v>
      </c>
      <c r="I42" s="69"/>
      <c r="J42" s="68">
        <v>35</v>
      </c>
      <c r="K42" s="94" t="s">
        <v>39</v>
      </c>
      <c r="L42" s="143">
        <v>534500</v>
      </c>
      <c r="M42" s="144">
        <v>39300</v>
      </c>
      <c r="N42" s="144">
        <v>28200</v>
      </c>
      <c r="O42" s="143">
        <v>0</v>
      </c>
      <c r="P42" s="144">
        <v>0</v>
      </c>
      <c r="Q42" s="97">
        <f t="shared" si="5"/>
        <v>602000</v>
      </c>
      <c r="R42" s="69"/>
      <c r="S42" s="68">
        <v>35</v>
      </c>
      <c r="T42" s="94" t="s">
        <v>39</v>
      </c>
      <c r="U42" s="143">
        <v>534500</v>
      </c>
      <c r="V42" s="144">
        <v>39300</v>
      </c>
      <c r="W42" s="144">
        <v>28200</v>
      </c>
      <c r="X42" s="143">
        <v>0</v>
      </c>
      <c r="Y42" s="144">
        <v>0</v>
      </c>
      <c r="Z42" s="97">
        <f t="shared" si="6"/>
        <v>602000</v>
      </c>
      <c r="AA42" s="69"/>
      <c r="AB42" s="68">
        <v>35</v>
      </c>
      <c r="AC42" s="94" t="s">
        <v>39</v>
      </c>
      <c r="AD42" s="35">
        <f>Total!C42-Auszahlungen!C42-Auszahlungen!L42-Auszahlungen!U42</f>
        <v>534500</v>
      </c>
      <c r="AE42" s="81">
        <f>Total!D42-Auszahlungen!D42-Auszahlungen!M42-Auszahlungen!V42</f>
        <v>39200</v>
      </c>
      <c r="AF42" s="81">
        <f>Total!E42-Auszahlungen!E42-Auszahlungen!N42-Auszahlungen!W42</f>
        <v>28000</v>
      </c>
      <c r="AG42" s="35">
        <f>Total!F42-Auszahlungen!F42-Auszahlungen!O42-Auszahlungen!X42</f>
        <v>0</v>
      </c>
      <c r="AH42" s="81">
        <f>Total!G42-Auszahlungen!G42-Auszahlungen!P42-Auszahlungen!Y42</f>
        <v>0</v>
      </c>
      <c r="AI42" s="97">
        <f t="shared" si="7"/>
        <v>601700</v>
      </c>
    </row>
    <row r="43" spans="1:35" x14ac:dyDescent="0.2">
      <c r="A43" s="68">
        <v>36</v>
      </c>
      <c r="B43" s="94" t="s">
        <v>40</v>
      </c>
      <c r="C43" s="143">
        <v>0</v>
      </c>
      <c r="D43" s="144">
        <v>0</v>
      </c>
      <c r="E43" s="144">
        <v>0</v>
      </c>
      <c r="F43" s="143">
        <v>0</v>
      </c>
      <c r="G43" s="144">
        <v>0</v>
      </c>
      <c r="H43" s="97">
        <f t="shared" si="4"/>
        <v>0</v>
      </c>
      <c r="I43" s="69"/>
      <c r="J43" s="68">
        <v>36</v>
      </c>
      <c r="K43" s="94" t="s">
        <v>40</v>
      </c>
      <c r="L43" s="143">
        <v>0</v>
      </c>
      <c r="M43" s="144">
        <v>0</v>
      </c>
      <c r="N43" s="144">
        <v>0</v>
      </c>
      <c r="O43" s="143">
        <v>0</v>
      </c>
      <c r="P43" s="144">
        <v>0</v>
      </c>
      <c r="Q43" s="97">
        <f t="shared" si="5"/>
        <v>0</v>
      </c>
      <c r="R43" s="69"/>
      <c r="S43" s="68">
        <v>36</v>
      </c>
      <c r="T43" s="94" t="s">
        <v>40</v>
      </c>
      <c r="U43" s="143">
        <v>0</v>
      </c>
      <c r="V43" s="144">
        <v>0</v>
      </c>
      <c r="W43" s="144">
        <v>0</v>
      </c>
      <c r="X43" s="143">
        <v>0</v>
      </c>
      <c r="Y43" s="144">
        <v>0</v>
      </c>
      <c r="Z43" s="97">
        <f t="shared" si="6"/>
        <v>0</v>
      </c>
      <c r="AA43" s="69"/>
      <c r="AB43" s="68">
        <v>36</v>
      </c>
      <c r="AC43" s="94" t="s">
        <v>40</v>
      </c>
      <c r="AD43" s="35">
        <f>Total!C43-Auszahlungen!C43-Auszahlungen!L43-Auszahlungen!U43</f>
        <v>0</v>
      </c>
      <c r="AE43" s="81">
        <f>Total!D43-Auszahlungen!D43-Auszahlungen!M43-Auszahlungen!V43</f>
        <v>0</v>
      </c>
      <c r="AF43" s="81">
        <f>Total!E43-Auszahlungen!E43-Auszahlungen!N43-Auszahlungen!W43</f>
        <v>0</v>
      </c>
      <c r="AG43" s="35">
        <f>Total!F43-Auszahlungen!F43-Auszahlungen!O43-Auszahlungen!X43</f>
        <v>0</v>
      </c>
      <c r="AH43" s="81">
        <f>Total!G43-Auszahlungen!G43-Auszahlungen!P43-Auszahlungen!Y43</f>
        <v>0</v>
      </c>
      <c r="AI43" s="97">
        <f t="shared" si="7"/>
        <v>0</v>
      </c>
    </row>
    <row r="44" spans="1:35" x14ac:dyDescent="0.2">
      <c r="A44" s="68">
        <v>37</v>
      </c>
      <c r="B44" s="94" t="s">
        <v>41</v>
      </c>
      <c r="C44" s="143">
        <v>339700</v>
      </c>
      <c r="D44" s="144">
        <v>591200</v>
      </c>
      <c r="E44" s="144">
        <v>4700</v>
      </c>
      <c r="F44" s="143">
        <v>30100</v>
      </c>
      <c r="G44" s="144">
        <v>0</v>
      </c>
      <c r="H44" s="97">
        <f t="shared" si="4"/>
        <v>965700</v>
      </c>
      <c r="I44" s="69"/>
      <c r="J44" s="68">
        <v>37</v>
      </c>
      <c r="K44" s="94" t="s">
        <v>41</v>
      </c>
      <c r="L44" s="143">
        <v>339700</v>
      </c>
      <c r="M44" s="144">
        <v>591200</v>
      </c>
      <c r="N44" s="144">
        <v>4700</v>
      </c>
      <c r="O44" s="143">
        <v>30100</v>
      </c>
      <c r="P44" s="144">
        <v>0</v>
      </c>
      <c r="Q44" s="97">
        <f t="shared" si="5"/>
        <v>965700</v>
      </c>
      <c r="R44" s="69"/>
      <c r="S44" s="68">
        <v>37</v>
      </c>
      <c r="T44" s="94" t="s">
        <v>41</v>
      </c>
      <c r="U44" s="143">
        <v>339700</v>
      </c>
      <c r="V44" s="144">
        <v>591200</v>
      </c>
      <c r="W44" s="144">
        <v>4700</v>
      </c>
      <c r="X44" s="143">
        <v>30100</v>
      </c>
      <c r="Y44" s="144">
        <v>0</v>
      </c>
      <c r="Z44" s="97">
        <f t="shared" si="6"/>
        <v>965700</v>
      </c>
      <c r="AA44" s="69"/>
      <c r="AB44" s="68">
        <v>37</v>
      </c>
      <c r="AC44" s="94" t="s">
        <v>41</v>
      </c>
      <c r="AD44" s="35">
        <f>Total!C44-Auszahlungen!C44-Auszahlungen!L44-Auszahlungen!U44</f>
        <v>339600</v>
      </c>
      <c r="AE44" s="81">
        <f>Total!D44-Auszahlungen!D44-Auszahlungen!M44-Auszahlungen!V44</f>
        <v>591300</v>
      </c>
      <c r="AF44" s="81">
        <f>Total!E44-Auszahlungen!E44-Auszahlungen!N44-Auszahlungen!W44</f>
        <v>4700</v>
      </c>
      <c r="AG44" s="35">
        <f>Total!F44-Auszahlungen!F44-Auszahlungen!O44-Auszahlungen!X44</f>
        <v>30100</v>
      </c>
      <c r="AH44" s="81">
        <f>Total!G44-Auszahlungen!G44-Auszahlungen!P44-Auszahlungen!Y44</f>
        <v>0</v>
      </c>
      <c r="AI44" s="97">
        <f t="shared" si="7"/>
        <v>965700</v>
      </c>
    </row>
    <row r="45" spans="1:35" x14ac:dyDescent="0.2">
      <c r="A45" s="68">
        <v>38</v>
      </c>
      <c r="B45" s="94" t="s">
        <v>42</v>
      </c>
      <c r="C45" s="143">
        <v>1345100</v>
      </c>
      <c r="D45" s="144">
        <v>246000</v>
      </c>
      <c r="E45" s="144">
        <v>185000</v>
      </c>
      <c r="F45" s="143">
        <v>0</v>
      </c>
      <c r="G45" s="144">
        <v>0</v>
      </c>
      <c r="H45" s="97">
        <f t="shared" si="4"/>
        <v>1776100</v>
      </c>
      <c r="I45" s="69"/>
      <c r="J45" s="68">
        <v>38</v>
      </c>
      <c r="K45" s="94" t="s">
        <v>42</v>
      </c>
      <c r="L45" s="143">
        <v>1345100</v>
      </c>
      <c r="M45" s="144">
        <v>246000</v>
      </c>
      <c r="N45" s="144">
        <v>185000</v>
      </c>
      <c r="O45" s="143">
        <v>0</v>
      </c>
      <c r="P45" s="144">
        <v>0</v>
      </c>
      <c r="Q45" s="97">
        <f t="shared" si="5"/>
        <v>1776100</v>
      </c>
      <c r="R45" s="69"/>
      <c r="S45" s="68">
        <v>38</v>
      </c>
      <c r="T45" s="94" t="s">
        <v>42</v>
      </c>
      <c r="U45" s="143">
        <v>1345100</v>
      </c>
      <c r="V45" s="144">
        <v>246000</v>
      </c>
      <c r="W45" s="144">
        <v>185000</v>
      </c>
      <c r="X45" s="143">
        <v>0</v>
      </c>
      <c r="Y45" s="144">
        <v>0</v>
      </c>
      <c r="Z45" s="97">
        <f t="shared" si="6"/>
        <v>1776100</v>
      </c>
      <c r="AA45" s="69"/>
      <c r="AB45" s="68">
        <v>38</v>
      </c>
      <c r="AC45" s="94" t="s">
        <v>42</v>
      </c>
      <c r="AD45" s="35">
        <f>Total!C45-Auszahlungen!C45-Auszahlungen!L45-Auszahlungen!U45</f>
        <v>1344900</v>
      </c>
      <c r="AE45" s="81">
        <f>Total!D45-Auszahlungen!D45-Auszahlungen!M45-Auszahlungen!V45</f>
        <v>246000</v>
      </c>
      <c r="AF45" s="81">
        <f>Total!E45-Auszahlungen!E45-Auszahlungen!N45-Auszahlungen!W45</f>
        <v>185000</v>
      </c>
      <c r="AG45" s="35">
        <f>Total!F45-Auszahlungen!F45-Auszahlungen!O45-Auszahlungen!X45</f>
        <v>0</v>
      </c>
      <c r="AH45" s="81">
        <f>Total!G45-Auszahlungen!G45-Auszahlungen!P45-Auszahlungen!Y45</f>
        <v>0</v>
      </c>
      <c r="AI45" s="97">
        <f t="shared" si="7"/>
        <v>1775900</v>
      </c>
    </row>
    <row r="46" spans="1:35" x14ac:dyDescent="0.2">
      <c r="A46" s="68">
        <v>39</v>
      </c>
      <c r="B46" s="94" t="s">
        <v>43</v>
      </c>
      <c r="C46" s="143">
        <v>700900</v>
      </c>
      <c r="D46" s="144">
        <v>241800</v>
      </c>
      <c r="E46" s="144">
        <v>183900</v>
      </c>
      <c r="F46" s="143">
        <v>0</v>
      </c>
      <c r="G46" s="144">
        <v>0</v>
      </c>
      <c r="H46" s="97">
        <f t="shared" si="4"/>
        <v>1126600</v>
      </c>
      <c r="I46" s="69"/>
      <c r="J46" s="68">
        <v>39</v>
      </c>
      <c r="K46" s="94" t="s">
        <v>43</v>
      </c>
      <c r="L46" s="143">
        <v>700900</v>
      </c>
      <c r="M46" s="144">
        <v>241800</v>
      </c>
      <c r="N46" s="144">
        <v>183900</v>
      </c>
      <c r="O46" s="143">
        <v>0</v>
      </c>
      <c r="P46" s="144">
        <v>0</v>
      </c>
      <c r="Q46" s="97">
        <f t="shared" si="5"/>
        <v>1126600</v>
      </c>
      <c r="R46" s="69"/>
      <c r="S46" s="68">
        <v>39</v>
      </c>
      <c r="T46" s="94" t="s">
        <v>43</v>
      </c>
      <c r="U46" s="143">
        <v>700900</v>
      </c>
      <c r="V46" s="144">
        <v>241800</v>
      </c>
      <c r="W46" s="144">
        <v>183900</v>
      </c>
      <c r="X46" s="143">
        <v>0</v>
      </c>
      <c r="Y46" s="144">
        <v>0</v>
      </c>
      <c r="Z46" s="97">
        <f t="shared" si="6"/>
        <v>1126600</v>
      </c>
      <c r="AA46" s="69"/>
      <c r="AB46" s="68">
        <v>39</v>
      </c>
      <c r="AC46" s="94" t="s">
        <v>43</v>
      </c>
      <c r="AD46" s="35">
        <f>Total!C46-Auszahlungen!C46-Auszahlungen!L46-Auszahlungen!U46</f>
        <v>700800</v>
      </c>
      <c r="AE46" s="81">
        <f>Total!D46-Auszahlungen!D46-Auszahlungen!M46-Auszahlungen!V46</f>
        <v>241600</v>
      </c>
      <c r="AF46" s="81">
        <f>Total!E46-Auszahlungen!E46-Auszahlungen!N46-Auszahlungen!W46</f>
        <v>184000</v>
      </c>
      <c r="AG46" s="35">
        <f>Total!F46-Auszahlungen!F46-Auszahlungen!O46-Auszahlungen!X46</f>
        <v>0</v>
      </c>
      <c r="AH46" s="81">
        <f>Total!G46-Auszahlungen!G46-Auszahlungen!P46-Auszahlungen!Y46</f>
        <v>0</v>
      </c>
      <c r="AI46" s="97">
        <f t="shared" si="7"/>
        <v>1126400</v>
      </c>
    </row>
    <row r="47" spans="1:35" x14ac:dyDescent="0.2">
      <c r="A47" s="68">
        <v>40</v>
      </c>
      <c r="B47" s="94" t="s">
        <v>44</v>
      </c>
      <c r="C47" s="143">
        <v>496800</v>
      </c>
      <c r="D47" s="144">
        <v>0</v>
      </c>
      <c r="E47" s="144">
        <v>63100</v>
      </c>
      <c r="F47" s="143">
        <v>0</v>
      </c>
      <c r="G47" s="144">
        <v>0</v>
      </c>
      <c r="H47" s="97">
        <f t="shared" si="4"/>
        <v>559900</v>
      </c>
      <c r="I47" s="69"/>
      <c r="J47" s="68">
        <v>40</v>
      </c>
      <c r="K47" s="94" t="s">
        <v>44</v>
      </c>
      <c r="L47" s="143">
        <v>496800</v>
      </c>
      <c r="M47" s="144">
        <v>0</v>
      </c>
      <c r="N47" s="144">
        <v>63100</v>
      </c>
      <c r="O47" s="143">
        <v>0</v>
      </c>
      <c r="P47" s="144">
        <v>0</v>
      </c>
      <c r="Q47" s="97">
        <f t="shared" si="5"/>
        <v>559900</v>
      </c>
      <c r="R47" s="69"/>
      <c r="S47" s="68">
        <v>40</v>
      </c>
      <c r="T47" s="94" t="s">
        <v>44</v>
      </c>
      <c r="U47" s="143">
        <v>496800</v>
      </c>
      <c r="V47" s="144">
        <v>0</v>
      </c>
      <c r="W47" s="144">
        <v>63100</v>
      </c>
      <c r="X47" s="143">
        <v>0</v>
      </c>
      <c r="Y47" s="144">
        <v>0</v>
      </c>
      <c r="Z47" s="97">
        <f t="shared" si="6"/>
        <v>559900</v>
      </c>
      <c r="AA47" s="69"/>
      <c r="AB47" s="68">
        <v>40</v>
      </c>
      <c r="AC47" s="94" t="s">
        <v>44</v>
      </c>
      <c r="AD47" s="35">
        <f>Total!C47-Auszahlungen!C47-Auszahlungen!L47-Auszahlungen!U47</f>
        <v>496600</v>
      </c>
      <c r="AE47" s="81">
        <f>Total!D47-Auszahlungen!D47-Auszahlungen!M47-Auszahlungen!V47</f>
        <v>0</v>
      </c>
      <c r="AF47" s="81">
        <f>Total!E47-Auszahlungen!E47-Auszahlungen!N47-Auszahlungen!W47</f>
        <v>63000</v>
      </c>
      <c r="AG47" s="35">
        <f>Total!F47-Auszahlungen!F47-Auszahlungen!O47-Auszahlungen!X47</f>
        <v>0</v>
      </c>
      <c r="AH47" s="81">
        <f>Total!G47-Auszahlungen!G47-Auszahlungen!P47-Auszahlungen!Y47</f>
        <v>0</v>
      </c>
      <c r="AI47" s="97">
        <f t="shared" si="7"/>
        <v>559600</v>
      </c>
    </row>
    <row r="48" spans="1:35" x14ac:dyDescent="0.2">
      <c r="A48" s="68">
        <v>41</v>
      </c>
      <c r="B48" s="94" t="s">
        <v>45</v>
      </c>
      <c r="C48" s="143">
        <v>61700</v>
      </c>
      <c r="D48" s="144">
        <v>113100</v>
      </c>
      <c r="E48" s="144">
        <v>0</v>
      </c>
      <c r="F48" s="143">
        <v>15200</v>
      </c>
      <c r="G48" s="144">
        <v>0</v>
      </c>
      <c r="H48" s="97">
        <f t="shared" si="4"/>
        <v>190000</v>
      </c>
      <c r="I48" s="69"/>
      <c r="J48" s="68">
        <v>41</v>
      </c>
      <c r="K48" s="94" t="s">
        <v>45</v>
      </c>
      <c r="L48" s="143">
        <v>61700</v>
      </c>
      <c r="M48" s="144">
        <v>113100</v>
      </c>
      <c r="N48" s="144">
        <v>0</v>
      </c>
      <c r="O48" s="143">
        <v>15200</v>
      </c>
      <c r="P48" s="144">
        <v>0</v>
      </c>
      <c r="Q48" s="97">
        <f t="shared" si="5"/>
        <v>190000</v>
      </c>
      <c r="R48" s="69"/>
      <c r="S48" s="68">
        <v>41</v>
      </c>
      <c r="T48" s="94" t="s">
        <v>45</v>
      </c>
      <c r="U48" s="143">
        <v>61700</v>
      </c>
      <c r="V48" s="144">
        <v>113100</v>
      </c>
      <c r="W48" s="144">
        <v>0</v>
      </c>
      <c r="X48" s="143">
        <v>15200</v>
      </c>
      <c r="Y48" s="144">
        <v>0</v>
      </c>
      <c r="Z48" s="97">
        <f t="shared" si="6"/>
        <v>190000</v>
      </c>
      <c r="AA48" s="69"/>
      <c r="AB48" s="68">
        <v>41</v>
      </c>
      <c r="AC48" s="94" t="s">
        <v>45</v>
      </c>
      <c r="AD48" s="35">
        <f>Total!C48-Auszahlungen!C48-Auszahlungen!L48-Auszahlungen!U48</f>
        <v>61800</v>
      </c>
      <c r="AE48" s="81">
        <f>Total!D48-Auszahlungen!D48-Auszahlungen!M48-Auszahlungen!V48</f>
        <v>112900</v>
      </c>
      <c r="AF48" s="81">
        <f>Total!E48-Auszahlungen!E48-Auszahlungen!N48-Auszahlungen!W48</f>
        <v>0</v>
      </c>
      <c r="AG48" s="35">
        <f>Total!F48-Auszahlungen!F48-Auszahlungen!O48-Auszahlungen!X48</f>
        <v>15500</v>
      </c>
      <c r="AH48" s="81">
        <f>Total!G48-Auszahlungen!G48-Auszahlungen!P48-Auszahlungen!Y48</f>
        <v>0</v>
      </c>
      <c r="AI48" s="97">
        <f t="shared" si="7"/>
        <v>190200</v>
      </c>
    </row>
    <row r="49" spans="1:35" x14ac:dyDescent="0.2">
      <c r="A49" s="68">
        <v>42</v>
      </c>
      <c r="B49" s="94" t="s">
        <v>46</v>
      </c>
      <c r="C49" s="143">
        <v>0</v>
      </c>
      <c r="D49" s="144">
        <v>28600</v>
      </c>
      <c r="E49" s="144">
        <v>0</v>
      </c>
      <c r="F49" s="143">
        <v>0</v>
      </c>
      <c r="G49" s="144">
        <v>0</v>
      </c>
      <c r="H49" s="97">
        <f t="shared" si="4"/>
        <v>28600</v>
      </c>
      <c r="I49" s="69"/>
      <c r="J49" s="68">
        <v>42</v>
      </c>
      <c r="K49" s="94" t="s">
        <v>46</v>
      </c>
      <c r="L49" s="143">
        <v>0</v>
      </c>
      <c r="M49" s="144">
        <v>28600</v>
      </c>
      <c r="N49" s="144">
        <v>0</v>
      </c>
      <c r="O49" s="143">
        <v>0</v>
      </c>
      <c r="P49" s="144">
        <v>0</v>
      </c>
      <c r="Q49" s="97">
        <f t="shared" si="5"/>
        <v>28600</v>
      </c>
      <c r="R49" s="69"/>
      <c r="S49" s="68">
        <v>42</v>
      </c>
      <c r="T49" s="94" t="s">
        <v>46</v>
      </c>
      <c r="U49" s="143">
        <v>0</v>
      </c>
      <c r="V49" s="144">
        <v>28600</v>
      </c>
      <c r="W49" s="144">
        <v>0</v>
      </c>
      <c r="X49" s="143">
        <v>0</v>
      </c>
      <c r="Y49" s="144">
        <v>0</v>
      </c>
      <c r="Z49" s="97">
        <f t="shared" si="6"/>
        <v>28600</v>
      </c>
      <c r="AA49" s="69"/>
      <c r="AB49" s="68">
        <v>42</v>
      </c>
      <c r="AC49" s="94" t="s">
        <v>46</v>
      </c>
      <c r="AD49" s="35">
        <f>Total!C49-Auszahlungen!C49-Auszahlungen!L49-Auszahlungen!U49</f>
        <v>0</v>
      </c>
      <c r="AE49" s="81">
        <f>Total!D49-Auszahlungen!D49-Auszahlungen!M49-Auszahlungen!V49</f>
        <v>28400</v>
      </c>
      <c r="AF49" s="81">
        <f>Total!E49-Auszahlungen!E49-Auszahlungen!N49-Auszahlungen!W49</f>
        <v>0</v>
      </c>
      <c r="AG49" s="35">
        <f>Total!F49-Auszahlungen!F49-Auszahlungen!O49-Auszahlungen!X49</f>
        <v>0</v>
      </c>
      <c r="AH49" s="81">
        <f>Total!G49-Auszahlungen!G49-Auszahlungen!P49-Auszahlungen!Y49</f>
        <v>0</v>
      </c>
      <c r="AI49" s="97">
        <f t="shared" si="7"/>
        <v>28400</v>
      </c>
    </row>
    <row r="50" spans="1:35" x14ac:dyDescent="0.2">
      <c r="A50" s="68">
        <v>43</v>
      </c>
      <c r="B50" s="94" t="s">
        <v>47</v>
      </c>
      <c r="C50" s="143">
        <v>0</v>
      </c>
      <c r="D50" s="144">
        <v>0</v>
      </c>
      <c r="E50" s="144">
        <v>0</v>
      </c>
      <c r="F50" s="143">
        <v>0</v>
      </c>
      <c r="G50" s="144">
        <v>0</v>
      </c>
      <c r="H50" s="97">
        <f t="shared" si="4"/>
        <v>0</v>
      </c>
      <c r="I50" s="69"/>
      <c r="J50" s="68">
        <v>43</v>
      </c>
      <c r="K50" s="94" t="s">
        <v>47</v>
      </c>
      <c r="L50" s="143">
        <v>0</v>
      </c>
      <c r="M50" s="144">
        <v>0</v>
      </c>
      <c r="N50" s="144">
        <v>0</v>
      </c>
      <c r="O50" s="143">
        <v>0</v>
      </c>
      <c r="P50" s="144">
        <v>0</v>
      </c>
      <c r="Q50" s="97">
        <f t="shared" si="5"/>
        <v>0</v>
      </c>
      <c r="R50" s="69"/>
      <c r="S50" s="68">
        <v>43</v>
      </c>
      <c r="T50" s="94" t="s">
        <v>47</v>
      </c>
      <c r="U50" s="143">
        <v>0</v>
      </c>
      <c r="V50" s="144">
        <v>0</v>
      </c>
      <c r="W50" s="144">
        <v>0</v>
      </c>
      <c r="X50" s="143">
        <v>0</v>
      </c>
      <c r="Y50" s="144">
        <v>0</v>
      </c>
      <c r="Z50" s="97">
        <f t="shared" si="6"/>
        <v>0</v>
      </c>
      <c r="AA50" s="69"/>
      <c r="AB50" s="68">
        <v>43</v>
      </c>
      <c r="AC50" s="94" t="s">
        <v>47</v>
      </c>
      <c r="AD50" s="35">
        <f>Total!C50-Auszahlungen!C50-Auszahlungen!L50-Auszahlungen!U50</f>
        <v>0</v>
      </c>
      <c r="AE50" s="81">
        <f>Total!D50-Auszahlungen!D50-Auszahlungen!M50-Auszahlungen!V50</f>
        <v>0</v>
      </c>
      <c r="AF50" s="81">
        <f>Total!E50-Auszahlungen!E50-Auszahlungen!N50-Auszahlungen!W50</f>
        <v>0</v>
      </c>
      <c r="AG50" s="35">
        <f>Total!F50-Auszahlungen!F50-Auszahlungen!O50-Auszahlungen!X50</f>
        <v>0</v>
      </c>
      <c r="AH50" s="81">
        <f>Total!G50-Auszahlungen!G50-Auszahlungen!P50-Auszahlungen!Y50</f>
        <v>0</v>
      </c>
      <c r="AI50" s="97">
        <f t="shared" si="7"/>
        <v>0</v>
      </c>
    </row>
    <row r="51" spans="1:35" x14ac:dyDescent="0.2">
      <c r="A51" s="68">
        <v>44</v>
      </c>
      <c r="B51" s="94" t="s">
        <v>48</v>
      </c>
      <c r="C51" s="143">
        <v>893500</v>
      </c>
      <c r="D51" s="144">
        <v>64000</v>
      </c>
      <c r="E51" s="144">
        <v>346100</v>
      </c>
      <c r="F51" s="143">
        <v>29000</v>
      </c>
      <c r="G51" s="144">
        <v>0</v>
      </c>
      <c r="H51" s="97">
        <f t="shared" si="4"/>
        <v>1332600</v>
      </c>
      <c r="I51" s="69"/>
      <c r="J51" s="68">
        <v>44</v>
      </c>
      <c r="K51" s="94" t="s">
        <v>48</v>
      </c>
      <c r="L51" s="143">
        <v>893500</v>
      </c>
      <c r="M51" s="144">
        <v>64000</v>
      </c>
      <c r="N51" s="144">
        <v>346100</v>
      </c>
      <c r="O51" s="143">
        <v>29000</v>
      </c>
      <c r="P51" s="144">
        <v>0</v>
      </c>
      <c r="Q51" s="97">
        <f t="shared" si="5"/>
        <v>1332600</v>
      </c>
      <c r="R51" s="69"/>
      <c r="S51" s="68">
        <v>44</v>
      </c>
      <c r="T51" s="94" t="s">
        <v>48</v>
      </c>
      <c r="U51" s="143">
        <v>893500</v>
      </c>
      <c r="V51" s="144">
        <v>64000</v>
      </c>
      <c r="W51" s="144">
        <v>346100</v>
      </c>
      <c r="X51" s="143">
        <v>29000</v>
      </c>
      <c r="Y51" s="144">
        <v>0</v>
      </c>
      <c r="Z51" s="97">
        <f t="shared" si="6"/>
        <v>1332600</v>
      </c>
      <c r="AA51" s="69"/>
      <c r="AB51" s="68">
        <v>44</v>
      </c>
      <c r="AC51" s="94" t="s">
        <v>48</v>
      </c>
      <c r="AD51" s="35">
        <f>Total!C51-Auszahlungen!C51-Auszahlungen!L51-Auszahlungen!U51</f>
        <v>893300</v>
      </c>
      <c r="AE51" s="81">
        <f>Total!D51-Auszahlungen!D51-Auszahlungen!M51-Auszahlungen!V51</f>
        <v>63800</v>
      </c>
      <c r="AF51" s="81">
        <f>Total!E51-Auszahlungen!E51-Auszahlungen!N51-Auszahlungen!W51</f>
        <v>346300</v>
      </c>
      <c r="AG51" s="35">
        <f>Total!F51-Auszahlungen!F51-Auszahlungen!O51-Auszahlungen!X51</f>
        <v>29600</v>
      </c>
      <c r="AH51" s="81">
        <f>Total!G51-Auszahlungen!G51-Auszahlungen!P51-Auszahlungen!Y51</f>
        <v>0</v>
      </c>
      <c r="AI51" s="97">
        <f t="shared" si="7"/>
        <v>1333000</v>
      </c>
    </row>
    <row r="52" spans="1:35" x14ac:dyDescent="0.2">
      <c r="A52" s="68">
        <v>45</v>
      </c>
      <c r="B52" s="94" t="s">
        <v>49</v>
      </c>
      <c r="C52" s="143">
        <v>414700</v>
      </c>
      <c r="D52" s="144">
        <v>47000</v>
      </c>
      <c r="E52" s="144">
        <v>144500</v>
      </c>
      <c r="F52" s="143">
        <v>0</v>
      </c>
      <c r="G52" s="144">
        <v>0</v>
      </c>
      <c r="H52" s="97">
        <f t="shared" si="4"/>
        <v>606200</v>
      </c>
      <c r="I52" s="69"/>
      <c r="J52" s="68">
        <v>45</v>
      </c>
      <c r="K52" s="94" t="s">
        <v>49</v>
      </c>
      <c r="L52" s="143">
        <v>414700</v>
      </c>
      <c r="M52" s="144">
        <v>47000</v>
      </c>
      <c r="N52" s="144">
        <v>144500</v>
      </c>
      <c r="O52" s="143">
        <v>0</v>
      </c>
      <c r="P52" s="144">
        <v>0</v>
      </c>
      <c r="Q52" s="97">
        <f t="shared" si="5"/>
        <v>606200</v>
      </c>
      <c r="R52" s="69"/>
      <c r="S52" s="68">
        <v>45</v>
      </c>
      <c r="T52" s="94" t="s">
        <v>49</v>
      </c>
      <c r="U52" s="143">
        <v>414700</v>
      </c>
      <c r="V52" s="144">
        <v>47000</v>
      </c>
      <c r="W52" s="144">
        <v>144500</v>
      </c>
      <c r="X52" s="143">
        <v>0</v>
      </c>
      <c r="Y52" s="144">
        <v>0</v>
      </c>
      <c r="Z52" s="97">
        <f t="shared" si="6"/>
        <v>606200</v>
      </c>
      <c r="AA52" s="69"/>
      <c r="AB52" s="68">
        <v>45</v>
      </c>
      <c r="AC52" s="94" t="s">
        <v>49</v>
      </c>
      <c r="AD52" s="35">
        <f>Total!C52-Auszahlungen!C52-Auszahlungen!L52-Auszahlungen!U52</f>
        <v>414500</v>
      </c>
      <c r="AE52" s="81">
        <f>Total!D52-Auszahlungen!D52-Auszahlungen!M52-Auszahlungen!V52</f>
        <v>46800</v>
      </c>
      <c r="AF52" s="81">
        <f>Total!E52-Auszahlungen!E52-Auszahlungen!N52-Auszahlungen!W52</f>
        <v>144600</v>
      </c>
      <c r="AG52" s="35">
        <f>Total!F52-Auszahlungen!F52-Auszahlungen!O52-Auszahlungen!X52</f>
        <v>0</v>
      </c>
      <c r="AH52" s="81">
        <f>Total!G52-Auszahlungen!G52-Auszahlungen!P52-Auszahlungen!Y52</f>
        <v>0</v>
      </c>
      <c r="AI52" s="97">
        <f t="shared" si="7"/>
        <v>605900</v>
      </c>
    </row>
    <row r="53" spans="1:35" x14ac:dyDescent="0.2">
      <c r="A53" s="68">
        <v>46</v>
      </c>
      <c r="B53" s="94" t="s">
        <v>50</v>
      </c>
      <c r="C53" s="143">
        <v>766500</v>
      </c>
      <c r="D53" s="144">
        <v>0</v>
      </c>
      <c r="E53" s="144">
        <v>77900</v>
      </c>
      <c r="F53" s="143">
        <v>15400</v>
      </c>
      <c r="G53" s="144">
        <v>0</v>
      </c>
      <c r="H53" s="97">
        <f t="shared" si="4"/>
        <v>859800</v>
      </c>
      <c r="I53" s="69"/>
      <c r="J53" s="68">
        <v>46</v>
      </c>
      <c r="K53" s="94" t="s">
        <v>50</v>
      </c>
      <c r="L53" s="143">
        <v>766500</v>
      </c>
      <c r="M53" s="144">
        <v>0</v>
      </c>
      <c r="N53" s="144">
        <v>77900</v>
      </c>
      <c r="O53" s="143">
        <v>15400</v>
      </c>
      <c r="P53" s="144">
        <v>0</v>
      </c>
      <c r="Q53" s="97">
        <f t="shared" si="5"/>
        <v>859800</v>
      </c>
      <c r="R53" s="69"/>
      <c r="S53" s="68">
        <v>46</v>
      </c>
      <c r="T53" s="94" t="s">
        <v>50</v>
      </c>
      <c r="U53" s="143">
        <v>766500</v>
      </c>
      <c r="V53" s="144">
        <v>0</v>
      </c>
      <c r="W53" s="144">
        <v>77900</v>
      </c>
      <c r="X53" s="143">
        <v>15400</v>
      </c>
      <c r="Y53" s="144">
        <v>0</v>
      </c>
      <c r="Z53" s="97">
        <f t="shared" si="6"/>
        <v>859800</v>
      </c>
      <c r="AA53" s="69"/>
      <c r="AB53" s="68">
        <v>46</v>
      </c>
      <c r="AC53" s="94" t="s">
        <v>50</v>
      </c>
      <c r="AD53" s="35">
        <f>Total!C53-Auszahlungen!C53-Auszahlungen!L53-Auszahlungen!U53</f>
        <v>766600</v>
      </c>
      <c r="AE53" s="81">
        <f>Total!D53-Auszahlungen!D53-Auszahlungen!M53-Auszahlungen!V53</f>
        <v>0</v>
      </c>
      <c r="AF53" s="81">
        <f>Total!E53-Auszahlungen!E53-Auszahlungen!N53-Auszahlungen!W53</f>
        <v>77900</v>
      </c>
      <c r="AG53" s="35">
        <f>Total!F53-Auszahlungen!F53-Auszahlungen!O53-Auszahlungen!X53</f>
        <v>17900</v>
      </c>
      <c r="AH53" s="81">
        <f>Total!G53-Auszahlungen!G53-Auszahlungen!P53-Auszahlungen!Y53</f>
        <v>0</v>
      </c>
      <c r="AI53" s="97">
        <f t="shared" si="7"/>
        <v>862400</v>
      </c>
    </row>
    <row r="54" spans="1:35" x14ac:dyDescent="0.2">
      <c r="A54" s="68">
        <v>48</v>
      </c>
      <c r="B54" s="94" t="s">
        <v>51</v>
      </c>
      <c r="C54" s="143">
        <v>0</v>
      </c>
      <c r="D54" s="144">
        <v>23200</v>
      </c>
      <c r="E54" s="144">
        <v>0</v>
      </c>
      <c r="F54" s="143">
        <v>0</v>
      </c>
      <c r="G54" s="144">
        <v>0</v>
      </c>
      <c r="H54" s="97">
        <f t="shared" si="4"/>
        <v>23200</v>
      </c>
      <c r="I54" s="69"/>
      <c r="J54" s="68">
        <v>48</v>
      </c>
      <c r="K54" s="94" t="s">
        <v>51</v>
      </c>
      <c r="L54" s="143">
        <v>0</v>
      </c>
      <c r="M54" s="144">
        <v>23200</v>
      </c>
      <c r="N54" s="144">
        <v>0</v>
      </c>
      <c r="O54" s="143">
        <v>0</v>
      </c>
      <c r="P54" s="144">
        <v>0</v>
      </c>
      <c r="Q54" s="97">
        <f t="shared" si="5"/>
        <v>23200</v>
      </c>
      <c r="R54" s="69"/>
      <c r="S54" s="68">
        <v>48</v>
      </c>
      <c r="T54" s="94" t="s">
        <v>51</v>
      </c>
      <c r="U54" s="143">
        <v>0</v>
      </c>
      <c r="V54" s="144">
        <v>23200</v>
      </c>
      <c r="W54" s="144">
        <v>0</v>
      </c>
      <c r="X54" s="143">
        <v>0</v>
      </c>
      <c r="Y54" s="144">
        <v>0</v>
      </c>
      <c r="Z54" s="97">
        <f t="shared" si="6"/>
        <v>23200</v>
      </c>
      <c r="AA54" s="69"/>
      <c r="AB54" s="68">
        <v>48</v>
      </c>
      <c r="AC54" s="94" t="s">
        <v>51</v>
      </c>
      <c r="AD54" s="35">
        <f>Total!C54-Auszahlungen!C54-Auszahlungen!L54-Auszahlungen!U54</f>
        <v>0</v>
      </c>
      <c r="AE54" s="81">
        <f>Total!D54-Auszahlungen!D54-Auszahlungen!M54-Auszahlungen!V54</f>
        <v>23200</v>
      </c>
      <c r="AF54" s="81">
        <f>Total!E54-Auszahlungen!E54-Auszahlungen!N54-Auszahlungen!W54</f>
        <v>0</v>
      </c>
      <c r="AG54" s="35">
        <f>Total!F54-Auszahlungen!F54-Auszahlungen!O54-Auszahlungen!X54</f>
        <v>0</v>
      </c>
      <c r="AH54" s="81">
        <f>Total!G54-Auszahlungen!G54-Auszahlungen!P54-Auszahlungen!Y54</f>
        <v>0</v>
      </c>
      <c r="AI54" s="97">
        <f t="shared" si="7"/>
        <v>23200</v>
      </c>
    </row>
    <row r="55" spans="1:35" x14ac:dyDescent="0.2">
      <c r="A55" s="68">
        <v>50</v>
      </c>
      <c r="B55" s="94" t="s">
        <v>52</v>
      </c>
      <c r="C55" s="143">
        <v>443800</v>
      </c>
      <c r="D55" s="144">
        <v>0</v>
      </c>
      <c r="E55" s="144">
        <v>229400</v>
      </c>
      <c r="F55" s="143">
        <v>0</v>
      </c>
      <c r="G55" s="144">
        <v>0</v>
      </c>
      <c r="H55" s="97">
        <f t="shared" si="4"/>
        <v>673200</v>
      </c>
      <c r="I55" s="69"/>
      <c r="J55" s="68">
        <v>50</v>
      </c>
      <c r="K55" s="94" t="s">
        <v>52</v>
      </c>
      <c r="L55" s="143">
        <v>443800</v>
      </c>
      <c r="M55" s="144">
        <v>0</v>
      </c>
      <c r="N55" s="144">
        <v>229400</v>
      </c>
      <c r="O55" s="143">
        <v>0</v>
      </c>
      <c r="P55" s="144">
        <v>0</v>
      </c>
      <c r="Q55" s="97">
        <f t="shared" si="5"/>
        <v>673200</v>
      </c>
      <c r="R55" s="69"/>
      <c r="S55" s="68">
        <v>50</v>
      </c>
      <c r="T55" s="94" t="s">
        <v>52</v>
      </c>
      <c r="U55" s="143">
        <v>443800</v>
      </c>
      <c r="V55" s="144">
        <v>0</v>
      </c>
      <c r="W55" s="144">
        <v>229400</v>
      </c>
      <c r="X55" s="143">
        <v>0</v>
      </c>
      <c r="Y55" s="144">
        <v>0</v>
      </c>
      <c r="Z55" s="97">
        <f t="shared" si="6"/>
        <v>673200</v>
      </c>
      <c r="AA55" s="69"/>
      <c r="AB55" s="68">
        <v>50</v>
      </c>
      <c r="AC55" s="94" t="s">
        <v>52</v>
      </c>
      <c r="AD55" s="35">
        <f>Total!C55-Auszahlungen!C55-Auszahlungen!L55-Auszahlungen!U55</f>
        <v>443800</v>
      </c>
      <c r="AE55" s="81">
        <f>Total!D55-Auszahlungen!D55-Auszahlungen!M55-Auszahlungen!V55</f>
        <v>0</v>
      </c>
      <c r="AF55" s="81">
        <f>Total!E55-Auszahlungen!E55-Auszahlungen!N55-Auszahlungen!W55</f>
        <v>229500</v>
      </c>
      <c r="AG55" s="35">
        <f>Total!F55-Auszahlungen!F55-Auszahlungen!O55-Auszahlungen!X55</f>
        <v>0</v>
      </c>
      <c r="AH55" s="81">
        <f>Total!G55-Auszahlungen!G55-Auszahlungen!P55-Auszahlungen!Y55</f>
        <v>0</v>
      </c>
      <c r="AI55" s="97">
        <f t="shared" si="7"/>
        <v>673300</v>
      </c>
    </row>
    <row r="56" spans="1:35" x14ac:dyDescent="0.2">
      <c r="A56" s="68">
        <v>51</v>
      </c>
      <c r="B56" s="138" t="s">
        <v>53</v>
      </c>
      <c r="C56" s="143">
        <v>0</v>
      </c>
      <c r="D56" s="144">
        <v>0</v>
      </c>
      <c r="E56" s="144">
        <v>0</v>
      </c>
      <c r="F56" s="143">
        <v>5300</v>
      </c>
      <c r="G56" s="144">
        <v>0</v>
      </c>
      <c r="H56" s="137">
        <f t="shared" si="4"/>
        <v>5300</v>
      </c>
      <c r="I56" s="69"/>
      <c r="J56" s="68">
        <v>51</v>
      </c>
      <c r="K56" s="94" t="s">
        <v>53</v>
      </c>
      <c r="L56" s="143">
        <v>0</v>
      </c>
      <c r="M56" s="144">
        <v>0</v>
      </c>
      <c r="N56" s="144">
        <v>0</v>
      </c>
      <c r="O56" s="143">
        <v>5300</v>
      </c>
      <c r="P56" s="144">
        <v>0</v>
      </c>
      <c r="Q56" s="97">
        <f t="shared" si="5"/>
        <v>5300</v>
      </c>
      <c r="R56" s="69"/>
      <c r="S56" s="68">
        <v>51</v>
      </c>
      <c r="T56" s="94" t="s">
        <v>53</v>
      </c>
      <c r="U56" s="143">
        <v>0</v>
      </c>
      <c r="V56" s="144">
        <v>0</v>
      </c>
      <c r="W56" s="144">
        <v>0</v>
      </c>
      <c r="X56" s="143">
        <v>5300</v>
      </c>
      <c r="Y56" s="144">
        <v>0</v>
      </c>
      <c r="Z56" s="97">
        <f t="shared" si="6"/>
        <v>5300</v>
      </c>
      <c r="AA56" s="69"/>
      <c r="AB56" s="68">
        <v>51</v>
      </c>
      <c r="AC56" s="94" t="s">
        <v>53</v>
      </c>
      <c r="AD56" s="35">
        <f>Total!C56-Auszahlungen!C56-Auszahlungen!L56-Auszahlungen!U56</f>
        <v>0</v>
      </c>
      <c r="AE56" s="81">
        <f>Total!D56-Auszahlungen!D56-Auszahlungen!M56-Auszahlungen!V56</f>
        <v>0</v>
      </c>
      <c r="AF56" s="81">
        <f>Total!E56-Auszahlungen!E56-Auszahlungen!N56-Auszahlungen!W56</f>
        <v>0</v>
      </c>
      <c r="AG56" s="35">
        <f>Total!F56-Auszahlungen!F56-Auszahlungen!O56-Auszahlungen!X56</f>
        <v>7100</v>
      </c>
      <c r="AH56" s="81">
        <f>Total!G56-Auszahlungen!G56-Auszahlungen!P56-Auszahlungen!Y56</f>
        <v>0</v>
      </c>
      <c r="AI56" s="97">
        <f t="shared" si="7"/>
        <v>7100</v>
      </c>
    </row>
    <row r="57" spans="1:35" x14ac:dyDescent="0.2">
      <c r="A57" s="68">
        <v>52</v>
      </c>
      <c r="B57" s="94" t="s">
        <v>54</v>
      </c>
      <c r="C57" s="143">
        <v>0</v>
      </c>
      <c r="D57" s="144">
        <v>0</v>
      </c>
      <c r="E57" s="144">
        <v>0</v>
      </c>
      <c r="F57" s="143">
        <v>179300</v>
      </c>
      <c r="G57" s="144">
        <v>0</v>
      </c>
      <c r="H57" s="97">
        <f t="shared" si="4"/>
        <v>179300</v>
      </c>
      <c r="I57" s="69"/>
      <c r="J57" s="68">
        <v>52</v>
      </c>
      <c r="K57" s="94" t="s">
        <v>54</v>
      </c>
      <c r="L57" s="143">
        <v>0</v>
      </c>
      <c r="M57" s="144">
        <v>0</v>
      </c>
      <c r="N57" s="144">
        <v>0</v>
      </c>
      <c r="O57" s="143">
        <v>179300</v>
      </c>
      <c r="P57" s="144">
        <v>0</v>
      </c>
      <c r="Q57" s="97">
        <f t="shared" si="5"/>
        <v>179300</v>
      </c>
      <c r="R57" s="69"/>
      <c r="S57" s="68">
        <v>52</v>
      </c>
      <c r="T57" s="94" t="s">
        <v>54</v>
      </c>
      <c r="U57" s="143">
        <v>0</v>
      </c>
      <c r="V57" s="144">
        <v>0</v>
      </c>
      <c r="W57" s="144">
        <v>0</v>
      </c>
      <c r="X57" s="143">
        <v>179300</v>
      </c>
      <c r="Y57" s="144">
        <v>0</v>
      </c>
      <c r="Z57" s="97">
        <f t="shared" si="6"/>
        <v>179300</v>
      </c>
      <c r="AA57" s="69"/>
      <c r="AB57" s="68">
        <v>52</v>
      </c>
      <c r="AC57" s="94" t="s">
        <v>54</v>
      </c>
      <c r="AD57" s="35">
        <f>Total!C57-Auszahlungen!C57-Auszahlungen!L57-Auszahlungen!U57</f>
        <v>0</v>
      </c>
      <c r="AE57" s="81">
        <f>Total!D57-Auszahlungen!D57-Auszahlungen!M57-Auszahlungen!V57</f>
        <v>0</v>
      </c>
      <c r="AF57" s="81">
        <f>Total!E57-Auszahlungen!E57-Auszahlungen!N57-Auszahlungen!W57</f>
        <v>0</v>
      </c>
      <c r="AG57" s="35">
        <f>Total!F57-Auszahlungen!F57-Auszahlungen!O57-Auszahlungen!X57</f>
        <v>193800</v>
      </c>
      <c r="AH57" s="81">
        <f>Total!G57-Auszahlungen!G57-Auszahlungen!P57-Auszahlungen!Y57</f>
        <v>0</v>
      </c>
      <c r="AI57" s="97">
        <f t="shared" si="7"/>
        <v>193800</v>
      </c>
    </row>
    <row r="58" spans="1:35" x14ac:dyDescent="0.2">
      <c r="A58" s="68">
        <v>54</v>
      </c>
      <c r="B58" s="94" t="s">
        <v>55</v>
      </c>
      <c r="C58" s="143">
        <v>509500</v>
      </c>
      <c r="D58" s="144">
        <v>371600</v>
      </c>
      <c r="E58" s="144">
        <v>133000</v>
      </c>
      <c r="F58" s="143">
        <v>0</v>
      </c>
      <c r="G58" s="144">
        <v>0</v>
      </c>
      <c r="H58" s="97">
        <f t="shared" si="4"/>
        <v>1014100</v>
      </c>
      <c r="I58" s="69"/>
      <c r="J58" s="68">
        <v>54</v>
      </c>
      <c r="K58" s="94" t="s">
        <v>55</v>
      </c>
      <c r="L58" s="143">
        <v>509500</v>
      </c>
      <c r="M58" s="144">
        <v>371600</v>
      </c>
      <c r="N58" s="144">
        <v>133000</v>
      </c>
      <c r="O58" s="143">
        <v>0</v>
      </c>
      <c r="P58" s="144">
        <v>0</v>
      </c>
      <c r="Q58" s="97">
        <f t="shared" si="5"/>
        <v>1014100</v>
      </c>
      <c r="R58" s="69"/>
      <c r="S58" s="68">
        <v>54</v>
      </c>
      <c r="T58" s="94" t="s">
        <v>55</v>
      </c>
      <c r="U58" s="143">
        <v>509500</v>
      </c>
      <c r="V58" s="144">
        <v>371600</v>
      </c>
      <c r="W58" s="144">
        <v>133000</v>
      </c>
      <c r="X58" s="143">
        <v>0</v>
      </c>
      <c r="Y58" s="144">
        <v>0</v>
      </c>
      <c r="Z58" s="97">
        <f t="shared" si="6"/>
        <v>1014100</v>
      </c>
      <c r="AA58" s="69"/>
      <c r="AB58" s="68">
        <v>54</v>
      </c>
      <c r="AC58" s="94" t="s">
        <v>55</v>
      </c>
      <c r="AD58" s="35">
        <f>Total!C58-Auszahlungen!C58-Auszahlungen!L58-Auszahlungen!U58</f>
        <v>509400</v>
      </c>
      <c r="AE58" s="81">
        <f>Total!D58-Auszahlungen!D58-Auszahlungen!M58-Auszahlungen!V58</f>
        <v>371500</v>
      </c>
      <c r="AF58" s="81">
        <f>Total!E58-Auszahlungen!E58-Auszahlungen!N58-Auszahlungen!W58</f>
        <v>133200</v>
      </c>
      <c r="AG58" s="35">
        <f>Total!F58-Auszahlungen!F58-Auszahlungen!O58-Auszahlungen!X58</f>
        <v>0</v>
      </c>
      <c r="AH58" s="81">
        <f>Total!G58-Auszahlungen!G58-Auszahlungen!P58-Auszahlungen!Y58</f>
        <v>0</v>
      </c>
      <c r="AI58" s="97">
        <f t="shared" si="7"/>
        <v>1014100</v>
      </c>
    </row>
    <row r="59" spans="1:35" x14ac:dyDescent="0.2">
      <c r="A59" s="68">
        <v>57</v>
      </c>
      <c r="B59" s="94" t="s">
        <v>56</v>
      </c>
      <c r="C59" s="143">
        <v>41800</v>
      </c>
      <c r="D59" s="144">
        <v>566700</v>
      </c>
      <c r="E59" s="144">
        <v>54800</v>
      </c>
      <c r="F59" s="143">
        <v>0</v>
      </c>
      <c r="G59" s="144">
        <v>0</v>
      </c>
      <c r="H59" s="97">
        <f t="shared" si="4"/>
        <v>663300</v>
      </c>
      <c r="I59" s="69"/>
      <c r="J59" s="68">
        <v>57</v>
      </c>
      <c r="K59" s="94" t="s">
        <v>56</v>
      </c>
      <c r="L59" s="143">
        <v>41800</v>
      </c>
      <c r="M59" s="144">
        <v>566700</v>
      </c>
      <c r="N59" s="144">
        <v>54800</v>
      </c>
      <c r="O59" s="143">
        <v>0</v>
      </c>
      <c r="P59" s="144">
        <v>0</v>
      </c>
      <c r="Q59" s="97">
        <f t="shared" si="5"/>
        <v>663300</v>
      </c>
      <c r="R59" s="69"/>
      <c r="S59" s="68">
        <v>57</v>
      </c>
      <c r="T59" s="94" t="s">
        <v>56</v>
      </c>
      <c r="U59" s="143">
        <v>41800</v>
      </c>
      <c r="V59" s="144">
        <v>566700</v>
      </c>
      <c r="W59" s="144">
        <v>54800</v>
      </c>
      <c r="X59" s="143">
        <v>0</v>
      </c>
      <c r="Y59" s="144">
        <v>0</v>
      </c>
      <c r="Z59" s="97">
        <f t="shared" si="6"/>
        <v>663300</v>
      </c>
      <c r="AA59" s="69"/>
      <c r="AB59" s="68">
        <v>57</v>
      </c>
      <c r="AC59" s="94" t="s">
        <v>56</v>
      </c>
      <c r="AD59" s="35">
        <f>Total!C59-Auszahlungen!C59-Auszahlungen!L59-Auszahlungen!U59</f>
        <v>41900</v>
      </c>
      <c r="AE59" s="81">
        <f>Total!D59-Auszahlungen!D59-Auszahlungen!M59-Auszahlungen!V59</f>
        <v>566800</v>
      </c>
      <c r="AF59" s="81">
        <f>Total!E59-Auszahlungen!E59-Auszahlungen!N59-Auszahlungen!W59</f>
        <v>54900</v>
      </c>
      <c r="AG59" s="35">
        <f>Total!F59-Auszahlungen!F59-Auszahlungen!O59-Auszahlungen!X59</f>
        <v>0</v>
      </c>
      <c r="AH59" s="81">
        <f>Total!G59-Auszahlungen!G59-Auszahlungen!P59-Auszahlungen!Y59</f>
        <v>0</v>
      </c>
      <c r="AI59" s="97">
        <f t="shared" si="7"/>
        <v>663600</v>
      </c>
    </row>
    <row r="60" spans="1:35" x14ac:dyDescent="0.2">
      <c r="A60" s="68">
        <v>60</v>
      </c>
      <c r="B60" s="94" t="s">
        <v>57</v>
      </c>
      <c r="C60" s="143">
        <v>781100</v>
      </c>
      <c r="D60" s="144">
        <v>582000</v>
      </c>
      <c r="E60" s="144">
        <v>0</v>
      </c>
      <c r="F60" s="143">
        <v>23500</v>
      </c>
      <c r="G60" s="144">
        <v>0</v>
      </c>
      <c r="H60" s="97">
        <f t="shared" si="4"/>
        <v>1386600</v>
      </c>
      <c r="I60" s="69"/>
      <c r="J60" s="68">
        <v>60</v>
      </c>
      <c r="K60" s="94" t="s">
        <v>57</v>
      </c>
      <c r="L60" s="143">
        <v>781100</v>
      </c>
      <c r="M60" s="144">
        <v>582000</v>
      </c>
      <c r="N60" s="144">
        <v>0</v>
      </c>
      <c r="O60" s="143">
        <v>23500</v>
      </c>
      <c r="P60" s="144">
        <v>0</v>
      </c>
      <c r="Q60" s="97">
        <f t="shared" si="5"/>
        <v>1386600</v>
      </c>
      <c r="R60" s="69"/>
      <c r="S60" s="68">
        <v>60</v>
      </c>
      <c r="T60" s="94" t="s">
        <v>57</v>
      </c>
      <c r="U60" s="143">
        <v>781100</v>
      </c>
      <c r="V60" s="144">
        <v>582000</v>
      </c>
      <c r="W60" s="144">
        <v>0</v>
      </c>
      <c r="X60" s="143">
        <v>23500</v>
      </c>
      <c r="Y60" s="144">
        <v>0</v>
      </c>
      <c r="Z60" s="97">
        <f t="shared" si="6"/>
        <v>1386600</v>
      </c>
      <c r="AA60" s="69"/>
      <c r="AB60" s="68">
        <v>60</v>
      </c>
      <c r="AC60" s="94" t="s">
        <v>57</v>
      </c>
      <c r="AD60" s="35">
        <f>Total!C60-Auszahlungen!C60-Auszahlungen!L60-Auszahlungen!U60</f>
        <v>780900</v>
      </c>
      <c r="AE60" s="81">
        <f>Total!D60-Auszahlungen!D60-Auszahlungen!M60-Auszahlungen!V60</f>
        <v>582000</v>
      </c>
      <c r="AF60" s="81">
        <f>Total!E60-Auszahlungen!E60-Auszahlungen!N60-Auszahlungen!W60</f>
        <v>0</v>
      </c>
      <c r="AG60" s="35">
        <f>Total!F60-Auszahlungen!F60-Auszahlungen!O60-Auszahlungen!X60</f>
        <v>23900</v>
      </c>
      <c r="AH60" s="81">
        <f>Total!G60-Auszahlungen!G60-Auszahlungen!P60-Auszahlungen!Y60</f>
        <v>0</v>
      </c>
      <c r="AI60" s="97">
        <f t="shared" si="7"/>
        <v>1386800</v>
      </c>
    </row>
    <row r="61" spans="1:35" x14ac:dyDescent="0.2">
      <c r="A61" s="68">
        <v>62</v>
      </c>
      <c r="B61" s="94" t="s">
        <v>58</v>
      </c>
      <c r="C61" s="143">
        <v>973900</v>
      </c>
      <c r="D61" s="144">
        <v>351400</v>
      </c>
      <c r="E61" s="144">
        <v>1000</v>
      </c>
      <c r="F61" s="143">
        <v>74900</v>
      </c>
      <c r="G61" s="144">
        <v>0</v>
      </c>
      <c r="H61" s="97">
        <f t="shared" si="4"/>
        <v>1401200</v>
      </c>
      <c r="I61" s="69"/>
      <c r="J61" s="68">
        <v>62</v>
      </c>
      <c r="K61" s="94" t="s">
        <v>58</v>
      </c>
      <c r="L61" s="143">
        <v>973900</v>
      </c>
      <c r="M61" s="144">
        <v>351400</v>
      </c>
      <c r="N61" s="144">
        <v>1000</v>
      </c>
      <c r="O61" s="143">
        <v>74900</v>
      </c>
      <c r="P61" s="144">
        <v>0</v>
      </c>
      <c r="Q61" s="97">
        <f t="shared" si="5"/>
        <v>1401200</v>
      </c>
      <c r="R61" s="69"/>
      <c r="S61" s="68">
        <v>62</v>
      </c>
      <c r="T61" s="94" t="s">
        <v>58</v>
      </c>
      <c r="U61" s="143">
        <v>973900</v>
      </c>
      <c r="V61" s="144">
        <v>351400</v>
      </c>
      <c r="W61" s="144">
        <v>1000</v>
      </c>
      <c r="X61" s="143">
        <v>74900</v>
      </c>
      <c r="Y61" s="144">
        <v>0</v>
      </c>
      <c r="Z61" s="97">
        <f t="shared" si="6"/>
        <v>1401200</v>
      </c>
      <c r="AA61" s="69"/>
      <c r="AB61" s="68">
        <v>62</v>
      </c>
      <c r="AC61" s="94" t="s">
        <v>58</v>
      </c>
      <c r="AD61" s="35">
        <f>Total!C61-Auszahlungen!C61-Auszahlungen!L61-Auszahlungen!U61</f>
        <v>973800</v>
      </c>
      <c r="AE61" s="81">
        <f>Total!D61-Auszahlungen!D61-Auszahlungen!M61-Auszahlungen!V61</f>
        <v>351400</v>
      </c>
      <c r="AF61" s="81">
        <f>Total!E61-Auszahlungen!E61-Auszahlungen!N61-Auszahlungen!W61</f>
        <v>1100</v>
      </c>
      <c r="AG61" s="35">
        <f>Total!F61-Auszahlungen!F61-Auszahlungen!O61-Auszahlungen!X61</f>
        <v>63400</v>
      </c>
      <c r="AH61" s="81">
        <f>Total!G61-Auszahlungen!G61-Auszahlungen!P61-Auszahlungen!Y61</f>
        <v>0</v>
      </c>
      <c r="AI61" s="97">
        <f t="shared" si="7"/>
        <v>1389700</v>
      </c>
    </row>
    <row r="62" spans="1:35" x14ac:dyDescent="0.2">
      <c r="A62" s="68">
        <v>63</v>
      </c>
      <c r="B62" s="94" t="s">
        <v>59</v>
      </c>
      <c r="C62" s="143">
        <v>1632400</v>
      </c>
      <c r="D62" s="144">
        <v>284800</v>
      </c>
      <c r="E62" s="144">
        <v>60000</v>
      </c>
      <c r="F62" s="143">
        <v>104900</v>
      </c>
      <c r="G62" s="144">
        <v>0</v>
      </c>
      <c r="H62" s="97">
        <f t="shared" si="4"/>
        <v>2082100</v>
      </c>
      <c r="I62" s="69"/>
      <c r="J62" s="68">
        <v>63</v>
      </c>
      <c r="K62" s="94" t="s">
        <v>59</v>
      </c>
      <c r="L62" s="143">
        <v>1632400</v>
      </c>
      <c r="M62" s="144">
        <v>284800</v>
      </c>
      <c r="N62" s="144">
        <v>60000</v>
      </c>
      <c r="O62" s="143">
        <v>104900</v>
      </c>
      <c r="P62" s="144">
        <v>0</v>
      </c>
      <c r="Q62" s="97">
        <f t="shared" si="5"/>
        <v>2082100</v>
      </c>
      <c r="R62" s="69"/>
      <c r="S62" s="68">
        <v>63</v>
      </c>
      <c r="T62" s="94" t="s">
        <v>59</v>
      </c>
      <c r="U62" s="143">
        <v>1632400</v>
      </c>
      <c r="V62" s="144">
        <v>284800</v>
      </c>
      <c r="W62" s="144">
        <v>60000</v>
      </c>
      <c r="X62" s="143">
        <v>104900</v>
      </c>
      <c r="Y62" s="144">
        <v>0</v>
      </c>
      <c r="Z62" s="97">
        <f t="shared" si="6"/>
        <v>2082100</v>
      </c>
      <c r="AA62" s="69"/>
      <c r="AB62" s="68">
        <v>63</v>
      </c>
      <c r="AC62" s="94" t="s">
        <v>59</v>
      </c>
      <c r="AD62" s="35">
        <f>Total!C62-Auszahlungen!C62-Auszahlungen!L62-Auszahlungen!U62</f>
        <v>1632200</v>
      </c>
      <c r="AE62" s="81">
        <f>Total!D62-Auszahlungen!D62-Auszahlungen!M62-Auszahlungen!V62</f>
        <v>284600</v>
      </c>
      <c r="AF62" s="81">
        <f>Total!E62-Auszahlungen!E62-Auszahlungen!N62-Auszahlungen!W62</f>
        <v>60000</v>
      </c>
      <c r="AG62" s="35">
        <f>Total!F62-Auszahlungen!F62-Auszahlungen!O62-Auszahlungen!X62</f>
        <v>106700</v>
      </c>
      <c r="AH62" s="81">
        <f>Total!G62-Auszahlungen!G62-Auszahlungen!P62-Auszahlungen!Y62</f>
        <v>0</v>
      </c>
      <c r="AI62" s="97">
        <f t="shared" si="7"/>
        <v>2083500</v>
      </c>
    </row>
    <row r="63" spans="1:35" x14ac:dyDescent="0.2">
      <c r="A63" s="68">
        <v>64</v>
      </c>
      <c r="B63" s="94" t="s">
        <v>60</v>
      </c>
      <c r="C63" s="143">
        <v>182500</v>
      </c>
      <c r="D63" s="144">
        <v>0</v>
      </c>
      <c r="E63" s="144">
        <v>0</v>
      </c>
      <c r="F63" s="143">
        <v>3000</v>
      </c>
      <c r="G63" s="144">
        <v>0</v>
      </c>
      <c r="H63" s="97">
        <f t="shared" si="4"/>
        <v>185500</v>
      </c>
      <c r="I63" s="69"/>
      <c r="J63" s="68">
        <v>64</v>
      </c>
      <c r="K63" s="94" t="s">
        <v>60</v>
      </c>
      <c r="L63" s="143">
        <v>182500</v>
      </c>
      <c r="M63" s="144">
        <v>0</v>
      </c>
      <c r="N63" s="144">
        <v>0</v>
      </c>
      <c r="O63" s="143">
        <v>3000</v>
      </c>
      <c r="P63" s="144">
        <v>0</v>
      </c>
      <c r="Q63" s="97">
        <f t="shared" si="5"/>
        <v>185500</v>
      </c>
      <c r="R63" s="69"/>
      <c r="S63" s="68">
        <v>64</v>
      </c>
      <c r="T63" s="94" t="s">
        <v>60</v>
      </c>
      <c r="U63" s="143">
        <v>182500</v>
      </c>
      <c r="V63" s="144">
        <v>0</v>
      </c>
      <c r="W63" s="144">
        <v>0</v>
      </c>
      <c r="X63" s="143">
        <v>3000</v>
      </c>
      <c r="Y63" s="144">
        <v>0</v>
      </c>
      <c r="Z63" s="97">
        <f t="shared" si="6"/>
        <v>185500</v>
      </c>
      <c r="AA63" s="69"/>
      <c r="AB63" s="68">
        <v>64</v>
      </c>
      <c r="AC63" s="94" t="s">
        <v>60</v>
      </c>
      <c r="AD63" s="35">
        <f>Total!C63-Auszahlungen!C63-Auszahlungen!L63-Auszahlungen!U63</f>
        <v>182300</v>
      </c>
      <c r="AE63" s="81">
        <f>Total!D63-Auszahlungen!D63-Auszahlungen!M63-Auszahlungen!V63</f>
        <v>0</v>
      </c>
      <c r="AF63" s="81">
        <f>Total!E63-Auszahlungen!E63-Auszahlungen!N63-Auszahlungen!W63</f>
        <v>0</v>
      </c>
      <c r="AG63" s="35">
        <f>Total!F63-Auszahlungen!F63-Auszahlungen!O63-Auszahlungen!X63</f>
        <v>3300</v>
      </c>
      <c r="AH63" s="81">
        <f>Total!G63-Auszahlungen!G63-Auszahlungen!P63-Auszahlungen!Y63</f>
        <v>0</v>
      </c>
      <c r="AI63" s="97">
        <f t="shared" si="7"/>
        <v>185600</v>
      </c>
    </row>
    <row r="64" spans="1:35" x14ac:dyDescent="0.2">
      <c r="A64" s="68">
        <v>66</v>
      </c>
      <c r="B64" s="94" t="s">
        <v>356</v>
      </c>
      <c r="C64" s="143">
        <v>1914500</v>
      </c>
      <c r="D64" s="144">
        <v>1251700</v>
      </c>
      <c r="E64" s="144">
        <v>358200</v>
      </c>
      <c r="F64" s="143">
        <v>2600</v>
      </c>
      <c r="G64" s="144">
        <v>0</v>
      </c>
      <c r="H64" s="97">
        <f t="shared" ref="H64" si="8">SUM(C64:G64)</f>
        <v>3527000</v>
      </c>
      <c r="I64" s="69"/>
      <c r="J64" s="68">
        <v>66</v>
      </c>
      <c r="K64" s="94" t="s">
        <v>356</v>
      </c>
      <c r="L64" s="143">
        <v>1914500</v>
      </c>
      <c r="M64" s="144">
        <v>1251700</v>
      </c>
      <c r="N64" s="144">
        <v>358200</v>
      </c>
      <c r="O64" s="143">
        <v>2600</v>
      </c>
      <c r="P64" s="144">
        <v>0</v>
      </c>
      <c r="Q64" s="97">
        <f t="shared" ref="Q64" si="9">SUM(L64:P64)</f>
        <v>3527000</v>
      </c>
      <c r="R64" s="69"/>
      <c r="S64" s="68">
        <v>66</v>
      </c>
      <c r="T64" s="94" t="s">
        <v>356</v>
      </c>
      <c r="U64" s="143">
        <v>1914500</v>
      </c>
      <c r="V64" s="144">
        <v>1251700</v>
      </c>
      <c r="W64" s="144">
        <v>358200</v>
      </c>
      <c r="X64" s="143">
        <v>2600</v>
      </c>
      <c r="Y64" s="144">
        <v>0</v>
      </c>
      <c r="Z64" s="97">
        <f t="shared" ref="Z64" si="10">SUM(U64:Y64)</f>
        <v>3527000</v>
      </c>
      <c r="AA64" s="69"/>
      <c r="AB64" s="68">
        <v>66</v>
      </c>
      <c r="AC64" s="94" t="s">
        <v>356</v>
      </c>
      <c r="AD64" s="35">
        <f>Total!C64-Auszahlungen!C64-Auszahlungen!L64-Auszahlungen!U64</f>
        <v>1914500</v>
      </c>
      <c r="AE64" s="81">
        <f>Total!D64-Auszahlungen!D64-Auszahlungen!M64-Auszahlungen!V64</f>
        <v>1251700</v>
      </c>
      <c r="AF64" s="81">
        <f>Total!E64-Auszahlungen!E64-Auszahlungen!N64-Auszahlungen!W64</f>
        <v>358300</v>
      </c>
      <c r="AG64" s="35">
        <f>Total!F64-Auszahlungen!F64-Auszahlungen!O64-Auszahlungen!X64</f>
        <v>5300</v>
      </c>
      <c r="AH64" s="81">
        <f>Total!G64-Auszahlungen!G64-Auszahlungen!P64-Auszahlungen!Y64</f>
        <v>0</v>
      </c>
      <c r="AI64" s="97">
        <f t="shared" ref="AI64" si="11">SUM(AD64:AH64)</f>
        <v>3529800</v>
      </c>
    </row>
    <row r="65" spans="1:35" x14ac:dyDescent="0.2">
      <c r="A65" s="68">
        <v>70</v>
      </c>
      <c r="B65" s="94" t="s">
        <v>61</v>
      </c>
      <c r="C65" s="143">
        <v>891200</v>
      </c>
      <c r="D65" s="144">
        <v>146000</v>
      </c>
      <c r="E65" s="144">
        <v>301800</v>
      </c>
      <c r="F65" s="143">
        <v>6900</v>
      </c>
      <c r="G65" s="144">
        <v>0</v>
      </c>
      <c r="H65" s="97">
        <f t="shared" si="4"/>
        <v>1345900</v>
      </c>
      <c r="I65" s="69"/>
      <c r="J65" s="68">
        <v>70</v>
      </c>
      <c r="K65" s="94" t="s">
        <v>61</v>
      </c>
      <c r="L65" s="143">
        <v>891200</v>
      </c>
      <c r="M65" s="144">
        <v>146000</v>
      </c>
      <c r="N65" s="144">
        <v>301800</v>
      </c>
      <c r="O65" s="143">
        <v>6900</v>
      </c>
      <c r="P65" s="144">
        <v>0</v>
      </c>
      <c r="Q65" s="97">
        <f t="shared" si="5"/>
        <v>1345900</v>
      </c>
      <c r="R65" s="69"/>
      <c r="S65" s="68">
        <v>70</v>
      </c>
      <c r="T65" s="94" t="s">
        <v>61</v>
      </c>
      <c r="U65" s="143">
        <v>891200</v>
      </c>
      <c r="V65" s="144">
        <v>146000</v>
      </c>
      <c r="W65" s="144">
        <v>301800</v>
      </c>
      <c r="X65" s="143">
        <v>6900</v>
      </c>
      <c r="Y65" s="144">
        <v>0</v>
      </c>
      <c r="Z65" s="97">
        <f t="shared" si="6"/>
        <v>1345900</v>
      </c>
      <c r="AA65" s="69"/>
      <c r="AB65" s="68">
        <v>70</v>
      </c>
      <c r="AC65" s="94" t="s">
        <v>61</v>
      </c>
      <c r="AD65" s="35">
        <f>Total!C65-Auszahlungen!C65-Auszahlungen!L65-Auszahlungen!U65</f>
        <v>891100</v>
      </c>
      <c r="AE65" s="81">
        <f>Total!D65-Auszahlungen!D65-Auszahlungen!M65-Auszahlungen!V65</f>
        <v>146000</v>
      </c>
      <c r="AF65" s="81">
        <f>Total!E65-Auszahlungen!E65-Auszahlungen!N65-Auszahlungen!W65</f>
        <v>302000</v>
      </c>
      <c r="AG65" s="35">
        <f>Total!F65-Auszahlungen!F65-Auszahlungen!O65-Auszahlungen!X65</f>
        <v>7500</v>
      </c>
      <c r="AH65" s="81">
        <f>Total!G65-Auszahlungen!G65-Auszahlungen!P65-Auszahlungen!Y65</f>
        <v>0</v>
      </c>
      <c r="AI65" s="97">
        <f t="shared" si="7"/>
        <v>1346600</v>
      </c>
    </row>
    <row r="66" spans="1:35" x14ac:dyDescent="0.2">
      <c r="A66" s="68">
        <v>71</v>
      </c>
      <c r="B66" s="94" t="s">
        <v>62</v>
      </c>
      <c r="C66" s="143">
        <v>369700</v>
      </c>
      <c r="D66" s="144">
        <v>155100</v>
      </c>
      <c r="E66" s="144">
        <v>148800</v>
      </c>
      <c r="F66" s="143">
        <v>6000</v>
      </c>
      <c r="G66" s="144">
        <v>0</v>
      </c>
      <c r="H66" s="97">
        <f t="shared" si="4"/>
        <v>679600</v>
      </c>
      <c r="I66" s="69"/>
      <c r="J66" s="68">
        <v>71</v>
      </c>
      <c r="K66" s="94" t="s">
        <v>62</v>
      </c>
      <c r="L66" s="143">
        <v>369700</v>
      </c>
      <c r="M66" s="144">
        <v>155100</v>
      </c>
      <c r="N66" s="144">
        <v>148800</v>
      </c>
      <c r="O66" s="143">
        <v>6000</v>
      </c>
      <c r="P66" s="144">
        <v>0</v>
      </c>
      <c r="Q66" s="97">
        <f t="shared" si="5"/>
        <v>679600</v>
      </c>
      <c r="R66" s="69"/>
      <c r="S66" s="68">
        <v>71</v>
      </c>
      <c r="T66" s="94" t="s">
        <v>62</v>
      </c>
      <c r="U66" s="143">
        <v>369700</v>
      </c>
      <c r="V66" s="144">
        <v>155100</v>
      </c>
      <c r="W66" s="144">
        <v>148800</v>
      </c>
      <c r="X66" s="143">
        <v>6000</v>
      </c>
      <c r="Y66" s="144">
        <v>0</v>
      </c>
      <c r="Z66" s="97">
        <f t="shared" si="6"/>
        <v>679600</v>
      </c>
      <c r="AA66" s="69"/>
      <c r="AB66" s="68">
        <v>71</v>
      </c>
      <c r="AC66" s="94" t="s">
        <v>62</v>
      </c>
      <c r="AD66" s="35">
        <f>Total!C66-Auszahlungen!C66-Auszahlungen!L66-Auszahlungen!U66</f>
        <v>369700</v>
      </c>
      <c r="AE66" s="81">
        <f>Total!D66-Auszahlungen!D66-Auszahlungen!M66-Auszahlungen!V66</f>
        <v>155200</v>
      </c>
      <c r="AF66" s="81">
        <f>Total!E66-Auszahlungen!E66-Auszahlungen!N66-Auszahlungen!W66</f>
        <v>148700</v>
      </c>
      <c r="AG66" s="35">
        <f>Total!F66-Auszahlungen!F66-Auszahlungen!O66-Auszahlungen!X66</f>
        <v>6300</v>
      </c>
      <c r="AH66" s="81">
        <f>Total!G66-Auszahlungen!G66-Auszahlungen!P66-Auszahlungen!Y66</f>
        <v>0</v>
      </c>
      <c r="AI66" s="97">
        <f t="shared" si="7"/>
        <v>679900</v>
      </c>
    </row>
    <row r="67" spans="1:35" x14ac:dyDescent="0.2">
      <c r="A67" s="68">
        <v>72</v>
      </c>
      <c r="B67" s="94" t="s">
        <v>63</v>
      </c>
      <c r="C67" s="143">
        <v>808300</v>
      </c>
      <c r="D67" s="144">
        <v>477200</v>
      </c>
      <c r="E67" s="144">
        <v>247100</v>
      </c>
      <c r="F67" s="143">
        <v>0</v>
      </c>
      <c r="G67" s="144">
        <v>0</v>
      </c>
      <c r="H67" s="97">
        <f t="shared" si="4"/>
        <v>1532600</v>
      </c>
      <c r="I67" s="69"/>
      <c r="J67" s="68">
        <v>72</v>
      </c>
      <c r="K67" s="94" t="s">
        <v>63</v>
      </c>
      <c r="L67" s="143">
        <v>808300</v>
      </c>
      <c r="M67" s="144">
        <v>477200</v>
      </c>
      <c r="N67" s="144">
        <v>247100</v>
      </c>
      <c r="O67" s="143">
        <v>0</v>
      </c>
      <c r="P67" s="144">
        <v>0</v>
      </c>
      <c r="Q67" s="97">
        <f t="shared" si="5"/>
        <v>1532600</v>
      </c>
      <c r="R67" s="69"/>
      <c r="S67" s="68">
        <v>72</v>
      </c>
      <c r="T67" s="94" t="s">
        <v>63</v>
      </c>
      <c r="U67" s="143">
        <v>808300</v>
      </c>
      <c r="V67" s="144">
        <v>477200</v>
      </c>
      <c r="W67" s="144">
        <v>247100</v>
      </c>
      <c r="X67" s="143">
        <v>0</v>
      </c>
      <c r="Y67" s="144">
        <v>0</v>
      </c>
      <c r="Z67" s="97">
        <f t="shared" si="6"/>
        <v>1532600</v>
      </c>
      <c r="AA67" s="69"/>
      <c r="AB67" s="68">
        <v>72</v>
      </c>
      <c r="AC67" s="94" t="s">
        <v>63</v>
      </c>
      <c r="AD67" s="35">
        <f>Total!C67-Auszahlungen!C67-Auszahlungen!L67-Auszahlungen!U67</f>
        <v>808400</v>
      </c>
      <c r="AE67" s="81">
        <f>Total!D67-Auszahlungen!D67-Auszahlungen!M67-Auszahlungen!V67</f>
        <v>477300</v>
      </c>
      <c r="AF67" s="81">
        <f>Total!E67-Auszahlungen!E67-Auszahlungen!N67-Auszahlungen!W67</f>
        <v>247300</v>
      </c>
      <c r="AG67" s="35">
        <f>Total!F67-Auszahlungen!F67-Auszahlungen!O67-Auszahlungen!X67</f>
        <v>0</v>
      </c>
      <c r="AH67" s="81">
        <f>Total!G67-Auszahlungen!G67-Auszahlungen!P67-Auszahlungen!Y67</f>
        <v>0</v>
      </c>
      <c r="AI67" s="97">
        <f t="shared" si="7"/>
        <v>1533000</v>
      </c>
    </row>
    <row r="68" spans="1:35" x14ac:dyDescent="0.2">
      <c r="A68" s="68">
        <v>73</v>
      </c>
      <c r="B68" s="94" t="s">
        <v>64</v>
      </c>
      <c r="C68" s="143">
        <v>1171400</v>
      </c>
      <c r="D68" s="144">
        <v>527200</v>
      </c>
      <c r="E68" s="144">
        <v>667300</v>
      </c>
      <c r="F68" s="143">
        <v>196100</v>
      </c>
      <c r="G68" s="144">
        <v>0</v>
      </c>
      <c r="H68" s="97">
        <f t="shared" si="4"/>
        <v>2562000</v>
      </c>
      <c r="I68" s="69"/>
      <c r="J68" s="68">
        <v>73</v>
      </c>
      <c r="K68" s="94" t="s">
        <v>64</v>
      </c>
      <c r="L68" s="143">
        <v>1171400</v>
      </c>
      <c r="M68" s="144">
        <v>527200</v>
      </c>
      <c r="N68" s="144">
        <v>667300</v>
      </c>
      <c r="O68" s="143">
        <v>196100</v>
      </c>
      <c r="P68" s="144">
        <v>0</v>
      </c>
      <c r="Q68" s="97">
        <f t="shared" si="5"/>
        <v>2562000</v>
      </c>
      <c r="R68" s="69"/>
      <c r="S68" s="68">
        <v>73</v>
      </c>
      <c r="T68" s="94" t="s">
        <v>64</v>
      </c>
      <c r="U68" s="143">
        <v>1171400</v>
      </c>
      <c r="V68" s="144">
        <v>527200</v>
      </c>
      <c r="W68" s="144">
        <v>667300</v>
      </c>
      <c r="X68" s="143">
        <v>196100</v>
      </c>
      <c r="Y68" s="144">
        <v>0</v>
      </c>
      <c r="Z68" s="97">
        <f t="shared" si="6"/>
        <v>2562000</v>
      </c>
      <c r="AA68" s="69"/>
      <c r="AB68" s="68">
        <v>73</v>
      </c>
      <c r="AC68" s="94" t="s">
        <v>64</v>
      </c>
      <c r="AD68" s="35">
        <f>Total!C68-Auszahlungen!C68-Auszahlungen!L68-Auszahlungen!U68</f>
        <v>1171400</v>
      </c>
      <c r="AE68" s="81">
        <f>Total!D68-Auszahlungen!D68-Auszahlungen!M68-Auszahlungen!V68</f>
        <v>527200</v>
      </c>
      <c r="AF68" s="81">
        <f>Total!E68-Auszahlungen!E68-Auszahlungen!N68-Auszahlungen!W68</f>
        <v>667300</v>
      </c>
      <c r="AG68" s="35">
        <f>Total!F68-Auszahlungen!F68-Auszahlungen!O68-Auszahlungen!X68</f>
        <v>200300</v>
      </c>
      <c r="AH68" s="81">
        <f>Total!G68-Auszahlungen!G68-Auszahlungen!P68-Auszahlungen!Y68</f>
        <v>0</v>
      </c>
      <c r="AI68" s="97">
        <f t="shared" si="7"/>
        <v>2566200</v>
      </c>
    </row>
    <row r="69" spans="1:35" x14ac:dyDescent="0.2">
      <c r="A69" s="68">
        <v>76</v>
      </c>
      <c r="B69" s="94" t="s">
        <v>65</v>
      </c>
      <c r="C69" s="143">
        <v>249200</v>
      </c>
      <c r="D69" s="144">
        <v>0</v>
      </c>
      <c r="E69" s="144">
        <v>238100</v>
      </c>
      <c r="F69" s="143">
        <v>0</v>
      </c>
      <c r="G69" s="144">
        <v>0</v>
      </c>
      <c r="H69" s="97">
        <f t="shared" si="4"/>
        <v>487300</v>
      </c>
      <c r="I69" s="69"/>
      <c r="J69" s="68">
        <v>76</v>
      </c>
      <c r="K69" s="94" t="s">
        <v>65</v>
      </c>
      <c r="L69" s="143">
        <v>249200</v>
      </c>
      <c r="M69" s="144">
        <v>0</v>
      </c>
      <c r="N69" s="144">
        <v>238100</v>
      </c>
      <c r="O69" s="143">
        <v>0</v>
      </c>
      <c r="P69" s="144">
        <v>0</v>
      </c>
      <c r="Q69" s="97">
        <f t="shared" si="5"/>
        <v>487300</v>
      </c>
      <c r="R69" s="69"/>
      <c r="S69" s="68">
        <v>76</v>
      </c>
      <c r="T69" s="94" t="s">
        <v>65</v>
      </c>
      <c r="U69" s="143">
        <v>249200</v>
      </c>
      <c r="V69" s="144">
        <v>0</v>
      </c>
      <c r="W69" s="144">
        <v>238100</v>
      </c>
      <c r="X69" s="143">
        <v>0</v>
      </c>
      <c r="Y69" s="144">
        <v>0</v>
      </c>
      <c r="Z69" s="97">
        <f t="shared" si="6"/>
        <v>487300</v>
      </c>
      <c r="AA69" s="69"/>
      <c r="AB69" s="68">
        <v>76</v>
      </c>
      <c r="AC69" s="94" t="s">
        <v>65</v>
      </c>
      <c r="AD69" s="35">
        <f>Total!C69-Auszahlungen!C69-Auszahlungen!L69-Auszahlungen!U69</f>
        <v>249100</v>
      </c>
      <c r="AE69" s="81">
        <f>Total!D69-Auszahlungen!D69-Auszahlungen!M69-Auszahlungen!V69</f>
        <v>0</v>
      </c>
      <c r="AF69" s="81">
        <f>Total!E69-Auszahlungen!E69-Auszahlungen!N69-Auszahlungen!W69</f>
        <v>238300</v>
      </c>
      <c r="AG69" s="35">
        <f>Total!F69-Auszahlungen!F69-Auszahlungen!O69-Auszahlungen!X69</f>
        <v>0</v>
      </c>
      <c r="AH69" s="81">
        <f>Total!G69-Auszahlungen!G69-Auszahlungen!P69-Auszahlungen!Y69</f>
        <v>0</v>
      </c>
      <c r="AI69" s="97">
        <f t="shared" si="7"/>
        <v>487400</v>
      </c>
    </row>
    <row r="70" spans="1:35" x14ac:dyDescent="0.2">
      <c r="A70" s="68">
        <v>77</v>
      </c>
      <c r="B70" s="94" t="s">
        <v>66</v>
      </c>
      <c r="C70" s="143">
        <v>721200</v>
      </c>
      <c r="D70" s="144">
        <v>0</v>
      </c>
      <c r="E70" s="144">
        <v>333000</v>
      </c>
      <c r="F70" s="143">
        <v>0</v>
      </c>
      <c r="G70" s="144">
        <v>0</v>
      </c>
      <c r="H70" s="97">
        <f t="shared" ref="H70:H82" si="12">SUM(C70:G70)</f>
        <v>1054200</v>
      </c>
      <c r="I70" s="69"/>
      <c r="J70" s="68">
        <v>77</v>
      </c>
      <c r="K70" s="94" t="s">
        <v>66</v>
      </c>
      <c r="L70" s="143">
        <v>721200</v>
      </c>
      <c r="M70" s="144">
        <v>0</v>
      </c>
      <c r="N70" s="144">
        <v>333000</v>
      </c>
      <c r="O70" s="143">
        <v>0</v>
      </c>
      <c r="P70" s="144">
        <v>0</v>
      </c>
      <c r="Q70" s="97">
        <f t="shared" ref="Q70:Q82" si="13">SUM(L70:P70)</f>
        <v>1054200</v>
      </c>
      <c r="R70" s="69"/>
      <c r="S70" s="68">
        <v>77</v>
      </c>
      <c r="T70" s="94" t="s">
        <v>66</v>
      </c>
      <c r="U70" s="143">
        <v>721200</v>
      </c>
      <c r="V70" s="144">
        <v>0</v>
      </c>
      <c r="W70" s="144">
        <v>333000</v>
      </c>
      <c r="X70" s="143">
        <v>0</v>
      </c>
      <c r="Y70" s="144">
        <v>0</v>
      </c>
      <c r="Z70" s="97">
        <f t="shared" ref="Z70:Z82" si="14">SUM(U70:Y70)</f>
        <v>1054200</v>
      </c>
      <c r="AA70" s="69"/>
      <c r="AB70" s="68">
        <v>77</v>
      </c>
      <c r="AC70" s="94" t="s">
        <v>66</v>
      </c>
      <c r="AD70" s="35">
        <f>Total!C70-Auszahlungen!C70-Auszahlungen!L70-Auszahlungen!U70</f>
        <v>721100</v>
      </c>
      <c r="AE70" s="81">
        <f>Total!D70-Auszahlungen!D70-Auszahlungen!M70-Auszahlungen!V70</f>
        <v>0</v>
      </c>
      <c r="AF70" s="81">
        <f>Total!E70-Auszahlungen!E70-Auszahlungen!N70-Auszahlungen!W70</f>
        <v>333200</v>
      </c>
      <c r="AG70" s="35">
        <f>Total!F70-Auszahlungen!F70-Auszahlungen!O70-Auszahlungen!X70</f>
        <v>0</v>
      </c>
      <c r="AH70" s="81">
        <f>Total!G70-Auszahlungen!G70-Auszahlungen!P70-Auszahlungen!Y70</f>
        <v>0</v>
      </c>
      <c r="AI70" s="97">
        <f t="shared" ref="AI70:AI82" si="15">SUM(AD70:AH70)</f>
        <v>1054300</v>
      </c>
    </row>
    <row r="71" spans="1:35" x14ac:dyDescent="0.2">
      <c r="A71" s="68">
        <v>78</v>
      </c>
      <c r="B71" s="94" t="s">
        <v>67</v>
      </c>
      <c r="C71" s="143">
        <v>1834800</v>
      </c>
      <c r="D71" s="144">
        <v>0</v>
      </c>
      <c r="E71" s="144">
        <v>440800</v>
      </c>
      <c r="F71" s="143">
        <v>0</v>
      </c>
      <c r="G71" s="144">
        <v>0</v>
      </c>
      <c r="H71" s="97">
        <f t="shared" si="12"/>
        <v>2275600</v>
      </c>
      <c r="I71" s="69"/>
      <c r="J71" s="68">
        <v>78</v>
      </c>
      <c r="K71" s="94" t="s">
        <v>67</v>
      </c>
      <c r="L71" s="143">
        <v>1834800</v>
      </c>
      <c r="M71" s="144">
        <v>0</v>
      </c>
      <c r="N71" s="144">
        <v>440800</v>
      </c>
      <c r="O71" s="143">
        <v>0</v>
      </c>
      <c r="P71" s="144">
        <v>0</v>
      </c>
      <c r="Q71" s="97">
        <f t="shared" si="13"/>
        <v>2275600</v>
      </c>
      <c r="R71" s="69"/>
      <c r="S71" s="68">
        <v>78</v>
      </c>
      <c r="T71" s="94" t="s">
        <v>67</v>
      </c>
      <c r="U71" s="143">
        <v>1834800</v>
      </c>
      <c r="V71" s="144">
        <v>0</v>
      </c>
      <c r="W71" s="144">
        <v>440800</v>
      </c>
      <c r="X71" s="143">
        <v>0</v>
      </c>
      <c r="Y71" s="144">
        <v>0</v>
      </c>
      <c r="Z71" s="97">
        <f t="shared" si="14"/>
        <v>2275600</v>
      </c>
      <c r="AA71" s="69"/>
      <c r="AB71" s="68">
        <v>78</v>
      </c>
      <c r="AC71" s="94" t="s">
        <v>67</v>
      </c>
      <c r="AD71" s="35">
        <f>Total!C71-Auszahlungen!C71-Auszahlungen!L71-Auszahlungen!U71</f>
        <v>1834700</v>
      </c>
      <c r="AE71" s="81">
        <f>Total!D71-Auszahlungen!D71-Auszahlungen!M71-Auszahlungen!V71</f>
        <v>0</v>
      </c>
      <c r="AF71" s="81">
        <f>Total!E71-Auszahlungen!E71-Auszahlungen!N71-Auszahlungen!W71</f>
        <v>440900</v>
      </c>
      <c r="AG71" s="35">
        <f>Total!F71-Auszahlungen!F71-Auszahlungen!O71-Auszahlungen!X71</f>
        <v>0</v>
      </c>
      <c r="AH71" s="81">
        <f>Total!G71-Auszahlungen!G71-Auszahlungen!P71-Auszahlungen!Y71</f>
        <v>0</v>
      </c>
      <c r="AI71" s="97">
        <f t="shared" si="15"/>
        <v>2275600</v>
      </c>
    </row>
    <row r="72" spans="1:35" x14ac:dyDescent="0.2">
      <c r="A72" s="68">
        <v>79</v>
      </c>
      <c r="B72" s="94" t="s">
        <v>68</v>
      </c>
      <c r="C72" s="143">
        <v>1766900</v>
      </c>
      <c r="D72" s="144">
        <v>0</v>
      </c>
      <c r="E72" s="144">
        <v>290600</v>
      </c>
      <c r="F72" s="143">
        <v>148000</v>
      </c>
      <c r="G72" s="144">
        <v>0</v>
      </c>
      <c r="H72" s="97">
        <f t="shared" si="12"/>
        <v>2205500</v>
      </c>
      <c r="I72" s="69"/>
      <c r="J72" s="68">
        <v>79</v>
      </c>
      <c r="K72" s="94" t="s">
        <v>68</v>
      </c>
      <c r="L72" s="143">
        <v>1766900</v>
      </c>
      <c r="M72" s="144">
        <v>0</v>
      </c>
      <c r="N72" s="144">
        <v>290600</v>
      </c>
      <c r="O72" s="143">
        <v>148000</v>
      </c>
      <c r="P72" s="144">
        <v>0</v>
      </c>
      <c r="Q72" s="97">
        <f t="shared" si="13"/>
        <v>2205500</v>
      </c>
      <c r="R72" s="69"/>
      <c r="S72" s="68">
        <v>79</v>
      </c>
      <c r="T72" s="94" t="s">
        <v>68</v>
      </c>
      <c r="U72" s="143">
        <v>1766900</v>
      </c>
      <c r="V72" s="144">
        <v>0</v>
      </c>
      <c r="W72" s="144">
        <v>290600</v>
      </c>
      <c r="X72" s="143">
        <v>148000</v>
      </c>
      <c r="Y72" s="144">
        <v>0</v>
      </c>
      <c r="Z72" s="97">
        <f t="shared" si="14"/>
        <v>2205500</v>
      </c>
      <c r="AA72" s="69"/>
      <c r="AB72" s="68">
        <v>79</v>
      </c>
      <c r="AC72" s="94" t="s">
        <v>68</v>
      </c>
      <c r="AD72" s="35">
        <f>Total!C72-Auszahlungen!C72-Auszahlungen!L72-Auszahlungen!U72</f>
        <v>1767000</v>
      </c>
      <c r="AE72" s="81">
        <f>Total!D72-Auszahlungen!D72-Auszahlungen!M72-Auszahlungen!V72</f>
        <v>0</v>
      </c>
      <c r="AF72" s="81">
        <f>Total!E72-Auszahlungen!E72-Auszahlungen!N72-Auszahlungen!W72</f>
        <v>290600</v>
      </c>
      <c r="AG72" s="35">
        <f>Total!F72-Auszahlungen!F72-Auszahlungen!O72-Auszahlungen!X72</f>
        <v>153300</v>
      </c>
      <c r="AH72" s="81">
        <f>Total!G72-Auszahlungen!G72-Auszahlungen!P72-Auszahlungen!Y72</f>
        <v>0</v>
      </c>
      <c r="AI72" s="97">
        <f t="shared" si="15"/>
        <v>2210900</v>
      </c>
    </row>
    <row r="73" spans="1:35" x14ac:dyDescent="0.2">
      <c r="A73" s="68">
        <v>80</v>
      </c>
      <c r="B73" s="94" t="s">
        <v>69</v>
      </c>
      <c r="C73" s="143">
        <v>800800</v>
      </c>
      <c r="D73" s="144">
        <v>210000</v>
      </c>
      <c r="E73" s="144">
        <v>289600</v>
      </c>
      <c r="F73" s="143">
        <v>101400</v>
      </c>
      <c r="G73" s="144">
        <v>0</v>
      </c>
      <c r="H73" s="97">
        <f t="shared" si="12"/>
        <v>1401800</v>
      </c>
      <c r="I73" s="69"/>
      <c r="J73" s="68">
        <v>80</v>
      </c>
      <c r="K73" s="94" t="s">
        <v>69</v>
      </c>
      <c r="L73" s="143">
        <v>800800</v>
      </c>
      <c r="M73" s="144">
        <v>210000</v>
      </c>
      <c r="N73" s="144">
        <v>289600</v>
      </c>
      <c r="O73" s="143">
        <v>101400</v>
      </c>
      <c r="P73" s="144">
        <v>0</v>
      </c>
      <c r="Q73" s="97">
        <f t="shared" si="13"/>
        <v>1401800</v>
      </c>
      <c r="R73" s="69"/>
      <c r="S73" s="68">
        <v>80</v>
      </c>
      <c r="T73" s="94" t="s">
        <v>69</v>
      </c>
      <c r="U73" s="143">
        <v>800800</v>
      </c>
      <c r="V73" s="144">
        <v>210000</v>
      </c>
      <c r="W73" s="144">
        <v>289600</v>
      </c>
      <c r="X73" s="143">
        <v>101400</v>
      </c>
      <c r="Y73" s="144">
        <v>0</v>
      </c>
      <c r="Z73" s="97">
        <f t="shared" si="14"/>
        <v>1401800</v>
      </c>
      <c r="AA73" s="69"/>
      <c r="AB73" s="68">
        <v>80</v>
      </c>
      <c r="AC73" s="94" t="s">
        <v>69</v>
      </c>
      <c r="AD73" s="35">
        <f>Total!C73-Auszahlungen!C73-Auszahlungen!L73-Auszahlungen!U73</f>
        <v>800600</v>
      </c>
      <c r="AE73" s="81">
        <f>Total!D73-Auszahlungen!D73-Auszahlungen!M73-Auszahlungen!V73</f>
        <v>210100</v>
      </c>
      <c r="AF73" s="81">
        <f>Total!E73-Auszahlungen!E73-Auszahlungen!N73-Auszahlungen!W73</f>
        <v>289500</v>
      </c>
      <c r="AG73" s="35">
        <f>Total!F73-Auszahlungen!F73-Auszahlungen!O73-Auszahlungen!X73</f>
        <v>102200</v>
      </c>
      <c r="AH73" s="81">
        <f>Total!G73-Auszahlungen!G73-Auszahlungen!P73-Auszahlungen!Y73</f>
        <v>0</v>
      </c>
      <c r="AI73" s="97">
        <f t="shared" si="15"/>
        <v>1402400</v>
      </c>
    </row>
    <row r="74" spans="1:35" x14ac:dyDescent="0.2">
      <c r="A74" s="68">
        <v>81</v>
      </c>
      <c r="B74" s="94" t="s">
        <v>70</v>
      </c>
      <c r="C74" s="143">
        <v>0</v>
      </c>
      <c r="D74" s="144">
        <v>0</v>
      </c>
      <c r="E74" s="144">
        <v>0</v>
      </c>
      <c r="F74" s="143">
        <v>832700</v>
      </c>
      <c r="G74" s="144">
        <v>0</v>
      </c>
      <c r="H74" s="97">
        <f t="shared" si="12"/>
        <v>832700</v>
      </c>
      <c r="I74" s="69"/>
      <c r="J74" s="68">
        <v>81</v>
      </c>
      <c r="K74" s="94" t="s">
        <v>70</v>
      </c>
      <c r="L74" s="143">
        <v>0</v>
      </c>
      <c r="M74" s="144">
        <v>0</v>
      </c>
      <c r="N74" s="144">
        <v>0</v>
      </c>
      <c r="O74" s="143">
        <v>832700</v>
      </c>
      <c r="P74" s="144">
        <v>0</v>
      </c>
      <c r="Q74" s="97">
        <f t="shared" si="13"/>
        <v>832700</v>
      </c>
      <c r="R74" s="69"/>
      <c r="S74" s="68">
        <v>81</v>
      </c>
      <c r="T74" s="94" t="s">
        <v>70</v>
      </c>
      <c r="U74" s="143">
        <v>0</v>
      </c>
      <c r="V74" s="144">
        <v>0</v>
      </c>
      <c r="W74" s="144">
        <v>0</v>
      </c>
      <c r="X74" s="143">
        <v>832700</v>
      </c>
      <c r="Y74" s="144">
        <v>0</v>
      </c>
      <c r="Z74" s="97">
        <f t="shared" si="14"/>
        <v>832700</v>
      </c>
      <c r="AA74" s="69"/>
      <c r="AB74" s="68">
        <v>81</v>
      </c>
      <c r="AC74" s="94" t="s">
        <v>70</v>
      </c>
      <c r="AD74" s="35">
        <f>Total!C74-Auszahlungen!C74-Auszahlungen!L74-Auszahlungen!U74</f>
        <v>0</v>
      </c>
      <c r="AE74" s="81">
        <f>Total!D74-Auszahlungen!D74-Auszahlungen!M74-Auszahlungen!V74</f>
        <v>0</v>
      </c>
      <c r="AF74" s="81">
        <f>Total!E74-Auszahlungen!E74-Auszahlungen!N74-Auszahlungen!W74</f>
        <v>0</v>
      </c>
      <c r="AG74" s="35">
        <f>Total!F74-Auszahlungen!F74-Auszahlungen!O74-Auszahlungen!X74</f>
        <v>845400</v>
      </c>
      <c r="AH74" s="81">
        <f>Total!G74-Auszahlungen!G74-Auszahlungen!P74-Auszahlungen!Y74</f>
        <v>0</v>
      </c>
      <c r="AI74" s="97">
        <f t="shared" si="15"/>
        <v>845400</v>
      </c>
    </row>
    <row r="75" spans="1:35" x14ac:dyDescent="0.2">
      <c r="A75" s="68">
        <v>83</v>
      </c>
      <c r="B75" s="94" t="s">
        <v>71</v>
      </c>
      <c r="C75" s="143">
        <v>0</v>
      </c>
      <c r="D75" s="144">
        <v>0</v>
      </c>
      <c r="E75" s="144">
        <v>0</v>
      </c>
      <c r="F75" s="143">
        <v>0</v>
      </c>
      <c r="G75" s="144">
        <v>0</v>
      </c>
      <c r="H75" s="97">
        <f t="shared" si="12"/>
        <v>0</v>
      </c>
      <c r="I75" s="69"/>
      <c r="J75" s="68">
        <v>83</v>
      </c>
      <c r="K75" s="94" t="s">
        <v>71</v>
      </c>
      <c r="L75" s="143">
        <v>0</v>
      </c>
      <c r="M75" s="144">
        <v>0</v>
      </c>
      <c r="N75" s="144">
        <v>0</v>
      </c>
      <c r="O75" s="143">
        <v>0</v>
      </c>
      <c r="P75" s="144">
        <v>0</v>
      </c>
      <c r="Q75" s="97">
        <f t="shared" si="13"/>
        <v>0</v>
      </c>
      <c r="R75" s="69"/>
      <c r="S75" s="68">
        <v>83</v>
      </c>
      <c r="T75" s="94" t="s">
        <v>71</v>
      </c>
      <c r="U75" s="143">
        <v>0</v>
      </c>
      <c r="V75" s="144">
        <v>0</v>
      </c>
      <c r="W75" s="144">
        <v>0</v>
      </c>
      <c r="X75" s="143">
        <v>0</v>
      </c>
      <c r="Y75" s="144">
        <v>0</v>
      </c>
      <c r="Z75" s="97">
        <f t="shared" si="14"/>
        <v>0</v>
      </c>
      <c r="AA75" s="69"/>
      <c r="AB75" s="68">
        <v>83</v>
      </c>
      <c r="AC75" s="94" t="s">
        <v>71</v>
      </c>
      <c r="AD75" s="35">
        <f>Total!C75-Auszahlungen!C75-Auszahlungen!L75-Auszahlungen!U75</f>
        <v>0</v>
      </c>
      <c r="AE75" s="81">
        <f>Total!D75-Auszahlungen!D75-Auszahlungen!M75-Auszahlungen!V75</f>
        <v>0</v>
      </c>
      <c r="AF75" s="81">
        <f>Total!E75-Auszahlungen!E75-Auszahlungen!N75-Auszahlungen!W75</f>
        <v>0</v>
      </c>
      <c r="AG75" s="35">
        <f>Total!F75-Auszahlungen!F75-Auszahlungen!O75-Auszahlungen!X75</f>
        <v>0</v>
      </c>
      <c r="AH75" s="81">
        <f>Total!G75-Auszahlungen!G75-Auszahlungen!P75-Auszahlungen!Y75</f>
        <v>0</v>
      </c>
      <c r="AI75" s="97">
        <f t="shared" si="15"/>
        <v>0</v>
      </c>
    </row>
    <row r="76" spans="1:35" x14ac:dyDescent="0.2">
      <c r="A76" s="68">
        <v>84</v>
      </c>
      <c r="B76" s="94" t="s">
        <v>72</v>
      </c>
      <c r="C76" s="143">
        <v>0</v>
      </c>
      <c r="D76" s="144">
        <v>125700</v>
      </c>
      <c r="E76" s="144">
        <v>50300</v>
      </c>
      <c r="F76" s="143">
        <v>0</v>
      </c>
      <c r="G76" s="144">
        <v>0</v>
      </c>
      <c r="H76" s="97">
        <f t="shared" si="12"/>
        <v>176000</v>
      </c>
      <c r="I76" s="69"/>
      <c r="J76" s="68">
        <v>84</v>
      </c>
      <c r="K76" s="94" t="s">
        <v>72</v>
      </c>
      <c r="L76" s="143">
        <v>0</v>
      </c>
      <c r="M76" s="144">
        <v>125700</v>
      </c>
      <c r="N76" s="144">
        <v>50300</v>
      </c>
      <c r="O76" s="143">
        <v>0</v>
      </c>
      <c r="P76" s="144">
        <v>0</v>
      </c>
      <c r="Q76" s="97">
        <f t="shared" si="13"/>
        <v>176000</v>
      </c>
      <c r="R76" s="69"/>
      <c r="S76" s="68">
        <v>84</v>
      </c>
      <c r="T76" s="94" t="s">
        <v>72</v>
      </c>
      <c r="U76" s="143">
        <v>0</v>
      </c>
      <c r="V76" s="144">
        <v>125700</v>
      </c>
      <c r="W76" s="144">
        <v>50300</v>
      </c>
      <c r="X76" s="143">
        <v>0</v>
      </c>
      <c r="Y76" s="144">
        <v>0</v>
      </c>
      <c r="Z76" s="97">
        <f t="shared" si="14"/>
        <v>176000</v>
      </c>
      <c r="AA76" s="69"/>
      <c r="AB76" s="68">
        <v>84</v>
      </c>
      <c r="AC76" s="94" t="s">
        <v>72</v>
      </c>
      <c r="AD76" s="35">
        <f>Total!C76-Auszahlungen!C76-Auszahlungen!L76-Auszahlungen!U76</f>
        <v>0</v>
      </c>
      <c r="AE76" s="81">
        <f>Total!D76-Auszahlungen!D76-Auszahlungen!M76-Auszahlungen!V76</f>
        <v>125700</v>
      </c>
      <c r="AF76" s="81">
        <f>Total!E76-Auszahlungen!E76-Auszahlungen!N76-Auszahlungen!W76</f>
        <v>50400</v>
      </c>
      <c r="AG76" s="35">
        <f>Total!F76-Auszahlungen!F76-Auszahlungen!O76-Auszahlungen!X76</f>
        <v>0</v>
      </c>
      <c r="AH76" s="81">
        <f>Total!G76-Auszahlungen!G76-Auszahlungen!P76-Auszahlungen!Y76</f>
        <v>0</v>
      </c>
      <c r="AI76" s="97">
        <f t="shared" si="15"/>
        <v>176100</v>
      </c>
    </row>
    <row r="77" spans="1:35" x14ac:dyDescent="0.2">
      <c r="A77" s="68">
        <v>85</v>
      </c>
      <c r="B77" s="94" t="s">
        <v>73</v>
      </c>
      <c r="C77" s="143">
        <v>156400</v>
      </c>
      <c r="D77" s="144">
        <v>137400</v>
      </c>
      <c r="E77" s="144">
        <v>134900</v>
      </c>
      <c r="F77" s="143">
        <v>0</v>
      </c>
      <c r="G77" s="144">
        <v>0</v>
      </c>
      <c r="H77" s="97">
        <f t="shared" si="12"/>
        <v>428700</v>
      </c>
      <c r="I77" s="69"/>
      <c r="J77" s="68">
        <v>85</v>
      </c>
      <c r="K77" s="94" t="s">
        <v>73</v>
      </c>
      <c r="L77" s="143">
        <v>156400</v>
      </c>
      <c r="M77" s="144">
        <v>137400</v>
      </c>
      <c r="N77" s="144">
        <v>134900</v>
      </c>
      <c r="O77" s="143">
        <v>0</v>
      </c>
      <c r="P77" s="144">
        <v>0</v>
      </c>
      <c r="Q77" s="97">
        <f t="shared" si="13"/>
        <v>428700</v>
      </c>
      <c r="R77" s="69"/>
      <c r="S77" s="68">
        <v>85</v>
      </c>
      <c r="T77" s="94" t="s">
        <v>73</v>
      </c>
      <c r="U77" s="143">
        <v>156400</v>
      </c>
      <c r="V77" s="144">
        <v>137400</v>
      </c>
      <c r="W77" s="144">
        <v>134900</v>
      </c>
      <c r="X77" s="143">
        <v>0</v>
      </c>
      <c r="Y77" s="144">
        <v>0</v>
      </c>
      <c r="Z77" s="97">
        <f t="shared" si="14"/>
        <v>428700</v>
      </c>
      <c r="AA77" s="69"/>
      <c r="AB77" s="68">
        <v>85</v>
      </c>
      <c r="AC77" s="94" t="s">
        <v>73</v>
      </c>
      <c r="AD77" s="35">
        <f>Total!C77-Auszahlungen!C77-Auszahlungen!L77-Auszahlungen!U77</f>
        <v>156400</v>
      </c>
      <c r="AE77" s="81">
        <f>Total!D77-Auszahlungen!D77-Auszahlungen!M77-Auszahlungen!V77</f>
        <v>137300</v>
      </c>
      <c r="AF77" s="81">
        <f>Total!E77-Auszahlungen!E77-Auszahlungen!N77-Auszahlungen!W77</f>
        <v>134900</v>
      </c>
      <c r="AG77" s="35">
        <f>Total!F77-Auszahlungen!F77-Auszahlungen!O77-Auszahlungen!X77</f>
        <v>0</v>
      </c>
      <c r="AH77" s="81">
        <f>Total!G77-Auszahlungen!G77-Auszahlungen!P77-Auszahlungen!Y77</f>
        <v>0</v>
      </c>
      <c r="AI77" s="97">
        <f t="shared" si="15"/>
        <v>428600</v>
      </c>
    </row>
    <row r="78" spans="1:35" x14ac:dyDescent="0.2">
      <c r="A78" s="68">
        <v>86</v>
      </c>
      <c r="B78" s="94" t="s">
        <v>74</v>
      </c>
      <c r="C78" s="143">
        <v>346000</v>
      </c>
      <c r="D78" s="144">
        <v>140700</v>
      </c>
      <c r="E78" s="144">
        <v>259200</v>
      </c>
      <c r="F78" s="143">
        <v>0</v>
      </c>
      <c r="G78" s="144">
        <v>0</v>
      </c>
      <c r="H78" s="97">
        <f t="shared" si="12"/>
        <v>745900</v>
      </c>
      <c r="I78" s="69"/>
      <c r="J78" s="68">
        <v>86</v>
      </c>
      <c r="K78" s="94" t="s">
        <v>74</v>
      </c>
      <c r="L78" s="143">
        <v>346000</v>
      </c>
      <c r="M78" s="144">
        <v>140700</v>
      </c>
      <c r="N78" s="144">
        <v>259200</v>
      </c>
      <c r="O78" s="143">
        <v>0</v>
      </c>
      <c r="P78" s="144">
        <v>0</v>
      </c>
      <c r="Q78" s="97">
        <f t="shared" si="13"/>
        <v>745900</v>
      </c>
      <c r="R78" s="69"/>
      <c r="S78" s="68">
        <v>86</v>
      </c>
      <c r="T78" s="94" t="s">
        <v>74</v>
      </c>
      <c r="U78" s="143">
        <v>346000</v>
      </c>
      <c r="V78" s="144">
        <v>140700</v>
      </c>
      <c r="W78" s="144">
        <v>259200</v>
      </c>
      <c r="X78" s="143">
        <v>0</v>
      </c>
      <c r="Y78" s="144">
        <v>0</v>
      </c>
      <c r="Z78" s="97">
        <f t="shared" si="14"/>
        <v>745900</v>
      </c>
      <c r="AA78" s="69"/>
      <c r="AB78" s="68">
        <v>86</v>
      </c>
      <c r="AC78" s="94" t="s">
        <v>74</v>
      </c>
      <c r="AD78" s="35">
        <f>Total!C78-Auszahlungen!C78-Auszahlungen!L78-Auszahlungen!U78</f>
        <v>346000</v>
      </c>
      <c r="AE78" s="81">
        <f>Total!D78-Auszahlungen!D78-Auszahlungen!M78-Auszahlungen!V78</f>
        <v>140700</v>
      </c>
      <c r="AF78" s="81">
        <f>Total!E78-Auszahlungen!E78-Auszahlungen!N78-Auszahlungen!W78</f>
        <v>259400</v>
      </c>
      <c r="AG78" s="35">
        <f>Total!F78-Auszahlungen!F78-Auszahlungen!O78-Auszahlungen!X78</f>
        <v>0</v>
      </c>
      <c r="AH78" s="81">
        <f>Total!G78-Auszahlungen!G78-Auszahlungen!P78-Auszahlungen!Y78</f>
        <v>0</v>
      </c>
      <c r="AI78" s="97">
        <f t="shared" si="15"/>
        <v>746100</v>
      </c>
    </row>
    <row r="79" spans="1:35" x14ac:dyDescent="0.2">
      <c r="A79" s="68">
        <v>87</v>
      </c>
      <c r="B79" s="138" t="s">
        <v>75</v>
      </c>
      <c r="C79" s="143">
        <v>0</v>
      </c>
      <c r="D79" s="144">
        <v>0</v>
      </c>
      <c r="E79" s="144">
        <v>0</v>
      </c>
      <c r="F79" s="143">
        <v>14900</v>
      </c>
      <c r="G79" s="144">
        <v>0</v>
      </c>
      <c r="H79" s="137">
        <f t="shared" si="12"/>
        <v>14900</v>
      </c>
      <c r="I79" s="69"/>
      <c r="J79" s="68">
        <v>87</v>
      </c>
      <c r="K79" s="94" t="s">
        <v>75</v>
      </c>
      <c r="L79" s="143">
        <v>0</v>
      </c>
      <c r="M79" s="144">
        <v>0</v>
      </c>
      <c r="N79" s="144">
        <v>0</v>
      </c>
      <c r="O79" s="143">
        <v>14900</v>
      </c>
      <c r="P79" s="144">
        <v>0</v>
      </c>
      <c r="Q79" s="97">
        <f t="shared" si="13"/>
        <v>14900</v>
      </c>
      <c r="R79" s="69"/>
      <c r="S79" s="68">
        <v>87</v>
      </c>
      <c r="T79" s="94" t="s">
        <v>75</v>
      </c>
      <c r="U79" s="143">
        <v>0</v>
      </c>
      <c r="V79" s="144">
        <v>0</v>
      </c>
      <c r="W79" s="144">
        <v>0</v>
      </c>
      <c r="X79" s="140">
        <v>-29800</v>
      </c>
      <c r="Y79" s="144">
        <v>0</v>
      </c>
      <c r="Z79" s="137">
        <f t="shared" si="14"/>
        <v>-29800</v>
      </c>
      <c r="AA79" s="69"/>
      <c r="AB79" s="68">
        <v>87</v>
      </c>
      <c r="AC79" s="94" t="s">
        <v>75</v>
      </c>
      <c r="AD79" s="35">
        <f>Total!C79-Auszahlungen!C79-Auszahlungen!L79-Auszahlungen!U79</f>
        <v>0</v>
      </c>
      <c r="AE79" s="81">
        <f>Total!D79-Auszahlungen!D79-Auszahlungen!M79-Auszahlungen!V79</f>
        <v>0</v>
      </c>
      <c r="AF79" s="81">
        <f>Total!E79-Auszahlungen!E79-Auszahlungen!N79-Auszahlungen!W79</f>
        <v>0</v>
      </c>
      <c r="AG79" s="35">
        <f>Total!F79-Auszahlungen!F79-Auszahlungen!O79-Auszahlungen!X79</f>
        <v>0</v>
      </c>
      <c r="AH79" s="81">
        <f>Total!G79-Auszahlungen!G79-Auszahlungen!P79-Auszahlungen!Y79</f>
        <v>0</v>
      </c>
      <c r="AI79" s="97">
        <f t="shared" si="15"/>
        <v>0</v>
      </c>
    </row>
    <row r="80" spans="1:35" x14ac:dyDescent="0.2">
      <c r="A80" s="68">
        <v>88</v>
      </c>
      <c r="B80" s="94" t="s">
        <v>76</v>
      </c>
      <c r="C80" s="143">
        <v>0</v>
      </c>
      <c r="D80" s="144">
        <v>25300</v>
      </c>
      <c r="E80" s="144">
        <v>166100</v>
      </c>
      <c r="F80" s="143">
        <v>0</v>
      </c>
      <c r="G80" s="144">
        <v>0</v>
      </c>
      <c r="H80" s="97">
        <f t="shared" si="12"/>
        <v>191400</v>
      </c>
      <c r="I80" s="69"/>
      <c r="J80" s="68">
        <v>88</v>
      </c>
      <c r="K80" s="94" t="s">
        <v>76</v>
      </c>
      <c r="L80" s="143">
        <v>0</v>
      </c>
      <c r="M80" s="144">
        <v>25300</v>
      </c>
      <c r="N80" s="144">
        <v>166100</v>
      </c>
      <c r="O80" s="143">
        <v>0</v>
      </c>
      <c r="P80" s="144">
        <v>0</v>
      </c>
      <c r="Q80" s="97">
        <f t="shared" si="13"/>
        <v>191400</v>
      </c>
      <c r="R80" s="69"/>
      <c r="S80" s="68">
        <v>88</v>
      </c>
      <c r="T80" s="94" t="s">
        <v>76</v>
      </c>
      <c r="U80" s="143">
        <v>0</v>
      </c>
      <c r="V80" s="144">
        <v>25300</v>
      </c>
      <c r="W80" s="144">
        <v>166100</v>
      </c>
      <c r="X80" s="143">
        <v>0</v>
      </c>
      <c r="Y80" s="144">
        <v>0</v>
      </c>
      <c r="Z80" s="97">
        <f t="shared" si="14"/>
        <v>191400</v>
      </c>
      <c r="AA80" s="69"/>
      <c r="AB80" s="68">
        <v>88</v>
      </c>
      <c r="AC80" s="94" t="s">
        <v>76</v>
      </c>
      <c r="AD80" s="35">
        <f>Total!C80-Auszahlungen!C80-Auszahlungen!L80-Auszahlungen!U80</f>
        <v>0</v>
      </c>
      <c r="AE80" s="81">
        <f>Total!D80-Auszahlungen!D80-Auszahlungen!M80-Auszahlungen!V80</f>
        <v>25100</v>
      </c>
      <c r="AF80" s="81">
        <f>Total!E80-Auszahlungen!E80-Auszahlungen!N80-Auszahlungen!W80</f>
        <v>165900</v>
      </c>
      <c r="AG80" s="35">
        <f>Total!F80-Auszahlungen!F80-Auszahlungen!O80-Auszahlungen!X80</f>
        <v>0</v>
      </c>
      <c r="AH80" s="81">
        <f>Total!G80-Auszahlungen!G80-Auszahlungen!P80-Auszahlungen!Y80</f>
        <v>0</v>
      </c>
      <c r="AI80" s="97">
        <f t="shared" si="15"/>
        <v>191000</v>
      </c>
    </row>
    <row r="81" spans="1:35" x14ac:dyDescent="0.2">
      <c r="A81" s="68">
        <v>89</v>
      </c>
      <c r="B81" s="94" t="s">
        <v>77</v>
      </c>
      <c r="C81" s="143">
        <v>329900</v>
      </c>
      <c r="D81" s="144">
        <v>460400</v>
      </c>
      <c r="E81" s="144">
        <v>383400</v>
      </c>
      <c r="F81" s="143">
        <v>13600</v>
      </c>
      <c r="G81" s="144">
        <v>0</v>
      </c>
      <c r="H81" s="97">
        <f t="shared" si="12"/>
        <v>1187300</v>
      </c>
      <c r="I81" s="69"/>
      <c r="J81" s="68">
        <v>89</v>
      </c>
      <c r="K81" s="94" t="s">
        <v>77</v>
      </c>
      <c r="L81" s="143">
        <v>329900</v>
      </c>
      <c r="M81" s="144">
        <v>460400</v>
      </c>
      <c r="N81" s="144">
        <v>383400</v>
      </c>
      <c r="O81" s="143">
        <v>13600</v>
      </c>
      <c r="P81" s="144">
        <v>0</v>
      </c>
      <c r="Q81" s="97">
        <f t="shared" si="13"/>
        <v>1187300</v>
      </c>
      <c r="R81" s="69"/>
      <c r="S81" s="68">
        <v>89</v>
      </c>
      <c r="T81" s="94" t="s">
        <v>77</v>
      </c>
      <c r="U81" s="143">
        <v>329900</v>
      </c>
      <c r="V81" s="144">
        <v>460400</v>
      </c>
      <c r="W81" s="144">
        <v>383400</v>
      </c>
      <c r="X81" s="143">
        <v>13600</v>
      </c>
      <c r="Y81" s="144">
        <v>0</v>
      </c>
      <c r="Z81" s="97">
        <f t="shared" si="14"/>
        <v>1187300</v>
      </c>
      <c r="AA81" s="69"/>
      <c r="AB81" s="68">
        <v>89</v>
      </c>
      <c r="AC81" s="94" t="s">
        <v>77</v>
      </c>
      <c r="AD81" s="35">
        <f>Total!C81-Auszahlungen!C81-Auszahlungen!L81-Auszahlungen!U81</f>
        <v>329900</v>
      </c>
      <c r="AE81" s="81">
        <f>Total!D81-Auszahlungen!D81-Auszahlungen!M81-Auszahlungen!V81</f>
        <v>460500</v>
      </c>
      <c r="AF81" s="81">
        <f>Total!E81-Auszahlungen!E81-Auszahlungen!N81-Auszahlungen!W81</f>
        <v>383600</v>
      </c>
      <c r="AG81" s="35">
        <f>Total!F81-Auszahlungen!F81-Auszahlungen!O81-Auszahlungen!X81</f>
        <v>14200</v>
      </c>
      <c r="AH81" s="81">
        <f>Total!G81-Auszahlungen!G81-Auszahlungen!P81-Auszahlungen!Y81</f>
        <v>0</v>
      </c>
      <c r="AI81" s="97">
        <f t="shared" si="15"/>
        <v>1188200</v>
      </c>
    </row>
    <row r="82" spans="1:35" x14ac:dyDescent="0.2">
      <c r="A82" s="68">
        <v>90</v>
      </c>
      <c r="B82" s="94" t="s">
        <v>78</v>
      </c>
      <c r="C82" s="143">
        <v>0</v>
      </c>
      <c r="D82" s="144">
        <v>0</v>
      </c>
      <c r="E82" s="144">
        <v>68500</v>
      </c>
      <c r="F82" s="143">
        <v>600</v>
      </c>
      <c r="G82" s="144">
        <v>0</v>
      </c>
      <c r="H82" s="97">
        <f t="shared" si="12"/>
        <v>69100</v>
      </c>
      <c r="I82" s="69"/>
      <c r="J82" s="72">
        <v>90</v>
      </c>
      <c r="K82" s="89" t="s">
        <v>78</v>
      </c>
      <c r="L82" s="145">
        <v>0</v>
      </c>
      <c r="M82" s="146">
        <v>0</v>
      </c>
      <c r="N82" s="146">
        <v>68500</v>
      </c>
      <c r="O82" s="145">
        <v>600</v>
      </c>
      <c r="P82" s="146">
        <v>0</v>
      </c>
      <c r="Q82" s="98">
        <f t="shared" si="13"/>
        <v>69100</v>
      </c>
      <c r="R82" s="69"/>
      <c r="S82" s="72">
        <v>90</v>
      </c>
      <c r="T82" s="89" t="s">
        <v>78</v>
      </c>
      <c r="U82" s="145">
        <v>0</v>
      </c>
      <c r="V82" s="146">
        <v>0</v>
      </c>
      <c r="W82" s="146">
        <v>68500</v>
      </c>
      <c r="X82" s="145">
        <v>600</v>
      </c>
      <c r="Y82" s="146">
        <v>0</v>
      </c>
      <c r="Z82" s="98">
        <f t="shared" si="14"/>
        <v>69100</v>
      </c>
      <c r="AA82" s="69"/>
      <c r="AB82" s="72">
        <v>90</v>
      </c>
      <c r="AC82" s="89" t="s">
        <v>78</v>
      </c>
      <c r="AD82" s="73">
        <f>Total!C82-Auszahlungen!C82-Auszahlungen!L82-Auszahlungen!U82</f>
        <v>0</v>
      </c>
      <c r="AE82" s="82">
        <f>Total!D82-Auszahlungen!D82-Auszahlungen!M82-Auszahlungen!V82</f>
        <v>0</v>
      </c>
      <c r="AF82" s="82">
        <f>Total!E82-Auszahlungen!E82-Auszahlungen!N82-Auszahlungen!W82</f>
        <v>68500</v>
      </c>
      <c r="AG82" s="73">
        <f>Total!F82-Auszahlungen!F82-Auszahlungen!O82-Auszahlungen!X82</f>
        <v>4500</v>
      </c>
      <c r="AH82" s="82">
        <f>Total!G82-Auszahlungen!G82-Auszahlungen!P82-Auszahlungen!Y82</f>
        <v>0</v>
      </c>
      <c r="AI82" s="98">
        <f t="shared" si="15"/>
        <v>73000</v>
      </c>
    </row>
    <row r="83" spans="1:35" x14ac:dyDescent="0.2">
      <c r="A83" s="85"/>
      <c r="B83" s="88" t="s">
        <v>79</v>
      </c>
      <c r="C83" s="86">
        <f t="shared" ref="C83:H83" si="16">SUM(C8:C82)</f>
        <v>30267800</v>
      </c>
      <c r="D83" s="90">
        <f t="shared" si="16"/>
        <v>8888600</v>
      </c>
      <c r="E83" s="90">
        <f t="shared" si="16"/>
        <v>8263200</v>
      </c>
      <c r="F83" s="86">
        <f t="shared" si="16"/>
        <v>6807600</v>
      </c>
      <c r="G83" s="90">
        <f t="shared" si="16"/>
        <v>4334300</v>
      </c>
      <c r="H83" s="90">
        <f t="shared" si="16"/>
        <v>58561500</v>
      </c>
      <c r="I83" s="69"/>
      <c r="J83" s="85"/>
      <c r="K83" s="88" t="s">
        <v>79</v>
      </c>
      <c r="L83" s="86">
        <f t="shared" ref="L83:Q83" si="17">SUM(L8:L82)</f>
        <v>30267800</v>
      </c>
      <c r="M83" s="90">
        <f t="shared" si="17"/>
        <v>8888600</v>
      </c>
      <c r="N83" s="90">
        <f t="shared" si="17"/>
        <v>8263200</v>
      </c>
      <c r="O83" s="86">
        <f t="shared" si="17"/>
        <v>6807600</v>
      </c>
      <c r="P83" s="90">
        <f t="shared" si="17"/>
        <v>4334300</v>
      </c>
      <c r="Q83" s="90">
        <f t="shared" si="17"/>
        <v>58561500</v>
      </c>
      <c r="R83" s="69"/>
      <c r="S83" s="85"/>
      <c r="T83" s="88" t="s">
        <v>79</v>
      </c>
      <c r="U83" s="86">
        <f t="shared" ref="U83:Z83" si="18">SUM(U8:U82)</f>
        <v>30267800</v>
      </c>
      <c r="V83" s="90">
        <f t="shared" si="18"/>
        <v>8888600</v>
      </c>
      <c r="W83" s="90">
        <f t="shared" si="18"/>
        <v>8263200</v>
      </c>
      <c r="X83" s="86">
        <f t="shared" si="18"/>
        <v>6762900</v>
      </c>
      <c r="Y83" s="90">
        <f t="shared" si="18"/>
        <v>4334300</v>
      </c>
      <c r="Z83" s="90">
        <f t="shared" si="18"/>
        <v>58516800</v>
      </c>
      <c r="AA83" s="69"/>
      <c r="AB83" s="85"/>
      <c r="AC83" s="88" t="s">
        <v>79</v>
      </c>
      <c r="AD83" s="86">
        <f>SUM(AD8:AD82)</f>
        <v>30264400</v>
      </c>
      <c r="AE83" s="90">
        <f t="shared" ref="AE83:AI83" si="19">SUM(AE8:AE82)</f>
        <v>8886700</v>
      </c>
      <c r="AF83" s="90">
        <f>SUM(AF8:AF82)</f>
        <v>8265300</v>
      </c>
      <c r="AG83" s="86">
        <f t="shared" si="19"/>
        <v>6897700</v>
      </c>
      <c r="AH83" s="90">
        <f t="shared" si="19"/>
        <v>4334400</v>
      </c>
      <c r="AI83" s="90">
        <f t="shared" si="19"/>
        <v>58648500</v>
      </c>
    </row>
    <row r="84" spans="1:35" ht="30" customHeight="1" x14ac:dyDescent="0.2">
      <c r="A84" s="87"/>
      <c r="B84" s="101" t="s">
        <v>220</v>
      </c>
      <c r="C84" s="100" t="s">
        <v>233</v>
      </c>
      <c r="D84" s="99" t="s">
        <v>234</v>
      </c>
      <c r="E84" s="100" t="s">
        <v>235</v>
      </c>
      <c r="F84" s="114" t="s">
        <v>236</v>
      </c>
      <c r="G84" s="99" t="s">
        <v>237</v>
      </c>
      <c r="H84" s="89"/>
      <c r="I84" s="69"/>
      <c r="J84" s="87"/>
      <c r="K84" s="101" t="s">
        <v>220</v>
      </c>
      <c r="L84" s="100" t="s">
        <v>233</v>
      </c>
      <c r="M84" s="99" t="s">
        <v>234</v>
      </c>
      <c r="N84" s="100" t="s">
        <v>235</v>
      </c>
      <c r="O84" s="114" t="s">
        <v>236</v>
      </c>
      <c r="P84" s="99" t="s">
        <v>237</v>
      </c>
      <c r="Q84" s="89"/>
      <c r="R84" s="69"/>
      <c r="S84" s="87"/>
      <c r="T84" s="101" t="s">
        <v>220</v>
      </c>
      <c r="U84" s="100" t="s">
        <v>233</v>
      </c>
      <c r="V84" s="99" t="s">
        <v>234</v>
      </c>
      <c r="W84" s="100" t="s">
        <v>235</v>
      </c>
      <c r="X84" s="114" t="s">
        <v>236</v>
      </c>
      <c r="Y84" s="99" t="s">
        <v>237</v>
      </c>
      <c r="Z84" s="89"/>
      <c r="AA84" s="69"/>
      <c r="AB84" s="87"/>
      <c r="AC84" s="101" t="s">
        <v>220</v>
      </c>
      <c r="AD84" s="100" t="s">
        <v>233</v>
      </c>
      <c r="AE84" s="99" t="s">
        <v>234</v>
      </c>
      <c r="AF84" s="100" t="s">
        <v>235</v>
      </c>
      <c r="AG84" s="114" t="s">
        <v>236</v>
      </c>
      <c r="AH84" s="99" t="s">
        <v>237</v>
      </c>
      <c r="AI84" s="89"/>
    </row>
    <row r="87" spans="1:35" x14ac:dyDescent="0.2">
      <c r="AE87" s="37"/>
    </row>
  </sheetData>
  <pageMargins left="0.51181102362204722" right="0.51181102362204722" top="0.39370078740157483" bottom="0.39370078740157483" header="0.31496062992125984" footer="0.31496062992125984"/>
  <pageSetup paperSize="9" scale="68" orientation="portrait" r:id="rId1"/>
  <headerFooter>
    <oddFooter>&amp;R&amp;D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D84"/>
  <sheetViews>
    <sheetView topLeftCell="O53" zoomScale="130" zoomScaleNormal="130" workbookViewId="0">
      <selection activeCell="D15" sqref="D15"/>
    </sheetView>
  </sheetViews>
  <sheetFormatPr baseColWidth="10" defaultRowHeight="12.75" x14ac:dyDescent="0.2"/>
  <cols>
    <col min="1" max="1" width="4" customWidth="1"/>
    <col min="2" max="2" width="20.5703125" bestFit="1" customWidth="1"/>
    <col min="3" max="3" width="8.28515625" bestFit="1" customWidth="1"/>
    <col min="4" max="4" width="5.140625" bestFit="1" customWidth="1"/>
    <col min="5" max="5" width="25.7109375" bestFit="1" customWidth="1"/>
    <col min="6" max="6" width="19.42578125" customWidth="1"/>
    <col min="7" max="7" width="14.28515625" customWidth="1"/>
    <col min="8" max="8" width="4.28515625" customWidth="1"/>
    <col min="9" max="9" width="4" customWidth="1"/>
    <col min="10" max="10" width="20.5703125" bestFit="1" customWidth="1"/>
    <col min="11" max="11" width="8.28515625" bestFit="1" customWidth="1"/>
    <col min="12" max="12" width="5.140625" bestFit="1" customWidth="1"/>
    <col min="13" max="13" width="25.7109375" bestFit="1" customWidth="1"/>
    <col min="14" max="14" width="19.42578125" customWidth="1"/>
    <col min="15" max="15" width="14.28515625" customWidth="1"/>
    <col min="16" max="16" width="4.28515625" customWidth="1"/>
    <col min="17" max="17" width="4" customWidth="1"/>
    <col min="18" max="18" width="20.5703125" bestFit="1" customWidth="1"/>
    <col min="19" max="19" width="8.28515625" bestFit="1" customWidth="1"/>
    <col min="20" max="20" width="5.140625" bestFit="1" customWidth="1"/>
    <col min="21" max="21" width="25.7109375" bestFit="1" customWidth="1"/>
    <col min="22" max="22" width="19.42578125" customWidth="1"/>
    <col min="23" max="23" width="14.28515625" customWidth="1"/>
    <col min="24" max="24" width="4.28515625" customWidth="1"/>
    <col min="25" max="25" width="4" customWidth="1"/>
    <col min="26" max="26" width="20.5703125" bestFit="1" customWidth="1"/>
    <col min="27" max="27" width="8.28515625" bestFit="1" customWidth="1"/>
    <col min="28" max="28" width="5.140625" bestFit="1" customWidth="1"/>
    <col min="29" max="29" width="25.7109375" bestFit="1" customWidth="1"/>
    <col min="30" max="30" width="19.42578125" customWidth="1"/>
    <col min="31" max="31" width="14.28515625" customWidth="1"/>
  </cols>
  <sheetData>
    <row r="1" spans="1:30" x14ac:dyDescent="0.2">
      <c r="A1" s="19" t="s">
        <v>193</v>
      </c>
      <c r="H1" s="69"/>
      <c r="I1" s="19" t="s">
        <v>193</v>
      </c>
      <c r="P1" s="69"/>
      <c r="Q1" s="19" t="s">
        <v>193</v>
      </c>
      <c r="X1" s="69"/>
      <c r="Y1" s="19" t="s">
        <v>193</v>
      </c>
    </row>
    <row r="2" spans="1:30" x14ac:dyDescent="0.2">
      <c r="A2" t="s">
        <v>194</v>
      </c>
      <c r="H2" s="69"/>
      <c r="I2" t="s">
        <v>194</v>
      </c>
      <c r="P2" s="69"/>
      <c r="Q2" t="s">
        <v>194</v>
      </c>
      <c r="X2" s="69"/>
      <c r="Y2" t="s">
        <v>194</v>
      </c>
    </row>
    <row r="3" spans="1:30" x14ac:dyDescent="0.2">
      <c r="H3" s="69"/>
      <c r="P3" s="69"/>
      <c r="X3" s="69"/>
    </row>
    <row r="4" spans="1:30" x14ac:dyDescent="0.2">
      <c r="H4" s="69"/>
      <c r="P4" s="69"/>
      <c r="X4" s="69"/>
    </row>
    <row r="5" spans="1:30" ht="26.25" x14ac:dyDescent="0.2">
      <c r="A5" s="91" t="s">
        <v>375</v>
      </c>
      <c r="H5" s="69"/>
      <c r="I5" s="91" t="s">
        <v>375</v>
      </c>
      <c r="P5" s="69"/>
      <c r="Q5" s="91" t="s">
        <v>375</v>
      </c>
      <c r="X5" s="69"/>
      <c r="Y5" s="91" t="s">
        <v>375</v>
      </c>
    </row>
    <row r="6" spans="1:30" ht="18" x14ac:dyDescent="0.25">
      <c r="A6" s="71" t="s">
        <v>219</v>
      </c>
      <c r="H6" s="69"/>
      <c r="I6" s="71" t="s">
        <v>221</v>
      </c>
      <c r="P6" s="69"/>
      <c r="Q6" s="71" t="s">
        <v>222</v>
      </c>
      <c r="X6" s="69"/>
      <c r="Y6" s="71" t="s">
        <v>223</v>
      </c>
    </row>
    <row r="7" spans="1:30" x14ac:dyDescent="0.2">
      <c r="C7" s="3"/>
      <c r="D7" s="3"/>
      <c r="E7" s="3"/>
      <c r="F7" s="3"/>
      <c r="H7" s="69"/>
      <c r="K7" s="3"/>
      <c r="L7" s="3"/>
      <c r="M7" s="3"/>
      <c r="N7" s="3"/>
      <c r="P7" s="69"/>
      <c r="S7" s="3"/>
      <c r="T7" s="3"/>
      <c r="U7" s="3"/>
      <c r="V7" s="3"/>
      <c r="X7" s="69"/>
      <c r="AA7" s="3"/>
      <c r="AB7" s="3"/>
      <c r="AC7" s="3"/>
      <c r="AD7" s="3"/>
    </row>
    <row r="8" spans="1:30" ht="25.5" customHeight="1" x14ac:dyDescent="0.2">
      <c r="A8" s="84" t="s">
        <v>210</v>
      </c>
      <c r="B8" s="77" t="s">
        <v>211</v>
      </c>
      <c r="C8" s="79" t="s">
        <v>212</v>
      </c>
      <c r="D8" s="78" t="s">
        <v>213</v>
      </c>
      <c r="E8" s="78" t="s">
        <v>385</v>
      </c>
      <c r="F8" s="79" t="s">
        <v>376</v>
      </c>
      <c r="H8" s="69"/>
      <c r="I8" s="84" t="s">
        <v>210</v>
      </c>
      <c r="J8" s="77" t="s">
        <v>211</v>
      </c>
      <c r="K8" s="79" t="s">
        <v>212</v>
      </c>
      <c r="L8" s="78" t="s">
        <v>213</v>
      </c>
      <c r="M8" s="78" t="s">
        <v>385</v>
      </c>
      <c r="N8" s="79" t="s">
        <v>377</v>
      </c>
      <c r="P8" s="69"/>
      <c r="Q8" s="84" t="s">
        <v>210</v>
      </c>
      <c r="R8" s="77" t="s">
        <v>211</v>
      </c>
      <c r="S8" s="79" t="s">
        <v>212</v>
      </c>
      <c r="T8" s="78" t="s">
        <v>213</v>
      </c>
      <c r="U8" s="78" t="s">
        <v>385</v>
      </c>
      <c r="V8" s="79" t="s">
        <v>378</v>
      </c>
      <c r="X8" s="69"/>
      <c r="Y8" s="84" t="s">
        <v>210</v>
      </c>
      <c r="Z8" s="77" t="s">
        <v>211</v>
      </c>
      <c r="AA8" s="79" t="s">
        <v>212</v>
      </c>
      <c r="AB8" s="78" t="s">
        <v>213</v>
      </c>
      <c r="AC8" s="78" t="s">
        <v>385</v>
      </c>
      <c r="AD8" s="79" t="s">
        <v>379</v>
      </c>
    </row>
    <row r="9" spans="1:30" x14ac:dyDescent="0.2">
      <c r="A9" s="132">
        <v>1</v>
      </c>
      <c r="B9" t="s">
        <v>5</v>
      </c>
      <c r="C9" s="130" t="str">
        <f>IF(F9=0,"","G"&amp;A9)</f>
        <v>G1</v>
      </c>
      <c r="D9" s="115" t="s">
        <v>215</v>
      </c>
      <c r="E9" s="115" t="s">
        <v>386</v>
      </c>
      <c r="F9" s="80">
        <f>Auszahlungen!H8</f>
        <v>8525000</v>
      </c>
      <c r="G9" s="3"/>
      <c r="H9" s="69"/>
      <c r="I9" s="132">
        <v>1</v>
      </c>
      <c r="J9" t="s">
        <v>5</v>
      </c>
      <c r="K9" s="130" t="str">
        <f>IF(N9=0,"","G"&amp;I9)</f>
        <v>G1</v>
      </c>
      <c r="L9" s="115" t="s">
        <v>215</v>
      </c>
      <c r="M9" s="115" t="s">
        <v>386</v>
      </c>
      <c r="N9" s="80">
        <f>Auszahlungen!Q8</f>
        <v>8525000</v>
      </c>
      <c r="P9" s="69"/>
      <c r="Q9" s="132">
        <v>1</v>
      </c>
      <c r="R9" t="s">
        <v>5</v>
      </c>
      <c r="S9" s="130" t="str">
        <f>IF(V9=0,"","G"&amp;Q9)</f>
        <v>G1</v>
      </c>
      <c r="T9" s="115" t="s">
        <v>215</v>
      </c>
      <c r="U9" s="115" t="s">
        <v>386</v>
      </c>
      <c r="V9" s="80">
        <f>Auszahlungen!Z8</f>
        <v>8525000</v>
      </c>
      <c r="X9" s="69"/>
      <c r="Y9" s="132">
        <v>1</v>
      </c>
      <c r="Z9" t="s">
        <v>5</v>
      </c>
      <c r="AA9" s="130" t="str">
        <f>IF(AD9=0,"","G"&amp;Y9)</f>
        <v>G1</v>
      </c>
      <c r="AB9" s="115" t="s">
        <v>215</v>
      </c>
      <c r="AC9" s="115" t="s">
        <v>386</v>
      </c>
      <c r="AD9" s="80">
        <f>Auszahlungen!AI8</f>
        <v>8565400</v>
      </c>
    </row>
    <row r="10" spans="1:30" x14ac:dyDescent="0.2">
      <c r="A10" s="132">
        <v>2</v>
      </c>
      <c r="B10" t="s">
        <v>6</v>
      </c>
      <c r="C10" s="130" t="str">
        <f t="shared" ref="C10:C71" si="0">IF(F10=0,"","G"&amp;A10)</f>
        <v>G2</v>
      </c>
      <c r="D10" s="115" t="s">
        <v>215</v>
      </c>
      <c r="E10" s="115" t="s">
        <v>387</v>
      </c>
      <c r="F10" s="80">
        <f>Auszahlungen!H9</f>
        <v>1656100</v>
      </c>
      <c r="G10" s="3"/>
      <c r="H10" s="69"/>
      <c r="I10" s="132">
        <v>2</v>
      </c>
      <c r="J10" t="s">
        <v>6</v>
      </c>
      <c r="K10" s="130" t="str">
        <f t="shared" ref="K10:K71" si="1">IF(N10=0,"","G"&amp;I10)</f>
        <v>G2</v>
      </c>
      <c r="L10" s="115" t="s">
        <v>215</v>
      </c>
      <c r="M10" s="115" t="s">
        <v>387</v>
      </c>
      <c r="N10" s="80">
        <f>Auszahlungen!Q9</f>
        <v>1656100</v>
      </c>
      <c r="P10" s="69"/>
      <c r="Q10" s="132">
        <v>2</v>
      </c>
      <c r="R10" t="s">
        <v>6</v>
      </c>
      <c r="S10" s="130" t="str">
        <f t="shared" ref="S10:S71" si="2">IF(V10=0,"","G"&amp;Q10)</f>
        <v>G2</v>
      </c>
      <c r="T10" s="115" t="s">
        <v>215</v>
      </c>
      <c r="U10" s="115" t="s">
        <v>387</v>
      </c>
      <c r="V10" s="80">
        <f>Auszahlungen!Z9</f>
        <v>1656100</v>
      </c>
      <c r="X10" s="69"/>
      <c r="Y10" s="132">
        <v>2</v>
      </c>
      <c r="Z10" t="s">
        <v>6</v>
      </c>
      <c r="AA10" s="130" t="str">
        <f t="shared" ref="AA10:AA71" si="3">IF(AD10=0,"","G"&amp;Y10)</f>
        <v>G2</v>
      </c>
      <c r="AB10" s="115" t="s">
        <v>215</v>
      </c>
      <c r="AC10" s="115" t="s">
        <v>387</v>
      </c>
      <c r="AD10" s="80">
        <f>Auszahlungen!AI9</f>
        <v>1661000</v>
      </c>
    </row>
    <row r="11" spans="1:30" x14ac:dyDescent="0.2">
      <c r="A11" s="132">
        <v>3</v>
      </c>
      <c r="B11" t="s">
        <v>7</v>
      </c>
      <c r="C11" s="130" t="str">
        <f t="shared" si="0"/>
        <v>G3</v>
      </c>
      <c r="D11" s="42" t="s">
        <v>215</v>
      </c>
      <c r="E11" s="42" t="s">
        <v>388</v>
      </c>
      <c r="F11" s="80">
        <f>Auszahlungen!H10</f>
        <v>386400</v>
      </c>
      <c r="G11" s="3"/>
      <c r="H11" s="69"/>
      <c r="I11" s="132">
        <v>3</v>
      </c>
      <c r="J11" t="s">
        <v>7</v>
      </c>
      <c r="K11" s="130" t="str">
        <f t="shared" si="1"/>
        <v>G3</v>
      </c>
      <c r="L11" s="42" t="s">
        <v>215</v>
      </c>
      <c r="M11" s="42" t="s">
        <v>388</v>
      </c>
      <c r="N11" s="80">
        <f>Auszahlungen!Q10</f>
        <v>386400</v>
      </c>
      <c r="P11" s="69"/>
      <c r="Q11" s="132">
        <v>3</v>
      </c>
      <c r="R11" t="s">
        <v>7</v>
      </c>
      <c r="S11" s="130" t="str">
        <f t="shared" si="2"/>
        <v>G3</v>
      </c>
      <c r="T11" s="42" t="s">
        <v>215</v>
      </c>
      <c r="U11" s="42" t="s">
        <v>388</v>
      </c>
      <c r="V11" s="80">
        <f>Auszahlungen!Z10</f>
        <v>386400</v>
      </c>
      <c r="X11" s="69"/>
      <c r="Y11" s="132">
        <v>3</v>
      </c>
      <c r="Z11" t="s">
        <v>7</v>
      </c>
      <c r="AA11" s="130" t="str">
        <f t="shared" si="3"/>
        <v>G3</v>
      </c>
      <c r="AB11" s="42" t="s">
        <v>215</v>
      </c>
      <c r="AC11" s="42" t="s">
        <v>388</v>
      </c>
      <c r="AD11" s="80">
        <f>Auszahlungen!AI10</f>
        <v>386100</v>
      </c>
    </row>
    <row r="12" spans="1:30" x14ac:dyDescent="0.2">
      <c r="A12" s="132">
        <v>4</v>
      </c>
      <c r="B12" t="s">
        <v>8</v>
      </c>
      <c r="C12" s="130" t="str">
        <f t="shared" si="0"/>
        <v>G4</v>
      </c>
      <c r="D12" s="116" t="s">
        <v>217</v>
      </c>
      <c r="E12" s="116" t="s">
        <v>389</v>
      </c>
      <c r="F12" s="80">
        <f>Auszahlungen!H11</f>
        <v>389200</v>
      </c>
      <c r="G12" s="3"/>
      <c r="H12" s="69"/>
      <c r="I12" s="132">
        <v>4</v>
      </c>
      <c r="J12" t="s">
        <v>8</v>
      </c>
      <c r="K12" s="130" t="str">
        <f t="shared" si="1"/>
        <v>G4</v>
      </c>
      <c r="L12" s="116" t="s">
        <v>217</v>
      </c>
      <c r="M12" s="116" t="s">
        <v>389</v>
      </c>
      <c r="N12" s="80">
        <f>Auszahlungen!Q11</f>
        <v>389200</v>
      </c>
      <c r="P12" s="69"/>
      <c r="Q12" s="132">
        <v>4</v>
      </c>
      <c r="R12" t="s">
        <v>8</v>
      </c>
      <c r="S12" s="130" t="str">
        <f t="shared" si="2"/>
        <v>G4</v>
      </c>
      <c r="T12" s="116" t="s">
        <v>217</v>
      </c>
      <c r="U12" s="116" t="s">
        <v>389</v>
      </c>
      <c r="V12" s="80">
        <f>Auszahlungen!Z11</f>
        <v>389200</v>
      </c>
      <c r="X12" s="69"/>
      <c r="Y12" s="132">
        <v>4</v>
      </c>
      <c r="Z12" t="s">
        <v>8</v>
      </c>
      <c r="AA12" s="130" t="str">
        <f t="shared" si="3"/>
        <v>G4</v>
      </c>
      <c r="AB12" s="116" t="s">
        <v>217</v>
      </c>
      <c r="AC12" s="116" t="s">
        <v>389</v>
      </c>
      <c r="AD12" s="80">
        <f>Auszahlungen!AI11</f>
        <v>389100</v>
      </c>
    </row>
    <row r="13" spans="1:30" x14ac:dyDescent="0.2">
      <c r="A13" s="132">
        <v>5</v>
      </c>
      <c r="B13" t="s">
        <v>9</v>
      </c>
      <c r="C13" s="130" t="str">
        <f>IF(F13=0,"","G"&amp;A13)</f>
        <v/>
      </c>
      <c r="D13" s="42" t="s">
        <v>215</v>
      </c>
      <c r="E13" s="42" t="s">
        <v>390</v>
      </c>
      <c r="F13" s="80">
        <f>Auszahlungen!H12</f>
        <v>0</v>
      </c>
      <c r="G13" s="3"/>
      <c r="H13" s="69"/>
      <c r="I13" s="132">
        <v>5</v>
      </c>
      <c r="J13" t="s">
        <v>9</v>
      </c>
      <c r="K13" s="130" t="str">
        <f t="shared" si="1"/>
        <v/>
      </c>
      <c r="L13" s="42" t="s">
        <v>215</v>
      </c>
      <c r="M13" s="42" t="s">
        <v>390</v>
      </c>
      <c r="N13" s="80">
        <f>Auszahlungen!Q12</f>
        <v>0</v>
      </c>
      <c r="P13" s="69"/>
      <c r="Q13" s="132">
        <v>5</v>
      </c>
      <c r="R13" t="s">
        <v>9</v>
      </c>
      <c r="S13" s="130" t="str">
        <f t="shared" si="2"/>
        <v/>
      </c>
      <c r="T13" s="42" t="s">
        <v>215</v>
      </c>
      <c r="U13" s="42" t="s">
        <v>390</v>
      </c>
      <c r="V13" s="80">
        <f>Auszahlungen!Z12</f>
        <v>0</v>
      </c>
      <c r="X13" s="69"/>
      <c r="Y13" s="132">
        <v>5</v>
      </c>
      <c r="Z13" t="s">
        <v>9</v>
      </c>
      <c r="AA13" s="130" t="str">
        <f t="shared" si="3"/>
        <v/>
      </c>
      <c r="AB13" s="42" t="s">
        <v>215</v>
      </c>
      <c r="AC13" s="42" t="s">
        <v>390</v>
      </c>
      <c r="AD13" s="80">
        <f>Auszahlungen!AI12</f>
        <v>0</v>
      </c>
    </row>
    <row r="14" spans="1:30" x14ac:dyDescent="0.2">
      <c r="A14" s="132">
        <v>6</v>
      </c>
      <c r="B14" t="s">
        <v>10</v>
      </c>
      <c r="C14" s="130" t="str">
        <f t="shared" si="0"/>
        <v>G6</v>
      </c>
      <c r="D14" s="116" t="s">
        <v>218</v>
      </c>
      <c r="E14" s="116" t="s">
        <v>391</v>
      </c>
      <c r="F14" s="80">
        <f>Auszahlungen!H13</f>
        <v>147100</v>
      </c>
      <c r="G14" s="3"/>
      <c r="H14" s="69"/>
      <c r="I14" s="132">
        <v>6</v>
      </c>
      <c r="J14" t="s">
        <v>10</v>
      </c>
      <c r="K14" s="130" t="str">
        <f t="shared" si="1"/>
        <v>G6</v>
      </c>
      <c r="L14" s="116" t="s">
        <v>216</v>
      </c>
      <c r="M14" s="116" t="s">
        <v>391</v>
      </c>
      <c r="N14" s="80">
        <f>Auszahlungen!Q13</f>
        <v>147100</v>
      </c>
      <c r="P14" s="69"/>
      <c r="Q14" s="132">
        <v>6</v>
      </c>
      <c r="R14" t="s">
        <v>10</v>
      </c>
      <c r="S14" s="130" t="str">
        <f t="shared" si="2"/>
        <v>G6</v>
      </c>
      <c r="T14" s="116" t="s">
        <v>216</v>
      </c>
      <c r="U14" s="116" t="s">
        <v>391</v>
      </c>
      <c r="V14" s="80">
        <f>Auszahlungen!Z13</f>
        <v>147100</v>
      </c>
      <c r="X14" s="69"/>
      <c r="Y14" s="132">
        <v>6</v>
      </c>
      <c r="Z14" t="s">
        <v>10</v>
      </c>
      <c r="AA14" s="130" t="str">
        <f t="shared" si="3"/>
        <v>G6</v>
      </c>
      <c r="AB14" s="116" t="s">
        <v>216</v>
      </c>
      <c r="AC14" s="116" t="s">
        <v>391</v>
      </c>
      <c r="AD14" s="80">
        <f>Auszahlungen!AI13</f>
        <v>148600</v>
      </c>
    </row>
    <row r="15" spans="1:30" x14ac:dyDescent="0.2">
      <c r="A15" s="132">
        <v>7</v>
      </c>
      <c r="B15" t="s">
        <v>11</v>
      </c>
      <c r="C15" s="130" t="str">
        <f t="shared" si="0"/>
        <v>G7</v>
      </c>
      <c r="D15" s="42" t="s">
        <v>215</v>
      </c>
      <c r="E15" s="42" t="s">
        <v>392</v>
      </c>
      <c r="F15" s="80">
        <f>Auszahlungen!H14</f>
        <v>63500</v>
      </c>
      <c r="G15" s="3"/>
      <c r="H15" s="69"/>
      <c r="I15" s="132">
        <v>7</v>
      </c>
      <c r="J15" t="s">
        <v>11</v>
      </c>
      <c r="K15" s="130" t="str">
        <f t="shared" si="1"/>
        <v>G7</v>
      </c>
      <c r="L15" s="42" t="s">
        <v>215</v>
      </c>
      <c r="M15" s="42" t="s">
        <v>392</v>
      </c>
      <c r="N15" s="80">
        <f>Auszahlungen!Q14</f>
        <v>63500</v>
      </c>
      <c r="P15" s="69"/>
      <c r="Q15" s="132">
        <v>7</v>
      </c>
      <c r="R15" t="s">
        <v>11</v>
      </c>
      <c r="S15" s="130" t="str">
        <f t="shared" si="2"/>
        <v>G7</v>
      </c>
      <c r="T15" s="42" t="s">
        <v>215</v>
      </c>
      <c r="U15" s="42" t="s">
        <v>392</v>
      </c>
      <c r="V15" s="80">
        <f>Auszahlungen!Z14</f>
        <v>63500</v>
      </c>
      <c r="X15" s="69"/>
      <c r="Y15" s="132">
        <v>7</v>
      </c>
      <c r="Z15" t="s">
        <v>11</v>
      </c>
      <c r="AA15" s="130" t="str">
        <f t="shared" si="3"/>
        <v>G7</v>
      </c>
      <c r="AB15" s="42" t="s">
        <v>215</v>
      </c>
      <c r="AC15" s="42" t="s">
        <v>392</v>
      </c>
      <c r="AD15" s="80">
        <f>Auszahlungen!AI14</f>
        <v>63600</v>
      </c>
    </row>
    <row r="16" spans="1:30" x14ac:dyDescent="0.2">
      <c r="A16" s="132">
        <v>8</v>
      </c>
      <c r="B16" t="s">
        <v>12</v>
      </c>
      <c r="C16" s="130" t="str">
        <f t="shared" si="0"/>
        <v>G8</v>
      </c>
      <c r="D16" s="116" t="s">
        <v>215</v>
      </c>
      <c r="E16" s="116" t="s">
        <v>393</v>
      </c>
      <c r="F16" s="80">
        <f>Auszahlungen!H15</f>
        <v>15100</v>
      </c>
      <c r="G16" s="3"/>
      <c r="H16" s="69"/>
      <c r="I16" s="132">
        <v>8</v>
      </c>
      <c r="J16" t="s">
        <v>12</v>
      </c>
      <c r="K16" s="130" t="str">
        <f t="shared" si="1"/>
        <v>G8</v>
      </c>
      <c r="L16" s="116" t="s">
        <v>215</v>
      </c>
      <c r="M16" s="116" t="s">
        <v>393</v>
      </c>
      <c r="N16" s="80">
        <f>Auszahlungen!Q15</f>
        <v>15100</v>
      </c>
      <c r="P16" s="69"/>
      <c r="Q16" s="132">
        <v>8</v>
      </c>
      <c r="R16" t="s">
        <v>12</v>
      </c>
      <c r="S16" s="130" t="str">
        <f t="shared" si="2"/>
        <v>G8</v>
      </c>
      <c r="T16" s="116" t="s">
        <v>215</v>
      </c>
      <c r="U16" s="116" t="s">
        <v>393</v>
      </c>
      <c r="V16" s="80">
        <f>Auszahlungen!Z15</f>
        <v>15100</v>
      </c>
      <c r="X16" s="69"/>
      <c r="Y16" s="132">
        <v>8</v>
      </c>
      <c r="Z16" t="s">
        <v>12</v>
      </c>
      <c r="AA16" s="130" t="str">
        <f t="shared" si="3"/>
        <v>G8</v>
      </c>
      <c r="AB16" s="116" t="s">
        <v>215</v>
      </c>
      <c r="AC16" s="116" t="s">
        <v>393</v>
      </c>
      <c r="AD16" s="80">
        <f>Auszahlungen!AI15</f>
        <v>15100</v>
      </c>
    </row>
    <row r="17" spans="1:30" x14ac:dyDescent="0.2">
      <c r="A17" s="132">
        <v>9</v>
      </c>
      <c r="B17" t="s">
        <v>13</v>
      </c>
      <c r="C17" s="130" t="str">
        <f t="shared" si="0"/>
        <v>G9</v>
      </c>
      <c r="D17" s="116" t="s">
        <v>217</v>
      </c>
      <c r="E17" s="116" t="s">
        <v>394</v>
      </c>
      <c r="F17" s="80">
        <f>Auszahlungen!H16</f>
        <v>28400</v>
      </c>
      <c r="G17" s="3"/>
      <c r="H17" s="69"/>
      <c r="I17" s="132">
        <v>9</v>
      </c>
      <c r="J17" t="s">
        <v>13</v>
      </c>
      <c r="K17" s="130" t="str">
        <f t="shared" si="1"/>
        <v>G9</v>
      </c>
      <c r="L17" s="116" t="s">
        <v>217</v>
      </c>
      <c r="M17" s="116" t="s">
        <v>394</v>
      </c>
      <c r="N17" s="80">
        <f>Auszahlungen!Q16</f>
        <v>28400</v>
      </c>
      <c r="P17" s="69"/>
      <c r="Q17" s="132">
        <v>9</v>
      </c>
      <c r="R17" t="s">
        <v>13</v>
      </c>
      <c r="S17" s="130" t="str">
        <f t="shared" si="2"/>
        <v>G9</v>
      </c>
      <c r="T17" s="116" t="s">
        <v>217</v>
      </c>
      <c r="U17" s="116" t="s">
        <v>394</v>
      </c>
      <c r="V17" s="80">
        <f>Auszahlungen!Z16</f>
        <v>28400</v>
      </c>
      <c r="X17" s="69"/>
      <c r="Y17" s="132">
        <v>9</v>
      </c>
      <c r="Z17" t="s">
        <v>13</v>
      </c>
      <c r="AA17" s="130" t="str">
        <f t="shared" si="3"/>
        <v>G9</v>
      </c>
      <c r="AB17" s="116" t="s">
        <v>217</v>
      </c>
      <c r="AC17" s="116" t="s">
        <v>394</v>
      </c>
      <c r="AD17" s="80">
        <f>Auszahlungen!AI16</f>
        <v>28500</v>
      </c>
    </row>
    <row r="18" spans="1:30" x14ac:dyDescent="0.2">
      <c r="A18" s="132">
        <v>10</v>
      </c>
      <c r="B18" t="s">
        <v>14</v>
      </c>
      <c r="C18" s="130" t="str">
        <f t="shared" si="0"/>
        <v>G10</v>
      </c>
      <c r="D18" s="116" t="s">
        <v>215</v>
      </c>
      <c r="E18" s="116" t="s">
        <v>395</v>
      </c>
      <c r="F18" s="80">
        <f>Auszahlungen!H17</f>
        <v>190100</v>
      </c>
      <c r="G18" s="3"/>
      <c r="H18" s="69"/>
      <c r="I18" s="132">
        <v>10</v>
      </c>
      <c r="J18" t="s">
        <v>14</v>
      </c>
      <c r="K18" s="130" t="str">
        <f t="shared" si="1"/>
        <v>G10</v>
      </c>
      <c r="L18" s="116" t="s">
        <v>215</v>
      </c>
      <c r="M18" s="116" t="s">
        <v>395</v>
      </c>
      <c r="N18" s="80">
        <f>Auszahlungen!Q17</f>
        <v>190100</v>
      </c>
      <c r="P18" s="69"/>
      <c r="Q18" s="132">
        <v>10</v>
      </c>
      <c r="R18" t="s">
        <v>14</v>
      </c>
      <c r="S18" s="130" t="str">
        <f t="shared" si="2"/>
        <v>G10</v>
      </c>
      <c r="T18" s="116" t="s">
        <v>215</v>
      </c>
      <c r="U18" s="116" t="s">
        <v>395</v>
      </c>
      <c r="V18" s="80">
        <f>Auszahlungen!Z17</f>
        <v>190100</v>
      </c>
      <c r="X18" s="69"/>
      <c r="Y18" s="132">
        <v>10</v>
      </c>
      <c r="Z18" t="s">
        <v>14</v>
      </c>
      <c r="AA18" s="130" t="str">
        <f t="shared" si="3"/>
        <v>G10</v>
      </c>
      <c r="AB18" s="116" t="s">
        <v>215</v>
      </c>
      <c r="AC18" s="116" t="s">
        <v>395</v>
      </c>
      <c r="AD18" s="80">
        <f>Auszahlungen!AI17</f>
        <v>189700</v>
      </c>
    </row>
    <row r="19" spans="1:30" x14ac:dyDescent="0.2">
      <c r="A19" s="132">
        <v>11</v>
      </c>
      <c r="B19" t="s">
        <v>15</v>
      </c>
      <c r="C19" s="130" t="str">
        <f t="shared" si="0"/>
        <v>G11</v>
      </c>
      <c r="D19" s="116" t="s">
        <v>215</v>
      </c>
      <c r="E19" s="116" t="s">
        <v>396</v>
      </c>
      <c r="F19" s="80">
        <f>Auszahlungen!H18</f>
        <v>317200</v>
      </c>
      <c r="G19" s="3"/>
      <c r="H19" s="69"/>
      <c r="I19" s="132">
        <v>11</v>
      </c>
      <c r="J19" t="s">
        <v>15</v>
      </c>
      <c r="K19" s="130" t="str">
        <f t="shared" si="1"/>
        <v>G11</v>
      </c>
      <c r="L19" s="116" t="s">
        <v>215</v>
      </c>
      <c r="M19" s="116" t="s">
        <v>396</v>
      </c>
      <c r="N19" s="80">
        <f>Auszahlungen!Q18</f>
        <v>317200</v>
      </c>
      <c r="P19" s="69"/>
      <c r="Q19" s="132">
        <v>11</v>
      </c>
      <c r="R19" t="s">
        <v>15</v>
      </c>
      <c r="S19" s="130" t="str">
        <f t="shared" si="2"/>
        <v>G11</v>
      </c>
      <c r="T19" s="116" t="s">
        <v>215</v>
      </c>
      <c r="U19" s="116" t="s">
        <v>396</v>
      </c>
      <c r="V19" s="80">
        <f>Auszahlungen!Z18</f>
        <v>317200</v>
      </c>
      <c r="X19" s="69"/>
      <c r="Y19" s="132">
        <v>11</v>
      </c>
      <c r="Z19" t="s">
        <v>15</v>
      </c>
      <c r="AA19" s="130" t="str">
        <f t="shared" si="3"/>
        <v>G11</v>
      </c>
      <c r="AB19" s="116" t="s">
        <v>215</v>
      </c>
      <c r="AC19" s="116" t="s">
        <v>396</v>
      </c>
      <c r="AD19" s="80">
        <f>Auszahlungen!AI18</f>
        <v>317100</v>
      </c>
    </row>
    <row r="20" spans="1:30" x14ac:dyDescent="0.2">
      <c r="A20" s="132">
        <v>12</v>
      </c>
      <c r="B20" t="s">
        <v>16</v>
      </c>
      <c r="C20" s="130" t="str">
        <f t="shared" si="0"/>
        <v>G12</v>
      </c>
      <c r="D20" s="42" t="s">
        <v>215</v>
      </c>
      <c r="E20" s="42" t="s">
        <v>397</v>
      </c>
      <c r="F20" s="80">
        <f>Auszahlungen!H19</f>
        <v>46500</v>
      </c>
      <c r="G20" s="3"/>
      <c r="H20" s="69"/>
      <c r="I20" s="132">
        <v>12</v>
      </c>
      <c r="J20" t="s">
        <v>16</v>
      </c>
      <c r="K20" s="130" t="str">
        <f t="shared" si="1"/>
        <v>G12</v>
      </c>
      <c r="L20" s="42" t="s">
        <v>215</v>
      </c>
      <c r="M20" s="42" t="s">
        <v>397</v>
      </c>
      <c r="N20" s="80">
        <f>Auszahlungen!Q19</f>
        <v>46500</v>
      </c>
      <c r="P20" s="69"/>
      <c r="Q20" s="132">
        <v>12</v>
      </c>
      <c r="R20" t="s">
        <v>16</v>
      </c>
      <c r="S20" s="130" t="str">
        <f t="shared" si="2"/>
        <v>G12</v>
      </c>
      <c r="T20" s="42" t="s">
        <v>215</v>
      </c>
      <c r="U20" s="42" t="s">
        <v>397</v>
      </c>
      <c r="V20" s="80">
        <f>Auszahlungen!Z19</f>
        <v>46500</v>
      </c>
      <c r="X20" s="69"/>
      <c r="Y20" s="132">
        <v>12</v>
      </c>
      <c r="Z20" t="s">
        <v>16</v>
      </c>
      <c r="AA20" s="130" t="str">
        <f t="shared" si="3"/>
        <v>G12</v>
      </c>
      <c r="AB20" s="42" t="s">
        <v>215</v>
      </c>
      <c r="AC20" s="42" t="s">
        <v>397</v>
      </c>
      <c r="AD20" s="80">
        <f>Auszahlungen!AI19</f>
        <v>49800</v>
      </c>
    </row>
    <row r="21" spans="1:30" x14ac:dyDescent="0.2">
      <c r="A21" s="132">
        <v>13</v>
      </c>
      <c r="B21" t="s">
        <v>17</v>
      </c>
      <c r="C21" s="130" t="str">
        <f t="shared" si="0"/>
        <v>G13</v>
      </c>
      <c r="D21" s="116" t="s">
        <v>217</v>
      </c>
      <c r="E21" s="116" t="s">
        <v>398</v>
      </c>
      <c r="F21" s="80">
        <f>Auszahlungen!H20</f>
        <v>1771800</v>
      </c>
      <c r="G21" s="3"/>
      <c r="H21" s="69"/>
      <c r="I21" s="132">
        <v>13</v>
      </c>
      <c r="J21" t="s">
        <v>17</v>
      </c>
      <c r="K21" s="130" t="str">
        <f t="shared" si="1"/>
        <v>G13</v>
      </c>
      <c r="L21" s="116" t="s">
        <v>217</v>
      </c>
      <c r="M21" s="116" t="s">
        <v>398</v>
      </c>
      <c r="N21" s="80">
        <f>Auszahlungen!Q20</f>
        <v>1771800</v>
      </c>
      <c r="P21" s="69"/>
      <c r="Q21" s="132">
        <v>13</v>
      </c>
      <c r="R21" t="s">
        <v>17</v>
      </c>
      <c r="S21" s="130" t="str">
        <f t="shared" si="2"/>
        <v>G13</v>
      </c>
      <c r="T21" s="116" t="s">
        <v>217</v>
      </c>
      <c r="U21" s="116" t="s">
        <v>398</v>
      </c>
      <c r="V21" s="80">
        <f>Auszahlungen!Z20</f>
        <v>1771800</v>
      </c>
      <c r="X21" s="69"/>
      <c r="Y21" s="132">
        <v>13</v>
      </c>
      <c r="Z21" t="s">
        <v>17</v>
      </c>
      <c r="AA21" s="130" t="str">
        <f t="shared" si="3"/>
        <v>G13</v>
      </c>
      <c r="AB21" s="116" t="s">
        <v>217</v>
      </c>
      <c r="AC21" s="116" t="s">
        <v>398</v>
      </c>
      <c r="AD21" s="80">
        <f>Auszahlungen!AI20</f>
        <v>1776800</v>
      </c>
    </row>
    <row r="22" spans="1:30" x14ac:dyDescent="0.2">
      <c r="A22" s="132">
        <v>14</v>
      </c>
      <c r="B22" t="s">
        <v>18</v>
      </c>
      <c r="C22" s="130" t="str">
        <f t="shared" si="0"/>
        <v/>
      </c>
      <c r="D22" s="42" t="s">
        <v>217</v>
      </c>
      <c r="E22" s="42" t="s">
        <v>399</v>
      </c>
      <c r="F22" s="80">
        <f>Auszahlungen!H21</f>
        <v>0</v>
      </c>
      <c r="G22" s="3"/>
      <c r="H22" s="69"/>
      <c r="I22" s="132">
        <v>14</v>
      </c>
      <c r="J22" t="s">
        <v>18</v>
      </c>
      <c r="K22" s="130" t="str">
        <f t="shared" si="1"/>
        <v/>
      </c>
      <c r="L22" s="42" t="s">
        <v>217</v>
      </c>
      <c r="M22" s="42" t="s">
        <v>399</v>
      </c>
      <c r="N22" s="80">
        <f>Auszahlungen!Q21</f>
        <v>0</v>
      </c>
      <c r="P22" s="69"/>
      <c r="Q22" s="132">
        <v>14</v>
      </c>
      <c r="R22" t="s">
        <v>18</v>
      </c>
      <c r="S22" s="130" t="str">
        <f t="shared" si="2"/>
        <v/>
      </c>
      <c r="T22" s="42" t="s">
        <v>217</v>
      </c>
      <c r="U22" s="42" t="s">
        <v>399</v>
      </c>
      <c r="V22" s="80">
        <f>Auszahlungen!Z21</f>
        <v>0</v>
      </c>
      <c r="X22" s="69"/>
      <c r="Y22" s="132">
        <v>14</v>
      </c>
      <c r="Z22" t="s">
        <v>18</v>
      </c>
      <c r="AA22" s="130" t="str">
        <f t="shared" si="3"/>
        <v/>
      </c>
      <c r="AB22" s="42" t="s">
        <v>217</v>
      </c>
      <c r="AC22" s="42" t="s">
        <v>399</v>
      </c>
      <c r="AD22" s="80">
        <f>Auszahlungen!AI21</f>
        <v>0</v>
      </c>
    </row>
    <row r="23" spans="1:30" x14ac:dyDescent="0.2">
      <c r="A23" s="132">
        <v>15</v>
      </c>
      <c r="B23" t="s">
        <v>19</v>
      </c>
      <c r="C23" s="130" t="str">
        <f t="shared" si="0"/>
        <v>G15</v>
      </c>
      <c r="D23" s="42" t="s">
        <v>217</v>
      </c>
      <c r="E23" s="42" t="s">
        <v>400</v>
      </c>
      <c r="F23" s="80">
        <f>Auszahlungen!H22</f>
        <v>635400</v>
      </c>
      <c r="G23" s="3"/>
      <c r="H23" s="69"/>
      <c r="I23" s="132">
        <v>15</v>
      </c>
      <c r="J23" t="s">
        <v>19</v>
      </c>
      <c r="K23" s="130" t="str">
        <f t="shared" si="1"/>
        <v>G15</v>
      </c>
      <c r="L23" s="42" t="s">
        <v>217</v>
      </c>
      <c r="M23" s="42" t="s">
        <v>400</v>
      </c>
      <c r="N23" s="80">
        <f>Auszahlungen!Q22</f>
        <v>635400</v>
      </c>
      <c r="P23" s="69"/>
      <c r="Q23" s="132">
        <v>15</v>
      </c>
      <c r="R23" t="s">
        <v>19</v>
      </c>
      <c r="S23" s="130" t="str">
        <f t="shared" si="2"/>
        <v>G15</v>
      </c>
      <c r="T23" s="42" t="s">
        <v>217</v>
      </c>
      <c r="U23" s="42" t="s">
        <v>400</v>
      </c>
      <c r="V23" s="80">
        <f>Auszahlungen!Z22</f>
        <v>635400</v>
      </c>
      <c r="X23" s="69"/>
      <c r="Y23" s="132">
        <v>15</v>
      </c>
      <c r="Z23" t="s">
        <v>19</v>
      </c>
      <c r="AA23" s="130" t="str">
        <f t="shared" si="3"/>
        <v>G15</v>
      </c>
      <c r="AB23" s="42" t="s">
        <v>217</v>
      </c>
      <c r="AC23" s="42" t="s">
        <v>400</v>
      </c>
      <c r="AD23" s="80">
        <f>Auszahlungen!AI22</f>
        <v>636700</v>
      </c>
    </row>
    <row r="24" spans="1:30" x14ac:dyDescent="0.2">
      <c r="A24" s="132">
        <v>16</v>
      </c>
      <c r="B24" t="s">
        <v>20</v>
      </c>
      <c r="C24" s="130" t="str">
        <f t="shared" si="0"/>
        <v>G16</v>
      </c>
      <c r="D24" s="116" t="s">
        <v>215</v>
      </c>
      <c r="E24" s="116" t="s">
        <v>401</v>
      </c>
      <c r="F24" s="80">
        <f>Auszahlungen!H23</f>
        <v>676200</v>
      </c>
      <c r="G24" s="3"/>
      <c r="H24" s="69"/>
      <c r="I24" s="132">
        <v>16</v>
      </c>
      <c r="J24" t="s">
        <v>20</v>
      </c>
      <c r="K24" s="130" t="str">
        <f t="shared" si="1"/>
        <v>G16</v>
      </c>
      <c r="L24" s="116" t="s">
        <v>215</v>
      </c>
      <c r="M24" s="116" t="s">
        <v>401</v>
      </c>
      <c r="N24" s="80">
        <f>Auszahlungen!Q23</f>
        <v>676200</v>
      </c>
      <c r="P24" s="69"/>
      <c r="Q24" s="132">
        <v>16</v>
      </c>
      <c r="R24" t="s">
        <v>20</v>
      </c>
      <c r="S24" s="130" t="str">
        <f t="shared" si="2"/>
        <v>G16</v>
      </c>
      <c r="T24" s="116" t="s">
        <v>215</v>
      </c>
      <c r="U24" s="116" t="s">
        <v>401</v>
      </c>
      <c r="V24" s="80">
        <f>Auszahlungen!Z23</f>
        <v>676200</v>
      </c>
      <c r="X24" s="69"/>
      <c r="Y24" s="132">
        <v>16</v>
      </c>
      <c r="Z24" t="s">
        <v>20</v>
      </c>
      <c r="AA24" s="130" t="str">
        <f t="shared" si="3"/>
        <v>G16</v>
      </c>
      <c r="AB24" s="116" t="s">
        <v>215</v>
      </c>
      <c r="AC24" s="116" t="s">
        <v>401</v>
      </c>
      <c r="AD24" s="80">
        <f>Auszahlungen!AI23</f>
        <v>677200</v>
      </c>
    </row>
    <row r="25" spans="1:30" x14ac:dyDescent="0.2">
      <c r="A25" s="132">
        <v>17</v>
      </c>
      <c r="B25" t="s">
        <v>21</v>
      </c>
      <c r="C25" s="130" t="str">
        <f t="shared" si="0"/>
        <v>G17</v>
      </c>
      <c r="D25" s="116" t="s">
        <v>215</v>
      </c>
      <c r="E25" s="116" t="s">
        <v>402</v>
      </c>
      <c r="F25" s="80">
        <f>Auszahlungen!H24</f>
        <v>9800</v>
      </c>
      <c r="G25" s="3"/>
      <c r="H25" s="69"/>
      <c r="I25" s="132">
        <v>17</v>
      </c>
      <c r="J25" t="s">
        <v>21</v>
      </c>
      <c r="K25" s="130" t="str">
        <f t="shared" si="1"/>
        <v>G17</v>
      </c>
      <c r="L25" s="116" t="s">
        <v>215</v>
      </c>
      <c r="M25" s="116" t="s">
        <v>402</v>
      </c>
      <c r="N25" s="80">
        <f>Auszahlungen!Q24</f>
        <v>9800</v>
      </c>
      <c r="P25" s="69"/>
      <c r="Q25" s="132">
        <v>17</v>
      </c>
      <c r="R25" t="s">
        <v>21</v>
      </c>
      <c r="S25" s="130" t="str">
        <f t="shared" si="2"/>
        <v>G17</v>
      </c>
      <c r="T25" s="116" t="s">
        <v>215</v>
      </c>
      <c r="U25" s="116" t="s">
        <v>402</v>
      </c>
      <c r="V25" s="80">
        <f>Auszahlungen!Z24</f>
        <v>9800</v>
      </c>
      <c r="X25" s="69"/>
      <c r="Y25" s="132">
        <v>17</v>
      </c>
      <c r="Z25" t="s">
        <v>21</v>
      </c>
      <c r="AA25" s="130" t="str">
        <f t="shared" si="3"/>
        <v>G17</v>
      </c>
      <c r="AB25" s="116" t="s">
        <v>215</v>
      </c>
      <c r="AC25" s="116" t="s">
        <v>402</v>
      </c>
      <c r="AD25" s="80">
        <f>Auszahlungen!AI24</f>
        <v>13700</v>
      </c>
    </row>
    <row r="26" spans="1:30" x14ac:dyDescent="0.2">
      <c r="A26" s="132">
        <v>18</v>
      </c>
      <c r="B26" t="s">
        <v>22</v>
      </c>
      <c r="C26" s="130" t="str">
        <f t="shared" si="0"/>
        <v>G18</v>
      </c>
      <c r="D26" s="116" t="s">
        <v>215</v>
      </c>
      <c r="E26" s="116" t="s">
        <v>403</v>
      </c>
      <c r="F26" s="80">
        <f>Auszahlungen!H25</f>
        <v>1400</v>
      </c>
      <c r="G26" s="3"/>
      <c r="H26" s="69"/>
      <c r="I26" s="132">
        <v>18</v>
      </c>
      <c r="J26" t="s">
        <v>22</v>
      </c>
      <c r="K26" s="130" t="str">
        <f t="shared" si="1"/>
        <v>G18</v>
      </c>
      <c r="L26" s="116" t="s">
        <v>215</v>
      </c>
      <c r="M26" s="116" t="s">
        <v>403</v>
      </c>
      <c r="N26" s="80">
        <f>Auszahlungen!Q25</f>
        <v>1400</v>
      </c>
      <c r="P26" s="69"/>
      <c r="Q26" s="132">
        <v>18</v>
      </c>
      <c r="R26" t="s">
        <v>22</v>
      </c>
      <c r="S26" s="130" t="str">
        <f t="shared" si="2"/>
        <v>G18</v>
      </c>
      <c r="T26" s="116" t="s">
        <v>215</v>
      </c>
      <c r="U26" s="116" t="s">
        <v>403</v>
      </c>
      <c r="V26" s="80">
        <f>Auszahlungen!Z25</f>
        <v>1400</v>
      </c>
      <c r="X26" s="69"/>
      <c r="Y26" s="132">
        <v>18</v>
      </c>
      <c r="Z26" t="s">
        <v>22</v>
      </c>
      <c r="AA26" s="130" t="str">
        <f t="shared" si="3"/>
        <v>G18</v>
      </c>
      <c r="AB26" s="116" t="s">
        <v>215</v>
      </c>
      <c r="AC26" s="116" t="s">
        <v>403</v>
      </c>
      <c r="AD26" s="80">
        <f>Auszahlungen!AI25</f>
        <v>1500</v>
      </c>
    </row>
    <row r="27" spans="1:30" x14ac:dyDescent="0.2">
      <c r="A27" s="132">
        <v>19</v>
      </c>
      <c r="B27" t="s">
        <v>23</v>
      </c>
      <c r="C27" s="130" t="str">
        <f t="shared" si="0"/>
        <v/>
      </c>
      <c r="D27" s="42" t="s">
        <v>215</v>
      </c>
      <c r="E27" s="42" t="s">
        <v>404</v>
      </c>
      <c r="F27" s="80">
        <f>Auszahlungen!H26</f>
        <v>0</v>
      </c>
      <c r="G27" s="3"/>
      <c r="H27" s="69"/>
      <c r="I27" s="132">
        <v>19</v>
      </c>
      <c r="J27" t="s">
        <v>23</v>
      </c>
      <c r="K27" s="130" t="str">
        <f t="shared" si="1"/>
        <v/>
      </c>
      <c r="L27" s="42" t="s">
        <v>215</v>
      </c>
      <c r="M27" s="42" t="s">
        <v>404</v>
      </c>
      <c r="N27" s="80">
        <f>Auszahlungen!Q26</f>
        <v>0</v>
      </c>
      <c r="P27" s="69"/>
      <c r="Q27" s="132">
        <v>19</v>
      </c>
      <c r="R27" t="s">
        <v>23</v>
      </c>
      <c r="S27" s="130" t="str">
        <f t="shared" si="2"/>
        <v/>
      </c>
      <c r="T27" s="42" t="s">
        <v>215</v>
      </c>
      <c r="U27" s="42" t="s">
        <v>404</v>
      </c>
      <c r="V27" s="80">
        <f>Auszahlungen!Z26</f>
        <v>0</v>
      </c>
      <c r="X27" s="69"/>
      <c r="Y27" s="132">
        <v>19</v>
      </c>
      <c r="Z27" t="s">
        <v>23</v>
      </c>
      <c r="AA27" s="130" t="str">
        <f t="shared" si="3"/>
        <v/>
      </c>
      <c r="AB27" s="42" t="s">
        <v>215</v>
      </c>
      <c r="AC27" s="42" t="s">
        <v>404</v>
      </c>
      <c r="AD27" s="80">
        <f>Auszahlungen!AI26</f>
        <v>0</v>
      </c>
    </row>
    <row r="28" spans="1:30" x14ac:dyDescent="0.2">
      <c r="A28" s="132">
        <v>20</v>
      </c>
      <c r="B28" t="s">
        <v>24</v>
      </c>
      <c r="C28" s="130" t="str">
        <f t="shared" si="0"/>
        <v>G20</v>
      </c>
      <c r="D28" s="42" t="s">
        <v>215</v>
      </c>
      <c r="E28" s="42" t="s">
        <v>405</v>
      </c>
      <c r="F28" s="80">
        <f>Auszahlungen!H27</f>
        <v>65500</v>
      </c>
      <c r="G28" s="3"/>
      <c r="H28" s="69"/>
      <c r="I28" s="132">
        <v>20</v>
      </c>
      <c r="J28" t="s">
        <v>24</v>
      </c>
      <c r="K28" s="130" t="str">
        <f t="shared" si="1"/>
        <v>G20</v>
      </c>
      <c r="L28" s="42" t="s">
        <v>215</v>
      </c>
      <c r="M28" s="42" t="s">
        <v>405</v>
      </c>
      <c r="N28" s="80">
        <f>Auszahlungen!Q27</f>
        <v>65500</v>
      </c>
      <c r="P28" s="69"/>
      <c r="Q28" s="132">
        <v>20</v>
      </c>
      <c r="R28" t="s">
        <v>24</v>
      </c>
      <c r="S28" s="130" t="str">
        <f t="shared" si="2"/>
        <v>G20</v>
      </c>
      <c r="T28" s="42" t="s">
        <v>215</v>
      </c>
      <c r="U28" s="42" t="s">
        <v>405</v>
      </c>
      <c r="V28" s="80">
        <f>Auszahlungen!Z27</f>
        <v>65500</v>
      </c>
      <c r="X28" s="69"/>
      <c r="Y28" s="132">
        <v>20</v>
      </c>
      <c r="Z28" t="s">
        <v>24</v>
      </c>
      <c r="AA28" s="130" t="str">
        <f t="shared" si="3"/>
        <v>G20</v>
      </c>
      <c r="AB28" s="42" t="s">
        <v>215</v>
      </c>
      <c r="AC28" s="42" t="s">
        <v>405</v>
      </c>
      <c r="AD28" s="80">
        <f>Auszahlungen!AI27</f>
        <v>65400</v>
      </c>
    </row>
    <row r="29" spans="1:30" x14ac:dyDescent="0.2">
      <c r="A29" s="132">
        <v>21</v>
      </c>
      <c r="B29" t="s">
        <v>25</v>
      </c>
      <c r="C29" s="130" t="str">
        <f t="shared" si="0"/>
        <v>G21</v>
      </c>
      <c r="D29" s="116" t="s">
        <v>214</v>
      </c>
      <c r="E29" s="116" t="s">
        <v>406</v>
      </c>
      <c r="F29" s="80">
        <f>Auszahlungen!H28</f>
        <v>4700</v>
      </c>
      <c r="G29" s="3"/>
      <c r="H29" s="69"/>
      <c r="I29" s="132">
        <v>21</v>
      </c>
      <c r="J29" t="s">
        <v>25</v>
      </c>
      <c r="K29" s="130" t="str">
        <f t="shared" si="1"/>
        <v>G21</v>
      </c>
      <c r="L29" s="116" t="s">
        <v>214</v>
      </c>
      <c r="M29" s="116" t="s">
        <v>406</v>
      </c>
      <c r="N29" s="80">
        <f>Auszahlungen!Q28</f>
        <v>4700</v>
      </c>
      <c r="P29" s="69"/>
      <c r="Q29" s="132">
        <v>21</v>
      </c>
      <c r="R29" t="s">
        <v>25</v>
      </c>
      <c r="S29" s="130" t="str">
        <f t="shared" si="2"/>
        <v>G21</v>
      </c>
      <c r="T29" s="116" t="s">
        <v>214</v>
      </c>
      <c r="U29" s="116" t="s">
        <v>406</v>
      </c>
      <c r="V29" s="80">
        <f>Auszahlungen!Z28</f>
        <v>4700</v>
      </c>
      <c r="X29" s="69"/>
      <c r="Y29" s="132">
        <v>21</v>
      </c>
      <c r="Z29" t="s">
        <v>25</v>
      </c>
      <c r="AA29" s="130" t="str">
        <f t="shared" si="3"/>
        <v>G21</v>
      </c>
      <c r="AB29" s="116" t="s">
        <v>214</v>
      </c>
      <c r="AC29" s="116" t="s">
        <v>406</v>
      </c>
      <c r="AD29" s="80">
        <f>Auszahlungen!AI28</f>
        <v>4700</v>
      </c>
    </row>
    <row r="30" spans="1:30" x14ac:dyDescent="0.2">
      <c r="A30" s="132">
        <v>22</v>
      </c>
      <c r="B30" t="s">
        <v>26</v>
      </c>
      <c r="C30" s="130" t="str">
        <f t="shared" si="0"/>
        <v>G22</v>
      </c>
      <c r="D30" s="116" t="s">
        <v>217</v>
      </c>
      <c r="E30" s="116" t="s">
        <v>407</v>
      </c>
      <c r="F30" s="80">
        <f>Auszahlungen!H29</f>
        <v>147200</v>
      </c>
      <c r="G30" s="3"/>
      <c r="H30" s="69"/>
      <c r="I30" s="132">
        <v>22</v>
      </c>
      <c r="J30" t="s">
        <v>26</v>
      </c>
      <c r="K30" s="130" t="str">
        <f t="shared" si="1"/>
        <v>G22</v>
      </c>
      <c r="L30" s="116" t="s">
        <v>217</v>
      </c>
      <c r="M30" s="116" t="s">
        <v>407</v>
      </c>
      <c r="N30" s="80">
        <f>Auszahlungen!Q29</f>
        <v>147200</v>
      </c>
      <c r="P30" s="69"/>
      <c r="Q30" s="132">
        <v>22</v>
      </c>
      <c r="R30" t="s">
        <v>26</v>
      </c>
      <c r="S30" s="130" t="str">
        <f t="shared" si="2"/>
        <v>G22</v>
      </c>
      <c r="T30" s="116" t="s">
        <v>217</v>
      </c>
      <c r="U30" s="116" t="s">
        <v>407</v>
      </c>
      <c r="V30" s="80">
        <f>Auszahlungen!Z29</f>
        <v>147200</v>
      </c>
      <c r="X30" s="69"/>
      <c r="Y30" s="132">
        <v>22</v>
      </c>
      <c r="Z30" t="s">
        <v>26</v>
      </c>
      <c r="AA30" s="130" t="str">
        <f t="shared" si="3"/>
        <v>G22</v>
      </c>
      <c r="AB30" s="116" t="s">
        <v>217</v>
      </c>
      <c r="AC30" s="116" t="s">
        <v>407</v>
      </c>
      <c r="AD30" s="80">
        <f>Auszahlungen!AI29</f>
        <v>148400</v>
      </c>
    </row>
    <row r="31" spans="1:30" x14ac:dyDescent="0.2">
      <c r="A31" s="132">
        <v>23</v>
      </c>
      <c r="B31" t="s">
        <v>27</v>
      </c>
      <c r="C31" s="130" t="str">
        <f t="shared" si="0"/>
        <v>G23</v>
      </c>
      <c r="D31" s="42" t="s">
        <v>215</v>
      </c>
      <c r="E31" s="42" t="s">
        <v>408</v>
      </c>
      <c r="F31" s="80">
        <f>Auszahlungen!H30</f>
        <v>138300</v>
      </c>
      <c r="G31" s="3"/>
      <c r="H31" s="69"/>
      <c r="I31" s="132">
        <v>23</v>
      </c>
      <c r="J31" t="s">
        <v>27</v>
      </c>
      <c r="K31" s="130" t="str">
        <f t="shared" si="1"/>
        <v>G23</v>
      </c>
      <c r="L31" s="42" t="s">
        <v>215</v>
      </c>
      <c r="M31" s="42" t="s">
        <v>408</v>
      </c>
      <c r="N31" s="80">
        <f>Auszahlungen!Q30</f>
        <v>138300</v>
      </c>
      <c r="P31" s="69"/>
      <c r="Q31" s="132">
        <v>23</v>
      </c>
      <c r="R31" t="s">
        <v>27</v>
      </c>
      <c r="S31" s="130" t="str">
        <f t="shared" si="2"/>
        <v>G23</v>
      </c>
      <c r="T31" s="42" t="s">
        <v>215</v>
      </c>
      <c r="U31" s="42" t="s">
        <v>408</v>
      </c>
      <c r="V31" s="80">
        <f>Auszahlungen!Z30</f>
        <v>138300</v>
      </c>
      <c r="X31" s="69"/>
      <c r="Y31" s="132">
        <v>23</v>
      </c>
      <c r="Z31" t="s">
        <v>27</v>
      </c>
      <c r="AA31" s="130" t="str">
        <f t="shared" si="3"/>
        <v>G23</v>
      </c>
      <c r="AB31" s="42" t="s">
        <v>215</v>
      </c>
      <c r="AC31" s="42" t="s">
        <v>408</v>
      </c>
      <c r="AD31" s="80">
        <f>Auszahlungen!AI30</f>
        <v>138300</v>
      </c>
    </row>
    <row r="32" spans="1:30" x14ac:dyDescent="0.2">
      <c r="A32" s="132">
        <v>24</v>
      </c>
      <c r="B32" t="s">
        <v>28</v>
      </c>
      <c r="C32" s="130" t="str">
        <f t="shared" si="0"/>
        <v>G24</v>
      </c>
      <c r="D32" s="42" t="s">
        <v>215</v>
      </c>
      <c r="E32" s="42" t="s">
        <v>409</v>
      </c>
      <c r="F32" s="80">
        <f>Auszahlungen!H31</f>
        <v>471300</v>
      </c>
      <c r="G32" s="3"/>
      <c r="H32" s="69"/>
      <c r="I32" s="132">
        <v>24</v>
      </c>
      <c r="J32" t="s">
        <v>28</v>
      </c>
      <c r="K32" s="130" t="str">
        <f t="shared" si="1"/>
        <v>G24</v>
      </c>
      <c r="L32" s="42" t="s">
        <v>215</v>
      </c>
      <c r="M32" s="42" t="s">
        <v>409</v>
      </c>
      <c r="N32" s="80">
        <f>Auszahlungen!Q31</f>
        <v>471300</v>
      </c>
      <c r="P32" s="69"/>
      <c r="Q32" s="132">
        <v>24</v>
      </c>
      <c r="R32" t="s">
        <v>28</v>
      </c>
      <c r="S32" s="130" t="str">
        <f t="shared" si="2"/>
        <v>G24</v>
      </c>
      <c r="T32" s="42" t="s">
        <v>215</v>
      </c>
      <c r="U32" s="42" t="s">
        <v>409</v>
      </c>
      <c r="V32" s="80">
        <f>Auszahlungen!Z31</f>
        <v>471300</v>
      </c>
      <c r="X32" s="69"/>
      <c r="Y32" s="132">
        <v>24</v>
      </c>
      <c r="Z32" t="s">
        <v>28</v>
      </c>
      <c r="AA32" s="130" t="str">
        <f t="shared" si="3"/>
        <v>G24</v>
      </c>
      <c r="AB32" s="42" t="s">
        <v>215</v>
      </c>
      <c r="AC32" s="42" t="s">
        <v>409</v>
      </c>
      <c r="AD32" s="80">
        <f>Auszahlungen!AI31</f>
        <v>471300</v>
      </c>
    </row>
    <row r="33" spans="1:30" x14ac:dyDescent="0.2">
      <c r="A33" s="132">
        <v>25</v>
      </c>
      <c r="B33" t="s">
        <v>29</v>
      </c>
      <c r="C33" s="130" t="str">
        <f t="shared" si="0"/>
        <v>G25</v>
      </c>
      <c r="D33" s="42" t="s">
        <v>215</v>
      </c>
      <c r="E33" s="42" t="s">
        <v>410</v>
      </c>
      <c r="F33" s="80">
        <f>Auszahlungen!H32</f>
        <v>324500</v>
      </c>
      <c r="G33" s="3"/>
      <c r="H33" s="69"/>
      <c r="I33" s="132">
        <v>25</v>
      </c>
      <c r="J33" t="s">
        <v>29</v>
      </c>
      <c r="K33" s="130" t="str">
        <f t="shared" si="1"/>
        <v>G25</v>
      </c>
      <c r="L33" s="42" t="s">
        <v>215</v>
      </c>
      <c r="M33" s="42" t="s">
        <v>410</v>
      </c>
      <c r="N33" s="80">
        <f>Auszahlungen!Q32</f>
        <v>324500</v>
      </c>
      <c r="P33" s="69"/>
      <c r="Q33" s="132">
        <v>25</v>
      </c>
      <c r="R33" t="s">
        <v>29</v>
      </c>
      <c r="S33" s="130" t="str">
        <f t="shared" si="2"/>
        <v>G25</v>
      </c>
      <c r="T33" s="42" t="s">
        <v>215</v>
      </c>
      <c r="U33" s="42" t="s">
        <v>410</v>
      </c>
      <c r="V33" s="80">
        <f>Auszahlungen!Z32</f>
        <v>324500</v>
      </c>
      <c r="X33" s="69"/>
      <c r="Y33" s="132">
        <v>25</v>
      </c>
      <c r="Z33" t="s">
        <v>29</v>
      </c>
      <c r="AA33" s="130" t="str">
        <f t="shared" si="3"/>
        <v>G25</v>
      </c>
      <c r="AB33" s="42" t="s">
        <v>215</v>
      </c>
      <c r="AC33" s="42" t="s">
        <v>410</v>
      </c>
      <c r="AD33" s="80">
        <f>Auszahlungen!AI32</f>
        <v>324300</v>
      </c>
    </row>
    <row r="34" spans="1:30" x14ac:dyDescent="0.2">
      <c r="A34" s="132">
        <v>26</v>
      </c>
      <c r="B34" t="s">
        <v>30</v>
      </c>
      <c r="C34" s="130" t="str">
        <f t="shared" si="0"/>
        <v>G26</v>
      </c>
      <c r="D34" s="42" t="s">
        <v>215</v>
      </c>
      <c r="E34" s="42" t="s">
        <v>411</v>
      </c>
      <c r="F34" s="80">
        <f>Auszahlungen!H33</f>
        <v>896800</v>
      </c>
      <c r="G34" s="3"/>
      <c r="H34" s="69"/>
      <c r="I34" s="132">
        <v>26</v>
      </c>
      <c r="J34" t="s">
        <v>30</v>
      </c>
      <c r="K34" s="130" t="str">
        <f t="shared" si="1"/>
        <v>G26</v>
      </c>
      <c r="L34" s="42" t="s">
        <v>215</v>
      </c>
      <c r="M34" s="42" t="s">
        <v>411</v>
      </c>
      <c r="N34" s="80">
        <f>Auszahlungen!Q33</f>
        <v>896800</v>
      </c>
      <c r="P34" s="69"/>
      <c r="Q34" s="132">
        <v>26</v>
      </c>
      <c r="R34" t="s">
        <v>30</v>
      </c>
      <c r="S34" s="130" t="str">
        <f t="shared" si="2"/>
        <v>G26</v>
      </c>
      <c r="T34" s="42" t="s">
        <v>215</v>
      </c>
      <c r="U34" s="42" t="s">
        <v>411</v>
      </c>
      <c r="V34" s="80">
        <f>Auszahlungen!Z33</f>
        <v>896800</v>
      </c>
      <c r="X34" s="69"/>
      <c r="Y34" s="132">
        <v>26</v>
      </c>
      <c r="Z34" t="s">
        <v>30</v>
      </c>
      <c r="AA34" s="130" t="str">
        <f t="shared" si="3"/>
        <v>G26</v>
      </c>
      <c r="AB34" s="42" t="s">
        <v>215</v>
      </c>
      <c r="AC34" s="42" t="s">
        <v>411</v>
      </c>
      <c r="AD34" s="80">
        <f>Auszahlungen!AI33</f>
        <v>897000</v>
      </c>
    </row>
    <row r="35" spans="1:30" x14ac:dyDescent="0.2">
      <c r="A35" s="132">
        <v>27</v>
      </c>
      <c r="B35" t="s">
        <v>31</v>
      </c>
      <c r="C35" s="130" t="str">
        <f t="shared" si="0"/>
        <v>G27</v>
      </c>
      <c r="D35" s="42" t="s">
        <v>217</v>
      </c>
      <c r="E35" s="42" t="s">
        <v>412</v>
      </c>
      <c r="F35" s="80">
        <f>Auszahlungen!H34</f>
        <v>359500</v>
      </c>
      <c r="G35" s="3"/>
      <c r="H35" s="69"/>
      <c r="I35" s="132">
        <v>27</v>
      </c>
      <c r="J35" t="s">
        <v>31</v>
      </c>
      <c r="K35" s="130" t="str">
        <f t="shared" si="1"/>
        <v>G27</v>
      </c>
      <c r="L35" s="42" t="s">
        <v>217</v>
      </c>
      <c r="M35" s="42" t="s">
        <v>412</v>
      </c>
      <c r="N35" s="80">
        <f>Auszahlungen!Q34</f>
        <v>359500</v>
      </c>
      <c r="P35" s="69"/>
      <c r="Q35" s="132">
        <v>27</v>
      </c>
      <c r="R35" t="s">
        <v>31</v>
      </c>
      <c r="S35" s="130" t="str">
        <f t="shared" si="2"/>
        <v>G27</v>
      </c>
      <c r="T35" s="42" t="s">
        <v>217</v>
      </c>
      <c r="U35" s="42" t="s">
        <v>412</v>
      </c>
      <c r="V35" s="80">
        <f>Auszahlungen!Z34</f>
        <v>359500</v>
      </c>
      <c r="X35" s="69"/>
      <c r="Y35" s="132">
        <v>27</v>
      </c>
      <c r="Z35" t="s">
        <v>31</v>
      </c>
      <c r="AA35" s="130" t="str">
        <f t="shared" si="3"/>
        <v>G27</v>
      </c>
      <c r="AB35" s="42" t="s">
        <v>217</v>
      </c>
      <c r="AC35" s="42" t="s">
        <v>412</v>
      </c>
      <c r="AD35" s="80">
        <f>Auszahlungen!AI34</f>
        <v>359100</v>
      </c>
    </row>
    <row r="36" spans="1:30" x14ac:dyDescent="0.2">
      <c r="A36" s="132">
        <v>28</v>
      </c>
      <c r="B36" t="s">
        <v>32</v>
      </c>
      <c r="C36" s="130" t="str">
        <f t="shared" si="0"/>
        <v/>
      </c>
      <c r="D36" s="42" t="s">
        <v>218</v>
      </c>
      <c r="E36" s="42" t="s">
        <v>413</v>
      </c>
      <c r="F36" s="80">
        <f>Auszahlungen!H35</f>
        <v>0</v>
      </c>
      <c r="G36" s="3"/>
      <c r="H36" s="69"/>
      <c r="I36" s="132">
        <v>28</v>
      </c>
      <c r="J36" t="s">
        <v>32</v>
      </c>
      <c r="K36" s="130" t="str">
        <f t="shared" si="1"/>
        <v/>
      </c>
      <c r="L36" s="42" t="s">
        <v>218</v>
      </c>
      <c r="M36" s="42" t="s">
        <v>413</v>
      </c>
      <c r="N36" s="80">
        <f>Auszahlungen!Q35</f>
        <v>0</v>
      </c>
      <c r="P36" s="69"/>
      <c r="Q36" s="132">
        <v>28</v>
      </c>
      <c r="R36" t="s">
        <v>32</v>
      </c>
      <c r="S36" s="130" t="str">
        <f t="shared" si="2"/>
        <v/>
      </c>
      <c r="T36" s="42" t="s">
        <v>218</v>
      </c>
      <c r="U36" s="42" t="s">
        <v>413</v>
      </c>
      <c r="V36" s="80">
        <f>Auszahlungen!Z35</f>
        <v>0</v>
      </c>
      <c r="X36" s="69"/>
      <c r="Y36" s="132">
        <v>28</v>
      </c>
      <c r="Z36" t="s">
        <v>32</v>
      </c>
      <c r="AA36" s="130" t="str">
        <f t="shared" si="3"/>
        <v/>
      </c>
      <c r="AB36" s="42" t="s">
        <v>218</v>
      </c>
      <c r="AC36" s="42" t="s">
        <v>413</v>
      </c>
      <c r="AD36" s="80">
        <f>Auszahlungen!AI35</f>
        <v>0</v>
      </c>
    </row>
    <row r="37" spans="1:30" x14ac:dyDescent="0.2">
      <c r="A37" s="132">
        <v>29</v>
      </c>
      <c r="B37" t="s">
        <v>33</v>
      </c>
      <c r="C37" s="130" t="str">
        <f t="shared" si="0"/>
        <v>G29</v>
      </c>
      <c r="D37" s="116" t="s">
        <v>215</v>
      </c>
      <c r="E37" s="116" t="s">
        <v>414</v>
      </c>
      <c r="F37" s="80">
        <f>Auszahlungen!H36</f>
        <v>713700</v>
      </c>
      <c r="G37" s="3"/>
      <c r="H37" s="69"/>
      <c r="I37" s="132">
        <v>29</v>
      </c>
      <c r="J37" t="s">
        <v>33</v>
      </c>
      <c r="K37" s="130" t="str">
        <f t="shared" si="1"/>
        <v>G29</v>
      </c>
      <c r="L37" s="116" t="s">
        <v>215</v>
      </c>
      <c r="M37" s="116" t="s">
        <v>414</v>
      </c>
      <c r="N37" s="80">
        <f>Auszahlungen!Q36</f>
        <v>713700</v>
      </c>
      <c r="P37" s="69"/>
      <c r="Q37" s="132">
        <v>29</v>
      </c>
      <c r="R37" t="s">
        <v>33</v>
      </c>
      <c r="S37" s="130" t="str">
        <f t="shared" si="2"/>
        <v>G29</v>
      </c>
      <c r="T37" s="116" t="s">
        <v>215</v>
      </c>
      <c r="U37" s="116" t="s">
        <v>414</v>
      </c>
      <c r="V37" s="80">
        <f>Auszahlungen!Z36</f>
        <v>713700</v>
      </c>
      <c r="X37" s="69"/>
      <c r="Y37" s="132">
        <v>29</v>
      </c>
      <c r="Z37" t="s">
        <v>33</v>
      </c>
      <c r="AA37" s="130" t="str">
        <f t="shared" si="3"/>
        <v>G29</v>
      </c>
      <c r="AB37" s="116" t="s">
        <v>215</v>
      </c>
      <c r="AC37" s="116" t="s">
        <v>414</v>
      </c>
      <c r="AD37" s="80">
        <f>Auszahlungen!AI36</f>
        <v>713500</v>
      </c>
    </row>
    <row r="38" spans="1:30" x14ac:dyDescent="0.2">
      <c r="A38" s="132">
        <v>30</v>
      </c>
      <c r="B38" t="s">
        <v>34</v>
      </c>
      <c r="C38" s="130" t="str">
        <f t="shared" si="0"/>
        <v>G30</v>
      </c>
      <c r="D38" s="42" t="s">
        <v>215</v>
      </c>
      <c r="E38" s="42" t="s">
        <v>415</v>
      </c>
      <c r="F38" s="80">
        <f>Auszahlungen!H37</f>
        <v>978600</v>
      </c>
      <c r="G38" s="3"/>
      <c r="H38" s="69"/>
      <c r="I38" s="132">
        <v>30</v>
      </c>
      <c r="J38" t="s">
        <v>34</v>
      </c>
      <c r="K38" s="130" t="str">
        <f t="shared" si="1"/>
        <v>G30</v>
      </c>
      <c r="L38" s="42" t="s">
        <v>215</v>
      </c>
      <c r="M38" s="42" t="s">
        <v>415</v>
      </c>
      <c r="N38" s="80">
        <f>Auszahlungen!Q37</f>
        <v>978600</v>
      </c>
      <c r="P38" s="69"/>
      <c r="Q38" s="132">
        <v>30</v>
      </c>
      <c r="R38" t="s">
        <v>34</v>
      </c>
      <c r="S38" s="130" t="str">
        <f t="shared" si="2"/>
        <v>G30</v>
      </c>
      <c r="T38" s="42" t="s">
        <v>215</v>
      </c>
      <c r="U38" s="42" t="s">
        <v>415</v>
      </c>
      <c r="V38" s="80">
        <f>Auszahlungen!Z37</f>
        <v>978600</v>
      </c>
      <c r="X38" s="69"/>
      <c r="Y38" s="132">
        <v>30</v>
      </c>
      <c r="Z38" t="s">
        <v>34</v>
      </c>
      <c r="AA38" s="130" t="str">
        <f t="shared" si="3"/>
        <v>G30</v>
      </c>
      <c r="AB38" s="42" t="s">
        <v>215</v>
      </c>
      <c r="AC38" s="42" t="s">
        <v>415</v>
      </c>
      <c r="AD38" s="80">
        <f>Auszahlungen!AI37</f>
        <v>978400</v>
      </c>
    </row>
    <row r="39" spans="1:30" x14ac:dyDescent="0.2">
      <c r="A39" s="132">
        <v>31</v>
      </c>
      <c r="B39" t="s">
        <v>35</v>
      </c>
      <c r="C39" s="130" t="str">
        <f t="shared" si="0"/>
        <v>G31</v>
      </c>
      <c r="D39" s="42" t="s">
        <v>215</v>
      </c>
      <c r="E39" s="42" t="s">
        <v>416</v>
      </c>
      <c r="F39" s="80">
        <f>Auszahlungen!H38</f>
        <v>168100</v>
      </c>
      <c r="G39" s="3"/>
      <c r="H39" s="69"/>
      <c r="I39" s="132">
        <v>31</v>
      </c>
      <c r="J39" t="s">
        <v>35</v>
      </c>
      <c r="K39" s="130" t="str">
        <f t="shared" si="1"/>
        <v>G31</v>
      </c>
      <c r="L39" s="42" t="s">
        <v>215</v>
      </c>
      <c r="M39" s="42" t="s">
        <v>416</v>
      </c>
      <c r="N39" s="80">
        <f>Auszahlungen!Q38</f>
        <v>168100</v>
      </c>
      <c r="P39" s="69"/>
      <c r="Q39" s="132">
        <v>31</v>
      </c>
      <c r="R39" t="s">
        <v>35</v>
      </c>
      <c r="S39" s="130" t="str">
        <f t="shared" si="2"/>
        <v>G31</v>
      </c>
      <c r="T39" s="42" t="s">
        <v>215</v>
      </c>
      <c r="U39" s="42" t="s">
        <v>416</v>
      </c>
      <c r="V39" s="80">
        <f>Auszahlungen!Z38</f>
        <v>168100</v>
      </c>
      <c r="X39" s="69"/>
      <c r="Y39" s="132">
        <v>31</v>
      </c>
      <c r="Z39" t="s">
        <v>35</v>
      </c>
      <c r="AA39" s="130" t="str">
        <f t="shared" si="3"/>
        <v>G31</v>
      </c>
      <c r="AB39" s="42" t="s">
        <v>215</v>
      </c>
      <c r="AC39" s="42" t="s">
        <v>416</v>
      </c>
      <c r="AD39" s="80">
        <f>Auszahlungen!AI38</f>
        <v>168300</v>
      </c>
    </row>
    <row r="40" spans="1:30" x14ac:dyDescent="0.2">
      <c r="A40" s="132">
        <v>32</v>
      </c>
      <c r="B40" t="s">
        <v>36</v>
      </c>
      <c r="C40" s="130" t="str">
        <f t="shared" si="0"/>
        <v>G32</v>
      </c>
      <c r="D40" s="42" t="s">
        <v>215</v>
      </c>
      <c r="E40" s="42" t="s">
        <v>417</v>
      </c>
      <c r="F40" s="80">
        <f>Auszahlungen!H39</f>
        <v>992600</v>
      </c>
      <c r="G40" s="3"/>
      <c r="H40" s="69"/>
      <c r="I40" s="132">
        <v>32</v>
      </c>
      <c r="J40" t="s">
        <v>36</v>
      </c>
      <c r="K40" s="130" t="str">
        <f t="shared" si="1"/>
        <v>G32</v>
      </c>
      <c r="L40" s="42" t="s">
        <v>215</v>
      </c>
      <c r="M40" s="42" t="s">
        <v>417</v>
      </c>
      <c r="N40" s="80">
        <f>Auszahlungen!Q39</f>
        <v>992600</v>
      </c>
      <c r="P40" s="69"/>
      <c r="Q40" s="132">
        <v>32</v>
      </c>
      <c r="R40" t="s">
        <v>36</v>
      </c>
      <c r="S40" s="130" t="str">
        <f t="shared" si="2"/>
        <v>G32</v>
      </c>
      <c r="T40" s="42" t="s">
        <v>215</v>
      </c>
      <c r="U40" s="42" t="s">
        <v>417</v>
      </c>
      <c r="V40" s="80">
        <f>Auszahlungen!Z39</f>
        <v>992600</v>
      </c>
      <c r="X40" s="69"/>
      <c r="Y40" s="132">
        <v>32</v>
      </c>
      <c r="Z40" t="s">
        <v>36</v>
      </c>
      <c r="AA40" s="130" t="str">
        <f t="shared" si="3"/>
        <v>G32</v>
      </c>
      <c r="AB40" s="42" t="s">
        <v>215</v>
      </c>
      <c r="AC40" s="42" t="s">
        <v>417</v>
      </c>
      <c r="AD40" s="80">
        <f>Auszahlungen!AI39</f>
        <v>992700</v>
      </c>
    </row>
    <row r="41" spans="1:30" x14ac:dyDescent="0.2">
      <c r="A41" s="132">
        <v>33</v>
      </c>
      <c r="B41" t="s">
        <v>37</v>
      </c>
      <c r="C41" s="130" t="str">
        <f t="shared" si="0"/>
        <v>G33</v>
      </c>
      <c r="D41" s="116" t="s">
        <v>215</v>
      </c>
      <c r="E41" s="116" t="s">
        <v>418</v>
      </c>
      <c r="F41" s="80">
        <f>Auszahlungen!H40</f>
        <v>1393100</v>
      </c>
      <c r="G41" s="3"/>
      <c r="H41" s="69"/>
      <c r="I41" s="132">
        <v>33</v>
      </c>
      <c r="J41" t="s">
        <v>37</v>
      </c>
      <c r="K41" s="130" t="str">
        <f t="shared" si="1"/>
        <v>G33</v>
      </c>
      <c r="L41" s="116" t="s">
        <v>215</v>
      </c>
      <c r="M41" s="116" t="s">
        <v>418</v>
      </c>
      <c r="N41" s="80">
        <f>Auszahlungen!Q40</f>
        <v>1393100</v>
      </c>
      <c r="P41" s="69"/>
      <c r="Q41" s="132">
        <v>33</v>
      </c>
      <c r="R41" t="s">
        <v>37</v>
      </c>
      <c r="S41" s="130" t="str">
        <f t="shared" si="2"/>
        <v>G33</v>
      </c>
      <c r="T41" s="116" t="s">
        <v>215</v>
      </c>
      <c r="U41" s="116" t="s">
        <v>418</v>
      </c>
      <c r="V41" s="80">
        <f>Auszahlungen!Z40</f>
        <v>1393100</v>
      </c>
      <c r="X41" s="69"/>
      <c r="Y41" s="132">
        <v>33</v>
      </c>
      <c r="Z41" t="s">
        <v>37</v>
      </c>
      <c r="AA41" s="130" t="str">
        <f t="shared" si="3"/>
        <v>G33</v>
      </c>
      <c r="AB41" s="116" t="s">
        <v>215</v>
      </c>
      <c r="AC41" s="116" t="s">
        <v>418</v>
      </c>
      <c r="AD41" s="80">
        <f>Auszahlungen!AI40</f>
        <v>1393100</v>
      </c>
    </row>
    <row r="42" spans="1:30" x14ac:dyDescent="0.2">
      <c r="A42" s="132">
        <v>34</v>
      </c>
      <c r="B42" t="s">
        <v>38</v>
      </c>
      <c r="C42" s="130" t="str">
        <f t="shared" si="0"/>
        <v>G34</v>
      </c>
      <c r="D42" s="42" t="s">
        <v>215</v>
      </c>
      <c r="E42" s="42" t="s">
        <v>419</v>
      </c>
      <c r="F42" s="80">
        <f>Auszahlungen!H41</f>
        <v>669600</v>
      </c>
      <c r="G42" s="3"/>
      <c r="H42" s="69"/>
      <c r="I42" s="132">
        <v>34</v>
      </c>
      <c r="J42" t="s">
        <v>38</v>
      </c>
      <c r="K42" s="130" t="str">
        <f t="shared" si="1"/>
        <v>G34</v>
      </c>
      <c r="L42" s="42" t="s">
        <v>215</v>
      </c>
      <c r="M42" s="42" t="s">
        <v>419</v>
      </c>
      <c r="N42" s="80">
        <f>Auszahlungen!Q41</f>
        <v>669600</v>
      </c>
      <c r="P42" s="69"/>
      <c r="Q42" s="132">
        <v>34</v>
      </c>
      <c r="R42" t="s">
        <v>38</v>
      </c>
      <c r="S42" s="130" t="str">
        <f t="shared" si="2"/>
        <v>G34</v>
      </c>
      <c r="T42" s="42" t="s">
        <v>215</v>
      </c>
      <c r="U42" s="42" t="s">
        <v>419</v>
      </c>
      <c r="V42" s="80">
        <f>Auszahlungen!Z41</f>
        <v>669600</v>
      </c>
      <c r="X42" s="69"/>
      <c r="Y42" s="132">
        <v>34</v>
      </c>
      <c r="Z42" t="s">
        <v>38</v>
      </c>
      <c r="AA42" s="130" t="str">
        <f t="shared" si="3"/>
        <v>G34</v>
      </c>
      <c r="AB42" s="42" t="s">
        <v>215</v>
      </c>
      <c r="AC42" s="42" t="s">
        <v>419</v>
      </c>
      <c r="AD42" s="80">
        <f>Auszahlungen!AI41</f>
        <v>669700</v>
      </c>
    </row>
    <row r="43" spans="1:30" x14ac:dyDescent="0.2">
      <c r="A43" s="132">
        <v>35</v>
      </c>
      <c r="B43" t="s">
        <v>39</v>
      </c>
      <c r="C43" s="130" t="str">
        <f t="shared" si="0"/>
        <v>G35</v>
      </c>
      <c r="D43" s="42" t="s">
        <v>215</v>
      </c>
      <c r="E43" s="42" t="s">
        <v>420</v>
      </c>
      <c r="F43" s="80">
        <f>Auszahlungen!H42</f>
        <v>602000</v>
      </c>
      <c r="G43" s="3"/>
      <c r="H43" s="69"/>
      <c r="I43" s="132">
        <v>35</v>
      </c>
      <c r="J43" t="s">
        <v>39</v>
      </c>
      <c r="K43" s="130" t="str">
        <f t="shared" si="1"/>
        <v>G35</v>
      </c>
      <c r="L43" s="42" t="s">
        <v>215</v>
      </c>
      <c r="M43" s="42" t="s">
        <v>420</v>
      </c>
      <c r="N43" s="80">
        <f>Auszahlungen!Q42</f>
        <v>602000</v>
      </c>
      <c r="P43" s="69"/>
      <c r="Q43" s="132">
        <v>35</v>
      </c>
      <c r="R43" t="s">
        <v>39</v>
      </c>
      <c r="S43" s="130" t="str">
        <f t="shared" si="2"/>
        <v>G35</v>
      </c>
      <c r="T43" s="42" t="s">
        <v>215</v>
      </c>
      <c r="U43" s="42" t="s">
        <v>420</v>
      </c>
      <c r="V43" s="80">
        <f>Auszahlungen!Z42</f>
        <v>602000</v>
      </c>
      <c r="X43" s="69"/>
      <c r="Y43" s="132">
        <v>35</v>
      </c>
      <c r="Z43" t="s">
        <v>39</v>
      </c>
      <c r="AA43" s="130" t="str">
        <f t="shared" si="3"/>
        <v>G35</v>
      </c>
      <c r="AB43" s="42" t="s">
        <v>215</v>
      </c>
      <c r="AC43" s="42" t="s">
        <v>420</v>
      </c>
      <c r="AD43" s="80">
        <f>Auszahlungen!AI42</f>
        <v>601700</v>
      </c>
    </row>
    <row r="44" spans="1:30" x14ac:dyDescent="0.2">
      <c r="A44" s="132">
        <v>36</v>
      </c>
      <c r="B44" t="s">
        <v>40</v>
      </c>
      <c r="C44" s="130" t="str">
        <f t="shared" si="0"/>
        <v/>
      </c>
      <c r="D44" s="42" t="s">
        <v>215</v>
      </c>
      <c r="E44" s="42" t="s">
        <v>421</v>
      </c>
      <c r="F44" s="80">
        <f>Auszahlungen!H43</f>
        <v>0</v>
      </c>
      <c r="G44" s="3"/>
      <c r="H44" s="69"/>
      <c r="I44" s="132">
        <v>36</v>
      </c>
      <c r="J44" t="s">
        <v>40</v>
      </c>
      <c r="K44" s="130" t="str">
        <f t="shared" si="1"/>
        <v/>
      </c>
      <c r="L44" s="42" t="s">
        <v>215</v>
      </c>
      <c r="M44" s="42" t="s">
        <v>421</v>
      </c>
      <c r="N44" s="80">
        <f>Auszahlungen!Q43</f>
        <v>0</v>
      </c>
      <c r="P44" s="69"/>
      <c r="Q44" s="132">
        <v>36</v>
      </c>
      <c r="R44" t="s">
        <v>40</v>
      </c>
      <c r="S44" s="130" t="str">
        <f t="shared" si="2"/>
        <v/>
      </c>
      <c r="T44" s="42" t="s">
        <v>215</v>
      </c>
      <c r="U44" s="42" t="s">
        <v>421</v>
      </c>
      <c r="V44" s="80">
        <f>Auszahlungen!Z43</f>
        <v>0</v>
      </c>
      <c r="X44" s="69"/>
      <c r="Y44" s="132">
        <v>36</v>
      </c>
      <c r="Z44" t="s">
        <v>40</v>
      </c>
      <c r="AA44" s="130" t="str">
        <f t="shared" si="3"/>
        <v/>
      </c>
      <c r="AB44" s="42" t="s">
        <v>215</v>
      </c>
      <c r="AC44" s="42" t="s">
        <v>421</v>
      </c>
      <c r="AD44" s="80">
        <f>Auszahlungen!AI43</f>
        <v>0</v>
      </c>
    </row>
    <row r="45" spans="1:30" x14ac:dyDescent="0.2">
      <c r="A45" s="132">
        <v>37</v>
      </c>
      <c r="B45" t="s">
        <v>41</v>
      </c>
      <c r="C45" s="130" t="str">
        <f t="shared" si="0"/>
        <v>G37</v>
      </c>
      <c r="D45" s="116" t="s">
        <v>215</v>
      </c>
      <c r="E45" s="116" t="s">
        <v>422</v>
      </c>
      <c r="F45" s="80">
        <f>Auszahlungen!H44</f>
        <v>965700</v>
      </c>
      <c r="G45" s="3"/>
      <c r="H45" s="69"/>
      <c r="I45" s="132">
        <v>37</v>
      </c>
      <c r="J45" t="s">
        <v>41</v>
      </c>
      <c r="K45" s="130" t="str">
        <f t="shared" si="1"/>
        <v>G37</v>
      </c>
      <c r="L45" s="116" t="s">
        <v>215</v>
      </c>
      <c r="M45" s="116" t="s">
        <v>422</v>
      </c>
      <c r="N45" s="80">
        <f>Auszahlungen!Q44</f>
        <v>965700</v>
      </c>
      <c r="P45" s="69"/>
      <c r="Q45" s="132">
        <v>37</v>
      </c>
      <c r="R45" t="s">
        <v>41</v>
      </c>
      <c r="S45" s="130" t="str">
        <f t="shared" si="2"/>
        <v>G37</v>
      </c>
      <c r="T45" s="116" t="s">
        <v>215</v>
      </c>
      <c r="U45" s="116" t="s">
        <v>422</v>
      </c>
      <c r="V45" s="80">
        <f>Auszahlungen!Z44</f>
        <v>965700</v>
      </c>
      <c r="X45" s="69"/>
      <c r="Y45" s="132">
        <v>37</v>
      </c>
      <c r="Z45" t="s">
        <v>41</v>
      </c>
      <c r="AA45" s="130" t="str">
        <f t="shared" si="3"/>
        <v>G37</v>
      </c>
      <c r="AB45" s="116" t="s">
        <v>215</v>
      </c>
      <c r="AC45" s="116" t="s">
        <v>422</v>
      </c>
      <c r="AD45" s="80">
        <f>Auszahlungen!AI44</f>
        <v>965700</v>
      </c>
    </row>
    <row r="46" spans="1:30" x14ac:dyDescent="0.2">
      <c r="A46" s="132">
        <v>38</v>
      </c>
      <c r="B46" t="s">
        <v>42</v>
      </c>
      <c r="C46" s="130" t="str">
        <f t="shared" si="0"/>
        <v>G38</v>
      </c>
      <c r="D46" s="116" t="s">
        <v>217</v>
      </c>
      <c r="E46" s="116" t="s">
        <v>423</v>
      </c>
      <c r="F46" s="80">
        <f>Auszahlungen!H45</f>
        <v>1776100</v>
      </c>
      <c r="G46" s="3"/>
      <c r="H46" s="69"/>
      <c r="I46" s="132">
        <v>38</v>
      </c>
      <c r="J46" t="s">
        <v>42</v>
      </c>
      <c r="K46" s="130" t="str">
        <f t="shared" si="1"/>
        <v>G38</v>
      </c>
      <c r="L46" s="116" t="s">
        <v>217</v>
      </c>
      <c r="M46" s="116" t="s">
        <v>423</v>
      </c>
      <c r="N46" s="80">
        <f>Auszahlungen!Q45</f>
        <v>1776100</v>
      </c>
      <c r="P46" s="69"/>
      <c r="Q46" s="132">
        <v>38</v>
      </c>
      <c r="R46" t="s">
        <v>42</v>
      </c>
      <c r="S46" s="130" t="str">
        <f t="shared" si="2"/>
        <v>G38</v>
      </c>
      <c r="T46" s="116" t="s">
        <v>217</v>
      </c>
      <c r="U46" s="116" t="s">
        <v>423</v>
      </c>
      <c r="V46" s="80">
        <f>Auszahlungen!Z45</f>
        <v>1776100</v>
      </c>
      <c r="X46" s="69"/>
      <c r="Y46" s="132">
        <v>38</v>
      </c>
      <c r="Z46" t="s">
        <v>42</v>
      </c>
      <c r="AA46" s="130" t="str">
        <f t="shared" si="3"/>
        <v>G38</v>
      </c>
      <c r="AB46" s="116" t="s">
        <v>217</v>
      </c>
      <c r="AC46" s="116" t="s">
        <v>423</v>
      </c>
      <c r="AD46" s="80">
        <f>Auszahlungen!AI45</f>
        <v>1775900</v>
      </c>
    </row>
    <row r="47" spans="1:30" x14ac:dyDescent="0.2">
      <c r="A47" s="132">
        <v>39</v>
      </c>
      <c r="B47" t="s">
        <v>43</v>
      </c>
      <c r="C47" s="130" t="str">
        <f t="shared" si="0"/>
        <v>G39</v>
      </c>
      <c r="D47" s="42" t="s">
        <v>215</v>
      </c>
      <c r="E47" s="42" t="s">
        <v>424</v>
      </c>
      <c r="F47" s="80">
        <f>Auszahlungen!H46</f>
        <v>1126600</v>
      </c>
      <c r="G47" s="3"/>
      <c r="H47" s="69"/>
      <c r="I47" s="132">
        <v>39</v>
      </c>
      <c r="J47" t="s">
        <v>43</v>
      </c>
      <c r="K47" s="130" t="str">
        <f t="shared" si="1"/>
        <v>G39</v>
      </c>
      <c r="L47" s="42" t="s">
        <v>215</v>
      </c>
      <c r="M47" s="42" t="s">
        <v>424</v>
      </c>
      <c r="N47" s="80">
        <f>Auszahlungen!Q46</f>
        <v>1126600</v>
      </c>
      <c r="P47" s="69"/>
      <c r="Q47" s="132">
        <v>39</v>
      </c>
      <c r="R47" t="s">
        <v>43</v>
      </c>
      <c r="S47" s="130" t="str">
        <f t="shared" si="2"/>
        <v>G39</v>
      </c>
      <c r="T47" s="42" t="s">
        <v>215</v>
      </c>
      <c r="U47" s="42" t="s">
        <v>424</v>
      </c>
      <c r="V47" s="80">
        <f>Auszahlungen!Z46</f>
        <v>1126600</v>
      </c>
      <c r="X47" s="69"/>
      <c r="Y47" s="132">
        <v>39</v>
      </c>
      <c r="Z47" t="s">
        <v>43</v>
      </c>
      <c r="AA47" s="130" t="str">
        <f t="shared" si="3"/>
        <v>G39</v>
      </c>
      <c r="AB47" s="42" t="s">
        <v>215</v>
      </c>
      <c r="AC47" s="42" t="s">
        <v>424</v>
      </c>
      <c r="AD47" s="80">
        <f>Auszahlungen!AI46</f>
        <v>1126400</v>
      </c>
    </row>
    <row r="48" spans="1:30" x14ac:dyDescent="0.2">
      <c r="A48" s="132">
        <v>40</v>
      </c>
      <c r="B48" t="s">
        <v>44</v>
      </c>
      <c r="C48" s="130" t="str">
        <f t="shared" si="0"/>
        <v>G40</v>
      </c>
      <c r="D48" s="42" t="s">
        <v>217</v>
      </c>
      <c r="E48" s="42" t="s">
        <v>425</v>
      </c>
      <c r="F48" s="80">
        <f>Auszahlungen!H47</f>
        <v>559900</v>
      </c>
      <c r="G48" s="3"/>
      <c r="H48" s="69"/>
      <c r="I48" s="132">
        <v>40</v>
      </c>
      <c r="J48" t="s">
        <v>44</v>
      </c>
      <c r="K48" s="130" t="str">
        <f t="shared" si="1"/>
        <v>G40</v>
      </c>
      <c r="L48" s="42" t="s">
        <v>217</v>
      </c>
      <c r="M48" s="42" t="s">
        <v>425</v>
      </c>
      <c r="N48" s="80">
        <f>Auszahlungen!Q47</f>
        <v>559900</v>
      </c>
      <c r="P48" s="69"/>
      <c r="Q48" s="132">
        <v>40</v>
      </c>
      <c r="R48" t="s">
        <v>44</v>
      </c>
      <c r="S48" s="130" t="str">
        <f t="shared" si="2"/>
        <v>G40</v>
      </c>
      <c r="T48" s="42" t="s">
        <v>217</v>
      </c>
      <c r="U48" s="42" t="s">
        <v>425</v>
      </c>
      <c r="V48" s="80">
        <f>Auszahlungen!Z47</f>
        <v>559900</v>
      </c>
      <c r="X48" s="69"/>
      <c r="Y48" s="132">
        <v>40</v>
      </c>
      <c r="Z48" t="s">
        <v>44</v>
      </c>
      <c r="AA48" s="130" t="str">
        <f t="shared" si="3"/>
        <v>G40</v>
      </c>
      <c r="AB48" s="42" t="s">
        <v>217</v>
      </c>
      <c r="AC48" s="42" t="s">
        <v>425</v>
      </c>
      <c r="AD48" s="80">
        <f>Auszahlungen!AI47</f>
        <v>559600</v>
      </c>
    </row>
    <row r="49" spans="1:30" x14ac:dyDescent="0.2">
      <c r="A49" s="132">
        <v>41</v>
      </c>
      <c r="B49" t="s">
        <v>45</v>
      </c>
      <c r="C49" s="130" t="str">
        <f t="shared" si="0"/>
        <v>G41</v>
      </c>
      <c r="D49" s="116" t="s">
        <v>215</v>
      </c>
      <c r="E49" s="116" t="s">
        <v>426</v>
      </c>
      <c r="F49" s="80">
        <f>Auszahlungen!H48</f>
        <v>190000</v>
      </c>
      <c r="G49" s="3"/>
      <c r="H49" s="69"/>
      <c r="I49" s="132">
        <v>41</v>
      </c>
      <c r="J49" t="s">
        <v>45</v>
      </c>
      <c r="K49" s="130" t="str">
        <f t="shared" si="1"/>
        <v>G41</v>
      </c>
      <c r="L49" s="116" t="s">
        <v>215</v>
      </c>
      <c r="M49" s="116" t="s">
        <v>426</v>
      </c>
      <c r="N49" s="80">
        <f>Auszahlungen!Q48</f>
        <v>190000</v>
      </c>
      <c r="P49" s="69"/>
      <c r="Q49" s="132">
        <v>41</v>
      </c>
      <c r="R49" t="s">
        <v>45</v>
      </c>
      <c r="S49" s="130" t="str">
        <f t="shared" si="2"/>
        <v>G41</v>
      </c>
      <c r="T49" s="116" t="s">
        <v>215</v>
      </c>
      <c r="U49" s="116" t="s">
        <v>426</v>
      </c>
      <c r="V49" s="80">
        <f>Auszahlungen!Z48</f>
        <v>190000</v>
      </c>
      <c r="X49" s="69"/>
      <c r="Y49" s="132">
        <v>41</v>
      </c>
      <c r="Z49" t="s">
        <v>45</v>
      </c>
      <c r="AA49" s="130" t="str">
        <f t="shared" si="3"/>
        <v>G41</v>
      </c>
      <c r="AB49" s="116" t="s">
        <v>215</v>
      </c>
      <c r="AC49" s="116" t="s">
        <v>426</v>
      </c>
      <c r="AD49" s="80">
        <f>Auszahlungen!AI48</f>
        <v>190200</v>
      </c>
    </row>
    <row r="50" spans="1:30" x14ac:dyDescent="0.2">
      <c r="A50" s="132">
        <v>42</v>
      </c>
      <c r="B50" t="s">
        <v>46</v>
      </c>
      <c r="C50" s="130" t="str">
        <f t="shared" si="0"/>
        <v>G42</v>
      </c>
      <c r="D50" s="116" t="s">
        <v>215</v>
      </c>
      <c r="E50" s="116" t="s">
        <v>427</v>
      </c>
      <c r="F50" s="80">
        <f>Auszahlungen!H49</f>
        <v>28600</v>
      </c>
      <c r="G50" s="3"/>
      <c r="H50" s="69"/>
      <c r="I50" s="132">
        <v>42</v>
      </c>
      <c r="J50" t="s">
        <v>46</v>
      </c>
      <c r="K50" s="130" t="str">
        <f t="shared" si="1"/>
        <v>G42</v>
      </c>
      <c r="L50" s="116" t="s">
        <v>215</v>
      </c>
      <c r="M50" s="116" t="s">
        <v>427</v>
      </c>
      <c r="N50" s="80">
        <f>Auszahlungen!Q49</f>
        <v>28600</v>
      </c>
      <c r="P50" s="69"/>
      <c r="Q50" s="132">
        <v>42</v>
      </c>
      <c r="R50" t="s">
        <v>46</v>
      </c>
      <c r="S50" s="130" t="str">
        <f t="shared" si="2"/>
        <v>G42</v>
      </c>
      <c r="T50" s="116" t="s">
        <v>215</v>
      </c>
      <c r="U50" s="116" t="s">
        <v>427</v>
      </c>
      <c r="V50" s="80">
        <f>Auszahlungen!Z49</f>
        <v>28600</v>
      </c>
      <c r="X50" s="69"/>
      <c r="Y50" s="132">
        <v>42</v>
      </c>
      <c r="Z50" t="s">
        <v>46</v>
      </c>
      <c r="AA50" s="130" t="str">
        <f t="shared" si="3"/>
        <v>G42</v>
      </c>
      <c r="AB50" s="116" t="s">
        <v>215</v>
      </c>
      <c r="AC50" s="116" t="s">
        <v>427</v>
      </c>
      <c r="AD50" s="80">
        <f>Auszahlungen!AI49</f>
        <v>28400</v>
      </c>
    </row>
    <row r="51" spans="1:30" x14ac:dyDescent="0.2">
      <c r="A51" s="132">
        <v>43</v>
      </c>
      <c r="B51" t="s">
        <v>47</v>
      </c>
      <c r="C51" s="130" t="str">
        <f t="shared" si="0"/>
        <v/>
      </c>
      <c r="D51" s="42" t="s">
        <v>217</v>
      </c>
      <c r="E51" s="42" t="s">
        <v>428</v>
      </c>
      <c r="F51" s="80">
        <f>Auszahlungen!H50</f>
        <v>0</v>
      </c>
      <c r="G51" s="3"/>
      <c r="H51" s="69"/>
      <c r="I51" s="132">
        <v>43</v>
      </c>
      <c r="J51" t="s">
        <v>47</v>
      </c>
      <c r="K51" s="130" t="str">
        <f t="shared" si="1"/>
        <v/>
      </c>
      <c r="L51" s="42" t="s">
        <v>217</v>
      </c>
      <c r="M51" s="42" t="s">
        <v>428</v>
      </c>
      <c r="N51" s="80">
        <f>Auszahlungen!Q50</f>
        <v>0</v>
      </c>
      <c r="P51" s="69"/>
      <c r="Q51" s="132">
        <v>43</v>
      </c>
      <c r="R51" t="s">
        <v>47</v>
      </c>
      <c r="S51" s="130" t="str">
        <f t="shared" si="2"/>
        <v/>
      </c>
      <c r="T51" s="42" t="s">
        <v>217</v>
      </c>
      <c r="U51" s="42" t="s">
        <v>428</v>
      </c>
      <c r="V51" s="80">
        <f>Auszahlungen!Z50</f>
        <v>0</v>
      </c>
      <c r="X51" s="69"/>
      <c r="Y51" s="132">
        <v>43</v>
      </c>
      <c r="Z51" t="s">
        <v>47</v>
      </c>
      <c r="AA51" s="130" t="str">
        <f t="shared" si="3"/>
        <v/>
      </c>
      <c r="AB51" s="42" t="s">
        <v>217</v>
      </c>
      <c r="AC51" s="42" t="s">
        <v>428</v>
      </c>
      <c r="AD51" s="80">
        <f>Auszahlungen!AI50</f>
        <v>0</v>
      </c>
    </row>
    <row r="52" spans="1:30" x14ac:dyDescent="0.2">
      <c r="A52" s="132">
        <v>44</v>
      </c>
      <c r="B52" t="s">
        <v>48</v>
      </c>
      <c r="C52" s="130" t="str">
        <f t="shared" si="0"/>
        <v>G44</v>
      </c>
      <c r="D52" s="116" t="s">
        <v>215</v>
      </c>
      <c r="E52" s="116" t="s">
        <v>429</v>
      </c>
      <c r="F52" s="80">
        <f>Auszahlungen!H51</f>
        <v>1332600</v>
      </c>
      <c r="G52" s="3"/>
      <c r="H52" s="69"/>
      <c r="I52" s="132">
        <v>44</v>
      </c>
      <c r="J52" t="s">
        <v>48</v>
      </c>
      <c r="K52" s="130" t="str">
        <f t="shared" si="1"/>
        <v>G44</v>
      </c>
      <c r="L52" s="116" t="s">
        <v>215</v>
      </c>
      <c r="M52" s="116" t="s">
        <v>429</v>
      </c>
      <c r="N52" s="80">
        <f>Auszahlungen!Q51</f>
        <v>1332600</v>
      </c>
      <c r="P52" s="69"/>
      <c r="Q52" s="132">
        <v>44</v>
      </c>
      <c r="R52" t="s">
        <v>48</v>
      </c>
      <c r="S52" s="130" t="str">
        <f t="shared" si="2"/>
        <v>G44</v>
      </c>
      <c r="T52" s="116" t="s">
        <v>215</v>
      </c>
      <c r="U52" s="116" t="s">
        <v>429</v>
      </c>
      <c r="V52" s="80">
        <f>Auszahlungen!Z51</f>
        <v>1332600</v>
      </c>
      <c r="X52" s="69"/>
      <c r="Y52" s="132">
        <v>44</v>
      </c>
      <c r="Z52" t="s">
        <v>48</v>
      </c>
      <c r="AA52" s="130" t="str">
        <f t="shared" si="3"/>
        <v>G44</v>
      </c>
      <c r="AB52" s="116" t="s">
        <v>215</v>
      </c>
      <c r="AC52" s="116" t="s">
        <v>429</v>
      </c>
      <c r="AD52" s="80">
        <f>Auszahlungen!AI51</f>
        <v>1333000</v>
      </c>
    </row>
    <row r="53" spans="1:30" x14ac:dyDescent="0.2">
      <c r="A53" s="132">
        <v>45</v>
      </c>
      <c r="B53" t="s">
        <v>49</v>
      </c>
      <c r="C53" s="130" t="str">
        <f t="shared" si="0"/>
        <v>G45</v>
      </c>
      <c r="D53" s="116" t="s">
        <v>217</v>
      </c>
      <c r="E53" s="116" t="s">
        <v>430</v>
      </c>
      <c r="F53" s="80">
        <f>Auszahlungen!H52</f>
        <v>606200</v>
      </c>
      <c r="G53" s="3"/>
      <c r="H53" s="69"/>
      <c r="I53" s="132">
        <v>45</v>
      </c>
      <c r="J53" t="s">
        <v>49</v>
      </c>
      <c r="K53" s="130" t="str">
        <f t="shared" si="1"/>
        <v>G45</v>
      </c>
      <c r="L53" s="116" t="s">
        <v>217</v>
      </c>
      <c r="M53" s="116" t="s">
        <v>430</v>
      </c>
      <c r="N53" s="80">
        <f>Auszahlungen!Q52</f>
        <v>606200</v>
      </c>
      <c r="P53" s="69"/>
      <c r="Q53" s="132">
        <v>45</v>
      </c>
      <c r="R53" t="s">
        <v>49</v>
      </c>
      <c r="S53" s="130" t="str">
        <f t="shared" si="2"/>
        <v>G45</v>
      </c>
      <c r="T53" s="116" t="s">
        <v>217</v>
      </c>
      <c r="U53" s="116" t="s">
        <v>430</v>
      </c>
      <c r="V53" s="80">
        <f>Auszahlungen!Z52</f>
        <v>606200</v>
      </c>
      <c r="X53" s="69"/>
      <c r="Y53" s="132">
        <v>45</v>
      </c>
      <c r="Z53" t="s">
        <v>49</v>
      </c>
      <c r="AA53" s="130" t="str">
        <f t="shared" si="3"/>
        <v>G45</v>
      </c>
      <c r="AB53" s="116" t="s">
        <v>217</v>
      </c>
      <c r="AC53" s="116" t="s">
        <v>430</v>
      </c>
      <c r="AD53" s="80">
        <f>Auszahlungen!AI52</f>
        <v>605900</v>
      </c>
    </row>
    <row r="54" spans="1:30" x14ac:dyDescent="0.2">
      <c r="A54" s="132">
        <v>46</v>
      </c>
      <c r="B54" t="s">
        <v>50</v>
      </c>
      <c r="C54" s="130" t="str">
        <f t="shared" si="0"/>
        <v>G46</v>
      </c>
      <c r="D54" s="116" t="s">
        <v>217</v>
      </c>
      <c r="E54" s="116" t="s">
        <v>431</v>
      </c>
      <c r="F54" s="80">
        <f>Auszahlungen!H53</f>
        <v>859800</v>
      </c>
      <c r="G54" s="3"/>
      <c r="H54" s="69"/>
      <c r="I54" s="132">
        <v>46</v>
      </c>
      <c r="J54" t="s">
        <v>50</v>
      </c>
      <c r="K54" s="130" t="str">
        <f t="shared" si="1"/>
        <v>G46</v>
      </c>
      <c r="L54" s="116" t="s">
        <v>217</v>
      </c>
      <c r="M54" s="116" t="s">
        <v>431</v>
      </c>
      <c r="N54" s="80">
        <f>Auszahlungen!Q53</f>
        <v>859800</v>
      </c>
      <c r="P54" s="69"/>
      <c r="Q54" s="132">
        <v>46</v>
      </c>
      <c r="R54" t="s">
        <v>50</v>
      </c>
      <c r="S54" s="130" t="str">
        <f t="shared" si="2"/>
        <v>G46</v>
      </c>
      <c r="T54" s="116" t="s">
        <v>217</v>
      </c>
      <c r="U54" s="116" t="s">
        <v>431</v>
      </c>
      <c r="V54" s="80">
        <f>Auszahlungen!Z53</f>
        <v>859800</v>
      </c>
      <c r="X54" s="69"/>
      <c r="Y54" s="132">
        <v>46</v>
      </c>
      <c r="Z54" t="s">
        <v>50</v>
      </c>
      <c r="AA54" s="130" t="str">
        <f t="shared" si="3"/>
        <v>G46</v>
      </c>
      <c r="AB54" s="116" t="s">
        <v>217</v>
      </c>
      <c r="AC54" s="116" t="s">
        <v>431</v>
      </c>
      <c r="AD54" s="80">
        <f>Auszahlungen!AI53</f>
        <v>862400</v>
      </c>
    </row>
    <row r="55" spans="1:30" x14ac:dyDescent="0.2">
      <c r="A55" s="132">
        <v>48</v>
      </c>
      <c r="B55" t="s">
        <v>51</v>
      </c>
      <c r="C55" s="130" t="str">
        <f t="shared" si="0"/>
        <v>G48</v>
      </c>
      <c r="D55" s="116" t="s">
        <v>215</v>
      </c>
      <c r="E55" s="116" t="s">
        <v>432</v>
      </c>
      <c r="F55" s="80">
        <f>Auszahlungen!H54</f>
        <v>23200</v>
      </c>
      <c r="G55" s="3"/>
      <c r="H55" s="69"/>
      <c r="I55" s="132">
        <v>48</v>
      </c>
      <c r="J55" t="s">
        <v>51</v>
      </c>
      <c r="K55" s="130" t="str">
        <f t="shared" si="1"/>
        <v>G48</v>
      </c>
      <c r="L55" s="116" t="s">
        <v>215</v>
      </c>
      <c r="M55" s="116" t="s">
        <v>432</v>
      </c>
      <c r="N55" s="80">
        <f>Auszahlungen!Q54</f>
        <v>23200</v>
      </c>
      <c r="P55" s="69"/>
      <c r="Q55" s="132">
        <v>48</v>
      </c>
      <c r="R55" t="s">
        <v>51</v>
      </c>
      <c r="S55" s="130" t="str">
        <f t="shared" si="2"/>
        <v>G48</v>
      </c>
      <c r="T55" s="116" t="s">
        <v>215</v>
      </c>
      <c r="U55" s="116" t="s">
        <v>432</v>
      </c>
      <c r="V55" s="80">
        <f>Auszahlungen!Z54</f>
        <v>23200</v>
      </c>
      <c r="X55" s="69"/>
      <c r="Y55" s="132">
        <v>48</v>
      </c>
      <c r="Z55" t="s">
        <v>51</v>
      </c>
      <c r="AA55" s="130" t="str">
        <f t="shared" si="3"/>
        <v>G48</v>
      </c>
      <c r="AB55" s="116" t="s">
        <v>215</v>
      </c>
      <c r="AC55" s="116" t="s">
        <v>432</v>
      </c>
      <c r="AD55" s="80">
        <f>Auszahlungen!AI54</f>
        <v>23200</v>
      </c>
    </row>
    <row r="56" spans="1:30" x14ac:dyDescent="0.2">
      <c r="A56" s="132">
        <v>50</v>
      </c>
      <c r="B56" t="s">
        <v>52</v>
      </c>
      <c r="C56" s="130" t="str">
        <f t="shared" si="0"/>
        <v>G50</v>
      </c>
      <c r="D56" s="42" t="s">
        <v>215</v>
      </c>
      <c r="E56" s="42" t="s">
        <v>433</v>
      </c>
      <c r="F56" s="80">
        <f>Auszahlungen!H55</f>
        <v>673200</v>
      </c>
      <c r="G56" s="3"/>
      <c r="H56" s="69"/>
      <c r="I56" s="132">
        <v>50</v>
      </c>
      <c r="J56" t="s">
        <v>52</v>
      </c>
      <c r="K56" s="130" t="str">
        <f t="shared" si="1"/>
        <v>G50</v>
      </c>
      <c r="L56" s="42" t="s">
        <v>215</v>
      </c>
      <c r="M56" s="42" t="s">
        <v>433</v>
      </c>
      <c r="N56" s="80">
        <f>Auszahlungen!Q55</f>
        <v>673200</v>
      </c>
      <c r="P56" s="69"/>
      <c r="Q56" s="132">
        <v>50</v>
      </c>
      <c r="R56" t="s">
        <v>52</v>
      </c>
      <c r="S56" s="130" t="str">
        <f t="shared" si="2"/>
        <v>G50</v>
      </c>
      <c r="T56" s="42" t="s">
        <v>215</v>
      </c>
      <c r="U56" s="42" t="s">
        <v>433</v>
      </c>
      <c r="V56" s="80">
        <f>Auszahlungen!Z55</f>
        <v>673200</v>
      </c>
      <c r="X56" s="69"/>
      <c r="Y56" s="132">
        <v>50</v>
      </c>
      <c r="Z56" t="s">
        <v>52</v>
      </c>
      <c r="AA56" s="130" t="str">
        <f t="shared" si="3"/>
        <v>G50</v>
      </c>
      <c r="AB56" s="42" t="s">
        <v>215</v>
      </c>
      <c r="AC56" s="42" t="s">
        <v>433</v>
      </c>
      <c r="AD56" s="80">
        <f>Auszahlungen!AI55</f>
        <v>673300</v>
      </c>
    </row>
    <row r="57" spans="1:30" x14ac:dyDescent="0.2">
      <c r="A57" s="132">
        <v>51</v>
      </c>
      <c r="B57" t="s">
        <v>53</v>
      </c>
      <c r="C57" s="130" t="str">
        <f t="shared" si="0"/>
        <v>G51</v>
      </c>
      <c r="D57" s="116" t="s">
        <v>215</v>
      </c>
      <c r="E57" s="116" t="s">
        <v>434</v>
      </c>
      <c r="F57" s="80">
        <f>Auszahlungen!H56</f>
        <v>5300</v>
      </c>
      <c r="G57" s="3"/>
      <c r="H57" s="69"/>
      <c r="I57" s="132">
        <v>51</v>
      </c>
      <c r="J57" t="s">
        <v>53</v>
      </c>
      <c r="K57" s="130" t="str">
        <f t="shared" si="1"/>
        <v>G51</v>
      </c>
      <c r="L57" s="116" t="s">
        <v>215</v>
      </c>
      <c r="M57" s="116" t="s">
        <v>434</v>
      </c>
      <c r="N57" s="80">
        <f>Auszahlungen!Q56</f>
        <v>5300</v>
      </c>
      <c r="P57" s="69"/>
      <c r="Q57" s="132">
        <v>51</v>
      </c>
      <c r="R57" t="s">
        <v>53</v>
      </c>
      <c r="S57" s="130" t="str">
        <f t="shared" si="2"/>
        <v>G51</v>
      </c>
      <c r="T57" s="116" t="s">
        <v>215</v>
      </c>
      <c r="U57" s="116" t="s">
        <v>434</v>
      </c>
      <c r="V57" s="80">
        <f>Auszahlungen!Z56</f>
        <v>5300</v>
      </c>
      <c r="X57" s="69"/>
      <c r="Y57" s="132">
        <v>51</v>
      </c>
      <c r="Z57" t="s">
        <v>53</v>
      </c>
      <c r="AA57" s="130" t="str">
        <f t="shared" si="3"/>
        <v>G51</v>
      </c>
      <c r="AB57" s="116" t="s">
        <v>215</v>
      </c>
      <c r="AC57" s="116" t="s">
        <v>434</v>
      </c>
      <c r="AD57" s="80">
        <f>Auszahlungen!AI56</f>
        <v>7100</v>
      </c>
    </row>
    <row r="58" spans="1:30" x14ac:dyDescent="0.2">
      <c r="A58" s="132">
        <v>52</v>
      </c>
      <c r="B58" t="s">
        <v>54</v>
      </c>
      <c r="C58" s="130" t="str">
        <f t="shared" si="0"/>
        <v>G52</v>
      </c>
      <c r="D58" s="116" t="s">
        <v>215</v>
      </c>
      <c r="E58" s="116" t="s">
        <v>435</v>
      </c>
      <c r="F58" s="80">
        <f>Auszahlungen!H57</f>
        <v>179300</v>
      </c>
      <c r="G58" s="3"/>
      <c r="H58" s="69"/>
      <c r="I58" s="132">
        <v>52</v>
      </c>
      <c r="J58" t="s">
        <v>54</v>
      </c>
      <c r="K58" s="130" t="str">
        <f t="shared" si="1"/>
        <v>G52</v>
      </c>
      <c r="L58" s="116" t="s">
        <v>215</v>
      </c>
      <c r="M58" s="116" t="s">
        <v>435</v>
      </c>
      <c r="N58" s="80">
        <f>Auszahlungen!Q57</f>
        <v>179300</v>
      </c>
      <c r="P58" s="69"/>
      <c r="Q58" s="132">
        <v>52</v>
      </c>
      <c r="R58" t="s">
        <v>54</v>
      </c>
      <c r="S58" s="130" t="str">
        <f t="shared" si="2"/>
        <v>G52</v>
      </c>
      <c r="T58" s="116" t="s">
        <v>215</v>
      </c>
      <c r="U58" s="116" t="s">
        <v>435</v>
      </c>
      <c r="V58" s="80">
        <f>Auszahlungen!Z57</f>
        <v>179300</v>
      </c>
      <c r="X58" s="69"/>
      <c r="Y58" s="132">
        <v>52</v>
      </c>
      <c r="Z58" t="s">
        <v>54</v>
      </c>
      <c r="AA58" s="130" t="str">
        <f t="shared" si="3"/>
        <v>G52</v>
      </c>
      <c r="AB58" s="116" t="s">
        <v>215</v>
      </c>
      <c r="AC58" s="116" t="s">
        <v>435</v>
      </c>
      <c r="AD58" s="80">
        <f>Auszahlungen!AI57</f>
        <v>193800</v>
      </c>
    </row>
    <row r="59" spans="1:30" x14ac:dyDescent="0.2">
      <c r="A59" s="132">
        <v>54</v>
      </c>
      <c r="B59" t="s">
        <v>55</v>
      </c>
      <c r="C59" s="130" t="str">
        <f t="shared" si="0"/>
        <v>G54</v>
      </c>
      <c r="D59" s="116" t="s">
        <v>215</v>
      </c>
      <c r="E59" s="116" t="s">
        <v>436</v>
      </c>
      <c r="F59" s="80">
        <f>Auszahlungen!H58</f>
        <v>1014100</v>
      </c>
      <c r="G59" s="3"/>
      <c r="H59" s="69"/>
      <c r="I59" s="132">
        <v>54</v>
      </c>
      <c r="J59" t="s">
        <v>55</v>
      </c>
      <c r="K59" s="130" t="str">
        <f t="shared" si="1"/>
        <v>G54</v>
      </c>
      <c r="L59" s="116" t="s">
        <v>215</v>
      </c>
      <c r="M59" s="116" t="s">
        <v>436</v>
      </c>
      <c r="N59" s="80">
        <f>Auszahlungen!Q58</f>
        <v>1014100</v>
      </c>
      <c r="P59" s="69"/>
      <c r="Q59" s="132">
        <v>54</v>
      </c>
      <c r="R59" t="s">
        <v>55</v>
      </c>
      <c r="S59" s="130" t="str">
        <f t="shared" si="2"/>
        <v>G54</v>
      </c>
      <c r="T59" s="116" t="s">
        <v>215</v>
      </c>
      <c r="U59" s="116" t="s">
        <v>436</v>
      </c>
      <c r="V59" s="80">
        <f>Auszahlungen!Z58</f>
        <v>1014100</v>
      </c>
      <c r="X59" s="69"/>
      <c r="Y59" s="132">
        <v>54</v>
      </c>
      <c r="Z59" t="s">
        <v>55</v>
      </c>
      <c r="AA59" s="130" t="str">
        <f t="shared" si="3"/>
        <v>G54</v>
      </c>
      <c r="AB59" s="116" t="s">
        <v>215</v>
      </c>
      <c r="AC59" s="116" t="s">
        <v>436</v>
      </c>
      <c r="AD59" s="80">
        <f>Auszahlungen!AI58</f>
        <v>1014100</v>
      </c>
    </row>
    <row r="60" spans="1:30" x14ac:dyDescent="0.2">
      <c r="A60" s="132">
        <v>57</v>
      </c>
      <c r="B60" t="s">
        <v>56</v>
      </c>
      <c r="C60" s="130" t="str">
        <f t="shared" si="0"/>
        <v>G57</v>
      </c>
      <c r="D60" s="116" t="s">
        <v>217</v>
      </c>
      <c r="E60" s="116" t="s">
        <v>437</v>
      </c>
      <c r="F60" s="80">
        <f>Auszahlungen!H59</f>
        <v>663300</v>
      </c>
      <c r="G60" s="3"/>
      <c r="H60" s="69"/>
      <c r="I60" s="132">
        <v>57</v>
      </c>
      <c r="J60" t="s">
        <v>56</v>
      </c>
      <c r="K60" s="130" t="str">
        <f t="shared" si="1"/>
        <v>G57</v>
      </c>
      <c r="L60" s="116" t="s">
        <v>217</v>
      </c>
      <c r="M60" s="116" t="s">
        <v>437</v>
      </c>
      <c r="N60" s="80">
        <f>Auszahlungen!Q59</f>
        <v>663300</v>
      </c>
      <c r="P60" s="69"/>
      <c r="Q60" s="132">
        <v>57</v>
      </c>
      <c r="R60" t="s">
        <v>56</v>
      </c>
      <c r="S60" s="130" t="str">
        <f t="shared" si="2"/>
        <v>G57</v>
      </c>
      <c r="T60" s="116" t="s">
        <v>217</v>
      </c>
      <c r="U60" s="116" t="s">
        <v>437</v>
      </c>
      <c r="V60" s="80">
        <f>Auszahlungen!Z59</f>
        <v>663300</v>
      </c>
      <c r="X60" s="69"/>
      <c r="Y60" s="132">
        <v>57</v>
      </c>
      <c r="Z60" t="s">
        <v>56</v>
      </c>
      <c r="AA60" s="130" t="str">
        <f t="shared" si="3"/>
        <v>G57</v>
      </c>
      <c r="AB60" s="116" t="s">
        <v>217</v>
      </c>
      <c r="AC60" s="116" t="s">
        <v>437</v>
      </c>
      <c r="AD60" s="80">
        <f>Auszahlungen!AI59</f>
        <v>663600</v>
      </c>
    </row>
    <row r="61" spans="1:30" x14ac:dyDescent="0.2">
      <c r="A61" s="132">
        <v>60</v>
      </c>
      <c r="B61" t="s">
        <v>57</v>
      </c>
      <c r="C61" s="130" t="str">
        <f t="shared" si="0"/>
        <v>G60</v>
      </c>
      <c r="D61" s="116" t="s">
        <v>216</v>
      </c>
      <c r="E61" s="116" t="s">
        <v>438</v>
      </c>
      <c r="F61" s="80">
        <f>Auszahlungen!H60</f>
        <v>1386600</v>
      </c>
      <c r="G61" s="3"/>
      <c r="H61" s="69"/>
      <c r="I61" s="132">
        <v>60</v>
      </c>
      <c r="J61" t="s">
        <v>57</v>
      </c>
      <c r="K61" s="130" t="str">
        <f t="shared" si="1"/>
        <v>G60</v>
      </c>
      <c r="L61" s="116" t="s">
        <v>216</v>
      </c>
      <c r="M61" s="116" t="s">
        <v>438</v>
      </c>
      <c r="N61" s="80">
        <f>Auszahlungen!Q60</f>
        <v>1386600</v>
      </c>
      <c r="P61" s="69"/>
      <c r="Q61" s="132">
        <v>60</v>
      </c>
      <c r="R61" t="s">
        <v>57</v>
      </c>
      <c r="S61" s="130" t="str">
        <f t="shared" si="2"/>
        <v>G60</v>
      </c>
      <c r="T61" s="116" t="s">
        <v>216</v>
      </c>
      <c r="U61" s="116" t="s">
        <v>438</v>
      </c>
      <c r="V61" s="80">
        <f>Auszahlungen!Z60</f>
        <v>1386600</v>
      </c>
      <c r="X61" s="69"/>
      <c r="Y61" s="132">
        <v>60</v>
      </c>
      <c r="Z61" t="s">
        <v>57</v>
      </c>
      <c r="AA61" s="130" t="str">
        <f t="shared" si="3"/>
        <v>G60</v>
      </c>
      <c r="AB61" s="116" t="s">
        <v>216</v>
      </c>
      <c r="AC61" s="116" t="s">
        <v>438</v>
      </c>
      <c r="AD61" s="80">
        <f>Auszahlungen!AI60</f>
        <v>1386800</v>
      </c>
    </row>
    <row r="62" spans="1:30" x14ac:dyDescent="0.2">
      <c r="A62" s="132">
        <v>62</v>
      </c>
      <c r="B62" t="s">
        <v>58</v>
      </c>
      <c r="C62" s="130" t="str">
        <f t="shared" si="0"/>
        <v>G62</v>
      </c>
      <c r="D62" s="42" t="s">
        <v>215</v>
      </c>
      <c r="E62" s="42" t="s">
        <v>439</v>
      </c>
      <c r="F62" s="80">
        <f>Auszahlungen!H61</f>
        <v>1401200</v>
      </c>
      <c r="G62" s="3"/>
      <c r="H62" s="69"/>
      <c r="I62" s="132">
        <v>62</v>
      </c>
      <c r="J62" t="s">
        <v>58</v>
      </c>
      <c r="K62" s="130" t="str">
        <f t="shared" si="1"/>
        <v>G62</v>
      </c>
      <c r="L62" s="42" t="s">
        <v>215</v>
      </c>
      <c r="M62" s="42" t="s">
        <v>439</v>
      </c>
      <c r="N62" s="80">
        <f>Auszahlungen!Q61</f>
        <v>1401200</v>
      </c>
      <c r="P62" s="69"/>
      <c r="Q62" s="132">
        <v>62</v>
      </c>
      <c r="R62" t="s">
        <v>58</v>
      </c>
      <c r="S62" s="130" t="str">
        <f t="shared" si="2"/>
        <v>G62</v>
      </c>
      <c r="T62" s="42" t="s">
        <v>215</v>
      </c>
      <c r="U62" s="42" t="s">
        <v>439</v>
      </c>
      <c r="V62" s="80">
        <f>Auszahlungen!Z61</f>
        <v>1401200</v>
      </c>
      <c r="X62" s="69"/>
      <c r="Y62" s="132">
        <v>62</v>
      </c>
      <c r="Z62" t="s">
        <v>58</v>
      </c>
      <c r="AA62" s="130" t="str">
        <f t="shared" si="3"/>
        <v>G62</v>
      </c>
      <c r="AB62" s="42" t="s">
        <v>215</v>
      </c>
      <c r="AC62" s="42" t="s">
        <v>439</v>
      </c>
      <c r="AD62" s="80">
        <f>Auszahlungen!AI61</f>
        <v>1389700</v>
      </c>
    </row>
    <row r="63" spans="1:30" x14ac:dyDescent="0.2">
      <c r="A63" s="132">
        <v>63</v>
      </c>
      <c r="B63" t="s">
        <v>59</v>
      </c>
      <c r="C63" s="130" t="str">
        <f t="shared" si="0"/>
        <v>G63</v>
      </c>
      <c r="D63" s="42" t="s">
        <v>215</v>
      </c>
      <c r="E63" s="42" t="s">
        <v>440</v>
      </c>
      <c r="F63" s="80">
        <f>Auszahlungen!H62</f>
        <v>2082100</v>
      </c>
      <c r="G63" s="3"/>
      <c r="H63" s="69"/>
      <c r="I63" s="132">
        <v>63</v>
      </c>
      <c r="J63" t="s">
        <v>59</v>
      </c>
      <c r="K63" s="130" t="str">
        <f t="shared" si="1"/>
        <v>G63</v>
      </c>
      <c r="L63" s="42" t="s">
        <v>215</v>
      </c>
      <c r="M63" s="42" t="s">
        <v>440</v>
      </c>
      <c r="N63" s="80">
        <f>Auszahlungen!Q62</f>
        <v>2082100</v>
      </c>
      <c r="P63" s="69"/>
      <c r="Q63" s="132">
        <v>63</v>
      </c>
      <c r="R63" t="s">
        <v>59</v>
      </c>
      <c r="S63" s="130" t="str">
        <f t="shared" si="2"/>
        <v>G63</v>
      </c>
      <c r="T63" s="42" t="s">
        <v>215</v>
      </c>
      <c r="U63" s="42" t="s">
        <v>440</v>
      </c>
      <c r="V63" s="80">
        <f>Auszahlungen!Z62</f>
        <v>2082100</v>
      </c>
      <c r="X63" s="69"/>
      <c r="Y63" s="132">
        <v>63</v>
      </c>
      <c r="Z63" t="s">
        <v>59</v>
      </c>
      <c r="AA63" s="130" t="str">
        <f t="shared" si="3"/>
        <v>G63</v>
      </c>
      <c r="AB63" s="42" t="s">
        <v>215</v>
      </c>
      <c r="AC63" s="42" t="s">
        <v>440</v>
      </c>
      <c r="AD63" s="80">
        <f>Auszahlungen!AI62</f>
        <v>2083500</v>
      </c>
    </row>
    <row r="64" spans="1:30" x14ac:dyDescent="0.2">
      <c r="A64" s="132">
        <v>64</v>
      </c>
      <c r="B64" t="s">
        <v>60</v>
      </c>
      <c r="C64" s="130" t="str">
        <f t="shared" si="0"/>
        <v>G64</v>
      </c>
      <c r="D64" s="116" t="s">
        <v>215</v>
      </c>
      <c r="E64" s="116" t="s">
        <v>441</v>
      </c>
      <c r="F64" s="80">
        <f>Auszahlungen!H63</f>
        <v>185500</v>
      </c>
      <c r="G64" s="3"/>
      <c r="H64" s="69"/>
      <c r="I64" s="132">
        <v>64</v>
      </c>
      <c r="J64" t="s">
        <v>60</v>
      </c>
      <c r="K64" s="130" t="str">
        <f t="shared" si="1"/>
        <v>G64</v>
      </c>
      <c r="L64" s="116" t="s">
        <v>215</v>
      </c>
      <c r="M64" s="116" t="s">
        <v>441</v>
      </c>
      <c r="N64" s="80">
        <f>Auszahlungen!Q63</f>
        <v>185500</v>
      </c>
      <c r="P64" s="69"/>
      <c r="Q64" s="132">
        <v>64</v>
      </c>
      <c r="R64" t="s">
        <v>60</v>
      </c>
      <c r="S64" s="130" t="str">
        <f t="shared" si="2"/>
        <v>G64</v>
      </c>
      <c r="T64" s="116" t="s">
        <v>215</v>
      </c>
      <c r="U64" s="116" t="s">
        <v>441</v>
      </c>
      <c r="V64" s="80">
        <f>Auszahlungen!Z63</f>
        <v>185500</v>
      </c>
      <c r="X64" s="69"/>
      <c r="Y64" s="132">
        <v>64</v>
      </c>
      <c r="Z64" t="s">
        <v>60</v>
      </c>
      <c r="AA64" s="130" t="str">
        <f t="shared" si="3"/>
        <v>G64</v>
      </c>
      <c r="AB64" s="116" t="s">
        <v>215</v>
      </c>
      <c r="AC64" s="116" t="s">
        <v>441</v>
      </c>
      <c r="AD64" s="80">
        <f>Auszahlungen!AI63</f>
        <v>185600</v>
      </c>
    </row>
    <row r="65" spans="1:30" x14ac:dyDescent="0.2">
      <c r="A65" s="132">
        <v>66</v>
      </c>
      <c r="B65" t="s">
        <v>356</v>
      </c>
      <c r="C65" s="130" t="str">
        <f t="shared" ref="C65" si="4">IF(F65=0,"","G"&amp;A65)</f>
        <v>G66</v>
      </c>
      <c r="D65" s="42" t="s">
        <v>217</v>
      </c>
      <c r="E65" s="42" t="s">
        <v>442</v>
      </c>
      <c r="F65" s="80">
        <f>Auszahlungen!H64</f>
        <v>3527000</v>
      </c>
      <c r="G65" s="3"/>
      <c r="H65" s="69"/>
      <c r="I65" s="132">
        <v>66</v>
      </c>
      <c r="J65" t="s">
        <v>356</v>
      </c>
      <c r="K65" s="130" t="str">
        <f t="shared" ref="K65" si="5">IF(N65=0,"","G"&amp;I65)</f>
        <v>G66</v>
      </c>
      <c r="L65" s="116" t="s">
        <v>217</v>
      </c>
      <c r="M65" s="116" t="s">
        <v>442</v>
      </c>
      <c r="N65" s="80">
        <f>Auszahlungen!Q64</f>
        <v>3527000</v>
      </c>
      <c r="P65" s="69"/>
      <c r="Q65" s="132">
        <v>66</v>
      </c>
      <c r="R65" t="s">
        <v>356</v>
      </c>
      <c r="S65" s="130" t="str">
        <f t="shared" ref="S65" si="6">IF(V65=0,"","G"&amp;Q65)</f>
        <v>G66</v>
      </c>
      <c r="T65" s="42" t="s">
        <v>217</v>
      </c>
      <c r="U65" s="42" t="s">
        <v>442</v>
      </c>
      <c r="V65" s="80">
        <f>Auszahlungen!Z64</f>
        <v>3527000</v>
      </c>
      <c r="X65" s="69"/>
      <c r="Y65" s="132">
        <v>66</v>
      </c>
      <c r="Z65" t="s">
        <v>356</v>
      </c>
      <c r="AA65" s="130" t="str">
        <f t="shared" ref="AA65" si="7">IF(AD65=0,"","G"&amp;Y65)</f>
        <v>G66</v>
      </c>
      <c r="AB65" s="116" t="s">
        <v>217</v>
      </c>
      <c r="AC65" s="116" t="s">
        <v>442</v>
      </c>
      <c r="AD65" s="80">
        <f>Auszahlungen!AI64</f>
        <v>3529800</v>
      </c>
    </row>
    <row r="66" spans="1:30" x14ac:dyDescent="0.2">
      <c r="A66" s="132">
        <v>70</v>
      </c>
      <c r="B66" t="s">
        <v>61</v>
      </c>
      <c r="C66" s="130" t="str">
        <f t="shared" si="0"/>
        <v>G70</v>
      </c>
      <c r="D66" s="116" t="s">
        <v>217</v>
      </c>
      <c r="E66" s="116" t="s">
        <v>443</v>
      </c>
      <c r="F66" s="80">
        <f>Auszahlungen!H65</f>
        <v>1345900</v>
      </c>
      <c r="G66" s="3"/>
      <c r="H66" s="69"/>
      <c r="I66" s="132">
        <v>70</v>
      </c>
      <c r="J66" t="s">
        <v>61</v>
      </c>
      <c r="K66" s="130" t="str">
        <f t="shared" si="1"/>
        <v>G70</v>
      </c>
      <c r="L66" s="116" t="s">
        <v>217</v>
      </c>
      <c r="M66" s="116" t="s">
        <v>443</v>
      </c>
      <c r="N66" s="80">
        <f>Auszahlungen!Q65</f>
        <v>1345900</v>
      </c>
      <c r="P66" s="69"/>
      <c r="Q66" s="132">
        <v>70</v>
      </c>
      <c r="R66" t="s">
        <v>61</v>
      </c>
      <c r="S66" s="130" t="str">
        <f t="shared" si="2"/>
        <v>G70</v>
      </c>
      <c r="T66" s="116" t="s">
        <v>217</v>
      </c>
      <c r="U66" s="116" t="s">
        <v>443</v>
      </c>
      <c r="V66" s="80">
        <f>Auszahlungen!Z65</f>
        <v>1345900</v>
      </c>
      <c r="X66" s="69"/>
      <c r="Y66" s="132">
        <v>70</v>
      </c>
      <c r="Z66" t="s">
        <v>61</v>
      </c>
      <c r="AA66" s="130" t="str">
        <f t="shared" si="3"/>
        <v>G70</v>
      </c>
      <c r="AB66" s="116" t="s">
        <v>217</v>
      </c>
      <c r="AC66" s="116" t="s">
        <v>443</v>
      </c>
      <c r="AD66" s="80">
        <f>Auszahlungen!AI65</f>
        <v>1346600</v>
      </c>
    </row>
    <row r="67" spans="1:30" x14ac:dyDescent="0.2">
      <c r="A67" s="132">
        <v>71</v>
      </c>
      <c r="B67" t="s">
        <v>62</v>
      </c>
      <c r="C67" s="130" t="str">
        <f t="shared" si="0"/>
        <v>G71</v>
      </c>
      <c r="D67" s="42" t="s">
        <v>217</v>
      </c>
      <c r="E67" s="42" t="s">
        <v>444</v>
      </c>
      <c r="F67" s="80">
        <f>Auszahlungen!H66</f>
        <v>679600</v>
      </c>
      <c r="G67" s="3"/>
      <c r="H67" s="69"/>
      <c r="I67" s="132">
        <v>71</v>
      </c>
      <c r="J67" t="s">
        <v>62</v>
      </c>
      <c r="K67" s="130" t="str">
        <f t="shared" si="1"/>
        <v>G71</v>
      </c>
      <c r="L67" s="42" t="s">
        <v>217</v>
      </c>
      <c r="M67" s="42" t="s">
        <v>444</v>
      </c>
      <c r="N67" s="80">
        <f>Auszahlungen!Q66</f>
        <v>679600</v>
      </c>
      <c r="P67" s="69"/>
      <c r="Q67" s="132">
        <v>71</v>
      </c>
      <c r="R67" t="s">
        <v>62</v>
      </c>
      <c r="S67" s="130" t="str">
        <f t="shared" si="2"/>
        <v>G71</v>
      </c>
      <c r="T67" s="42" t="s">
        <v>217</v>
      </c>
      <c r="U67" s="42" t="s">
        <v>444</v>
      </c>
      <c r="V67" s="80">
        <f>Auszahlungen!Z66</f>
        <v>679600</v>
      </c>
      <c r="X67" s="69"/>
      <c r="Y67" s="132">
        <v>71</v>
      </c>
      <c r="Z67" t="s">
        <v>62</v>
      </c>
      <c r="AA67" s="130" t="str">
        <f t="shared" si="3"/>
        <v>G71</v>
      </c>
      <c r="AB67" s="42" t="s">
        <v>217</v>
      </c>
      <c r="AC67" s="42" t="s">
        <v>444</v>
      </c>
      <c r="AD67" s="80">
        <f>Auszahlungen!AI66</f>
        <v>679900</v>
      </c>
    </row>
    <row r="68" spans="1:30" x14ac:dyDescent="0.2">
      <c r="A68" s="132">
        <v>72</v>
      </c>
      <c r="B68" t="s">
        <v>63</v>
      </c>
      <c r="C68" s="130" t="str">
        <f t="shared" si="0"/>
        <v>G72</v>
      </c>
      <c r="D68" s="42" t="s">
        <v>215</v>
      </c>
      <c r="E68" s="42" t="s">
        <v>445</v>
      </c>
      <c r="F68" s="80">
        <f>Auszahlungen!H67</f>
        <v>1532600</v>
      </c>
      <c r="G68" s="3"/>
      <c r="H68" s="69"/>
      <c r="I68" s="132">
        <v>72</v>
      </c>
      <c r="J68" t="s">
        <v>63</v>
      </c>
      <c r="K68" s="130" t="str">
        <f t="shared" si="1"/>
        <v>G72</v>
      </c>
      <c r="L68" s="42" t="s">
        <v>215</v>
      </c>
      <c r="M68" s="42" t="s">
        <v>445</v>
      </c>
      <c r="N68" s="80">
        <f>Auszahlungen!Q67</f>
        <v>1532600</v>
      </c>
      <c r="P68" s="69"/>
      <c r="Q68" s="132">
        <v>72</v>
      </c>
      <c r="R68" t="s">
        <v>63</v>
      </c>
      <c r="S68" s="130" t="str">
        <f t="shared" si="2"/>
        <v>G72</v>
      </c>
      <c r="T68" s="42" t="s">
        <v>215</v>
      </c>
      <c r="U68" s="42" t="s">
        <v>445</v>
      </c>
      <c r="V68" s="80">
        <f>Auszahlungen!Z67</f>
        <v>1532600</v>
      </c>
      <c r="X68" s="69"/>
      <c r="Y68" s="132">
        <v>72</v>
      </c>
      <c r="Z68" t="s">
        <v>63</v>
      </c>
      <c r="AA68" s="130" t="str">
        <f t="shared" si="3"/>
        <v>G72</v>
      </c>
      <c r="AB68" s="42" t="s">
        <v>215</v>
      </c>
      <c r="AC68" s="42" t="s">
        <v>445</v>
      </c>
      <c r="AD68" s="80">
        <f>Auszahlungen!AI67</f>
        <v>1533000</v>
      </c>
    </row>
    <row r="69" spans="1:30" x14ac:dyDescent="0.2">
      <c r="A69" s="132">
        <v>73</v>
      </c>
      <c r="B69" t="s">
        <v>64</v>
      </c>
      <c r="C69" s="130" t="str">
        <f t="shared" si="0"/>
        <v>G73</v>
      </c>
      <c r="D69" s="116" t="s">
        <v>217</v>
      </c>
      <c r="E69" s="116" t="s">
        <v>446</v>
      </c>
      <c r="F69" s="80">
        <f>Auszahlungen!H68</f>
        <v>2562000</v>
      </c>
      <c r="G69" s="3"/>
      <c r="H69" s="69"/>
      <c r="I69" s="132">
        <v>73</v>
      </c>
      <c r="J69" t="s">
        <v>64</v>
      </c>
      <c r="K69" s="130" t="str">
        <f t="shared" si="1"/>
        <v>G73</v>
      </c>
      <c r="L69" s="116" t="s">
        <v>217</v>
      </c>
      <c r="M69" s="116" t="s">
        <v>446</v>
      </c>
      <c r="N69" s="80">
        <f>Auszahlungen!Q68</f>
        <v>2562000</v>
      </c>
      <c r="P69" s="69"/>
      <c r="Q69" s="132">
        <v>73</v>
      </c>
      <c r="R69" t="s">
        <v>64</v>
      </c>
      <c r="S69" s="130" t="str">
        <f t="shared" si="2"/>
        <v>G73</v>
      </c>
      <c r="T69" s="116" t="s">
        <v>217</v>
      </c>
      <c r="U69" s="116" t="s">
        <v>446</v>
      </c>
      <c r="V69" s="80">
        <f>Auszahlungen!Z68</f>
        <v>2562000</v>
      </c>
      <c r="X69" s="69"/>
      <c r="Y69" s="132">
        <v>73</v>
      </c>
      <c r="Z69" t="s">
        <v>64</v>
      </c>
      <c r="AA69" s="130" t="str">
        <f t="shared" si="3"/>
        <v>G73</v>
      </c>
      <c r="AB69" s="116" t="s">
        <v>217</v>
      </c>
      <c r="AC69" s="116" t="s">
        <v>446</v>
      </c>
      <c r="AD69" s="80">
        <f>Auszahlungen!AI68</f>
        <v>2566200</v>
      </c>
    </row>
    <row r="70" spans="1:30" x14ac:dyDescent="0.2">
      <c r="A70" s="132">
        <v>76</v>
      </c>
      <c r="B70" t="s">
        <v>65</v>
      </c>
      <c r="C70" s="130" t="str">
        <f t="shared" si="0"/>
        <v>G76</v>
      </c>
      <c r="D70" s="116" t="s">
        <v>215</v>
      </c>
      <c r="E70" s="116" t="s">
        <v>447</v>
      </c>
      <c r="F70" s="80">
        <f>Auszahlungen!H69</f>
        <v>487300</v>
      </c>
      <c r="G70" s="3"/>
      <c r="H70" s="69"/>
      <c r="I70" s="132">
        <v>76</v>
      </c>
      <c r="J70" t="s">
        <v>65</v>
      </c>
      <c r="K70" s="130" t="str">
        <f t="shared" si="1"/>
        <v>G76</v>
      </c>
      <c r="L70" s="116" t="s">
        <v>215</v>
      </c>
      <c r="M70" s="116" t="s">
        <v>447</v>
      </c>
      <c r="N70" s="80">
        <f>Auszahlungen!Q69</f>
        <v>487300</v>
      </c>
      <c r="P70" s="69"/>
      <c r="Q70" s="132">
        <v>76</v>
      </c>
      <c r="R70" t="s">
        <v>65</v>
      </c>
      <c r="S70" s="130" t="str">
        <f t="shared" si="2"/>
        <v>G76</v>
      </c>
      <c r="T70" s="116" t="s">
        <v>215</v>
      </c>
      <c r="U70" s="116" t="s">
        <v>447</v>
      </c>
      <c r="V70" s="80">
        <f>Auszahlungen!Z69</f>
        <v>487300</v>
      </c>
      <c r="X70" s="69"/>
      <c r="Y70" s="132">
        <v>76</v>
      </c>
      <c r="Z70" t="s">
        <v>65</v>
      </c>
      <c r="AA70" s="130" t="str">
        <f t="shared" si="3"/>
        <v>G76</v>
      </c>
      <c r="AB70" s="116" t="s">
        <v>215</v>
      </c>
      <c r="AC70" s="116" t="s">
        <v>447</v>
      </c>
      <c r="AD70" s="80">
        <f>Auszahlungen!AI69</f>
        <v>487400</v>
      </c>
    </row>
    <row r="71" spans="1:30" x14ac:dyDescent="0.2">
      <c r="A71" s="132">
        <v>77</v>
      </c>
      <c r="B71" t="s">
        <v>66</v>
      </c>
      <c r="C71" s="130" t="str">
        <f t="shared" si="0"/>
        <v>G77</v>
      </c>
      <c r="D71" s="116" t="s">
        <v>217</v>
      </c>
      <c r="E71" s="116" t="s">
        <v>448</v>
      </c>
      <c r="F71" s="80">
        <f>Auszahlungen!H70</f>
        <v>1054200</v>
      </c>
      <c r="G71" s="3"/>
      <c r="H71" s="69"/>
      <c r="I71" s="132">
        <v>77</v>
      </c>
      <c r="J71" t="s">
        <v>66</v>
      </c>
      <c r="K71" s="130" t="str">
        <f t="shared" si="1"/>
        <v>G77</v>
      </c>
      <c r="L71" s="116" t="s">
        <v>217</v>
      </c>
      <c r="M71" s="116" t="s">
        <v>448</v>
      </c>
      <c r="N71" s="80">
        <f>Auszahlungen!Q70</f>
        <v>1054200</v>
      </c>
      <c r="P71" s="69"/>
      <c r="Q71" s="132">
        <v>77</v>
      </c>
      <c r="R71" t="s">
        <v>66</v>
      </c>
      <c r="S71" s="130" t="str">
        <f t="shared" si="2"/>
        <v>G77</v>
      </c>
      <c r="T71" s="116" t="s">
        <v>217</v>
      </c>
      <c r="U71" s="116" t="s">
        <v>448</v>
      </c>
      <c r="V71" s="80">
        <f>Auszahlungen!Z70</f>
        <v>1054200</v>
      </c>
      <c r="X71" s="69"/>
      <c r="Y71" s="132">
        <v>77</v>
      </c>
      <c r="Z71" t="s">
        <v>66</v>
      </c>
      <c r="AA71" s="130" t="str">
        <f t="shared" si="3"/>
        <v>G77</v>
      </c>
      <c r="AB71" s="116" t="s">
        <v>217</v>
      </c>
      <c r="AC71" s="116" t="s">
        <v>448</v>
      </c>
      <c r="AD71" s="80">
        <f>Auszahlungen!AI70</f>
        <v>1054300</v>
      </c>
    </row>
    <row r="72" spans="1:30" x14ac:dyDescent="0.2">
      <c r="A72" s="132">
        <v>78</v>
      </c>
      <c r="B72" t="s">
        <v>67</v>
      </c>
      <c r="C72" s="130" t="str">
        <f t="shared" ref="C72:C83" si="8">IF(F72=0,"","G"&amp;A72)</f>
        <v>G78</v>
      </c>
      <c r="D72" s="42" t="s">
        <v>215</v>
      </c>
      <c r="E72" s="42" t="s">
        <v>449</v>
      </c>
      <c r="F72" s="80">
        <f>Auszahlungen!H71</f>
        <v>2275600</v>
      </c>
      <c r="G72" s="3"/>
      <c r="H72" s="69"/>
      <c r="I72" s="132">
        <v>78</v>
      </c>
      <c r="J72" t="s">
        <v>67</v>
      </c>
      <c r="K72" s="130" t="str">
        <f t="shared" ref="K72:K83" si="9">IF(N72=0,"","G"&amp;I72)</f>
        <v>G78</v>
      </c>
      <c r="L72" s="42" t="s">
        <v>215</v>
      </c>
      <c r="M72" s="42" t="s">
        <v>449</v>
      </c>
      <c r="N72" s="80">
        <f>Auszahlungen!Q71</f>
        <v>2275600</v>
      </c>
      <c r="P72" s="69"/>
      <c r="Q72" s="132">
        <v>78</v>
      </c>
      <c r="R72" t="s">
        <v>67</v>
      </c>
      <c r="S72" s="130" t="str">
        <f t="shared" ref="S72:S83" si="10">IF(V72=0,"","G"&amp;Q72)</f>
        <v>G78</v>
      </c>
      <c r="T72" s="42" t="s">
        <v>215</v>
      </c>
      <c r="U72" s="42" t="s">
        <v>449</v>
      </c>
      <c r="V72" s="80">
        <f>Auszahlungen!Z71</f>
        <v>2275600</v>
      </c>
      <c r="X72" s="69"/>
      <c r="Y72" s="132">
        <v>78</v>
      </c>
      <c r="Z72" t="s">
        <v>67</v>
      </c>
      <c r="AA72" s="130" t="str">
        <f t="shared" ref="AA72:AA83" si="11">IF(AD72=0,"","G"&amp;Y72)</f>
        <v>G78</v>
      </c>
      <c r="AB72" s="42" t="s">
        <v>215</v>
      </c>
      <c r="AC72" s="42" t="s">
        <v>449</v>
      </c>
      <c r="AD72" s="80">
        <f>Auszahlungen!AI71</f>
        <v>2275600</v>
      </c>
    </row>
    <row r="73" spans="1:30" x14ac:dyDescent="0.2">
      <c r="A73" s="132">
        <v>79</v>
      </c>
      <c r="B73" t="s">
        <v>68</v>
      </c>
      <c r="C73" s="130" t="str">
        <f t="shared" si="8"/>
        <v>G79</v>
      </c>
      <c r="D73" s="116" t="s">
        <v>215</v>
      </c>
      <c r="E73" s="116" t="s">
        <v>450</v>
      </c>
      <c r="F73" s="80">
        <f>Auszahlungen!H72</f>
        <v>2205500</v>
      </c>
      <c r="G73" s="3"/>
      <c r="H73" s="69"/>
      <c r="I73" s="132">
        <v>79</v>
      </c>
      <c r="J73" t="s">
        <v>68</v>
      </c>
      <c r="K73" s="130" t="str">
        <f t="shared" si="9"/>
        <v>G79</v>
      </c>
      <c r="L73" s="116" t="s">
        <v>215</v>
      </c>
      <c r="M73" s="116" t="s">
        <v>450</v>
      </c>
      <c r="N73" s="80">
        <f>Auszahlungen!Q72</f>
        <v>2205500</v>
      </c>
      <c r="P73" s="69"/>
      <c r="Q73" s="132">
        <v>79</v>
      </c>
      <c r="R73" t="s">
        <v>68</v>
      </c>
      <c r="S73" s="130" t="str">
        <f t="shared" si="10"/>
        <v>G79</v>
      </c>
      <c r="T73" s="116" t="s">
        <v>215</v>
      </c>
      <c r="U73" s="116" t="s">
        <v>450</v>
      </c>
      <c r="V73" s="80">
        <f>Auszahlungen!Z72</f>
        <v>2205500</v>
      </c>
      <c r="X73" s="69"/>
      <c r="Y73" s="132">
        <v>79</v>
      </c>
      <c r="Z73" t="s">
        <v>68</v>
      </c>
      <c r="AA73" s="130" t="str">
        <f t="shared" si="11"/>
        <v>G79</v>
      </c>
      <c r="AB73" s="116" t="s">
        <v>215</v>
      </c>
      <c r="AC73" s="116" t="s">
        <v>450</v>
      </c>
      <c r="AD73" s="80">
        <f>Auszahlungen!AI72</f>
        <v>2210900</v>
      </c>
    </row>
    <row r="74" spans="1:30" x14ac:dyDescent="0.2">
      <c r="A74" s="132">
        <v>80</v>
      </c>
      <c r="B74" t="s">
        <v>69</v>
      </c>
      <c r="C74" s="130" t="str">
        <f t="shared" si="8"/>
        <v>G80</v>
      </c>
      <c r="D74" s="116" t="s">
        <v>217</v>
      </c>
      <c r="E74" s="116" t="s">
        <v>451</v>
      </c>
      <c r="F74" s="80">
        <f>Auszahlungen!H73</f>
        <v>1401800</v>
      </c>
      <c r="G74" s="3"/>
      <c r="H74" s="69"/>
      <c r="I74" s="132">
        <v>80</v>
      </c>
      <c r="J74" t="s">
        <v>69</v>
      </c>
      <c r="K74" s="130" t="str">
        <f t="shared" si="9"/>
        <v>G80</v>
      </c>
      <c r="L74" s="116" t="s">
        <v>217</v>
      </c>
      <c r="M74" s="116" t="s">
        <v>451</v>
      </c>
      <c r="N74" s="80">
        <f>Auszahlungen!Q73</f>
        <v>1401800</v>
      </c>
      <c r="P74" s="69"/>
      <c r="Q74" s="132">
        <v>80</v>
      </c>
      <c r="R74" t="s">
        <v>69</v>
      </c>
      <c r="S74" s="130" t="str">
        <f t="shared" si="10"/>
        <v>G80</v>
      </c>
      <c r="T74" s="116" t="s">
        <v>217</v>
      </c>
      <c r="U74" s="116" t="s">
        <v>451</v>
      </c>
      <c r="V74" s="80">
        <f>Auszahlungen!Z73</f>
        <v>1401800</v>
      </c>
      <c r="X74" s="69"/>
      <c r="Y74" s="132">
        <v>80</v>
      </c>
      <c r="Z74" t="s">
        <v>69</v>
      </c>
      <c r="AA74" s="130" t="str">
        <f t="shared" si="11"/>
        <v>G80</v>
      </c>
      <c r="AB74" s="116" t="s">
        <v>217</v>
      </c>
      <c r="AC74" s="116" t="s">
        <v>451</v>
      </c>
      <c r="AD74" s="80">
        <f>Auszahlungen!AI73</f>
        <v>1402400</v>
      </c>
    </row>
    <row r="75" spans="1:30" x14ac:dyDescent="0.2">
      <c r="A75" s="132">
        <v>81</v>
      </c>
      <c r="B75" t="s">
        <v>70</v>
      </c>
      <c r="C75" s="130" t="str">
        <f t="shared" si="8"/>
        <v>G81</v>
      </c>
      <c r="D75" s="116" t="s">
        <v>215</v>
      </c>
      <c r="E75" s="116" t="s">
        <v>452</v>
      </c>
      <c r="F75" s="80">
        <f>Auszahlungen!H74</f>
        <v>832700</v>
      </c>
      <c r="G75" s="3"/>
      <c r="H75" s="69"/>
      <c r="I75" s="132">
        <v>81</v>
      </c>
      <c r="J75" t="s">
        <v>70</v>
      </c>
      <c r="K75" s="130" t="str">
        <f t="shared" si="9"/>
        <v>G81</v>
      </c>
      <c r="L75" s="116" t="s">
        <v>215</v>
      </c>
      <c r="M75" s="116" t="s">
        <v>452</v>
      </c>
      <c r="N75" s="80">
        <f>Auszahlungen!Q74</f>
        <v>832700</v>
      </c>
      <c r="P75" s="69"/>
      <c r="Q75" s="132">
        <v>81</v>
      </c>
      <c r="R75" t="s">
        <v>70</v>
      </c>
      <c r="S75" s="130" t="str">
        <f t="shared" si="10"/>
        <v>G81</v>
      </c>
      <c r="T75" s="116" t="s">
        <v>215</v>
      </c>
      <c r="U75" s="116" t="s">
        <v>452</v>
      </c>
      <c r="V75" s="80">
        <f>Auszahlungen!Z74</f>
        <v>832700</v>
      </c>
      <c r="X75" s="69"/>
      <c r="Y75" s="132">
        <v>81</v>
      </c>
      <c r="Z75" t="s">
        <v>70</v>
      </c>
      <c r="AA75" s="130" t="str">
        <f t="shared" si="11"/>
        <v>G81</v>
      </c>
      <c r="AB75" s="116" t="s">
        <v>215</v>
      </c>
      <c r="AC75" s="116" t="s">
        <v>452</v>
      </c>
      <c r="AD75" s="80">
        <f>Auszahlungen!AI74</f>
        <v>845400</v>
      </c>
    </row>
    <row r="76" spans="1:30" x14ac:dyDescent="0.2">
      <c r="A76" s="132">
        <v>83</v>
      </c>
      <c r="B76" t="s">
        <v>71</v>
      </c>
      <c r="C76" s="130" t="str">
        <f t="shared" si="8"/>
        <v/>
      </c>
      <c r="D76" s="42" t="s">
        <v>215</v>
      </c>
      <c r="E76" s="42" t="s">
        <v>453</v>
      </c>
      <c r="F76" s="80">
        <f>Auszahlungen!H75</f>
        <v>0</v>
      </c>
      <c r="G76" s="3"/>
      <c r="H76" s="69"/>
      <c r="I76" s="132">
        <v>83</v>
      </c>
      <c r="J76" t="s">
        <v>71</v>
      </c>
      <c r="K76" s="130" t="str">
        <f t="shared" si="9"/>
        <v/>
      </c>
      <c r="L76" s="42" t="s">
        <v>215</v>
      </c>
      <c r="M76" s="42" t="s">
        <v>453</v>
      </c>
      <c r="N76" s="80">
        <f>Auszahlungen!Q75</f>
        <v>0</v>
      </c>
      <c r="P76" s="69"/>
      <c r="Q76" s="132">
        <v>83</v>
      </c>
      <c r="R76" t="s">
        <v>71</v>
      </c>
      <c r="S76" s="130" t="str">
        <f t="shared" si="10"/>
        <v/>
      </c>
      <c r="T76" s="42" t="s">
        <v>215</v>
      </c>
      <c r="U76" s="42" t="s">
        <v>453</v>
      </c>
      <c r="V76" s="80">
        <f>Auszahlungen!Z75</f>
        <v>0</v>
      </c>
      <c r="X76" s="69"/>
      <c r="Y76" s="132">
        <v>83</v>
      </c>
      <c r="Z76" t="s">
        <v>71</v>
      </c>
      <c r="AA76" s="130" t="str">
        <f t="shared" si="11"/>
        <v/>
      </c>
      <c r="AB76" s="42" t="s">
        <v>215</v>
      </c>
      <c r="AC76" s="42" t="s">
        <v>453</v>
      </c>
      <c r="AD76" s="80">
        <f>Auszahlungen!AI75</f>
        <v>0</v>
      </c>
    </row>
    <row r="77" spans="1:30" x14ac:dyDescent="0.2">
      <c r="A77" s="132">
        <v>84</v>
      </c>
      <c r="B77" t="s">
        <v>72</v>
      </c>
      <c r="C77" s="130" t="str">
        <f t="shared" si="8"/>
        <v>G84</v>
      </c>
      <c r="D77" s="116" t="s">
        <v>214</v>
      </c>
      <c r="E77" s="116" t="s">
        <v>454</v>
      </c>
      <c r="F77" s="80">
        <f>Auszahlungen!H76</f>
        <v>176000</v>
      </c>
      <c r="G77" s="3"/>
      <c r="H77" s="69"/>
      <c r="I77" s="132">
        <v>84</v>
      </c>
      <c r="J77" t="s">
        <v>72</v>
      </c>
      <c r="K77" s="130" t="str">
        <f t="shared" si="9"/>
        <v>G84</v>
      </c>
      <c r="L77" s="116" t="s">
        <v>214</v>
      </c>
      <c r="M77" s="116" t="s">
        <v>454</v>
      </c>
      <c r="N77" s="80">
        <f>Auszahlungen!Q76</f>
        <v>176000</v>
      </c>
      <c r="P77" s="69"/>
      <c r="Q77" s="132">
        <v>84</v>
      </c>
      <c r="R77" t="s">
        <v>72</v>
      </c>
      <c r="S77" s="130" t="str">
        <f t="shared" si="10"/>
        <v>G84</v>
      </c>
      <c r="T77" s="116" t="s">
        <v>214</v>
      </c>
      <c r="U77" s="116" t="s">
        <v>454</v>
      </c>
      <c r="V77" s="80">
        <f>Auszahlungen!Z76</f>
        <v>176000</v>
      </c>
      <c r="X77" s="69"/>
      <c r="Y77" s="132">
        <v>84</v>
      </c>
      <c r="Z77" t="s">
        <v>72</v>
      </c>
      <c r="AA77" s="130" t="str">
        <f t="shared" si="11"/>
        <v>G84</v>
      </c>
      <c r="AB77" s="116" t="s">
        <v>214</v>
      </c>
      <c r="AC77" s="116" t="s">
        <v>454</v>
      </c>
      <c r="AD77" s="80">
        <f>Auszahlungen!AI76</f>
        <v>176100</v>
      </c>
    </row>
    <row r="78" spans="1:30" x14ac:dyDescent="0.2">
      <c r="A78" s="132">
        <v>85</v>
      </c>
      <c r="B78" t="s">
        <v>73</v>
      </c>
      <c r="C78" s="130" t="str">
        <f t="shared" si="8"/>
        <v>G85</v>
      </c>
      <c r="D78" s="42" t="s">
        <v>215</v>
      </c>
      <c r="E78" s="42" t="s">
        <v>455</v>
      </c>
      <c r="F78" s="80">
        <f>Auszahlungen!H77</f>
        <v>428700</v>
      </c>
      <c r="G78" s="3"/>
      <c r="H78" s="69"/>
      <c r="I78" s="132">
        <v>85</v>
      </c>
      <c r="J78" t="s">
        <v>73</v>
      </c>
      <c r="K78" s="130" t="str">
        <f t="shared" si="9"/>
        <v>G85</v>
      </c>
      <c r="L78" s="42" t="s">
        <v>215</v>
      </c>
      <c r="M78" s="42" t="s">
        <v>455</v>
      </c>
      <c r="N78" s="80">
        <f>Auszahlungen!Q77</f>
        <v>428700</v>
      </c>
      <c r="P78" s="69"/>
      <c r="Q78" s="132">
        <v>85</v>
      </c>
      <c r="R78" t="s">
        <v>73</v>
      </c>
      <c r="S78" s="130" t="str">
        <f t="shared" si="10"/>
        <v>G85</v>
      </c>
      <c r="T78" s="42" t="s">
        <v>215</v>
      </c>
      <c r="U78" s="42" t="s">
        <v>455</v>
      </c>
      <c r="V78" s="80">
        <f>Auszahlungen!Z77</f>
        <v>428700</v>
      </c>
      <c r="X78" s="69"/>
      <c r="Y78" s="132">
        <v>85</v>
      </c>
      <c r="Z78" t="s">
        <v>73</v>
      </c>
      <c r="AA78" s="130" t="str">
        <f t="shared" si="11"/>
        <v>G85</v>
      </c>
      <c r="AB78" s="42" t="s">
        <v>215</v>
      </c>
      <c r="AC78" s="42" t="s">
        <v>455</v>
      </c>
      <c r="AD78" s="80">
        <f>Auszahlungen!AI77</f>
        <v>428600</v>
      </c>
    </row>
    <row r="79" spans="1:30" x14ac:dyDescent="0.2">
      <c r="A79" s="132">
        <v>86</v>
      </c>
      <c r="B79" t="s">
        <v>74</v>
      </c>
      <c r="C79" s="130" t="str">
        <f t="shared" si="8"/>
        <v>G86</v>
      </c>
      <c r="D79" s="116" t="s">
        <v>217</v>
      </c>
      <c r="E79" s="116" t="s">
        <v>456</v>
      </c>
      <c r="F79" s="80">
        <f>Auszahlungen!H78</f>
        <v>745900</v>
      </c>
      <c r="G79" s="3"/>
      <c r="H79" s="69"/>
      <c r="I79" s="132">
        <v>86</v>
      </c>
      <c r="J79" t="s">
        <v>74</v>
      </c>
      <c r="K79" s="130" t="str">
        <f t="shared" si="9"/>
        <v>G86</v>
      </c>
      <c r="L79" s="116" t="s">
        <v>217</v>
      </c>
      <c r="M79" s="116" t="s">
        <v>456</v>
      </c>
      <c r="N79" s="80">
        <f>Auszahlungen!Q78</f>
        <v>745900</v>
      </c>
      <c r="P79" s="69"/>
      <c r="Q79" s="132">
        <v>86</v>
      </c>
      <c r="R79" t="s">
        <v>74</v>
      </c>
      <c r="S79" s="130" t="str">
        <f t="shared" si="10"/>
        <v>G86</v>
      </c>
      <c r="T79" s="116" t="s">
        <v>217</v>
      </c>
      <c r="U79" s="116" t="s">
        <v>456</v>
      </c>
      <c r="V79" s="80">
        <f>Auszahlungen!Z78</f>
        <v>745900</v>
      </c>
      <c r="X79" s="69"/>
      <c r="Y79" s="132">
        <v>86</v>
      </c>
      <c r="Z79" t="s">
        <v>74</v>
      </c>
      <c r="AA79" s="130" t="str">
        <f t="shared" si="11"/>
        <v>G86</v>
      </c>
      <c r="AB79" s="116" t="s">
        <v>217</v>
      </c>
      <c r="AC79" s="116" t="s">
        <v>456</v>
      </c>
      <c r="AD79" s="80">
        <f>Auszahlungen!AI78</f>
        <v>746100</v>
      </c>
    </row>
    <row r="80" spans="1:30" x14ac:dyDescent="0.2">
      <c r="A80" s="132">
        <v>87</v>
      </c>
      <c r="B80" t="s">
        <v>75</v>
      </c>
      <c r="C80" s="130" t="str">
        <f t="shared" si="8"/>
        <v>G87</v>
      </c>
      <c r="D80" s="116" t="s">
        <v>215</v>
      </c>
      <c r="E80" s="116" t="s">
        <v>457</v>
      </c>
      <c r="F80" s="80">
        <f>Auszahlungen!H79</f>
        <v>14900</v>
      </c>
      <c r="G80" s="3"/>
      <c r="H80" s="69"/>
      <c r="I80" s="132">
        <v>87</v>
      </c>
      <c r="J80" t="s">
        <v>75</v>
      </c>
      <c r="K80" s="130" t="str">
        <f t="shared" si="9"/>
        <v>G87</v>
      </c>
      <c r="L80" s="116" t="s">
        <v>215</v>
      </c>
      <c r="M80" s="116" t="s">
        <v>457</v>
      </c>
      <c r="N80" s="80">
        <f>Auszahlungen!Q79</f>
        <v>14900</v>
      </c>
      <c r="P80" s="69"/>
      <c r="Q80" s="132">
        <v>87</v>
      </c>
      <c r="R80" t="s">
        <v>75</v>
      </c>
      <c r="S80" s="130" t="str">
        <f t="shared" si="10"/>
        <v>G87</v>
      </c>
      <c r="T80" s="116" t="s">
        <v>215</v>
      </c>
      <c r="U80" s="116" t="s">
        <v>457</v>
      </c>
      <c r="V80" s="80">
        <f>Auszahlungen!Z79</f>
        <v>-29800</v>
      </c>
      <c r="X80" s="69"/>
      <c r="Y80" s="132">
        <v>87</v>
      </c>
      <c r="Z80" t="s">
        <v>75</v>
      </c>
      <c r="AA80" s="130" t="str">
        <f t="shared" si="11"/>
        <v/>
      </c>
      <c r="AB80" s="116" t="s">
        <v>215</v>
      </c>
      <c r="AC80" s="116" t="s">
        <v>457</v>
      </c>
      <c r="AD80" s="80">
        <f>Auszahlungen!AI79</f>
        <v>0</v>
      </c>
    </row>
    <row r="81" spans="1:30" x14ac:dyDescent="0.2">
      <c r="A81" s="132">
        <v>88</v>
      </c>
      <c r="B81" t="s">
        <v>76</v>
      </c>
      <c r="C81" s="130" t="str">
        <f t="shared" si="8"/>
        <v>G88</v>
      </c>
      <c r="D81" s="116" t="s">
        <v>215</v>
      </c>
      <c r="E81" s="116" t="s">
        <v>458</v>
      </c>
      <c r="F81" s="80">
        <f>Auszahlungen!H80</f>
        <v>191400</v>
      </c>
      <c r="G81" s="3"/>
      <c r="H81" s="69"/>
      <c r="I81" s="132">
        <v>88</v>
      </c>
      <c r="J81" t="s">
        <v>76</v>
      </c>
      <c r="K81" s="130" t="str">
        <f t="shared" si="9"/>
        <v>G88</v>
      </c>
      <c r="L81" s="116" t="s">
        <v>215</v>
      </c>
      <c r="M81" s="116" t="s">
        <v>458</v>
      </c>
      <c r="N81" s="80">
        <f>Auszahlungen!Q80</f>
        <v>191400</v>
      </c>
      <c r="P81" s="69"/>
      <c r="Q81" s="132">
        <v>88</v>
      </c>
      <c r="R81" t="s">
        <v>76</v>
      </c>
      <c r="S81" s="130" t="str">
        <f t="shared" si="10"/>
        <v>G88</v>
      </c>
      <c r="T81" s="116" t="s">
        <v>215</v>
      </c>
      <c r="U81" s="116" t="s">
        <v>458</v>
      </c>
      <c r="V81" s="80">
        <f>Auszahlungen!Z80</f>
        <v>191400</v>
      </c>
      <c r="X81" s="69"/>
      <c r="Y81" s="132">
        <v>88</v>
      </c>
      <c r="Z81" t="s">
        <v>76</v>
      </c>
      <c r="AA81" s="130" t="str">
        <f t="shared" si="11"/>
        <v>G88</v>
      </c>
      <c r="AB81" s="116" t="s">
        <v>215</v>
      </c>
      <c r="AC81" s="116" t="s">
        <v>458</v>
      </c>
      <c r="AD81" s="80">
        <f>Auszahlungen!AI80</f>
        <v>191000</v>
      </c>
    </row>
    <row r="82" spans="1:30" x14ac:dyDescent="0.2">
      <c r="A82" s="132">
        <v>89</v>
      </c>
      <c r="B82" t="s">
        <v>77</v>
      </c>
      <c r="C82" s="130" t="str">
        <f t="shared" si="8"/>
        <v>G89</v>
      </c>
      <c r="D82" s="42" t="s">
        <v>215</v>
      </c>
      <c r="E82" s="42" t="s">
        <v>459</v>
      </c>
      <c r="F82" s="80">
        <f>Auszahlungen!H81</f>
        <v>1187300</v>
      </c>
      <c r="G82" s="3"/>
      <c r="H82" s="69"/>
      <c r="I82" s="132">
        <v>89</v>
      </c>
      <c r="J82" t="s">
        <v>77</v>
      </c>
      <c r="K82" s="130" t="str">
        <f t="shared" si="9"/>
        <v>G89</v>
      </c>
      <c r="L82" s="42" t="s">
        <v>215</v>
      </c>
      <c r="M82" s="42" t="s">
        <v>459</v>
      </c>
      <c r="N82" s="80">
        <f>Auszahlungen!Q81</f>
        <v>1187300</v>
      </c>
      <c r="P82" s="69"/>
      <c r="Q82" s="132">
        <v>89</v>
      </c>
      <c r="R82" t="s">
        <v>77</v>
      </c>
      <c r="S82" s="130" t="str">
        <f t="shared" si="10"/>
        <v>G89</v>
      </c>
      <c r="T82" s="42" t="s">
        <v>215</v>
      </c>
      <c r="U82" s="42" t="s">
        <v>459</v>
      </c>
      <c r="V82" s="80">
        <f>Auszahlungen!Z81</f>
        <v>1187300</v>
      </c>
      <c r="X82" s="69"/>
      <c r="Y82" s="132">
        <v>89</v>
      </c>
      <c r="Z82" t="s">
        <v>77</v>
      </c>
      <c r="AA82" s="130" t="str">
        <f t="shared" si="11"/>
        <v>G89</v>
      </c>
      <c r="AB82" s="42" t="s">
        <v>215</v>
      </c>
      <c r="AC82" s="42" t="s">
        <v>459</v>
      </c>
      <c r="AD82" s="80">
        <f>Auszahlungen!AI81</f>
        <v>1188200</v>
      </c>
    </row>
    <row r="83" spans="1:30" x14ac:dyDescent="0.2">
      <c r="A83" s="132">
        <v>90</v>
      </c>
      <c r="B83" t="s">
        <v>78</v>
      </c>
      <c r="C83" s="130" t="str">
        <f t="shared" si="8"/>
        <v>G90</v>
      </c>
      <c r="D83" s="42" t="s">
        <v>215</v>
      </c>
      <c r="E83" s="42" t="s">
        <v>460</v>
      </c>
      <c r="F83" s="80">
        <f>Auszahlungen!H82</f>
        <v>69100</v>
      </c>
      <c r="G83" s="3"/>
      <c r="H83" s="69"/>
      <c r="I83" s="132">
        <v>90</v>
      </c>
      <c r="J83" t="s">
        <v>78</v>
      </c>
      <c r="K83" s="130" t="str">
        <f t="shared" si="9"/>
        <v>G90</v>
      </c>
      <c r="L83" s="42" t="s">
        <v>215</v>
      </c>
      <c r="M83" s="42" t="s">
        <v>460</v>
      </c>
      <c r="N83" s="80">
        <f>Auszahlungen!Q82</f>
        <v>69100</v>
      </c>
      <c r="P83" s="69"/>
      <c r="Q83" s="132">
        <v>90</v>
      </c>
      <c r="R83" t="s">
        <v>78</v>
      </c>
      <c r="S83" s="130" t="str">
        <f t="shared" si="10"/>
        <v>G90</v>
      </c>
      <c r="T83" s="42" t="s">
        <v>215</v>
      </c>
      <c r="U83" s="42" t="s">
        <v>460</v>
      </c>
      <c r="V83" s="80">
        <f>Auszahlungen!Z82</f>
        <v>69100</v>
      </c>
      <c r="X83" s="69"/>
      <c r="Y83" s="132">
        <v>90</v>
      </c>
      <c r="Z83" t="s">
        <v>78</v>
      </c>
      <c r="AA83" s="130" t="str">
        <f t="shared" si="11"/>
        <v>G90</v>
      </c>
      <c r="AB83" s="42" t="s">
        <v>215</v>
      </c>
      <c r="AC83" s="42" t="s">
        <v>460</v>
      </c>
      <c r="AD83" s="80">
        <f>Auszahlungen!AI82</f>
        <v>73000</v>
      </c>
    </row>
    <row r="84" spans="1:30" x14ac:dyDescent="0.2">
      <c r="A84" s="74"/>
      <c r="B84" s="95" t="s">
        <v>79</v>
      </c>
      <c r="C84" s="75"/>
      <c r="D84" s="83"/>
      <c r="E84" s="139"/>
      <c r="F84" s="131">
        <f>SUM(F9:F83)</f>
        <v>58561500</v>
      </c>
      <c r="G84" s="3"/>
      <c r="H84" s="69"/>
      <c r="I84" s="74"/>
      <c r="J84" s="95" t="s">
        <v>79</v>
      </c>
      <c r="K84" s="75"/>
      <c r="L84" s="83"/>
      <c r="M84" s="139"/>
      <c r="N84" s="131">
        <f>SUM(N9:N83)</f>
        <v>58561500</v>
      </c>
      <c r="P84" s="69"/>
      <c r="Q84" s="74"/>
      <c r="R84" s="95" t="s">
        <v>79</v>
      </c>
      <c r="S84" s="75"/>
      <c r="T84" s="83"/>
      <c r="U84" s="139"/>
      <c r="V84" s="131">
        <f>SUM(V9:V83)</f>
        <v>58516800</v>
      </c>
      <c r="X84" s="69"/>
      <c r="Y84" s="74"/>
      <c r="Z84" s="95" t="s">
        <v>79</v>
      </c>
      <c r="AA84" s="75"/>
      <c r="AB84" s="83"/>
      <c r="AC84" s="139"/>
      <c r="AD84" s="131">
        <f>SUM(AD9:AD83)</f>
        <v>58648500</v>
      </c>
    </row>
  </sheetData>
  <pageMargins left="0.51181102362204722" right="0.11811023622047245" top="0.39370078740157483" bottom="0.39370078740157483" header="0.31496062992125984" footer="0.31496062992125984"/>
  <pageSetup paperSize="9" orientation="portrait" r:id="rId1"/>
  <headerFooter>
    <oddFooter>&amp;R&amp;D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W42"/>
  <sheetViews>
    <sheetView topLeftCell="J8" zoomScale="130" zoomScaleNormal="130" workbookViewId="0">
      <selection activeCell="D15" sqref="D15"/>
    </sheetView>
  </sheetViews>
  <sheetFormatPr baseColWidth="10" defaultRowHeight="12.75" x14ac:dyDescent="0.2"/>
  <cols>
    <col min="1" max="1" width="20.5703125" bestFit="1" customWidth="1"/>
    <col min="3" max="3" width="29.42578125" customWidth="1"/>
    <col min="4" max="4" width="5.5703125" customWidth="1"/>
    <col min="5" max="5" width="13.85546875" customWidth="1"/>
    <col min="6" max="6" width="4.28515625" customWidth="1"/>
    <col min="7" max="7" width="20.5703125" bestFit="1" customWidth="1"/>
    <col min="9" max="9" width="29.42578125" customWidth="1"/>
    <col min="10" max="10" width="5.5703125" customWidth="1"/>
    <col min="11" max="11" width="13.85546875" customWidth="1"/>
    <col min="12" max="12" width="4.28515625" customWidth="1"/>
    <col min="13" max="13" width="20.5703125" bestFit="1" customWidth="1"/>
    <col min="15" max="15" width="29.42578125" customWidth="1"/>
    <col min="16" max="16" width="5.5703125" customWidth="1"/>
    <col min="17" max="17" width="13.85546875" customWidth="1"/>
    <col min="18" max="18" width="4.28515625" customWidth="1"/>
    <col min="19" max="19" width="20.5703125" bestFit="1" customWidth="1"/>
    <col min="21" max="21" width="29.42578125" customWidth="1"/>
    <col min="22" max="22" width="5.5703125" customWidth="1"/>
    <col min="23" max="23" width="13.85546875" customWidth="1"/>
  </cols>
  <sheetData>
    <row r="1" spans="1:23" x14ac:dyDescent="0.2">
      <c r="A1" s="19" t="s">
        <v>193</v>
      </c>
      <c r="F1" s="69"/>
      <c r="G1" s="19" t="s">
        <v>193</v>
      </c>
      <c r="L1" s="69"/>
      <c r="M1" s="19" t="s">
        <v>193</v>
      </c>
      <c r="R1" s="69"/>
      <c r="S1" s="19" t="s">
        <v>193</v>
      </c>
    </row>
    <row r="2" spans="1:23" x14ac:dyDescent="0.2">
      <c r="A2" t="s">
        <v>194</v>
      </c>
      <c r="F2" s="69"/>
      <c r="G2" t="s">
        <v>194</v>
      </c>
      <c r="L2" s="69"/>
      <c r="M2" t="s">
        <v>194</v>
      </c>
      <c r="R2" s="69"/>
      <c r="S2" t="s">
        <v>194</v>
      </c>
    </row>
    <row r="3" spans="1:23" x14ac:dyDescent="0.2">
      <c r="F3" s="69"/>
      <c r="L3" s="69"/>
      <c r="R3" s="69"/>
    </row>
    <row r="4" spans="1:23" x14ac:dyDescent="0.2">
      <c r="F4" s="69"/>
      <c r="L4" s="69"/>
      <c r="R4" s="69"/>
    </row>
    <row r="5" spans="1:23" ht="26.25" x14ac:dyDescent="0.2">
      <c r="A5" s="91" t="s">
        <v>375</v>
      </c>
      <c r="F5" s="69"/>
      <c r="G5" s="91" t="s">
        <v>375</v>
      </c>
      <c r="L5" s="69"/>
      <c r="M5" s="91" t="s">
        <v>375</v>
      </c>
      <c r="R5" s="69"/>
      <c r="S5" s="91" t="s">
        <v>375</v>
      </c>
    </row>
    <row r="6" spans="1:23" ht="18" x14ac:dyDescent="0.25">
      <c r="A6" s="71" t="s">
        <v>224</v>
      </c>
      <c r="F6" s="69"/>
      <c r="G6" s="71" t="s">
        <v>224</v>
      </c>
      <c r="L6" s="69"/>
      <c r="M6" s="71" t="s">
        <v>224</v>
      </c>
      <c r="R6" s="69"/>
      <c r="S6" s="71" t="s">
        <v>224</v>
      </c>
    </row>
    <row r="7" spans="1:23" ht="12.75" customHeight="1" x14ac:dyDescent="0.2">
      <c r="F7" s="69"/>
      <c r="L7" s="69"/>
      <c r="R7" s="69"/>
    </row>
    <row r="8" spans="1:23" ht="12.75" customHeight="1" x14ac:dyDescent="0.2">
      <c r="A8" s="202" t="s">
        <v>225</v>
      </c>
      <c r="B8" s="202"/>
      <c r="C8" s="202"/>
      <c r="D8" s="199"/>
      <c r="E8" s="199"/>
      <c r="F8" s="69"/>
      <c r="G8" s="202" t="s">
        <v>227</v>
      </c>
      <c r="H8" s="202"/>
      <c r="I8" s="202"/>
      <c r="J8" s="199"/>
      <c r="K8" s="199"/>
      <c r="L8" s="69"/>
      <c r="M8" s="202" t="s">
        <v>228</v>
      </c>
      <c r="N8" s="202"/>
      <c r="O8" s="202"/>
      <c r="P8" s="199"/>
      <c r="Q8" s="199"/>
      <c r="R8" s="69"/>
      <c r="S8" s="202" t="s">
        <v>229</v>
      </c>
      <c r="T8" s="202"/>
      <c r="U8" s="202"/>
      <c r="V8" s="199"/>
      <c r="W8" s="199"/>
    </row>
    <row r="9" spans="1:23" ht="12.75" customHeight="1" x14ac:dyDescent="0.2">
      <c r="A9" s="199"/>
      <c r="B9" s="199"/>
      <c r="C9" s="199"/>
      <c r="D9" s="199"/>
      <c r="E9" s="199"/>
      <c r="F9" s="69"/>
      <c r="G9" s="199"/>
      <c r="H9" s="199"/>
      <c r="I9" s="199"/>
      <c r="J9" s="199"/>
      <c r="K9" s="199"/>
      <c r="L9" s="69"/>
      <c r="M9" s="199"/>
      <c r="N9" s="199"/>
      <c r="O9" s="199"/>
      <c r="P9" s="199"/>
      <c r="Q9" s="199"/>
      <c r="R9" s="69"/>
      <c r="S9" s="199"/>
      <c r="T9" s="199"/>
      <c r="U9" s="199"/>
      <c r="V9" s="199"/>
      <c r="W9" s="199"/>
    </row>
    <row r="10" spans="1:23" ht="12.75" customHeight="1" x14ac:dyDescent="0.2">
      <c r="A10" s="199"/>
      <c r="B10" s="199"/>
      <c r="C10" s="199"/>
      <c r="D10" s="199"/>
      <c r="E10" s="199"/>
      <c r="F10" s="69"/>
      <c r="G10" s="199"/>
      <c r="H10" s="199"/>
      <c r="I10" s="199"/>
      <c r="J10" s="199"/>
      <c r="K10" s="199"/>
      <c r="L10" s="69"/>
      <c r="M10" s="199"/>
      <c r="N10" s="199"/>
      <c r="O10" s="199"/>
      <c r="P10" s="199"/>
      <c r="Q10" s="199"/>
      <c r="R10" s="69"/>
      <c r="S10" s="199"/>
      <c r="T10" s="199"/>
      <c r="U10" s="199"/>
      <c r="V10" s="199"/>
      <c r="W10" s="199"/>
    </row>
    <row r="11" spans="1:23" ht="12.75" customHeight="1" x14ac:dyDescent="0.25">
      <c r="A11" s="103"/>
      <c r="B11" s="103"/>
      <c r="C11" s="103"/>
      <c r="F11" s="69"/>
      <c r="G11" s="103"/>
      <c r="H11" s="103"/>
      <c r="I11" s="103"/>
      <c r="L11" s="69"/>
      <c r="M11" s="103"/>
      <c r="N11" s="103"/>
      <c r="O11" s="103"/>
      <c r="R11" s="69"/>
      <c r="S11" s="103"/>
      <c r="T11" s="103"/>
      <c r="U11" s="103"/>
    </row>
    <row r="12" spans="1:23" ht="12.75" customHeight="1" x14ac:dyDescent="0.2">
      <c r="A12" s="203" t="s">
        <v>357</v>
      </c>
      <c r="B12" s="203"/>
      <c r="C12" s="203"/>
      <c r="D12" s="199"/>
      <c r="E12" s="199"/>
      <c r="F12" s="69"/>
      <c r="G12" s="203" t="s">
        <v>358</v>
      </c>
      <c r="H12" s="203"/>
      <c r="I12" s="203"/>
      <c r="J12" s="199"/>
      <c r="K12" s="199"/>
      <c r="L12" s="69"/>
      <c r="M12" s="203" t="s">
        <v>359</v>
      </c>
      <c r="N12" s="203"/>
      <c r="O12" s="203"/>
      <c r="P12" s="199"/>
      <c r="Q12" s="199"/>
      <c r="R12" s="69"/>
      <c r="S12" s="203" t="s">
        <v>360</v>
      </c>
      <c r="T12" s="203"/>
      <c r="U12" s="203"/>
      <c r="V12" s="199"/>
      <c r="W12" s="199"/>
    </row>
    <row r="13" spans="1:23" ht="12.75" customHeight="1" x14ac:dyDescent="0.2">
      <c r="A13" s="199"/>
      <c r="B13" s="199"/>
      <c r="C13" s="199"/>
      <c r="D13" s="199"/>
      <c r="E13" s="199"/>
      <c r="F13" s="69"/>
      <c r="G13" s="199"/>
      <c r="H13" s="199"/>
      <c r="I13" s="199"/>
      <c r="J13" s="199"/>
      <c r="K13" s="199"/>
      <c r="L13" s="69"/>
      <c r="M13" s="199"/>
      <c r="N13" s="199"/>
      <c r="O13" s="199"/>
      <c r="P13" s="199"/>
      <c r="Q13" s="199"/>
      <c r="R13" s="69"/>
      <c r="S13" s="199"/>
      <c r="T13" s="199"/>
      <c r="U13" s="199"/>
      <c r="V13" s="199"/>
      <c r="W13" s="199"/>
    </row>
    <row r="14" spans="1:23" ht="12.75" customHeight="1" x14ac:dyDescent="0.2">
      <c r="A14" s="102"/>
      <c r="B14" s="102"/>
      <c r="C14" s="102"/>
      <c r="F14" s="69"/>
      <c r="G14" s="102"/>
      <c r="H14" s="102"/>
      <c r="I14" s="102"/>
      <c r="L14" s="69"/>
      <c r="M14" s="102"/>
      <c r="N14" s="102"/>
      <c r="O14" s="102"/>
      <c r="R14" s="69"/>
      <c r="S14" s="102"/>
      <c r="T14" s="102"/>
      <c r="U14" s="102"/>
    </row>
    <row r="15" spans="1:23" ht="12.75" customHeight="1" x14ac:dyDescent="0.2">
      <c r="A15" s="200" t="s">
        <v>263</v>
      </c>
      <c r="B15" s="201"/>
      <c r="C15" s="201"/>
      <c r="D15" t="s">
        <v>226</v>
      </c>
      <c r="E15" s="3">
        <f>Auszahlungen!C83</f>
        <v>30267800</v>
      </c>
      <c r="F15" s="69"/>
      <c r="G15" s="200" t="s">
        <v>258</v>
      </c>
      <c r="H15" s="201"/>
      <c r="I15" s="201"/>
      <c r="J15" t="s">
        <v>226</v>
      </c>
      <c r="K15" s="3">
        <f>Auszahlungen!L83</f>
        <v>30267800</v>
      </c>
      <c r="L15" s="69"/>
      <c r="M15" s="200" t="s">
        <v>253</v>
      </c>
      <c r="N15" s="201"/>
      <c r="O15" s="201"/>
      <c r="P15" t="s">
        <v>226</v>
      </c>
      <c r="Q15" s="3">
        <f>Auszahlungen!U83</f>
        <v>30267800</v>
      </c>
      <c r="R15" s="69"/>
      <c r="S15" s="200" t="s">
        <v>248</v>
      </c>
      <c r="T15" s="201"/>
      <c r="U15" s="201"/>
      <c r="V15" t="s">
        <v>226</v>
      </c>
      <c r="W15" s="3">
        <f>Auszahlungen!AD83</f>
        <v>30264400</v>
      </c>
    </row>
    <row r="16" spans="1:23" ht="12.75" customHeight="1" x14ac:dyDescent="0.2">
      <c r="A16" s="201"/>
      <c r="B16" s="201"/>
      <c r="C16" s="201"/>
      <c r="E16" s="3"/>
      <c r="F16" s="69"/>
      <c r="G16" s="201"/>
      <c r="H16" s="201"/>
      <c r="I16" s="201"/>
      <c r="K16" s="3"/>
      <c r="L16" s="69"/>
      <c r="M16" s="201"/>
      <c r="N16" s="201"/>
      <c r="O16" s="201"/>
      <c r="Q16" s="3"/>
      <c r="R16" s="69"/>
      <c r="S16" s="201"/>
      <c r="T16" s="201"/>
      <c r="U16" s="201"/>
      <c r="W16" s="3"/>
    </row>
    <row r="17" spans="1:23" ht="12.75" customHeight="1" x14ac:dyDescent="0.2">
      <c r="A17" s="129"/>
      <c r="B17" s="129"/>
      <c r="C17" s="129"/>
      <c r="E17" s="3"/>
      <c r="F17" s="69"/>
      <c r="G17" s="129"/>
      <c r="H17" s="129"/>
      <c r="I17" s="129"/>
      <c r="K17" s="3"/>
      <c r="L17" s="69"/>
      <c r="M17" s="129"/>
      <c r="N17" s="129"/>
      <c r="O17" s="129"/>
      <c r="Q17" s="3"/>
      <c r="R17" s="69"/>
      <c r="S17" s="129"/>
      <c r="T17" s="129"/>
      <c r="U17" s="129"/>
      <c r="W17" s="3"/>
    </row>
    <row r="18" spans="1:23" ht="12.75" customHeight="1" x14ac:dyDescent="0.2">
      <c r="A18" s="200" t="s">
        <v>264</v>
      </c>
      <c r="B18" s="201"/>
      <c r="C18" s="201"/>
      <c r="D18" t="s">
        <v>226</v>
      </c>
      <c r="E18" s="3">
        <f>Auszahlungen!D83</f>
        <v>8888600</v>
      </c>
      <c r="F18" s="69"/>
      <c r="G18" s="200" t="s">
        <v>259</v>
      </c>
      <c r="H18" s="201"/>
      <c r="I18" s="201"/>
      <c r="J18" t="s">
        <v>226</v>
      </c>
      <c r="K18" s="3">
        <f>Auszahlungen!M83</f>
        <v>8888600</v>
      </c>
      <c r="L18" s="69"/>
      <c r="M18" s="200" t="s">
        <v>254</v>
      </c>
      <c r="N18" s="201"/>
      <c r="O18" s="201"/>
      <c r="P18" t="s">
        <v>226</v>
      </c>
      <c r="Q18" s="3">
        <f>Auszahlungen!V83</f>
        <v>8888600</v>
      </c>
      <c r="R18" s="69"/>
      <c r="S18" s="200" t="s">
        <v>249</v>
      </c>
      <c r="T18" s="201"/>
      <c r="U18" s="201"/>
      <c r="V18" t="s">
        <v>226</v>
      </c>
      <c r="W18" s="3">
        <f>Auszahlungen!AE83</f>
        <v>8886700</v>
      </c>
    </row>
    <row r="19" spans="1:23" ht="12.75" customHeight="1" x14ac:dyDescent="0.2">
      <c r="A19" s="201"/>
      <c r="B19" s="201"/>
      <c r="C19" s="201"/>
      <c r="E19" s="3"/>
      <c r="F19" s="69"/>
      <c r="G19" s="201"/>
      <c r="H19" s="201"/>
      <c r="I19" s="201"/>
      <c r="K19" s="3"/>
      <c r="L19" s="69"/>
      <c r="M19" s="201"/>
      <c r="N19" s="201"/>
      <c r="O19" s="201"/>
      <c r="Q19" s="3"/>
      <c r="R19" s="69"/>
      <c r="S19" s="201"/>
      <c r="T19" s="201"/>
      <c r="U19" s="201"/>
      <c r="W19" s="3"/>
    </row>
    <row r="20" spans="1:23" ht="12.75" customHeight="1" x14ac:dyDescent="0.2">
      <c r="A20" s="129"/>
      <c r="B20" s="129"/>
      <c r="C20" s="129"/>
      <c r="E20" s="3"/>
      <c r="F20" s="69"/>
      <c r="G20" s="129"/>
      <c r="H20" s="129"/>
      <c r="I20" s="129"/>
      <c r="K20" s="3"/>
      <c r="L20" s="69"/>
      <c r="M20" s="129"/>
      <c r="N20" s="129"/>
      <c r="O20" s="129"/>
      <c r="Q20" s="3"/>
      <c r="R20" s="69"/>
      <c r="S20" s="129"/>
      <c r="T20" s="129"/>
      <c r="U20" s="129"/>
      <c r="W20" s="3"/>
    </row>
    <row r="21" spans="1:23" ht="12.75" customHeight="1" x14ac:dyDescent="0.2">
      <c r="A21" s="200" t="s">
        <v>265</v>
      </c>
      <c r="B21" s="201"/>
      <c r="C21" s="201"/>
      <c r="D21" t="s">
        <v>226</v>
      </c>
      <c r="E21" s="3">
        <f>Auszahlungen!E83</f>
        <v>8263200</v>
      </c>
      <c r="F21" s="69"/>
      <c r="G21" s="200" t="s">
        <v>260</v>
      </c>
      <c r="H21" s="201"/>
      <c r="I21" s="201"/>
      <c r="J21" t="s">
        <v>226</v>
      </c>
      <c r="K21" s="3">
        <f>Auszahlungen!N83</f>
        <v>8263200</v>
      </c>
      <c r="L21" s="69"/>
      <c r="M21" s="200" t="s">
        <v>255</v>
      </c>
      <c r="N21" s="201"/>
      <c r="O21" s="201"/>
      <c r="P21" t="s">
        <v>226</v>
      </c>
      <c r="Q21" s="3">
        <f>Auszahlungen!W83</f>
        <v>8263200</v>
      </c>
      <c r="R21" s="69"/>
      <c r="S21" s="200" t="s">
        <v>250</v>
      </c>
      <c r="T21" s="201"/>
      <c r="U21" s="201"/>
      <c r="V21" t="s">
        <v>226</v>
      </c>
      <c r="W21" s="3">
        <f>Auszahlungen!AF83</f>
        <v>8265300</v>
      </c>
    </row>
    <row r="22" spans="1:23" ht="12.75" customHeight="1" x14ac:dyDescent="0.2">
      <c r="A22" s="201"/>
      <c r="B22" s="201"/>
      <c r="C22" s="201"/>
      <c r="E22" s="3"/>
      <c r="F22" s="69"/>
      <c r="G22" s="201"/>
      <c r="H22" s="201"/>
      <c r="I22" s="201"/>
      <c r="L22" s="69"/>
      <c r="M22" s="201"/>
      <c r="N22" s="201"/>
      <c r="O22" s="201"/>
      <c r="R22" s="69"/>
      <c r="S22" s="201"/>
      <c r="T22" s="201"/>
      <c r="U22" s="201"/>
    </row>
    <row r="23" spans="1:23" ht="12.75" customHeight="1" x14ac:dyDescent="0.2">
      <c r="A23" s="129"/>
      <c r="B23" s="129"/>
      <c r="C23" s="129"/>
      <c r="E23" s="3"/>
      <c r="F23" s="69"/>
      <c r="G23" s="129"/>
      <c r="H23" s="129"/>
      <c r="I23" s="129"/>
      <c r="K23" s="3"/>
      <c r="L23" s="69"/>
      <c r="M23" s="129"/>
      <c r="N23" s="129"/>
      <c r="O23" s="129"/>
      <c r="Q23" s="3"/>
      <c r="R23" s="69"/>
      <c r="S23" s="129"/>
      <c r="T23" s="129"/>
      <c r="U23" s="129"/>
      <c r="W23" s="3"/>
    </row>
    <row r="24" spans="1:23" ht="12.75" customHeight="1" x14ac:dyDescent="0.2">
      <c r="A24" s="200" t="s">
        <v>266</v>
      </c>
      <c r="B24" s="201"/>
      <c r="C24" s="201"/>
      <c r="D24" t="s">
        <v>226</v>
      </c>
      <c r="E24" s="3">
        <f>Auszahlungen!F83</f>
        <v>6807600</v>
      </c>
      <c r="F24" s="69"/>
      <c r="G24" s="200" t="s">
        <v>261</v>
      </c>
      <c r="H24" s="201"/>
      <c r="I24" s="201"/>
      <c r="J24" t="s">
        <v>226</v>
      </c>
      <c r="K24" s="3">
        <f>Auszahlungen!O83</f>
        <v>6807600</v>
      </c>
      <c r="L24" s="69"/>
      <c r="M24" s="200" t="s">
        <v>256</v>
      </c>
      <c r="N24" s="201"/>
      <c r="O24" s="201"/>
      <c r="P24" t="s">
        <v>226</v>
      </c>
      <c r="Q24" s="3">
        <f>Auszahlungen!X83</f>
        <v>6762900</v>
      </c>
      <c r="R24" s="69"/>
      <c r="S24" s="200" t="s">
        <v>251</v>
      </c>
      <c r="T24" s="201"/>
      <c r="U24" s="201"/>
      <c r="V24" t="s">
        <v>226</v>
      </c>
      <c r="W24" s="3">
        <f>Auszahlungen!AG83</f>
        <v>6897700</v>
      </c>
    </row>
    <row r="25" spans="1:23" ht="12.75" customHeight="1" x14ac:dyDescent="0.2">
      <c r="A25" s="201"/>
      <c r="B25" s="201"/>
      <c r="C25" s="201"/>
      <c r="E25" s="3"/>
      <c r="F25" s="69"/>
      <c r="G25" s="201"/>
      <c r="H25" s="201"/>
      <c r="I25" s="201"/>
      <c r="K25" s="3"/>
      <c r="L25" s="69"/>
      <c r="M25" s="201"/>
      <c r="N25" s="201"/>
      <c r="O25" s="201"/>
      <c r="Q25" s="3"/>
      <c r="R25" s="69"/>
      <c r="S25" s="201"/>
      <c r="T25" s="201"/>
      <c r="U25" s="201"/>
      <c r="W25" s="3"/>
    </row>
    <row r="26" spans="1:23" ht="12.75" customHeight="1" x14ac:dyDescent="0.2">
      <c r="A26" s="129"/>
      <c r="B26" s="129"/>
      <c r="C26" s="129"/>
      <c r="E26" s="3"/>
      <c r="F26" s="69"/>
      <c r="G26" s="129"/>
      <c r="H26" s="129"/>
      <c r="I26" s="129"/>
      <c r="K26" s="3"/>
      <c r="L26" s="69"/>
      <c r="M26" s="129"/>
      <c r="N26" s="129"/>
      <c r="O26" s="129"/>
      <c r="Q26" s="3"/>
      <c r="R26" s="69"/>
      <c r="S26" s="129"/>
      <c r="T26" s="129"/>
      <c r="U26" s="129"/>
      <c r="W26" s="3"/>
    </row>
    <row r="27" spans="1:23" ht="12.75" customHeight="1" x14ac:dyDescent="0.2">
      <c r="A27" s="200" t="s">
        <v>267</v>
      </c>
      <c r="B27" s="201"/>
      <c r="C27" s="201"/>
      <c r="D27" t="s">
        <v>226</v>
      </c>
      <c r="E27" s="3">
        <f>Auszahlungen!G83</f>
        <v>4334300</v>
      </c>
      <c r="F27" s="69"/>
      <c r="G27" s="200" t="s">
        <v>262</v>
      </c>
      <c r="H27" s="201"/>
      <c r="I27" s="201"/>
      <c r="J27" t="s">
        <v>226</v>
      </c>
      <c r="K27" s="3">
        <f>Auszahlungen!P83</f>
        <v>4334300</v>
      </c>
      <c r="L27" s="69"/>
      <c r="M27" s="200" t="s">
        <v>257</v>
      </c>
      <c r="N27" s="201"/>
      <c r="O27" s="201"/>
      <c r="P27" t="s">
        <v>226</v>
      </c>
      <c r="Q27" s="3">
        <f>Auszahlungen!Y83</f>
        <v>4334300</v>
      </c>
      <c r="R27" s="69"/>
      <c r="S27" s="200" t="s">
        <v>252</v>
      </c>
      <c r="T27" s="201"/>
      <c r="U27" s="201"/>
      <c r="V27" t="s">
        <v>226</v>
      </c>
      <c r="W27" s="3">
        <f>Auszahlungen!AH83</f>
        <v>4334400</v>
      </c>
    </row>
    <row r="28" spans="1:23" ht="12.75" customHeight="1" x14ac:dyDescent="0.2">
      <c r="A28" s="201"/>
      <c r="B28" s="201"/>
      <c r="C28" s="201"/>
      <c r="E28" s="3"/>
      <c r="F28" s="69"/>
      <c r="G28" s="201"/>
      <c r="H28" s="201"/>
      <c r="I28" s="201"/>
      <c r="K28" s="3"/>
      <c r="L28" s="69"/>
      <c r="M28" s="201"/>
      <c r="N28" s="201"/>
      <c r="O28" s="201"/>
      <c r="Q28" s="3"/>
      <c r="R28" s="69"/>
      <c r="S28" s="201"/>
      <c r="T28" s="201"/>
      <c r="U28" s="201"/>
      <c r="W28" s="3"/>
    </row>
    <row r="29" spans="1:23" ht="12.75" customHeight="1" x14ac:dyDescent="0.2">
      <c r="A29" s="104"/>
      <c r="B29" s="105"/>
      <c r="C29" s="106"/>
      <c r="D29" s="110"/>
      <c r="E29" s="111"/>
      <c r="F29" s="69"/>
      <c r="G29" s="104"/>
      <c r="H29" s="105"/>
      <c r="I29" s="106"/>
      <c r="J29" s="110"/>
      <c r="K29" s="111"/>
      <c r="L29" s="69"/>
      <c r="M29" s="104"/>
      <c r="N29" s="105"/>
      <c r="O29" s="106"/>
      <c r="P29" s="110"/>
      <c r="Q29" s="111"/>
      <c r="R29" s="69"/>
      <c r="S29" s="104"/>
      <c r="T29" s="105"/>
      <c r="U29" s="106"/>
      <c r="V29" s="110"/>
      <c r="W29" s="111"/>
    </row>
    <row r="30" spans="1:23" ht="12.75" customHeight="1" x14ac:dyDescent="0.2">
      <c r="A30" s="107" t="s">
        <v>79</v>
      </c>
      <c r="B30" s="108"/>
      <c r="C30" s="109"/>
      <c r="D30" s="19" t="s">
        <v>226</v>
      </c>
      <c r="E30" s="13">
        <f>Auszahlungen!H83</f>
        <v>58561500</v>
      </c>
      <c r="F30" s="69"/>
      <c r="G30" s="107" t="s">
        <v>79</v>
      </c>
      <c r="H30" s="108"/>
      <c r="I30" s="109"/>
      <c r="J30" s="19" t="s">
        <v>226</v>
      </c>
      <c r="K30" s="13">
        <f>Auszahlungen!Q83</f>
        <v>58561500</v>
      </c>
      <c r="L30" s="69"/>
      <c r="M30" s="107" t="s">
        <v>79</v>
      </c>
      <c r="N30" s="108"/>
      <c r="O30" s="109"/>
      <c r="P30" s="19" t="s">
        <v>226</v>
      </c>
      <c r="Q30" s="13">
        <f>Auszahlungen!Z83</f>
        <v>58516800</v>
      </c>
      <c r="R30" s="69"/>
      <c r="S30" s="107" t="s">
        <v>79</v>
      </c>
      <c r="T30" s="108"/>
      <c r="U30" s="109"/>
      <c r="V30" s="19" t="s">
        <v>226</v>
      </c>
      <c r="W30" s="13">
        <f>Auszahlungen!AI83</f>
        <v>58648500</v>
      </c>
    </row>
    <row r="31" spans="1:23" ht="12.75" customHeight="1" x14ac:dyDescent="0.2"/>
    <row r="32" spans="1:23" ht="12.75" customHeight="1" x14ac:dyDescent="0.2"/>
    <row r="33" spans="2:22" ht="12.75" customHeight="1" x14ac:dyDescent="0.2"/>
    <row r="34" spans="2:22" ht="12.75" customHeight="1" x14ac:dyDescent="0.2"/>
    <row r="35" spans="2:22" ht="12.75" customHeight="1" x14ac:dyDescent="0.2"/>
    <row r="36" spans="2:22" ht="12.75" customHeight="1" x14ac:dyDescent="0.2"/>
    <row r="37" spans="2:22" ht="12.75" customHeight="1" x14ac:dyDescent="0.2"/>
    <row r="38" spans="2:22" ht="12.75" customHeight="1" x14ac:dyDescent="0.2"/>
    <row r="39" spans="2:22" ht="12.75" customHeight="1" x14ac:dyDescent="0.2"/>
    <row r="40" spans="2:22" ht="12.75" customHeight="1" x14ac:dyDescent="0.2"/>
    <row r="41" spans="2:22" ht="12.75" customHeight="1" x14ac:dyDescent="0.2"/>
    <row r="42" spans="2:22" x14ac:dyDescent="0.2">
      <c r="B42" s="3"/>
      <c r="C42" s="3"/>
      <c r="D42" s="3"/>
      <c r="H42" s="3"/>
      <c r="I42" s="3"/>
      <c r="J42" s="3"/>
      <c r="N42" s="3"/>
      <c r="O42" s="3"/>
      <c r="P42" s="3"/>
      <c r="T42" s="3"/>
      <c r="U42" s="3"/>
      <c r="V42" s="3"/>
    </row>
  </sheetData>
  <mergeCells count="28">
    <mergeCell ref="M27:O28"/>
    <mergeCell ref="S8:W10"/>
    <mergeCell ref="S12:W13"/>
    <mergeCell ref="S15:U16"/>
    <mergeCell ref="S18:U19"/>
    <mergeCell ref="S21:U22"/>
    <mergeCell ref="S24:U25"/>
    <mergeCell ref="S27:U28"/>
    <mergeCell ref="M8:Q10"/>
    <mergeCell ref="M12:Q13"/>
    <mergeCell ref="M15:O16"/>
    <mergeCell ref="M18:O19"/>
    <mergeCell ref="M21:O22"/>
    <mergeCell ref="M24:O25"/>
    <mergeCell ref="A21:C22"/>
    <mergeCell ref="A24:C25"/>
    <mergeCell ref="A27:C28"/>
    <mergeCell ref="G8:K10"/>
    <mergeCell ref="G12:K13"/>
    <mergeCell ref="G15:I16"/>
    <mergeCell ref="G18:I19"/>
    <mergeCell ref="G21:I22"/>
    <mergeCell ref="G24:I25"/>
    <mergeCell ref="G27:I28"/>
    <mergeCell ref="A8:E10"/>
    <mergeCell ref="A12:E13"/>
    <mergeCell ref="A15:C16"/>
    <mergeCell ref="A18:C19"/>
  </mergeCells>
  <pageMargins left="0.51181102362204722" right="0.51181102362204722" top="0.39370078740157483" bottom="0.39370078740157483" header="0.31496062992125984" footer="0.31496062992125984"/>
  <pageSetup paperSize="9" orientation="portrait" r:id="rId1"/>
  <headerFooter>
    <oddFooter>&amp;R&amp;D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K77"/>
  <sheetViews>
    <sheetView workbookViewId="0">
      <selection activeCell="D15" sqref="D15"/>
    </sheetView>
  </sheetViews>
  <sheetFormatPr baseColWidth="10" defaultRowHeight="12.75" x14ac:dyDescent="0.2"/>
  <cols>
    <col min="1" max="1" width="20.5703125" bestFit="1" customWidth="1"/>
    <col min="2" max="6" width="17.7109375" customWidth="1"/>
    <col min="7" max="7" width="13.140625" bestFit="1" customWidth="1"/>
    <col min="8" max="8" width="9.42578125" bestFit="1" customWidth="1"/>
    <col min="9" max="9" width="21.85546875" bestFit="1" customWidth="1"/>
    <col min="10" max="10" width="5" bestFit="1" customWidth="1"/>
    <col min="11" max="11" width="16.42578125" bestFit="1" customWidth="1"/>
    <col min="12" max="12" width="21.85546875" bestFit="1" customWidth="1"/>
  </cols>
  <sheetData>
    <row r="1" spans="1:11" x14ac:dyDescent="0.2">
      <c r="A1" s="19" t="s">
        <v>211</v>
      </c>
      <c r="B1" s="19" t="s">
        <v>196</v>
      </c>
      <c r="C1" s="19" t="s">
        <v>197</v>
      </c>
      <c r="D1" s="19" t="s">
        <v>198</v>
      </c>
      <c r="E1" s="19" t="s">
        <v>199</v>
      </c>
      <c r="F1" s="19" t="s">
        <v>268</v>
      </c>
      <c r="G1" s="19" t="s">
        <v>79</v>
      </c>
      <c r="H1" s="19" t="s">
        <v>269</v>
      </c>
      <c r="I1" s="19" t="s">
        <v>270</v>
      </c>
      <c r="J1" s="19" t="s">
        <v>271</v>
      </c>
      <c r="K1" s="19" t="s">
        <v>272</v>
      </c>
    </row>
    <row r="2" spans="1:11" x14ac:dyDescent="0.2">
      <c r="A2" t="s">
        <v>5</v>
      </c>
      <c r="B2" s="3">
        <f>Total!C8</f>
        <v>0</v>
      </c>
      <c r="C2" s="3">
        <f>Total!D8</f>
        <v>0</v>
      </c>
      <c r="D2" s="3">
        <f>Total!E8</f>
        <v>0</v>
      </c>
      <c r="E2" s="3">
        <f>Total!F8</f>
        <v>16803100</v>
      </c>
      <c r="F2" s="3">
        <f>Total!G8</f>
        <v>17337300</v>
      </c>
      <c r="G2" s="3">
        <f>Total!H8</f>
        <v>34140400</v>
      </c>
      <c r="H2" t="s">
        <v>273</v>
      </c>
      <c r="I2" t="s">
        <v>274</v>
      </c>
      <c r="J2">
        <v>9001</v>
      </c>
      <c r="K2" t="s">
        <v>5</v>
      </c>
    </row>
    <row r="3" spans="1:11" x14ac:dyDescent="0.2">
      <c r="A3" t="s">
        <v>6</v>
      </c>
      <c r="B3" s="3">
        <f>Total!C9</f>
        <v>5419100</v>
      </c>
      <c r="C3" s="3">
        <f>Total!D9</f>
        <v>0</v>
      </c>
      <c r="D3" s="3">
        <f>Total!E9</f>
        <v>557200</v>
      </c>
      <c r="E3" s="3">
        <f>Total!F9</f>
        <v>653000</v>
      </c>
      <c r="F3" s="3">
        <f>Total!G9</f>
        <v>0</v>
      </c>
      <c r="G3" s="3">
        <f>Total!H9</f>
        <v>6629300</v>
      </c>
      <c r="H3" t="s">
        <v>211</v>
      </c>
      <c r="I3" t="s">
        <v>275</v>
      </c>
      <c r="J3">
        <v>9301</v>
      </c>
      <c r="K3" t="s">
        <v>6</v>
      </c>
    </row>
    <row r="4" spans="1:11" x14ac:dyDescent="0.2">
      <c r="A4" t="s">
        <v>7</v>
      </c>
      <c r="B4" s="3">
        <f>Total!C10</f>
        <v>598300</v>
      </c>
      <c r="C4" s="3">
        <f>Total!D10</f>
        <v>386600</v>
      </c>
      <c r="D4" s="3">
        <f>Total!E10</f>
        <v>560400</v>
      </c>
      <c r="E4" s="3">
        <f>Total!F10</f>
        <v>0</v>
      </c>
      <c r="F4" s="3">
        <f>Total!G10</f>
        <v>0</v>
      </c>
      <c r="G4" s="3">
        <f>Total!H10</f>
        <v>1545300</v>
      </c>
      <c r="H4" t="s">
        <v>211</v>
      </c>
      <c r="I4" t="s">
        <v>276</v>
      </c>
      <c r="J4">
        <v>9312</v>
      </c>
      <c r="K4" t="s">
        <v>7</v>
      </c>
    </row>
    <row r="5" spans="1:11" x14ac:dyDescent="0.2">
      <c r="A5" t="s">
        <v>8</v>
      </c>
      <c r="B5" s="3">
        <f>Total!C11</f>
        <v>834600</v>
      </c>
      <c r="C5" s="3">
        <f>Total!D11</f>
        <v>624800</v>
      </c>
      <c r="D5" s="3">
        <f>Total!E11</f>
        <v>97300</v>
      </c>
      <c r="E5" s="3">
        <f>Total!F11</f>
        <v>0</v>
      </c>
      <c r="F5" s="3">
        <f>Total!G11</f>
        <v>0</v>
      </c>
      <c r="G5" s="3">
        <f>Total!H11</f>
        <v>1556700</v>
      </c>
      <c r="H5" t="s">
        <v>211</v>
      </c>
      <c r="I5" t="s">
        <v>277</v>
      </c>
      <c r="J5">
        <v>9313</v>
      </c>
      <c r="K5" t="s">
        <v>8</v>
      </c>
    </row>
    <row r="6" spans="1:11" x14ac:dyDescent="0.2">
      <c r="A6" t="s">
        <v>9</v>
      </c>
      <c r="B6" s="3">
        <f>Total!C12</f>
        <v>0</v>
      </c>
      <c r="C6" s="3">
        <f>Total!D12</f>
        <v>0</v>
      </c>
      <c r="D6" s="3">
        <f>Total!E12</f>
        <v>0</v>
      </c>
      <c r="E6" s="3">
        <f>Total!F12</f>
        <v>0</v>
      </c>
      <c r="F6" s="3">
        <f>Total!G12</f>
        <v>0</v>
      </c>
      <c r="G6" s="3">
        <f>Total!H12</f>
        <v>0</v>
      </c>
      <c r="H6" t="s">
        <v>211</v>
      </c>
      <c r="I6" t="s">
        <v>278</v>
      </c>
      <c r="J6">
        <v>9402</v>
      </c>
      <c r="K6" t="s">
        <v>9</v>
      </c>
    </row>
    <row r="7" spans="1:11" x14ac:dyDescent="0.2">
      <c r="A7" t="s">
        <v>10</v>
      </c>
      <c r="B7" s="3">
        <f>Total!C13</f>
        <v>0</v>
      </c>
      <c r="C7" s="3">
        <f>Total!D13</f>
        <v>0</v>
      </c>
      <c r="D7" s="3">
        <f>Total!E13</f>
        <v>0</v>
      </c>
      <c r="E7" s="3">
        <f>Total!F13</f>
        <v>589900</v>
      </c>
      <c r="F7" s="3">
        <f>Total!G13</f>
        <v>0</v>
      </c>
      <c r="G7" s="3">
        <f>Total!H13</f>
        <v>589900</v>
      </c>
      <c r="H7" t="s">
        <v>211</v>
      </c>
      <c r="I7" t="s">
        <v>279</v>
      </c>
      <c r="J7">
        <v>9403</v>
      </c>
      <c r="K7" t="s">
        <v>10</v>
      </c>
    </row>
    <row r="8" spans="1:11" x14ac:dyDescent="0.2">
      <c r="A8" t="s">
        <v>11</v>
      </c>
      <c r="B8" s="3">
        <f>Total!C14</f>
        <v>254100</v>
      </c>
      <c r="C8" s="3">
        <f>Total!D14</f>
        <v>0</v>
      </c>
      <c r="D8" s="3">
        <f>Total!E14</f>
        <v>0</v>
      </c>
      <c r="E8" s="3">
        <f>Total!F14</f>
        <v>0</v>
      </c>
      <c r="F8" s="3">
        <f>Total!G14</f>
        <v>0</v>
      </c>
      <c r="G8" s="3">
        <f>Total!H14</f>
        <v>254100</v>
      </c>
      <c r="H8" t="s">
        <v>211</v>
      </c>
      <c r="I8" t="s">
        <v>280</v>
      </c>
      <c r="J8">
        <v>9323</v>
      </c>
      <c r="K8" t="s">
        <v>11</v>
      </c>
    </row>
    <row r="9" spans="1:11" x14ac:dyDescent="0.2">
      <c r="A9" t="s">
        <v>12</v>
      </c>
      <c r="B9" s="3">
        <f>Total!C15</f>
        <v>0</v>
      </c>
      <c r="C9" s="3">
        <f>Total!D15</f>
        <v>8100</v>
      </c>
      <c r="D9" s="3">
        <f>Total!E15</f>
        <v>40200</v>
      </c>
      <c r="E9" s="3">
        <f>Total!F15</f>
        <v>12100</v>
      </c>
      <c r="F9" s="3">
        <f>Total!G15</f>
        <v>0</v>
      </c>
      <c r="G9" s="3">
        <f>Total!H15</f>
        <v>60400</v>
      </c>
      <c r="H9" t="s">
        <v>211</v>
      </c>
      <c r="I9" t="s">
        <v>281</v>
      </c>
      <c r="J9">
        <v>9305</v>
      </c>
      <c r="K9" t="s">
        <v>12</v>
      </c>
    </row>
    <row r="10" spans="1:11" x14ac:dyDescent="0.2">
      <c r="A10" t="s">
        <v>13</v>
      </c>
      <c r="B10" s="3">
        <f>Total!C16</f>
        <v>0</v>
      </c>
      <c r="C10" s="3">
        <f>Total!D16</f>
        <v>0</v>
      </c>
      <c r="D10" s="3">
        <f>Total!E16</f>
        <v>113700</v>
      </c>
      <c r="E10" s="3">
        <f>Total!F16</f>
        <v>0</v>
      </c>
      <c r="F10" s="3">
        <f>Total!G16</f>
        <v>0</v>
      </c>
      <c r="G10" s="3">
        <f>Total!H16</f>
        <v>113700</v>
      </c>
      <c r="H10" t="s">
        <v>211</v>
      </c>
      <c r="I10" t="s">
        <v>282</v>
      </c>
      <c r="J10">
        <v>9327</v>
      </c>
      <c r="K10" t="s">
        <v>13</v>
      </c>
    </row>
    <row r="11" spans="1:11" x14ac:dyDescent="0.2">
      <c r="A11" t="s">
        <v>14</v>
      </c>
      <c r="B11" s="3">
        <f>Total!C17</f>
        <v>239500</v>
      </c>
      <c r="C11" s="3">
        <f>Total!D17</f>
        <v>298300</v>
      </c>
      <c r="D11" s="3">
        <f>Total!E17</f>
        <v>222200</v>
      </c>
      <c r="E11" s="3">
        <f>Total!F17</f>
        <v>0</v>
      </c>
      <c r="F11" s="3">
        <f>Total!G17</f>
        <v>0</v>
      </c>
      <c r="G11" s="3">
        <f>Total!H17</f>
        <v>760000</v>
      </c>
      <c r="H11" t="s">
        <v>211</v>
      </c>
      <c r="I11" t="s">
        <v>283</v>
      </c>
      <c r="J11">
        <v>9033</v>
      </c>
      <c r="K11" t="s">
        <v>14</v>
      </c>
    </row>
    <row r="12" spans="1:11" x14ac:dyDescent="0.2">
      <c r="A12" t="s">
        <v>15</v>
      </c>
      <c r="B12" s="3">
        <f>Total!C18</f>
        <v>288800</v>
      </c>
      <c r="C12" s="3">
        <f>Total!D18</f>
        <v>618300</v>
      </c>
      <c r="D12" s="3">
        <f>Total!E18</f>
        <v>361600</v>
      </c>
      <c r="E12" s="3">
        <f>Total!F18</f>
        <v>0</v>
      </c>
      <c r="F12" s="3">
        <f>Total!G18</f>
        <v>0</v>
      </c>
      <c r="G12" s="3">
        <f>Total!H18</f>
        <v>1268700</v>
      </c>
      <c r="H12" t="s">
        <v>211</v>
      </c>
      <c r="I12" t="s">
        <v>284</v>
      </c>
      <c r="J12">
        <v>9034</v>
      </c>
      <c r="K12" t="s">
        <v>15</v>
      </c>
    </row>
    <row r="13" spans="1:11" x14ac:dyDescent="0.2">
      <c r="A13" t="s">
        <v>16</v>
      </c>
      <c r="B13" s="3">
        <f>Total!C19</f>
        <v>0</v>
      </c>
      <c r="C13" s="3">
        <f>Total!D19</f>
        <v>0</v>
      </c>
      <c r="D13" s="3">
        <f>Total!E19</f>
        <v>0</v>
      </c>
      <c r="E13" s="3">
        <f>Total!F19</f>
        <v>189300</v>
      </c>
      <c r="F13" s="3">
        <f>Total!G19</f>
        <v>0</v>
      </c>
      <c r="G13" s="3">
        <f>Total!H19</f>
        <v>189300</v>
      </c>
      <c r="H13" t="s">
        <v>211</v>
      </c>
      <c r="I13" t="s">
        <v>285</v>
      </c>
      <c r="J13">
        <v>9404</v>
      </c>
      <c r="K13" t="s">
        <v>16</v>
      </c>
    </row>
    <row r="14" spans="1:11" x14ac:dyDescent="0.2">
      <c r="A14" t="s">
        <v>17</v>
      </c>
      <c r="B14" s="3">
        <f>Total!C20</f>
        <v>6129000</v>
      </c>
      <c r="C14" s="3">
        <f>Total!D20</f>
        <v>0</v>
      </c>
      <c r="D14" s="3">
        <f>Total!E20</f>
        <v>0</v>
      </c>
      <c r="E14" s="3">
        <f>Total!F20</f>
        <v>963200</v>
      </c>
      <c r="F14" s="3">
        <f>Total!G20</f>
        <v>0</v>
      </c>
      <c r="G14" s="3">
        <f>Total!H20</f>
        <v>7092200</v>
      </c>
      <c r="H14" t="s">
        <v>273</v>
      </c>
      <c r="I14" t="s">
        <v>286</v>
      </c>
      <c r="J14">
        <v>9400</v>
      </c>
      <c r="K14" t="s">
        <v>17</v>
      </c>
    </row>
    <row r="15" spans="1:11" x14ac:dyDescent="0.2">
      <c r="A15" t="s">
        <v>18</v>
      </c>
      <c r="B15" s="3">
        <f>Total!C21</f>
        <v>0</v>
      </c>
      <c r="C15" s="3">
        <f>Total!D21</f>
        <v>0</v>
      </c>
      <c r="D15" s="3">
        <f>Total!E21</f>
        <v>0</v>
      </c>
      <c r="E15" s="3">
        <f>Total!F21</f>
        <v>0</v>
      </c>
      <c r="F15" s="3">
        <f>Total!G21</f>
        <v>0</v>
      </c>
      <c r="G15" s="3">
        <f>Total!H21</f>
        <v>0</v>
      </c>
      <c r="H15" t="s">
        <v>211</v>
      </c>
      <c r="I15" t="s">
        <v>287</v>
      </c>
      <c r="J15">
        <v>9425</v>
      </c>
      <c r="K15" t="s">
        <v>18</v>
      </c>
    </row>
    <row r="16" spans="1:11" x14ac:dyDescent="0.2">
      <c r="A16" t="s">
        <v>19</v>
      </c>
      <c r="B16" s="3">
        <f>Total!C22</f>
        <v>2238200</v>
      </c>
      <c r="C16" s="3">
        <f>Total!D22</f>
        <v>0</v>
      </c>
      <c r="D16" s="3">
        <f>Total!E22</f>
        <v>0</v>
      </c>
      <c r="E16" s="3">
        <f>Total!F22</f>
        <v>304700</v>
      </c>
      <c r="F16" s="3">
        <f>Total!G22</f>
        <v>0</v>
      </c>
      <c r="G16" s="3">
        <f>Total!H22</f>
        <v>2542900</v>
      </c>
      <c r="H16" t="s">
        <v>273</v>
      </c>
      <c r="I16" t="s">
        <v>288</v>
      </c>
      <c r="J16">
        <v>9424</v>
      </c>
      <c r="K16" t="s">
        <v>19</v>
      </c>
    </row>
    <row r="17" spans="1:11" x14ac:dyDescent="0.2">
      <c r="A17" t="s">
        <v>20</v>
      </c>
      <c r="B17" s="3">
        <f>Total!C23</f>
        <v>1954300</v>
      </c>
      <c r="C17" s="3">
        <f>Total!D23</f>
        <v>0</v>
      </c>
      <c r="D17" s="3">
        <f>Total!E23</f>
        <v>335800</v>
      </c>
      <c r="E17" s="3">
        <f>Total!F23</f>
        <v>415700</v>
      </c>
      <c r="F17" s="3">
        <f>Total!G23</f>
        <v>0</v>
      </c>
      <c r="G17" s="3">
        <f>Total!H23</f>
        <v>2705800</v>
      </c>
      <c r="H17" t="s">
        <v>211</v>
      </c>
      <c r="I17" t="s">
        <v>289</v>
      </c>
      <c r="J17">
        <v>9430</v>
      </c>
      <c r="K17" t="s">
        <v>20</v>
      </c>
    </row>
    <row r="18" spans="1:11" x14ac:dyDescent="0.2">
      <c r="A18" t="s">
        <v>21</v>
      </c>
      <c r="B18" s="3">
        <f>Total!C24</f>
        <v>0</v>
      </c>
      <c r="C18" s="3">
        <f>Total!D24</f>
        <v>0</v>
      </c>
      <c r="D18" s="3">
        <f>Total!E24</f>
        <v>0</v>
      </c>
      <c r="E18" s="3">
        <f>Total!F24</f>
        <v>43100</v>
      </c>
      <c r="F18" s="3">
        <f>Total!G24</f>
        <v>0</v>
      </c>
      <c r="G18" s="3">
        <f>Total!H24</f>
        <v>43100</v>
      </c>
      <c r="H18" t="s">
        <v>211</v>
      </c>
      <c r="I18" t="s">
        <v>290</v>
      </c>
      <c r="J18">
        <v>9434</v>
      </c>
      <c r="K18" t="s">
        <v>21</v>
      </c>
    </row>
    <row r="19" spans="1:11" x14ac:dyDescent="0.2">
      <c r="A19" t="s">
        <v>22</v>
      </c>
      <c r="B19" s="3">
        <f>Total!C25</f>
        <v>0</v>
      </c>
      <c r="C19" s="3">
        <f>Total!D25</f>
        <v>0</v>
      </c>
      <c r="D19" s="3">
        <f>Total!E25</f>
        <v>5700</v>
      </c>
      <c r="E19" s="3">
        <f>Total!F25</f>
        <v>0</v>
      </c>
      <c r="F19" s="3">
        <f>Total!G25</f>
        <v>0</v>
      </c>
      <c r="G19" s="3">
        <f>Total!H25</f>
        <v>5700</v>
      </c>
      <c r="H19" t="s">
        <v>211</v>
      </c>
      <c r="I19" t="s">
        <v>291</v>
      </c>
      <c r="J19">
        <v>9442</v>
      </c>
      <c r="K19" t="s">
        <v>22</v>
      </c>
    </row>
    <row r="20" spans="1:11" x14ac:dyDescent="0.2">
      <c r="A20" t="s">
        <v>23</v>
      </c>
      <c r="B20" s="3">
        <f>Total!C26</f>
        <v>0</v>
      </c>
      <c r="C20" s="3">
        <f>Total!D26</f>
        <v>0</v>
      </c>
      <c r="D20" s="3">
        <f>Total!E26</f>
        <v>0</v>
      </c>
      <c r="E20" s="3">
        <f>Total!F26</f>
        <v>0</v>
      </c>
      <c r="F20" s="3">
        <f>Total!G26</f>
        <v>0</v>
      </c>
      <c r="G20" s="3">
        <f>Total!H26</f>
        <v>0</v>
      </c>
      <c r="H20" t="s">
        <v>211</v>
      </c>
      <c r="I20" t="s">
        <v>292</v>
      </c>
      <c r="J20">
        <v>9436</v>
      </c>
      <c r="K20" t="s">
        <v>23</v>
      </c>
    </row>
    <row r="21" spans="1:11" x14ac:dyDescent="0.2">
      <c r="A21" t="s">
        <v>24</v>
      </c>
      <c r="B21" s="3">
        <f>Total!C27</f>
        <v>0</v>
      </c>
      <c r="C21" s="3">
        <f>Total!D27</f>
        <v>0</v>
      </c>
      <c r="D21" s="3">
        <f>Total!E27</f>
        <v>261900</v>
      </c>
      <c r="E21" s="3">
        <f>Total!F27</f>
        <v>0</v>
      </c>
      <c r="F21" s="3">
        <f>Total!G27</f>
        <v>0</v>
      </c>
      <c r="G21" s="3">
        <f>Total!H27</f>
        <v>261900</v>
      </c>
      <c r="H21" t="s">
        <v>211</v>
      </c>
      <c r="I21" t="s">
        <v>293</v>
      </c>
      <c r="J21">
        <v>9444</v>
      </c>
      <c r="K21" t="s">
        <v>24</v>
      </c>
    </row>
    <row r="22" spans="1:11" x14ac:dyDescent="0.2">
      <c r="A22" t="s">
        <v>25</v>
      </c>
      <c r="B22" s="3">
        <f>Total!C28</f>
        <v>0</v>
      </c>
      <c r="C22" s="3">
        <f>Total!D28</f>
        <v>0</v>
      </c>
      <c r="D22" s="3">
        <f>Total!E28</f>
        <v>18800</v>
      </c>
      <c r="E22" s="3">
        <f>Total!F28</f>
        <v>0</v>
      </c>
      <c r="F22" s="3">
        <f>Total!G28</f>
        <v>0</v>
      </c>
      <c r="G22" s="3">
        <f>Total!H28</f>
        <v>18800</v>
      </c>
      <c r="H22" t="s">
        <v>211</v>
      </c>
      <c r="I22" t="s">
        <v>294</v>
      </c>
      <c r="J22">
        <v>9443</v>
      </c>
      <c r="K22" t="s">
        <v>25</v>
      </c>
    </row>
    <row r="23" spans="1:11" x14ac:dyDescent="0.2">
      <c r="A23" t="s">
        <v>26</v>
      </c>
      <c r="B23" s="3">
        <f>Total!C29</f>
        <v>484100</v>
      </c>
      <c r="C23" s="3">
        <f>Total!D29</f>
        <v>0</v>
      </c>
      <c r="D23" s="3">
        <f>Total!E29</f>
        <v>0</v>
      </c>
      <c r="E23" s="3">
        <f>Total!F29</f>
        <v>105900</v>
      </c>
      <c r="F23" s="3">
        <f>Total!G29</f>
        <v>0</v>
      </c>
      <c r="G23" s="3">
        <f>Total!H29</f>
        <v>590000</v>
      </c>
      <c r="H23" t="s">
        <v>211</v>
      </c>
      <c r="I23" t="s">
        <v>295</v>
      </c>
      <c r="J23">
        <v>9445</v>
      </c>
      <c r="K23" t="s">
        <v>26</v>
      </c>
    </row>
    <row r="24" spans="1:11" x14ac:dyDescent="0.2">
      <c r="A24" t="s">
        <v>27</v>
      </c>
      <c r="B24" s="3">
        <f>Total!C30</f>
        <v>416300</v>
      </c>
      <c r="C24" s="3">
        <f>Total!D30</f>
        <v>136900</v>
      </c>
      <c r="D24" s="3">
        <f>Total!E30</f>
        <v>0</v>
      </c>
      <c r="E24" s="3">
        <f>Total!F30</f>
        <v>0</v>
      </c>
      <c r="F24" s="3">
        <f>Total!G30</f>
        <v>0</v>
      </c>
      <c r="G24" s="3">
        <f>Total!H30</f>
        <v>553200</v>
      </c>
      <c r="H24" t="s">
        <v>211</v>
      </c>
      <c r="I24" t="s">
        <v>296</v>
      </c>
      <c r="J24">
        <v>9437</v>
      </c>
      <c r="K24" t="s">
        <v>27</v>
      </c>
    </row>
    <row r="25" spans="1:11" x14ac:dyDescent="0.2">
      <c r="A25" t="s">
        <v>28</v>
      </c>
      <c r="B25" s="3">
        <f>Total!C31</f>
        <v>950800</v>
      </c>
      <c r="C25" s="3">
        <f>Total!D31</f>
        <v>934400</v>
      </c>
      <c r="D25" s="3">
        <f>Total!E31</f>
        <v>0</v>
      </c>
      <c r="E25" s="3">
        <f>Total!F31</f>
        <v>0</v>
      </c>
      <c r="F25" s="3">
        <f>Total!G31</f>
        <v>0</v>
      </c>
      <c r="G25" s="3">
        <f>Total!H31</f>
        <v>1885200</v>
      </c>
      <c r="H25" t="s">
        <v>273</v>
      </c>
      <c r="I25" t="s">
        <v>297</v>
      </c>
      <c r="J25">
        <v>9450</v>
      </c>
      <c r="K25" t="s">
        <v>28</v>
      </c>
    </row>
    <row r="26" spans="1:11" x14ac:dyDescent="0.2">
      <c r="A26" t="s">
        <v>29</v>
      </c>
      <c r="B26" s="3">
        <f>Total!C32</f>
        <v>935700</v>
      </c>
      <c r="C26" s="3">
        <f>Total!D32</f>
        <v>232200</v>
      </c>
      <c r="D26" s="3">
        <f>Total!E32</f>
        <v>129900</v>
      </c>
      <c r="E26" s="3">
        <f>Total!F32</f>
        <v>0</v>
      </c>
      <c r="F26" s="3">
        <f>Total!G32</f>
        <v>0</v>
      </c>
      <c r="G26" s="3">
        <f>Total!H32</f>
        <v>1297800</v>
      </c>
      <c r="H26" t="s">
        <v>211</v>
      </c>
      <c r="I26" t="s">
        <v>298</v>
      </c>
      <c r="J26">
        <v>9453</v>
      </c>
      <c r="K26" t="s">
        <v>29</v>
      </c>
    </row>
    <row r="27" spans="1:11" x14ac:dyDescent="0.2">
      <c r="A27" t="s">
        <v>30</v>
      </c>
      <c r="B27" s="3">
        <f>Total!C33</f>
        <v>1300500</v>
      </c>
      <c r="C27" s="3">
        <f>Total!D33</f>
        <v>1412300</v>
      </c>
      <c r="D27" s="3">
        <f>Total!E33</f>
        <v>874600</v>
      </c>
      <c r="E27" s="3">
        <f>Total!F33</f>
        <v>0</v>
      </c>
      <c r="F27" s="3">
        <f>Total!G33</f>
        <v>0</v>
      </c>
      <c r="G27" s="3">
        <f>Total!H33</f>
        <v>3587400</v>
      </c>
      <c r="H27" t="s">
        <v>211</v>
      </c>
      <c r="I27" t="s">
        <v>299</v>
      </c>
      <c r="J27">
        <v>9463</v>
      </c>
      <c r="K27" t="s">
        <v>30</v>
      </c>
    </row>
    <row r="28" spans="1:11" x14ac:dyDescent="0.2">
      <c r="A28" t="s">
        <v>31</v>
      </c>
      <c r="B28" s="3">
        <f>Total!C34</f>
        <v>505400</v>
      </c>
      <c r="C28" s="3">
        <f>Total!D34</f>
        <v>243800</v>
      </c>
      <c r="D28" s="3">
        <f>Total!E34</f>
        <v>688400</v>
      </c>
      <c r="E28" s="3">
        <f>Total!F34</f>
        <v>0</v>
      </c>
      <c r="F28" s="3">
        <f>Total!G34</f>
        <v>0</v>
      </c>
      <c r="G28" s="3">
        <f>Total!H34</f>
        <v>1437600</v>
      </c>
      <c r="H28" t="s">
        <v>211</v>
      </c>
      <c r="I28" t="s">
        <v>300</v>
      </c>
      <c r="J28">
        <v>9464</v>
      </c>
      <c r="K28" t="s">
        <v>31</v>
      </c>
    </row>
    <row r="29" spans="1:11" x14ac:dyDescent="0.2">
      <c r="A29" t="s">
        <v>32</v>
      </c>
      <c r="B29" s="3">
        <f>Total!C35</f>
        <v>0</v>
      </c>
      <c r="C29" s="3">
        <f>Total!D35</f>
        <v>0</v>
      </c>
      <c r="D29" s="3">
        <f>Total!E35</f>
        <v>0</v>
      </c>
      <c r="E29" s="3">
        <f>Total!F35</f>
        <v>0</v>
      </c>
      <c r="F29" s="3">
        <f>Total!G35</f>
        <v>0</v>
      </c>
      <c r="G29" s="3">
        <f>Total!H35</f>
        <v>0</v>
      </c>
      <c r="H29" t="s">
        <v>211</v>
      </c>
      <c r="I29" t="s">
        <v>301</v>
      </c>
      <c r="J29">
        <v>9467</v>
      </c>
      <c r="K29" t="s">
        <v>302</v>
      </c>
    </row>
    <row r="30" spans="1:11" x14ac:dyDescent="0.2">
      <c r="A30" t="s">
        <v>33</v>
      </c>
      <c r="B30" s="3">
        <f>Total!C36</f>
        <v>1598300</v>
      </c>
      <c r="C30" s="3">
        <f>Total!D36</f>
        <v>414000</v>
      </c>
      <c r="D30" s="3">
        <f>Total!E36</f>
        <v>842300</v>
      </c>
      <c r="E30" s="3">
        <f>Total!F36</f>
        <v>0</v>
      </c>
      <c r="F30" s="3">
        <f>Total!G36</f>
        <v>0</v>
      </c>
      <c r="G30" s="3">
        <f>Total!H36</f>
        <v>2854600</v>
      </c>
      <c r="H30" t="s">
        <v>211</v>
      </c>
      <c r="I30" t="s">
        <v>274</v>
      </c>
      <c r="J30">
        <v>9473</v>
      </c>
      <c r="K30" t="s">
        <v>33</v>
      </c>
    </row>
    <row r="31" spans="1:11" x14ac:dyDescent="0.2">
      <c r="A31" t="s">
        <v>34</v>
      </c>
      <c r="B31" s="3">
        <f>Total!C37</f>
        <v>2174300</v>
      </c>
      <c r="C31" s="3">
        <f>Total!D37</f>
        <v>1000600</v>
      </c>
      <c r="D31" s="3">
        <f>Total!E37</f>
        <v>739300</v>
      </c>
      <c r="E31" s="3">
        <f>Total!F37</f>
        <v>0</v>
      </c>
      <c r="F31" s="3">
        <f>Total!G37</f>
        <v>0</v>
      </c>
      <c r="G31" s="3">
        <f>Total!H37</f>
        <v>3914200</v>
      </c>
      <c r="H31" t="s">
        <v>211</v>
      </c>
      <c r="I31" t="s">
        <v>303</v>
      </c>
      <c r="J31">
        <v>9472</v>
      </c>
      <c r="K31" t="s">
        <v>34</v>
      </c>
    </row>
    <row r="32" spans="1:11" x14ac:dyDescent="0.2">
      <c r="A32" t="s">
        <v>35</v>
      </c>
      <c r="B32" s="3">
        <f>Total!C38</f>
        <v>0</v>
      </c>
      <c r="C32" s="3">
        <f>Total!D38</f>
        <v>0</v>
      </c>
      <c r="D32" s="3">
        <f>Total!E38</f>
        <v>672600</v>
      </c>
      <c r="E32" s="3">
        <f>Total!F38</f>
        <v>0</v>
      </c>
      <c r="F32" s="3">
        <f>Total!G38</f>
        <v>0</v>
      </c>
      <c r="G32" s="3">
        <f>Total!H38</f>
        <v>672600</v>
      </c>
      <c r="H32" t="s">
        <v>273</v>
      </c>
      <c r="I32" t="s">
        <v>304</v>
      </c>
      <c r="J32">
        <v>9471</v>
      </c>
      <c r="K32" t="s">
        <v>35</v>
      </c>
    </row>
    <row r="33" spans="1:11" x14ac:dyDescent="0.2">
      <c r="A33" t="s">
        <v>36</v>
      </c>
      <c r="B33" s="3">
        <f>Total!C39</f>
        <v>2806700</v>
      </c>
      <c r="C33" s="3">
        <f>Total!D39</f>
        <v>95600</v>
      </c>
      <c r="D33" s="3">
        <f>Total!E39</f>
        <v>1068200</v>
      </c>
      <c r="E33" s="3">
        <f>Total!F39</f>
        <v>0</v>
      </c>
      <c r="F33" s="3">
        <f>Total!G39</f>
        <v>0</v>
      </c>
      <c r="G33" s="3">
        <f>Total!H39</f>
        <v>3970500</v>
      </c>
      <c r="H33" t="s">
        <v>211</v>
      </c>
      <c r="I33" t="s">
        <v>305</v>
      </c>
      <c r="J33">
        <v>9475</v>
      </c>
      <c r="K33" t="s">
        <v>36</v>
      </c>
    </row>
    <row r="34" spans="1:11" x14ac:dyDescent="0.2">
      <c r="A34" t="s">
        <v>37</v>
      </c>
      <c r="B34" s="3">
        <f>Total!C40</f>
        <v>4012200</v>
      </c>
      <c r="C34" s="3">
        <f>Total!D40</f>
        <v>318100</v>
      </c>
      <c r="D34" s="3">
        <f>Total!E40</f>
        <v>1242100</v>
      </c>
      <c r="E34" s="3">
        <f>Total!F40</f>
        <v>0</v>
      </c>
      <c r="F34" s="3">
        <f>Total!G40</f>
        <v>0</v>
      </c>
      <c r="G34" s="3">
        <f>Total!H40</f>
        <v>5572400</v>
      </c>
      <c r="H34" t="s">
        <v>211</v>
      </c>
      <c r="I34" t="s">
        <v>306</v>
      </c>
      <c r="J34">
        <v>9478</v>
      </c>
      <c r="K34" t="s">
        <v>307</v>
      </c>
    </row>
    <row r="35" spans="1:11" x14ac:dyDescent="0.2">
      <c r="A35" t="s">
        <v>38</v>
      </c>
      <c r="B35" s="3">
        <f>Total!C41</f>
        <v>2014700</v>
      </c>
      <c r="C35" s="3">
        <f>Total!D41</f>
        <v>0</v>
      </c>
      <c r="D35" s="3">
        <f>Total!E41</f>
        <v>663800</v>
      </c>
      <c r="E35" s="3">
        <f>Total!F41</f>
        <v>0</v>
      </c>
      <c r="F35" s="3">
        <f>Total!G41</f>
        <v>0</v>
      </c>
      <c r="G35" s="3">
        <f>Total!H41</f>
        <v>2678500</v>
      </c>
      <c r="H35" t="s">
        <v>211</v>
      </c>
      <c r="I35" t="s">
        <v>308</v>
      </c>
      <c r="J35">
        <v>7320</v>
      </c>
      <c r="K35" t="s">
        <v>38</v>
      </c>
    </row>
    <row r="36" spans="1:11" x14ac:dyDescent="0.2">
      <c r="A36" t="s">
        <v>39</v>
      </c>
      <c r="B36" s="3">
        <f>Total!C42</f>
        <v>2138000</v>
      </c>
      <c r="C36" s="3">
        <f>Total!D42</f>
        <v>157100</v>
      </c>
      <c r="D36" s="3">
        <f>Total!E42</f>
        <v>112600</v>
      </c>
      <c r="E36" s="3">
        <f>Total!F42</f>
        <v>0</v>
      </c>
      <c r="F36" s="3">
        <f>Total!G42</f>
        <v>0</v>
      </c>
      <c r="G36" s="3">
        <f>Total!H42</f>
        <v>2407700</v>
      </c>
      <c r="H36" t="s">
        <v>211</v>
      </c>
      <c r="I36" t="s">
        <v>309</v>
      </c>
      <c r="J36">
        <v>7323</v>
      </c>
      <c r="K36" t="s">
        <v>310</v>
      </c>
    </row>
    <row r="37" spans="1:11" x14ac:dyDescent="0.2">
      <c r="A37" t="s">
        <v>40</v>
      </c>
      <c r="B37" s="3">
        <f>Total!C43</f>
        <v>0</v>
      </c>
      <c r="C37" s="3">
        <f>Total!D43</f>
        <v>0</v>
      </c>
      <c r="D37" s="3">
        <f>Total!E43</f>
        <v>0</v>
      </c>
      <c r="E37" s="3">
        <f>Total!F43</f>
        <v>0</v>
      </c>
      <c r="F37" s="3">
        <f>Total!G43</f>
        <v>0</v>
      </c>
      <c r="G37" s="3">
        <f>Total!H43</f>
        <v>0</v>
      </c>
      <c r="H37" t="s">
        <v>211</v>
      </c>
      <c r="I37" t="s">
        <v>297</v>
      </c>
      <c r="J37">
        <v>7310</v>
      </c>
      <c r="K37" t="s">
        <v>40</v>
      </c>
    </row>
    <row r="38" spans="1:11" x14ac:dyDescent="0.2">
      <c r="A38" t="s">
        <v>41</v>
      </c>
      <c r="B38" s="3">
        <f>Total!C44</f>
        <v>1358700</v>
      </c>
      <c r="C38" s="3">
        <f>Total!D44</f>
        <v>2364900</v>
      </c>
      <c r="D38" s="3">
        <f>Total!E44</f>
        <v>18800</v>
      </c>
      <c r="E38" s="3">
        <f>Total!F44</f>
        <v>120400</v>
      </c>
      <c r="F38" s="3">
        <f>Total!G44</f>
        <v>0</v>
      </c>
      <c r="G38" s="3">
        <f>Total!H44</f>
        <v>3862800</v>
      </c>
      <c r="H38" t="s">
        <v>211</v>
      </c>
      <c r="I38" t="s">
        <v>311</v>
      </c>
      <c r="J38">
        <v>7312</v>
      </c>
      <c r="K38" t="s">
        <v>41</v>
      </c>
    </row>
    <row r="39" spans="1:11" x14ac:dyDescent="0.2">
      <c r="A39" t="s">
        <v>42</v>
      </c>
      <c r="B39" s="3">
        <f>Total!C45</f>
        <v>5380200</v>
      </c>
      <c r="C39" s="3">
        <f>Total!D45</f>
        <v>984000</v>
      </c>
      <c r="D39" s="3">
        <f>Total!E45</f>
        <v>740000</v>
      </c>
      <c r="E39" s="3">
        <f>Total!F45</f>
        <v>0</v>
      </c>
      <c r="F39" s="3">
        <f>Total!G45</f>
        <v>0</v>
      </c>
      <c r="G39" s="3">
        <f>Total!H45</f>
        <v>7104200</v>
      </c>
      <c r="H39" t="s">
        <v>211</v>
      </c>
      <c r="I39" t="s">
        <v>312</v>
      </c>
      <c r="J39">
        <v>8887</v>
      </c>
      <c r="K39" t="s">
        <v>42</v>
      </c>
    </row>
    <row r="40" spans="1:11" x14ac:dyDescent="0.2">
      <c r="A40" t="s">
        <v>43</v>
      </c>
      <c r="B40" s="3">
        <f>Total!C46</f>
        <v>2803500</v>
      </c>
      <c r="C40" s="3">
        <f>Total!D46</f>
        <v>967000</v>
      </c>
      <c r="D40" s="3">
        <f>Total!E46</f>
        <v>735700</v>
      </c>
      <c r="E40" s="3">
        <f>Total!F46</f>
        <v>0</v>
      </c>
      <c r="F40" s="3">
        <f>Total!G46</f>
        <v>0</v>
      </c>
      <c r="G40" s="3">
        <f>Total!H46</f>
        <v>4506200</v>
      </c>
      <c r="H40" t="s">
        <v>211</v>
      </c>
      <c r="I40" t="s">
        <v>313</v>
      </c>
      <c r="J40">
        <v>8890</v>
      </c>
      <c r="K40" t="s">
        <v>43</v>
      </c>
    </row>
    <row r="41" spans="1:11" x14ac:dyDescent="0.2">
      <c r="A41" t="s">
        <v>44</v>
      </c>
      <c r="B41" s="3">
        <f>Total!C47</f>
        <v>1987000</v>
      </c>
      <c r="C41" s="3">
        <f>Total!D47</f>
        <v>0</v>
      </c>
      <c r="D41" s="3">
        <f>Total!E47</f>
        <v>252300</v>
      </c>
      <c r="E41" s="3">
        <f>Total!F47</f>
        <v>0</v>
      </c>
      <c r="F41" s="3">
        <f>Total!G47</f>
        <v>0</v>
      </c>
      <c r="G41" s="3">
        <f>Total!H47</f>
        <v>2239300</v>
      </c>
      <c r="H41" t="s">
        <v>211</v>
      </c>
      <c r="I41" t="s">
        <v>314</v>
      </c>
      <c r="J41">
        <v>8880</v>
      </c>
      <c r="K41" t="s">
        <v>44</v>
      </c>
    </row>
    <row r="42" spans="1:11" x14ac:dyDescent="0.2">
      <c r="A42" t="s">
        <v>45</v>
      </c>
      <c r="B42" s="3">
        <f>Total!C48</f>
        <v>246900</v>
      </c>
      <c r="C42" s="3">
        <f>Total!D48</f>
        <v>452200</v>
      </c>
      <c r="D42" s="3">
        <f>Total!E48</f>
        <v>0</v>
      </c>
      <c r="E42" s="3">
        <f>Total!F48</f>
        <v>61100</v>
      </c>
      <c r="F42" s="3">
        <f>Total!G48</f>
        <v>0</v>
      </c>
      <c r="G42" s="3">
        <f>Total!H48</f>
        <v>760200</v>
      </c>
      <c r="H42" t="s">
        <v>211</v>
      </c>
      <c r="I42" t="s">
        <v>315</v>
      </c>
      <c r="J42">
        <v>8882</v>
      </c>
      <c r="K42" t="s">
        <v>316</v>
      </c>
    </row>
    <row r="43" spans="1:11" x14ac:dyDescent="0.2">
      <c r="A43" t="s">
        <v>46</v>
      </c>
      <c r="B43" s="3">
        <f>Total!C49</f>
        <v>0</v>
      </c>
      <c r="C43" s="3">
        <f>Total!D49</f>
        <v>114200</v>
      </c>
      <c r="D43" s="3">
        <f>Total!E49</f>
        <v>0</v>
      </c>
      <c r="E43" s="3">
        <f>Total!F49</f>
        <v>0</v>
      </c>
      <c r="F43" s="3">
        <f>Total!G49</f>
        <v>0</v>
      </c>
      <c r="G43" s="3">
        <f>Total!H49</f>
        <v>114200</v>
      </c>
      <c r="H43" t="s">
        <v>211</v>
      </c>
      <c r="I43" t="s">
        <v>317</v>
      </c>
      <c r="J43">
        <v>8873</v>
      </c>
      <c r="K43" t="s">
        <v>46</v>
      </c>
    </row>
    <row r="44" spans="1:11" x14ac:dyDescent="0.2">
      <c r="A44" t="s">
        <v>47</v>
      </c>
      <c r="B44" s="3">
        <f>Total!C50</f>
        <v>0</v>
      </c>
      <c r="C44" s="3">
        <f>Total!D50</f>
        <v>0</v>
      </c>
      <c r="D44" s="3">
        <f>Total!E50</f>
        <v>0</v>
      </c>
      <c r="E44" s="3">
        <f>Total!F50</f>
        <v>0</v>
      </c>
      <c r="F44" s="3">
        <f>Total!G50</f>
        <v>0</v>
      </c>
      <c r="G44" s="3">
        <f>Total!H50</f>
        <v>0</v>
      </c>
      <c r="H44" t="s">
        <v>211</v>
      </c>
      <c r="I44" t="s">
        <v>318</v>
      </c>
      <c r="J44">
        <v>8872</v>
      </c>
      <c r="K44" t="s">
        <v>47</v>
      </c>
    </row>
    <row r="45" spans="1:11" x14ac:dyDescent="0.2">
      <c r="A45" t="s">
        <v>48</v>
      </c>
      <c r="B45" s="3">
        <f>Total!C51</f>
        <v>3573800</v>
      </c>
      <c r="C45" s="3">
        <f>Total!D51</f>
        <v>255800</v>
      </c>
      <c r="D45" s="3">
        <f>Total!E51</f>
        <v>1384600</v>
      </c>
      <c r="E45" s="3">
        <f>Total!F51</f>
        <v>116600</v>
      </c>
      <c r="F45" s="3">
        <f>Total!G51</f>
        <v>0</v>
      </c>
      <c r="G45" s="3">
        <f>Total!H51</f>
        <v>5330800</v>
      </c>
      <c r="H45" t="s">
        <v>211</v>
      </c>
      <c r="I45" t="s">
        <v>319</v>
      </c>
      <c r="J45">
        <v>8718</v>
      </c>
      <c r="K45" t="s">
        <v>48</v>
      </c>
    </row>
    <row r="46" spans="1:11" x14ac:dyDescent="0.2">
      <c r="A46" t="s">
        <v>49</v>
      </c>
      <c r="B46" s="3">
        <f>Total!C52</f>
        <v>1658600</v>
      </c>
      <c r="C46" s="3">
        <f>Total!D52</f>
        <v>187800</v>
      </c>
      <c r="D46" s="3">
        <f>Total!E52</f>
        <v>578100</v>
      </c>
      <c r="E46" s="3">
        <f>Total!F52</f>
        <v>0</v>
      </c>
      <c r="F46" s="3">
        <f>Total!G52</f>
        <v>0</v>
      </c>
      <c r="G46" s="3">
        <f>Total!H52</f>
        <v>2424500</v>
      </c>
      <c r="H46" t="s">
        <v>211</v>
      </c>
      <c r="I46" t="s">
        <v>468</v>
      </c>
      <c r="J46">
        <v>8717</v>
      </c>
      <c r="K46" t="s">
        <v>49</v>
      </c>
    </row>
    <row r="47" spans="1:11" x14ac:dyDescent="0.2">
      <c r="A47" t="s">
        <v>50</v>
      </c>
      <c r="B47" s="3">
        <f>Total!C53</f>
        <v>3066100</v>
      </c>
      <c r="C47" s="3">
        <f>Total!D53</f>
        <v>0</v>
      </c>
      <c r="D47" s="3">
        <f>Total!E53</f>
        <v>311600</v>
      </c>
      <c r="E47" s="3">
        <f>Total!F53</f>
        <v>64100</v>
      </c>
      <c r="F47" s="3">
        <f>Total!G53</f>
        <v>0</v>
      </c>
      <c r="G47" s="3">
        <f>Total!H53</f>
        <v>3441800</v>
      </c>
      <c r="H47" t="s">
        <v>211</v>
      </c>
      <c r="I47" t="s">
        <v>320</v>
      </c>
      <c r="J47">
        <v>8722</v>
      </c>
      <c r="K47" t="s">
        <v>50</v>
      </c>
    </row>
    <row r="48" spans="1:11" x14ac:dyDescent="0.2">
      <c r="A48" t="s">
        <v>51</v>
      </c>
      <c r="B48" s="3">
        <f>Total!C54</f>
        <v>0</v>
      </c>
      <c r="C48" s="3">
        <f>Total!D54</f>
        <v>92800</v>
      </c>
      <c r="D48" s="3">
        <f>Total!E54</f>
        <v>0</v>
      </c>
      <c r="E48" s="3">
        <f>Total!F54</f>
        <v>0</v>
      </c>
      <c r="F48" s="3">
        <f>Total!G54</f>
        <v>0</v>
      </c>
      <c r="G48" s="3">
        <f>Total!H54</f>
        <v>92800</v>
      </c>
      <c r="H48" t="s">
        <v>211</v>
      </c>
      <c r="I48" t="s">
        <v>469</v>
      </c>
      <c r="J48">
        <v>8737</v>
      </c>
      <c r="K48" t="s">
        <v>51</v>
      </c>
    </row>
    <row r="49" spans="1:11" x14ac:dyDescent="0.2">
      <c r="A49" t="s">
        <v>52</v>
      </c>
      <c r="B49" s="3">
        <f>Total!C55</f>
        <v>1775200</v>
      </c>
      <c r="C49" s="3">
        <f>Total!D55</f>
        <v>0</v>
      </c>
      <c r="D49" s="3">
        <f>Total!E55</f>
        <v>917700</v>
      </c>
      <c r="E49" s="3">
        <f>Total!F55</f>
        <v>0</v>
      </c>
      <c r="F49" s="3">
        <f>Total!G55</f>
        <v>0</v>
      </c>
      <c r="G49" s="3">
        <f>Total!H55</f>
        <v>2692900</v>
      </c>
      <c r="H49" t="s">
        <v>211</v>
      </c>
      <c r="I49" t="s">
        <v>321</v>
      </c>
      <c r="J49">
        <v>8730</v>
      </c>
      <c r="K49" t="s">
        <v>52</v>
      </c>
    </row>
    <row r="50" spans="1:11" x14ac:dyDescent="0.2">
      <c r="A50" t="s">
        <v>53</v>
      </c>
      <c r="B50" s="3">
        <f>Total!C56</f>
        <v>0</v>
      </c>
      <c r="C50" s="3">
        <f>Total!D56</f>
        <v>0</v>
      </c>
      <c r="D50" s="3">
        <f>Total!E56</f>
        <v>0</v>
      </c>
      <c r="E50" s="3">
        <f>Total!F56</f>
        <v>23000</v>
      </c>
      <c r="F50" s="3">
        <f>Total!G56</f>
        <v>0</v>
      </c>
      <c r="G50" s="3">
        <f>Total!H56</f>
        <v>23000</v>
      </c>
      <c r="H50" t="s">
        <v>211</v>
      </c>
      <c r="I50" t="s">
        <v>322</v>
      </c>
      <c r="J50">
        <v>8716</v>
      </c>
      <c r="K50" t="s">
        <v>53</v>
      </c>
    </row>
    <row r="51" spans="1:11" x14ac:dyDescent="0.2">
      <c r="A51" t="s">
        <v>54</v>
      </c>
      <c r="B51" s="3">
        <f>Total!C57</f>
        <v>0</v>
      </c>
      <c r="C51" s="3">
        <f>Total!D57</f>
        <v>0</v>
      </c>
      <c r="D51" s="3">
        <f>Total!E57</f>
        <v>0</v>
      </c>
      <c r="E51" s="3">
        <f>Total!F57</f>
        <v>731700</v>
      </c>
      <c r="F51" s="3">
        <f>Total!G57</f>
        <v>0</v>
      </c>
      <c r="G51" s="3">
        <f>Total!H57</f>
        <v>731700</v>
      </c>
      <c r="H51" t="s">
        <v>273</v>
      </c>
      <c r="I51" t="s">
        <v>323</v>
      </c>
      <c r="J51">
        <v>8645</v>
      </c>
      <c r="K51" t="s">
        <v>324</v>
      </c>
    </row>
    <row r="52" spans="1:11" x14ac:dyDescent="0.2">
      <c r="A52" t="s">
        <v>55</v>
      </c>
      <c r="B52" s="3">
        <f>Total!C58</f>
        <v>2037900</v>
      </c>
      <c r="C52" s="3">
        <f>Total!D58</f>
        <v>1486300</v>
      </c>
      <c r="D52" s="3">
        <f>Total!E58</f>
        <v>532200</v>
      </c>
      <c r="E52" s="3">
        <f>Total!F58</f>
        <v>0</v>
      </c>
      <c r="F52" s="3">
        <f>Total!G58</f>
        <v>0</v>
      </c>
      <c r="G52" s="3">
        <f>Total!H58</f>
        <v>4056400</v>
      </c>
      <c r="H52" t="s">
        <v>211</v>
      </c>
      <c r="I52" t="s">
        <v>325</v>
      </c>
      <c r="J52">
        <v>8733</v>
      </c>
      <c r="K52" t="s">
        <v>55</v>
      </c>
    </row>
    <row r="53" spans="1:11" x14ac:dyDescent="0.2">
      <c r="A53" t="s">
        <v>56</v>
      </c>
      <c r="B53" s="3">
        <f>Total!C59</f>
        <v>167300</v>
      </c>
      <c r="C53" s="3">
        <f>Total!D59</f>
        <v>2266900</v>
      </c>
      <c r="D53" s="3">
        <f>Total!E59</f>
        <v>219300</v>
      </c>
      <c r="E53" s="3">
        <f>Total!F59</f>
        <v>0</v>
      </c>
      <c r="F53" s="3">
        <f>Total!G59</f>
        <v>0</v>
      </c>
      <c r="G53" s="3">
        <f>Total!H59</f>
        <v>2653500</v>
      </c>
      <c r="H53" t="s">
        <v>211</v>
      </c>
      <c r="I53" t="s">
        <v>326</v>
      </c>
      <c r="J53">
        <v>9656</v>
      </c>
      <c r="K53" t="s">
        <v>327</v>
      </c>
    </row>
    <row r="54" spans="1:11" x14ac:dyDescent="0.2">
      <c r="A54" t="s">
        <v>57</v>
      </c>
      <c r="B54" s="3">
        <f>Total!C60</f>
        <v>3124200</v>
      </c>
      <c r="C54" s="3">
        <f>Total!D60</f>
        <v>2328000</v>
      </c>
      <c r="D54" s="3">
        <f>Total!E60</f>
        <v>0</v>
      </c>
      <c r="E54" s="3">
        <f>Total!F60</f>
        <v>94400</v>
      </c>
      <c r="F54" s="3">
        <f>Total!G60</f>
        <v>0</v>
      </c>
      <c r="G54" s="3">
        <f>Total!H60</f>
        <v>5546600</v>
      </c>
      <c r="H54" t="s">
        <v>211</v>
      </c>
      <c r="I54" t="s">
        <v>328</v>
      </c>
      <c r="J54">
        <v>9650</v>
      </c>
      <c r="K54" t="s">
        <v>57</v>
      </c>
    </row>
    <row r="55" spans="1:11" x14ac:dyDescent="0.2">
      <c r="A55" t="s">
        <v>58</v>
      </c>
      <c r="B55" s="3">
        <f>Total!C61</f>
        <v>3895500</v>
      </c>
      <c r="C55" s="3">
        <f>Total!D61</f>
        <v>1405600</v>
      </c>
      <c r="D55" s="3">
        <f>Total!E61</f>
        <v>4100</v>
      </c>
      <c r="E55" s="3">
        <f>Total!F61</f>
        <v>288100</v>
      </c>
      <c r="F55" s="3">
        <f>Total!G61</f>
        <v>0</v>
      </c>
      <c r="G55" s="3">
        <f>Total!H61</f>
        <v>5593300</v>
      </c>
      <c r="H55" t="s">
        <v>211</v>
      </c>
      <c r="I55" t="s">
        <v>329</v>
      </c>
      <c r="J55">
        <v>9642</v>
      </c>
      <c r="K55" t="s">
        <v>58</v>
      </c>
    </row>
    <row r="56" spans="1:11" x14ac:dyDescent="0.2">
      <c r="A56" t="s">
        <v>59</v>
      </c>
      <c r="B56" s="3">
        <f>Total!C62</f>
        <v>6529400</v>
      </c>
      <c r="C56" s="3">
        <f>Total!D62</f>
        <v>1139000</v>
      </c>
      <c r="D56" s="3">
        <f>Total!E62</f>
        <v>240000</v>
      </c>
      <c r="E56" s="3">
        <f>Total!F62</f>
        <v>421400</v>
      </c>
      <c r="F56" s="3">
        <f>Total!G62</f>
        <v>0</v>
      </c>
      <c r="G56" s="3">
        <f>Total!H62</f>
        <v>8329800</v>
      </c>
      <c r="H56" t="s">
        <v>211</v>
      </c>
      <c r="I56" t="s">
        <v>330</v>
      </c>
      <c r="J56">
        <v>9630</v>
      </c>
      <c r="K56" t="s">
        <v>59</v>
      </c>
    </row>
    <row r="57" spans="1:11" x14ac:dyDescent="0.2">
      <c r="A57" t="s">
        <v>60</v>
      </c>
      <c r="B57" s="3">
        <f>Total!C63</f>
        <v>729800</v>
      </c>
      <c r="C57" s="3">
        <f>Total!D63</f>
        <v>0</v>
      </c>
      <c r="D57" s="3">
        <f>Total!E63</f>
        <v>0</v>
      </c>
      <c r="E57" s="3">
        <f>Total!F63</f>
        <v>12300</v>
      </c>
      <c r="F57" s="3">
        <f>Total!G63</f>
        <v>0</v>
      </c>
      <c r="G57" s="3">
        <f>Total!H63</f>
        <v>742100</v>
      </c>
      <c r="H57" t="s">
        <v>273</v>
      </c>
      <c r="I57" t="s">
        <v>331</v>
      </c>
      <c r="J57">
        <v>9620</v>
      </c>
      <c r="K57" t="s">
        <v>60</v>
      </c>
    </row>
    <row r="58" spans="1:11" x14ac:dyDescent="0.2">
      <c r="A58" t="s">
        <v>356</v>
      </c>
      <c r="B58" s="3">
        <f>Total!C64</f>
        <v>7658000</v>
      </c>
      <c r="C58" s="3">
        <f>Total!D64</f>
        <v>5006800</v>
      </c>
      <c r="D58" s="3">
        <f>Total!E64</f>
        <v>1432900</v>
      </c>
      <c r="E58" s="3">
        <f>Total!F64</f>
        <v>13100</v>
      </c>
      <c r="F58" s="3">
        <f>Total!G64</f>
        <v>0</v>
      </c>
      <c r="G58" s="3">
        <f>Total!H64</f>
        <v>14110800</v>
      </c>
      <c r="H58" t="s">
        <v>211</v>
      </c>
      <c r="I58" t="s">
        <v>332</v>
      </c>
      <c r="J58">
        <v>9122</v>
      </c>
      <c r="K58" t="s">
        <v>333</v>
      </c>
    </row>
    <row r="59" spans="1:11" x14ac:dyDescent="0.2">
      <c r="A59" t="s">
        <v>61</v>
      </c>
      <c r="B59" s="3">
        <f>Total!C65</f>
        <v>3564700</v>
      </c>
      <c r="C59" s="3">
        <f>Total!D65</f>
        <v>584000</v>
      </c>
      <c r="D59" s="3">
        <f>Total!E65</f>
        <v>1207400</v>
      </c>
      <c r="E59" s="3">
        <f>Total!F65</f>
        <v>28200</v>
      </c>
      <c r="F59" s="3">
        <f>Total!G65</f>
        <v>0</v>
      </c>
      <c r="G59" s="3">
        <f>Total!H65</f>
        <v>5384300</v>
      </c>
      <c r="H59" t="s">
        <v>211</v>
      </c>
      <c r="I59" t="s">
        <v>334</v>
      </c>
      <c r="J59">
        <v>9606</v>
      </c>
      <c r="K59" t="s">
        <v>335</v>
      </c>
    </row>
    <row r="60" spans="1:11" x14ac:dyDescent="0.2">
      <c r="A60" t="s">
        <v>62</v>
      </c>
      <c r="B60" s="3">
        <f>Total!C66</f>
        <v>1478800</v>
      </c>
      <c r="C60" s="3">
        <f>Total!D66</f>
        <v>620500</v>
      </c>
      <c r="D60" s="3">
        <f>Total!E66</f>
        <v>595100</v>
      </c>
      <c r="E60" s="3">
        <f>Total!F66</f>
        <v>24300</v>
      </c>
      <c r="F60" s="3">
        <f>Total!G66</f>
        <v>0</v>
      </c>
      <c r="G60" s="3">
        <f>Total!H66</f>
        <v>2718700</v>
      </c>
      <c r="H60" t="s">
        <v>211</v>
      </c>
      <c r="I60" t="s">
        <v>336</v>
      </c>
      <c r="J60">
        <v>9604</v>
      </c>
      <c r="K60" t="s">
        <v>62</v>
      </c>
    </row>
    <row r="61" spans="1:11" x14ac:dyDescent="0.2">
      <c r="A61" t="s">
        <v>63</v>
      </c>
      <c r="B61" s="3">
        <f>Total!C67</f>
        <v>3233300</v>
      </c>
      <c r="C61" s="3">
        <f>Total!D67</f>
        <v>1908900</v>
      </c>
      <c r="D61" s="3">
        <f>Total!E67</f>
        <v>988600</v>
      </c>
      <c r="E61" s="3">
        <f>Total!F67</f>
        <v>0</v>
      </c>
      <c r="F61" s="3">
        <f>Total!G67</f>
        <v>0</v>
      </c>
      <c r="G61" s="3">
        <f>Total!H67</f>
        <v>6130800</v>
      </c>
      <c r="H61" t="s">
        <v>211</v>
      </c>
      <c r="I61" t="s">
        <v>337</v>
      </c>
      <c r="J61">
        <v>9607</v>
      </c>
      <c r="K61" t="s">
        <v>63</v>
      </c>
    </row>
    <row r="62" spans="1:11" x14ac:dyDescent="0.2">
      <c r="A62" t="s">
        <v>64</v>
      </c>
      <c r="B62" s="3">
        <f>Total!C68</f>
        <v>4685600</v>
      </c>
      <c r="C62" s="3">
        <f>Total!D68</f>
        <v>2108800</v>
      </c>
      <c r="D62" s="3">
        <f>Total!E68</f>
        <v>2669200</v>
      </c>
      <c r="E62" s="3">
        <f>Total!F68</f>
        <v>788600</v>
      </c>
      <c r="F62" s="3">
        <f>Total!G68</f>
        <v>0</v>
      </c>
      <c r="G62" s="3">
        <f>Total!H68</f>
        <v>10252200</v>
      </c>
      <c r="H62" t="s">
        <v>211</v>
      </c>
      <c r="I62" t="s">
        <v>338</v>
      </c>
      <c r="J62">
        <v>9533</v>
      </c>
      <c r="K62" t="s">
        <v>64</v>
      </c>
    </row>
    <row r="63" spans="1:11" x14ac:dyDescent="0.2">
      <c r="A63" t="s">
        <v>65</v>
      </c>
      <c r="B63" s="3">
        <f>Total!C69</f>
        <v>996700</v>
      </c>
      <c r="C63" s="3">
        <f>Total!D69</f>
        <v>0</v>
      </c>
      <c r="D63" s="3">
        <f>Total!E69</f>
        <v>952600</v>
      </c>
      <c r="E63" s="3">
        <f>Total!F69</f>
        <v>0</v>
      </c>
      <c r="F63" s="3">
        <f>Total!G69</f>
        <v>0</v>
      </c>
      <c r="G63" s="3">
        <f>Total!H69</f>
        <v>1949300</v>
      </c>
      <c r="H63" t="s">
        <v>211</v>
      </c>
      <c r="I63" t="s">
        <v>339</v>
      </c>
      <c r="J63">
        <v>9243</v>
      </c>
      <c r="K63" t="s">
        <v>65</v>
      </c>
    </row>
    <row r="64" spans="1:11" x14ac:dyDescent="0.2">
      <c r="A64" t="s">
        <v>66</v>
      </c>
      <c r="B64" s="3">
        <f>Total!C70</f>
        <v>2884700</v>
      </c>
      <c r="C64" s="3">
        <f>Total!D70</f>
        <v>0</v>
      </c>
      <c r="D64" s="3">
        <f>Total!E70</f>
        <v>1332200</v>
      </c>
      <c r="E64" s="3">
        <f>Total!F70</f>
        <v>0</v>
      </c>
      <c r="F64" s="3">
        <f>Total!G70</f>
        <v>0</v>
      </c>
      <c r="G64" s="3">
        <f>Total!H70</f>
        <v>4216900</v>
      </c>
      <c r="H64" t="s">
        <v>211</v>
      </c>
      <c r="I64" t="s">
        <v>340</v>
      </c>
      <c r="J64">
        <v>9242</v>
      </c>
      <c r="K64" t="s">
        <v>66</v>
      </c>
    </row>
    <row r="65" spans="1:11" x14ac:dyDescent="0.2">
      <c r="A65" t="s">
        <v>67</v>
      </c>
      <c r="B65" s="3">
        <f>Total!C71</f>
        <v>7339100</v>
      </c>
      <c r="C65" s="3">
        <f>Total!D71</f>
        <v>0</v>
      </c>
      <c r="D65" s="3">
        <f>Total!E71</f>
        <v>1763300</v>
      </c>
      <c r="E65" s="3">
        <f>Total!F71</f>
        <v>0</v>
      </c>
      <c r="F65" s="3">
        <f>Total!G71</f>
        <v>0</v>
      </c>
      <c r="G65" s="3">
        <f>Total!H71</f>
        <v>9102400</v>
      </c>
      <c r="H65" t="s">
        <v>211</v>
      </c>
      <c r="I65" t="s">
        <v>341</v>
      </c>
      <c r="J65">
        <v>9240</v>
      </c>
      <c r="K65" t="s">
        <v>67</v>
      </c>
    </row>
    <row r="66" spans="1:11" x14ac:dyDescent="0.2">
      <c r="A66" t="s">
        <v>68</v>
      </c>
      <c r="B66" s="3">
        <f>Total!C72</f>
        <v>7067700</v>
      </c>
      <c r="C66" s="3">
        <f>Total!D72</f>
        <v>0</v>
      </c>
      <c r="D66" s="3">
        <f>Total!E72</f>
        <v>1162400</v>
      </c>
      <c r="E66" s="3">
        <f>Total!F72</f>
        <v>597300</v>
      </c>
      <c r="F66" s="3">
        <f>Total!G72</f>
        <v>0</v>
      </c>
      <c r="G66" s="3">
        <f>Total!H72</f>
        <v>8827400</v>
      </c>
      <c r="H66" t="s">
        <v>211</v>
      </c>
      <c r="I66" t="s">
        <v>342</v>
      </c>
      <c r="J66">
        <v>9230</v>
      </c>
      <c r="K66" t="s">
        <v>68</v>
      </c>
    </row>
    <row r="67" spans="1:11" x14ac:dyDescent="0.2">
      <c r="A67" t="s">
        <v>69</v>
      </c>
      <c r="B67" s="3">
        <f>Total!C73</f>
        <v>3203000</v>
      </c>
      <c r="C67" s="3">
        <f>Total!D73</f>
        <v>840100</v>
      </c>
      <c r="D67" s="3">
        <f>Total!E73</f>
        <v>1158300</v>
      </c>
      <c r="E67" s="3">
        <f>Total!F73</f>
        <v>406400</v>
      </c>
      <c r="F67" s="3">
        <f>Total!G73</f>
        <v>0</v>
      </c>
      <c r="G67" s="3">
        <f>Total!H73</f>
        <v>5607800</v>
      </c>
      <c r="H67" t="s">
        <v>211</v>
      </c>
      <c r="I67" t="s">
        <v>343</v>
      </c>
      <c r="J67">
        <v>9113</v>
      </c>
      <c r="K67" t="s">
        <v>69</v>
      </c>
    </row>
    <row r="68" spans="1:11" x14ac:dyDescent="0.2">
      <c r="A68" t="s">
        <v>70</v>
      </c>
      <c r="B68" s="3">
        <f>Total!C74</f>
        <v>0</v>
      </c>
      <c r="C68" s="3">
        <f>Total!D74</f>
        <v>0</v>
      </c>
      <c r="D68" s="3">
        <f>Total!E74</f>
        <v>0</v>
      </c>
      <c r="E68" s="3">
        <f>Total!F74</f>
        <v>3343500</v>
      </c>
      <c r="F68" s="3">
        <f>Total!G74</f>
        <v>0</v>
      </c>
      <c r="G68" s="3">
        <f>Total!H74</f>
        <v>3343500</v>
      </c>
      <c r="H68" t="s">
        <v>273</v>
      </c>
      <c r="I68" t="s">
        <v>344</v>
      </c>
      <c r="J68">
        <v>9500</v>
      </c>
      <c r="K68" t="s">
        <v>70</v>
      </c>
    </row>
    <row r="69" spans="1:11" x14ac:dyDescent="0.2">
      <c r="A69" t="s">
        <v>71</v>
      </c>
      <c r="B69" s="3">
        <f>Total!C75</f>
        <v>0</v>
      </c>
      <c r="C69" s="3">
        <f>Total!D75</f>
        <v>0</v>
      </c>
      <c r="D69" s="3">
        <f>Total!E75</f>
        <v>0</v>
      </c>
      <c r="E69" s="3">
        <f>Total!F75</f>
        <v>0</v>
      </c>
      <c r="F69" s="3">
        <f>Total!G75</f>
        <v>0</v>
      </c>
      <c r="G69" s="3">
        <f>Total!H75</f>
        <v>0</v>
      </c>
      <c r="H69" t="s">
        <v>211</v>
      </c>
      <c r="I69" t="s">
        <v>345</v>
      </c>
      <c r="J69">
        <v>9524</v>
      </c>
      <c r="K69" t="s">
        <v>71</v>
      </c>
    </row>
    <row r="70" spans="1:11" x14ac:dyDescent="0.2">
      <c r="A70" t="s">
        <v>72</v>
      </c>
      <c r="B70" s="3">
        <f>Total!C76</f>
        <v>0</v>
      </c>
      <c r="C70" s="3">
        <f>Total!D76</f>
        <v>502800</v>
      </c>
      <c r="D70" s="3">
        <f>Total!E76</f>
        <v>201300</v>
      </c>
      <c r="E70" s="3">
        <f>Total!F76</f>
        <v>0</v>
      </c>
      <c r="F70" s="3">
        <f>Total!G76</f>
        <v>0</v>
      </c>
      <c r="G70" s="3">
        <f>Total!H76</f>
        <v>704100</v>
      </c>
      <c r="H70" t="s">
        <v>211</v>
      </c>
      <c r="I70" t="s">
        <v>346</v>
      </c>
      <c r="J70">
        <v>9245</v>
      </c>
      <c r="K70" t="s">
        <v>72</v>
      </c>
    </row>
    <row r="71" spans="1:11" x14ac:dyDescent="0.2">
      <c r="A71" t="s">
        <v>73</v>
      </c>
      <c r="B71" s="3">
        <f>Total!C77</f>
        <v>625600</v>
      </c>
      <c r="C71" s="3">
        <f>Total!D77</f>
        <v>549500</v>
      </c>
      <c r="D71" s="3">
        <f>Total!E77</f>
        <v>539600</v>
      </c>
      <c r="E71" s="3">
        <f>Total!F77</f>
        <v>0</v>
      </c>
      <c r="F71" s="3">
        <f>Total!G77</f>
        <v>0</v>
      </c>
      <c r="G71" s="3">
        <f>Total!H77</f>
        <v>1714700</v>
      </c>
      <c r="H71" t="s">
        <v>211</v>
      </c>
      <c r="I71" t="s">
        <v>347</v>
      </c>
      <c r="J71">
        <v>9246</v>
      </c>
      <c r="K71" t="s">
        <v>73</v>
      </c>
    </row>
    <row r="72" spans="1:11" x14ac:dyDescent="0.2">
      <c r="A72" t="s">
        <v>74</v>
      </c>
      <c r="B72" s="3">
        <f>Total!C78</f>
        <v>1384000</v>
      </c>
      <c r="C72" s="3">
        <f>Total!D78</f>
        <v>562800</v>
      </c>
      <c r="D72" s="3">
        <f>Total!E78</f>
        <v>1037000</v>
      </c>
      <c r="E72" s="3">
        <f>Total!F78</f>
        <v>0</v>
      </c>
      <c r="F72" s="3">
        <f>Total!G78</f>
        <v>0</v>
      </c>
      <c r="G72" s="3">
        <f>Total!H78</f>
        <v>2983800</v>
      </c>
      <c r="H72" t="s">
        <v>211</v>
      </c>
      <c r="I72" t="s">
        <v>348</v>
      </c>
      <c r="J72">
        <v>9527</v>
      </c>
      <c r="K72" t="s">
        <v>74</v>
      </c>
    </row>
    <row r="73" spans="1:11" x14ac:dyDescent="0.2">
      <c r="A73" t="s">
        <v>75</v>
      </c>
      <c r="B73" s="3">
        <f>Total!C79</f>
        <v>0</v>
      </c>
      <c r="C73" s="3">
        <f>Total!D79</f>
        <v>0</v>
      </c>
      <c r="D73" s="3">
        <f>Total!E79</f>
        <v>0</v>
      </c>
      <c r="E73" s="3">
        <f>Total!F79</f>
        <v>0</v>
      </c>
      <c r="F73" s="3">
        <f>Total!G79</f>
        <v>0</v>
      </c>
      <c r="G73" s="3">
        <f>Total!H79</f>
        <v>0</v>
      </c>
      <c r="H73" t="s">
        <v>273</v>
      </c>
      <c r="I73" t="s">
        <v>349</v>
      </c>
      <c r="J73">
        <v>9200</v>
      </c>
      <c r="K73" t="s">
        <v>75</v>
      </c>
    </row>
    <row r="74" spans="1:11" x14ac:dyDescent="0.2">
      <c r="A74" t="s">
        <v>76</v>
      </c>
      <c r="B74" s="3">
        <f>Total!C80</f>
        <v>0</v>
      </c>
      <c r="C74" s="3">
        <f>Total!D80</f>
        <v>101000</v>
      </c>
      <c r="D74" s="3">
        <f>Total!E80</f>
        <v>664200</v>
      </c>
      <c r="E74" s="3">
        <f>Total!F80</f>
        <v>0</v>
      </c>
      <c r="F74" s="3">
        <f>Total!G80</f>
        <v>0</v>
      </c>
      <c r="G74" s="3">
        <f>Total!H80</f>
        <v>765200</v>
      </c>
      <c r="H74" t="s">
        <v>211</v>
      </c>
      <c r="I74" t="s">
        <v>350</v>
      </c>
      <c r="J74">
        <v>9204</v>
      </c>
      <c r="K74" t="s">
        <v>76</v>
      </c>
    </row>
    <row r="75" spans="1:11" x14ac:dyDescent="0.2">
      <c r="A75" t="s">
        <v>77</v>
      </c>
      <c r="B75" s="3">
        <f>Total!C81</f>
        <v>1319600</v>
      </c>
      <c r="C75" s="3">
        <f>Total!D81</f>
        <v>1841700</v>
      </c>
      <c r="D75" s="3">
        <f>Total!E81</f>
        <v>1533800</v>
      </c>
      <c r="E75" s="3">
        <f>Total!F81</f>
        <v>55000</v>
      </c>
      <c r="F75" s="3">
        <f>Total!G81</f>
        <v>0</v>
      </c>
      <c r="G75" s="3">
        <f>Total!H81</f>
        <v>4750100</v>
      </c>
      <c r="H75" t="s">
        <v>211</v>
      </c>
      <c r="I75" t="s">
        <v>351</v>
      </c>
      <c r="J75">
        <v>9205</v>
      </c>
      <c r="K75" t="s">
        <v>77</v>
      </c>
    </row>
    <row r="76" spans="1:11" x14ac:dyDescent="0.2">
      <c r="A76" t="s">
        <v>78</v>
      </c>
      <c r="B76" s="3">
        <f>Total!C82</f>
        <v>0</v>
      </c>
      <c r="C76" s="3">
        <f>Total!D82</f>
        <v>0</v>
      </c>
      <c r="D76" s="3">
        <f>Total!E82</f>
        <v>274000</v>
      </c>
      <c r="E76" s="3">
        <f>Total!F82</f>
        <v>6300</v>
      </c>
      <c r="F76" s="3">
        <f>Total!G82</f>
        <v>0</v>
      </c>
      <c r="G76" s="3">
        <f>Total!H82</f>
        <v>280300</v>
      </c>
      <c r="H76" t="s">
        <v>211</v>
      </c>
      <c r="I76" t="s">
        <v>288</v>
      </c>
      <c r="J76">
        <v>9030</v>
      </c>
      <c r="K76" t="s">
        <v>352</v>
      </c>
    </row>
    <row r="77" spans="1:11" x14ac:dyDescent="0.2">
      <c r="B77" s="3">
        <f>SUM(B2:B76)</f>
        <v>121067800</v>
      </c>
      <c r="C77" s="3">
        <f t="shared" ref="C77:G77" si="0">SUM(C2:C76)</f>
        <v>35552500</v>
      </c>
      <c r="D77" s="3">
        <f t="shared" si="0"/>
        <v>33054900</v>
      </c>
      <c r="E77" s="3">
        <f t="shared" si="0"/>
        <v>27275800</v>
      </c>
      <c r="F77" s="3">
        <f t="shared" si="0"/>
        <v>17337300</v>
      </c>
      <c r="G77" s="3">
        <f t="shared" si="0"/>
        <v>234288300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K132"/>
  <sheetViews>
    <sheetView showGridLines="0" tabSelected="1" workbookViewId="0">
      <selection activeCell="B7" sqref="B7:E7"/>
    </sheetView>
  </sheetViews>
  <sheetFormatPr baseColWidth="10" defaultRowHeight="12.75" x14ac:dyDescent="0.2"/>
  <cols>
    <col min="1" max="1" width="30.140625" customWidth="1"/>
    <col min="2" max="2" width="11.85546875" customWidth="1"/>
    <col min="3" max="3" width="6.7109375" bestFit="1" customWidth="1"/>
    <col min="4" max="9" width="17.140625" customWidth="1"/>
    <col min="10" max="10" width="13.140625" customWidth="1"/>
  </cols>
  <sheetData>
    <row r="1" spans="1:11" x14ac:dyDescent="0.2">
      <c r="A1" s="19" t="s">
        <v>193</v>
      </c>
    </row>
    <row r="2" spans="1:11" x14ac:dyDescent="0.2">
      <c r="A2" t="s">
        <v>194</v>
      </c>
    </row>
    <row r="5" spans="1:11" ht="26.25" x14ac:dyDescent="0.2">
      <c r="A5" s="65" t="s">
        <v>471</v>
      </c>
      <c r="B5" s="57"/>
      <c r="C5" s="57"/>
      <c r="D5" s="57"/>
      <c r="E5" s="55"/>
      <c r="F5" s="55"/>
      <c r="I5" s="55"/>
    </row>
    <row r="6" spans="1:11" x14ac:dyDescent="0.2">
      <c r="A6" s="55"/>
      <c r="B6" s="55"/>
      <c r="C6" s="55"/>
      <c r="D6" s="55"/>
      <c r="E6" s="55"/>
      <c r="F6" s="55"/>
      <c r="G6" s="55"/>
      <c r="I6" s="55"/>
    </row>
    <row r="7" spans="1:11" ht="18" x14ac:dyDescent="0.2">
      <c r="A7" s="56" t="s">
        <v>195</v>
      </c>
      <c r="B7" s="204" t="s">
        <v>201</v>
      </c>
      <c r="C7" s="204"/>
      <c r="D7" s="204"/>
      <c r="E7" s="205"/>
      <c r="F7" s="119"/>
      <c r="G7" s="119"/>
      <c r="H7" s="184" t="s">
        <v>467</v>
      </c>
      <c r="I7" s="185"/>
    </row>
    <row r="8" spans="1:11" x14ac:dyDescent="0.2">
      <c r="A8" s="58"/>
      <c r="B8" s="58"/>
      <c r="C8" s="58"/>
      <c r="D8" s="58"/>
      <c r="E8" s="58"/>
      <c r="F8" s="58"/>
      <c r="G8" s="58"/>
      <c r="H8" s="58"/>
      <c r="I8" s="58"/>
    </row>
    <row r="9" spans="1:11" x14ac:dyDescent="0.2">
      <c r="A9" s="58"/>
      <c r="B9" s="58"/>
      <c r="C9" s="58"/>
      <c r="D9" s="58"/>
      <c r="E9" s="58"/>
      <c r="F9" s="58"/>
      <c r="G9" s="58"/>
      <c r="H9" s="58"/>
      <c r="I9" s="58"/>
    </row>
    <row r="10" spans="1:11" ht="15.75" x14ac:dyDescent="0.25">
      <c r="A10" s="120" t="s">
        <v>242</v>
      </c>
      <c r="B10" s="58"/>
      <c r="C10" s="58"/>
      <c r="D10" s="58"/>
      <c r="E10" s="58"/>
      <c r="F10" s="58"/>
      <c r="G10" s="58"/>
      <c r="H10" s="58"/>
      <c r="I10" s="58"/>
    </row>
    <row r="11" spans="1:11" x14ac:dyDescent="0.2">
      <c r="A11" s="58"/>
      <c r="B11" s="58"/>
      <c r="C11" s="58"/>
      <c r="D11" s="58"/>
      <c r="E11" s="58"/>
      <c r="F11" s="58"/>
      <c r="G11" s="58"/>
      <c r="H11" s="58"/>
      <c r="I11" s="58"/>
    </row>
    <row r="12" spans="1:11" ht="19.5" customHeight="1" x14ac:dyDescent="0.2">
      <c r="A12" s="125" t="s">
        <v>243</v>
      </c>
      <c r="B12" s="126"/>
      <c r="C12" s="126"/>
      <c r="D12" s="153" t="s">
        <v>464</v>
      </c>
      <c r="E12" s="178" t="s">
        <v>465</v>
      </c>
      <c r="F12" s="127" t="s">
        <v>244</v>
      </c>
      <c r="G12" s="128" t="s">
        <v>245</v>
      </c>
      <c r="H12" s="150" t="s">
        <v>246</v>
      </c>
      <c r="I12" s="181" t="s">
        <v>247</v>
      </c>
    </row>
    <row r="13" spans="1:11" s="59" customFormat="1" ht="19.5" customHeight="1" x14ac:dyDescent="0.2">
      <c r="A13" s="121" t="s">
        <v>196</v>
      </c>
      <c r="B13" s="122"/>
      <c r="C13" s="152" t="s">
        <v>204</v>
      </c>
      <c r="D13" s="192" t="e">
        <f>VLOOKUP(B7,Total!B7:O83,9,FALSE)</f>
        <v>#N/A</v>
      </c>
      <c r="E13" s="179" t="e">
        <f>VLOOKUP(B7,Total!B7:H83,2,FALSE)</f>
        <v>#N/A</v>
      </c>
      <c r="F13" s="123" t="e">
        <f>VLOOKUP(B7,Auszahlungen!B7:Z83,2,FALSE)</f>
        <v>#N/A</v>
      </c>
      <c r="G13" s="124" t="e">
        <f>VLOOKUP(B7,Auszahlungen!B7:Z83,11,FALSE)</f>
        <v>#N/A</v>
      </c>
      <c r="H13" s="151" t="e">
        <f>VLOOKUP(B7,Auszahlungen!B7:Z83,20,FALSE)</f>
        <v>#N/A</v>
      </c>
      <c r="I13" s="182" t="e">
        <f>E13-F13-G13-H13</f>
        <v>#N/A</v>
      </c>
      <c r="K13" s="66"/>
    </row>
    <row r="14" spans="1:11" s="59" customFormat="1" ht="19.5" customHeight="1" x14ac:dyDescent="0.2">
      <c r="A14" s="121" t="s">
        <v>197</v>
      </c>
      <c r="B14" s="122"/>
      <c r="C14" s="152" t="s">
        <v>204</v>
      </c>
      <c r="D14" s="192" t="e">
        <f>VLOOKUP(B7,Total!B7:O83,10,FALSE)</f>
        <v>#N/A</v>
      </c>
      <c r="E14" s="179" t="e">
        <f>VLOOKUP(B7,Total!B7:H83,3,FALSE)</f>
        <v>#N/A</v>
      </c>
      <c r="F14" s="123" t="e">
        <f>VLOOKUP(B7,Auszahlungen!B7:Z83,3,FALSE)</f>
        <v>#N/A</v>
      </c>
      <c r="G14" s="124" t="e">
        <f>VLOOKUP(B7,Auszahlungen!B7:Z83,12,FALSE)</f>
        <v>#N/A</v>
      </c>
      <c r="H14" s="151" t="e">
        <f>VLOOKUP(B7,Auszahlungen!B7:Z83,21,FALSE)</f>
        <v>#N/A</v>
      </c>
      <c r="I14" s="182" t="e">
        <f>E14-F14-G14-H14</f>
        <v>#N/A</v>
      </c>
      <c r="K14" s="66"/>
    </row>
    <row r="15" spans="1:11" s="59" customFormat="1" ht="19.5" customHeight="1" x14ac:dyDescent="0.2">
      <c r="A15" s="121" t="s">
        <v>198</v>
      </c>
      <c r="B15" s="122"/>
      <c r="C15" s="152" t="s">
        <v>204</v>
      </c>
      <c r="D15" s="192" t="e">
        <f>VLOOKUP(B7,Total!B7:O83,11,FALSE)</f>
        <v>#N/A</v>
      </c>
      <c r="E15" s="179" t="e">
        <f>VLOOKUP(B7,Total!B7:H83,4,FALSE)</f>
        <v>#N/A</v>
      </c>
      <c r="F15" s="123" t="e">
        <f>VLOOKUP(B7,Auszahlungen!B7:Z83,4,FALSE)</f>
        <v>#N/A</v>
      </c>
      <c r="G15" s="124" t="e">
        <f>VLOOKUP(B7,Auszahlungen!B7:Z83,13,FALSE)</f>
        <v>#N/A</v>
      </c>
      <c r="H15" s="151" t="e">
        <f>VLOOKUP(B7,Auszahlungen!B7:Z83,22,FALSE)</f>
        <v>#N/A</v>
      </c>
      <c r="I15" s="182" t="e">
        <f>E15-F15-G15-H15</f>
        <v>#N/A</v>
      </c>
      <c r="K15" s="66"/>
    </row>
    <row r="16" spans="1:11" s="59" customFormat="1" ht="19.5" customHeight="1" x14ac:dyDescent="0.2">
      <c r="A16" s="121" t="s">
        <v>199</v>
      </c>
      <c r="B16" s="122"/>
      <c r="C16" s="152" t="s">
        <v>204</v>
      </c>
      <c r="D16" s="192" t="e">
        <f>VLOOKUP(B7,Total!B7:O83,12,FALSE)</f>
        <v>#N/A</v>
      </c>
      <c r="E16" s="179" t="e">
        <f>VLOOKUP(B7,Total!B7:H83,5,FALSE)</f>
        <v>#N/A</v>
      </c>
      <c r="F16" s="123" t="e">
        <f>VLOOKUP(B7,Auszahlungen!B7:Z83,5,FALSE)</f>
        <v>#N/A</v>
      </c>
      <c r="G16" s="124" t="e">
        <f>VLOOKUP(B7,Auszahlungen!B7:Z83,14,FALSE)</f>
        <v>#N/A</v>
      </c>
      <c r="H16" s="151" t="e">
        <f>VLOOKUP(B7,Auszahlungen!B7:Z83,23,FALSE)</f>
        <v>#N/A</v>
      </c>
      <c r="I16" s="182" t="e">
        <f>E16-F16-G16-H16</f>
        <v>#N/A</v>
      </c>
      <c r="K16" s="66"/>
    </row>
    <row r="17" spans="1:11" s="59" customFormat="1" ht="19.5" customHeight="1" x14ac:dyDescent="0.2">
      <c r="A17" s="121" t="s">
        <v>200</v>
      </c>
      <c r="B17" s="122"/>
      <c r="C17" s="152" t="s">
        <v>204</v>
      </c>
      <c r="D17" s="192" t="e">
        <f>VLOOKUP(B7,Total!B7:O83,13,FALSE)</f>
        <v>#N/A</v>
      </c>
      <c r="E17" s="179" t="e">
        <f>VLOOKUP(B7,Total!B7:H83,6,FALSE)</f>
        <v>#N/A</v>
      </c>
      <c r="F17" s="123" t="e">
        <f>VLOOKUP(B7,Auszahlungen!B7:Z83,6,FALSE)</f>
        <v>#N/A</v>
      </c>
      <c r="G17" s="124" t="e">
        <f>VLOOKUP(B7,Auszahlungen!B7:Z83,15,FALSE)</f>
        <v>#N/A</v>
      </c>
      <c r="H17" s="151" t="e">
        <f>VLOOKUP(B7,Auszahlungen!B7:Z83,24,FALSE)</f>
        <v>#N/A</v>
      </c>
      <c r="I17" s="182" t="e">
        <f>E17-F17-G17-H17</f>
        <v>#N/A</v>
      </c>
      <c r="K17" s="66"/>
    </row>
    <row r="18" spans="1:11" s="59" customFormat="1" ht="19.5" customHeight="1" x14ac:dyDescent="0.2">
      <c r="A18" s="191" t="s">
        <v>472</v>
      </c>
      <c r="B18" s="186"/>
      <c r="C18" s="187"/>
      <c r="D18" s="208" t="e">
        <f t="shared" ref="D18:I18" si="0">SUM(D13:D17)</f>
        <v>#N/A</v>
      </c>
      <c r="E18" s="180" t="e">
        <f t="shared" si="0"/>
        <v>#N/A</v>
      </c>
      <c r="F18" s="188" t="e">
        <f t="shared" si="0"/>
        <v>#N/A</v>
      </c>
      <c r="G18" s="189" t="e">
        <f t="shared" si="0"/>
        <v>#N/A</v>
      </c>
      <c r="H18" s="190" t="e">
        <f t="shared" si="0"/>
        <v>#N/A</v>
      </c>
      <c r="I18" s="183" t="e">
        <f t="shared" si="0"/>
        <v>#N/A</v>
      </c>
    </row>
    <row r="19" spans="1:11" x14ac:dyDescent="0.2">
      <c r="A19" s="58"/>
      <c r="B19" s="58"/>
      <c r="C19" s="58"/>
      <c r="D19" s="58"/>
      <c r="E19" s="58"/>
      <c r="F19" s="58"/>
      <c r="G19" s="58"/>
      <c r="H19" s="58"/>
      <c r="I19" s="58"/>
    </row>
    <row r="20" spans="1:11" x14ac:dyDescent="0.2">
      <c r="A20" s="58"/>
      <c r="B20" s="58"/>
      <c r="C20" s="58"/>
      <c r="D20" s="58"/>
      <c r="E20" s="58"/>
      <c r="F20" s="58"/>
      <c r="G20" s="58"/>
      <c r="H20" s="206" t="str">
        <f>IF(B7="Gossau","Betrag von 29'800 Franken wurde der Stadt Gossau am 26.08.2025 in Rechnung gestellt.","")</f>
        <v/>
      </c>
      <c r="I20" s="207"/>
    </row>
    <row r="21" spans="1:11" ht="15.75" x14ac:dyDescent="0.25">
      <c r="A21" s="120"/>
      <c r="B21" s="58"/>
      <c r="C21" s="58"/>
      <c r="D21" s="58"/>
      <c r="E21" s="58"/>
      <c r="F21" s="58"/>
      <c r="G21" s="58"/>
      <c r="H21" s="207"/>
      <c r="I21" s="207"/>
    </row>
    <row r="22" spans="1:11" x14ac:dyDescent="0.2">
      <c r="A22" s="58"/>
      <c r="B22" s="58"/>
      <c r="C22" s="58"/>
      <c r="D22" s="58"/>
      <c r="E22" s="58"/>
      <c r="F22" s="58"/>
      <c r="G22" s="58"/>
      <c r="H22" s="199"/>
      <c r="I22" s="199"/>
    </row>
    <row r="23" spans="1:11" x14ac:dyDescent="0.2">
      <c r="A23" s="58"/>
      <c r="B23" s="58"/>
      <c r="C23" s="58"/>
      <c r="D23" s="58"/>
      <c r="E23" s="58"/>
      <c r="F23" s="58"/>
      <c r="G23" s="58"/>
      <c r="H23" s="58"/>
      <c r="I23" s="58"/>
    </row>
    <row r="24" spans="1:11" x14ac:dyDescent="0.2">
      <c r="A24" s="58"/>
      <c r="B24" s="58"/>
      <c r="C24" s="58"/>
      <c r="D24" s="58"/>
      <c r="E24" s="58"/>
      <c r="F24" s="58"/>
      <c r="G24" s="58"/>
      <c r="H24" s="58"/>
      <c r="I24" s="58"/>
    </row>
    <row r="25" spans="1:11" x14ac:dyDescent="0.2">
      <c r="A25" s="58"/>
      <c r="B25" s="58"/>
      <c r="C25" s="58"/>
      <c r="D25" s="58"/>
      <c r="E25" s="58"/>
      <c r="F25" s="58"/>
      <c r="G25" s="58"/>
      <c r="H25" s="58"/>
      <c r="I25" s="58"/>
    </row>
    <row r="26" spans="1:11" x14ac:dyDescent="0.2">
      <c r="A26" s="58"/>
      <c r="B26" s="58"/>
      <c r="C26" s="58"/>
      <c r="D26" s="58"/>
      <c r="E26" s="58"/>
      <c r="F26" s="58"/>
      <c r="G26" s="58"/>
      <c r="H26" s="58"/>
      <c r="I26" s="58"/>
    </row>
    <row r="27" spans="1:11" x14ac:dyDescent="0.2">
      <c r="A27" s="58"/>
      <c r="B27" s="58"/>
      <c r="C27" s="58"/>
      <c r="D27" s="58"/>
      <c r="E27" s="58"/>
      <c r="F27" s="58"/>
      <c r="G27" s="58"/>
      <c r="H27" s="58"/>
      <c r="I27" s="58"/>
    </row>
    <row r="28" spans="1:11" x14ac:dyDescent="0.2">
      <c r="A28" s="58"/>
      <c r="B28" s="58"/>
      <c r="C28" s="58"/>
      <c r="D28" s="58"/>
      <c r="E28" s="58"/>
      <c r="F28" s="58"/>
      <c r="G28" s="58"/>
      <c r="H28" s="58"/>
      <c r="I28" s="58"/>
    </row>
    <row r="29" spans="1:11" x14ac:dyDescent="0.2">
      <c r="A29" s="58"/>
      <c r="B29" s="58"/>
      <c r="C29" s="58"/>
      <c r="D29" s="58"/>
      <c r="E29" s="58"/>
      <c r="F29" s="58"/>
      <c r="G29" s="58"/>
      <c r="H29" s="58"/>
      <c r="I29" s="58"/>
    </row>
    <row r="30" spans="1:11" x14ac:dyDescent="0.2">
      <c r="A30" s="58"/>
      <c r="B30" s="58"/>
      <c r="C30" s="58"/>
      <c r="D30" s="58"/>
      <c r="E30" s="58"/>
      <c r="F30" s="58"/>
      <c r="G30" s="58"/>
      <c r="H30" s="58"/>
      <c r="I30" s="58"/>
    </row>
    <row r="31" spans="1:11" x14ac:dyDescent="0.2">
      <c r="A31" s="58"/>
      <c r="B31" s="58"/>
      <c r="C31" s="58"/>
      <c r="D31" s="58"/>
      <c r="E31" s="58"/>
      <c r="F31" s="58"/>
      <c r="G31" s="58"/>
      <c r="H31" s="58"/>
      <c r="I31" s="58"/>
    </row>
    <row r="32" spans="1:11" x14ac:dyDescent="0.2">
      <c r="A32" s="58"/>
      <c r="B32" s="58"/>
      <c r="C32" s="58"/>
      <c r="D32" s="58"/>
      <c r="E32" s="58"/>
      <c r="F32" s="58"/>
      <c r="G32" s="58"/>
      <c r="H32" s="58"/>
      <c r="I32" s="58"/>
    </row>
    <row r="33" spans="1:9" x14ac:dyDescent="0.2">
      <c r="A33" s="58"/>
      <c r="B33" s="58"/>
      <c r="C33" s="58"/>
      <c r="D33" s="58"/>
      <c r="E33" s="58"/>
      <c r="F33" s="58"/>
      <c r="G33" s="58"/>
      <c r="H33" s="58"/>
      <c r="I33" s="58"/>
    </row>
    <row r="34" spans="1:9" x14ac:dyDescent="0.2">
      <c r="A34" s="58"/>
      <c r="B34" s="58"/>
      <c r="C34" s="58"/>
      <c r="D34" s="58"/>
      <c r="E34" s="58"/>
      <c r="F34" s="58"/>
      <c r="G34" s="58"/>
      <c r="H34" s="58"/>
      <c r="I34" s="58"/>
    </row>
    <row r="35" spans="1:9" x14ac:dyDescent="0.2">
      <c r="A35" s="58"/>
      <c r="B35" s="58"/>
      <c r="C35" s="58"/>
      <c r="D35" s="58"/>
      <c r="E35" s="58"/>
      <c r="F35" s="58"/>
      <c r="G35" s="58"/>
      <c r="H35" s="58"/>
      <c r="I35" s="58"/>
    </row>
    <row r="36" spans="1:9" x14ac:dyDescent="0.2">
      <c r="A36" s="58"/>
      <c r="B36" s="58"/>
      <c r="C36" s="58"/>
      <c r="D36" s="58"/>
      <c r="E36" s="58"/>
      <c r="F36" s="58"/>
      <c r="G36" s="58"/>
      <c r="H36" s="58"/>
      <c r="I36" s="58"/>
    </row>
    <row r="37" spans="1:9" x14ac:dyDescent="0.2">
      <c r="A37" s="58"/>
      <c r="B37" s="58"/>
      <c r="C37" s="58"/>
      <c r="D37" s="58"/>
      <c r="E37" s="58"/>
      <c r="F37" s="58"/>
      <c r="G37" s="58"/>
      <c r="H37" s="58"/>
      <c r="I37" s="58"/>
    </row>
    <row r="38" spans="1:9" x14ac:dyDescent="0.2">
      <c r="A38" s="58"/>
      <c r="B38" s="58"/>
      <c r="C38" s="58"/>
      <c r="D38" s="58"/>
      <c r="E38" s="58"/>
      <c r="F38" s="58"/>
      <c r="G38" s="58"/>
      <c r="H38" s="58"/>
      <c r="I38" s="58"/>
    </row>
    <row r="39" spans="1:9" x14ac:dyDescent="0.2">
      <c r="A39" s="58"/>
      <c r="B39" s="58"/>
      <c r="C39" s="58"/>
      <c r="D39" s="58"/>
      <c r="E39" s="58"/>
      <c r="F39" s="58"/>
      <c r="G39" s="58"/>
      <c r="H39" s="58"/>
      <c r="I39" s="58"/>
    </row>
    <row r="40" spans="1:9" x14ac:dyDescent="0.2">
      <c r="A40" s="58"/>
      <c r="B40" s="58"/>
      <c r="C40" s="58"/>
      <c r="D40" s="58"/>
      <c r="E40" s="58"/>
      <c r="F40" s="58"/>
      <c r="G40" s="58"/>
      <c r="H40" s="58"/>
      <c r="I40" s="58"/>
    </row>
    <row r="41" spans="1:9" x14ac:dyDescent="0.2">
      <c r="A41" s="58"/>
      <c r="B41" s="58"/>
      <c r="C41" s="58"/>
      <c r="D41" s="58"/>
      <c r="E41" s="58"/>
      <c r="F41" s="58"/>
      <c r="G41" s="58"/>
      <c r="H41" s="58"/>
      <c r="I41" s="58"/>
    </row>
    <row r="42" spans="1:9" x14ac:dyDescent="0.2">
      <c r="A42" s="58"/>
      <c r="B42" s="58"/>
      <c r="C42" s="58"/>
      <c r="D42" s="58"/>
      <c r="E42" s="58"/>
      <c r="F42" s="58"/>
      <c r="G42" s="58"/>
      <c r="H42" s="58"/>
      <c r="I42" s="58"/>
    </row>
    <row r="43" spans="1:9" hidden="1" x14ac:dyDescent="0.2">
      <c r="A43" s="58" t="s">
        <v>201</v>
      </c>
      <c r="B43" s="58"/>
      <c r="C43" s="58"/>
      <c r="D43" s="58"/>
      <c r="E43" s="58"/>
      <c r="F43" s="58"/>
      <c r="G43" s="58"/>
      <c r="H43" s="58"/>
      <c r="I43" s="58"/>
    </row>
    <row r="44" spans="1:9" hidden="1" x14ac:dyDescent="0.2">
      <c r="A44" s="58" t="s">
        <v>28</v>
      </c>
      <c r="B44" s="58"/>
      <c r="C44" s="58"/>
      <c r="D44" s="58"/>
      <c r="E44" s="58"/>
      <c r="F44" s="58"/>
      <c r="G44" s="58"/>
      <c r="H44" s="58"/>
      <c r="I44" s="58"/>
    </row>
    <row r="45" spans="1:9" hidden="1" x14ac:dyDescent="0.2">
      <c r="A45" s="58" t="s">
        <v>46</v>
      </c>
      <c r="B45" s="58"/>
      <c r="C45" s="58"/>
      <c r="D45" s="58"/>
      <c r="E45" s="58"/>
      <c r="F45" s="58"/>
      <c r="G45" s="58"/>
      <c r="H45" s="58"/>
      <c r="I45" s="58"/>
    </row>
    <row r="46" spans="1:9" hidden="1" x14ac:dyDescent="0.2">
      <c r="A46" s="58" t="s">
        <v>76</v>
      </c>
      <c r="B46" s="58"/>
      <c r="C46" s="58"/>
      <c r="D46" s="58"/>
      <c r="E46" s="58"/>
      <c r="F46" s="58"/>
      <c r="G46" s="58"/>
      <c r="H46" s="58"/>
      <c r="I46" s="58"/>
    </row>
    <row r="47" spans="1:9" hidden="1" x14ac:dyDescent="0.2">
      <c r="A47" s="58" t="s">
        <v>21</v>
      </c>
      <c r="B47" s="58"/>
      <c r="C47" s="58"/>
      <c r="D47" s="58"/>
      <c r="E47" s="58"/>
      <c r="F47" s="58"/>
      <c r="G47" s="58"/>
      <c r="H47" s="58"/>
      <c r="I47" s="58"/>
    </row>
    <row r="48" spans="1:9" hidden="1" x14ac:dyDescent="0.2">
      <c r="A48" s="58" t="s">
        <v>40</v>
      </c>
      <c r="B48" s="58"/>
      <c r="C48" s="58"/>
      <c r="D48" s="58"/>
      <c r="E48" s="58"/>
      <c r="F48" s="58"/>
      <c r="G48" s="58"/>
      <c r="H48" s="58"/>
      <c r="I48" s="58"/>
    </row>
    <row r="49" spans="1:9" hidden="1" x14ac:dyDescent="0.2">
      <c r="A49" s="58" t="s">
        <v>23</v>
      </c>
      <c r="B49" s="58"/>
      <c r="C49" s="58"/>
      <c r="D49" s="58"/>
      <c r="E49" s="58"/>
      <c r="F49" s="58"/>
      <c r="G49" s="58"/>
      <c r="H49" s="58"/>
      <c r="I49" s="58"/>
    </row>
    <row r="50" spans="1:9" hidden="1" x14ac:dyDescent="0.2">
      <c r="A50" s="58" t="s">
        <v>49</v>
      </c>
      <c r="B50" s="58"/>
      <c r="C50" s="58"/>
      <c r="D50" s="58"/>
      <c r="E50" s="58"/>
      <c r="F50" s="58"/>
      <c r="G50" s="58"/>
      <c r="H50" s="58"/>
      <c r="I50" s="58"/>
    </row>
    <row r="51" spans="1:9" hidden="1" x14ac:dyDescent="0.2">
      <c r="A51" s="58" t="s">
        <v>12</v>
      </c>
      <c r="B51" s="58"/>
      <c r="C51" s="58"/>
      <c r="D51" s="58"/>
      <c r="E51" s="58"/>
      <c r="F51" s="58"/>
      <c r="G51" s="58"/>
      <c r="H51" s="58"/>
      <c r="I51" s="58"/>
    </row>
    <row r="52" spans="1:9" hidden="1" x14ac:dyDescent="0.2">
      <c r="A52" s="58" t="s">
        <v>22</v>
      </c>
      <c r="B52" s="58"/>
      <c r="C52" s="58"/>
      <c r="D52" s="58"/>
      <c r="E52" s="58"/>
      <c r="F52" s="58"/>
      <c r="G52" s="58"/>
      <c r="H52" s="58"/>
      <c r="I52" s="58"/>
    </row>
    <row r="53" spans="1:9" hidden="1" x14ac:dyDescent="0.2">
      <c r="A53" s="58" t="s">
        <v>35</v>
      </c>
      <c r="B53" s="58"/>
      <c r="C53" s="58"/>
      <c r="D53" s="58"/>
      <c r="E53" s="58"/>
      <c r="F53" s="58"/>
      <c r="G53" s="58"/>
      <c r="H53" s="58"/>
      <c r="I53" s="58"/>
    </row>
    <row r="54" spans="1:9" hidden="1" x14ac:dyDescent="0.2">
      <c r="A54" s="58" t="s">
        <v>61</v>
      </c>
      <c r="B54" s="58"/>
      <c r="C54" s="58"/>
      <c r="D54" s="58"/>
      <c r="E54" s="58"/>
      <c r="F54" s="58"/>
      <c r="G54" s="58"/>
      <c r="H54" s="58"/>
      <c r="I54" s="58"/>
    </row>
    <row r="55" spans="1:9" hidden="1" x14ac:dyDescent="0.2">
      <c r="A55" s="58" t="s">
        <v>69</v>
      </c>
      <c r="B55" s="58"/>
      <c r="C55" s="58"/>
      <c r="D55" s="58"/>
      <c r="E55" s="58"/>
      <c r="F55" s="58"/>
      <c r="G55" s="58"/>
      <c r="H55" s="58"/>
      <c r="I55" s="58"/>
    </row>
    <row r="56" spans="1:9" hidden="1" x14ac:dyDescent="0.2">
      <c r="A56" s="58" t="s">
        <v>24</v>
      </c>
      <c r="B56" s="58"/>
      <c r="C56" s="58"/>
      <c r="D56" s="58"/>
      <c r="E56" s="58"/>
      <c r="F56" s="58"/>
      <c r="G56" s="58"/>
      <c r="H56" s="58"/>
      <c r="I56" s="58"/>
    </row>
    <row r="57" spans="1:9" hidden="1" x14ac:dyDescent="0.2">
      <c r="A57" s="58" t="s">
        <v>58</v>
      </c>
      <c r="B57" s="58"/>
      <c r="C57" s="58"/>
      <c r="D57" s="58"/>
      <c r="E57" s="58"/>
      <c r="F57" s="58"/>
      <c r="G57" s="58"/>
      <c r="H57" s="58"/>
      <c r="I57" s="58"/>
    </row>
    <row r="58" spans="1:9" hidden="1" x14ac:dyDescent="0.2">
      <c r="A58" s="58" t="s">
        <v>15</v>
      </c>
      <c r="B58" s="58"/>
      <c r="C58" s="58"/>
      <c r="D58" s="58"/>
      <c r="E58" s="58"/>
      <c r="F58" s="58"/>
      <c r="G58" s="58"/>
      <c r="H58" s="58"/>
      <c r="I58" s="58"/>
    </row>
    <row r="59" spans="1:9" hidden="1" x14ac:dyDescent="0.2">
      <c r="A59" s="58" t="s">
        <v>29</v>
      </c>
      <c r="B59" s="58"/>
      <c r="C59" s="58"/>
      <c r="D59" s="58"/>
      <c r="E59" s="58"/>
      <c r="F59" s="58"/>
      <c r="G59" s="58"/>
      <c r="H59" s="58"/>
      <c r="I59" s="58"/>
    </row>
    <row r="60" spans="1:9" hidden="1" x14ac:dyDescent="0.2">
      <c r="A60" s="58" t="s">
        <v>55</v>
      </c>
      <c r="B60" s="58"/>
      <c r="C60" s="58"/>
      <c r="D60" s="58"/>
      <c r="E60" s="58"/>
      <c r="F60" s="58"/>
      <c r="G60" s="58"/>
      <c r="H60" s="58"/>
      <c r="I60" s="58"/>
    </row>
    <row r="61" spans="1:9" hidden="1" x14ac:dyDescent="0.2">
      <c r="A61" s="58" t="s">
        <v>68</v>
      </c>
      <c r="B61" s="58"/>
      <c r="C61" s="58"/>
      <c r="D61" s="58"/>
      <c r="E61" s="58"/>
      <c r="F61" s="58"/>
      <c r="G61" s="58"/>
      <c r="H61" s="58"/>
      <c r="I61" s="58"/>
    </row>
    <row r="62" spans="1:9" hidden="1" x14ac:dyDescent="0.2">
      <c r="A62" s="58" t="s">
        <v>43</v>
      </c>
      <c r="B62" s="58"/>
      <c r="C62" s="58"/>
      <c r="D62" s="58"/>
      <c r="E62" s="58"/>
      <c r="F62" s="58"/>
      <c r="G62" s="58"/>
      <c r="H62" s="58"/>
      <c r="I62" s="58"/>
    </row>
    <row r="63" spans="1:9" hidden="1" x14ac:dyDescent="0.2">
      <c r="A63" s="58" t="s">
        <v>78</v>
      </c>
      <c r="B63" s="58"/>
      <c r="C63" s="58"/>
      <c r="D63" s="58"/>
      <c r="E63" s="58"/>
      <c r="F63" s="58"/>
      <c r="G63" s="58"/>
      <c r="H63" s="58"/>
      <c r="I63" s="58"/>
    </row>
    <row r="64" spans="1:9" hidden="1" x14ac:dyDescent="0.2">
      <c r="A64" s="58" t="s">
        <v>33</v>
      </c>
      <c r="B64" s="58"/>
      <c r="C64" s="58"/>
      <c r="D64" s="58"/>
      <c r="E64" s="58"/>
      <c r="F64" s="58"/>
      <c r="G64" s="58"/>
      <c r="H64" s="58"/>
      <c r="I64" s="58"/>
    </row>
    <row r="65" spans="1:9" hidden="1" x14ac:dyDescent="0.2">
      <c r="A65" s="58" t="s">
        <v>10</v>
      </c>
      <c r="B65" s="58"/>
      <c r="C65" s="58"/>
      <c r="D65" s="58"/>
      <c r="E65" s="58"/>
      <c r="F65" s="58"/>
      <c r="G65" s="58"/>
      <c r="H65" s="58"/>
      <c r="I65" s="58"/>
    </row>
    <row r="66" spans="1:9" hidden="1" x14ac:dyDescent="0.2">
      <c r="A66" s="58" t="s">
        <v>51</v>
      </c>
      <c r="B66" s="58"/>
      <c r="C66" s="58"/>
      <c r="D66" s="58"/>
      <c r="E66" s="58"/>
      <c r="F66" s="58"/>
      <c r="G66" s="58"/>
      <c r="H66" s="58"/>
      <c r="I66" s="58"/>
    </row>
    <row r="67" spans="1:9" hidden="1" x14ac:dyDescent="0.2">
      <c r="A67" s="58" t="s">
        <v>75</v>
      </c>
      <c r="B67" s="58"/>
      <c r="C67" s="58"/>
      <c r="D67" s="58"/>
      <c r="E67" s="58"/>
      <c r="F67" s="58"/>
      <c r="G67" s="58"/>
      <c r="H67" s="58"/>
      <c r="I67" s="58"/>
    </row>
    <row r="68" spans="1:9" hidden="1" x14ac:dyDescent="0.2">
      <c r="A68" s="58" t="s">
        <v>34</v>
      </c>
      <c r="B68" s="58"/>
      <c r="C68" s="58"/>
      <c r="D68" s="58"/>
      <c r="E68" s="58"/>
      <c r="F68" s="58"/>
      <c r="G68" s="58"/>
      <c r="H68" s="58"/>
      <c r="I68" s="58"/>
    </row>
    <row r="69" spans="1:9" hidden="1" x14ac:dyDescent="0.2">
      <c r="A69" s="58" t="s">
        <v>7</v>
      </c>
      <c r="B69" s="58"/>
      <c r="C69" s="58"/>
      <c r="D69" s="58"/>
      <c r="E69" s="58"/>
      <c r="F69" s="58"/>
      <c r="G69" s="58"/>
      <c r="H69" s="58"/>
      <c r="I69" s="58"/>
    </row>
    <row r="70" spans="1:9" hidden="1" x14ac:dyDescent="0.2">
      <c r="A70" s="58" t="s">
        <v>65</v>
      </c>
      <c r="B70" s="58"/>
      <c r="C70" s="58"/>
      <c r="D70" s="58"/>
      <c r="E70" s="58"/>
      <c r="F70" s="58"/>
      <c r="G70" s="58"/>
      <c r="H70" s="58"/>
      <c r="I70" s="58"/>
    </row>
    <row r="71" spans="1:9" hidden="1" x14ac:dyDescent="0.2">
      <c r="A71" s="58" t="s">
        <v>50</v>
      </c>
      <c r="B71" s="58"/>
      <c r="C71" s="58"/>
      <c r="D71" s="58"/>
      <c r="E71" s="58"/>
      <c r="F71" s="58"/>
      <c r="G71" s="58"/>
      <c r="H71" s="58"/>
      <c r="I71" s="58"/>
    </row>
    <row r="72" spans="1:9" hidden="1" x14ac:dyDescent="0.2">
      <c r="A72" s="58" t="s">
        <v>64</v>
      </c>
      <c r="B72" s="58"/>
      <c r="C72" s="58"/>
      <c r="D72" s="58"/>
      <c r="E72" s="58"/>
      <c r="F72" s="58"/>
      <c r="G72" s="58"/>
      <c r="H72" s="58"/>
      <c r="I72" s="58"/>
    </row>
    <row r="73" spans="1:9" hidden="1" x14ac:dyDescent="0.2">
      <c r="A73" s="58" t="s">
        <v>60</v>
      </c>
      <c r="B73" s="58"/>
      <c r="C73" s="58"/>
      <c r="D73" s="58"/>
      <c r="E73" s="58"/>
      <c r="F73" s="58"/>
      <c r="G73" s="58"/>
      <c r="H73" s="58"/>
      <c r="I73" s="58"/>
    </row>
    <row r="74" spans="1:9" hidden="1" x14ac:dyDescent="0.2">
      <c r="A74" s="58" t="s">
        <v>62</v>
      </c>
      <c r="B74" s="58"/>
      <c r="C74" s="58"/>
      <c r="D74" s="58"/>
      <c r="E74" s="58"/>
      <c r="F74" s="58"/>
      <c r="G74" s="58"/>
      <c r="H74" s="58"/>
      <c r="I74" s="58"/>
    </row>
    <row r="75" spans="1:9" hidden="1" x14ac:dyDescent="0.2">
      <c r="A75" s="58" t="s">
        <v>27</v>
      </c>
      <c r="B75" s="58"/>
      <c r="C75" s="58"/>
      <c r="D75" s="58"/>
      <c r="E75" s="58"/>
      <c r="F75" s="58"/>
      <c r="G75" s="58"/>
      <c r="H75" s="58"/>
      <c r="I75" s="58"/>
    </row>
    <row r="76" spans="1:9" hidden="1" x14ac:dyDescent="0.2">
      <c r="A76" s="58" t="s">
        <v>42</v>
      </c>
      <c r="B76" s="58"/>
      <c r="C76" s="58"/>
      <c r="D76" s="58"/>
      <c r="E76" s="58"/>
      <c r="F76" s="58"/>
      <c r="G76" s="58"/>
      <c r="H76" s="58"/>
      <c r="I76" s="58"/>
    </row>
    <row r="77" spans="1:9" hidden="1" x14ac:dyDescent="0.2">
      <c r="A77" s="58" t="s">
        <v>9</v>
      </c>
      <c r="B77" s="58"/>
      <c r="C77" s="58"/>
      <c r="D77" s="58"/>
      <c r="E77" s="58"/>
      <c r="F77" s="58"/>
      <c r="G77" s="58"/>
      <c r="H77" s="58"/>
      <c r="I77" s="58"/>
    </row>
    <row r="78" spans="1:9" hidden="1" x14ac:dyDescent="0.2">
      <c r="A78" s="58" t="s">
        <v>63</v>
      </c>
      <c r="B78" s="58"/>
      <c r="C78" s="58"/>
      <c r="D78" s="58"/>
      <c r="E78" s="58"/>
      <c r="F78" s="58"/>
      <c r="G78" s="58"/>
      <c r="H78" s="58"/>
      <c r="I78" s="58"/>
    </row>
    <row r="79" spans="1:9" hidden="1" x14ac:dyDescent="0.2">
      <c r="A79" s="58" t="s">
        <v>8</v>
      </c>
      <c r="B79" s="58"/>
      <c r="C79" s="58"/>
      <c r="D79" s="58"/>
      <c r="E79" s="58"/>
      <c r="F79" s="58"/>
      <c r="G79" s="58"/>
      <c r="H79" s="58"/>
      <c r="I79" s="58"/>
    </row>
    <row r="80" spans="1:9" hidden="1" x14ac:dyDescent="0.2">
      <c r="A80" s="58" t="s">
        <v>356</v>
      </c>
      <c r="B80" s="58"/>
      <c r="C80" s="58"/>
      <c r="D80" s="58"/>
      <c r="E80" s="58"/>
      <c r="F80" s="58"/>
      <c r="G80" s="58"/>
      <c r="H80" s="58"/>
      <c r="I80" s="58"/>
    </row>
    <row r="81" spans="1:9" hidden="1" x14ac:dyDescent="0.2">
      <c r="A81" s="58" t="s">
        <v>57</v>
      </c>
      <c r="B81" s="58"/>
      <c r="C81" s="58"/>
      <c r="D81" s="58"/>
      <c r="E81" s="58"/>
      <c r="F81" s="58"/>
      <c r="G81" s="58"/>
      <c r="H81" s="58"/>
      <c r="I81" s="58"/>
    </row>
    <row r="82" spans="1:9" hidden="1" x14ac:dyDescent="0.2">
      <c r="A82" s="58" t="s">
        <v>73</v>
      </c>
      <c r="B82" s="58"/>
      <c r="C82" s="58"/>
      <c r="D82" s="58"/>
      <c r="E82" s="58"/>
      <c r="F82" s="58"/>
      <c r="G82" s="58"/>
      <c r="H82" s="58"/>
      <c r="I82" s="58"/>
    </row>
    <row r="83" spans="1:9" hidden="1" x14ac:dyDescent="0.2">
      <c r="A83" s="58" t="s">
        <v>74</v>
      </c>
      <c r="B83" s="58"/>
      <c r="C83" s="58"/>
      <c r="D83" s="58"/>
      <c r="E83" s="58"/>
      <c r="F83" s="58"/>
      <c r="G83" s="58"/>
      <c r="H83" s="58"/>
      <c r="I83" s="58"/>
    </row>
    <row r="84" spans="1:9" hidden="1" x14ac:dyDescent="0.2">
      <c r="A84" s="58" t="s">
        <v>72</v>
      </c>
      <c r="B84" s="58"/>
      <c r="C84" s="58"/>
      <c r="D84" s="58"/>
      <c r="E84" s="58"/>
      <c r="F84" s="58"/>
      <c r="G84" s="58"/>
      <c r="H84" s="58"/>
      <c r="I84" s="58"/>
    </row>
    <row r="85" spans="1:9" hidden="1" x14ac:dyDescent="0.2">
      <c r="A85" s="58" t="s">
        <v>30</v>
      </c>
      <c r="B85" s="58"/>
      <c r="C85" s="58"/>
      <c r="D85" s="58"/>
      <c r="E85" s="58"/>
      <c r="F85" s="58"/>
      <c r="G85" s="58"/>
      <c r="H85" s="58"/>
      <c r="I85" s="58"/>
    </row>
    <row r="86" spans="1:9" hidden="1" x14ac:dyDescent="0.2">
      <c r="A86" s="58" t="s">
        <v>66</v>
      </c>
      <c r="B86" s="58"/>
      <c r="C86" s="58"/>
      <c r="D86" s="58"/>
      <c r="E86" s="58"/>
      <c r="F86" s="58"/>
      <c r="G86" s="58"/>
      <c r="H86" s="58"/>
      <c r="I86" s="58"/>
    </row>
    <row r="87" spans="1:9" hidden="1" x14ac:dyDescent="0.2">
      <c r="A87" s="58" t="s">
        <v>41</v>
      </c>
      <c r="B87" s="58"/>
      <c r="C87" s="58"/>
      <c r="D87" s="58"/>
      <c r="E87" s="58"/>
      <c r="F87" s="58"/>
      <c r="G87" s="58"/>
      <c r="H87" s="58"/>
      <c r="I87" s="58"/>
    </row>
    <row r="88" spans="1:9" hidden="1" x14ac:dyDescent="0.2">
      <c r="A88" s="58" t="s">
        <v>45</v>
      </c>
      <c r="B88" s="58"/>
      <c r="C88" s="58"/>
      <c r="D88" s="58"/>
      <c r="E88" s="58"/>
      <c r="F88" s="58"/>
      <c r="G88" s="58"/>
      <c r="H88" s="58"/>
      <c r="I88" s="58"/>
    </row>
    <row r="89" spans="1:9" hidden="1" x14ac:dyDescent="0.2">
      <c r="A89" s="58" t="s">
        <v>54</v>
      </c>
      <c r="B89" s="58"/>
      <c r="C89" s="58"/>
      <c r="D89" s="58"/>
      <c r="E89" s="58"/>
      <c r="F89" s="58"/>
      <c r="G89" s="58"/>
      <c r="H89" s="58"/>
      <c r="I89" s="58"/>
    </row>
    <row r="90" spans="1:9" hidden="1" x14ac:dyDescent="0.2">
      <c r="A90" s="58" t="s">
        <v>26</v>
      </c>
      <c r="B90" s="58"/>
      <c r="C90" s="58"/>
      <c r="D90" s="58"/>
      <c r="E90" s="58"/>
      <c r="F90" s="58"/>
      <c r="G90" s="58"/>
      <c r="H90" s="58"/>
      <c r="I90" s="58"/>
    </row>
    <row r="91" spans="1:9" hidden="1" x14ac:dyDescent="0.2">
      <c r="A91" s="58" t="s">
        <v>19</v>
      </c>
      <c r="B91" s="58"/>
      <c r="C91" s="58"/>
      <c r="D91" s="58"/>
      <c r="E91" s="58"/>
      <c r="F91" s="58"/>
      <c r="G91" s="58"/>
      <c r="H91" s="58"/>
      <c r="I91" s="58"/>
    </row>
    <row r="92" spans="1:9" hidden="1" x14ac:dyDescent="0.2">
      <c r="A92" s="58" t="s">
        <v>17</v>
      </c>
      <c r="B92" s="58"/>
      <c r="C92" s="58"/>
      <c r="D92" s="58"/>
      <c r="E92" s="58"/>
      <c r="F92" s="58"/>
      <c r="G92" s="58"/>
      <c r="H92" s="58"/>
      <c r="I92" s="58"/>
    </row>
    <row r="93" spans="1:9" hidden="1" x14ac:dyDescent="0.2">
      <c r="A93" s="58" t="s">
        <v>16</v>
      </c>
      <c r="B93" s="58"/>
      <c r="C93" s="58"/>
      <c r="D93" s="58"/>
      <c r="E93" s="58"/>
      <c r="F93" s="58"/>
      <c r="G93" s="58"/>
      <c r="H93" s="58"/>
      <c r="I93" s="58"/>
    </row>
    <row r="94" spans="1:9" hidden="1" x14ac:dyDescent="0.2">
      <c r="A94" s="58" t="s">
        <v>31</v>
      </c>
      <c r="B94" s="58"/>
      <c r="C94" s="58"/>
      <c r="D94" s="58"/>
      <c r="E94" s="58"/>
      <c r="F94" s="58"/>
      <c r="G94" s="58"/>
      <c r="H94" s="58"/>
      <c r="I94" s="58"/>
    </row>
    <row r="95" spans="1:9" hidden="1" x14ac:dyDescent="0.2">
      <c r="A95" s="58" t="s">
        <v>38</v>
      </c>
      <c r="B95" s="58"/>
      <c r="C95" s="58"/>
      <c r="D95" s="58"/>
      <c r="E95" s="58"/>
      <c r="F95" s="58"/>
      <c r="G95" s="58"/>
      <c r="H95" s="58"/>
      <c r="I95" s="58"/>
    </row>
    <row r="96" spans="1:9" hidden="1" x14ac:dyDescent="0.2">
      <c r="A96" s="58" t="s">
        <v>48</v>
      </c>
      <c r="B96" s="58"/>
      <c r="C96" s="58"/>
      <c r="D96" s="58"/>
      <c r="E96" s="58"/>
      <c r="F96" s="58"/>
      <c r="G96" s="58"/>
      <c r="H96" s="58"/>
      <c r="I96" s="58"/>
    </row>
    <row r="97" spans="1:9" hidden="1" x14ac:dyDescent="0.2">
      <c r="A97" s="58" t="s">
        <v>53</v>
      </c>
      <c r="B97" s="58"/>
      <c r="C97" s="58"/>
      <c r="D97" s="58"/>
      <c r="E97" s="58"/>
      <c r="F97" s="58"/>
      <c r="G97" s="58"/>
      <c r="H97" s="58"/>
      <c r="I97" s="58"/>
    </row>
    <row r="98" spans="1:9" hidden="1" x14ac:dyDescent="0.2">
      <c r="A98" s="58" t="s">
        <v>32</v>
      </c>
      <c r="B98" s="58"/>
      <c r="C98" s="58"/>
      <c r="D98" s="58"/>
      <c r="E98" s="58"/>
      <c r="F98" s="58"/>
      <c r="G98" s="58"/>
      <c r="H98" s="58"/>
      <c r="I98" s="58"/>
    </row>
    <row r="99" spans="1:9" hidden="1" x14ac:dyDescent="0.2">
      <c r="A99" s="58" t="s">
        <v>36</v>
      </c>
      <c r="B99" s="58"/>
      <c r="C99" s="58"/>
      <c r="D99" s="58"/>
      <c r="E99" s="58"/>
      <c r="F99" s="58"/>
      <c r="G99" s="58"/>
      <c r="H99" s="58"/>
      <c r="I99" s="58"/>
    </row>
    <row r="100" spans="1:9" hidden="1" x14ac:dyDescent="0.2">
      <c r="A100" s="58" t="s">
        <v>5</v>
      </c>
      <c r="B100" s="58"/>
      <c r="C100" s="58"/>
      <c r="D100" s="58"/>
      <c r="E100" s="58"/>
      <c r="F100" s="58"/>
      <c r="G100" s="58"/>
      <c r="H100" s="58"/>
      <c r="I100" s="58"/>
    </row>
    <row r="101" spans="1:9" hidden="1" x14ac:dyDescent="0.2">
      <c r="A101" s="58" t="s">
        <v>20</v>
      </c>
      <c r="B101" s="58"/>
      <c r="C101" s="58"/>
      <c r="D101" s="58"/>
      <c r="E101" s="58"/>
      <c r="F101" s="58"/>
      <c r="G101" s="58"/>
      <c r="H101" s="58"/>
      <c r="I101" s="58"/>
    </row>
    <row r="102" spans="1:9" hidden="1" x14ac:dyDescent="0.2">
      <c r="A102" s="58" t="s">
        <v>11</v>
      </c>
      <c r="B102" s="58"/>
      <c r="C102" s="58"/>
      <c r="D102" s="58"/>
      <c r="E102" s="58"/>
      <c r="F102" s="58"/>
      <c r="G102" s="58"/>
      <c r="H102" s="58"/>
      <c r="I102" s="58"/>
    </row>
    <row r="103" spans="1:9" hidden="1" x14ac:dyDescent="0.2">
      <c r="A103" s="58" t="s">
        <v>18</v>
      </c>
      <c r="B103" s="58"/>
      <c r="C103" s="58"/>
      <c r="D103" s="58"/>
      <c r="E103" s="58"/>
      <c r="F103" s="58"/>
      <c r="G103" s="58"/>
      <c r="H103" s="58"/>
      <c r="I103" s="58"/>
    </row>
    <row r="104" spans="1:9" hidden="1" x14ac:dyDescent="0.2">
      <c r="A104" s="58" t="s">
        <v>13</v>
      </c>
      <c r="B104" s="58"/>
      <c r="C104" s="58"/>
      <c r="D104" s="58"/>
      <c r="E104" s="58"/>
      <c r="F104" s="58"/>
      <c r="G104" s="58"/>
      <c r="H104" s="58"/>
      <c r="I104" s="58"/>
    </row>
    <row r="105" spans="1:9" hidden="1" x14ac:dyDescent="0.2">
      <c r="A105" s="58" t="s">
        <v>14</v>
      </c>
      <c r="B105" s="58"/>
      <c r="C105" s="58"/>
      <c r="D105" s="58"/>
      <c r="E105" s="58"/>
      <c r="F105" s="58"/>
      <c r="G105" s="58"/>
      <c r="H105" s="58"/>
      <c r="I105" s="58"/>
    </row>
    <row r="106" spans="1:9" hidden="1" x14ac:dyDescent="0.2">
      <c r="A106" s="58" t="s">
        <v>52</v>
      </c>
      <c r="B106" s="58"/>
      <c r="C106" s="58"/>
      <c r="D106" s="58"/>
      <c r="E106" s="58"/>
      <c r="F106" s="58"/>
      <c r="G106" s="58"/>
      <c r="H106" s="58"/>
      <c r="I106" s="58"/>
    </row>
    <row r="107" spans="1:9" hidden="1" x14ac:dyDescent="0.2">
      <c r="A107" s="58" t="s">
        <v>67</v>
      </c>
      <c r="B107" s="58"/>
      <c r="C107" s="58"/>
      <c r="D107" s="58"/>
      <c r="E107" s="58"/>
      <c r="F107" s="58"/>
      <c r="G107" s="58"/>
      <c r="H107" s="58"/>
      <c r="I107" s="58"/>
    </row>
    <row r="108" spans="1:9" hidden="1" x14ac:dyDescent="0.2">
      <c r="A108" s="58" t="s">
        <v>39</v>
      </c>
      <c r="B108" s="58"/>
      <c r="C108" s="58"/>
      <c r="D108" s="58"/>
      <c r="E108" s="58"/>
      <c r="F108" s="58"/>
      <c r="G108" s="58"/>
      <c r="H108" s="58"/>
      <c r="I108" s="58"/>
    </row>
    <row r="109" spans="1:9" hidden="1" x14ac:dyDescent="0.2">
      <c r="A109" s="58" t="s">
        <v>77</v>
      </c>
      <c r="B109" s="58"/>
      <c r="C109" s="58"/>
      <c r="D109" s="58"/>
      <c r="E109" s="58"/>
      <c r="F109" s="58"/>
      <c r="G109" s="58"/>
      <c r="H109" s="58"/>
      <c r="I109" s="58"/>
    </row>
    <row r="110" spans="1:9" hidden="1" x14ac:dyDescent="0.2">
      <c r="A110" s="58" t="s">
        <v>44</v>
      </c>
      <c r="B110" s="58"/>
      <c r="C110" s="58"/>
      <c r="D110" s="58"/>
      <c r="E110" s="58"/>
      <c r="F110" s="58"/>
      <c r="G110" s="58"/>
      <c r="H110" s="58"/>
      <c r="I110" s="58"/>
    </row>
    <row r="111" spans="1:9" hidden="1" x14ac:dyDescent="0.2">
      <c r="A111" s="58" t="s">
        <v>37</v>
      </c>
      <c r="B111" s="58"/>
      <c r="C111" s="58"/>
      <c r="D111" s="58"/>
      <c r="E111" s="58"/>
      <c r="F111" s="58"/>
      <c r="G111" s="58"/>
      <c r="H111" s="58"/>
      <c r="I111" s="58"/>
    </row>
    <row r="112" spans="1:9" hidden="1" x14ac:dyDescent="0.2">
      <c r="A112" s="58" t="s">
        <v>59</v>
      </c>
      <c r="B112" s="58"/>
      <c r="C112" s="58"/>
      <c r="D112" s="58"/>
      <c r="E112" s="58"/>
      <c r="F112" s="58"/>
      <c r="G112" s="58"/>
      <c r="H112" s="58"/>
      <c r="I112" s="58"/>
    </row>
    <row r="113" spans="1:9" hidden="1" x14ac:dyDescent="0.2">
      <c r="A113" s="58" t="s">
        <v>47</v>
      </c>
      <c r="B113" s="58"/>
      <c r="C113" s="58"/>
      <c r="D113" s="58"/>
      <c r="E113" s="58"/>
      <c r="F113" s="58"/>
      <c r="G113" s="58"/>
      <c r="H113" s="58"/>
      <c r="I113" s="58"/>
    </row>
    <row r="114" spans="1:9" hidden="1" x14ac:dyDescent="0.2">
      <c r="A114" s="58" t="s">
        <v>25</v>
      </c>
      <c r="B114" s="58"/>
      <c r="C114" s="58"/>
      <c r="D114" s="58"/>
      <c r="E114" s="58"/>
      <c r="F114" s="58"/>
      <c r="G114" s="58"/>
      <c r="H114" s="58"/>
      <c r="I114" s="58"/>
    </row>
    <row r="115" spans="1:9" hidden="1" x14ac:dyDescent="0.2">
      <c r="A115" s="58" t="s">
        <v>70</v>
      </c>
      <c r="B115" s="58"/>
      <c r="C115" s="58"/>
      <c r="D115" s="58"/>
      <c r="E115" s="58"/>
      <c r="F115" s="58"/>
      <c r="G115" s="58"/>
      <c r="H115" s="58"/>
      <c r="I115" s="58"/>
    </row>
    <row r="116" spans="1:9" hidden="1" x14ac:dyDescent="0.2">
      <c r="A116" s="58" t="s">
        <v>56</v>
      </c>
      <c r="B116" s="58"/>
      <c r="C116" s="58"/>
      <c r="D116" s="58"/>
      <c r="E116" s="58"/>
      <c r="F116" s="58"/>
      <c r="G116" s="58"/>
      <c r="H116" s="58"/>
      <c r="I116" s="58"/>
    </row>
    <row r="117" spans="1:9" hidden="1" x14ac:dyDescent="0.2">
      <c r="A117" s="58" t="s">
        <v>6</v>
      </c>
      <c r="B117" s="58"/>
      <c r="C117" s="58"/>
      <c r="D117" s="58"/>
      <c r="E117" s="58"/>
      <c r="F117" s="58"/>
      <c r="G117" s="58"/>
      <c r="H117" s="58"/>
      <c r="I117" s="58"/>
    </row>
    <row r="118" spans="1:9" hidden="1" x14ac:dyDescent="0.2">
      <c r="A118" s="58" t="s">
        <v>71</v>
      </c>
      <c r="B118" s="58"/>
      <c r="C118" s="58"/>
      <c r="D118" s="58"/>
      <c r="E118" s="58"/>
      <c r="F118" s="58"/>
      <c r="G118" s="58"/>
      <c r="H118" s="58"/>
      <c r="I118" s="58"/>
    </row>
    <row r="119" spans="1:9" x14ac:dyDescent="0.2">
      <c r="A119" s="58"/>
      <c r="B119" s="58"/>
      <c r="C119" s="58"/>
      <c r="D119" s="58"/>
      <c r="E119" s="58"/>
      <c r="F119" s="58"/>
      <c r="G119" s="58"/>
      <c r="H119" s="58"/>
      <c r="I119" s="58"/>
    </row>
    <row r="120" spans="1:9" x14ac:dyDescent="0.2">
      <c r="A120" s="58"/>
      <c r="B120" s="58"/>
      <c r="C120" s="58"/>
      <c r="D120" s="58"/>
      <c r="E120" s="58"/>
      <c r="F120" s="58"/>
      <c r="G120" s="58"/>
      <c r="H120" s="58"/>
      <c r="I120" s="58"/>
    </row>
    <row r="121" spans="1:9" x14ac:dyDescent="0.2">
      <c r="A121" s="58"/>
      <c r="B121" s="58"/>
      <c r="C121" s="58"/>
      <c r="D121" s="58"/>
      <c r="E121" s="58"/>
      <c r="F121" s="58"/>
      <c r="G121" s="58"/>
      <c r="H121" s="58"/>
      <c r="I121" s="58"/>
    </row>
    <row r="122" spans="1:9" x14ac:dyDescent="0.2">
      <c r="A122" s="58"/>
      <c r="B122" s="58"/>
      <c r="C122" s="58"/>
      <c r="D122" s="58"/>
      <c r="E122" s="58"/>
      <c r="F122" s="58"/>
      <c r="G122" s="58"/>
      <c r="H122" s="58"/>
      <c r="I122" s="58"/>
    </row>
    <row r="123" spans="1:9" x14ac:dyDescent="0.2">
      <c r="A123" s="58"/>
      <c r="B123" s="58"/>
      <c r="C123" s="58"/>
      <c r="D123" s="58"/>
      <c r="E123" s="58"/>
      <c r="F123" s="58"/>
      <c r="G123" s="58"/>
      <c r="H123" s="58"/>
      <c r="I123" s="58"/>
    </row>
    <row r="124" spans="1:9" x14ac:dyDescent="0.2">
      <c r="A124" s="58"/>
      <c r="B124" s="58"/>
      <c r="C124" s="58"/>
      <c r="D124" s="58"/>
      <c r="E124" s="58"/>
      <c r="F124" s="58"/>
      <c r="G124" s="58"/>
      <c r="H124" s="58"/>
      <c r="I124" s="58"/>
    </row>
    <row r="125" spans="1:9" x14ac:dyDescent="0.2">
      <c r="A125" s="58"/>
      <c r="B125" s="58"/>
      <c r="C125" s="58"/>
      <c r="D125" s="58"/>
      <c r="E125" s="58"/>
      <c r="F125" s="58"/>
      <c r="G125" s="58"/>
      <c r="H125" s="58"/>
      <c r="I125" s="58"/>
    </row>
    <row r="126" spans="1:9" x14ac:dyDescent="0.2">
      <c r="A126" s="58"/>
      <c r="B126" s="58"/>
      <c r="C126" s="58"/>
      <c r="D126" s="58"/>
      <c r="E126" s="58"/>
      <c r="F126" s="58"/>
      <c r="G126" s="58"/>
      <c r="H126" s="58"/>
      <c r="I126" s="58"/>
    </row>
    <row r="127" spans="1:9" x14ac:dyDescent="0.2">
      <c r="A127" s="58"/>
      <c r="B127" s="58"/>
      <c r="C127" s="58"/>
      <c r="D127" s="58"/>
      <c r="E127" s="58"/>
      <c r="F127" s="58"/>
      <c r="G127" s="58"/>
      <c r="H127" s="58"/>
      <c r="I127" s="58"/>
    </row>
    <row r="128" spans="1:9" x14ac:dyDescent="0.2">
      <c r="A128" s="58"/>
      <c r="B128" s="58"/>
      <c r="C128" s="58"/>
      <c r="D128" s="58"/>
      <c r="E128" s="58"/>
      <c r="F128" s="58"/>
      <c r="G128" s="58"/>
      <c r="H128" s="58"/>
      <c r="I128" s="58"/>
    </row>
    <row r="129" spans="1:9" x14ac:dyDescent="0.2">
      <c r="A129" s="58"/>
      <c r="B129" s="58"/>
      <c r="C129" s="58"/>
      <c r="D129" s="58"/>
      <c r="E129" s="58"/>
      <c r="F129" s="58"/>
      <c r="G129" s="58"/>
      <c r="H129" s="58"/>
      <c r="I129" s="58"/>
    </row>
    <row r="130" spans="1:9" x14ac:dyDescent="0.2">
      <c r="A130" s="58"/>
      <c r="B130" s="58"/>
      <c r="C130" s="58"/>
      <c r="D130" s="58"/>
      <c r="E130" s="58"/>
      <c r="F130" s="58"/>
      <c r="G130" s="58"/>
      <c r="H130" s="58"/>
      <c r="I130" s="58"/>
    </row>
    <row r="131" spans="1:9" x14ac:dyDescent="0.2">
      <c r="A131" s="58"/>
      <c r="B131" s="58"/>
      <c r="C131" s="58"/>
      <c r="D131" s="58"/>
      <c r="E131" s="58"/>
      <c r="F131" s="58"/>
      <c r="G131" s="58"/>
      <c r="H131" s="58"/>
      <c r="I131" s="58"/>
    </row>
    <row r="132" spans="1:9" x14ac:dyDescent="0.2">
      <c r="A132" s="58"/>
      <c r="B132" s="58"/>
      <c r="C132" s="58"/>
      <c r="D132" s="58"/>
      <c r="E132" s="58"/>
      <c r="F132" s="58"/>
      <c r="G132" s="58"/>
      <c r="H132" s="58"/>
      <c r="I132" s="58"/>
    </row>
  </sheetData>
  <sheetProtection algorithmName="SHA-512" hashValue="UWLtu/vTFTzpSK9EKM5z4cONOKv/NdsLrzaGYBvw1oflUaGeG/6FFAPpvNZlYy+zsIqTzeJDZfDmqL9cQKPvFw==" saltValue="4adeMjyyrYxhVZtgPzFsog==" spinCount="100000" sheet="1" selectLockedCells="1"/>
  <mergeCells count="2">
    <mergeCell ref="B7:E7"/>
    <mergeCell ref="H20:I22"/>
  </mergeCells>
  <dataValidations count="1">
    <dataValidation type="list" allowBlank="1" showInputMessage="1" showErrorMessage="1" sqref="B7:D7" xr:uid="{00000000-0002-0000-0B00-000000000000}">
      <formula1>$A$43:$A$118</formula1>
    </dataValidation>
  </dataValidations>
  <hyperlinks>
    <hyperlink ref="C13" location="'Details Ressourcenausgleich'!A1" display="Details" xr:uid="{00000000-0004-0000-0B00-000000000000}"/>
    <hyperlink ref="C14" location="'Details SL Weite'!A1" display="Details" xr:uid="{00000000-0004-0000-0B00-000001000000}"/>
    <hyperlink ref="C16" location="'Details SL Sozio'!A1" display="Details" xr:uid="{00000000-0004-0000-0B00-000002000000}"/>
    <hyperlink ref="C17" location="'Details SL Stadt SG'!A1" display="Details" xr:uid="{00000000-0004-0000-0B00-000003000000}"/>
    <hyperlink ref="C15" location="'Details SL Schule'!A1" display="Details" xr:uid="{00000000-0004-0000-0B00-000004000000}"/>
  </hyperlinks>
  <pageMargins left="0.31496062992125984" right="0.31496062992125984" top="0.59055118110236227" bottom="0.59055118110236227" header="0.31496062992125984" footer="0.31496062992125984"/>
  <pageSetup paperSize="9" scale="90" orientation="landscape" r:id="rId1"/>
  <headerFooter>
    <oddFooter>&amp;C&amp;P von &amp;N&amp;R&amp;D</oddFooter>
  </headerFooter>
  <ignoredErrors>
    <ignoredError sqref="D13" unlocked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D152"/>
  <sheetViews>
    <sheetView showGridLines="0" workbookViewId="0">
      <selection activeCell="A167" sqref="A167"/>
    </sheetView>
  </sheetViews>
  <sheetFormatPr baseColWidth="10" defaultRowHeight="12.75" x14ac:dyDescent="0.2"/>
  <cols>
    <col min="1" max="1" width="4.140625" bestFit="1" customWidth="1"/>
    <col min="2" max="2" width="41.5703125" customWidth="1"/>
    <col min="3" max="3" width="22.42578125" customWidth="1"/>
    <col min="4" max="4" width="22.42578125" bestFit="1" customWidth="1"/>
  </cols>
  <sheetData>
    <row r="1" spans="1:4" x14ac:dyDescent="0.2">
      <c r="A1" s="19" t="s">
        <v>193</v>
      </c>
    </row>
    <row r="2" spans="1:4" x14ac:dyDescent="0.2">
      <c r="A2" t="s">
        <v>194</v>
      </c>
    </row>
    <row r="5" spans="1:4" ht="26.25" x14ac:dyDescent="0.4">
      <c r="A5" s="16" t="s">
        <v>368</v>
      </c>
    </row>
    <row r="7" spans="1:4" x14ac:dyDescent="0.2">
      <c r="B7" s="18" t="s">
        <v>202</v>
      </c>
    </row>
    <row r="9" spans="1:4" x14ac:dyDescent="0.2">
      <c r="A9" s="19"/>
      <c r="B9" s="19"/>
      <c r="C9" s="22" t="s">
        <v>79</v>
      </c>
      <c r="D9" s="22" t="str">
        <f>Finanzausgleichsbeiträge!B7</f>
        <v>bitte Gemeinde auswählen</v>
      </c>
    </row>
    <row r="11" spans="1:4" ht="15.75" x14ac:dyDescent="0.25">
      <c r="A11" s="20" t="s">
        <v>97</v>
      </c>
      <c r="B11" s="21" t="str">
        <f>'Ressourcenausgleich Basis'!B10</f>
        <v>Steuerdaten 2023</v>
      </c>
      <c r="C11" s="21"/>
      <c r="D11" s="5"/>
    </row>
    <row r="12" spans="1:4" x14ac:dyDescent="0.2">
      <c r="B12" s="22"/>
      <c r="C12" s="22"/>
    </row>
    <row r="13" spans="1:4" x14ac:dyDescent="0.2">
      <c r="A13" s="23" t="s">
        <v>147</v>
      </c>
      <c r="B13" s="24" t="str">
        <f>'Ressourcenausgleich Basis'!B12</f>
        <v>Einkommens-/Vermögenssteuer</v>
      </c>
      <c r="C13" s="25"/>
      <c r="D13" s="25"/>
    </row>
    <row r="14" spans="1:4" x14ac:dyDescent="0.2">
      <c r="B14" s="26" t="str">
        <f>'Ressourcenausgleich Basis'!B13</f>
        <v>Steuerfuss</v>
      </c>
      <c r="C14" s="62">
        <f>HLOOKUP(C$9,'Ressourcenausgleich Basis'!$C$8:$BZ$151,6,FALSE)</f>
        <v>1.1127139716808052</v>
      </c>
      <c r="D14" s="64" t="e">
        <f>HLOOKUP(D$9,'Ressourcenausgleich Basis'!$C$8:$BZ$151,6,FALSE)</f>
        <v>#N/A</v>
      </c>
    </row>
    <row r="15" spans="1:4" x14ac:dyDescent="0.2">
      <c r="B15" s="28"/>
      <c r="C15" s="27"/>
      <c r="D15" s="27"/>
    </row>
    <row r="16" spans="1:4" x14ac:dyDescent="0.2">
      <c r="B16" t="str">
        <f>'Ressourcenausgleich Basis'!B15</f>
        <v>Einfache Steuer Brutto</v>
      </c>
      <c r="C16" s="53">
        <f>HLOOKUP(C$9,'Ressourcenausgleich Basis'!$C$8:$BZ$151,8,FALSE)</f>
        <v>1267089014.29</v>
      </c>
      <c r="D16" s="60" t="e">
        <f>HLOOKUP(D$9,'Ressourcenausgleich Basis'!$C$8:$BZ$151,8,FALSE)</f>
        <v>#N/A</v>
      </c>
    </row>
    <row r="17" spans="1:4" x14ac:dyDescent="0.2">
      <c r="B17" t="str">
        <f>'Ressourcenausgleich Basis'!B16</f>
        <v>Abschreibungen</v>
      </c>
      <c r="C17" s="53">
        <f>HLOOKUP(C$9,'Ressourcenausgleich Basis'!$C$8:$BZ$151,9,FALSE)</f>
        <v>3942852.1285924776</v>
      </c>
      <c r="D17" s="60" t="e">
        <f>HLOOKUP(D$9,'Ressourcenausgleich Basis'!$C$8:$BZ$151,9,FALSE)</f>
        <v>#N/A</v>
      </c>
    </row>
    <row r="18" spans="1:4" x14ac:dyDescent="0.2">
      <c r="B18" t="str">
        <f>'Ressourcenausgleich Basis'!B17</f>
        <v>Einfache Steuer Netto</v>
      </c>
      <c r="C18" s="53">
        <f>HLOOKUP(C$9,'Ressourcenausgleich Basis'!$C$8:$BZ$151,10,FALSE)</f>
        <v>1263146162.1614077</v>
      </c>
      <c r="D18" s="53" t="e">
        <f>HLOOKUP(D$9,'Ressourcenausgleich Basis'!$C$8:$BZ$151,10,FALSE)</f>
        <v>#N/A</v>
      </c>
    </row>
    <row r="19" spans="1:4" x14ac:dyDescent="0.2">
      <c r="C19" s="27"/>
      <c r="D19" s="27"/>
    </row>
    <row r="20" spans="1:4" x14ac:dyDescent="0.2">
      <c r="B20" t="str">
        <f>'Ressourcenausgleich Basis'!B19</f>
        <v>Effektiver Nettoertrag</v>
      </c>
      <c r="C20" s="3">
        <f>HLOOKUP(C$9,'Ressourcenausgleich Basis'!$C$8:$BZ$151,12,FALSE)</f>
        <v>1405520382.9119864</v>
      </c>
      <c r="D20" s="10" t="e">
        <f>HLOOKUP($D$9,'Ressourcenausgleich Basis'!$C$8:$BZ$151,12,FALSE)</f>
        <v>#N/A</v>
      </c>
    </row>
    <row r="22" spans="1:4" x14ac:dyDescent="0.2">
      <c r="A22" s="19"/>
      <c r="B22" s="19" t="str">
        <f>'Ressourcenausgleich Basis'!B21</f>
        <v>Standardisierter Ertrag</v>
      </c>
      <c r="C22" s="13">
        <f>HLOOKUP(C$9,'Ressourcenausgleich Basis'!$C$8:$BZ$151,14,FALSE)</f>
        <v>1405520382.9119864</v>
      </c>
      <c r="D22" s="13" t="e">
        <f>HLOOKUP($D$9,'Ressourcenausgleich Basis'!$C$8:$BZ$151,14,FALSE)</f>
        <v>#N/A</v>
      </c>
    </row>
    <row r="24" spans="1:4" x14ac:dyDescent="0.2">
      <c r="A24" s="23" t="s">
        <v>148</v>
      </c>
      <c r="B24" s="24" t="str">
        <f>'Ressourcenausgleich Basis'!B23</f>
        <v>Quellensteuer</v>
      </c>
      <c r="C24" s="23"/>
      <c r="D24" s="23"/>
    </row>
    <row r="25" spans="1:4" x14ac:dyDescent="0.2">
      <c r="B25" t="str">
        <f>'Ressourcenausgleich Basis'!B24</f>
        <v>Bruttoertrag</v>
      </c>
      <c r="C25" s="1">
        <f>HLOOKUP(C$9,'Ressourcenausgleich Basis'!$C$8:$BZ$151,17,FALSE)</f>
        <v>82950710.500000015</v>
      </c>
      <c r="D25" s="7" t="e">
        <f>HLOOKUP(D$9,'Ressourcenausgleich Basis'!$C$8:$BZ$151,17,FALSE)</f>
        <v>#N/A</v>
      </c>
    </row>
    <row r="26" spans="1:4" x14ac:dyDescent="0.2">
      <c r="B26" t="str">
        <f>'Ressourcenausgleich Basis'!B25</f>
        <v>Abschreibungen</v>
      </c>
      <c r="C26" s="1">
        <f>HLOOKUP(C$9,'Ressourcenausgleich Basis'!$C$8:$BZ$151,18,FALSE)</f>
        <v>545968.24000000011</v>
      </c>
      <c r="D26" s="7" t="e">
        <f>HLOOKUP(D$9,'Ressourcenausgleich Basis'!$C$8:$BZ$151,18,FALSE)</f>
        <v>#N/A</v>
      </c>
    </row>
    <row r="27" spans="1:4" x14ac:dyDescent="0.2">
      <c r="A27" s="19"/>
      <c r="B27" s="19" t="str">
        <f>'Ressourcenausgleich Basis'!B26</f>
        <v>Nettoertrag (standardisierter Ertrag)</v>
      </c>
      <c r="C27" s="13">
        <f>HLOOKUP(C$9,'Ressourcenausgleich Basis'!$C$8:$BZ$151,19,FALSE)</f>
        <v>82404742.259999976</v>
      </c>
      <c r="D27" s="13" t="e">
        <f>HLOOKUP(D$9,'Ressourcenausgleich Basis'!$C$8:$BZ$151,19,FALSE)</f>
        <v>#N/A</v>
      </c>
    </row>
    <row r="29" spans="1:4" x14ac:dyDescent="0.2">
      <c r="A29" s="23" t="s">
        <v>149</v>
      </c>
      <c r="B29" s="24" t="str">
        <f>'Ressourcenausgleich Basis'!B28</f>
        <v>Gewinn- und Kapitalsteuer</v>
      </c>
      <c r="C29" s="23"/>
      <c r="D29" s="23"/>
    </row>
    <row r="30" spans="1:4" x14ac:dyDescent="0.2">
      <c r="B30" t="str">
        <f>'Ressourcenausgleich Basis'!B29</f>
        <v>Bruttoertrag</v>
      </c>
      <c r="C30" s="1">
        <f>HLOOKUP(C$9,'Ressourcenausgleich Basis'!$C$8:$BZ$151,22,FALSE)</f>
        <v>192630739.75</v>
      </c>
      <c r="D30" s="7" t="e">
        <f>HLOOKUP(D$9,'Ressourcenausgleich Basis'!$C$8:$BZ$151,22,FALSE)</f>
        <v>#N/A</v>
      </c>
    </row>
    <row r="31" spans="1:4" x14ac:dyDescent="0.2">
      <c r="B31" t="str">
        <f>'Ressourcenausgleich Basis'!B30</f>
        <v>Abschreibungen</v>
      </c>
      <c r="C31" s="1">
        <f>HLOOKUP(C$9,'Ressourcenausgleich Basis'!$C$8:$BZ$151,23,FALSE)</f>
        <v>1363211.0000000005</v>
      </c>
      <c r="D31" s="7" t="e">
        <f>HLOOKUP(D$9,'Ressourcenausgleich Basis'!$C$8:$BZ$151,23,FALSE)</f>
        <v>#N/A</v>
      </c>
    </row>
    <row r="32" spans="1:4" x14ac:dyDescent="0.2">
      <c r="B32" t="str">
        <f>'Ressourcenausgleich Basis'!B31</f>
        <v>pauschale Steueranrechnung</v>
      </c>
      <c r="C32" s="1">
        <f>HLOOKUP(C$9,'Ressourcenausgleich Basis'!$C$8:$BZ$151,24,FALSE)</f>
        <v>672651.9</v>
      </c>
      <c r="D32" s="7" t="e">
        <f>HLOOKUP(D$9,'Ressourcenausgleich Basis'!$C$8:$BZ$151,24,FALSE)</f>
        <v>#N/A</v>
      </c>
    </row>
    <row r="33" spans="1:4" x14ac:dyDescent="0.2">
      <c r="A33" s="19"/>
      <c r="B33" s="19" t="str">
        <f>'Ressourcenausgleich Basis'!B32</f>
        <v>Nettoertrag (standardisierter Ertrag)</v>
      </c>
      <c r="C33" s="13">
        <f>HLOOKUP(C$9,'Ressourcenausgleich Basis'!$C$8:$BZ$151,25,FALSE)</f>
        <v>190594876.85000008</v>
      </c>
      <c r="D33" s="13" t="e">
        <f>HLOOKUP(D$9,'Ressourcenausgleich Basis'!$C$8:$BZ$151,25,FALSE)</f>
        <v>#N/A</v>
      </c>
    </row>
    <row r="35" spans="1:4" x14ac:dyDescent="0.2">
      <c r="A35" s="23" t="s">
        <v>150</v>
      </c>
      <c r="B35" s="24" t="str">
        <f>'Ressourcenausgleich Basis'!B34</f>
        <v>Grundsteuer (ord. Satz)</v>
      </c>
      <c r="C35" s="23"/>
      <c r="D35" s="23"/>
    </row>
    <row r="36" spans="1:4" x14ac:dyDescent="0.2">
      <c r="B36" t="str">
        <f>'Ressourcenausgleich Basis'!B35</f>
        <v>Steuersatz in ‰</v>
      </c>
      <c r="C36" s="1">
        <f>HLOOKUP(C$9,'Ressourcenausgleich Basis'!$C$8:$BZ$151,28,FALSE)</f>
        <v>0.68623685433592096</v>
      </c>
      <c r="D36" s="7" t="e">
        <f>HLOOKUP(D$9,'Ressourcenausgleich Basis'!$C$8:$BZ$151,28,FALSE)</f>
        <v>#N/A</v>
      </c>
    </row>
    <row r="37" spans="1:4" x14ac:dyDescent="0.2">
      <c r="B37" s="30"/>
    </row>
    <row r="38" spans="1:4" x14ac:dyDescent="0.2">
      <c r="B38" t="str">
        <f>'Ressourcenausgleich Basis'!B37</f>
        <v>Bruttoertrag</v>
      </c>
      <c r="C38" s="1">
        <f>HLOOKUP(C$9,'Ressourcenausgleich Basis'!$C$8:$BZ$151,30,FALSE)</f>
        <v>103336545.05000001</v>
      </c>
      <c r="D38" s="7" t="e">
        <f>HLOOKUP(D$9,'Ressourcenausgleich Basis'!$C$8:$BZ$151,30,FALSE)</f>
        <v>#N/A</v>
      </c>
    </row>
    <row r="39" spans="1:4" x14ac:dyDescent="0.2">
      <c r="B39" t="str">
        <f>'Ressourcenausgleich Basis'!B38</f>
        <v>Erlasse/Verluste</v>
      </c>
      <c r="C39" s="1">
        <f>HLOOKUP(C$9,'Ressourcenausgleich Basis'!$C$8:$BZ$151,31,FALSE)</f>
        <v>2871.3999999999996</v>
      </c>
      <c r="D39" s="7" t="e">
        <f>HLOOKUP(D$9,'Ressourcenausgleich Basis'!$C$8:$BZ$151,31,FALSE)</f>
        <v>#N/A</v>
      </c>
    </row>
    <row r="40" spans="1:4" x14ac:dyDescent="0.2">
      <c r="B40" t="str">
        <f>'Ressourcenausgleich Basis'!B39</f>
        <v>Nettoertrag</v>
      </c>
      <c r="C40" s="3">
        <f>HLOOKUP(C$9,'Ressourcenausgleich Basis'!$C$8:$BZ$151,32,FALSE)</f>
        <v>103333673.64999999</v>
      </c>
      <c r="D40" s="3" t="e">
        <f>HLOOKUP(D$9,'Ressourcenausgleich Basis'!$C$8:$BZ$151,32,FALSE)</f>
        <v>#N/A</v>
      </c>
    </row>
    <row r="42" spans="1:4" x14ac:dyDescent="0.2">
      <c r="B42" t="str">
        <f>'Ressourcenausgleich Basis'!B41</f>
        <v>Ertrag bei Satz von 1‰</v>
      </c>
      <c r="C42" s="3">
        <f>HLOOKUP(C$9,'Ressourcenausgleich Basis'!$C$8:$BZ$151,34,FALSE)</f>
        <v>150580186.70535719</v>
      </c>
      <c r="D42" s="3" t="e">
        <f>HLOOKUP(D$9,'Ressourcenausgleich Basis'!$C$8:$BZ$151,34,FALSE)</f>
        <v>#N/A</v>
      </c>
    </row>
    <row r="44" spans="1:4" x14ac:dyDescent="0.2">
      <c r="B44" s="19" t="str">
        <f>'Ressourcenausgleich Basis'!B43</f>
        <v>Standardisierter Ertrag</v>
      </c>
      <c r="C44" s="13">
        <f>HLOOKUP(C$9,'Ressourcenausgleich Basis'!$C$8:$BZ$151,36,FALSE)</f>
        <v>103333673.64999999</v>
      </c>
      <c r="D44" s="13" t="e">
        <f>HLOOKUP(D$9,'Ressourcenausgleich Basis'!$C$8:$BZ$151,36,FALSE)</f>
        <v>#N/A</v>
      </c>
    </row>
    <row r="46" spans="1:4" x14ac:dyDescent="0.2">
      <c r="A46" s="23" t="s">
        <v>151</v>
      </c>
      <c r="B46" s="24" t="str">
        <f>'Ressourcenausgleich Basis'!B45</f>
        <v>Grundsteuer (Spezialsatz)</v>
      </c>
      <c r="C46" s="23"/>
      <c r="D46" s="23"/>
    </row>
    <row r="47" spans="1:4" x14ac:dyDescent="0.2">
      <c r="B47" t="str">
        <f>'Ressourcenausgleich Basis'!B46</f>
        <v>Bruttoertrag</v>
      </c>
      <c r="C47" s="1">
        <f>HLOOKUP(C$9,'Ressourcenausgleich Basis'!$C$8:$BZ$151,39,FALSE)</f>
        <v>1630051.2199999995</v>
      </c>
      <c r="D47" s="7" t="e">
        <f>HLOOKUP(D$9,'Ressourcenausgleich Basis'!$C$8:$BZ$151,39,FALSE)</f>
        <v>#N/A</v>
      </c>
    </row>
    <row r="48" spans="1:4" x14ac:dyDescent="0.2">
      <c r="B48" t="str">
        <f>'Ressourcenausgleich Basis'!B47</f>
        <v>Erlasse/Verluste</v>
      </c>
      <c r="C48" s="1">
        <f>HLOOKUP(C$9,'Ressourcenausgleich Basis'!$C$8:$BZ$151,40,FALSE)</f>
        <v>12.11</v>
      </c>
      <c r="D48" s="7" t="e">
        <f>HLOOKUP(D$9,'Ressourcenausgleich Basis'!$C$8:$BZ$151,40,FALSE)</f>
        <v>#N/A</v>
      </c>
    </row>
    <row r="49" spans="1:4" x14ac:dyDescent="0.2">
      <c r="A49" s="19"/>
      <c r="B49" s="19" t="str">
        <f>'Ressourcenausgleich Basis'!B48</f>
        <v>Nettoertrag (standardisierter Ertrag)</v>
      </c>
      <c r="C49" s="13">
        <f>HLOOKUP(C$9,'Ressourcenausgleich Basis'!$C$8:$BZ$151,41,FALSE)</f>
        <v>1630039.1099999996</v>
      </c>
      <c r="D49" s="13" t="e">
        <f>HLOOKUP(D$9,'Ressourcenausgleich Basis'!$C$8:$BZ$151,41,FALSE)</f>
        <v>#N/A</v>
      </c>
    </row>
    <row r="51" spans="1:4" x14ac:dyDescent="0.2">
      <c r="A51" s="23" t="s">
        <v>152</v>
      </c>
      <c r="B51" s="24" t="str">
        <f>'Ressourcenausgleich Basis'!B50</f>
        <v>Handänderungssteuer</v>
      </c>
      <c r="C51" s="23"/>
      <c r="D51" s="23"/>
    </row>
    <row r="52" spans="1:4" x14ac:dyDescent="0.2">
      <c r="B52" t="str">
        <f>'Ressourcenausgleich Basis'!B51</f>
        <v>Bruttoertrag</v>
      </c>
      <c r="C52" s="1">
        <f>HLOOKUP(C$9,'Ressourcenausgleich Basis'!$C$8:$BZ$151,44,FALSE)</f>
        <v>59811725.519999988</v>
      </c>
      <c r="D52" s="7" t="e">
        <f>HLOOKUP(D$9,'Ressourcenausgleich Basis'!$C$8:$BZ$151,44,FALSE)</f>
        <v>#N/A</v>
      </c>
    </row>
    <row r="53" spans="1:4" x14ac:dyDescent="0.2">
      <c r="B53" t="str">
        <f>'Ressourcenausgleich Basis'!B52</f>
        <v>Erlasse/Verluste</v>
      </c>
      <c r="C53" s="1">
        <f>HLOOKUP(C$9,'Ressourcenausgleich Basis'!$C$8:$BZ$151,45,FALSE)</f>
        <v>0</v>
      </c>
      <c r="D53" s="7" t="e">
        <f>HLOOKUP(D$9,'Ressourcenausgleich Basis'!$C$8:$BZ$151,45,FALSE)</f>
        <v>#N/A</v>
      </c>
    </row>
    <row r="54" spans="1:4" x14ac:dyDescent="0.2">
      <c r="A54" s="19"/>
      <c r="B54" s="19" t="str">
        <f>'Ressourcenausgleich Basis'!B53</f>
        <v>Nettoertrag (standardisierter Ertrag)</v>
      </c>
      <c r="C54" s="13">
        <f>HLOOKUP(C$9,'Ressourcenausgleich Basis'!$C$8:$BZ$151,46,FALSE)</f>
        <v>59811725.519999988</v>
      </c>
      <c r="D54" s="13" t="e">
        <f>HLOOKUP(D$9,'Ressourcenausgleich Basis'!$C$8:$BZ$151,46,FALSE)</f>
        <v>#N/A</v>
      </c>
    </row>
    <row r="56" spans="1:4" x14ac:dyDescent="0.2">
      <c r="A56" s="23" t="s">
        <v>153</v>
      </c>
      <c r="B56" s="24" t="str">
        <f>'Ressourcenausgleich Basis'!B55</f>
        <v>Grundstückgewinnsteuer</v>
      </c>
      <c r="C56" s="23"/>
      <c r="D56" s="23"/>
    </row>
    <row r="57" spans="1:4" x14ac:dyDescent="0.2">
      <c r="B57" t="str">
        <f>'Ressourcenausgleich Basis'!B56</f>
        <v>Bruttoertrag</v>
      </c>
      <c r="C57" s="61">
        <f>HLOOKUP(C$9,'Ressourcenausgleich Basis'!$C$8:$BZ$151,49,FALSE)</f>
        <v>93028694</v>
      </c>
      <c r="D57" s="31" t="e">
        <f>HLOOKUP(D$9,'Ressourcenausgleich Basis'!$C$8:$BZ$151,49,FALSE)</f>
        <v>#N/A</v>
      </c>
    </row>
    <row r="58" spans="1:4" x14ac:dyDescent="0.2">
      <c r="B58" t="str">
        <f>'Ressourcenausgleich Basis'!B57</f>
        <v>Abschreibungen</v>
      </c>
      <c r="C58" s="61">
        <f>HLOOKUP(C$9,'Ressourcenausgleich Basis'!$C$8:$BZ$151,50,FALSE)</f>
        <v>3924.45</v>
      </c>
      <c r="D58" s="31" t="e">
        <f>HLOOKUP(D$9,'Ressourcenausgleich Basis'!$C$8:$BZ$151,50,FALSE)</f>
        <v>#N/A</v>
      </c>
    </row>
    <row r="59" spans="1:4" x14ac:dyDescent="0.2">
      <c r="A59" s="19"/>
      <c r="B59" s="19" t="str">
        <f>'Ressourcenausgleich Basis'!B58</f>
        <v>Nettoertrag (standardisierter Ertrag)</v>
      </c>
      <c r="C59" s="32">
        <f>HLOOKUP(C$9,'Ressourcenausgleich Basis'!$C$8:$BZ$151,51,FALSE)</f>
        <v>93024769.550000012</v>
      </c>
      <c r="D59" s="32" t="e">
        <f>HLOOKUP(D$9,'Ressourcenausgleich Basis'!$C$8:$BZ$151,51,FALSE)</f>
        <v>#N/A</v>
      </c>
    </row>
    <row r="61" spans="1:4" x14ac:dyDescent="0.2">
      <c r="B61" s="22"/>
    </row>
    <row r="62" spans="1:4" ht="15.75" x14ac:dyDescent="0.25">
      <c r="A62" s="20" t="s">
        <v>98</v>
      </c>
      <c r="B62" s="21" t="str">
        <f>'Ressourcenausgleich Basis'!B61</f>
        <v>Steuerdaten 2022</v>
      </c>
      <c r="C62" s="5"/>
      <c r="D62" s="5"/>
    </row>
    <row r="63" spans="1:4" x14ac:dyDescent="0.2">
      <c r="B63" s="22"/>
      <c r="C63" s="3"/>
      <c r="D63" s="3"/>
    </row>
    <row r="64" spans="1:4" x14ac:dyDescent="0.2">
      <c r="A64" s="23" t="s">
        <v>128</v>
      </c>
      <c r="B64" s="24" t="str">
        <f>'Ressourcenausgleich Basis'!B63</f>
        <v>Einkommens-/Vermögenssteuer</v>
      </c>
      <c r="C64" s="11"/>
      <c r="D64" s="11"/>
    </row>
    <row r="65" spans="1:4" x14ac:dyDescent="0.2">
      <c r="B65" s="26" t="str">
        <f>'Ressourcenausgleich Basis'!B64</f>
        <v>Steuerfuss</v>
      </c>
      <c r="C65" s="48">
        <f>HLOOKUP(C$9,'Ressourcenausgleich Basis'!$C$8:$BZ$151,57,FALSE)</f>
        <v>1.124303944208243</v>
      </c>
      <c r="D65" s="8" t="e">
        <f>HLOOKUP(D$9,'Ressourcenausgleich Basis'!$C$8:$BZ$151,57,FALSE)</f>
        <v>#N/A</v>
      </c>
    </row>
    <row r="66" spans="1:4" x14ac:dyDescent="0.2">
      <c r="B66" s="28"/>
      <c r="C66" s="3"/>
      <c r="D66" s="3"/>
    </row>
    <row r="67" spans="1:4" x14ac:dyDescent="0.2">
      <c r="B67" t="str">
        <f>'Ressourcenausgleich Basis'!B66</f>
        <v>Einfache Steuer Brutto</v>
      </c>
      <c r="C67" s="3">
        <f>HLOOKUP(C$9,'Ressourcenausgleich Basis'!$C$8:$BZ$151,59,FALSE)</f>
        <v>1190254487.4200001</v>
      </c>
      <c r="D67" s="10" t="e">
        <f>HLOOKUP(D$9,'Ressourcenausgleich Basis'!$C$8:$BZ$151,59,FALSE)</f>
        <v>#N/A</v>
      </c>
    </row>
    <row r="68" spans="1:4" x14ac:dyDescent="0.2">
      <c r="B68" t="str">
        <f>'Ressourcenausgleich Basis'!B67</f>
        <v>Abschreibungen</v>
      </c>
      <c r="C68" s="3">
        <f>HLOOKUP(C$9,'Ressourcenausgleich Basis'!$C$8:$BZ$151,60,FALSE)</f>
        <v>4194886.3565831576</v>
      </c>
      <c r="D68" s="10" t="e">
        <f>HLOOKUP(D$9,'Ressourcenausgleich Basis'!$C$8:$BZ$151,60,FALSE)</f>
        <v>#N/A</v>
      </c>
    </row>
    <row r="69" spans="1:4" x14ac:dyDescent="0.2">
      <c r="B69" t="str">
        <f>'Ressourcenausgleich Basis'!B68</f>
        <v>Einfache Steuer Netto</v>
      </c>
      <c r="C69" s="3">
        <f>HLOOKUP(C$9,'Ressourcenausgleich Basis'!$C$8:$BZ$151,61,FALSE)</f>
        <v>1186059601.063417</v>
      </c>
      <c r="D69" s="3" t="e">
        <f>HLOOKUP(D$9,'Ressourcenausgleich Basis'!$C$8:$BZ$151,61,FALSE)</f>
        <v>#N/A</v>
      </c>
    </row>
    <row r="70" spans="1:4" x14ac:dyDescent="0.2">
      <c r="C70" s="3"/>
      <c r="D70" s="3"/>
    </row>
    <row r="71" spans="1:4" x14ac:dyDescent="0.2">
      <c r="B71" t="str">
        <f>'Ressourcenausgleich Basis'!B70</f>
        <v>Effektiver Nettoertrag</v>
      </c>
      <c r="C71" s="3">
        <f>HLOOKUP(C$9,'Ressourcenausgleich Basis'!$C$8:$BZ$151,63,FALSE)</f>
        <v>1333491487.5416548</v>
      </c>
      <c r="D71" s="3" t="e">
        <f>HLOOKUP(D$9,'Ressourcenausgleich Basis'!$C$8:$BZ$151,63,FALSE)</f>
        <v>#N/A</v>
      </c>
    </row>
    <row r="72" spans="1:4" x14ac:dyDescent="0.2">
      <c r="C72" s="3"/>
      <c r="D72" s="3"/>
    </row>
    <row r="73" spans="1:4" x14ac:dyDescent="0.2">
      <c r="A73" s="19"/>
      <c r="B73" s="19" t="str">
        <f>'Ressourcenausgleich Basis'!B72</f>
        <v>Standardisierter Ertrag</v>
      </c>
      <c r="C73" s="13">
        <f>HLOOKUP(C$9,'Ressourcenausgleich Basis'!$C$8:$BZ$151,65,FALSE)</f>
        <v>1333491487.5416548</v>
      </c>
      <c r="D73" s="13" t="e">
        <f>HLOOKUP(D$9,'Ressourcenausgleich Basis'!$C$8:$BZ$151,65,FALSE)</f>
        <v>#N/A</v>
      </c>
    </row>
    <row r="74" spans="1:4" x14ac:dyDescent="0.2">
      <c r="C74" s="3"/>
      <c r="D74" s="3"/>
    </row>
    <row r="75" spans="1:4" x14ac:dyDescent="0.2">
      <c r="A75" s="23" t="s">
        <v>129</v>
      </c>
      <c r="B75" s="24" t="str">
        <f>'Ressourcenausgleich Basis'!B74</f>
        <v>Quellensteuer</v>
      </c>
      <c r="C75" s="14"/>
      <c r="D75" s="14"/>
    </row>
    <row r="76" spans="1:4" x14ac:dyDescent="0.2">
      <c r="B76" t="str">
        <f>'Ressourcenausgleich Basis'!B75</f>
        <v>Bruttoertrag</v>
      </c>
      <c r="C76" s="1">
        <f>HLOOKUP(C$9,'Ressourcenausgleich Basis'!$C$8:$BZ$151,68,FALSE)</f>
        <v>71317458.850000024</v>
      </c>
      <c r="D76" s="7" t="e">
        <f>HLOOKUP(D$9,'Ressourcenausgleich Basis'!$C$8:$BZ$151,68,FALSE)</f>
        <v>#N/A</v>
      </c>
    </row>
    <row r="77" spans="1:4" x14ac:dyDescent="0.2">
      <c r="B77" t="str">
        <f>'Ressourcenausgleich Basis'!B76</f>
        <v>Abschreibungen</v>
      </c>
      <c r="C77" s="1">
        <f>HLOOKUP(C$9,'Ressourcenausgleich Basis'!$C$8:$BZ$151,69,FALSE)</f>
        <v>761087.46000000008</v>
      </c>
      <c r="D77" s="7" t="e">
        <f>HLOOKUP(D$9,'Ressourcenausgleich Basis'!$C$8:$BZ$151,69,FALSE)</f>
        <v>#N/A</v>
      </c>
    </row>
    <row r="78" spans="1:4" x14ac:dyDescent="0.2">
      <c r="A78" s="19"/>
      <c r="B78" s="19" t="str">
        <f>'Ressourcenausgleich Basis'!B77</f>
        <v>Nettoertrag (standardisierter Ertrag)</v>
      </c>
      <c r="C78" s="13">
        <f>HLOOKUP(C$9,'Ressourcenausgleich Basis'!$C$8:$BZ$151,70,FALSE)</f>
        <v>70556371.389999971</v>
      </c>
      <c r="D78" s="13" t="e">
        <f>HLOOKUP(D$9,'Ressourcenausgleich Basis'!$C$8:$BZ$151,70,FALSE)</f>
        <v>#N/A</v>
      </c>
    </row>
    <row r="79" spans="1:4" x14ac:dyDescent="0.2">
      <c r="C79" s="3"/>
      <c r="D79" s="3"/>
    </row>
    <row r="80" spans="1:4" x14ac:dyDescent="0.2">
      <c r="A80" s="23" t="s">
        <v>137</v>
      </c>
      <c r="B80" s="24" t="str">
        <f>'Ressourcenausgleich Basis'!B79</f>
        <v>Gewinn- und Kapitalsteuer</v>
      </c>
      <c r="C80" s="14"/>
      <c r="D80" s="14"/>
    </row>
    <row r="81" spans="1:4" x14ac:dyDescent="0.2">
      <c r="B81" t="str">
        <f>'Ressourcenausgleich Basis'!B80</f>
        <v>Bruttoertrag</v>
      </c>
      <c r="C81" s="1">
        <f>HLOOKUP(C$9,'Ressourcenausgleich Basis'!$C$8:$BZ$151,73,FALSE)</f>
        <v>196717901.09999996</v>
      </c>
      <c r="D81" s="7" t="e">
        <f>HLOOKUP(D$9,'Ressourcenausgleich Basis'!$C$8:$BZ$151,73,FALSE)</f>
        <v>#N/A</v>
      </c>
    </row>
    <row r="82" spans="1:4" x14ac:dyDescent="0.2">
      <c r="B82" t="str">
        <f>'Ressourcenausgleich Basis'!B81</f>
        <v>Abschreibungen</v>
      </c>
      <c r="C82" s="1">
        <f>HLOOKUP(C$9,'Ressourcenausgleich Basis'!$C$8:$BZ$151,74,FALSE)</f>
        <v>1744133.4500000009</v>
      </c>
      <c r="D82" s="7" t="e">
        <f>HLOOKUP(D$9,'Ressourcenausgleich Basis'!$C$8:$BZ$151,74,FALSE)</f>
        <v>#N/A</v>
      </c>
    </row>
    <row r="83" spans="1:4" x14ac:dyDescent="0.2">
      <c r="B83" t="str">
        <f>'Ressourcenausgleich Basis'!B82</f>
        <v>pauschale Steueranrechnung</v>
      </c>
      <c r="C83" s="3">
        <f>HLOOKUP(C$9,'Ressourcenausgleich Basis'!$C$8:$BZ$151,75,FALSE)</f>
        <v>276894.84999999998</v>
      </c>
      <c r="D83" s="10" t="e">
        <f>HLOOKUP(D$9,'Ressourcenausgleich Basis'!$C$8:$BZ$151,75,FALSE)</f>
        <v>#N/A</v>
      </c>
    </row>
    <row r="84" spans="1:4" x14ac:dyDescent="0.2">
      <c r="A84" s="19"/>
      <c r="B84" s="19" t="str">
        <f>'Ressourcenausgleich Basis'!B83</f>
        <v>Nettoertrag (standardisierter Ertrag)</v>
      </c>
      <c r="C84" s="13">
        <f>HLOOKUP(C$9,'Ressourcenausgleich Basis'!$C$8:$BZ$151,76,FALSE)</f>
        <v>194696872.80000001</v>
      </c>
      <c r="D84" s="13" t="e">
        <f>HLOOKUP(D$9,'Ressourcenausgleich Basis'!$C$8:$BZ$151,76,FALSE)</f>
        <v>#N/A</v>
      </c>
    </row>
    <row r="85" spans="1:4" x14ac:dyDescent="0.2">
      <c r="C85" s="3"/>
      <c r="D85" s="3"/>
    </row>
    <row r="86" spans="1:4" x14ac:dyDescent="0.2">
      <c r="A86" s="23" t="s">
        <v>143</v>
      </c>
      <c r="B86" s="24" t="str">
        <f>'Ressourcenausgleich Basis'!B85</f>
        <v>Grundsteuer (ord. Satz)</v>
      </c>
      <c r="C86" s="14"/>
      <c r="D86" s="14"/>
    </row>
    <row r="87" spans="1:4" x14ac:dyDescent="0.2">
      <c r="B87" t="str">
        <f>'Ressourcenausgleich Basis'!B86</f>
        <v>Steuersatz in ‰</v>
      </c>
      <c r="C87" s="3">
        <f>HLOOKUP(C$9,'Ressourcenausgleich Basis'!$C$8:$BZ$151,79,FALSE)</f>
        <v>0.69112917250316652</v>
      </c>
      <c r="D87" s="10" t="e">
        <f>HLOOKUP(D$9,'Ressourcenausgleich Basis'!$C$8:$BZ$151,79,FALSE)</f>
        <v>#N/A</v>
      </c>
    </row>
    <row r="88" spans="1:4" x14ac:dyDescent="0.2">
      <c r="B88" s="30"/>
      <c r="C88" s="3"/>
      <c r="D88" s="3"/>
    </row>
    <row r="89" spans="1:4" x14ac:dyDescent="0.2">
      <c r="B89" t="str">
        <f>'Ressourcenausgleich Basis'!B88</f>
        <v>Bruttoertrag</v>
      </c>
      <c r="C89" s="3">
        <f>HLOOKUP(C$9,'Ressourcenausgleich Basis'!$C$8:$BZ$151,81,FALSE)</f>
        <v>100266326.14</v>
      </c>
      <c r="D89" s="10" t="e">
        <f>HLOOKUP(D$9,'Ressourcenausgleich Basis'!$C$8:$BZ$151,81,FALSE)</f>
        <v>#N/A</v>
      </c>
    </row>
    <row r="90" spans="1:4" x14ac:dyDescent="0.2">
      <c r="B90" t="str">
        <f>'Ressourcenausgleich Basis'!B89</f>
        <v>Erlasse/Verluste</v>
      </c>
      <c r="C90" s="3">
        <f>HLOOKUP(C$9,'Ressourcenausgleich Basis'!$C$8:$BZ$151,82,FALSE)</f>
        <v>16646.189999999995</v>
      </c>
      <c r="D90" s="10" t="e">
        <f>HLOOKUP(D$9,'Ressourcenausgleich Basis'!$C$8:$BZ$151,82,FALSE)</f>
        <v>#N/A</v>
      </c>
    </row>
    <row r="91" spans="1:4" x14ac:dyDescent="0.2">
      <c r="B91" t="str">
        <f>'Ressourcenausgleich Basis'!B90</f>
        <v>Nettoertrag</v>
      </c>
      <c r="C91" s="3">
        <f>HLOOKUP(C$9,'Ressourcenausgleich Basis'!$C$8:$BZ$151,83,FALSE)</f>
        <v>100249679.95000003</v>
      </c>
      <c r="D91" s="3" t="e">
        <f>HLOOKUP(D$9,'Ressourcenausgleich Basis'!$C$8:$BZ$151,83,FALSE)</f>
        <v>#N/A</v>
      </c>
    </row>
    <row r="92" spans="1:4" x14ac:dyDescent="0.2">
      <c r="C92" s="3"/>
      <c r="D92" s="3"/>
    </row>
    <row r="93" spans="1:4" x14ac:dyDescent="0.2">
      <c r="B93" t="str">
        <f>'Ressourcenausgleich Basis'!B92</f>
        <v>Ertrag bei Satz von 1‰</v>
      </c>
      <c r="C93" s="3">
        <f>HLOOKUP(C$9,'Ressourcenausgleich Basis'!$C$8:$BZ$151,85,FALSE)</f>
        <v>145052016.23440474</v>
      </c>
      <c r="D93" s="3" t="e">
        <f>HLOOKUP(D$9,'Ressourcenausgleich Basis'!$C$8:$BZ$151,85,FALSE)</f>
        <v>#N/A</v>
      </c>
    </row>
    <row r="94" spans="1:4" x14ac:dyDescent="0.2">
      <c r="C94" s="3"/>
      <c r="D94" s="3"/>
    </row>
    <row r="95" spans="1:4" x14ac:dyDescent="0.2">
      <c r="A95" s="19"/>
      <c r="B95" s="19" t="str">
        <f>'Ressourcenausgleich Basis'!B94</f>
        <v>Standardisierter Ertrag</v>
      </c>
      <c r="C95" s="13">
        <f>HLOOKUP(C$9,'Ressourcenausgleich Basis'!$C$8:$BZ$151,87,FALSE)</f>
        <v>100249679.95000003</v>
      </c>
      <c r="D95" s="13" t="e">
        <f>HLOOKUP(D$9,'Ressourcenausgleich Basis'!$C$8:$BZ$151,87,FALSE)</f>
        <v>#N/A</v>
      </c>
    </row>
    <row r="96" spans="1:4" x14ac:dyDescent="0.2">
      <c r="C96" s="3"/>
      <c r="D96" s="3"/>
    </row>
    <row r="97" spans="1:4" x14ac:dyDescent="0.2">
      <c r="A97" s="23" t="s">
        <v>154</v>
      </c>
      <c r="B97" s="24" t="str">
        <f>'Ressourcenausgleich Basis'!B96</f>
        <v>Grundsteuer (Spezialsatz)</v>
      </c>
      <c r="C97" s="14"/>
      <c r="D97" s="14"/>
    </row>
    <row r="98" spans="1:4" x14ac:dyDescent="0.2">
      <c r="B98" t="str">
        <f>'Ressourcenausgleich Basis'!B97</f>
        <v>Bruttoertrag</v>
      </c>
      <c r="C98" s="3">
        <f>HLOOKUP(C$9,'Ressourcenausgleich Basis'!$C$8:$BZ$151,90,FALSE)</f>
        <v>1616929.5499999998</v>
      </c>
      <c r="D98" s="10" t="e">
        <f>HLOOKUP(D$9,'Ressourcenausgleich Basis'!$C$8:$BZ$151,90,FALSE)</f>
        <v>#N/A</v>
      </c>
    </row>
    <row r="99" spans="1:4" x14ac:dyDescent="0.2">
      <c r="B99" t="str">
        <f>'Ressourcenausgleich Basis'!B98</f>
        <v>Erlasse/Verluste</v>
      </c>
      <c r="C99" s="3">
        <f>HLOOKUP(C$9,'Ressourcenausgleich Basis'!$C$8:$BZ$151,91,FALSE)</f>
        <v>11.92</v>
      </c>
      <c r="D99" s="10" t="e">
        <f>HLOOKUP(D$9,'Ressourcenausgleich Basis'!$C$8:$BZ$151,91,FALSE)</f>
        <v>#N/A</v>
      </c>
    </row>
    <row r="100" spans="1:4" x14ac:dyDescent="0.2">
      <c r="A100" s="19"/>
      <c r="B100" s="19" t="str">
        <f>'Ressourcenausgleich Basis'!B99</f>
        <v>Nettoertrag (standardisierter Ertrag)</v>
      </c>
      <c r="C100" s="13">
        <f>HLOOKUP(C$9,'Ressourcenausgleich Basis'!$C$8:$BZ$151,92,FALSE)</f>
        <v>1616917.6299999997</v>
      </c>
      <c r="D100" s="13" t="e">
        <f>HLOOKUP(D$9,'Ressourcenausgleich Basis'!$C$8:$BZ$151,92,FALSE)</f>
        <v>#N/A</v>
      </c>
    </row>
    <row r="101" spans="1:4" x14ac:dyDescent="0.2">
      <c r="C101" s="3"/>
      <c r="D101" s="3"/>
    </row>
    <row r="102" spans="1:4" x14ac:dyDescent="0.2">
      <c r="A102" s="23" t="s">
        <v>155</v>
      </c>
      <c r="B102" s="24" t="str">
        <f>'Ressourcenausgleich Basis'!B101</f>
        <v>Handänderungssteuer</v>
      </c>
      <c r="C102" s="14"/>
      <c r="D102" s="14"/>
    </row>
    <row r="103" spans="1:4" x14ac:dyDescent="0.2">
      <c r="B103" t="str">
        <f>'Ressourcenausgleich Basis'!B102</f>
        <v>Bruttoertrag</v>
      </c>
      <c r="C103" s="3">
        <f>HLOOKUP(C$9,'Ressourcenausgleich Basis'!$C$8:$BZ$151,95,FALSE)</f>
        <v>66697905.510000005</v>
      </c>
      <c r="D103" s="10" t="e">
        <f>HLOOKUP(D$9,'Ressourcenausgleich Basis'!$C$8:$BZ$151,95,FALSE)</f>
        <v>#N/A</v>
      </c>
    </row>
    <row r="104" spans="1:4" x14ac:dyDescent="0.2">
      <c r="B104" t="str">
        <f>'Ressourcenausgleich Basis'!B103</f>
        <v>Erlasse/Verluste</v>
      </c>
      <c r="C104" s="3">
        <f>HLOOKUP(C$9,'Ressourcenausgleich Basis'!$C$8:$BZ$151,96,FALSE)</f>
        <v>0</v>
      </c>
      <c r="D104" s="10" t="e">
        <f>HLOOKUP(D$9,'Ressourcenausgleich Basis'!$C$8:$BZ$151,96,FALSE)</f>
        <v>#N/A</v>
      </c>
    </row>
    <row r="105" spans="1:4" x14ac:dyDescent="0.2">
      <c r="A105" s="19"/>
      <c r="B105" s="19" t="str">
        <f>'Ressourcenausgleich Basis'!B104</f>
        <v>Nettoertrag (standardisierter Ertrag)</v>
      </c>
      <c r="C105" s="13">
        <f>HLOOKUP(C$9,'Ressourcenausgleich Basis'!$C$8:$BZ$151,97,FALSE)</f>
        <v>66697905.510000005</v>
      </c>
      <c r="D105" s="13" t="e">
        <f>HLOOKUP(D$9,'Ressourcenausgleich Basis'!$C$8:$BZ$151,97,FALSE)</f>
        <v>#N/A</v>
      </c>
    </row>
    <row r="106" spans="1:4" x14ac:dyDescent="0.2">
      <c r="C106" s="3"/>
      <c r="D106" s="3"/>
    </row>
    <row r="107" spans="1:4" x14ac:dyDescent="0.2">
      <c r="A107" s="23" t="s">
        <v>156</v>
      </c>
      <c r="B107" s="24" t="str">
        <f>'Ressourcenausgleich Basis'!B106</f>
        <v>Grundstückgewinnsteuer</v>
      </c>
      <c r="C107" s="14"/>
      <c r="D107" s="14"/>
    </row>
    <row r="108" spans="1:4" x14ac:dyDescent="0.2">
      <c r="B108" t="str">
        <f>'Ressourcenausgleich Basis'!B107</f>
        <v>Bruttoertrag</v>
      </c>
      <c r="C108" s="1">
        <f>HLOOKUP(C$9,'Ressourcenausgleich Basis'!$C$8:$BZ$151,100,FALSE)</f>
        <v>104406820.00000004</v>
      </c>
      <c r="D108" s="7" t="e">
        <f>HLOOKUP(D$9,'Ressourcenausgleich Basis'!$C$8:$BZ$151,100,FALSE)</f>
        <v>#N/A</v>
      </c>
    </row>
    <row r="109" spans="1:4" x14ac:dyDescent="0.2">
      <c r="B109" t="str">
        <f>'Ressourcenausgleich Basis'!B108</f>
        <v>Abschreibungen</v>
      </c>
      <c r="C109" s="1">
        <f>HLOOKUP(C$9,'Ressourcenausgleich Basis'!$C$8:$BZ$151,101,FALSE)</f>
        <v>21810.15</v>
      </c>
      <c r="D109" s="7" t="e">
        <f>HLOOKUP(D$9,'Ressourcenausgleich Basis'!$C$8:$BZ$151,101,FALSE)</f>
        <v>#N/A</v>
      </c>
    </row>
    <row r="110" spans="1:4" x14ac:dyDescent="0.2">
      <c r="A110" s="19"/>
      <c r="B110" s="19" t="str">
        <f>'Ressourcenausgleich Basis'!B109</f>
        <v>Nettoertrag (standardisierter Ertrag)</v>
      </c>
      <c r="C110" s="13">
        <f>HLOOKUP(C$9,'Ressourcenausgleich Basis'!$C$8:$BZ$151,102,FALSE)</f>
        <v>104385009.85000001</v>
      </c>
      <c r="D110" s="13" t="e">
        <f>HLOOKUP(D$9,'Ressourcenausgleich Basis'!$C$8:$BZ$151,102,FALSE)</f>
        <v>#N/A</v>
      </c>
    </row>
    <row r="111" spans="1:4" x14ac:dyDescent="0.2">
      <c r="C111" s="3"/>
      <c r="D111" s="3"/>
    </row>
    <row r="112" spans="1:4" x14ac:dyDescent="0.2">
      <c r="C112" s="3"/>
      <c r="D112" s="3"/>
    </row>
    <row r="113" spans="1:4" ht="15.75" x14ac:dyDescent="0.25">
      <c r="A113" s="20" t="s">
        <v>99</v>
      </c>
      <c r="B113" s="20" t="str">
        <f>'Ressourcenausgleich Basis'!B112</f>
        <v>Berechnung der technischen Steuerkraft</v>
      </c>
      <c r="C113" s="34"/>
      <c r="D113" s="34"/>
    </row>
    <row r="114" spans="1:4" x14ac:dyDescent="0.2">
      <c r="C114" s="3"/>
      <c r="D114" s="3"/>
    </row>
    <row r="115" spans="1:4" x14ac:dyDescent="0.2">
      <c r="A115" s="23" t="s">
        <v>157</v>
      </c>
      <c r="B115" s="25" t="str">
        <f>'Ressourcenausgleich Basis'!B114</f>
        <v>Technische Steuerkraft 2023</v>
      </c>
      <c r="C115" s="11"/>
      <c r="D115" s="11"/>
    </row>
    <row r="116" spans="1:4" x14ac:dyDescent="0.2">
      <c r="B116" t="str">
        <f>'Ressourcenausgleich Basis'!B115</f>
        <v>Einkommens-/Vermögenssteuer</v>
      </c>
      <c r="C116" s="3">
        <f>HLOOKUP(C$9,'Ressourcenausgleich Basis'!$C$8:$BZ$151,108,FALSE)</f>
        <v>1405520382.9119864</v>
      </c>
      <c r="D116" s="3" t="e">
        <f>HLOOKUP(D$9,'Ressourcenausgleich Basis'!$C$8:$BZ$151,108,FALSE)</f>
        <v>#N/A</v>
      </c>
    </row>
    <row r="117" spans="1:4" x14ac:dyDescent="0.2">
      <c r="B117" t="str">
        <f>'Ressourcenausgleich Basis'!B116</f>
        <v>Quellensteuer</v>
      </c>
      <c r="C117" s="3">
        <f>HLOOKUP(C$9,'Ressourcenausgleich Basis'!$C$8:$BZ$151,109,FALSE)</f>
        <v>82404742.259999976</v>
      </c>
      <c r="D117" s="3" t="e">
        <f>HLOOKUP(D$9,'Ressourcenausgleich Basis'!$C$8:$BZ$151,109,FALSE)</f>
        <v>#N/A</v>
      </c>
    </row>
    <row r="118" spans="1:4" x14ac:dyDescent="0.2">
      <c r="B118" t="str">
        <f>'Ressourcenausgleich Basis'!B117</f>
        <v>Gewinn- und Kapitalsteuer</v>
      </c>
      <c r="C118" s="3">
        <f>HLOOKUP(C$9,'Ressourcenausgleich Basis'!$C$8:$BZ$151,110,FALSE)</f>
        <v>190594876.85000008</v>
      </c>
      <c r="D118" s="3" t="e">
        <f>HLOOKUP(D$9,'Ressourcenausgleich Basis'!$C$8:$BZ$151,110,FALSE)</f>
        <v>#N/A</v>
      </c>
    </row>
    <row r="119" spans="1:4" x14ac:dyDescent="0.2">
      <c r="B119" t="str">
        <f>'Ressourcenausgleich Basis'!B118</f>
        <v>Grundsteuer (ord. Satz)</v>
      </c>
      <c r="C119" s="3">
        <f>HLOOKUP(C$9,'Ressourcenausgleich Basis'!$C$8:$BZ$151,111,FALSE)</f>
        <v>103333673.64999999</v>
      </c>
      <c r="D119" s="3" t="e">
        <f>HLOOKUP(D$9,'Ressourcenausgleich Basis'!$C$8:$BZ$151,111,FALSE)</f>
        <v>#N/A</v>
      </c>
    </row>
    <row r="120" spans="1:4" x14ac:dyDescent="0.2">
      <c r="B120" t="str">
        <f>'Ressourcenausgleich Basis'!B119</f>
        <v>Grundsteuer (Spezialsatz)</v>
      </c>
      <c r="C120" s="3">
        <f>HLOOKUP(C$9,'Ressourcenausgleich Basis'!$C$8:$BZ$151,112,FALSE)</f>
        <v>1630039.1099999996</v>
      </c>
      <c r="D120" s="3" t="e">
        <f>HLOOKUP(D$9,'Ressourcenausgleich Basis'!$C$8:$BZ$151,112,FALSE)</f>
        <v>#N/A</v>
      </c>
    </row>
    <row r="121" spans="1:4" x14ac:dyDescent="0.2">
      <c r="B121" t="str">
        <f>'Ressourcenausgleich Basis'!B120</f>
        <v>Handänderungssteuer</v>
      </c>
      <c r="C121" s="3">
        <f>HLOOKUP(C$9,'Ressourcenausgleich Basis'!$C$8:$BZ$151,113,FALSE)</f>
        <v>59811725.519999988</v>
      </c>
      <c r="D121" s="3" t="e">
        <f>HLOOKUP(D$9,'Ressourcenausgleich Basis'!$C$8:$BZ$151,113,FALSE)</f>
        <v>#N/A</v>
      </c>
    </row>
    <row r="122" spans="1:4" x14ac:dyDescent="0.2">
      <c r="B122" t="str">
        <f>'Ressourcenausgleich Basis'!B121</f>
        <v>Grundstückgewinnsteuer</v>
      </c>
      <c r="C122" s="3">
        <f>HLOOKUP(C$9,'Ressourcenausgleich Basis'!$C$8:$BZ$151,114,FALSE)</f>
        <v>93024769.550000012</v>
      </c>
      <c r="D122" s="3" t="e">
        <f>HLOOKUP(D$9,'Ressourcenausgleich Basis'!$C$8:$BZ$151,114,FALSE)</f>
        <v>#N/A</v>
      </c>
    </row>
    <row r="123" spans="1:4" x14ac:dyDescent="0.2">
      <c r="B123" t="str">
        <f>'Ressourcenausgleich Basis'!B122</f>
        <v>Total</v>
      </c>
      <c r="C123" s="3">
        <f>HLOOKUP(C$9,'Ressourcenausgleich Basis'!$C$8:$BZ$151,115,FALSE)</f>
        <v>1936320209.8519864</v>
      </c>
      <c r="D123" s="3" t="e">
        <f>HLOOKUP(D$9,'Ressourcenausgleich Basis'!$C$8:$BZ$151,115,FALSE)</f>
        <v>#N/A</v>
      </c>
    </row>
    <row r="125" spans="1:4" x14ac:dyDescent="0.2">
      <c r="B125" t="str">
        <f>'Ressourcenausgleich Basis'!B124</f>
        <v>Einwohnerzahl per 31.12.</v>
      </c>
      <c r="C125" s="35">
        <f>HLOOKUP(C$9,'Ressourcenausgleich Basis'!$C$8:$BZ$151,117,FALSE)</f>
        <v>535114</v>
      </c>
      <c r="D125" s="36" t="e">
        <f>HLOOKUP(D$9,'Ressourcenausgleich Basis'!$C$8:$BZ$151,117,FALSE)</f>
        <v>#N/A</v>
      </c>
    </row>
    <row r="127" spans="1:4" x14ac:dyDescent="0.2">
      <c r="A127" s="19"/>
      <c r="B127" s="19" t="str">
        <f>'Ressourcenausgleich Basis'!B126</f>
        <v>Technische Steuerkraft pro Einwohner</v>
      </c>
      <c r="C127" s="37">
        <f>HLOOKUP(C$9,'Ressourcenausgleich Basis'!$C$8:$BZ$151,119,FALSE)</f>
        <v>3618.5190629510466</v>
      </c>
      <c r="D127" s="37" t="e">
        <f>HLOOKUP(D$9,'Ressourcenausgleich Basis'!$C$8:$BZ$151,119,FALSE)</f>
        <v>#N/A</v>
      </c>
    </row>
    <row r="128" spans="1:4" x14ac:dyDescent="0.2">
      <c r="C128" s="3"/>
      <c r="D128" s="3"/>
    </row>
    <row r="129" spans="1:4" x14ac:dyDescent="0.2">
      <c r="A129" s="23" t="s">
        <v>158</v>
      </c>
      <c r="B129" s="25" t="str">
        <f>'Ressourcenausgleich Basis'!B128</f>
        <v>Technische Steuerkraft 2022</v>
      </c>
      <c r="C129" s="11"/>
      <c r="D129" s="11"/>
    </row>
    <row r="130" spans="1:4" x14ac:dyDescent="0.2">
      <c r="B130" t="str">
        <f>'Ressourcenausgleich Basis'!B129</f>
        <v>Einkommens-/Vermögenssteuer</v>
      </c>
      <c r="C130" s="3">
        <f>HLOOKUP(C$9,'Ressourcenausgleich Basis'!$C$8:$BZ$151,122,FALSE)</f>
        <v>1333491487.5416548</v>
      </c>
      <c r="D130" s="3" t="e">
        <f>HLOOKUP(D$9,'Ressourcenausgleich Basis'!$C$8:$BZ$151,122,FALSE)</f>
        <v>#N/A</v>
      </c>
    </row>
    <row r="131" spans="1:4" x14ac:dyDescent="0.2">
      <c r="B131" t="str">
        <f>'Ressourcenausgleich Basis'!B130</f>
        <v>Quellensteuer</v>
      </c>
      <c r="C131" s="3">
        <f>HLOOKUP(C$9,'Ressourcenausgleich Basis'!$C$8:$BZ$151,123,FALSE)</f>
        <v>70556371.389999971</v>
      </c>
      <c r="D131" s="3" t="e">
        <f>HLOOKUP(D$9,'Ressourcenausgleich Basis'!$C$8:$BZ$151,123,FALSE)</f>
        <v>#N/A</v>
      </c>
    </row>
    <row r="132" spans="1:4" x14ac:dyDescent="0.2">
      <c r="B132" t="str">
        <f>'Ressourcenausgleich Basis'!B131</f>
        <v>Gewinn- und Kapitalsteuer</v>
      </c>
      <c r="C132" s="3">
        <f>HLOOKUP(C$9,'Ressourcenausgleich Basis'!$C$8:$BZ$151,124,FALSE)</f>
        <v>194696872.80000001</v>
      </c>
      <c r="D132" s="3" t="e">
        <f>HLOOKUP(D$9,'Ressourcenausgleich Basis'!$C$8:$BZ$151,124,FALSE)</f>
        <v>#N/A</v>
      </c>
    </row>
    <row r="133" spans="1:4" x14ac:dyDescent="0.2">
      <c r="B133" t="str">
        <f>'Ressourcenausgleich Basis'!B132</f>
        <v>Grundsteuer (ord. Satz)</v>
      </c>
      <c r="C133" s="3">
        <f>HLOOKUP(C$9,'Ressourcenausgleich Basis'!$C$8:$BZ$151,125,FALSE)</f>
        <v>100249679.95000003</v>
      </c>
      <c r="D133" s="3" t="e">
        <f>HLOOKUP(D$9,'Ressourcenausgleich Basis'!$C$8:$BZ$151,125,FALSE)</f>
        <v>#N/A</v>
      </c>
    </row>
    <row r="134" spans="1:4" x14ac:dyDescent="0.2">
      <c r="B134" t="str">
        <f>'Ressourcenausgleich Basis'!B133</f>
        <v>Grundsteuer (Spezialsatz)</v>
      </c>
      <c r="C134" s="3">
        <f>HLOOKUP(C$9,'Ressourcenausgleich Basis'!$C$8:$BZ$151,126,FALSE)</f>
        <v>1616917.6299999997</v>
      </c>
      <c r="D134" s="3" t="e">
        <f>HLOOKUP(D$9,'Ressourcenausgleich Basis'!$C$8:$BZ$151,126,FALSE)</f>
        <v>#N/A</v>
      </c>
    </row>
    <row r="135" spans="1:4" x14ac:dyDescent="0.2">
      <c r="B135" t="str">
        <f>'Ressourcenausgleich Basis'!B134</f>
        <v>Handänderungssteuer</v>
      </c>
      <c r="C135" s="3">
        <f>HLOOKUP(C$9,'Ressourcenausgleich Basis'!$C$8:$BZ$151,127,FALSE)</f>
        <v>66697905.510000005</v>
      </c>
      <c r="D135" s="3" t="e">
        <f>HLOOKUP(D$9,'Ressourcenausgleich Basis'!$C$8:$BZ$151,127,FALSE)</f>
        <v>#N/A</v>
      </c>
    </row>
    <row r="136" spans="1:4" x14ac:dyDescent="0.2">
      <c r="B136" t="str">
        <f>'Ressourcenausgleich Basis'!B135</f>
        <v>Grundstückgewinnsteuer</v>
      </c>
      <c r="C136" s="3">
        <f>HLOOKUP(C$9,'Ressourcenausgleich Basis'!$C$8:$BZ$151,128,FALSE)</f>
        <v>104385009.85000001</v>
      </c>
      <c r="D136" s="3" t="e">
        <f>HLOOKUP(D$9,'Ressourcenausgleich Basis'!$C$8:$BZ$151,128,FALSE)</f>
        <v>#N/A</v>
      </c>
    </row>
    <row r="137" spans="1:4" x14ac:dyDescent="0.2">
      <c r="B137" t="str">
        <f>'Ressourcenausgleich Basis'!B136</f>
        <v>Total</v>
      </c>
      <c r="C137" s="3">
        <f>HLOOKUP(C$9,'Ressourcenausgleich Basis'!$C$8:$BZ$151,129,FALSE)</f>
        <v>1871694244.6716547</v>
      </c>
      <c r="D137" s="3" t="e">
        <f>HLOOKUP(D$9,'Ressourcenausgleich Basis'!$C$8:$BZ$151,129,FALSE)</f>
        <v>#N/A</v>
      </c>
    </row>
    <row r="138" spans="1:4" x14ac:dyDescent="0.2">
      <c r="C138" s="3"/>
      <c r="D138" s="3"/>
    </row>
    <row r="139" spans="1:4" x14ac:dyDescent="0.2">
      <c r="B139" t="str">
        <f>'Ressourcenausgleich Basis'!B138</f>
        <v>Einwohnerzahl per 31.12.</v>
      </c>
      <c r="C139" s="35">
        <f>HLOOKUP(C$9,'Ressourcenausgleich Basis'!$C$8:$BZ$151,131,FALSE)</f>
        <v>525967</v>
      </c>
      <c r="D139" s="36" t="e">
        <f>HLOOKUP(D$9,'Ressourcenausgleich Basis'!$C$8:$BZ$151,131,FALSE)</f>
        <v>#N/A</v>
      </c>
    </row>
    <row r="140" spans="1:4" x14ac:dyDescent="0.2">
      <c r="C140" s="3"/>
      <c r="D140" s="3"/>
    </row>
    <row r="141" spans="1:4" x14ac:dyDescent="0.2">
      <c r="A141" s="19"/>
      <c r="B141" s="19" t="str">
        <f>'Ressourcenausgleich Basis'!B140</f>
        <v>Technische Steuerkraft pro Einwohner</v>
      </c>
      <c r="C141" s="37">
        <f>HLOOKUP(C$9,'Ressourcenausgleich Basis'!$C$8:$BZ$151,133,FALSE)</f>
        <v>3558.5773340754358</v>
      </c>
      <c r="D141" s="37" t="e">
        <f>HLOOKUP(D$9,'Ressourcenausgleich Basis'!$C$8:$BZ$151,133,FALSE)</f>
        <v>#N/A</v>
      </c>
    </row>
    <row r="142" spans="1:4" x14ac:dyDescent="0.2">
      <c r="C142" s="3"/>
      <c r="D142" s="3"/>
    </row>
    <row r="143" spans="1:4" x14ac:dyDescent="0.2">
      <c r="C143" s="3"/>
      <c r="D143" s="3"/>
    </row>
    <row r="144" spans="1:4" x14ac:dyDescent="0.2">
      <c r="A144" s="23" t="s">
        <v>159</v>
      </c>
      <c r="B144" s="25" t="str">
        <f>'Ressourcenausgleich Basis'!B143</f>
        <v>Mittelwert technische Steuerkraft 2022/2023</v>
      </c>
      <c r="C144" s="14">
        <f>HLOOKUP(C$9,'Ressourcenausgleich Basis'!$C$8:$BZ$151,136,FALSE)</f>
        <v>3588.548198513241</v>
      </c>
      <c r="D144" s="14" t="e">
        <f>HLOOKUP(D$9,'Ressourcenausgleich Basis'!$C$8:$BZ$151,136,FALSE)</f>
        <v>#N/A</v>
      </c>
    </row>
    <row r="145" spans="1:4" x14ac:dyDescent="0.2">
      <c r="A145" s="4"/>
      <c r="B145" s="4" t="str">
        <f>'Ressourcenausgleich Basis'!B144</f>
        <v>in %</v>
      </c>
      <c r="C145" s="48">
        <f>HLOOKUP(C$9,'Ressourcenausgleich Basis'!$C$8:$BZ$151,137,FALSE)</f>
        <v>1</v>
      </c>
      <c r="D145" s="48" t="e">
        <f>HLOOKUP(D$9,'Ressourcenausgleich Basis'!$C$8:$BZ$151,137,FALSE)</f>
        <v>#N/A</v>
      </c>
    </row>
    <row r="146" spans="1:4" x14ac:dyDescent="0.2">
      <c r="A146" s="4"/>
      <c r="B146" s="4"/>
      <c r="C146" s="4"/>
      <c r="D146" s="4"/>
    </row>
    <row r="147" spans="1:4" x14ac:dyDescent="0.2">
      <c r="C147" s="3"/>
      <c r="D147" s="3"/>
    </row>
    <row r="148" spans="1:4" ht="15.75" x14ac:dyDescent="0.25">
      <c r="A148" s="20" t="s">
        <v>101</v>
      </c>
      <c r="B148" s="20" t="str">
        <f>'Ressourcenausgleich Basis'!B147</f>
        <v>Berechnung Ressourcenausgleichsbeitrag</v>
      </c>
      <c r="C148" s="34"/>
      <c r="D148" s="34"/>
    </row>
    <row r="149" spans="1:4" x14ac:dyDescent="0.2">
      <c r="C149" s="3"/>
      <c r="D149" s="3"/>
    </row>
    <row r="150" spans="1:4" x14ac:dyDescent="0.2">
      <c r="B150" t="str">
        <f>'Ressourcenausgleich Basis'!B149</f>
        <v>Ausgleichsfaktor</v>
      </c>
      <c r="C150" s="8">
        <f>HLOOKUP(C$9,'Ressourcenausgleich Basis'!$C$8:$BZ$151,142,FALSE)</f>
        <v>0.96</v>
      </c>
      <c r="D150" s="3"/>
    </row>
    <row r="151" spans="1:4" x14ac:dyDescent="0.2">
      <c r="C151" s="3"/>
      <c r="D151" s="3"/>
    </row>
    <row r="152" spans="1:4" x14ac:dyDescent="0.2">
      <c r="A152" s="38"/>
      <c r="B152" s="38" t="str">
        <f>'Ressourcenausgleich Basis'!B151</f>
        <v>Ressourcenausgleichsbeitrag</v>
      </c>
      <c r="C152" s="39">
        <f>HLOOKUP(C$9,'Ressourcenausgleich Basis'!$C$8:$BZ$151,144,FALSE)</f>
        <v>121067800</v>
      </c>
      <c r="D152" s="39" t="e">
        <f>HLOOKUP(D$9,'Ressourcenausgleich Basis'!$C$8:$BZ$151,144,FALSE)</f>
        <v>#N/A</v>
      </c>
    </row>
  </sheetData>
  <sheetProtection algorithmName="SHA-512" hashValue="s0oHCkEQZLcgPERkl+CEFozNWBNqAlTWarDSu00SIXvtcChSCPFt62RiMVE+Zlp9+nEf+y/j5piGdx1SSyVVDQ==" saltValue="4KE42/zOiotp1eEmz6jRIw==" spinCount="100000" sheet="1" selectLockedCells="1"/>
  <pageMargins left="0.31496062992125984" right="0.31496062992125984" top="0.59055118110236227" bottom="0.59055118110236227" header="0.31496062992125984" footer="0.31496062992125984"/>
  <pageSetup paperSize="9" scale="90" orientation="portrait" r:id="rId1"/>
  <headerFooter>
    <oddFooter>&amp;C&amp;P von &amp;N&amp;R&amp;D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D75"/>
  <sheetViews>
    <sheetView showGridLines="0" workbookViewId="0">
      <selection activeCell="A88" sqref="A88"/>
    </sheetView>
  </sheetViews>
  <sheetFormatPr baseColWidth="10" defaultRowHeight="12.75" x14ac:dyDescent="0.2"/>
  <cols>
    <col min="1" max="1" width="4.140625" bestFit="1" customWidth="1"/>
    <col min="2" max="2" width="48.85546875" customWidth="1"/>
    <col min="3" max="3" width="22.42578125" customWidth="1"/>
    <col min="4" max="4" width="22.42578125" bestFit="1" customWidth="1"/>
  </cols>
  <sheetData>
    <row r="1" spans="1:4" x14ac:dyDescent="0.2">
      <c r="A1" s="19" t="s">
        <v>193</v>
      </c>
    </row>
    <row r="2" spans="1:4" x14ac:dyDescent="0.2">
      <c r="A2" t="s">
        <v>194</v>
      </c>
    </row>
    <row r="5" spans="1:4" ht="26.25" x14ac:dyDescent="0.4">
      <c r="A5" s="16" t="s">
        <v>367</v>
      </c>
    </row>
    <row r="7" spans="1:4" x14ac:dyDescent="0.2">
      <c r="B7" s="18" t="s">
        <v>202</v>
      </c>
    </row>
    <row r="9" spans="1:4" x14ac:dyDescent="0.2">
      <c r="A9" s="19"/>
      <c r="B9" s="19"/>
      <c r="C9" s="22" t="s">
        <v>79</v>
      </c>
      <c r="D9" s="22" t="str">
        <f>Finanzausgleichsbeiträge!B7</f>
        <v>bitte Gemeinde auswählen</v>
      </c>
    </row>
    <row r="11" spans="1:4" ht="15.75" x14ac:dyDescent="0.25">
      <c r="A11" s="20" t="s">
        <v>97</v>
      </c>
      <c r="B11" s="21" t="str">
        <f>'SL Weite Basis'!B10</f>
        <v>Allgemeine Daten</v>
      </c>
      <c r="C11" s="21"/>
      <c r="D11" s="5"/>
    </row>
    <row r="12" spans="1:4" x14ac:dyDescent="0.2">
      <c r="B12" s="22"/>
      <c r="C12" s="22"/>
    </row>
    <row r="13" spans="1:4" x14ac:dyDescent="0.2">
      <c r="B13" s="26" t="str">
        <f>'SL Weite Basis'!B12</f>
        <v>Einwohnerzahl per 31.12.</v>
      </c>
      <c r="C13" s="42">
        <f>HLOOKUP(C$9,'SL Weite Basis'!$C$8:$BZ$74,5,FALSE)</f>
        <v>535114</v>
      </c>
      <c r="D13" s="63" t="e">
        <f>HLOOKUP(D$9,'SL Weite Basis'!$C$8:$BZ$74,5,FALSE)</f>
        <v>#N/A</v>
      </c>
    </row>
    <row r="14" spans="1:4" x14ac:dyDescent="0.2">
      <c r="C14" s="3"/>
      <c r="D14" s="3"/>
    </row>
    <row r="15" spans="1:4" x14ac:dyDescent="0.2">
      <c r="C15" s="3"/>
      <c r="D15" s="3"/>
    </row>
    <row r="16" spans="1:4" ht="15.75" x14ac:dyDescent="0.25">
      <c r="A16" s="20" t="s">
        <v>98</v>
      </c>
      <c r="B16" s="20" t="str">
        <f>'SL Weite Basis'!B15</f>
        <v>Berechnung Sonderlastenausgleich Weite</v>
      </c>
      <c r="C16" s="34"/>
      <c r="D16" s="34"/>
    </row>
    <row r="17" spans="1:4" x14ac:dyDescent="0.2">
      <c r="C17" s="3"/>
      <c r="D17" s="3"/>
    </row>
    <row r="18" spans="1:4" x14ac:dyDescent="0.2">
      <c r="A18" s="45" t="s">
        <v>128</v>
      </c>
      <c r="B18" s="43" t="str">
        <f>'SL Weite Basis'!B17</f>
        <v>Länge des Strassennetzes</v>
      </c>
      <c r="C18" s="44"/>
      <c r="D18" s="44"/>
    </row>
    <row r="19" spans="1:4" x14ac:dyDescent="0.2">
      <c r="C19" s="3"/>
      <c r="D19" s="3"/>
    </row>
    <row r="20" spans="1:4" x14ac:dyDescent="0.2">
      <c r="B20" t="str">
        <f>'SL Weite Basis'!B19</f>
        <v>gewichtete Strassenlänge in km per 31.12.</v>
      </c>
      <c r="C20" s="53">
        <f>HLOOKUP(C$9,'SL Weite Basis'!$C$8:$BZ$74,12,FALSE)</f>
        <v>125235.23899999999</v>
      </c>
      <c r="D20" s="10" t="e">
        <f>HLOOKUP(D$9,'SL Weite Basis'!$C$8:$BZ$74,12,FALSE)</f>
        <v>#N/A</v>
      </c>
    </row>
    <row r="21" spans="1:4" x14ac:dyDescent="0.2">
      <c r="B21" t="str">
        <f>'SL Weite Basis'!B20</f>
        <v xml:space="preserve">gewichtete Strassenlänge in km pro Einwohner </v>
      </c>
      <c r="C21" s="3"/>
      <c r="D21" s="3" t="e">
        <f>HLOOKUP(D$9,'SL Weite Basis'!$C$8:$BZ$74,13,FALSE)</f>
        <v>#N/A</v>
      </c>
    </row>
    <row r="22" spans="1:4" x14ac:dyDescent="0.2">
      <c r="B22" t="str">
        <f>'SL Weite Basis'!B21</f>
        <v>Pauschalbeitrag je gewichtetem Kilometer</v>
      </c>
      <c r="C22" s="10">
        <f>HLOOKUP(C$9,'SL Weite Basis'!$C$8:$BZ$74,14,FALSE)</f>
        <v>1166</v>
      </c>
      <c r="D22" s="3"/>
    </row>
    <row r="23" spans="1:4" x14ac:dyDescent="0.2">
      <c r="B23" t="str">
        <f>'SL Weite Basis'!B22</f>
        <v>Beitrag je Einwohner</v>
      </c>
      <c r="C23" s="3"/>
      <c r="D23" s="3" t="e">
        <f>HLOOKUP(D$9,'SL Weite Basis'!$C$8:$BZ$74,15,FALSE)</f>
        <v>#N/A</v>
      </c>
    </row>
    <row r="24" spans="1:4" x14ac:dyDescent="0.2">
      <c r="C24" s="3"/>
      <c r="D24" s="3"/>
    </row>
    <row r="25" spans="1:4" x14ac:dyDescent="0.2">
      <c r="A25" s="19"/>
      <c r="B25" s="19" t="str">
        <f>'SL Weite Basis'!B24</f>
        <v>Sonderlast total</v>
      </c>
      <c r="C25" s="13"/>
      <c r="D25" s="13" t="e">
        <f>HLOOKUP(D$9,'SL Weite Basis'!$C$8:$BZ$74,17,FALSE)</f>
        <v>#N/A</v>
      </c>
    </row>
    <row r="26" spans="1:4" x14ac:dyDescent="0.2">
      <c r="C26" s="3"/>
      <c r="D26" s="3"/>
    </row>
    <row r="27" spans="1:4" x14ac:dyDescent="0.2">
      <c r="A27" s="45" t="s">
        <v>129</v>
      </c>
      <c r="B27" s="43" t="str">
        <f>'SL Weite Basis'!B26</f>
        <v>Wohnbevölkerung mit Wohnsitz über 800 Metern über Meer</v>
      </c>
      <c r="C27" s="44"/>
      <c r="D27" s="44"/>
    </row>
    <row r="28" spans="1:4" x14ac:dyDescent="0.2">
      <c r="C28" s="3"/>
      <c r="D28" s="3"/>
    </row>
    <row r="29" spans="1:4" x14ac:dyDescent="0.2">
      <c r="B29" t="str">
        <f>'SL Weite Basis'!B28</f>
        <v>Einwohner über 800m per 31.12.</v>
      </c>
      <c r="C29" s="42">
        <f>HLOOKUP(C$9,'SL Weite Basis'!$C$8:$BZ$74,21,FALSE)</f>
        <v>21712</v>
      </c>
      <c r="D29" s="36" t="e">
        <f>HLOOKUP(D$9,'SL Weite Basis'!$C$8:$BZ$74,21,FALSE)</f>
        <v>#N/A</v>
      </c>
    </row>
    <row r="30" spans="1:4" x14ac:dyDescent="0.2">
      <c r="B30" t="str">
        <f>'SL Weite Basis'!B29</f>
        <v>Anteil an Gesamtbevölkerung</v>
      </c>
      <c r="C30" s="3"/>
      <c r="D30" s="3" t="e">
        <f>HLOOKUP(D$9,'SL Weite Basis'!$C$8:$BZ$74,22,FALSE)</f>
        <v>#N/A</v>
      </c>
    </row>
    <row r="31" spans="1:4" x14ac:dyDescent="0.2">
      <c r="B31" t="str">
        <f>'SL Weite Basis'!B30</f>
        <v>Pauschalbeitrag je Einwohner</v>
      </c>
      <c r="C31" s="10">
        <f>HLOOKUP(C$9,'SL Weite Basis'!$C$8:$BZ$74,23,FALSE)</f>
        <v>134</v>
      </c>
      <c r="D31" s="3"/>
    </row>
    <row r="32" spans="1:4" x14ac:dyDescent="0.2">
      <c r="B32" t="str">
        <f>'SL Weite Basis'!B31</f>
        <v>Beitrag je Einwohner</v>
      </c>
      <c r="C32" s="3"/>
      <c r="D32" s="3" t="e">
        <f>HLOOKUP(D$9,'SL Weite Basis'!$C$8:$BZ$74,24,FALSE)</f>
        <v>#N/A</v>
      </c>
    </row>
    <row r="33" spans="1:4" x14ac:dyDescent="0.2">
      <c r="C33" s="3"/>
      <c r="D33" s="3"/>
    </row>
    <row r="34" spans="1:4" x14ac:dyDescent="0.2">
      <c r="A34" s="19"/>
      <c r="B34" s="19" t="str">
        <f>'SL Weite Basis'!B33</f>
        <v>Sonderlast total</v>
      </c>
      <c r="C34" s="13"/>
      <c r="D34" s="13" t="e">
        <f>HLOOKUP(D$9,'SL Weite Basis'!$C$8:$BZ$74,26,FALSE)</f>
        <v>#N/A</v>
      </c>
    </row>
    <row r="35" spans="1:4" x14ac:dyDescent="0.2">
      <c r="C35" s="3"/>
      <c r="D35" s="3"/>
    </row>
    <row r="36" spans="1:4" x14ac:dyDescent="0.2">
      <c r="A36" s="45" t="s">
        <v>137</v>
      </c>
      <c r="B36" s="43" t="str">
        <f>'SL Weite Basis'!B35</f>
        <v>Streuung des Siedlungsgebiets</v>
      </c>
      <c r="C36" s="44"/>
      <c r="D36" s="44"/>
    </row>
    <row r="37" spans="1:4" x14ac:dyDescent="0.2">
      <c r="C37" s="3"/>
      <c r="D37" s="3"/>
    </row>
    <row r="38" spans="1:4" x14ac:dyDescent="0.2">
      <c r="B38" t="str">
        <f>'SL Weite Basis'!B37</f>
        <v>Streuung des Siedlungsgebiets per 31.12.</v>
      </c>
      <c r="C38" s="53">
        <f>HLOOKUP(C$9,'SL Weite Basis'!$C$8:$BZ$74,30,FALSE)</f>
        <v>89559.803917796497</v>
      </c>
      <c r="D38" s="10" t="e">
        <f>HLOOKUP(D$9,'SL Weite Basis'!$C$8:$BZ$74,30,FALSE)</f>
        <v>#N/A</v>
      </c>
    </row>
    <row r="39" spans="1:4" x14ac:dyDescent="0.2">
      <c r="B39" t="str">
        <f>'SL Weite Basis'!B38</f>
        <v>Pauschalbeitrag je Einwohner</v>
      </c>
      <c r="C39" s="54">
        <f>HLOOKUP(C$9,'SL Weite Basis'!$C$8:$BZ$74,31,FALSE)</f>
        <v>8.0000000000000002E-3</v>
      </c>
      <c r="D39" s="3"/>
    </row>
    <row r="40" spans="1:4" x14ac:dyDescent="0.2">
      <c r="B40" t="str">
        <f>'SL Weite Basis'!B39</f>
        <v>Beitrag je Einwohner</v>
      </c>
      <c r="C40" s="3"/>
      <c r="D40" s="3" t="e">
        <f>HLOOKUP(D$9,'SL Weite Basis'!$C$8:$BZ$74,32,FALSE)</f>
        <v>#N/A</v>
      </c>
    </row>
    <row r="41" spans="1:4" x14ac:dyDescent="0.2">
      <c r="C41" s="3"/>
      <c r="D41" s="3"/>
    </row>
    <row r="42" spans="1:4" x14ac:dyDescent="0.2">
      <c r="A42" s="19"/>
      <c r="B42" s="19" t="str">
        <f>'SL Weite Basis'!B41</f>
        <v>Sonderlast total</v>
      </c>
      <c r="C42" s="13"/>
      <c r="D42" s="13" t="e">
        <f>HLOOKUP(D$9,'SL Weite Basis'!$C$8:$BZ$74,34,FALSE)</f>
        <v>#N/A</v>
      </c>
    </row>
    <row r="43" spans="1:4" x14ac:dyDescent="0.2">
      <c r="C43" s="3"/>
      <c r="D43" s="3"/>
    </row>
    <row r="44" spans="1:4" x14ac:dyDescent="0.2">
      <c r="A44" s="45" t="s">
        <v>143</v>
      </c>
      <c r="B44" s="43" t="str">
        <f>'SL Weite Basis'!B43</f>
        <v>geringe Einwohnerdichte</v>
      </c>
      <c r="C44" s="44"/>
      <c r="D44" s="44"/>
    </row>
    <row r="45" spans="1:4" x14ac:dyDescent="0.2">
      <c r="C45" s="3"/>
      <c r="D45" s="3"/>
    </row>
    <row r="46" spans="1:4" x14ac:dyDescent="0.2">
      <c r="B46" t="str">
        <f>'SL Weite Basis'!B45</f>
        <v>Gemeindefläche in ha per 31.12.</v>
      </c>
      <c r="C46" s="53">
        <f>HLOOKUP(C$9,'SL Weite Basis'!$C$8:$BZ$74,38,FALSE)</f>
        <v>198379.10648000002</v>
      </c>
      <c r="D46" s="10" t="e">
        <f>HLOOKUP(D$9,'SL Weite Basis'!$C$8:$BZ$74,38,FALSE)</f>
        <v>#N/A</v>
      </c>
    </row>
    <row r="47" spans="1:4" x14ac:dyDescent="0.2">
      <c r="B47" t="str">
        <f>'SL Weite Basis'!B46</f>
        <v>Gemeindefläche je Einwohner</v>
      </c>
      <c r="C47" s="3"/>
      <c r="D47" s="3" t="e">
        <f>HLOOKUP(D$9,'SL Weite Basis'!$C$8:$BZ$74,39,FALSE)</f>
        <v>#N/A</v>
      </c>
    </row>
    <row r="48" spans="1:4" x14ac:dyDescent="0.2">
      <c r="B48" t="str">
        <f>'SL Weite Basis'!B47</f>
        <v>Pauschalbeitrag je ha je Einwohner</v>
      </c>
      <c r="C48" s="10">
        <f>HLOOKUP(C$9,'SL Weite Basis'!$C$8:$BZ$74,40,FALSE)</f>
        <v>29</v>
      </c>
      <c r="D48" s="3"/>
    </row>
    <row r="49" spans="1:4" x14ac:dyDescent="0.2">
      <c r="B49" t="str">
        <f>'SL Weite Basis'!B48</f>
        <v>Beitrag je Einwohner</v>
      </c>
      <c r="C49" s="3"/>
      <c r="D49" s="3" t="e">
        <f>HLOOKUP(D$9,'SL Weite Basis'!$C$8:$BZ$74,41,FALSE)</f>
        <v>#N/A</v>
      </c>
    </row>
    <row r="50" spans="1:4" x14ac:dyDescent="0.2">
      <c r="C50" s="3"/>
      <c r="D50" s="3"/>
    </row>
    <row r="51" spans="1:4" x14ac:dyDescent="0.2">
      <c r="A51" s="19"/>
      <c r="B51" s="19" t="str">
        <f>'SL Weite Basis'!B50</f>
        <v>Sonderlast total</v>
      </c>
      <c r="C51" s="13"/>
      <c r="D51" s="13" t="e">
        <f>HLOOKUP(D$9,'SL Weite Basis'!$C$8:$BZ$74,43,FALSE)</f>
        <v>#N/A</v>
      </c>
    </row>
    <row r="52" spans="1:4" x14ac:dyDescent="0.2">
      <c r="C52" s="3"/>
      <c r="D52" s="3"/>
    </row>
    <row r="53" spans="1:4" x14ac:dyDescent="0.2">
      <c r="A53" s="45" t="s">
        <v>154</v>
      </c>
      <c r="B53" s="43" t="str">
        <f>'SL Weite Basis'!B52</f>
        <v>Korrekturwert</v>
      </c>
      <c r="C53" s="44"/>
      <c r="D53" s="44"/>
    </row>
    <row r="54" spans="1:4" x14ac:dyDescent="0.2">
      <c r="C54" s="3"/>
      <c r="D54" s="3"/>
    </row>
    <row r="55" spans="1:4" x14ac:dyDescent="0.2">
      <c r="B55" t="str">
        <f>'SL Weite Basis'!B54</f>
        <v>Korrekturwert je Einwohner für mittlere Belastung</v>
      </c>
      <c r="C55" s="10">
        <f>HLOOKUP(C$9,'SL Weite Basis'!$C$8:$BZ$74,47,FALSE)</f>
        <v>320</v>
      </c>
      <c r="D55" s="3"/>
    </row>
    <row r="56" spans="1:4" x14ac:dyDescent="0.2">
      <c r="C56" s="3"/>
      <c r="D56" s="3"/>
    </row>
    <row r="57" spans="1:4" x14ac:dyDescent="0.2">
      <c r="A57" s="19"/>
      <c r="B57" s="19" t="str">
        <f>'SL Weite Basis'!B56</f>
        <v>Minderlast total</v>
      </c>
      <c r="C57" s="13"/>
      <c r="D57" s="13" t="e">
        <f>HLOOKUP(D$9,'SL Weite Basis'!$C$8:$BZ$74,49,FALSE)</f>
        <v>#N/A</v>
      </c>
    </row>
    <row r="58" spans="1:4" x14ac:dyDescent="0.2">
      <c r="C58" s="3"/>
      <c r="D58" s="3"/>
    </row>
    <row r="59" spans="1:4" x14ac:dyDescent="0.2">
      <c r="A59" s="45" t="s">
        <v>155</v>
      </c>
      <c r="B59" s="43" t="str">
        <f>'SL Weite Basis'!B58</f>
        <v>Sonderlastenausgleich Weite (vor allfälliger Kürzung)</v>
      </c>
      <c r="C59" s="44"/>
      <c r="D59" s="44"/>
    </row>
    <row r="60" spans="1:4" x14ac:dyDescent="0.2">
      <c r="C60" s="3"/>
      <c r="D60" s="3"/>
    </row>
    <row r="61" spans="1:4" x14ac:dyDescent="0.2">
      <c r="A61" s="45" t="s">
        <v>156</v>
      </c>
      <c r="B61" s="43" t="str">
        <f>'SL Weite Basis'!B60</f>
        <v>Kürzung infolge hoher technischer Steuerkraft</v>
      </c>
      <c r="C61" s="49"/>
      <c r="D61" s="49"/>
    </row>
    <row r="62" spans="1:4" x14ac:dyDescent="0.2">
      <c r="C62" s="3"/>
      <c r="D62" s="3"/>
    </row>
    <row r="63" spans="1:4" x14ac:dyDescent="0.2">
      <c r="B63" t="str">
        <f>'SL Weite Basis'!B62</f>
        <v>Technische Steuerkraft in % zum kantonalen Durchschnitt</v>
      </c>
      <c r="C63" s="3"/>
      <c r="D63" s="48" t="e">
        <f>HLOOKUP(D$9,'SL Weite Basis'!$C$8:$BZ$74,55,FALSE)</f>
        <v>#N/A</v>
      </c>
    </row>
    <row r="64" spans="1:4" x14ac:dyDescent="0.2">
      <c r="C64" s="3"/>
      <c r="D64" s="48"/>
    </row>
    <row r="65" spans="1:4" x14ac:dyDescent="0.2">
      <c r="B65" t="str">
        <f>'SL Weite Basis'!B64</f>
        <v>Kürzungsfaktor in %</v>
      </c>
      <c r="C65" s="3"/>
      <c r="D65" s="48" t="e">
        <f>HLOOKUP(D$9,'SL Weite Basis'!$C$8:$BZ$74,57,FALSE)</f>
        <v>#N/A</v>
      </c>
    </row>
    <row r="66" spans="1:4" x14ac:dyDescent="0.2">
      <c r="A66" s="3"/>
      <c r="B66" s="3" t="str">
        <f>'SL Weite Basis'!B65</f>
        <v>Kürzung in Fr.</v>
      </c>
      <c r="C66" s="3"/>
      <c r="D66" s="3" t="e">
        <f>HLOOKUP(D$9,'SL Weite Basis'!$C$8:$BZ$74,58,FALSE)</f>
        <v>#N/A</v>
      </c>
    </row>
    <row r="67" spans="1:4" x14ac:dyDescent="0.2">
      <c r="C67" s="3"/>
      <c r="D67" s="3"/>
    </row>
    <row r="68" spans="1:4" x14ac:dyDescent="0.2">
      <c r="C68" s="3"/>
      <c r="D68" s="3"/>
    </row>
    <row r="69" spans="1:4" ht="15.75" x14ac:dyDescent="0.25">
      <c r="A69" s="50" t="s">
        <v>99</v>
      </c>
      <c r="B69" s="50" t="str">
        <f>'SL Weite Basis'!B68</f>
        <v>Zusammenfassung</v>
      </c>
      <c r="C69" s="51"/>
      <c r="D69" s="51"/>
    </row>
    <row r="70" spans="1:4" x14ac:dyDescent="0.2">
      <c r="C70" s="3"/>
      <c r="D70" s="3"/>
    </row>
    <row r="71" spans="1:4" x14ac:dyDescent="0.2">
      <c r="A71" s="19"/>
      <c r="B71" s="19" t="str">
        <f>'SL Weite Basis'!B70</f>
        <v>Sonderlastenausgleich Weite (vor allfälliger Kürzung)</v>
      </c>
      <c r="C71" s="13">
        <f>HLOOKUP(C$9,'SL Weite Basis'!$C$8:$BZ$74,63,FALSE)</f>
        <v>37941178.142441496</v>
      </c>
      <c r="D71" s="13" t="e">
        <f>HLOOKUP(D$9,'SL Weite Basis'!$C$8:$BZ$74,63,FALSE)</f>
        <v>#N/A</v>
      </c>
    </row>
    <row r="72" spans="1:4" x14ac:dyDescent="0.2">
      <c r="A72" s="19"/>
      <c r="B72" s="19"/>
      <c r="C72" s="3"/>
      <c r="D72" s="13"/>
    </row>
    <row r="73" spans="1:4" x14ac:dyDescent="0.2">
      <c r="B73" t="str">
        <f>'SL Weite Basis'!B72</f>
        <v>Kürzung infolge hoher technischer Steuerkraft</v>
      </c>
      <c r="C73" s="3">
        <f>HLOOKUP(C$9,'SL Weite Basis'!$C$8:$BZ$74,65,FALSE)</f>
        <v>-2388643.6717576403</v>
      </c>
      <c r="D73" s="3" t="e">
        <f>HLOOKUP(D$9,'SL Weite Basis'!$C$8:$BZ$74,65,FALSE)</f>
        <v>#N/A</v>
      </c>
    </row>
    <row r="74" spans="1:4" x14ac:dyDescent="0.2">
      <c r="C74" s="3"/>
      <c r="D74" s="3"/>
    </row>
    <row r="75" spans="1:4" x14ac:dyDescent="0.2">
      <c r="A75" s="38"/>
      <c r="B75" s="38" t="str">
        <f>'SL Weite Basis'!B74</f>
        <v>Beitrag Sonderlastenausgleich Weite</v>
      </c>
      <c r="C75" s="39">
        <f>HLOOKUP(C$9,'SL Weite Basis'!$C$8:$BZ$74,67,FALSE)</f>
        <v>35552500</v>
      </c>
      <c r="D75" s="39" t="e">
        <f>HLOOKUP(D$9,'SL Weite Basis'!$C$8:$BZ$74,67,FALSE)</f>
        <v>#N/A</v>
      </c>
    </row>
  </sheetData>
  <sheetProtection algorithmName="SHA-512" hashValue="SpJ2SpVnR6P64d/0astPeyeFWkNdrjTX6SzhaMmMaKyq7EaCIc+bKLafSrJ8uvWFJ4sopesxeGqhMROhPOz40Q==" saltValue="fNO4IzMq29YzIS7b9F7b9w==" spinCount="100000" sheet="1" selectLockedCells="1"/>
  <pageMargins left="0.31496062992125984" right="0.31496062992125984" top="0.59055118110236227" bottom="0.59055118110236227" header="0.31496062992125984" footer="0.31496062992125984"/>
  <pageSetup paperSize="9" scale="90" orientation="portrait" r:id="rId1"/>
  <headerFooter>
    <oddFooter>&amp;C&amp;P von &amp;N&amp;R&amp;D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D66"/>
  <sheetViews>
    <sheetView showGridLines="0" workbookViewId="0">
      <selection activeCell="A82" sqref="A82"/>
    </sheetView>
  </sheetViews>
  <sheetFormatPr baseColWidth="10" defaultRowHeight="12.75" x14ac:dyDescent="0.2"/>
  <cols>
    <col min="1" max="1" width="4.140625" bestFit="1" customWidth="1"/>
    <col min="2" max="2" width="59.5703125" bestFit="1" customWidth="1"/>
    <col min="3" max="3" width="22.42578125" customWidth="1"/>
    <col min="4" max="4" width="22.42578125" bestFit="1" customWidth="1"/>
  </cols>
  <sheetData>
    <row r="1" spans="1:4" x14ac:dyDescent="0.2">
      <c r="A1" s="19" t="s">
        <v>193</v>
      </c>
    </row>
    <row r="2" spans="1:4" x14ac:dyDescent="0.2">
      <c r="A2" t="s">
        <v>194</v>
      </c>
    </row>
    <row r="5" spans="1:4" ht="26.25" x14ac:dyDescent="0.4">
      <c r="A5" s="16" t="s">
        <v>364</v>
      </c>
    </row>
    <row r="7" spans="1:4" x14ac:dyDescent="0.2">
      <c r="B7" s="18" t="s">
        <v>202</v>
      </c>
    </row>
    <row r="9" spans="1:4" x14ac:dyDescent="0.2">
      <c r="A9" s="19"/>
      <c r="B9" s="19"/>
      <c r="C9" s="22" t="s">
        <v>79</v>
      </c>
      <c r="D9" s="22" t="str">
        <f>Finanzausgleichsbeiträge!B7</f>
        <v>bitte Gemeinde auswählen</v>
      </c>
    </row>
    <row r="11" spans="1:4" ht="15.75" x14ac:dyDescent="0.25">
      <c r="A11" s="20" t="s">
        <v>97</v>
      </c>
      <c r="B11" s="21" t="str">
        <f>'SL Schule Basis'!B10</f>
        <v>Allgemeine Daten</v>
      </c>
      <c r="C11" s="21"/>
      <c r="D11" s="5"/>
    </row>
    <row r="12" spans="1:4" x14ac:dyDescent="0.2">
      <c r="B12" s="22"/>
      <c r="C12" s="22"/>
    </row>
    <row r="13" spans="1:4" x14ac:dyDescent="0.2">
      <c r="B13" s="26" t="str">
        <f>'SL Schule Basis'!B12</f>
        <v>Einwohnerzahl per 31.12.</v>
      </c>
      <c r="C13" s="42">
        <f>HLOOKUP(C$9,'SL Schule Basis'!$C$8:$BZ$64,5,FALSE)</f>
        <v>535114</v>
      </c>
      <c r="D13" s="42" t="e">
        <f>HLOOKUP(D$9,'SL Schule Basis'!$C$8:$BZ$64,5,FALSE)</f>
        <v>#N/A</v>
      </c>
    </row>
    <row r="14" spans="1:4" x14ac:dyDescent="0.2">
      <c r="B14" s="28"/>
      <c r="C14" s="19"/>
      <c r="D14" s="19"/>
    </row>
    <row r="15" spans="1:4" x14ac:dyDescent="0.2">
      <c r="B15" t="str">
        <f>'SL Schule Basis'!B14</f>
        <v>Schülerzahlen Volksschule per 31.12.2023</v>
      </c>
      <c r="C15" s="35">
        <f>HLOOKUP(C$9,'SL Schule Basis'!$C$8:$BZ$64,7,FALSE)</f>
        <v>60379</v>
      </c>
      <c r="D15" s="36" t="e">
        <f>HLOOKUP(D$9,'SL Schule Basis'!$C$8:$BZ$64,7,FALSE)</f>
        <v>#N/A</v>
      </c>
    </row>
    <row r="16" spans="1:4" x14ac:dyDescent="0.2">
      <c r="B16" t="str">
        <f>'SL Schule Basis'!B15</f>
        <v>Schülerzahlen Sonderschule per 31.12.2023</v>
      </c>
      <c r="C16" s="35">
        <f>HLOOKUP(C$9,'SL Schule Basis'!$C$8:$BZ$64,8,FALSE)</f>
        <v>1583</v>
      </c>
      <c r="D16" s="36" t="e">
        <f>HLOOKUP(D$9,'SL Schule Basis'!$C$8:$BZ$64,8,FALSE)</f>
        <v>#N/A</v>
      </c>
    </row>
    <row r="17" spans="1:4" x14ac:dyDescent="0.2">
      <c r="C17" s="3"/>
      <c r="D17" s="3"/>
    </row>
    <row r="18" spans="1:4" x14ac:dyDescent="0.2">
      <c r="B18" t="str">
        <f>'SL Schule Basis'!B17</f>
        <v>Nettoaufwand Schulrat in Einheitsgemeinden (Funktion 0121)</v>
      </c>
      <c r="C18" s="3">
        <f>HLOOKUP(C$9,'SL Schule Basis'!$C$8:$BZ$64,10,FALSE)</f>
        <v>6056128.3800000008</v>
      </c>
      <c r="D18" s="10" t="e">
        <f>HLOOKUP(D$9,'SL Schule Basis'!$C$8:$BZ$64,10,FALSE)</f>
        <v>#N/A</v>
      </c>
    </row>
    <row r="19" spans="1:4" x14ac:dyDescent="0.2">
      <c r="B19" t="str">
        <f>'SL Schule Basis'!B18</f>
        <v>Nettoaufwand Obligatorische Schule (Funktion 21)</v>
      </c>
      <c r="C19" s="3">
        <f>HLOOKUP(C$9,'SL Schule Basis'!$C$8:$BZ$64,11,FALSE)</f>
        <v>1195498738.5199997</v>
      </c>
      <c r="D19" s="10" t="e">
        <f>HLOOKUP(D$9,'SL Schule Basis'!$C$8:$BZ$64,11,FALSE)</f>
        <v>#N/A</v>
      </c>
    </row>
    <row r="20" spans="1:4" x14ac:dyDescent="0.2">
      <c r="B20" t="str">
        <f>'SL Schule Basis'!B19</f>
        <v>Nettoaufwand Schulgesundheitsdienst in EHG (Funktion 433)</v>
      </c>
      <c r="C20" s="3">
        <f>HLOOKUP(C$9,'SL Schule Basis'!$C$8:$BZ$64,12,FALSE)</f>
        <v>3910715.6699999995</v>
      </c>
      <c r="D20" s="10" t="e">
        <f>HLOOKUP(D$9,'SL Schule Basis'!$C$8:$BZ$64,12,FALSE)</f>
        <v>#N/A</v>
      </c>
    </row>
    <row r="21" spans="1:4" x14ac:dyDescent="0.2">
      <c r="B21" t="str">
        <f>'SL Schule Basis'!B20</f>
        <v>Total</v>
      </c>
      <c r="C21" s="3">
        <f>HLOOKUP(C$9,'SL Schule Basis'!$C$8:$BZ$64,13,FALSE)</f>
        <v>1205465582.5699999</v>
      </c>
      <c r="D21" s="3" t="e">
        <f>HLOOKUP(D$9,'SL Schule Basis'!$C$8:$BZ$64,13,FALSE)</f>
        <v>#N/A</v>
      </c>
    </row>
    <row r="22" spans="1:4" x14ac:dyDescent="0.2">
      <c r="C22" s="3"/>
      <c r="D22" s="3"/>
    </row>
    <row r="23" spans="1:4" x14ac:dyDescent="0.2">
      <c r="B23" t="str">
        <f>'SL Schule Basis'!B22</f>
        <v>Kantonaler Durchschnitt Kosten je Schüler</v>
      </c>
      <c r="C23" s="3">
        <f>HLOOKUP(C$9,'SL Schule Basis'!$C$8:$BZ$64,15,FALSE)</f>
        <v>19964.980913397041</v>
      </c>
      <c r="D23" s="3"/>
    </row>
    <row r="24" spans="1:4" x14ac:dyDescent="0.2">
      <c r="C24" s="3"/>
      <c r="D24" s="3"/>
    </row>
    <row r="25" spans="1:4" x14ac:dyDescent="0.2">
      <c r="C25" s="3"/>
      <c r="D25" s="3"/>
    </row>
    <row r="26" spans="1:4" ht="15.75" x14ac:dyDescent="0.25">
      <c r="A26" s="20" t="s">
        <v>98</v>
      </c>
      <c r="B26" s="20" t="str">
        <f>'SL Schule Basis'!B25</f>
        <v>Berechnung Sonderlastenausgleich Schule</v>
      </c>
      <c r="C26" s="34"/>
      <c r="D26" s="34"/>
    </row>
    <row r="27" spans="1:4" x14ac:dyDescent="0.2">
      <c r="C27" s="3"/>
      <c r="D27" s="3"/>
    </row>
    <row r="28" spans="1:4" x14ac:dyDescent="0.2">
      <c r="A28" s="45" t="s">
        <v>128</v>
      </c>
      <c r="B28" s="43" t="str">
        <f>'SL Schule Basis'!B27</f>
        <v>Sonder-/Minderlasten Volksschule</v>
      </c>
      <c r="C28" s="44"/>
      <c r="D28" s="44"/>
    </row>
    <row r="29" spans="1:4" x14ac:dyDescent="0.2">
      <c r="C29" s="3"/>
      <c r="D29" s="3"/>
    </row>
    <row r="30" spans="1:4" x14ac:dyDescent="0.2">
      <c r="B30" t="str">
        <f>'SL Schule Basis'!B29</f>
        <v>Beitragssatz Volksschule bei überdurchschnittlicher Belastung</v>
      </c>
      <c r="C30" s="8">
        <f>HLOOKUP(C$9,'SL Schule Basis'!$C$8:$BZ$64,22,FALSE)</f>
        <v>0.65</v>
      </c>
      <c r="D30" s="3"/>
    </row>
    <row r="31" spans="1:4" x14ac:dyDescent="0.2">
      <c r="B31" t="str">
        <f>'SL Schule Basis'!B30</f>
        <v>Beitragssatz Volksschule bei unterdurchschnittlicher Belastung</v>
      </c>
      <c r="C31" s="8">
        <f>HLOOKUP(C$9,'SL Schule Basis'!$C$8:$BZ$64,23,FALSE)</f>
        <v>0.2</v>
      </c>
      <c r="D31" s="3"/>
    </row>
    <row r="32" spans="1:4" x14ac:dyDescent="0.2">
      <c r="B32" t="str">
        <f>'SL Schule Basis'!B31</f>
        <v>Volksschüler je Einwohner</v>
      </c>
      <c r="C32" s="46">
        <f>HLOOKUP(C$9,'SL Schule Basis'!$C$8:$BZ$64,24,FALSE)</f>
        <v>0.11283390081365839</v>
      </c>
      <c r="D32" s="46" t="e">
        <f>HLOOKUP(D$9,'SL Schule Basis'!$C$8:$BZ$64,24,FALSE)</f>
        <v>#N/A</v>
      </c>
    </row>
    <row r="33" spans="1:4" x14ac:dyDescent="0.2">
      <c r="B33" t="str">
        <f>'SL Schule Basis'!B32</f>
        <v>BLD-Sozialindex per 31.12.</v>
      </c>
      <c r="C33" s="3"/>
      <c r="D33" s="52" t="e">
        <f>HLOOKUP(D$9,'SL Schule Basis'!$C$8:$BZ$64,25,FALSE)</f>
        <v>#N/A</v>
      </c>
    </row>
    <row r="34" spans="1:4" x14ac:dyDescent="0.2">
      <c r="B34" t="str">
        <f>'SL Schule Basis'!B33</f>
        <v>reduzierter BLD-Sozialindex per 31.12.</v>
      </c>
      <c r="C34" s="3"/>
      <c r="D34" s="3" t="e">
        <f>HLOOKUP(D$9,'SL Schule Basis'!$C$8:$BZ$64,26,FALSE)</f>
        <v>#N/A</v>
      </c>
    </row>
    <row r="35" spans="1:4" x14ac:dyDescent="0.2">
      <c r="C35" s="3"/>
      <c r="D35" s="3"/>
    </row>
    <row r="36" spans="1:4" x14ac:dyDescent="0.2">
      <c r="A36" s="19"/>
      <c r="B36" s="19" t="str">
        <f>'SL Schule Basis'!B35</f>
        <v>Sonder-/Minderlasten Volksschule (vor allfälliger Kürzung)</v>
      </c>
      <c r="C36" s="13"/>
      <c r="D36" s="13" t="e">
        <f>HLOOKUP(D$9,'SL Schule Basis'!$C$8:$BZ$64,28,FALSE)</f>
        <v>#N/A</v>
      </c>
    </row>
    <row r="37" spans="1:4" x14ac:dyDescent="0.2">
      <c r="C37" s="3"/>
      <c r="D37" s="3"/>
    </row>
    <row r="38" spans="1:4" x14ac:dyDescent="0.2">
      <c r="A38" s="45" t="s">
        <v>129</v>
      </c>
      <c r="B38" s="43" t="str">
        <f>'SL Schule Basis'!B37</f>
        <v>Sonderlasten Sonderschule</v>
      </c>
      <c r="C38" s="44"/>
      <c r="D38" s="44"/>
    </row>
    <row r="39" spans="1:4" x14ac:dyDescent="0.2">
      <c r="C39" s="3"/>
      <c r="D39" s="3"/>
    </row>
    <row r="40" spans="1:4" x14ac:dyDescent="0.2">
      <c r="B40" t="str">
        <f>'SL Schule Basis'!B39</f>
        <v>Pauschalbeitrag je Schüler in der Sonderschule</v>
      </c>
      <c r="C40" s="10">
        <f>HLOOKUP(C$9,'SL Schule Basis'!$C$8:$BZ$64,32,FALSE)</f>
        <v>11000</v>
      </c>
      <c r="D40" s="3"/>
    </row>
    <row r="41" spans="1:4" x14ac:dyDescent="0.2">
      <c r="B41" t="str">
        <f>'SL Schule Basis'!B40</f>
        <v>Beitragssatz Sonderschule</v>
      </c>
      <c r="C41" s="8">
        <f>HLOOKUP(C$9,'SL Schule Basis'!$C$8:$BZ$64,33,FALSE)</f>
        <v>0.65</v>
      </c>
      <c r="D41" s="3"/>
    </row>
    <row r="42" spans="1:4" x14ac:dyDescent="0.2">
      <c r="B42" t="str">
        <f>'SL Schule Basis'!B41</f>
        <v>Sonderschüler je Einwohner</v>
      </c>
      <c r="C42" s="46">
        <f>HLOOKUP(C$9,'SL Schule Basis'!$C$8:$BZ$64,34,FALSE)</f>
        <v>2.9582481489925511E-3</v>
      </c>
      <c r="D42" s="46" t="e">
        <f>HLOOKUP(D$9,'SL Schule Basis'!$C$8:$BZ$64,34,FALSE)</f>
        <v>#N/A</v>
      </c>
    </row>
    <row r="43" spans="1:4" x14ac:dyDescent="0.2">
      <c r="C43" s="3"/>
      <c r="D43" s="3"/>
    </row>
    <row r="44" spans="1:4" x14ac:dyDescent="0.2">
      <c r="A44" s="19"/>
      <c r="B44" s="19" t="str">
        <f>'SL Schule Basis'!B43</f>
        <v>Sonderlasten Sonderschule (vor allfälliger Kürzung)</v>
      </c>
      <c r="C44" s="13"/>
      <c r="D44" s="13" t="e">
        <f>HLOOKUP(D$9,'SL Schule Basis'!$C$8:$BZ$64,36,FALSE)</f>
        <v>#N/A</v>
      </c>
    </row>
    <row r="45" spans="1:4" x14ac:dyDescent="0.2">
      <c r="C45" s="3"/>
      <c r="D45" s="3"/>
    </row>
    <row r="46" spans="1:4" x14ac:dyDescent="0.2">
      <c r="A46" s="45" t="s">
        <v>137</v>
      </c>
      <c r="B46" s="43" t="str">
        <f>'SL Schule Basis'!B45</f>
        <v>Sonderlastenausgleich Schule (vor allfälliger Kürzung)</v>
      </c>
      <c r="C46" s="44"/>
      <c r="D46" s="44" t="e">
        <f>HLOOKUP(D$9,'SL Schule Basis'!$C$8:$BZ$64,38,FALSE)</f>
        <v>#N/A</v>
      </c>
    </row>
    <row r="47" spans="1:4" x14ac:dyDescent="0.2">
      <c r="C47" s="3"/>
      <c r="D47" s="3"/>
    </row>
    <row r="48" spans="1:4" x14ac:dyDescent="0.2">
      <c r="A48" s="45" t="s">
        <v>143</v>
      </c>
      <c r="B48" s="43" t="str">
        <f>'SL Schule Basis'!B47</f>
        <v>Kürzung infolge hoher technischer Steuerkraft</v>
      </c>
      <c r="C48" s="49"/>
      <c r="D48" s="49"/>
    </row>
    <row r="49" spans="1:4" x14ac:dyDescent="0.2">
      <c r="C49" s="3"/>
      <c r="D49" s="3"/>
    </row>
    <row r="50" spans="1:4" x14ac:dyDescent="0.2">
      <c r="B50" t="str">
        <f>'SL Schule Basis'!B49</f>
        <v>Technische Steuerkraft in % zum kantonalen Durchschnitt</v>
      </c>
      <c r="C50" s="3"/>
      <c r="D50" s="48" t="e">
        <f>HLOOKUP(D$9,'SL Schule Basis'!$C$8:$BZ$64,42,FALSE)</f>
        <v>#N/A</v>
      </c>
    </row>
    <row r="51" spans="1:4" x14ac:dyDescent="0.2">
      <c r="C51" s="3"/>
      <c r="D51" s="48"/>
    </row>
    <row r="52" spans="1:4" x14ac:dyDescent="0.2">
      <c r="B52" t="str">
        <f>'SL Schule Basis'!B51</f>
        <v>Kürzungsfaktor in %</v>
      </c>
      <c r="C52" s="3"/>
      <c r="D52" s="48" t="e">
        <f>HLOOKUP(D$9,'SL Schule Basis'!$C$8:$BZ$64,44,FALSE)</f>
        <v>#N/A</v>
      </c>
    </row>
    <row r="53" spans="1:4" x14ac:dyDescent="0.2">
      <c r="A53" s="3"/>
      <c r="B53" s="3" t="str">
        <f>'SL Schule Basis'!B52</f>
        <v>Kürzung in Fr.</v>
      </c>
      <c r="C53" s="3"/>
      <c r="D53" s="3" t="e">
        <f>HLOOKUP(D$9,'SL Schule Basis'!$C$8:$BZ$64,45,FALSE)</f>
        <v>#N/A</v>
      </c>
    </row>
    <row r="54" spans="1:4" x14ac:dyDescent="0.2">
      <c r="C54" s="3"/>
      <c r="D54" s="3"/>
    </row>
    <row r="55" spans="1:4" x14ac:dyDescent="0.2">
      <c r="C55" s="3"/>
      <c r="D55" s="3"/>
    </row>
    <row r="56" spans="1:4" ht="15.75" x14ac:dyDescent="0.25">
      <c r="A56" s="50" t="s">
        <v>99</v>
      </c>
      <c r="B56" s="50" t="str">
        <f>'SL Schule Basis'!B55</f>
        <v>Zusammenfassung</v>
      </c>
      <c r="C56" s="51"/>
      <c r="D56" s="51"/>
    </row>
    <row r="57" spans="1:4" x14ac:dyDescent="0.2">
      <c r="C57" s="3"/>
      <c r="D57" s="3"/>
    </row>
    <row r="58" spans="1:4" x14ac:dyDescent="0.2">
      <c r="B58" t="str">
        <f>'SL Schule Basis'!B57</f>
        <v>Sonder-/Minderlasten Volksschule</v>
      </c>
      <c r="C58" s="3">
        <f>HLOOKUP(C$9,'SL Schule Basis'!$C$8:$BZ$64,50,FALSE)</f>
        <v>22242517.071800586</v>
      </c>
      <c r="D58" s="3" t="e">
        <f>HLOOKUP(D$9,'SL Schule Basis'!$C$8:$BZ$64,50,FALSE)</f>
        <v>#N/A</v>
      </c>
    </row>
    <row r="59" spans="1:4" x14ac:dyDescent="0.2">
      <c r="B59" t="str">
        <f>'SL Schule Basis'!B58</f>
        <v>Sonderlasten Sonderschule</v>
      </c>
      <c r="C59" s="3">
        <f>HLOOKUP(C$9,'SL Schule Basis'!$C$8:$BZ$64,51,FALSE)</f>
        <v>1329536.9375497557</v>
      </c>
      <c r="D59" s="3" t="e">
        <f>HLOOKUP(D$9,'SL Schule Basis'!$C$8:$BZ$64,51,FALSE)</f>
        <v>#N/A</v>
      </c>
    </row>
    <row r="60" spans="1:4" x14ac:dyDescent="0.2">
      <c r="C60" s="3"/>
      <c r="D60" s="3"/>
    </row>
    <row r="61" spans="1:4" x14ac:dyDescent="0.2">
      <c r="A61" s="19"/>
      <c r="B61" s="19" t="str">
        <f>'SL Schule Basis'!B60</f>
        <v>Sonderlastenausgleich Schule (vor allfälliger Kürzung)</v>
      </c>
      <c r="C61" s="13">
        <f>HLOOKUP(C$9,'SL Schule Basis'!$C$8:$BZ$64,53,FALSE)</f>
        <v>34029883.28531152</v>
      </c>
      <c r="D61" s="13" t="e">
        <f>HLOOKUP(D$9,'SL Schule Basis'!$C$8:$BZ$64,53,FALSE)</f>
        <v>#N/A</v>
      </c>
    </row>
    <row r="62" spans="1:4" x14ac:dyDescent="0.2">
      <c r="A62" s="19"/>
      <c r="B62" s="19"/>
      <c r="C62" s="13"/>
      <c r="D62" s="13"/>
    </row>
    <row r="63" spans="1:4" x14ac:dyDescent="0.2">
      <c r="B63" t="str">
        <f>'SL Schule Basis'!B62</f>
        <v>Kürzung infolge hoher technischer Steuerkraft</v>
      </c>
      <c r="C63" s="3">
        <f>HLOOKUP(C$9,'SL Schule Basis'!$C$8:$BZ$64,55,FALSE)</f>
        <v>-974984.31482109253</v>
      </c>
      <c r="D63" s="3" t="e">
        <f>HLOOKUP(D$9,'SL Schule Basis'!$C$8:$BZ$64,55,FALSE)</f>
        <v>#N/A</v>
      </c>
    </row>
    <row r="64" spans="1:4" x14ac:dyDescent="0.2">
      <c r="C64" s="3"/>
      <c r="D64" s="3"/>
    </row>
    <row r="65" spans="1:4" x14ac:dyDescent="0.2">
      <c r="A65" s="38"/>
      <c r="B65" s="38" t="str">
        <f>'SL Schule Basis'!B64</f>
        <v>Beitrag Sonderlastenausgleich Schule</v>
      </c>
      <c r="C65" s="39">
        <f>HLOOKUP(C$9,'SL Schule Basis'!$C$8:$BZ$64,57,FALSE)</f>
        <v>33054900</v>
      </c>
      <c r="D65" s="39" t="e">
        <f>HLOOKUP(D$9,'SL Schule Basis'!$C$8:$BZ$64,57,FALSE)</f>
        <v>#N/A</v>
      </c>
    </row>
    <row r="66" spans="1:4" x14ac:dyDescent="0.2">
      <c r="C66" s="3"/>
      <c r="D66" s="3"/>
    </row>
  </sheetData>
  <sheetProtection algorithmName="SHA-512" hashValue="JBMeEiMMV51SH8tLbymR6Oji85mMDxLWhdDtTwEkHk/C86/OElXszLb7/Bkhzl0o71Cl7MlA2plBud+ne+GOYw==" saltValue="Qo5j7QHmw6QMnDSyNHLxkg==" spinCount="100000" sheet="1" selectLockedCells="1"/>
  <pageMargins left="0.31496062992125984" right="0.31496062992125984" top="0.59055118110236227" bottom="0.59055118110236227" header="0.31496062992125984" footer="0.31496062992125984"/>
  <pageSetup paperSize="9" scale="90" orientation="portrait" r:id="rId1"/>
  <headerFooter>
    <oddFooter>&amp;C&amp;P von &amp;N&amp;R&amp;D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:D57"/>
  <sheetViews>
    <sheetView showGridLines="0" workbookViewId="0">
      <selection activeCell="A74" sqref="A74"/>
    </sheetView>
  </sheetViews>
  <sheetFormatPr baseColWidth="10" defaultRowHeight="12.75" x14ac:dyDescent="0.2"/>
  <cols>
    <col min="1" max="1" width="4.140625" bestFit="1" customWidth="1"/>
    <col min="2" max="2" width="50.42578125" customWidth="1"/>
    <col min="3" max="3" width="22.42578125" customWidth="1"/>
    <col min="4" max="4" width="22.42578125" bestFit="1" customWidth="1"/>
  </cols>
  <sheetData>
    <row r="1" spans="1:4" x14ac:dyDescent="0.2">
      <c r="A1" s="19" t="s">
        <v>193</v>
      </c>
    </row>
    <row r="2" spans="1:4" x14ac:dyDescent="0.2">
      <c r="A2" t="s">
        <v>194</v>
      </c>
    </row>
    <row r="5" spans="1:4" ht="26.25" x14ac:dyDescent="0.4">
      <c r="A5" s="16" t="s">
        <v>361</v>
      </c>
    </row>
    <row r="7" spans="1:4" x14ac:dyDescent="0.2">
      <c r="B7" s="18" t="s">
        <v>202</v>
      </c>
    </row>
    <row r="9" spans="1:4" x14ac:dyDescent="0.2">
      <c r="A9" s="19"/>
      <c r="B9" s="19"/>
      <c r="C9" s="22" t="s">
        <v>79</v>
      </c>
      <c r="D9" s="22" t="str">
        <f>Finanzausgleichsbeiträge!B7</f>
        <v>bitte Gemeinde auswählen</v>
      </c>
    </row>
    <row r="11" spans="1:4" ht="15.75" x14ac:dyDescent="0.25">
      <c r="A11" s="20" t="s">
        <v>97</v>
      </c>
      <c r="B11" s="21" t="str">
        <f>'SL Sozio Basis'!B10</f>
        <v>Allgemeine Daten</v>
      </c>
      <c r="C11" s="21"/>
      <c r="D11" s="5"/>
    </row>
    <row r="12" spans="1:4" x14ac:dyDescent="0.2">
      <c r="B12" s="22"/>
      <c r="C12" s="22"/>
    </row>
    <row r="13" spans="1:4" x14ac:dyDescent="0.2">
      <c r="B13" s="26" t="str">
        <f>'SL Sozio Basis'!B12</f>
        <v>Einwohnerzahl per 31.12.</v>
      </c>
      <c r="C13" s="42">
        <f>HLOOKUP(C$9,'SL Sozio Basis'!$C$8:$BZ$56,5,FALSE)</f>
        <v>535114</v>
      </c>
      <c r="D13" s="42" t="e">
        <f>HLOOKUP(D$9,'SL Sozio Basis'!$C$8:$BZ$56,5,FALSE)</f>
        <v>#N/A</v>
      </c>
    </row>
    <row r="14" spans="1:4" x14ac:dyDescent="0.2">
      <c r="C14" s="3"/>
      <c r="D14" s="3"/>
    </row>
    <row r="15" spans="1:4" x14ac:dyDescent="0.2">
      <c r="C15" s="3"/>
      <c r="D15" s="3"/>
    </row>
    <row r="16" spans="1:4" ht="15.75" x14ac:dyDescent="0.25">
      <c r="A16" s="20" t="s">
        <v>98</v>
      </c>
      <c r="B16" s="20" t="str">
        <f>'SL Sozio Basis'!B15</f>
        <v>Berechnung Soziodemographischer Sonderlastenausgleich</v>
      </c>
      <c r="C16" s="34"/>
      <c r="D16" s="34"/>
    </row>
    <row r="17" spans="1:4" x14ac:dyDescent="0.2">
      <c r="C17" s="3"/>
      <c r="D17" s="3"/>
    </row>
    <row r="18" spans="1:4" x14ac:dyDescent="0.2">
      <c r="A18" s="45" t="s">
        <v>128</v>
      </c>
      <c r="B18" s="43" t="str">
        <f>'SL Sozio Basis'!B17</f>
        <v>Sonderlasten Familie und Jugend</v>
      </c>
      <c r="C18" s="44"/>
      <c r="D18" s="44"/>
    </row>
    <row r="19" spans="1:4" x14ac:dyDescent="0.2">
      <c r="C19" s="3"/>
      <c r="D19" s="3"/>
    </row>
    <row r="20" spans="1:4" x14ac:dyDescent="0.2">
      <c r="B20" t="str">
        <f>'SL Sozio Basis'!B19</f>
        <v>Beitragssatz bei überdurchschnittlicher Belastung</v>
      </c>
      <c r="C20" s="8">
        <f>HLOOKUP(C$9,'SL Sozio Basis'!$C$8:$BZ$56,12,FALSE)</f>
        <v>0.6</v>
      </c>
      <c r="D20" s="3"/>
    </row>
    <row r="21" spans="1:4" x14ac:dyDescent="0.2">
      <c r="B21" t="str">
        <f>'SL Sozio Basis'!B20</f>
        <v>Beitragssatz bei unterdurchschnittlicher Belastung</v>
      </c>
      <c r="C21" s="8">
        <f>HLOOKUP(C$9,'SL Sozio Basis'!$C$8:$BZ$56,13,FALSE)</f>
        <v>0</v>
      </c>
      <c r="D21" s="3"/>
    </row>
    <row r="22" spans="1:4" x14ac:dyDescent="0.2">
      <c r="C22" s="4"/>
      <c r="D22" s="3"/>
    </row>
    <row r="23" spans="1:4" x14ac:dyDescent="0.2">
      <c r="B23" t="str">
        <f>'SL Sozio Basis'!B22</f>
        <v>Nettoaufwand Familie und Jugend (Funktion 54)</v>
      </c>
      <c r="C23" s="3">
        <f>HLOOKUP(C$9,'SL Sozio Basis'!$C$8:$BZ$56,15,FALSE)</f>
        <v>72059793.75</v>
      </c>
      <c r="D23" s="10" t="e">
        <f>HLOOKUP(D$9,'SL Sozio Basis'!$C$8:$BZ$56,15,FALSE)</f>
        <v>#N/A</v>
      </c>
    </row>
    <row r="24" spans="1:4" x14ac:dyDescent="0.2">
      <c r="B24" t="str">
        <f>'SL Sozio Basis'!B23</f>
        <v>Nettoaufwand Familie und Jugend pro Einwohner</v>
      </c>
      <c r="C24" s="3">
        <f>HLOOKUP(C$9,'SL Sozio Basis'!$C$8:$BZ$56,16,FALSE)</f>
        <v>134.66250882989419</v>
      </c>
      <c r="D24" s="3" t="e">
        <f>HLOOKUP(D$9,'SL Sozio Basis'!$C$8:$BZ$56,16,FALSE)</f>
        <v>#N/A</v>
      </c>
    </row>
    <row r="25" spans="1:4" x14ac:dyDescent="0.2">
      <c r="C25" s="4"/>
      <c r="D25" s="3"/>
    </row>
    <row r="26" spans="1:4" x14ac:dyDescent="0.2">
      <c r="A26" s="19"/>
      <c r="B26" s="19" t="str">
        <f>'SL Sozio Basis'!B25</f>
        <v>Sonderlasten Familie und Jugend</v>
      </c>
      <c r="C26" s="13">
        <f>HLOOKUP(C$9,'SL Sozio Basis'!$C$8:$BZ$56,18,FALSE)</f>
        <v>10062792.346242744</v>
      </c>
      <c r="D26" s="13" t="e">
        <f>HLOOKUP(D$9,'SL Sozio Basis'!$C$8:$BZ$56,18,FALSE)</f>
        <v>#N/A</v>
      </c>
    </row>
    <row r="27" spans="1:4" x14ac:dyDescent="0.2">
      <c r="C27" s="4"/>
      <c r="D27" s="3"/>
    </row>
    <row r="28" spans="1:4" x14ac:dyDescent="0.2">
      <c r="C28" s="3"/>
      <c r="D28" s="3"/>
    </row>
    <row r="29" spans="1:4" x14ac:dyDescent="0.2">
      <c r="A29" s="45" t="s">
        <v>129</v>
      </c>
      <c r="B29" s="43" t="str">
        <f>'SL Sozio Basis'!B28</f>
        <v>Sonder-/Minderlasten Sozialhilfe</v>
      </c>
      <c r="C29" s="44"/>
      <c r="D29" s="44"/>
    </row>
    <row r="30" spans="1:4" x14ac:dyDescent="0.2">
      <c r="C30" s="3"/>
      <c r="D30" s="3"/>
    </row>
    <row r="31" spans="1:4" x14ac:dyDescent="0.2">
      <c r="B31" t="str">
        <f>'SL Sozio Basis'!B30</f>
        <v>Beitragssatz bei überdurchschnittlicher Belastung</v>
      </c>
      <c r="C31" s="8">
        <f>HLOOKUP(C$9,'SL Sozio Basis'!$C$8:$BZ$56,23,FALSE)</f>
        <v>0.6</v>
      </c>
      <c r="D31" s="3"/>
    </row>
    <row r="32" spans="1:4" x14ac:dyDescent="0.2">
      <c r="A32" s="19"/>
      <c r="B32" t="str">
        <f>'SL Sozio Basis'!B31</f>
        <v>Beitragssatz bei unterdurchschnittlicher Belastung</v>
      </c>
      <c r="C32" s="8">
        <f>HLOOKUP(C$9,'SL Sozio Basis'!$C$8:$BZ$56,24,FALSE)</f>
        <v>0.2</v>
      </c>
      <c r="D32" s="13"/>
    </row>
    <row r="33" spans="1:4" x14ac:dyDescent="0.2">
      <c r="A33" s="19"/>
      <c r="C33" s="4"/>
      <c r="D33" s="13"/>
    </row>
    <row r="34" spans="1:4" x14ac:dyDescent="0.2">
      <c r="B34" t="str">
        <f>'SL Sozio Basis'!B33</f>
        <v>Nettoaufwand Finanzielle Sozialhilfe (Funktion 572)</v>
      </c>
      <c r="C34" s="3">
        <f>HLOOKUP(C$9,'SL Sozio Basis'!$C$8:$BZ$56,26,FALSE)</f>
        <v>63432250.699999988</v>
      </c>
      <c r="D34" s="10" t="e">
        <f>HLOOKUP(D$9,'SL Sozio Basis'!$C$8:$BZ$56,26,FALSE)</f>
        <v>#N/A</v>
      </c>
    </row>
    <row r="35" spans="1:4" x14ac:dyDescent="0.2">
      <c r="B35" t="str">
        <f>'SL Sozio Basis'!B34</f>
        <v>Nettoaufwand Finanzielle Sozialhilfe pro Einwohner</v>
      </c>
      <c r="C35" s="3">
        <f>HLOOKUP(C$9,'SL Sozio Basis'!$C$8:$BZ$56,27,FALSE)</f>
        <v>118.5396956536364</v>
      </c>
      <c r="D35" s="3" t="e">
        <f>HLOOKUP(D$9,'SL Sozio Basis'!$C$8:$BZ$56,27,FALSE)</f>
        <v>#N/A</v>
      </c>
    </row>
    <row r="36" spans="1:4" x14ac:dyDescent="0.2">
      <c r="A36" s="19"/>
      <c r="B36" s="19"/>
      <c r="C36" s="13"/>
      <c r="D36" s="13"/>
    </row>
    <row r="37" spans="1:4" x14ac:dyDescent="0.2">
      <c r="A37" s="19"/>
      <c r="B37" s="19" t="str">
        <f>'SL Sozio Basis'!B36</f>
        <v>Sonder-/Minderlasten Sozialhilfe</v>
      </c>
      <c r="C37" s="13">
        <f>HLOOKUP(C$9,'SL Sozio Basis'!$C$8:$BZ$56,29,FALSE)</f>
        <v>7642281.3780774837</v>
      </c>
      <c r="D37" s="13" t="e">
        <f>HLOOKUP(D$9,'SL Sozio Basis'!$C$8:$BZ$56,29,FALSE)</f>
        <v>#N/A</v>
      </c>
    </row>
    <row r="38" spans="1:4" x14ac:dyDescent="0.2">
      <c r="A38" s="19"/>
      <c r="B38" s="19"/>
      <c r="C38" s="13"/>
      <c r="D38" s="13"/>
    </row>
    <row r="39" spans="1:4" x14ac:dyDescent="0.2">
      <c r="A39" s="19"/>
      <c r="B39" s="19"/>
      <c r="C39" s="13"/>
      <c r="D39" s="13"/>
    </row>
    <row r="40" spans="1:4" x14ac:dyDescent="0.2">
      <c r="A40" s="45" t="s">
        <v>137</v>
      </c>
      <c r="B40" s="43" t="str">
        <f>'SL Sozio Basis'!B39</f>
        <v>Sonder-/Minderlasten Stationäre Pflege</v>
      </c>
      <c r="C40" s="44"/>
      <c r="D40" s="44"/>
    </row>
    <row r="41" spans="1:4" x14ac:dyDescent="0.2">
      <c r="A41" s="19"/>
      <c r="B41" s="19"/>
      <c r="C41" s="13"/>
      <c r="D41" s="13"/>
    </row>
    <row r="42" spans="1:4" x14ac:dyDescent="0.2">
      <c r="B42" t="str">
        <f>'SL Sozio Basis'!B41</f>
        <v>Beitragssatz bei überdurchschnittlicher Belastung</v>
      </c>
      <c r="C42" s="8">
        <f>HLOOKUP(C$9,'SL Sozio Basis'!$C$8:$BZ$56,34,FALSE)</f>
        <v>0.6</v>
      </c>
      <c r="D42" s="3"/>
    </row>
    <row r="43" spans="1:4" x14ac:dyDescent="0.2">
      <c r="A43" s="19"/>
      <c r="B43" t="str">
        <f>'SL Sozio Basis'!B42</f>
        <v>Beitragssatz bei unterdurchschnittlicher Belastung</v>
      </c>
      <c r="C43" s="8">
        <f>HLOOKUP(C$9,'SL Sozio Basis'!$C$8:$BZ$56,35,FALSE)</f>
        <v>0.2</v>
      </c>
      <c r="D43" s="13"/>
    </row>
    <row r="44" spans="1:4" x14ac:dyDescent="0.2">
      <c r="A44" s="19"/>
      <c r="B44" s="19"/>
      <c r="C44" s="13"/>
      <c r="D44" s="13"/>
    </row>
    <row r="45" spans="1:4" x14ac:dyDescent="0.2">
      <c r="B45" t="str">
        <f>'SL Sozio Basis'!B44</f>
        <v>Nettoaufwand Stationäre Pflege</v>
      </c>
      <c r="C45" s="3">
        <f>HLOOKUP(C$9,'SL Sozio Basis'!$C$8:$BZ$56,37,FALSE)</f>
        <v>115223720.45000003</v>
      </c>
      <c r="D45" s="10" t="e">
        <f>HLOOKUP(D$9,'SL Sozio Basis'!$C$8:$BZ$56,37,FALSE)</f>
        <v>#N/A</v>
      </c>
    </row>
    <row r="46" spans="1:4" x14ac:dyDescent="0.2">
      <c r="B46" t="str">
        <f>'SL Sozio Basis'!B45</f>
        <v>Nettoaufwand Stationäre Pflege pro Einwohner</v>
      </c>
      <c r="C46" s="3">
        <f>HLOOKUP(C$9,'SL Sozio Basis'!$C$8:$BZ$56,38,FALSE)</f>
        <v>215.32555763818556</v>
      </c>
      <c r="D46" s="3" t="e">
        <f>HLOOKUP(D$9,'SL Sozio Basis'!$C$8:$BZ$56,38,FALSE)</f>
        <v>#N/A</v>
      </c>
    </row>
    <row r="47" spans="1:4" x14ac:dyDescent="0.2">
      <c r="A47" s="19"/>
      <c r="B47" s="19"/>
      <c r="C47" s="13"/>
      <c r="D47" s="13"/>
    </row>
    <row r="48" spans="1:4" x14ac:dyDescent="0.2">
      <c r="A48" s="19"/>
      <c r="B48" s="19" t="str">
        <f>'SL Sozio Basis'!B47</f>
        <v>Sonder-/Minderlasten Stationäre Pflege</v>
      </c>
      <c r="C48" s="13">
        <f>HLOOKUP(C$9,'SL Sozio Basis'!$C$8:$BZ$56,40,FALSE)</f>
        <v>4563466.9101081826</v>
      </c>
      <c r="D48" s="13" t="e">
        <f>HLOOKUP(D$9,'SL Sozio Basis'!$C$8:$BZ$56,40,FALSE)</f>
        <v>#N/A</v>
      </c>
    </row>
    <row r="49" spans="1:4" x14ac:dyDescent="0.2">
      <c r="A49" s="19"/>
      <c r="B49" s="19"/>
      <c r="C49" s="13"/>
      <c r="D49" s="13"/>
    </row>
    <row r="50" spans="1:4" x14ac:dyDescent="0.2">
      <c r="C50" s="3"/>
      <c r="D50" s="3"/>
    </row>
    <row r="51" spans="1:4" ht="15.75" x14ac:dyDescent="0.25">
      <c r="A51" s="50" t="s">
        <v>99</v>
      </c>
      <c r="B51" s="50" t="str">
        <f>'SL Sozio Basis'!B50</f>
        <v>Zusammenfassung</v>
      </c>
      <c r="C51" s="51"/>
      <c r="D51" s="51"/>
    </row>
    <row r="52" spans="1:4" x14ac:dyDescent="0.2">
      <c r="C52" s="3"/>
      <c r="D52" s="3"/>
    </row>
    <row r="53" spans="1:4" x14ac:dyDescent="0.2">
      <c r="B53" t="str">
        <f>'SL Sozio Basis'!B52</f>
        <v>Sonderlasten Familie und Jugend</v>
      </c>
      <c r="C53" s="3">
        <f>HLOOKUP(C$9,'SL Sozio Basis'!$C$8:$BZ$56,45,FALSE)</f>
        <v>10062792.346242744</v>
      </c>
      <c r="D53" s="3" t="e">
        <f>HLOOKUP(D$9,'SL Sozio Basis'!$C$8:$BZ$56,45,FALSE)</f>
        <v>#N/A</v>
      </c>
    </row>
    <row r="54" spans="1:4" x14ac:dyDescent="0.2">
      <c r="B54" t="str">
        <f>'SL Sozio Basis'!B53</f>
        <v>Sonder-/Minderlasten Sozialhilfe</v>
      </c>
      <c r="C54" s="3">
        <f>HLOOKUP(C$9,'SL Sozio Basis'!$C$8:$BZ$56,46,FALSE)</f>
        <v>7642281.3780774837</v>
      </c>
      <c r="D54" s="3" t="e">
        <f>HLOOKUP(D$9,'SL Sozio Basis'!$C$8:$BZ$56,46,FALSE)</f>
        <v>#N/A</v>
      </c>
    </row>
    <row r="55" spans="1:4" x14ac:dyDescent="0.2">
      <c r="B55" t="str">
        <f>'SL Sozio Basis'!B54</f>
        <v>Sonder-/Minderlasten Stationäre Pflege</v>
      </c>
      <c r="C55" s="3">
        <f>HLOOKUP(C$9,'SL Sozio Basis'!$C$8:$BZ$56,47,FALSE)</f>
        <v>4563466.9101081826</v>
      </c>
      <c r="D55" s="3" t="e">
        <f>HLOOKUP(D$9,'SL Sozio Basis'!$C$8:$BZ$56,47,FALSE)</f>
        <v>#N/A</v>
      </c>
    </row>
    <row r="56" spans="1:4" x14ac:dyDescent="0.2">
      <c r="C56" s="3"/>
      <c r="D56" s="3"/>
    </row>
    <row r="57" spans="1:4" x14ac:dyDescent="0.2">
      <c r="A57" s="38"/>
      <c r="B57" s="38" t="str">
        <f>'SL Sozio Basis'!B56</f>
        <v>Beitrag Soziodemographischer Sonderlastenausgleich</v>
      </c>
      <c r="C57" s="39">
        <f>HLOOKUP(C$9,'SL Sozio Basis'!$C$8:$BZ$56,49,FALSE)</f>
        <v>27275800</v>
      </c>
      <c r="D57" s="39" t="e">
        <f>HLOOKUP(D$9,'SL Sozio Basis'!$C$8:$BZ$56,49,FALSE)</f>
        <v>#N/A</v>
      </c>
    </row>
  </sheetData>
  <sheetProtection algorithmName="SHA-512" hashValue="ik8RGPXnGFlLdzr7LCuc0FEsJ2z2bnNa8PsUXueTPclG8BgdFWgKRIYPBCuO41g0e3WDGx9x6zEaqFcP7GOUjQ==" saltValue="9h1EA7qtzjImn6iCrkeDhg==" spinCount="100000" sheet="1" selectLockedCells="1"/>
  <pageMargins left="0.31496062992125984" right="0.31496062992125984" top="0.59055118110236227" bottom="0.59055118110236227" header="0.31496062992125984" footer="0.31496062992125984"/>
  <pageSetup paperSize="9" scale="90" orientation="portrait" r:id="rId1"/>
  <headerFooter>
    <oddFooter>&amp;C&amp;P von &amp;N&amp;R&amp;D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D19"/>
  <sheetViews>
    <sheetView showGridLines="0" workbookViewId="0">
      <selection activeCell="A50" sqref="A50"/>
    </sheetView>
  </sheetViews>
  <sheetFormatPr baseColWidth="10" defaultRowHeight="12.75" x14ac:dyDescent="0.2"/>
  <cols>
    <col min="1" max="1" width="4.140625" bestFit="1" customWidth="1"/>
    <col min="2" max="2" width="51" bestFit="1" customWidth="1"/>
    <col min="3" max="3" width="22.42578125" customWidth="1"/>
    <col min="4" max="4" width="22.42578125" bestFit="1" customWidth="1"/>
  </cols>
  <sheetData>
    <row r="1" spans="1:4" x14ac:dyDescent="0.2">
      <c r="A1" s="19" t="s">
        <v>193</v>
      </c>
    </row>
    <row r="2" spans="1:4" x14ac:dyDescent="0.2">
      <c r="A2" t="s">
        <v>194</v>
      </c>
    </row>
    <row r="5" spans="1:4" ht="26.25" x14ac:dyDescent="0.4">
      <c r="A5" s="16" t="s">
        <v>362</v>
      </c>
    </row>
    <row r="7" spans="1:4" x14ac:dyDescent="0.2">
      <c r="B7" s="18" t="s">
        <v>202</v>
      </c>
    </row>
    <row r="9" spans="1:4" x14ac:dyDescent="0.2">
      <c r="A9" s="19"/>
      <c r="B9" s="19"/>
      <c r="C9" s="22" t="str">
        <f>Finanzausgleichsbeiträge!B7</f>
        <v>bitte Gemeinde auswählen</v>
      </c>
      <c r="D9" s="22"/>
    </row>
    <row r="11" spans="1:4" ht="15.75" x14ac:dyDescent="0.25">
      <c r="A11" s="20" t="s">
        <v>97</v>
      </c>
      <c r="B11" s="21" t="str">
        <f>'SL Stadt SG Basis'!B10</f>
        <v>Berechnung SL Stadt St.Gallen</v>
      </c>
      <c r="C11" s="5"/>
      <c r="D11" s="40"/>
    </row>
    <row r="12" spans="1:4" x14ac:dyDescent="0.2">
      <c r="B12" s="22"/>
    </row>
    <row r="13" spans="1:4" x14ac:dyDescent="0.2">
      <c r="B13" s="26" t="str">
        <f>'SL Stadt SG Basis'!B12</f>
        <v>Ausgleichsbeitrag gemäss Art. 25 Abs. 1 FAG</v>
      </c>
      <c r="C13" s="3" t="e">
        <f>HLOOKUP(C9,'SL Stadt SG Basis'!C8:C19,5,FALSE)</f>
        <v>#N/A</v>
      </c>
    </row>
    <row r="14" spans="1:4" x14ac:dyDescent="0.2">
      <c r="B14" t="str">
        <f>'SL Stadt SG Basis'!B13</f>
        <v>zusätzlicher Ausgleichsbeitrag gemäss Art. 25 Abs. 2 FAG</v>
      </c>
      <c r="C14" s="3" t="e">
        <f>HLOOKUP(C9,'SL Stadt SG Basis'!C8:C19,6,FALSE)</f>
        <v>#N/A</v>
      </c>
      <c r="D14" s="19"/>
    </row>
    <row r="15" spans="1:4" x14ac:dyDescent="0.2">
      <c r="C15" s="3"/>
    </row>
    <row r="16" spans="1:4" x14ac:dyDescent="0.2">
      <c r="B16" t="str">
        <f>'SL Stadt SG Basis'!B15</f>
        <v>Indexstand Juni 2007 (Basis)</v>
      </c>
      <c r="C16" s="3" t="e">
        <f>HLOOKUP(C9,'SL Stadt SG Basis'!C8:C19,8,FALSE)</f>
        <v>#N/A</v>
      </c>
      <c r="D16" t="s">
        <v>115</v>
      </c>
    </row>
    <row r="17" spans="1:3" x14ac:dyDescent="0.2">
      <c r="B17" t="str">
        <f>'SL Stadt SG Basis'!B16</f>
        <v>Indexstand Juni 2024</v>
      </c>
      <c r="C17" s="10" t="e">
        <f>HLOOKUP(C9,'SL Stadt SG Basis'!C8:C19,9,FALSE)</f>
        <v>#N/A</v>
      </c>
    </row>
    <row r="18" spans="1:3" x14ac:dyDescent="0.2">
      <c r="C18" s="3"/>
    </row>
    <row r="19" spans="1:3" x14ac:dyDescent="0.2">
      <c r="A19" s="133"/>
      <c r="B19" s="38" t="str">
        <f>'SL Stadt SG Basis'!B18</f>
        <v>Beitrag Sonderlastenausgleich Stadt St.Gallen</v>
      </c>
      <c r="C19" s="39" t="e">
        <f>HLOOKUP(C9,'SL Stadt SG Basis'!C8:C19,11,FALSE)</f>
        <v>#N/A</v>
      </c>
    </row>
  </sheetData>
  <sheetProtection algorithmName="SHA-512" hashValue="55DtGHcjDtHAVNZ1UyqxM/hKRE7ZJ4n3NgwBgFgVkyJ7eDlvAhCLPACUUofY0NiqHwBZmuvMkgYveLrCSwGTUA==" saltValue="32tJeFcb03xqK+tVvoRQJw==" spinCount="100000" sheet="1" selectLockedCells="1"/>
  <pageMargins left="0.31496062992125984" right="0.31496062992125984" top="0.59055118110236227" bottom="0.59055118110236227" header="0.31496062992125984" footer="0.31496062992125984"/>
  <pageSetup paperSize="9" scale="90" orientation="portrait" r:id="rId1"/>
  <headerFooter>
    <oddFooter>&amp;C&amp;P von &amp;N&amp;R&amp;D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3</vt:i4>
      </vt:variant>
    </vt:vector>
  </HeadingPairs>
  <TitlesOfParts>
    <vt:vector size="20" baseType="lpstr">
      <vt:lpstr>Anleitung</vt:lpstr>
      <vt:lpstr>Ressourcenausgleich Basis</vt:lpstr>
      <vt:lpstr>SL Weite Basis</vt:lpstr>
      <vt:lpstr>SL Schule Basis</vt:lpstr>
      <vt:lpstr>SL Sozio Basis</vt:lpstr>
      <vt:lpstr>SL Stadt SG Basis</vt:lpstr>
      <vt:lpstr>Total</vt:lpstr>
      <vt:lpstr>Auszahlungen</vt:lpstr>
      <vt:lpstr>Kreditorenbelege</vt:lpstr>
      <vt:lpstr>Kontierungsbelege</vt:lpstr>
      <vt:lpstr>Serienbrief Verfügung</vt:lpstr>
      <vt:lpstr>Finanzausgleichsbeiträge</vt:lpstr>
      <vt:lpstr>Details Ressourcenausgleich</vt:lpstr>
      <vt:lpstr>Details SL Weite</vt:lpstr>
      <vt:lpstr>Details SL Schule</vt:lpstr>
      <vt:lpstr>Details SL Sozio</vt:lpstr>
      <vt:lpstr>Details SL Stadt SG</vt:lpstr>
      <vt:lpstr>Auszahlungen!Druckbereich</vt:lpstr>
      <vt:lpstr>Kontierungsbelege!Druckbereich</vt:lpstr>
      <vt:lpstr>Kreditorenbelege!Druckbereich</vt:lpstr>
    </vt:vector>
  </TitlesOfParts>
  <Company>Kanton St.Gallen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Gemperle, Mario</dc:creator>
  <cp:lastModifiedBy>Gemperle Mario DI-AfGB-Sup</cp:lastModifiedBy>
  <cp:lastPrinted>2025-11-04T14:19:44Z</cp:lastPrinted>
  <dcterms:created xsi:type="dcterms:W3CDTF">2020-07-23T07:04:43Z</dcterms:created>
  <dcterms:modified xsi:type="dcterms:W3CDTF">2026-02-05T14:27:42Z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d30b8-e020-4783-b454-ac0e88601419_Enabled">
    <vt:lpwstr>true</vt:lpwstr>
  </property>
  <property fmtid="{D5CDD505-2E9C-101B-9397-08002B2CF9AE}" pid="3" name="MSIP_Label_b29d30b8-e020-4783-b454-ac0e88601419_SetDate">
    <vt:lpwstr>2024-12-04T14:35:50Z</vt:lpwstr>
  </property>
  <property fmtid="{D5CDD505-2E9C-101B-9397-08002B2CF9AE}" pid="4" name="MSIP_Label_b29d30b8-e020-4783-b454-ac0e88601419_Method">
    <vt:lpwstr>Standard</vt:lpwstr>
  </property>
  <property fmtid="{D5CDD505-2E9C-101B-9397-08002B2CF9AE}" pid="5" name="MSIP_Label_b29d30b8-e020-4783-b454-ac0e88601419_Name">
    <vt:lpwstr>Intern</vt:lpwstr>
  </property>
  <property fmtid="{D5CDD505-2E9C-101B-9397-08002B2CF9AE}" pid="6" name="MSIP_Label_b29d30b8-e020-4783-b454-ac0e88601419_SiteId">
    <vt:lpwstr>9cada478-1b84-4f69-a38a-79dfbc4ee5c8</vt:lpwstr>
  </property>
  <property fmtid="{D5CDD505-2E9C-101B-9397-08002B2CF9AE}" pid="7" name="MSIP_Label_b29d30b8-e020-4783-b454-ac0e88601419_ActionId">
    <vt:lpwstr>cb2f391b-4226-407f-96a0-655339cb9db1</vt:lpwstr>
  </property>
  <property fmtid="{D5CDD505-2E9C-101B-9397-08002B2CF9AE}" pid="8" name="MSIP_Label_b29d30b8-e020-4783-b454-ac0e88601419_ContentBits">
    <vt:lpwstr>0</vt:lpwstr>
  </property>
</Properties>
</file>