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1_Q1_Rechtsordnung" sheetId="2" state="visible" r:id="rId2"/>
    <sheet xmlns:r="http://schemas.openxmlformats.org/officeDocument/2006/relationships" name="2_Q2_Landschaft" sheetId="3" state="visible" r:id="rId3"/>
    <sheet xmlns:r="http://schemas.openxmlformats.org/officeDocument/2006/relationships" name="3_Q3_Klima_Energie" sheetId="4" state="visible" r:id="rId4"/>
    <sheet xmlns:r="http://schemas.openxmlformats.org/officeDocument/2006/relationships" name="4_Q4_Resilienz" sheetId="5" state="visible" r:id="rId5"/>
    <sheet xmlns:r="http://schemas.openxmlformats.org/officeDocument/2006/relationships" name="5_Q5_Ortsbild" sheetId="6" state="visible" r:id="rId6"/>
    <sheet xmlns:r="http://schemas.openxmlformats.org/officeDocument/2006/relationships" name="6_Q6_Bestellung" sheetId="7" state="visible" r:id="rId7"/>
    <sheet xmlns:r="http://schemas.openxmlformats.org/officeDocument/2006/relationships" name="7_GIS_Layers" sheetId="8" state="visible" r:id="rId8"/>
    <sheet xmlns:r="http://schemas.openxmlformats.org/officeDocument/2006/relationships" name="8_Hinweise_Kataster" sheetId="9" state="visible" r:id="rId9"/>
    <sheet xmlns:r="http://schemas.openxmlformats.org/officeDocument/2006/relationships" name="9_Linkpruefung" sheetId="10" state="visible" r:id="rId10"/>
  </sheets>
  <definedNames>
    <definedName name="_xlnm._FilterDatabase" localSheetId="1" hidden="1">'1_Q1_Rechtsordnung'!$A$5:$P$95</definedName>
    <definedName name="_xlnm.Print_Titles" localSheetId="1">'1_Q1_Rechtsordnung'!$5:$5</definedName>
    <definedName name="_xlnm._FilterDatabase" localSheetId="2" hidden="1">'2_Q2_Landschaft'!$A$5:$P$36</definedName>
    <definedName name="_xlnm.Print_Titles" localSheetId="2">'2_Q2_Landschaft'!$5:$5</definedName>
    <definedName name="_xlnm._FilterDatabase" localSheetId="3" hidden="1">'3_Q3_Klima_Energie'!$A$5:$P$32</definedName>
    <definedName name="_xlnm.Print_Titles" localSheetId="3">'3_Q3_Klima_Energie'!$5:$5</definedName>
    <definedName name="_xlnm._FilterDatabase" localSheetId="4" hidden="1">'4_Q4_Resilienz'!$A$5:$P$34</definedName>
    <definedName name="_xlnm.Print_Titles" localSheetId="4">'4_Q4_Resilienz'!$5:$5</definedName>
    <definedName name="_xlnm._FilterDatabase" localSheetId="5" hidden="1">'5_Q5_Ortsbild'!$A$5:$P$31</definedName>
    <definedName name="_xlnm.Print_Titles" localSheetId="5">'5_Q5_Ortsbild'!$5:$5</definedName>
    <definedName name="_xlnm._FilterDatabase" localSheetId="6" hidden="1">'6_Q6_Bestellung'!$A$5:$P$36</definedName>
    <definedName name="_xlnm.Print_Titles" localSheetId="6">'6_Q6_Bestellung'!$5:$5</definedName>
    <definedName name="_xlnm._FilterDatabase" localSheetId="7" hidden="1">'7_GIS_Layers'!$A$4:$M$43</definedName>
    <definedName name="_xlnm._FilterDatabase" localSheetId="9" hidden="1">'9_Linkpruefung'!$A$4:$J$310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DD.MM.YYYY"/>
  </numFmts>
  <fonts count="20">
    <font>
      <name val="Calibri"/>
      <charset val="1"/>
      <family val="2"/>
      <color theme="1"/>
      <sz val="11"/>
    </font>
    <font>
      <name val="Arial"/>
      <charset val="1"/>
      <b val="1"/>
      <color rgb="FF1F3A4D"/>
      <sz val="16"/>
    </font>
    <font>
      <name val="Arial"/>
      <charset val="1"/>
      <i val="1"/>
      <color rgb="FF595959"/>
      <sz val="9"/>
    </font>
    <font>
      <name val="Arial"/>
      <charset val="1"/>
      <b val="1"/>
      <color rgb="FF1F3A4D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i val="1"/>
      <color rgb="FF595959"/>
      <sz val="8"/>
    </font>
    <font>
      <name val="Arial"/>
      <charset val="1"/>
      <b val="1"/>
      <color rgb="FF1F3A4D"/>
      <sz val="14"/>
    </font>
    <font>
      <name val="Arial"/>
      <charset val="1"/>
      <color rgb="FF595959"/>
      <sz val="9"/>
    </font>
    <font>
      <name val="Arial"/>
      <charset val="1"/>
      <b val="1"/>
      <color rgb="FF1F3A4D"/>
      <sz val="10"/>
    </font>
    <font>
      <name val="Arial"/>
      <charset val="1"/>
      <b val="1"/>
      <color rgb="FF000000"/>
      <sz val="9"/>
    </font>
    <font>
      <name val="Arial"/>
      <charset val="1"/>
      <color rgb="FF0563C1"/>
      <sz val="9"/>
      <u val="single"/>
    </font>
    <font>
      <name val="Arial"/>
      <charset val="1"/>
      <color rgb="FF808080"/>
      <sz val="9"/>
    </font>
    <font>
      <name val="Calibri"/>
      <color rgb="FF0563C1"/>
      <sz val="11"/>
      <u val="single"/>
    </font>
    <font>
      <name val="Calibri"/>
      <b val="1"/>
      <sz val="11"/>
    </font>
    <font>
      <name val="Calibri"/>
      <charset val="1"/>
      <family val="2"/>
      <color theme="10"/>
      <sz val="11"/>
      <u val="single"/>
    </font>
    <font>
      <name val="Arial"/>
      <color rgb="FFFF0000"/>
      <sz val="9"/>
    </font>
  </fonts>
  <fills count="15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2E8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F8CBAD"/>
      </patternFill>
    </fill>
    <fill>
      <patternFill patternType="solid">
        <fgColor rgb="FFEDEDED"/>
        <bgColor rgb="FFE2EFDA"/>
      </patternFill>
    </fill>
    <fill>
      <patternFill patternType="solid">
        <fgColor rgb="FFD9E2E8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4B18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9" fillId="0" borderId="0" pivotButton="0" quotePrefix="0" xfId="0"/>
    <xf numFmtId="0" fontId="7" fillId="3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1" pivotButton="0" quotePrefix="0" xfId="0"/>
    <xf numFmtId="0" fontId="0" fillId="9" borderId="1" pivotButton="0" quotePrefix="0" xfId="0"/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 indent="1"/>
    </xf>
    <xf numFmtId="0" fontId="13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/>
    </xf>
    <xf numFmtId="0" fontId="8" fillId="10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6" fillId="2" borderId="1" pivotButton="0" quotePrefix="0" xfId="0"/>
    <xf numFmtId="0" fontId="8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8" fillId="12" borderId="1" applyAlignment="1" pivotButton="0" quotePrefix="0" xfId="0">
      <alignment horizontal="center" vertical="top" wrapText="1"/>
    </xf>
    <xf numFmtId="0" fontId="16" fillId="13" borderId="1" applyAlignment="1" pivotButton="0" quotePrefix="0" xfId="0">
      <alignment vertical="top"/>
    </xf>
    <xf numFmtId="0" fontId="8" fillId="13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center" vertical="top" wrapText="1"/>
    </xf>
    <xf numFmtId="0" fontId="16" fillId="13" borderId="1" applyAlignment="1" pivotButton="0" quotePrefix="0" xfId="0">
      <alignment horizontal="center" vertical="top" wrapText="1"/>
    </xf>
    <xf numFmtId="0" fontId="17" fillId="0" borderId="0" pivotButton="0" quotePrefix="0" xfId="0"/>
    <xf numFmtId="0" fontId="0" fillId="13" borderId="0" pivotButton="0" quotePrefix="0" xfId="0"/>
    <xf numFmtId="0" fontId="16" fillId="0" borderId="0" pivotButton="0" quotePrefix="0" xfId="0"/>
    <xf numFmtId="0" fontId="0" fillId="14" borderId="0" pivotButton="0" quotePrefix="0" xfId="0"/>
    <xf numFmtId="0" fontId="0" fillId="12" borderId="0" pivotButton="0" quotePrefix="0" xfId="0"/>
    <xf numFmtId="0" fontId="18" fillId="0" borderId="1" applyAlignment="1" pivotButton="0" quotePrefix="0" xfId="1">
      <alignment vertical="top"/>
    </xf>
    <xf numFmtId="14" fontId="8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 indent="1"/>
    </xf>
    <xf numFmtId="0" fontId="16" fillId="0" borderId="1" applyAlignment="1" pivotButton="0" quotePrefix="0" xfId="0">
      <alignment vertical="top"/>
    </xf>
    <xf numFmtId="0" fontId="13" fillId="12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left" vertical="top" wrapText="1"/>
    </xf>
  </cellXfs>
  <cellStyles count="2">
    <cellStyle name="Standard" xfId="0" builtinId="0"/>
    <cellStyle name="Hyperlink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edlex.admin.ch/eli/cc/1999/404/de" TargetMode="External" Id="rId1"/><Relationship Type="http://schemas.openxmlformats.org/officeDocument/2006/relationships/hyperlink" Target="https://www.fedlex.admin.ch/eli/cc/1979/1573_1573_1573/de" TargetMode="External" Id="rId2"/><Relationship Type="http://schemas.openxmlformats.org/officeDocument/2006/relationships/hyperlink" Target="https://www.fedlex.admin.ch/eli/cc/2000/310/de" TargetMode="External" Id="rId3"/><Relationship Type="http://schemas.openxmlformats.org/officeDocument/2006/relationships/hyperlink" Target="https://www.fedlex.admin.ch/eli/cc/2015/886/de" TargetMode="External" Id="rId4"/><Relationship Type="http://schemas.openxmlformats.org/officeDocument/2006/relationships/hyperlink" Target="https://www.fedlex.admin.ch/eli/cc/2015/887/de" TargetMode="External" Id="rId5"/><Relationship Type="http://schemas.openxmlformats.org/officeDocument/2006/relationships/hyperlink" Target="https://www.fedlex.admin.ch/eli/cc/1966/1637_1694_1679/de" TargetMode="External" Id="rId6"/><Relationship Type="http://schemas.openxmlformats.org/officeDocument/2006/relationships/hyperlink" Target="https://www.fedlex.admin.ch/eli/cc/1991/249_249_249/de" TargetMode="External" Id="rId7"/><Relationship Type="http://schemas.openxmlformats.org/officeDocument/2006/relationships/hyperlink" Target="https://www.fedlex.admin.ch/eli/cc/2017/290/de" TargetMode="External" Id="rId8"/><Relationship Type="http://schemas.openxmlformats.org/officeDocument/2006/relationships/hyperlink" Target="https://www.fedlex.admin.ch/eli/cc/2019/673/de" TargetMode="External" Id="rId9"/><Relationship Type="http://schemas.openxmlformats.org/officeDocument/2006/relationships/hyperlink" Target="https://www.fedlex.admin.ch/eli/cc/2010/227/de" TargetMode="External" Id="rId10"/><Relationship Type="http://schemas.openxmlformats.org/officeDocument/2006/relationships/hyperlink" Target="https://www.fedlex.admin.ch/eli/cc/1992/2080_2080_2080/de" TargetMode="External" Id="rId11"/><Relationship Type="http://schemas.openxmlformats.org/officeDocument/2006/relationships/hyperlink" Target="https://www.fedlex.admin.ch/eli/cc/1991/270_270_270/de" TargetMode="External" Id="rId12"/><Relationship Type="http://schemas.openxmlformats.org/officeDocument/2006/relationships/hyperlink" Target="https://www.fedlex.admin.ch/eli/cc/1994/2092_2092_2092/de" TargetMode="External" Id="rId13"/><Relationship Type="http://schemas.openxmlformats.org/officeDocument/2006/relationships/hyperlink" Target="https://www.fedlex.admin.ch/eli/cc/2001/328/de" TargetMode="External" Id="rId14"/><Relationship Type="http://schemas.openxmlformats.org/officeDocument/2006/relationships/hyperlink" Target="https://www.fedlex.admin.ch/eli/cc/1996/1839_1839_1839/de" TargetMode="External" Id="rId15"/><Relationship Type="http://schemas.openxmlformats.org/officeDocument/2006/relationships/hyperlink" Target="https://www.fedlex.admin.ch/eli/cc/2007/743/de" TargetMode="External" Id="rId16"/><Relationship Type="http://schemas.openxmlformats.org/officeDocument/2006/relationships/hyperlink" Target="https://www.fedlex.admin.ch/eli/cc/2010/38/de" TargetMode="External" Id="rId17"/><Relationship Type="http://schemas.openxmlformats.org/officeDocument/2006/relationships/hyperlink" Target="https://www.fedlex.admin.ch/eli/cc/1992/1860_1860_1860/de" TargetMode="External" Id="rId18"/><Relationship Type="http://schemas.openxmlformats.org/officeDocument/2006/relationships/hyperlink" Target="https://www.fedlex.admin.ch/eli/cc/1998/2863_2863_2863/de" TargetMode="External" Id="rId19"/><Relationship Type="http://schemas.openxmlformats.org/officeDocument/2006/relationships/hyperlink" Target="https://www.fedlex.admin.ch/eli/cc/1992/2521_2521_2521/de" TargetMode="External" Id="rId20"/><Relationship Type="http://schemas.openxmlformats.org/officeDocument/2006/relationships/hyperlink" Target="https://www.fedlex.admin.ch/eli/cc/1992/2538_2538_2538/de" TargetMode="External" Id="rId21"/><Relationship Type="http://schemas.openxmlformats.org/officeDocument/2006/relationships/hyperlink" Target="https://www.fedlex.admin.ch/eli/cc/1988/506_506_506/de" TargetMode="External" Id="rId22"/><Relationship Type="http://schemas.openxmlformats.org/officeDocument/2006/relationships/hyperlink" Target="https://www.fedlex.admin.ch/eli/cc/1991/2259_2259_2259/de" TargetMode="External" Id="rId23"/><Relationship Type="http://schemas.openxmlformats.org/officeDocument/2006/relationships/hyperlink" Target="https://www.fedlex.admin.ch/eli/cc/1984/1122_1122_1122/de" TargetMode="External" Id="rId24"/><Relationship Type="http://schemas.openxmlformats.org/officeDocument/2006/relationships/hyperlink" Target="https://www.fedlex.admin.ch/eli/cc/2017/762/de" TargetMode="External" Id="rId25"/><Relationship Type="http://schemas.openxmlformats.org/officeDocument/2006/relationships/hyperlink" Target="https://www.fedlex.admin.ch/eli/cc/2017/763/de" TargetMode="External" Id="rId26"/><Relationship Type="http://schemas.openxmlformats.org/officeDocument/2006/relationships/hyperlink" Target="https://www.fedlex.admin.ch/eli/cc/2012/855/de" TargetMode="External" Id="rId27"/><Relationship Type="http://schemas.openxmlformats.org/officeDocument/2006/relationships/hyperlink" Target="https://www.fedlex.admin.ch/eli/cc/2012/856/de" TargetMode="External" Id="rId28"/><Relationship Type="http://schemas.openxmlformats.org/officeDocument/2006/relationships/hyperlink" Target="https://www.fedlex.admin.ch/eli/cc/2023/655/de" TargetMode="External" Id="rId29"/><Relationship Type="http://schemas.openxmlformats.org/officeDocument/2006/relationships/hyperlink" Target="https://www.fedlex.admin.ch/eli/oc/2024/679/de" TargetMode="External" Id="rId30"/><Relationship Type="http://schemas.openxmlformats.org/officeDocument/2006/relationships/hyperlink" Target="https://www.fedlex.admin.ch/eli/cc/1993/234_234_234/de" TargetMode="External" Id="rId31"/><Relationship Type="http://schemas.openxmlformats.org/officeDocument/2006/relationships/hyperlink" Target="https://www.fedlex.admin.ch/eli/cc/2025/450/de" TargetMode="External" Id="rId32"/><Relationship Type="http://schemas.openxmlformats.org/officeDocument/2006/relationships/hyperlink" Target="https://www.fedlex.admin.ch/eli/cc/1996/1738_1738_1738/de" TargetMode="External" Id="rId33"/><Relationship Type="http://schemas.openxmlformats.org/officeDocument/2006/relationships/hyperlink" Target="https://www.fedlex.admin.ch/eli/cc/2020/126/de" TargetMode="External" Id="rId34"/><Relationship Type="http://schemas.openxmlformats.org/officeDocument/2006/relationships/hyperlink" Target="https://www.fedlex.admin.ch/eli/cc/1987/338_338_338/de" TargetMode="External" Id="rId35"/><Relationship Type="http://schemas.openxmlformats.org/officeDocument/2006/relationships/hyperlink" Target="https://www.fedlex.admin.ch/eli/cc/1986/208_208_208/de" TargetMode="External" Id="rId36"/><Relationship Type="http://schemas.openxmlformats.org/officeDocument/2006/relationships/hyperlink" Target="https://www.fedlex.admin.ch/eli/cc/1991/748_748_748/de" TargetMode="External" Id="rId37"/><Relationship Type="http://schemas.openxmlformats.org/officeDocument/2006/relationships/hyperlink" Target="https://www.fedlex.admin.ch/eli/cc/1988/1931_1931_1931/de" TargetMode="External" Id="rId38"/><Relationship Type="http://schemas.openxmlformats.org/officeDocument/2006/relationships/hyperlink" Target="https://www.fedlex.admin.ch/eli/cc/1998/2261_2261_2261/de" TargetMode="External" Id="rId39"/><Relationship Type="http://schemas.openxmlformats.org/officeDocument/2006/relationships/hyperlink" Target="https://www.fedlex.admin.ch/eli/cc/2015/891/de" TargetMode="External" Id="rId40"/><Relationship Type="http://schemas.openxmlformats.org/officeDocument/2006/relationships/hyperlink" Target="https://www.bpuk.ch/bpuk/konkordate/ivoeb/ivoeb-2019" TargetMode="External" Id="rId41"/><Relationship Type="http://schemas.openxmlformats.org/officeDocument/2006/relationships/hyperlink" Target="https://bl.clex.ch/app/de/texts_of_law/400" TargetMode="External" Id="rId42"/><Relationship Type="http://schemas.openxmlformats.org/officeDocument/2006/relationships/hyperlink" Target="https://bl-api.webcloud7.ch/politik-und-behorden/direktionen/bau-und-umweltschutzdirektion/raumplanung/raumplanung/richtplanung/downloads-richtplanung/objektblatter.pdf?_t=1786003350618" TargetMode="External" Id="rId43"/><Relationship Type="http://schemas.openxmlformats.org/officeDocument/2006/relationships/hyperlink" Target="https://bl.clex.ch/app/de/texts_of_law/490" TargetMode="External" Id="rId44"/><Relationship Type="http://schemas.openxmlformats.org/officeDocument/2006/relationships/hyperlink" Target="https://bl.clex.ch/app/de/texts_of_law/420.11" TargetMode="External" Id="rId45"/><Relationship Type="http://schemas.openxmlformats.org/officeDocument/2006/relationships/hyperlink" Target="https://bl.clex.ch/app/de/texts_of_law/790" TargetMode="External" Id="rId46"/><Relationship Type="http://schemas.openxmlformats.org/officeDocument/2006/relationships/hyperlink" Target="https://bl.clex.ch/app/de/texts_of_law/791" TargetMode="External" Id="rId47"/><Relationship Type="http://schemas.openxmlformats.org/officeDocument/2006/relationships/hyperlink" Target="https://bl.clex.ch/app/de/texts_of_law/445" TargetMode="External" Id="rId48"/><Relationship Type="http://schemas.openxmlformats.org/officeDocument/2006/relationships/hyperlink" Target="https://www.gesetzessammlung.sg.ch/app/de/texts_of_law/731.1" TargetMode="External" Id="rId49"/><Relationship Type="http://schemas.openxmlformats.org/officeDocument/2006/relationships/hyperlink" Target="https://www.sg.ch/bauen/raumentwicklung/kantonaleplanung/richtplanung.html" TargetMode="External" Id="rId50"/><Relationship Type="http://schemas.openxmlformats.org/officeDocument/2006/relationships/hyperlink" Target="https://www.gesetzessammlung.sg.ch/app/de/texts_of_law/741.1" TargetMode="External" Id="rId51"/><Relationship Type="http://schemas.openxmlformats.org/officeDocument/2006/relationships/hyperlink" Target="https://www.gesetzessammlung.sg.ch/app/de/texts_of_law/734.1" TargetMode="External" Id="rId52"/><Relationship Type="http://schemas.openxmlformats.org/officeDocument/2006/relationships/hyperlink" Target="https://www.gesetzessammlung.sg.ch/app/de/texts_of_law/841.1" TargetMode="External" Id="rId53"/><Relationship Type="http://schemas.openxmlformats.org/officeDocument/2006/relationships/hyperlink" Target="https://www.gesetzessammlung.sg.ch/app/de/texts_of_law/671.1" TargetMode="External" Id="rId54"/><Relationship Type="http://schemas.openxmlformats.org/officeDocument/2006/relationships/hyperlink" Target="https://www.gesetzessammlung.sg.ch/app/de/texts_of_law/271.53" TargetMode="External" Id="rId55"/><Relationship Type="http://schemas.openxmlformats.org/officeDocument/2006/relationships/hyperlink" Target="https://www.gesetzessammlung.sg.ch/app/de/texts_of_law/841.51" TargetMode="External" Id="rId56"/><Relationship Type="http://schemas.openxmlformats.org/officeDocument/2006/relationships/hyperlink" Target="https://www.gesetzessammlung.sg.ch/app/de/texts_of_law/841.1" TargetMode="External" Id="rId57"/><Relationship Type="http://schemas.openxmlformats.org/officeDocument/2006/relationships/hyperlink" Target="https://rechtsbuch.ur.ch/app/de/texts_of_law/40.1111" TargetMode="External" Id="rId58"/><Relationship Type="http://schemas.openxmlformats.org/officeDocument/2006/relationships/hyperlink" Target="https://www.ur.ch/_docn/375874/Richtplantext_240122.pdf" TargetMode="External" Id="rId59"/><Relationship Type="http://schemas.openxmlformats.org/officeDocument/2006/relationships/hyperlink" Target="https://rechtsbuch.ur.ch/app/de/texts_of_law/10.5101" TargetMode="External" Id="rId60"/><Relationship Type="http://schemas.openxmlformats.org/officeDocument/2006/relationships/hyperlink" Target="https://rechtsbuch.ur.ch/app/de/texts_of_law/40.7211" TargetMode="External" Id="rId61"/><Relationship Type="http://schemas.openxmlformats.org/officeDocument/2006/relationships/hyperlink" Target="https://rechtsbuch.ur.ch/app/de/texts_of_law/40.1211" TargetMode="External" Id="rId62"/><Relationship Type="http://schemas.openxmlformats.org/officeDocument/2006/relationships/hyperlink" Target="https://rechtsbuch.ur.ch/app/de/texts_of_law/3.3111" TargetMode="External" Id="rId63"/><Relationship Type="http://schemas.openxmlformats.org/officeDocument/2006/relationships/hyperlink" Target="https://rechtsbuch.ur.ch/app/de/texts_of_law/3.3115" TargetMode="External" Id="rId64"/><Relationship Type="http://schemas.openxmlformats.org/officeDocument/2006/relationships/hyperlink" Target="https://oereblex.bl.ch/api/attachments/22718" TargetMode="External" Id="rId65"/><Relationship Type="http://schemas.openxmlformats.org/officeDocument/2006/relationships/hyperlink" Target="https://oereblex.bl.ch/api/attachments/22718" TargetMode="External" Id="rId66"/><Relationship Type="http://schemas.openxmlformats.org/officeDocument/2006/relationships/hyperlink" Target="https://oereblex.bl.ch/api/attachments/22718" TargetMode="External" Id="rId67"/><Relationship Type="http://schemas.openxmlformats.org/officeDocument/2006/relationships/hyperlink" Target="https://www.muenchenstein.ch/_docn/5130739/TR_5.4_Abwasserreglement_vom_28._Oktober_2020_-_Stand_07.01.2021.pdf" TargetMode="External" Id="rId68"/><Relationship Type="http://schemas.openxmlformats.org/officeDocument/2006/relationships/hyperlink" Target="https://oereblex.bl.ch/api/attachments/22718" TargetMode="External" Id="rId69"/><Relationship Type="http://schemas.openxmlformats.org/officeDocument/2006/relationships/hyperlink" Target="https://www.muenchenstein.ch/_docn/2430218/20180713_Gemeindeordnung_Stand_01.01.2013_publiziert_sw.pdf" TargetMode="External" Id="rId70"/><Relationship Type="http://schemas.openxmlformats.org/officeDocument/2006/relationships/hyperlink" Target="https://www.geoportal.ch/wil_sg/map/101?y=2719905.16&amp;x=1258486.88&amp;scale=25000&amp;rotation=0" TargetMode="External" Id="rId71"/><Relationship Type="http://schemas.openxmlformats.org/officeDocument/2006/relationships/hyperlink" Target="https://wil-sg.tlex.ch/app/de/texts_of_law/7.1-1" TargetMode="External" Id="rId72"/><Relationship Type="http://schemas.openxmlformats.org/officeDocument/2006/relationships/hyperlink" Target="https://cms.e-mitwirkung.ch/media/wil/Reglement_221013.pdf" TargetMode="External" Id="rId73"/><Relationship Type="http://schemas.openxmlformats.org/officeDocument/2006/relationships/hyperlink" Target="https://wil-sg.tlex.ch/app/de/texts_of_law/7.1-1" TargetMode="External" Id="rId74"/><Relationship Type="http://schemas.openxmlformats.org/officeDocument/2006/relationships/hyperlink" Target="https://wil-sg.tlex.ch/app/de/texts_of_law/7.4.3-6" TargetMode="External" Id="rId75"/><Relationship Type="http://schemas.openxmlformats.org/officeDocument/2006/relationships/hyperlink" Target="https://wil-sg.tlex.ch/app/de/texts_of_law/1.6-4" TargetMode="External" Id="rId76"/><Relationship Type="http://schemas.openxmlformats.org/officeDocument/2006/relationships/hyperlink" Target="https://www.seelisberg.ch/files/pdf/Bau-und-Zonenordnung-Seelisberg.pdf" TargetMode="External" Id="rId77"/><Relationship Type="http://schemas.openxmlformats.org/officeDocument/2006/relationships/hyperlink" Target="https://geo.ur.ch/" TargetMode="External" Id="rId78"/><Relationship Type="http://schemas.openxmlformats.org/officeDocument/2006/relationships/hyperlink" Target="https://www.ur.ch/_docn/385540/Inventarliste_Seelisberg_Website.pdf" TargetMode="External" Id="rId79"/><Relationship Type="http://schemas.openxmlformats.org/officeDocument/2006/relationships/hyperlink" Target="https://www.seelisberg.ch/files/pdf/Verordnung_&#252;ber_die_Wasserversorgung.pdf" TargetMode="External" Id="rId80"/><Relationship Type="http://schemas.openxmlformats.org/officeDocument/2006/relationships/hyperlink" Target="https://www.seelisberg.ch/files/pdf/Bau-und-Zonenordnung-Seelisberg.pdf" TargetMode="External" Id="rId81"/><Relationship Type="http://schemas.openxmlformats.org/officeDocument/2006/relationships/hyperlink" Target="https://www.seelisberg.ch/files/pdf/Gemeindeordnung.pdf" TargetMode="External" Id="rId82"/></Relationships>
</file>

<file path=xl/worksheets/_rels/sheet3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1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2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3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4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5"/><Relationship Type="http://schemas.openxmlformats.org/officeDocument/2006/relationships/hyperlink" Target="https://www.are.admin.ch/" TargetMode="External" Id="rId6"/><Relationship Type="http://schemas.openxmlformats.org/officeDocument/2006/relationships/hyperlink" Target="https://www.bafu.admin.ch/" TargetMode="External" Id="rId7"/><Relationship Type="http://schemas.openxmlformats.org/officeDocument/2006/relationships/hyperlink" Target="https://map.geo.admin.ch" TargetMode="External" Id="rId8"/><Relationship Type="http://schemas.openxmlformats.org/officeDocument/2006/relationships/hyperlink" Target="https://www.are.admin.ch/" TargetMode="External" Id="rId9"/><Relationship Type="http://schemas.openxmlformats.org/officeDocument/2006/relationships/hyperlink" Target="https://arp-daten.bl.ch/" TargetMode="External" Id="rId10"/><Relationship Type="http://schemas.openxmlformats.org/officeDocument/2006/relationships/hyperlink" Target="https://geoview.bl.ch/" TargetMode="External" Id="rId11"/><Relationship Type="http://schemas.openxmlformats.org/officeDocument/2006/relationships/hyperlink" Target="https://www.geoportal.ch/ktsg" TargetMode="External" Id="rId12"/><Relationship Type="http://schemas.openxmlformats.org/officeDocument/2006/relationships/hyperlink" Target="https://www.geoportal.ch/ktsg" TargetMode="External" Id="rId13"/><Relationship Type="http://schemas.openxmlformats.org/officeDocument/2006/relationships/hyperlink" Target="https://geo.ur.ch/" TargetMode="External" Id="rId14"/><Relationship Type="http://schemas.openxmlformats.org/officeDocument/2006/relationships/hyperlink" Target="https://geo.ur.ch/" TargetMode="External" Id="rId15"/><Relationship Type="http://schemas.openxmlformats.org/officeDocument/2006/relationships/hyperlink" Target="https://oereblex.bl.ch/api/attachments/22718" TargetMode="External" Id="rId16"/><Relationship Type="http://schemas.openxmlformats.org/officeDocument/2006/relationships/hyperlink" Target="https://www.geoportal.ch/muenchenstein" TargetMode="External" Id="rId17"/><Relationship Type="http://schemas.openxmlformats.org/officeDocument/2006/relationships/hyperlink" Target="https://cms.e-mitwirkung.ch/media/wil/Reglement_221013.pdf" TargetMode="External" Id="rId18"/><Relationship Type="http://schemas.openxmlformats.org/officeDocument/2006/relationships/hyperlink" Target="https://www.geoportal.ch/wil_sg" TargetMode="External" Id="rId19"/><Relationship Type="http://schemas.openxmlformats.org/officeDocument/2006/relationships/hyperlink" Target="https://www.ur.ch/_docn/385540/Inventarliste_Seelisberg_Website.pdf" TargetMode="External" Id="rId20"/><Relationship Type="http://schemas.openxmlformats.org/officeDocument/2006/relationships/hyperlink" Target="https://www.seelisberg.ch/files/pdf/Bau-und-Zonenordnung-Seelisberg.pdf" TargetMode="External" Id="rId21"/><Relationship Type="http://schemas.openxmlformats.org/officeDocument/2006/relationships/hyperlink" Target="https://www.fedlex.admin.ch/" TargetMode="External" Id="rId22"/><Relationship Type="http://schemas.openxmlformats.org/officeDocument/2006/relationships/hyperlink" Target="https://www.fedlex.admin.ch/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fu.admin.ch/" TargetMode="External" Id="rId1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2"/><Relationship Type="http://schemas.openxmlformats.org/officeDocument/2006/relationships/hyperlink" Target="https://map.geo.admin.ch" TargetMode="External" Id="rId3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4"/><Relationship Type="http://schemas.openxmlformats.org/officeDocument/2006/relationships/hyperlink" Target="https://www.bafu.admin.ch/" TargetMode="External" Id="rId5"/><Relationship Type="http://schemas.openxmlformats.org/officeDocument/2006/relationships/hyperlink" Target="https://www.sia.ch/" TargetMode="External" Id="rId6"/><Relationship Type="http://schemas.openxmlformats.org/officeDocument/2006/relationships/hyperlink" Target="https://bl.clex.ch/app/de/texts_of_law/490" TargetMode="External" Id="rId7"/><Relationship Type="http://schemas.openxmlformats.org/officeDocument/2006/relationships/hyperlink" Target="https://geoview.bl.ch/" TargetMode="External" Id="rId8"/><Relationship Type="http://schemas.openxmlformats.org/officeDocument/2006/relationships/hyperlink" Target="https://www.gesetzessammlung.sg.ch/app/de/texts_of_law/741.1" TargetMode="External" Id="rId9"/><Relationship Type="http://schemas.openxmlformats.org/officeDocument/2006/relationships/hyperlink" Target="https://www.geoportal.ch/ktsg" TargetMode="External" Id="rId10"/><Relationship Type="http://schemas.openxmlformats.org/officeDocument/2006/relationships/hyperlink" Target="https://rechtsbuch.ur.ch/app/de/texts_of_law/40.7211" TargetMode="External" Id="rId11"/><Relationship Type="http://schemas.openxmlformats.org/officeDocument/2006/relationships/hyperlink" Target="https://www.ur.ch/" TargetMode="External" Id="rId12"/><Relationship Type="http://schemas.openxmlformats.org/officeDocument/2006/relationships/hyperlink" Target="https://oereblex.bl.ch/api/attachments/22718" TargetMode="External" Id="rId13"/><Relationship Type="http://schemas.openxmlformats.org/officeDocument/2006/relationships/hyperlink" Target="https://www.muenchenstein.ch/" TargetMode="External" Id="rId14"/><Relationship Type="http://schemas.openxmlformats.org/officeDocument/2006/relationships/hyperlink" Target="https://www.stadtwil.ch/storage/0c6b26d62a364629241b9c9e4535a6b58c82d46aeb166b034ae96c29862a1331" TargetMode="External" Id="rId15"/><Relationship Type="http://schemas.openxmlformats.org/officeDocument/2006/relationships/hyperlink" Target="https://wil-sg.tlex.ch/app/de/texts_of_law/7.1-1" TargetMode="External" Id="rId16"/><Relationship Type="http://schemas.openxmlformats.org/officeDocument/2006/relationships/hyperlink" Target="https://www.stadtwil.ch/" TargetMode="External" Id="rId17"/><Relationship Type="http://schemas.openxmlformats.org/officeDocument/2006/relationships/hyperlink" Target="https://www.fedlex.admin.ch/" TargetMode="External" Id="rId18"/><Relationship Type="http://schemas.openxmlformats.org/officeDocument/2006/relationships/hyperlink" Target="https://www.fedlex.admin.ch/" TargetMode="Externa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o.admin.ch/" TargetMode="External" Id="rId1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2"/><Relationship Type="http://schemas.openxmlformats.org/officeDocument/2006/relationships/hyperlink" Target="https://www.bafu.admin.ch/" TargetMode="External" Id="rId3"/><Relationship Type="http://schemas.openxmlformats.org/officeDocument/2006/relationships/hyperlink" Target="https://www.bafu.admin.ch/" TargetMode="External" Id="rId4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5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6"/><Relationship Type="http://schemas.openxmlformats.org/officeDocument/2006/relationships/hyperlink" Target="https://geoview.bl.ch/" TargetMode="External" Id="rId7"/><Relationship Type="http://schemas.openxmlformats.org/officeDocument/2006/relationships/hyperlink" Target="https://geoview.bl.ch/" TargetMode="External" Id="rId8"/><Relationship Type="http://schemas.openxmlformats.org/officeDocument/2006/relationships/hyperlink" Target="https://www.geoportal.ch/ktsg/map/3502?y=2721138&amp;x=1258009&amp;scale=50000&amp;rotation=0" TargetMode="External" Id="rId9"/><Relationship Type="http://schemas.openxmlformats.org/officeDocument/2006/relationships/hyperlink" Target="https://www.geoportal.ch/ktsg" TargetMode="External" Id="rId10"/><Relationship Type="http://schemas.openxmlformats.org/officeDocument/2006/relationships/hyperlink" Target="https://geo.ur.ch/" TargetMode="External" Id="rId11"/><Relationship Type="http://schemas.openxmlformats.org/officeDocument/2006/relationships/hyperlink" Target="https://geo.ur.ch/" TargetMode="External" Id="rId12"/><Relationship Type="http://schemas.openxmlformats.org/officeDocument/2006/relationships/hyperlink" Target="https://www.muenchenstein.ch/_docn/5130739/TR_5.4_Abwasserreglement_vom_28._Oktober_2020_-_Stand_07.01.2021.pdf" TargetMode="External" Id="rId13"/><Relationship Type="http://schemas.openxmlformats.org/officeDocument/2006/relationships/hyperlink" Target="https://www.geoportal.ch/muenchenstein/map/1037?y=2611563.50&amp;x=1263436.40&amp;scale=25000&amp;rotation=0" TargetMode="External" Id="rId14"/><Relationship Type="http://schemas.openxmlformats.org/officeDocument/2006/relationships/hyperlink" Target="https://wil-sg.tlex.ch/app/de/texts_of_law/7.4.3-6" TargetMode="External" Id="rId15"/><Relationship Type="http://schemas.openxmlformats.org/officeDocument/2006/relationships/hyperlink" Target="https://www.stadtwil.ch/" TargetMode="External" Id="rId16"/><Relationship Type="http://schemas.openxmlformats.org/officeDocument/2006/relationships/hyperlink" Target="https://www.seelisberg.ch/files/pdf/Verordnung_&#252;ber_die_Wasserversorgung.pdf" TargetMode="External" Id="rId17"/><Relationship Type="http://schemas.openxmlformats.org/officeDocument/2006/relationships/hyperlink" Target="https://www.seelisberg.ch/files/pdf/Bau-und-Zonenordnung-Seelisberg.pdf" TargetMode="External" Id="rId18"/><Relationship Type="http://schemas.openxmlformats.org/officeDocument/2006/relationships/hyperlink" Target="https://www.seelisberg.ch/" TargetMode="External" Id="rId19"/><Relationship Type="http://schemas.openxmlformats.org/officeDocument/2006/relationships/hyperlink" Target="https://www.fedlex.admin.ch/" TargetMode="External" Id="rId20"/><Relationship Type="http://schemas.openxmlformats.org/officeDocument/2006/relationships/hyperlink" Target="https://www.fedlex.admin.ch/" TargetMode="Externa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2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3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4"/><Relationship Type="http://schemas.openxmlformats.org/officeDocument/2006/relationships/hyperlink" Target="https://www.bak.admin.ch/" TargetMode="External" Id="rId5"/><Relationship Type="http://schemas.openxmlformats.org/officeDocument/2006/relationships/hyperlink" Target="https://www.geoportal.ch/muenchenstein/map/912?y=2611965.69&amp;x=1263213.43&amp;scale=17500&amp;rotation=0" TargetMode="External" Id="rId6"/><Relationship Type="http://schemas.openxmlformats.org/officeDocument/2006/relationships/hyperlink" Target="https://www.baselland.ch/" TargetMode="External" Id="rId7"/><Relationship Type="http://schemas.openxmlformats.org/officeDocument/2006/relationships/hyperlink" Target="https://www.geoportal.ch/ktsg" TargetMode="External" Id="rId8"/><Relationship Type="http://schemas.openxmlformats.org/officeDocument/2006/relationships/hyperlink" Target="https://geo.ur.ch/" TargetMode="External" Id="rId9"/><Relationship Type="http://schemas.openxmlformats.org/officeDocument/2006/relationships/hyperlink" Target="https://geo.ur.ch/" TargetMode="External" Id="rId10"/><Relationship Type="http://schemas.openxmlformats.org/officeDocument/2006/relationships/hyperlink" Target="https://oereblex.bl.ch/api/attachments/22718" TargetMode="External" Id="rId11"/><Relationship Type="http://schemas.openxmlformats.org/officeDocument/2006/relationships/hyperlink" Target="https://www.geoportal.ch/muenchenstein" TargetMode="External" Id="rId12"/><Relationship Type="http://schemas.openxmlformats.org/officeDocument/2006/relationships/hyperlink" Target="https://cms.e-mitwirkung.ch/media/wil/Reglement_221013.pdf" TargetMode="External" Id="rId13"/><Relationship Type="http://schemas.openxmlformats.org/officeDocument/2006/relationships/hyperlink" Target="https://www.geoportal.ch/wil_sg" TargetMode="External" Id="rId14"/><Relationship Type="http://schemas.openxmlformats.org/officeDocument/2006/relationships/hyperlink" Target="https://www.seelisberg.ch/files/pdf/Bau-und-Zonenordnung-Seelisberg.pdf" TargetMode="External" Id="rId15"/><Relationship Type="http://schemas.openxmlformats.org/officeDocument/2006/relationships/hyperlink" Target="https://www.seelisberg.ch/files/pdf/Bau-und-Zonenordnung-Seelisberg.pdf" TargetMode="External" Id="rId16"/><Relationship Type="http://schemas.openxmlformats.org/officeDocument/2006/relationships/hyperlink" Target="https://www.fedlex.admin.ch/" TargetMode="External" Id="rId17"/><Relationship Type="http://schemas.openxmlformats.org/officeDocument/2006/relationships/hyperlink" Target="https://www.fedlex.admin.ch/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imap.ch/" TargetMode="External" Id="rId1"/><Relationship Type="http://schemas.openxmlformats.org/officeDocument/2006/relationships/hyperlink" Target="https://www.kbob.admin.ch/" TargetMode="External" Id="rId2"/><Relationship Type="http://schemas.openxmlformats.org/officeDocument/2006/relationships/hyperlink" Target="https://www.sia.ch/" TargetMode="External" Id="rId3"/><Relationship Type="http://schemas.openxmlformats.org/officeDocument/2006/relationships/hyperlink" Target="https://www.bpuk.ch/bpuk/konkordate/ivoeb/ivoeb-2019" TargetMode="External" Id="rId4"/><Relationship Type="http://schemas.openxmlformats.org/officeDocument/2006/relationships/hyperlink" Target="https://www.bpuk.ch/" TargetMode="External" Id="rId5"/><Relationship Type="http://schemas.openxmlformats.org/officeDocument/2006/relationships/hyperlink" Target="https://bl.clex.ch/app/de/texts_of_law/420.11" TargetMode="External" Id="rId6"/><Relationship Type="http://schemas.openxmlformats.org/officeDocument/2006/relationships/hyperlink" Target="https://bl.clex.ch/app/de/texts_of_law/420" TargetMode="External" Id="rId7"/><Relationship Type="http://schemas.openxmlformats.org/officeDocument/2006/relationships/hyperlink" Target="https://bl.clex.ch/app/de/texts_of_law/400" TargetMode="External" Id="rId8"/><Relationship Type="http://schemas.openxmlformats.org/officeDocument/2006/relationships/hyperlink" Target="https://www.gesetzessammlung.sg.ch/app/de/texts_of_law/841.11" TargetMode="External" Id="rId9"/><Relationship Type="http://schemas.openxmlformats.org/officeDocument/2006/relationships/hyperlink" Target="https://www.gesetzessammlung.sg.ch/app/de/texts_of_law/841.1" TargetMode="External" Id="rId10"/><Relationship Type="http://schemas.openxmlformats.org/officeDocument/2006/relationships/hyperlink" Target="https://www.gesetzessammlung.sg.ch/app/de/texts_of_law/731.1" TargetMode="External" Id="rId11"/><Relationship Type="http://schemas.openxmlformats.org/officeDocument/2006/relationships/hyperlink" Target="https://rechtsbuch.ur.ch/app/de/texts_of_law/3.3111" TargetMode="External" Id="rId12"/><Relationship Type="http://schemas.openxmlformats.org/officeDocument/2006/relationships/hyperlink" Target="https://rechtsbuch.ur.ch/app/de/texts_of_law/3.3115" TargetMode="External" Id="rId13"/><Relationship Type="http://schemas.openxmlformats.org/officeDocument/2006/relationships/hyperlink" Target="https://rechtsbuch.ur.ch/app/de/texts_of_law/40.1111" TargetMode="External" Id="rId14"/><Relationship Type="http://schemas.openxmlformats.org/officeDocument/2006/relationships/hyperlink" Target="https://www.muenchenstein.ch/" TargetMode="External" Id="rId15"/><Relationship Type="http://schemas.openxmlformats.org/officeDocument/2006/relationships/hyperlink" Target="https://www.simap.ch/" TargetMode="External" Id="rId16"/><Relationship Type="http://schemas.openxmlformats.org/officeDocument/2006/relationships/hyperlink" Target="https://wil-sg.tlex.ch/app/de/texts_of_law/1.6-4" TargetMode="External" Id="rId17"/><Relationship Type="http://schemas.openxmlformats.org/officeDocument/2006/relationships/hyperlink" Target="https://www.simap.ch/" TargetMode="External" Id="rId18"/><Relationship Type="http://schemas.openxmlformats.org/officeDocument/2006/relationships/hyperlink" Target="https://www.seelisberg.ch/" TargetMode="External" Id="rId19"/><Relationship Type="http://schemas.openxmlformats.org/officeDocument/2006/relationships/hyperlink" Target="https://www.simap.ch/" TargetMode="External" Id="rId20"/><Relationship Type="http://schemas.openxmlformats.org/officeDocument/2006/relationships/hyperlink" Target="https://www.fedlex.admin.ch/" TargetMode="External" Id="rId21"/><Relationship Type="http://schemas.openxmlformats.org/officeDocument/2006/relationships/hyperlink" Target="https://www.fedlex.admin.ch/" TargetMode="External" Id="rId22"/></Relationships>
</file>

<file path=xl/worksheets/_rels/sheet8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1"/><Relationship Type="http://schemas.openxmlformats.org/officeDocument/2006/relationships/hyperlink" Target="https://map.geo.admin.ch/#/map?lang=de&amp;center=2613308,1263110&amp;z=9&amp;bgLayer=ch.swisstopo.pixelkarte-grau&amp;layers=ch.bafu.bundesinventare-bln" TargetMode="External" Id="rId2"/><Relationship Type="http://schemas.openxmlformats.org/officeDocument/2006/relationships/hyperlink" Target="https://map.geo.admin.ch/#/map?lang=de&amp;center=2721138,1258009&amp;z=9&amp;bgLayer=ch.swisstopo.pixelkarte-grau&amp;layers=ch.bafu.bundesinventare-bln" TargetMode="External" Id="rId3"/><Relationship Type="http://schemas.openxmlformats.org/officeDocument/2006/relationships/hyperlink" Target="https://map.geo.admin.ch/#/map?lang=de&amp;center=2687333,1203124&amp;z=9&amp;bgLayer=ch.swisstopo.pixelkarte-grau&amp;layers=ch.bafu.bundesinventare-bln" TargetMode="External" Id="rId4"/><Relationship Type="http://schemas.openxmlformats.org/officeDocument/2006/relationships/hyperlink" Target="https://map.geo.admin.ch/#/map?lang=de&amp;center=2660000,1190000&amp;z=1&amp;bgLayer=ch.swisstopo.pixelkarte-grau&amp;layers=ch.bafu.bundesinventare-moorlandschaften" TargetMode="External" Id="rId5"/><Relationship Type="http://schemas.openxmlformats.org/officeDocument/2006/relationships/hyperlink" Target="https://map.geo.admin.ch/#/map?lang=de&amp;center=2613308,1263110&amp;z=9&amp;bgLayer=ch.swisstopo.pixelkarte-grau&amp;layers=ch.bafu.bundesinventare-moorlandschaften" TargetMode="External" Id="rId6"/><Relationship Type="http://schemas.openxmlformats.org/officeDocument/2006/relationships/hyperlink" Target="https://map.geo.admin.ch/#/map?lang=de&amp;center=2721138,1258009&amp;z=9&amp;bgLayer=ch.swisstopo.pixelkarte-grau&amp;layers=ch.bafu.bundesinventare-moorlandschaften" TargetMode="External" Id="rId7"/><Relationship Type="http://schemas.openxmlformats.org/officeDocument/2006/relationships/hyperlink" Target="https://map.geo.admin.ch/#/map?lang=de&amp;center=2687333,1203124&amp;z=9&amp;bgLayer=ch.swisstopo.pixelkarte-grau&amp;layers=ch.bafu.bundesinventare-moorlandschaften" TargetMode="External" Id="rId8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9"/><Relationship Type="http://schemas.openxmlformats.org/officeDocument/2006/relationships/hyperlink" Target="https://map.geo.admin.ch/#/map?lang=de&amp;center=2613308,1263110&amp;z=9&amp;bgLayer=ch.swisstopo.pixelkarte-grau&amp;layers=ch.bafu.bundesinventare-hochmoore" TargetMode="External" Id="rId10"/><Relationship Type="http://schemas.openxmlformats.org/officeDocument/2006/relationships/hyperlink" Target="https://map.geo.admin.ch/#/map?lang=de&amp;center=2721138,1258009&amp;z=9&amp;bgLayer=ch.swisstopo.pixelkarte-grau&amp;layers=ch.bafu.bundesinventare-hochmoore" TargetMode="External" Id="rId11"/><Relationship Type="http://schemas.openxmlformats.org/officeDocument/2006/relationships/hyperlink" Target="https://map.geo.admin.ch/#/map?lang=de&amp;center=2687333,1203124&amp;z=9&amp;bgLayer=ch.swisstopo.pixelkarte-grau&amp;layers=ch.bafu.bundesinventare-hochmoore" TargetMode="External" Id="rId12"/><Relationship Type="http://schemas.openxmlformats.org/officeDocument/2006/relationships/hyperlink" Target="https://map.geo.admin.ch/#/map?lang=de&amp;center=2660000,1190000&amp;z=1&amp;bgLayer=ch.swisstopo.pixelkarte-grau&amp;layers=ch.bafu.bundesinventare-flachmoore" TargetMode="External" Id="rId13"/><Relationship Type="http://schemas.openxmlformats.org/officeDocument/2006/relationships/hyperlink" Target="https://map.geo.admin.ch/#/map?lang=de&amp;center=2613308,1263110&amp;z=9&amp;bgLayer=ch.swisstopo.pixelkarte-grau&amp;layers=ch.bafu.bundesinventare-flachmoore" TargetMode="External" Id="rId14"/><Relationship Type="http://schemas.openxmlformats.org/officeDocument/2006/relationships/hyperlink" Target="https://map.geo.admin.ch/#/map?lang=de&amp;center=2721138,1258009&amp;z=9&amp;bgLayer=ch.swisstopo.pixelkarte-grau&amp;layers=ch.bafu.bundesinventare-flachmoore" TargetMode="External" Id="rId15"/><Relationship Type="http://schemas.openxmlformats.org/officeDocument/2006/relationships/hyperlink" Target="https://map.geo.admin.ch/#/map?lang=de&amp;center=2687333,1203124&amp;z=9&amp;bgLayer=ch.swisstopo.pixelkarte-grau&amp;layers=ch.bafu.bundesinventare-flachmoore" TargetMode="External" Id="rId16"/><Relationship Type="http://schemas.openxmlformats.org/officeDocument/2006/relationships/hyperlink" Target="https://map.geo.admin.ch/#/map?lang=de&amp;center=2660000,1190000&amp;z=1&amp;bgLayer=ch.swisstopo.pixelkarte-grau&amp;layers=ch.bafu.bundesinventare-auen" TargetMode="External" Id="rId17"/><Relationship Type="http://schemas.openxmlformats.org/officeDocument/2006/relationships/hyperlink" Target="https://map.geo.admin.ch/#/map?lang=de&amp;center=2613308,1263110&amp;z=9&amp;bgLayer=ch.swisstopo.pixelkarte-grau&amp;layers=ch.bafu.bundesinventare-auen" TargetMode="External" Id="rId18"/><Relationship Type="http://schemas.openxmlformats.org/officeDocument/2006/relationships/hyperlink" Target="https://map.geo.admin.ch/#/map?lang=de&amp;center=2721138,1258009&amp;z=9&amp;bgLayer=ch.swisstopo.pixelkarte-grau&amp;layers=ch.bafu.bundesinventare-auen" TargetMode="External" Id="rId19"/><Relationship Type="http://schemas.openxmlformats.org/officeDocument/2006/relationships/hyperlink" Target="https://map.geo.admin.ch/#/map?lang=de&amp;center=2687333,1203124&amp;z=9&amp;bgLayer=ch.swisstopo.pixelkarte-grau&amp;layers=ch.bafu.bundesinventare-auen" TargetMode="External" Id="rId20"/><Relationship Type="http://schemas.openxmlformats.org/officeDocument/2006/relationships/hyperlink" Target="https://map.geo.admin.ch/#/map?lang=de&amp;center=2660000,1190000&amp;z=1&amp;bgLayer=ch.swisstopo.pixelkarte-grau&amp;layers=ch.bafu.bundesinventare-amphibien" TargetMode="External" Id="rId21"/><Relationship Type="http://schemas.openxmlformats.org/officeDocument/2006/relationships/hyperlink" Target="https://map.geo.admin.ch/#/map?lang=de&amp;center=2613308,1263110&amp;z=9&amp;bgLayer=ch.swisstopo.pixelkarte-grau&amp;layers=ch.bafu.bundesinventare-amphibien" TargetMode="External" Id="rId22"/><Relationship Type="http://schemas.openxmlformats.org/officeDocument/2006/relationships/hyperlink" Target="https://map.geo.admin.ch/#/map?lang=de&amp;center=2721138,1258009&amp;z=9&amp;bgLayer=ch.swisstopo.pixelkarte-grau&amp;layers=ch.bafu.bundesinventare-amphibien" TargetMode="External" Id="rId23"/><Relationship Type="http://schemas.openxmlformats.org/officeDocument/2006/relationships/hyperlink" Target="https://map.geo.admin.ch/#/map?lang=de&amp;center=2687333,1203124&amp;z=9&amp;bgLayer=ch.swisstopo.pixelkarte-grau&amp;layers=ch.bafu.bundesinventare-amphibien" TargetMode="External" Id="rId24"/><Relationship Type="http://schemas.openxmlformats.org/officeDocument/2006/relationships/hyperlink" Target="https://map.geo.admin.ch/#/map?lang=de&amp;center=2660000,1190000&amp;z=1&amp;bgLayer=ch.swisstopo.pixelkarte-grau&amp;layers=ch.bafu.bundesinventare-trockenwiesen_trockenweiden" TargetMode="External" Id="rId25"/><Relationship Type="http://schemas.openxmlformats.org/officeDocument/2006/relationships/hyperlink" Target="https://map.geo.admin.ch/#/map?lang=de&amp;center=2613308,1263110&amp;z=9&amp;bgLayer=ch.swisstopo.pixelkarte-grau&amp;layers=ch.bafu.bundesinventare-trockenwiesen_trockenweiden" TargetMode="External" Id="rId26"/><Relationship Type="http://schemas.openxmlformats.org/officeDocument/2006/relationships/hyperlink" Target="https://map.geo.admin.ch/#/map?lang=de&amp;center=2721138,1258009&amp;z=9&amp;bgLayer=ch.swisstopo.pixelkarte-grau&amp;layers=ch.bafu.bundesinventare-trockenwiesen_trockenweiden" TargetMode="External" Id="rId27"/><Relationship Type="http://schemas.openxmlformats.org/officeDocument/2006/relationships/hyperlink" Target="https://map.geo.admin.ch/#/map?lang=de&amp;center=2687333,1203124&amp;z=9&amp;bgLayer=ch.swisstopo.pixelkarte-grau&amp;layers=ch.bafu.bundesinventare-trockenwiesen_trockenweiden" TargetMode="External" Id="rId28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29"/><Relationship Type="http://schemas.openxmlformats.org/officeDocument/2006/relationships/hyperlink" Target="https://map.geo.admin.ch/#/map?lang=de&amp;center=2613308,1263110&amp;z=9&amp;bgLayer=ch.swisstopo.pixelkarte-grau&amp;layers=ch.bafu.bundesinventare-jagdbanngebiete" TargetMode="External" Id="rId30"/><Relationship Type="http://schemas.openxmlformats.org/officeDocument/2006/relationships/hyperlink" Target="https://map.geo.admin.ch/#/map?lang=de&amp;center=2721138,1258009&amp;z=9&amp;bgLayer=ch.swisstopo.pixelkarte-grau&amp;layers=ch.bafu.bundesinventare-jagdbanngebiete" TargetMode="External" Id="rId31"/><Relationship Type="http://schemas.openxmlformats.org/officeDocument/2006/relationships/hyperlink" Target="https://map.geo.admin.ch/#/map?lang=de&amp;center=2687333,1203124&amp;z=9&amp;bgLayer=ch.swisstopo.pixelkarte-grau&amp;layers=ch.bafu.bundesinventare-jagdbanngebiete" TargetMode="External" Id="rId32"/><Relationship Type="http://schemas.openxmlformats.org/officeDocument/2006/relationships/hyperlink" Target="https://map.geo.admin.ch/#/map?lang=de&amp;center=2660000,1190000&amp;z=1&amp;bgLayer=ch.swisstopo.pixelkarte-grau&amp;layers=ch.bafu.bundesinventare-vogelreservate" TargetMode="External" Id="rId33"/><Relationship Type="http://schemas.openxmlformats.org/officeDocument/2006/relationships/hyperlink" Target="https://map.geo.admin.ch/#/map?lang=de&amp;center=2613308,1263110&amp;z=9&amp;bgLayer=ch.swisstopo.pixelkarte-grau&amp;layers=ch.bafu.bundesinventare-vogelreservate" TargetMode="External" Id="rId34"/><Relationship Type="http://schemas.openxmlformats.org/officeDocument/2006/relationships/hyperlink" Target="https://map.geo.admin.ch/#/map?lang=de&amp;center=2721138,1258009&amp;z=9&amp;bgLayer=ch.swisstopo.pixelkarte-grau&amp;layers=ch.bafu.bundesinventare-vogelreservate" TargetMode="External" Id="rId35"/><Relationship Type="http://schemas.openxmlformats.org/officeDocument/2006/relationships/hyperlink" Target="https://map.geo.admin.ch/#/map?lang=de&amp;center=2687333,1203124&amp;z=9&amp;bgLayer=ch.swisstopo.pixelkarte-grau&amp;layers=ch.bafu.bundesinventare-vogelreservate" TargetMode="External" Id="rId36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37"/><Relationship Type="http://schemas.openxmlformats.org/officeDocument/2006/relationships/hyperlink" Target="https://map.geo.admin.ch/#/map?lang=de&amp;center=2613308,1263110&amp;z=9&amp;bgLayer=ch.swisstopo.pixelkarte-grau&amp;layers=ch.bafu.fauna-wildtierkorridor_national" TargetMode="External" Id="rId38"/><Relationship Type="http://schemas.openxmlformats.org/officeDocument/2006/relationships/hyperlink" Target="https://map.geo.admin.ch/#/map?lang=de&amp;center=2721138,1258009&amp;z=9&amp;bgLayer=ch.swisstopo.pixelkarte-grau&amp;layers=ch.bafu.fauna-wildtierkorridor_national" TargetMode="External" Id="rId39"/><Relationship Type="http://schemas.openxmlformats.org/officeDocument/2006/relationships/hyperlink" Target="https://map.geo.admin.ch/#/map?lang=de&amp;center=2687333,1203124&amp;z=9&amp;bgLayer=ch.swisstopo.pixelkarte-grau&amp;layers=ch.bafu.fauna-wildtierkorridor_national" TargetMode="External" Id="rId40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41"/><Relationship Type="http://schemas.openxmlformats.org/officeDocument/2006/relationships/hyperlink" Target="https://map.geo.admin.ch/#/map?lang=de&amp;center=2613308,1263110&amp;z=9&amp;bgLayer=ch.swisstopo.pixelkarte-grau&amp;layers=ch.bafu.waldreservate" TargetMode="External" Id="rId42"/><Relationship Type="http://schemas.openxmlformats.org/officeDocument/2006/relationships/hyperlink" Target="https://map.geo.admin.ch/#/map?lang=de&amp;center=2721138,1258009&amp;z=9&amp;bgLayer=ch.swisstopo.pixelkarte-grau&amp;layers=ch.bafu.waldreservate" TargetMode="External" Id="rId43"/><Relationship Type="http://schemas.openxmlformats.org/officeDocument/2006/relationships/hyperlink" Target="https://map.geo.admin.ch/#/map?lang=de&amp;center=2687333,1203124&amp;z=9&amp;bgLayer=ch.swisstopo.pixelkarte-grau&amp;layers=ch.bafu.waldreservate" TargetMode="External" Id="rId44"/><Relationship Type="http://schemas.openxmlformats.org/officeDocument/2006/relationships/hyperlink" Target="https://map.geo.admin.ch/#/map?lang=de&amp;center=2660000,1190000&amp;z=1&amp;bgLayer=ch.swisstopo.pixelkarte-grau" TargetMode="External" Id="rId45"/><Relationship Type="http://schemas.openxmlformats.org/officeDocument/2006/relationships/hyperlink" Target="https://map.geo.admin.ch/#/map?lang=de&amp;center=2613308,1263110&amp;z=9&amp;bgLayer=ch.swisstopo.pixelkarte-grau" TargetMode="External" Id="rId46"/><Relationship Type="http://schemas.openxmlformats.org/officeDocument/2006/relationships/hyperlink" Target="https://map.geo.admin.ch/#/map?lang=de&amp;center=2721138,1258009&amp;z=9&amp;bgLayer=ch.swisstopo.pixelkarte-grau" TargetMode="External" Id="rId47"/><Relationship Type="http://schemas.openxmlformats.org/officeDocument/2006/relationships/hyperlink" Target="https://map.geo.admin.ch/#/map?lang=de&amp;center=2687333,1203124&amp;z=9&amp;bgLayer=ch.swisstopo.pixelkarte-grau" TargetMode="External" Id="rId48"/><Relationship Type="http://schemas.openxmlformats.org/officeDocument/2006/relationships/hyperlink" Target="https://map.geo.admin.ch/#/map?lang=de&amp;center=2660000,1190000&amp;z=1&amp;bgLayer=ch.swisstopo.pixelkarte-grau&amp;layers=ch.are.bauzonen" TargetMode="External" Id="rId49"/><Relationship Type="http://schemas.openxmlformats.org/officeDocument/2006/relationships/hyperlink" Target="https://map.geo.admin.ch/#/map?lang=de&amp;center=2613308,1263110&amp;z=9&amp;bgLayer=ch.swisstopo.pixelkarte-grau&amp;layers=ch.are.bauzonen" TargetMode="External" Id="rId50"/><Relationship Type="http://schemas.openxmlformats.org/officeDocument/2006/relationships/hyperlink" Target="https://map.geo.admin.ch/#/map?lang=de&amp;center=2721138,1258009&amp;z=9&amp;bgLayer=ch.swisstopo.pixelkarte-grau&amp;layers=ch.are.bauzonen" TargetMode="External" Id="rId51"/><Relationship Type="http://schemas.openxmlformats.org/officeDocument/2006/relationships/hyperlink" Target="https://map.geo.admin.ch/#/map?lang=de&amp;center=2687333,1203124&amp;z=9&amp;bgLayer=ch.swisstopo.pixelkarte-grau&amp;layers=ch.are.bauzonen" TargetMode="External" Id="rId52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53"/><Relationship Type="http://schemas.openxmlformats.org/officeDocument/2006/relationships/hyperlink" Target="https://map.geo.admin.ch/#/map?lang=de&amp;center=2613308,1263110&amp;z=9&amp;bgLayer=ch.swisstopo.pixelkarte-grau&amp;layers=ch.bfe.solarenergie-eignung-daecher" TargetMode="External" Id="rId54"/><Relationship Type="http://schemas.openxmlformats.org/officeDocument/2006/relationships/hyperlink" Target="https://map.geo.admin.ch/#/map?lang=de&amp;center=2721138,1258009&amp;z=9&amp;bgLayer=ch.swisstopo.pixelkarte-grau&amp;layers=ch.bfe.solarenergie-eignung-daecher" TargetMode="External" Id="rId55"/><Relationship Type="http://schemas.openxmlformats.org/officeDocument/2006/relationships/hyperlink" Target="https://map.geo.admin.ch/#/map?lang=de&amp;center=2687333,1203124&amp;z=9&amp;bgLayer=ch.swisstopo.pixelkarte-grau&amp;layers=ch.bfe.solarenergie-eignung-daecher" TargetMode="External" Id="rId56"/><Relationship Type="http://schemas.openxmlformats.org/officeDocument/2006/relationships/hyperlink" Target="https://map.geo.admin.ch/#/map?lang=de&amp;center=2660000,1190000&amp;z=1&amp;bgLayer=ch.swisstopo.pixelkarte-grau&amp;layers=ch.bfe.solarenergie-eignung-fassaden" TargetMode="External" Id="rId57"/><Relationship Type="http://schemas.openxmlformats.org/officeDocument/2006/relationships/hyperlink" Target="https://map.geo.admin.ch/#/map?lang=de&amp;center=2613308,1263110&amp;z=9&amp;bgLayer=ch.swisstopo.pixelkarte-grau&amp;layers=ch.bfe.solarenergie-eignung-fassaden" TargetMode="External" Id="rId58"/><Relationship Type="http://schemas.openxmlformats.org/officeDocument/2006/relationships/hyperlink" Target="https://map.geo.admin.ch/#/map?lang=de&amp;center=2721138,1258009&amp;z=9&amp;bgLayer=ch.swisstopo.pixelkarte-grau&amp;layers=ch.bfe.solarenergie-eignung-fassaden" TargetMode="External" Id="rId59"/><Relationship Type="http://schemas.openxmlformats.org/officeDocument/2006/relationships/hyperlink" Target="https://map.geo.admin.ch/#/map?lang=de&amp;center=2687333,1203124&amp;z=9&amp;bgLayer=ch.swisstopo.pixelkarte-grau&amp;layers=ch.bfe.solarenergie-eignung-fassaden" TargetMode="External" Id="rId60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61"/><Relationship Type="http://schemas.openxmlformats.org/officeDocument/2006/relationships/hyperlink" Target="https://map.geo.admin.ch/#/map?lang=de&amp;center=2613308,1263110&amp;z=9&amp;bgLayer=ch.swisstopo.pixelkarte-grau&amp;layers=ch.bfs.gebaeude_wohnungs_register" TargetMode="External" Id="rId62"/><Relationship Type="http://schemas.openxmlformats.org/officeDocument/2006/relationships/hyperlink" Target="https://map.geo.admin.ch/#/map?lang=de&amp;center=2721138,1258009&amp;z=9&amp;bgLayer=ch.swisstopo.pixelkarte-grau&amp;layers=ch.bfs.gebaeude_wohnungs_register" TargetMode="External" Id="rId63"/><Relationship Type="http://schemas.openxmlformats.org/officeDocument/2006/relationships/hyperlink" Target="https://map.geo.admin.ch/#/map?lang=de&amp;center=2687333,1203124&amp;z=9&amp;bgLayer=ch.swisstopo.pixelkarte-grau&amp;layers=ch.bfs.gebaeude_wohnungs_register" TargetMode="External" Id="rId64"/><Relationship Type="http://schemas.openxmlformats.org/officeDocument/2006/relationships/hyperlink" Target="https://map.geo.admin.ch/#/map?lang=de&amp;center=2660000,1190000&amp;z=1&amp;bgLayer=ch.swisstopo.pixelkarte-grau" TargetMode="External" Id="rId65"/><Relationship Type="http://schemas.openxmlformats.org/officeDocument/2006/relationships/hyperlink" Target="https://map.geo.admin.ch/#/map?lang=de&amp;center=2613308,1263110&amp;z=9&amp;bgLayer=ch.swisstopo.pixelkarte-grau" TargetMode="External" Id="rId66"/><Relationship Type="http://schemas.openxmlformats.org/officeDocument/2006/relationships/hyperlink" Target="https://map.geo.admin.ch/#/map?lang=de&amp;center=2721138,1258009&amp;z=9&amp;bgLayer=ch.swisstopo.pixelkarte-grau" TargetMode="External" Id="rId67"/><Relationship Type="http://schemas.openxmlformats.org/officeDocument/2006/relationships/hyperlink" Target="https://map.geo.admin.ch/#/map?lang=de&amp;center=2687333,1203124&amp;z=9&amp;bgLayer=ch.swisstopo.pixelkarte-grau" TargetMode="External" Id="rId68"/><Relationship Type="http://schemas.openxmlformats.org/officeDocument/2006/relationships/hyperlink" Target="https://map.geo.admin.ch/#/map?lang=de&amp;center=2660000,1190000&amp;z=1&amp;bgLayer=ch.swisstopo.pixelkarte-grau&amp;layers=ch.are.gueteklassen_oev" TargetMode="External" Id="rId69"/><Relationship Type="http://schemas.openxmlformats.org/officeDocument/2006/relationships/hyperlink" Target="https://map.geo.admin.ch/#/map?lang=de&amp;center=2613308,1263110&amp;z=9&amp;bgLayer=ch.swisstopo.pixelkarte-grau&amp;layers=ch.are.gueteklassen_oev" TargetMode="External" Id="rId70"/><Relationship Type="http://schemas.openxmlformats.org/officeDocument/2006/relationships/hyperlink" Target="https://map.geo.admin.ch/#/map?lang=de&amp;center=2721138,1258009&amp;z=9&amp;bgLayer=ch.swisstopo.pixelkarte-grau&amp;layers=ch.are.gueteklassen_oev" TargetMode="External" Id="rId71"/><Relationship Type="http://schemas.openxmlformats.org/officeDocument/2006/relationships/hyperlink" Target="https://map.geo.admin.ch/#/map?lang=de&amp;center=2687333,1203124&amp;z=9&amp;bgLayer=ch.swisstopo.pixelkarte-grau&amp;layers=ch.are.gueteklassen_oev" TargetMode="External" Id="rId72"/><Relationship Type="http://schemas.openxmlformats.org/officeDocument/2006/relationships/hyperlink" Target="https://map.geo.admin.ch/#/map?lang=de&amp;center=2660000,1190000&amp;z=1&amp;bgLayer=ch.swisstopo.pixelkarte-grau" TargetMode="External" Id="rId73"/><Relationship Type="http://schemas.openxmlformats.org/officeDocument/2006/relationships/hyperlink" Target="https://map.geo.admin.ch/#/map?lang=de&amp;center=2613308,1263110&amp;z=9&amp;bgLayer=ch.swisstopo.pixelkarte-grau" TargetMode="External" Id="rId74"/><Relationship Type="http://schemas.openxmlformats.org/officeDocument/2006/relationships/hyperlink" Target="https://map.geo.admin.ch/#/map?lang=de&amp;center=2721138,1258009&amp;z=9&amp;bgLayer=ch.swisstopo.pixelkarte-grau" TargetMode="External" Id="rId75"/><Relationship Type="http://schemas.openxmlformats.org/officeDocument/2006/relationships/hyperlink" Target="https://map.geo.admin.ch/#/map?lang=de&amp;center=2687333,1203124&amp;z=9&amp;bgLayer=ch.swisstopo.pixelkarte-grau" TargetMode="External" Id="rId76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77"/><Relationship Type="http://schemas.openxmlformats.org/officeDocument/2006/relationships/hyperlink" Target="https://map.geo.admin.ch/#/map?lang=de&amp;center=2613308,1263110&amp;z=9&amp;bgLayer=ch.swisstopo.pixelkarte-grau&amp;layers=ch.bafu.gefaehrdungskarte-oberflaechenabfluss" TargetMode="External" Id="rId78"/><Relationship Type="http://schemas.openxmlformats.org/officeDocument/2006/relationships/hyperlink" Target="https://map.geo.admin.ch/#/map?lang=de&amp;center=2721138,1258009&amp;z=9&amp;bgLayer=ch.swisstopo.pixelkarte-grau&amp;layers=ch.bafu.gefaehrdungskarte-oberflaechenabfluss" TargetMode="External" Id="rId79"/><Relationship Type="http://schemas.openxmlformats.org/officeDocument/2006/relationships/hyperlink" Target="https://map.geo.admin.ch/#/map?lang=de&amp;center=2687333,1203124&amp;z=9&amp;bgLayer=ch.swisstopo.pixelkarte-grau&amp;layers=ch.bafu.gefaehrdungskarte-oberflaechenabfluss" TargetMode="External" Id="rId80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81"/><Relationship Type="http://schemas.openxmlformats.org/officeDocument/2006/relationships/hyperlink" Target="https://map.geo.admin.ch/#/map?lang=de&amp;center=2613308,1263110&amp;z=9&amp;bgLayer=ch.swisstopo.pixelkarte-grau&amp;layers=ch.bafu.gefahren-baugrundklassen" TargetMode="External" Id="rId82"/><Relationship Type="http://schemas.openxmlformats.org/officeDocument/2006/relationships/hyperlink" Target="https://map.geo.admin.ch/#/map?lang=de&amp;center=2721138,1258009&amp;z=9&amp;bgLayer=ch.swisstopo.pixelkarte-grau&amp;layers=ch.bafu.gefahren-baugrundklassen" TargetMode="External" Id="rId83"/><Relationship Type="http://schemas.openxmlformats.org/officeDocument/2006/relationships/hyperlink" Target="https://map.geo.admin.ch/#/map?lang=de&amp;center=2687333,1203124&amp;z=9&amp;bgLayer=ch.swisstopo.pixelkarte-grau&amp;layers=ch.bafu.gefahren-baugrundklassen" TargetMode="External" Id="rId84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85"/><Relationship Type="http://schemas.openxmlformats.org/officeDocument/2006/relationships/hyperlink" Target="https://map.geo.admin.ch/#/map?lang=de&amp;center=2613308,1263110&amp;z=9&amp;bgLayer=ch.swisstopo.pixelkarte-grau&amp;layers=ch.bafu.laerm-strassenlaerm_tag" TargetMode="External" Id="rId86"/><Relationship Type="http://schemas.openxmlformats.org/officeDocument/2006/relationships/hyperlink" Target="https://map.geo.admin.ch/#/map?lang=de&amp;center=2721138,1258009&amp;z=9&amp;bgLayer=ch.swisstopo.pixelkarte-grau&amp;layers=ch.bafu.laerm-strassenlaerm_tag" TargetMode="External" Id="rId87"/><Relationship Type="http://schemas.openxmlformats.org/officeDocument/2006/relationships/hyperlink" Target="https://map.geo.admin.ch/#/map?lang=de&amp;center=2687333,1203124&amp;z=9&amp;bgLayer=ch.swisstopo.pixelkarte-grau&amp;layers=ch.bafu.laerm-strassenlaerm_tag" TargetMode="External" Id="rId88"/><Relationship Type="http://schemas.openxmlformats.org/officeDocument/2006/relationships/hyperlink" Target="https://map.geo.admin.ch/#/map?lang=de&amp;center=2660000,1190000&amp;z=1&amp;bgLayer=ch.swisstopo.pixelkarte-grau&amp;layers=ch.bafu.laerm-bahnlaerm_tag" TargetMode="External" Id="rId89"/><Relationship Type="http://schemas.openxmlformats.org/officeDocument/2006/relationships/hyperlink" Target="https://map.geo.admin.ch/#/map?lang=de&amp;center=2613308,1263110&amp;z=9&amp;bgLayer=ch.swisstopo.pixelkarte-grau&amp;layers=ch.bafu.laerm-bahnlaerm_tag" TargetMode="External" Id="rId90"/><Relationship Type="http://schemas.openxmlformats.org/officeDocument/2006/relationships/hyperlink" Target="https://map.geo.admin.ch/#/map?lang=de&amp;center=2721138,1258009&amp;z=9&amp;bgLayer=ch.swisstopo.pixelkarte-grau&amp;layers=ch.bafu.laerm-bahnlaerm_tag" TargetMode="External" Id="rId91"/><Relationship Type="http://schemas.openxmlformats.org/officeDocument/2006/relationships/hyperlink" Target="https://map.geo.admin.ch/#/map?lang=de&amp;center=2687333,1203124&amp;z=9&amp;bgLayer=ch.swisstopo.pixelkarte-grau&amp;layers=ch.bafu.laerm-bahnlaerm_tag" TargetMode="External" Id="rId92"/><Relationship Type="http://schemas.openxmlformats.org/officeDocument/2006/relationships/hyperlink" Target="https://map.geo.admin.ch/#/map?lang=de&amp;center=2660000,1190000&amp;z=1&amp;bgLayer=ch.swisstopo.pixelkarte-grau" TargetMode="External" Id="rId93"/><Relationship Type="http://schemas.openxmlformats.org/officeDocument/2006/relationships/hyperlink" Target="https://map.geo.admin.ch/#/map?lang=de&amp;center=2613308,1263110&amp;z=9&amp;bgLayer=ch.swisstopo.pixelkarte-grau" TargetMode="External" Id="rId94"/><Relationship Type="http://schemas.openxmlformats.org/officeDocument/2006/relationships/hyperlink" Target="https://map.geo.admin.ch/#/map?lang=de&amp;center=2721138,1258009&amp;z=9&amp;bgLayer=ch.swisstopo.pixelkarte-grau" TargetMode="External" Id="rId95"/><Relationship Type="http://schemas.openxmlformats.org/officeDocument/2006/relationships/hyperlink" Target="https://map.geo.admin.ch/#/map?lang=de&amp;center=2687333,1203124&amp;z=9&amp;bgLayer=ch.swisstopo.pixelkarte-grau" TargetMode="External" Id="rId96"/><Relationship Type="http://schemas.openxmlformats.org/officeDocument/2006/relationships/hyperlink" Target="https://map.geo.admin.ch/#/map?lang=de&amp;center=2660000,1190000&amp;z=1&amp;bgLayer=ch.swisstopo.pixelkarte-grau" TargetMode="External" Id="rId97"/><Relationship Type="http://schemas.openxmlformats.org/officeDocument/2006/relationships/hyperlink" Target="https://map.geo.admin.ch/#/map?lang=de&amp;center=2613308,1263110&amp;z=9&amp;bgLayer=ch.swisstopo.pixelkarte-grau" TargetMode="External" Id="rId98"/><Relationship Type="http://schemas.openxmlformats.org/officeDocument/2006/relationships/hyperlink" Target="https://map.geo.admin.ch/#/map?lang=de&amp;center=2721138,1258009&amp;z=9&amp;bgLayer=ch.swisstopo.pixelkarte-grau" TargetMode="External" Id="rId99"/><Relationship Type="http://schemas.openxmlformats.org/officeDocument/2006/relationships/hyperlink" Target="https://map.geo.admin.ch/#/map?lang=de&amp;center=2687333,1203124&amp;z=9&amp;bgLayer=ch.swisstopo.pixelkarte-grau" TargetMode="External" Id="rId100"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01"/><Relationship Type="http://schemas.openxmlformats.org/officeDocument/2006/relationships/hyperlink" Target="https://map.geo.admin.ch/#/map?lang=de&amp;center=2613308,1263110&amp;z=9&amp;bgLayer=ch.swisstopo.pixelkarte-grau&amp;layers=ch.bak.bundesinventar-schuetzenswerte-ortsbilder" TargetMode="External" Id="rId102"/><Relationship Type="http://schemas.openxmlformats.org/officeDocument/2006/relationships/hyperlink" Target="https://map.geo.admin.ch/#/map?lang=de&amp;center=2721138,1258009&amp;z=9&amp;bgLayer=ch.swisstopo.pixelkarte-grau&amp;layers=ch.bak.bundesinventar-schuetzenswerte-ortsbilder" TargetMode="External" Id="rId103"/><Relationship Type="http://schemas.openxmlformats.org/officeDocument/2006/relationships/hyperlink" Target="https://map.geo.admin.ch/#/map?lang=de&amp;center=2687333,1203124&amp;z=9&amp;bgLayer=ch.swisstopo.pixelkarte-grau&amp;layers=ch.bak.bundesinventar-schuetzenswerte-ortsbilder" TargetMode="External" Id="rId104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105"/><Relationship Type="http://schemas.openxmlformats.org/officeDocument/2006/relationships/hyperlink" Target="https://map.geo.admin.ch/#/map?lang=de&amp;center=2613308,1263110&amp;z=9&amp;bgLayer=ch.swisstopo.pixelkarte-grau&amp;layers=ch.astra.ivs-nat" TargetMode="External" Id="rId106"/><Relationship Type="http://schemas.openxmlformats.org/officeDocument/2006/relationships/hyperlink" Target="https://map.geo.admin.ch/#/map?lang=de&amp;center=2721138,1258009&amp;z=9&amp;bgLayer=ch.swisstopo.pixelkarte-grau&amp;layers=ch.astra.ivs-nat" TargetMode="External" Id="rId107"/><Relationship Type="http://schemas.openxmlformats.org/officeDocument/2006/relationships/hyperlink" Target="https://map.geo.admin.ch/#/map?lang=de&amp;center=2687333,1203124&amp;z=9&amp;bgLayer=ch.swisstopo.pixelkarte-grau&amp;layers=ch.astra.ivs-nat" TargetMode="External" Id="rId108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109"/><Relationship Type="http://schemas.openxmlformats.org/officeDocument/2006/relationships/hyperlink" Target="https://map.geo.admin.ch/#/map?lang=de&amp;center=2613308,1263110&amp;z=9&amp;bgLayer=ch.swisstopo.pixelkarte-grau&amp;layers=ch.babs.kulturgueter" TargetMode="External" Id="rId110"/><Relationship Type="http://schemas.openxmlformats.org/officeDocument/2006/relationships/hyperlink" Target="https://map.geo.admin.ch/#/map?lang=de&amp;center=2721138,1258009&amp;z=9&amp;bgLayer=ch.swisstopo.pixelkarte-grau&amp;layers=ch.babs.kulturgueter" TargetMode="External" Id="rId111"/><Relationship Type="http://schemas.openxmlformats.org/officeDocument/2006/relationships/hyperlink" Target="https://map.geo.admin.ch/#/map?lang=de&amp;center=2687333,1203124&amp;z=9&amp;bgLayer=ch.swisstopo.pixelkarte-grau&amp;layers=ch.babs.kulturgueter" TargetMode="External" Id="rId112"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13"/><Relationship Type="http://schemas.openxmlformats.org/officeDocument/2006/relationships/hyperlink" Target="https://arp-daten.bl.ch/" TargetMode="External" Id="rId114"/><Relationship Type="http://schemas.openxmlformats.org/officeDocument/2006/relationships/hyperlink" Target="https://geoview.bl.ch/" TargetMode="External" Id="rId115"/><Relationship Type="http://schemas.openxmlformats.org/officeDocument/2006/relationships/hyperlink" Target="https://www.geoportal.ch/muenchenstein/map/912?y=2611965.69&amp;x=1263213.43&amp;scale=17500&amp;rotation=0" TargetMode="External" Id="rId116"/><Relationship Type="http://schemas.openxmlformats.org/officeDocument/2006/relationships/hyperlink" Target="https://www.geoportal.ch/muenchenstein/map/1037?y=2611563.50&amp;x=1263436.40&amp;scale=25000&amp;rotation=0" TargetMode="External" Id="rId117"/><Relationship Type="http://schemas.openxmlformats.org/officeDocument/2006/relationships/hyperlink" Target="https://www.geoportal.ch/wil_sg/map/101?y=2719905.16&amp;x=1258486.88&amp;scale=25000&amp;rotation=0" TargetMode="External" Id="rId118"/><Relationship Type="http://schemas.openxmlformats.org/officeDocument/2006/relationships/hyperlink" Target="https://www.geoportal.ch/ktsg/map/3502?y=2721138&amp;x=1258009&amp;scale=50000&amp;rotation=0" TargetMode="External" Id="rId119"/><Relationship Type="http://schemas.openxmlformats.org/officeDocument/2006/relationships/hyperlink" Target="https://www.geoportal.ch/ktsg" TargetMode="External" Id="rId120"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2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edlex.admin.ch/eli/cc/2015/887/de" TargetMode="External" Id="rId1"/><Relationship Type="http://schemas.openxmlformats.org/officeDocument/2006/relationships/hyperlink" Target="https://www.fedlex.admin.ch/eli/cc/2017/290/de" TargetMode="External" Id="rId2"/><Relationship Type="http://schemas.openxmlformats.org/officeDocument/2006/relationships/hyperlink" Target="https://www.fedlex.admin.ch/eli/cc/2019/673/de" TargetMode="External" Id="rId3"/><Relationship Type="http://schemas.openxmlformats.org/officeDocument/2006/relationships/hyperlink" Target="https://www.fedlex.admin.ch/eli/cc/2010/227/de" TargetMode="External" Id="rId4"/><Relationship Type="http://schemas.openxmlformats.org/officeDocument/2006/relationships/hyperlink" Target="https://www.fedlex.admin.ch/eli/cc/1992/2080_2080_2080/de" TargetMode="External" Id="rId5"/><Relationship Type="http://schemas.openxmlformats.org/officeDocument/2006/relationships/hyperlink" Target="https://www.fedlex.admin.ch/eli/cc/1991/270_270_270/de" TargetMode="External" Id="rId6"/><Relationship Type="http://schemas.openxmlformats.org/officeDocument/2006/relationships/hyperlink" Target="https://www.fedlex.admin.ch/eli/cc/1994/2092_2092_2092/de" TargetMode="External" Id="rId7"/><Relationship Type="http://schemas.openxmlformats.org/officeDocument/2006/relationships/hyperlink" Target="https://www.fedlex.admin.ch/eli/cc/2001/328/de" TargetMode="External" Id="rId8"/><Relationship Type="http://schemas.openxmlformats.org/officeDocument/2006/relationships/hyperlink" Target="https://www.fedlex.admin.ch/eli/cc/1996/1839_1839_1839/de" TargetMode="External" Id="rId9"/><Relationship Type="http://schemas.openxmlformats.org/officeDocument/2006/relationships/hyperlink" Target="https://www.fedlex.admin.ch/eli/cc/2007/743/de" TargetMode="External" Id="rId10"/><Relationship Type="http://schemas.openxmlformats.org/officeDocument/2006/relationships/hyperlink" Target="https://www.fedlex.admin.ch/eli/cc/2010/38/de" TargetMode="External" Id="rId11"/><Relationship Type="http://schemas.openxmlformats.org/officeDocument/2006/relationships/hyperlink" Target="https://www.fedlex.admin.ch/eli/cc/1992/2538_2538_2538/de" TargetMode="External" Id="rId12"/><Relationship Type="http://schemas.openxmlformats.org/officeDocument/2006/relationships/hyperlink" Target="https://www.fedlex.admin.ch/eli/cc/1991/2259_2259_2259/de" TargetMode="External" Id="rId13"/><Relationship Type="http://schemas.openxmlformats.org/officeDocument/2006/relationships/hyperlink" Target="https://www.fedlex.admin.ch/eli/cc/1993/234_234_234/de" TargetMode="External" Id="rId14"/><Relationship Type="http://schemas.openxmlformats.org/officeDocument/2006/relationships/hyperlink" Target="https://www.fedlex.admin.ch/eli/cc/2025/450/de" TargetMode="External" Id="rId15"/><Relationship Type="http://schemas.openxmlformats.org/officeDocument/2006/relationships/hyperlink" Target="https://www.fedlex.admin.ch/eli/cc/1987/338_338_338/de" TargetMode="External" Id="rId16"/><Relationship Type="http://schemas.openxmlformats.org/officeDocument/2006/relationships/hyperlink" Target="https://www.fedlex.admin.ch/eli/cc/1988/1931_1931_1931/de" TargetMode="External" Id="rId17"/><Relationship Type="http://schemas.openxmlformats.org/officeDocument/2006/relationships/hyperlink" Target="https://www.fedlex.admin.ch/eli/cc/1998/2261_2261_2261/de" TargetMode="External" Id="rId18"/><Relationship Type="http://schemas.openxmlformats.org/officeDocument/2006/relationships/hyperlink" Target="https://www.fedlex.admin.ch/eli/cc/2015/891/de" TargetMode="External" Id="rId19"/><Relationship Type="http://schemas.openxmlformats.org/officeDocument/2006/relationships/hyperlink" Target="https://bl.clex.ch/app/de/texts_of_law/791" TargetMode="External" Id="rId20"/><Relationship Type="http://schemas.openxmlformats.org/officeDocument/2006/relationships/hyperlink" Target="https://www.gesetzessammlung.sg.ch/app/de/texts_of_law/731.1" TargetMode="External" Id="rId21"/><Relationship Type="http://schemas.openxmlformats.org/officeDocument/2006/relationships/hyperlink" Target="https://www.gesetzessammlung.sg.ch/app/de/texts_of_law/734.1" TargetMode="External" Id="rId22"/><Relationship Type="http://schemas.openxmlformats.org/officeDocument/2006/relationships/hyperlink" Target="https://www.gesetzessammlung.sg.ch/app/de/texts_of_law/271.53" TargetMode="External" Id="rId23"/><Relationship Type="http://schemas.openxmlformats.org/officeDocument/2006/relationships/hyperlink" Target="https://rechtsbuch.ur.ch/app/de/texts_of_law/10.5101" TargetMode="External" Id="rId24"/><Relationship Type="http://schemas.openxmlformats.org/officeDocument/2006/relationships/hyperlink" Target="https://rechtsbuch.ur.ch/app/de/texts_of_law/40.1211" TargetMode="External" Id="rId25"/><Relationship Type="http://schemas.openxmlformats.org/officeDocument/2006/relationships/hyperlink" Target="https://rechtsbuch.ur.ch/app/de/texts_of_law/3.3111" TargetMode="External" Id="rId26"/><Relationship Type="http://schemas.openxmlformats.org/officeDocument/2006/relationships/hyperlink" Target="https://rechtsbuch.ur.ch/app/de/texts_of_law/3.3115" TargetMode="External" Id="rId27"/><Relationship Type="http://schemas.openxmlformats.org/officeDocument/2006/relationships/hyperlink" Target="https://wil-sg.tlex.ch/app/de/texts_of_law/7.4.3-6" TargetMode="External" Id="rId28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29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30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31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32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33"/><Relationship Type="http://schemas.openxmlformats.org/officeDocument/2006/relationships/hyperlink" Target="https://map.geo.admin.ch" TargetMode="External" Id="rId34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35"/><Relationship Type="http://schemas.openxmlformats.org/officeDocument/2006/relationships/hyperlink" Target="https://map.geo.admin.ch" TargetMode="External" Id="rId36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37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38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39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40"/><Relationship Type="http://schemas.openxmlformats.org/officeDocument/2006/relationships/hyperlink" Target="https://www.geoportal.ch/ktsg/map/3502?y=2721138&amp;x=1258009&amp;scale=50000&amp;rotation=0" TargetMode="External" Id="rId41"/><Relationship Type="http://schemas.openxmlformats.org/officeDocument/2006/relationships/hyperlink" Target="https://wil-sg.tlex.ch/app/de/texts_of_law/7.4.3-6" TargetMode="External" Id="rId42"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43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44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45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46"/><Relationship Type="http://schemas.openxmlformats.org/officeDocument/2006/relationships/hyperlink" Target="https://www.bpuk.ch/bpuk/konkordate/ivoeb/ivoeb-2019" TargetMode="External" Id="rId47"/><Relationship Type="http://schemas.openxmlformats.org/officeDocument/2006/relationships/hyperlink" Target="https://bl.clex.ch/app/de/texts_of_law/420" TargetMode="External" Id="rId48"/><Relationship Type="http://schemas.openxmlformats.org/officeDocument/2006/relationships/hyperlink" Target="https://www.gesetzessammlung.sg.ch/app/de/texts_of_law/731.1" TargetMode="External" Id="rId49"/><Relationship Type="http://schemas.openxmlformats.org/officeDocument/2006/relationships/hyperlink" Target="https://ur.ch/_doc/320131" TargetMode="External" Id="rId50"/><Relationship Type="http://schemas.openxmlformats.org/officeDocument/2006/relationships/hyperlink" Target="https://rechtsbuch.ur.ch/app/de/texts_of_law/3.3115" TargetMode="External" Id="rId51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52"/><Relationship Type="http://schemas.openxmlformats.org/officeDocument/2006/relationships/hyperlink" Target="https://map.geo.admin.ch/#/map?lang=de&amp;center=2613308,1263110&amp;z=9&amp;bgLayer=ch.swisstopo.pixelkarte-grau&amp;layers=ch.bafu.bundesinventare-bln" TargetMode="External" Id="rId53"/><Relationship Type="http://schemas.openxmlformats.org/officeDocument/2006/relationships/hyperlink" Target="https://map.geo.admin.ch/#/map?lang=de&amp;center=2721138,1258009&amp;z=9&amp;bgLayer=ch.swisstopo.pixelkarte-grau&amp;layers=ch.bafu.bundesinventare-bln" TargetMode="External" Id="rId54"/><Relationship Type="http://schemas.openxmlformats.org/officeDocument/2006/relationships/hyperlink" Target="https://map.geo.admin.ch/#/map?lang=de&amp;center=2687333,1203124&amp;z=9&amp;bgLayer=ch.swisstopo.pixelkarte-grau&amp;layers=ch.bafu.bundesinventare-bln" TargetMode="External" Id="rId55"/><Relationship Type="http://schemas.openxmlformats.org/officeDocument/2006/relationships/hyperlink" Target="https://map.geo.admin.ch/#/map?lang=de&amp;center=2660000,1190000&amp;z=1&amp;bgLayer=ch.swisstopo.pixelkarte-grau&amp;layers=ch.bafu.bundesinventare-moorlandschaften" TargetMode="External" Id="rId56"/><Relationship Type="http://schemas.openxmlformats.org/officeDocument/2006/relationships/hyperlink" Target="https://map.geo.admin.ch/#/map?lang=de&amp;center=2613308,1263110&amp;z=9&amp;bgLayer=ch.swisstopo.pixelkarte-grau&amp;layers=ch.bafu.bundesinventare-moorlandschaften" TargetMode="External" Id="rId57"/><Relationship Type="http://schemas.openxmlformats.org/officeDocument/2006/relationships/hyperlink" Target="https://map.geo.admin.ch/#/map?lang=de&amp;center=2721138,1258009&amp;z=9&amp;bgLayer=ch.swisstopo.pixelkarte-grau&amp;layers=ch.bafu.bundesinventare-moorlandschaften" TargetMode="External" Id="rId58"/><Relationship Type="http://schemas.openxmlformats.org/officeDocument/2006/relationships/hyperlink" Target="https://map.geo.admin.ch/#/map?lang=de&amp;center=2687333,1203124&amp;z=9&amp;bgLayer=ch.swisstopo.pixelkarte-grau&amp;layers=ch.bafu.bundesinventare-moorlandschaften" TargetMode="External" Id="rId59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60"/><Relationship Type="http://schemas.openxmlformats.org/officeDocument/2006/relationships/hyperlink" Target="https://map.geo.admin.ch/#/map?lang=de&amp;center=2613308,1263110&amp;z=9&amp;bgLayer=ch.swisstopo.pixelkarte-grau&amp;layers=ch.bafu.bundesinventare-hochmoore" TargetMode="External" Id="rId61"/><Relationship Type="http://schemas.openxmlformats.org/officeDocument/2006/relationships/hyperlink" Target="https://map.geo.admin.ch/#/map?lang=de&amp;center=2721138,1258009&amp;z=9&amp;bgLayer=ch.swisstopo.pixelkarte-grau&amp;layers=ch.bafu.bundesinventare-hochmoore" TargetMode="External" Id="rId62"/><Relationship Type="http://schemas.openxmlformats.org/officeDocument/2006/relationships/hyperlink" Target="https://map.geo.admin.ch/#/map?lang=de&amp;center=2687333,1203124&amp;z=9&amp;bgLayer=ch.swisstopo.pixelkarte-grau&amp;layers=ch.bafu.bundesinventare-hochmoore" TargetMode="External" Id="rId63"/><Relationship Type="http://schemas.openxmlformats.org/officeDocument/2006/relationships/hyperlink" Target="https://map.geo.admin.ch/#/map?lang=de&amp;center=2660000,1190000&amp;z=1&amp;bgLayer=ch.swisstopo.pixelkarte-grau&amp;layers=ch.bafu.bundesinventare-flachmoore" TargetMode="External" Id="rId64"/><Relationship Type="http://schemas.openxmlformats.org/officeDocument/2006/relationships/hyperlink" Target="https://map.geo.admin.ch/#/map?lang=de&amp;center=2613308,1263110&amp;z=9&amp;bgLayer=ch.swisstopo.pixelkarte-grau&amp;layers=ch.bafu.bundesinventare-flachmoore" TargetMode="External" Id="rId65"/><Relationship Type="http://schemas.openxmlformats.org/officeDocument/2006/relationships/hyperlink" Target="https://map.geo.admin.ch/#/map?lang=de&amp;center=2721138,1258009&amp;z=9&amp;bgLayer=ch.swisstopo.pixelkarte-grau&amp;layers=ch.bafu.bundesinventare-flachmoore" TargetMode="External" Id="rId66"/><Relationship Type="http://schemas.openxmlformats.org/officeDocument/2006/relationships/hyperlink" Target="https://map.geo.admin.ch/#/map?lang=de&amp;center=2687333,1203124&amp;z=9&amp;bgLayer=ch.swisstopo.pixelkarte-grau&amp;layers=ch.bafu.bundesinventare-flachmoore" TargetMode="External" Id="rId67"/><Relationship Type="http://schemas.openxmlformats.org/officeDocument/2006/relationships/hyperlink" Target="https://map.geo.admin.ch/#/map?lang=de&amp;center=2660000,1190000&amp;z=1&amp;bgLayer=ch.swisstopo.pixelkarte-grau&amp;layers=ch.bafu.bundesinventare-auen" TargetMode="External" Id="rId68"/><Relationship Type="http://schemas.openxmlformats.org/officeDocument/2006/relationships/hyperlink" Target="https://map.geo.admin.ch/#/map?lang=de&amp;center=2613308,1263110&amp;z=9&amp;bgLayer=ch.swisstopo.pixelkarte-grau&amp;layers=ch.bafu.bundesinventare-auen" TargetMode="External" Id="rId69"/><Relationship Type="http://schemas.openxmlformats.org/officeDocument/2006/relationships/hyperlink" Target="https://map.geo.admin.ch/#/map?lang=de&amp;center=2721138,1258009&amp;z=9&amp;bgLayer=ch.swisstopo.pixelkarte-grau&amp;layers=ch.bafu.bundesinventare-auen" TargetMode="External" Id="rId70"/><Relationship Type="http://schemas.openxmlformats.org/officeDocument/2006/relationships/hyperlink" Target="https://map.geo.admin.ch/#/map?lang=de&amp;center=2687333,1203124&amp;z=9&amp;bgLayer=ch.swisstopo.pixelkarte-grau&amp;layers=ch.bafu.bundesinventare-auen" TargetMode="External" Id="rId71"/><Relationship Type="http://schemas.openxmlformats.org/officeDocument/2006/relationships/hyperlink" Target="https://map.geo.admin.ch/#/map?lang=de&amp;center=2660000,1190000&amp;z=1&amp;bgLayer=ch.swisstopo.pixelkarte-grau&amp;layers=ch.bafu.bundesinventare-amphibien" TargetMode="External" Id="rId72"/><Relationship Type="http://schemas.openxmlformats.org/officeDocument/2006/relationships/hyperlink" Target="https://map.geo.admin.ch/#/map?lang=de&amp;center=2613308,1263110&amp;z=9&amp;bgLayer=ch.swisstopo.pixelkarte-grau&amp;layers=ch.bafu.bundesinventare-amphibien" TargetMode="External" Id="rId73"/><Relationship Type="http://schemas.openxmlformats.org/officeDocument/2006/relationships/hyperlink" Target="https://map.geo.admin.ch/#/map?lang=de&amp;center=2721138,1258009&amp;z=9&amp;bgLayer=ch.swisstopo.pixelkarte-grau&amp;layers=ch.bafu.bundesinventare-amphibien" TargetMode="External" Id="rId74"/><Relationship Type="http://schemas.openxmlformats.org/officeDocument/2006/relationships/hyperlink" Target="https://map.geo.admin.ch/#/map?lang=de&amp;center=2687333,1203124&amp;z=9&amp;bgLayer=ch.swisstopo.pixelkarte-grau&amp;layers=ch.bafu.bundesinventare-amphibien" TargetMode="External" Id="rId75"/><Relationship Type="http://schemas.openxmlformats.org/officeDocument/2006/relationships/hyperlink" Target="https://map.geo.admin.ch/#/map?lang=de&amp;center=2660000,1190000&amp;z=1&amp;bgLayer=ch.swisstopo.pixelkarte-grau&amp;layers=ch.bafu.bundesinventare-trockenwiesen_trockenweiden" TargetMode="External" Id="rId76"/><Relationship Type="http://schemas.openxmlformats.org/officeDocument/2006/relationships/hyperlink" Target="https://map.geo.admin.ch/#/map?lang=de&amp;center=2613308,1263110&amp;z=9&amp;bgLayer=ch.swisstopo.pixelkarte-grau&amp;layers=ch.bafu.bundesinventare-trockenwiesen_trockenweiden" TargetMode="External" Id="rId77"/><Relationship Type="http://schemas.openxmlformats.org/officeDocument/2006/relationships/hyperlink" Target="https://map.geo.admin.ch/#/map?lang=de&amp;center=2721138,1258009&amp;z=9&amp;bgLayer=ch.swisstopo.pixelkarte-grau&amp;layers=ch.bafu.bundesinventare-trockenwiesen_trockenweiden" TargetMode="External" Id="rId78"/><Relationship Type="http://schemas.openxmlformats.org/officeDocument/2006/relationships/hyperlink" Target="https://map.geo.admin.ch/#/map?lang=de&amp;center=2687333,1203124&amp;z=9&amp;bgLayer=ch.swisstopo.pixelkarte-grau&amp;layers=ch.bafu.bundesinventare-trockenwiesen_trockenweiden" TargetMode="External" Id="rId79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80"/><Relationship Type="http://schemas.openxmlformats.org/officeDocument/2006/relationships/hyperlink" Target="https://map.geo.admin.ch/#/map?lang=de&amp;center=2613308,1263110&amp;z=9&amp;bgLayer=ch.swisstopo.pixelkarte-grau&amp;layers=ch.bafu.bundesinventare-jagdbanngebiete" TargetMode="External" Id="rId81"/><Relationship Type="http://schemas.openxmlformats.org/officeDocument/2006/relationships/hyperlink" Target="https://map.geo.admin.ch/#/map?lang=de&amp;center=2721138,1258009&amp;z=9&amp;bgLayer=ch.swisstopo.pixelkarte-grau&amp;layers=ch.bafu.bundesinventare-jagdbanngebiete" TargetMode="External" Id="rId82"/><Relationship Type="http://schemas.openxmlformats.org/officeDocument/2006/relationships/hyperlink" Target="https://map.geo.admin.ch/#/map?lang=de&amp;center=2687333,1203124&amp;z=9&amp;bgLayer=ch.swisstopo.pixelkarte-grau&amp;layers=ch.bafu.bundesinventare-jagdbanngebiete" TargetMode="External" Id="rId83"/><Relationship Type="http://schemas.openxmlformats.org/officeDocument/2006/relationships/hyperlink" Target="https://map.geo.admin.ch/#/map?lang=de&amp;center=2660000,1190000&amp;z=1&amp;bgLayer=ch.swisstopo.pixelkarte-grau&amp;layers=ch.bafu.bundesinventare-vogelreservate" TargetMode="External" Id="rId84"/><Relationship Type="http://schemas.openxmlformats.org/officeDocument/2006/relationships/hyperlink" Target="https://map.geo.admin.ch/#/map?lang=de&amp;center=2613308,1263110&amp;z=9&amp;bgLayer=ch.swisstopo.pixelkarte-grau&amp;layers=ch.bafu.bundesinventare-vogelreservate" TargetMode="External" Id="rId85"/><Relationship Type="http://schemas.openxmlformats.org/officeDocument/2006/relationships/hyperlink" Target="https://map.geo.admin.ch/#/map?lang=de&amp;center=2721138,1258009&amp;z=9&amp;bgLayer=ch.swisstopo.pixelkarte-grau&amp;layers=ch.bafu.bundesinventare-vogelreservate" TargetMode="External" Id="rId86"/><Relationship Type="http://schemas.openxmlformats.org/officeDocument/2006/relationships/hyperlink" Target="https://map.geo.admin.ch/#/map?lang=de&amp;center=2687333,1203124&amp;z=9&amp;bgLayer=ch.swisstopo.pixelkarte-grau&amp;layers=ch.bafu.bundesinventare-vogelreservate" TargetMode="External" Id="rId87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88"/><Relationship Type="http://schemas.openxmlformats.org/officeDocument/2006/relationships/hyperlink" Target="https://map.geo.admin.ch/#/map?lang=de&amp;center=2613308,1263110&amp;z=9&amp;bgLayer=ch.swisstopo.pixelkarte-grau&amp;layers=ch.bafu.fauna-wildtierkorridor_national" TargetMode="External" Id="rId89"/><Relationship Type="http://schemas.openxmlformats.org/officeDocument/2006/relationships/hyperlink" Target="https://map.geo.admin.ch/#/map?lang=de&amp;center=2721138,1258009&amp;z=9&amp;bgLayer=ch.swisstopo.pixelkarte-grau&amp;layers=ch.bafu.fauna-wildtierkorridor_national" TargetMode="External" Id="rId90"/><Relationship Type="http://schemas.openxmlformats.org/officeDocument/2006/relationships/hyperlink" Target="https://map.geo.admin.ch/#/map?lang=de&amp;center=2687333,1203124&amp;z=9&amp;bgLayer=ch.swisstopo.pixelkarte-grau&amp;layers=ch.bafu.fauna-wildtierkorridor_national" TargetMode="External" Id="rId91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92"/><Relationship Type="http://schemas.openxmlformats.org/officeDocument/2006/relationships/hyperlink" Target="https://map.geo.admin.ch/#/map?lang=de&amp;center=2613308,1263110&amp;z=9&amp;bgLayer=ch.swisstopo.pixelkarte-grau&amp;layers=ch.bafu.waldreservate" TargetMode="External" Id="rId93"/><Relationship Type="http://schemas.openxmlformats.org/officeDocument/2006/relationships/hyperlink" Target="https://map.geo.admin.ch/#/map?lang=de&amp;center=2721138,1258009&amp;z=9&amp;bgLayer=ch.swisstopo.pixelkarte-grau&amp;layers=ch.bafu.waldreservate" TargetMode="External" Id="rId94"/><Relationship Type="http://schemas.openxmlformats.org/officeDocument/2006/relationships/hyperlink" Target="https://map.geo.admin.ch/#/map?lang=de&amp;center=2687333,1203124&amp;z=9&amp;bgLayer=ch.swisstopo.pixelkarte-grau&amp;layers=ch.bafu.waldreservate" TargetMode="External" Id="rId95"/><Relationship Type="http://schemas.openxmlformats.org/officeDocument/2006/relationships/hyperlink" Target="https://map.geo.admin.ch/#/map?lang=de&amp;center=2660000,1190000&amp;z=1&amp;bgLayer=ch.swisstopo.pixelkarte-grau" TargetMode="External" Id="rId96"/><Relationship Type="http://schemas.openxmlformats.org/officeDocument/2006/relationships/hyperlink" Target="https://map.geo.admin.ch/#/map?lang=de&amp;center=2613308,1263110&amp;z=9&amp;bgLayer=ch.swisstopo.pixelkarte-grau" TargetMode="External" Id="rId97"/><Relationship Type="http://schemas.openxmlformats.org/officeDocument/2006/relationships/hyperlink" Target="https://map.geo.admin.ch/#/map?lang=de&amp;center=2721138,1258009&amp;z=9&amp;bgLayer=ch.swisstopo.pixelkarte-grau" TargetMode="External" Id="rId98"/><Relationship Type="http://schemas.openxmlformats.org/officeDocument/2006/relationships/hyperlink" Target="https://map.geo.admin.ch/#/map?lang=de&amp;center=2687333,1203124&amp;z=9&amp;bgLayer=ch.swisstopo.pixelkarte-grau" TargetMode="External" Id="rId99"/><Relationship Type="http://schemas.openxmlformats.org/officeDocument/2006/relationships/hyperlink" Target="https://map.geo.admin.ch/#/map?lang=de&amp;center=2660000,1190000&amp;z=1&amp;bgLayer=ch.swisstopo.pixelkarte-grau&amp;layers=ch.are.bauzonen" TargetMode="External" Id="rId100"/><Relationship Type="http://schemas.openxmlformats.org/officeDocument/2006/relationships/hyperlink" Target="https://map.geo.admin.ch/#/map?lang=de&amp;center=2613308,1263110&amp;z=9&amp;bgLayer=ch.swisstopo.pixelkarte-grau&amp;layers=ch.are.bauzonen" TargetMode="External" Id="rId101"/><Relationship Type="http://schemas.openxmlformats.org/officeDocument/2006/relationships/hyperlink" Target="https://map.geo.admin.ch/#/map?lang=de&amp;center=2721138,1258009&amp;z=9&amp;bgLayer=ch.swisstopo.pixelkarte-grau&amp;layers=ch.are.bauzonen" TargetMode="External" Id="rId102"/><Relationship Type="http://schemas.openxmlformats.org/officeDocument/2006/relationships/hyperlink" Target="https://map.geo.admin.ch/#/map?lang=de&amp;center=2687333,1203124&amp;z=9&amp;bgLayer=ch.swisstopo.pixelkarte-grau&amp;layers=ch.are.bauzonen" TargetMode="External" Id="rId103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104"/><Relationship Type="http://schemas.openxmlformats.org/officeDocument/2006/relationships/hyperlink" Target="https://map.geo.admin.ch/#/map?lang=de&amp;center=2613308,1263110&amp;z=9&amp;bgLayer=ch.swisstopo.pixelkarte-grau&amp;layers=ch.bfe.solarenergie-eignung-daecher" TargetMode="External" Id="rId105"/><Relationship Type="http://schemas.openxmlformats.org/officeDocument/2006/relationships/hyperlink" Target="https://map.geo.admin.ch/#/map?lang=de&amp;center=2721138,1258009&amp;z=9&amp;bgLayer=ch.swisstopo.pixelkarte-grau&amp;layers=ch.bfe.solarenergie-eignung-daecher" TargetMode="External" Id="rId106"/><Relationship Type="http://schemas.openxmlformats.org/officeDocument/2006/relationships/hyperlink" Target="https://map.geo.admin.ch/#/map?lang=de&amp;center=2687333,1203124&amp;z=9&amp;bgLayer=ch.swisstopo.pixelkarte-grau&amp;layers=ch.bfe.solarenergie-eignung-daecher" TargetMode="External" Id="rId107"/><Relationship Type="http://schemas.openxmlformats.org/officeDocument/2006/relationships/hyperlink" Target="https://map.geo.admin.ch/#/map?lang=de&amp;center=2660000,1190000&amp;z=1&amp;bgLayer=ch.swisstopo.pixelkarte-grau&amp;layers=ch.bfe.solarenergie-eignung-fassaden" TargetMode="External" Id="rId108"/><Relationship Type="http://schemas.openxmlformats.org/officeDocument/2006/relationships/hyperlink" Target="https://map.geo.admin.ch/#/map?lang=de&amp;center=2613308,1263110&amp;z=9&amp;bgLayer=ch.swisstopo.pixelkarte-grau&amp;layers=ch.bfe.solarenergie-eignung-fassaden" TargetMode="External" Id="rId109"/><Relationship Type="http://schemas.openxmlformats.org/officeDocument/2006/relationships/hyperlink" Target="https://map.geo.admin.ch/#/map?lang=de&amp;center=2721138,1258009&amp;z=9&amp;bgLayer=ch.swisstopo.pixelkarte-grau&amp;layers=ch.bfe.solarenergie-eignung-fassaden" TargetMode="External" Id="rId110"/><Relationship Type="http://schemas.openxmlformats.org/officeDocument/2006/relationships/hyperlink" Target="https://map.geo.admin.ch/#/map?lang=de&amp;center=2687333,1203124&amp;z=9&amp;bgLayer=ch.swisstopo.pixelkarte-grau&amp;layers=ch.bfe.solarenergie-eignung-fassaden" TargetMode="External" Id="rId111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112"/><Relationship Type="http://schemas.openxmlformats.org/officeDocument/2006/relationships/hyperlink" Target="https://map.geo.admin.ch/#/map?lang=de&amp;center=2613308,1263110&amp;z=9&amp;bgLayer=ch.swisstopo.pixelkarte-grau&amp;layers=ch.bfs.gebaeude_wohnungs_register" TargetMode="External" Id="rId113"/><Relationship Type="http://schemas.openxmlformats.org/officeDocument/2006/relationships/hyperlink" Target="https://map.geo.admin.ch/#/map?lang=de&amp;center=2721138,1258009&amp;z=9&amp;bgLayer=ch.swisstopo.pixelkarte-grau&amp;layers=ch.bfs.gebaeude_wohnungs_register" TargetMode="External" Id="rId114"/><Relationship Type="http://schemas.openxmlformats.org/officeDocument/2006/relationships/hyperlink" Target="https://map.geo.admin.ch/#/map?lang=de&amp;center=2687333,1203124&amp;z=9&amp;bgLayer=ch.swisstopo.pixelkarte-grau&amp;layers=ch.bfs.gebaeude_wohnungs_register" TargetMode="External" Id="rId115"/><Relationship Type="http://schemas.openxmlformats.org/officeDocument/2006/relationships/hyperlink" Target="https://map.geo.admin.ch/#/map?lang=de&amp;center=2660000,1190000&amp;z=1&amp;bgLayer=ch.swisstopo.pixelkarte-grau" TargetMode="External" Id="rId116"/><Relationship Type="http://schemas.openxmlformats.org/officeDocument/2006/relationships/hyperlink" Target="https://map.geo.admin.ch/#/map?lang=de&amp;center=2613308,1263110&amp;z=9&amp;bgLayer=ch.swisstopo.pixelkarte-grau" TargetMode="External" Id="rId117"/><Relationship Type="http://schemas.openxmlformats.org/officeDocument/2006/relationships/hyperlink" Target="https://map.geo.admin.ch/#/map?lang=de&amp;center=2721138,1258009&amp;z=9&amp;bgLayer=ch.swisstopo.pixelkarte-grau" TargetMode="External" Id="rId118"/><Relationship Type="http://schemas.openxmlformats.org/officeDocument/2006/relationships/hyperlink" Target="https://map.geo.admin.ch/#/map?lang=de&amp;center=2687333,1203124&amp;z=9&amp;bgLayer=ch.swisstopo.pixelkarte-grau" TargetMode="External" Id="rId119"/><Relationship Type="http://schemas.openxmlformats.org/officeDocument/2006/relationships/hyperlink" Target="https://map.geo.admin.ch/#/map?lang=de&amp;center=2660000,1190000&amp;z=1&amp;bgLayer=ch.swisstopo.pixelkarte-grau&amp;layers=ch.are.gueteklassen_oev" TargetMode="External" Id="rId120"/><Relationship Type="http://schemas.openxmlformats.org/officeDocument/2006/relationships/hyperlink" Target="https://map.geo.admin.ch/#/map?lang=de&amp;center=2613308,1263110&amp;z=9&amp;bgLayer=ch.swisstopo.pixelkarte-grau&amp;layers=ch.are.gueteklassen_oev" TargetMode="External" Id="rId121"/><Relationship Type="http://schemas.openxmlformats.org/officeDocument/2006/relationships/hyperlink" Target="https://map.geo.admin.ch/#/map?lang=de&amp;center=2721138,1258009&amp;z=9&amp;bgLayer=ch.swisstopo.pixelkarte-grau&amp;layers=ch.are.gueteklassen_oev" TargetMode="External" Id="rId122"/><Relationship Type="http://schemas.openxmlformats.org/officeDocument/2006/relationships/hyperlink" Target="https://map.geo.admin.ch/#/map?lang=de&amp;center=2687333,1203124&amp;z=9&amp;bgLayer=ch.swisstopo.pixelkarte-grau&amp;layers=ch.are.gueteklassen_oev" TargetMode="External" Id="rId123"/><Relationship Type="http://schemas.openxmlformats.org/officeDocument/2006/relationships/hyperlink" Target="https://map.geo.admin.ch/#/map?lang=de&amp;center=2660000,1190000&amp;z=1&amp;bgLayer=ch.swisstopo.pixelkarte-grau" TargetMode="External" Id="rId124"/><Relationship Type="http://schemas.openxmlformats.org/officeDocument/2006/relationships/hyperlink" Target="https://map.geo.admin.ch/#/map?lang=de&amp;center=2613308,1263110&amp;z=9&amp;bgLayer=ch.swisstopo.pixelkarte-grau" TargetMode="External" Id="rId125"/><Relationship Type="http://schemas.openxmlformats.org/officeDocument/2006/relationships/hyperlink" Target="https://map.geo.admin.ch/#/map?lang=de&amp;center=2721138,1258009&amp;z=9&amp;bgLayer=ch.swisstopo.pixelkarte-grau" TargetMode="External" Id="rId126"/><Relationship Type="http://schemas.openxmlformats.org/officeDocument/2006/relationships/hyperlink" Target="https://map.geo.admin.ch/#/map?lang=de&amp;center=2687333,1203124&amp;z=9&amp;bgLayer=ch.swisstopo.pixelkarte-grau" TargetMode="External" Id="rId127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128"/><Relationship Type="http://schemas.openxmlformats.org/officeDocument/2006/relationships/hyperlink" Target="https://map.geo.admin.ch/#/map?lang=de&amp;center=2613308,1263110&amp;z=9&amp;bgLayer=ch.swisstopo.pixelkarte-grau&amp;layers=ch.bafu.gefaehrdungskarte-oberflaechenabfluss" TargetMode="External" Id="rId129"/><Relationship Type="http://schemas.openxmlformats.org/officeDocument/2006/relationships/hyperlink" Target="https://map.geo.admin.ch/#/map?lang=de&amp;center=2721138,1258009&amp;z=9&amp;bgLayer=ch.swisstopo.pixelkarte-grau&amp;layers=ch.bafu.gefaehrdungskarte-oberflaechenabfluss" TargetMode="External" Id="rId130"/><Relationship Type="http://schemas.openxmlformats.org/officeDocument/2006/relationships/hyperlink" Target="https://map.geo.admin.ch/#/map?lang=de&amp;center=2687333,1203124&amp;z=9&amp;bgLayer=ch.swisstopo.pixelkarte-grau&amp;layers=ch.bafu.gefaehrdungskarte-oberflaechenabfluss" TargetMode="External" Id="rId131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132"/><Relationship Type="http://schemas.openxmlformats.org/officeDocument/2006/relationships/hyperlink" Target="https://map.geo.admin.ch/#/map?lang=de&amp;center=2613308,1263110&amp;z=9&amp;bgLayer=ch.swisstopo.pixelkarte-grau&amp;layers=ch.bafu.gefahren-baugrundklassen" TargetMode="External" Id="rId133"/><Relationship Type="http://schemas.openxmlformats.org/officeDocument/2006/relationships/hyperlink" Target="https://map.geo.admin.ch/#/map?lang=de&amp;center=2721138,1258009&amp;z=9&amp;bgLayer=ch.swisstopo.pixelkarte-grau&amp;layers=ch.bafu.gefahren-baugrundklassen" TargetMode="External" Id="rId134"/><Relationship Type="http://schemas.openxmlformats.org/officeDocument/2006/relationships/hyperlink" Target="https://map.geo.admin.ch/#/map?lang=de&amp;center=2687333,1203124&amp;z=9&amp;bgLayer=ch.swisstopo.pixelkarte-grau&amp;layers=ch.bafu.gefahren-baugrundklassen" TargetMode="External" Id="rId135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136"/><Relationship Type="http://schemas.openxmlformats.org/officeDocument/2006/relationships/hyperlink" Target="https://map.geo.admin.ch/#/map?lang=de&amp;center=2613308,1263110&amp;z=9&amp;bgLayer=ch.swisstopo.pixelkarte-grau&amp;layers=ch.bafu.laerm-strassenlaerm_tag" TargetMode="External" Id="rId137"/><Relationship Type="http://schemas.openxmlformats.org/officeDocument/2006/relationships/hyperlink" Target="https://map.geo.admin.ch/#/map?lang=de&amp;center=2721138,1258009&amp;z=9&amp;bgLayer=ch.swisstopo.pixelkarte-grau&amp;layers=ch.bafu.laerm-strassenlaerm_tag" TargetMode="External" Id="rId138"/><Relationship Type="http://schemas.openxmlformats.org/officeDocument/2006/relationships/hyperlink" Target="https://map.geo.admin.ch/#/map?lang=de&amp;center=2687333,1203124&amp;z=9&amp;bgLayer=ch.swisstopo.pixelkarte-grau&amp;layers=ch.bafu.laerm-strassenlaerm_tag" TargetMode="External" Id="rId139"/><Relationship Type="http://schemas.openxmlformats.org/officeDocument/2006/relationships/hyperlink" Target="https://map.geo.admin.ch/#/map?lang=de&amp;center=2660000,1190000&amp;z=1&amp;bgLayer=ch.swisstopo.pixelkarte-grau&amp;layers=ch.bafu.laerm-bahnlaerm_tag" TargetMode="External" Id="rId140"/><Relationship Type="http://schemas.openxmlformats.org/officeDocument/2006/relationships/hyperlink" Target="https://map.geo.admin.ch/#/map?lang=de&amp;center=2613308,1263110&amp;z=9&amp;bgLayer=ch.swisstopo.pixelkarte-grau&amp;layers=ch.bafu.laerm-bahnlaerm_tag" TargetMode="External" Id="rId141"/><Relationship Type="http://schemas.openxmlformats.org/officeDocument/2006/relationships/hyperlink" Target="https://map.geo.admin.ch/#/map?lang=de&amp;center=2721138,1258009&amp;z=9&amp;bgLayer=ch.swisstopo.pixelkarte-grau&amp;layers=ch.bafu.laerm-bahnlaerm_tag" TargetMode="External" Id="rId142"/><Relationship Type="http://schemas.openxmlformats.org/officeDocument/2006/relationships/hyperlink" Target="https://map.geo.admin.ch/#/map?lang=de&amp;center=2687333,1203124&amp;z=9&amp;bgLayer=ch.swisstopo.pixelkarte-grau&amp;layers=ch.bafu.laerm-bahnlaerm_tag" TargetMode="External" Id="rId143"/><Relationship Type="http://schemas.openxmlformats.org/officeDocument/2006/relationships/hyperlink" Target="https://map.geo.admin.ch/#/map?lang=de&amp;center=2660000,1190000&amp;z=1&amp;bgLayer=ch.swisstopo.pixelkarte-grau" TargetMode="External" Id="rId144"/><Relationship Type="http://schemas.openxmlformats.org/officeDocument/2006/relationships/hyperlink" Target="https://map.geo.admin.ch/#/map?lang=de&amp;center=2613308,1263110&amp;z=9&amp;bgLayer=ch.swisstopo.pixelkarte-grau" TargetMode="External" Id="rId145"/><Relationship Type="http://schemas.openxmlformats.org/officeDocument/2006/relationships/hyperlink" Target="https://map.geo.admin.ch/#/map?lang=de&amp;center=2721138,1258009&amp;z=9&amp;bgLayer=ch.swisstopo.pixelkarte-grau" TargetMode="External" Id="rId146"/><Relationship Type="http://schemas.openxmlformats.org/officeDocument/2006/relationships/hyperlink" Target="https://map.geo.admin.ch/#/map?lang=de&amp;center=2687333,1203124&amp;z=9&amp;bgLayer=ch.swisstopo.pixelkarte-grau" TargetMode="External" Id="rId147"/><Relationship Type="http://schemas.openxmlformats.org/officeDocument/2006/relationships/hyperlink" Target="https://map.geo.admin.ch/#/map?lang=de&amp;center=2660000,1190000&amp;z=1&amp;bgLayer=ch.swisstopo.pixelkarte-grau" TargetMode="External" Id="rId148"/><Relationship Type="http://schemas.openxmlformats.org/officeDocument/2006/relationships/hyperlink" Target="https://map.geo.admin.ch/#/map?lang=de&amp;center=2613308,1263110&amp;z=9&amp;bgLayer=ch.swisstopo.pixelkarte-grau" TargetMode="External" Id="rId149"/><Relationship Type="http://schemas.openxmlformats.org/officeDocument/2006/relationships/hyperlink" Target="https://map.geo.admin.ch/#/map?lang=de&amp;center=2721138,1258009&amp;z=9&amp;bgLayer=ch.swisstopo.pixelkarte-grau" TargetMode="External" Id="rId150"/><Relationship Type="http://schemas.openxmlformats.org/officeDocument/2006/relationships/hyperlink" Target="https://map.geo.admin.ch/#/map?lang=de&amp;center=2687333,1203124&amp;z=9&amp;bgLayer=ch.swisstopo.pixelkarte-grau" TargetMode="External" Id="rId151"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52"/><Relationship Type="http://schemas.openxmlformats.org/officeDocument/2006/relationships/hyperlink" Target="https://map.geo.admin.ch/#/map?lang=de&amp;center=2613308,1263110&amp;z=9&amp;bgLayer=ch.swisstopo.pixelkarte-grau&amp;layers=ch.bak.bundesinventar-schuetzenswerte-ortsbilder" TargetMode="External" Id="rId153"/><Relationship Type="http://schemas.openxmlformats.org/officeDocument/2006/relationships/hyperlink" Target="https://map.geo.admin.ch/#/map?lang=de&amp;center=2721138,1258009&amp;z=9&amp;bgLayer=ch.swisstopo.pixelkarte-grau&amp;layers=ch.bak.bundesinventar-schuetzenswerte-ortsbilder" TargetMode="External" Id="rId154"/><Relationship Type="http://schemas.openxmlformats.org/officeDocument/2006/relationships/hyperlink" Target="https://map.geo.admin.ch/#/map?lang=de&amp;center=2687333,1203124&amp;z=9&amp;bgLayer=ch.swisstopo.pixelkarte-grau&amp;layers=ch.bak.bundesinventar-schuetzenswerte-ortsbilder" TargetMode="External" Id="rId155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156"/><Relationship Type="http://schemas.openxmlformats.org/officeDocument/2006/relationships/hyperlink" Target="https://map.geo.admin.ch/#/map?lang=de&amp;center=2613308,1263110&amp;z=9&amp;bgLayer=ch.swisstopo.pixelkarte-grau&amp;layers=ch.astra.ivs-nat" TargetMode="External" Id="rId157"/><Relationship Type="http://schemas.openxmlformats.org/officeDocument/2006/relationships/hyperlink" Target="https://map.geo.admin.ch/#/map?lang=de&amp;center=2721138,1258009&amp;z=9&amp;bgLayer=ch.swisstopo.pixelkarte-grau&amp;layers=ch.astra.ivs-nat" TargetMode="External" Id="rId158"/><Relationship Type="http://schemas.openxmlformats.org/officeDocument/2006/relationships/hyperlink" Target="https://map.geo.admin.ch/#/map?lang=de&amp;center=2687333,1203124&amp;z=9&amp;bgLayer=ch.swisstopo.pixelkarte-grau&amp;layers=ch.astra.ivs-nat" TargetMode="External" Id="rId159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160"/><Relationship Type="http://schemas.openxmlformats.org/officeDocument/2006/relationships/hyperlink" Target="https://map.geo.admin.ch/#/map?lang=de&amp;center=2613308,1263110&amp;z=9&amp;bgLayer=ch.swisstopo.pixelkarte-grau&amp;layers=ch.babs.kulturgueter" TargetMode="External" Id="rId161"/><Relationship Type="http://schemas.openxmlformats.org/officeDocument/2006/relationships/hyperlink" Target="https://map.geo.admin.ch/#/map?lang=de&amp;center=2721138,1258009&amp;z=9&amp;bgLayer=ch.swisstopo.pixelkarte-grau&amp;layers=ch.babs.kulturgueter" TargetMode="External" Id="rId162"/><Relationship Type="http://schemas.openxmlformats.org/officeDocument/2006/relationships/hyperlink" Target="https://map.geo.admin.ch/#/map?lang=de&amp;center=2687333,1203124&amp;z=9&amp;bgLayer=ch.swisstopo.pixelkarte-grau&amp;layers=ch.babs.kulturgueter" TargetMode="External" Id="rId163"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64"/><Relationship Type="http://schemas.openxmlformats.org/officeDocument/2006/relationships/hyperlink" Target="https://www.geoportal.ch/ktsg/map/3502?y=2721138&amp;x=1258009&amp;scale=50000&amp;rotation=0" TargetMode="External" Id="rId165"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66"/><Relationship Type="http://schemas.openxmlformats.org/officeDocument/2006/relationships/hyperlink" Target="https://www.fedlex.admin.ch/eli/oc/2024/679/de" TargetMode="External" Id="rId167"/><Relationship Type="http://schemas.openxmlformats.org/officeDocument/2006/relationships/hyperlink" Target="https://www.muenchenstein.ch/_docn/2430218/20180713_Gemeindeordnung_Stand_01.01.2013_publiziert_sw.pdf" TargetMode="External" Id="rId168"/><Relationship Type="http://schemas.openxmlformats.org/officeDocument/2006/relationships/hyperlink" Target="https://www.seelisberg.ch/files/pdf/Gemeindeordnung.pdf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4" customWidth="1" min="1" max="1"/>
    <col width="16" customWidth="1" min="2" max="2"/>
    <col width="14" customWidth="1" min="3" max="3"/>
    <col width="18" customWidth="1" min="4" max="5"/>
    <col width="20" customWidth="1" min="6" max="6"/>
    <col width="14" customWidth="1" min="7" max="7"/>
    <col width="10" customWidth="1" min="8" max="8"/>
    <col width="14" customWidth="1" min="9" max="9"/>
  </cols>
  <sheetData>
    <row r="1" ht="19.7" customHeight="1">
      <c r="A1" s="1" t="inlineStr">
        <is>
          <t>Qualitätsrahmen Q1–Q6 · Erste Übersicht · Münchenstein, Wil, Seelisberg</t>
        </is>
      </c>
    </row>
    <row r="2" ht="15" customHeight="1">
      <c r="A2" s="2" t="inlineStr">
        <is>
          <t>Raumgleiter · LP01 · Assignment 01 (Q-Restriktionsprofil, Entwurf) · Recherchestand 14.10.2026 · Basis: Q_Grundlagenkataster_3_Gemeinden_bereinigt.xlsx plus Ergänzungen</t>
        </is>
      </c>
    </row>
    <row r="4" ht="15" customHeight="1">
      <c r="A4" s="3" t="inlineStr">
        <is>
          <t>Aufbau</t>
        </is>
      </c>
    </row>
    <row r="5" ht="15" customHeight="1">
      <c r="A5" s="4" t="inlineStr">
        <is>
          <t>1_Q1_Rechtsordnung</t>
        </is>
      </c>
      <c r="B5" s="5" t="inlineStr">
        <is>
          <t>Erlasse und Pläne: Bund → Interkantonal → Kanton → Gemeinde (alle Q)</t>
        </is>
      </c>
    </row>
    <row r="6" ht="15" customHeight="1">
      <c r="A6" s="4" t="inlineStr">
        <is>
          <t>2_Q2_Landschaft</t>
        </is>
      </c>
      <c r="B6" s="5" t="inlineStr">
        <is>
          <t>Dokumente, Inventare, Geodaten Landschaft/Biodiversität (inkl. nicht öffentliche Daten)</t>
        </is>
      </c>
    </row>
    <row r="7" ht="15" customHeight="1">
      <c r="A7" s="4" t="inlineStr">
        <is>
          <t>3_Q3_Klima_Energie</t>
        </is>
      </c>
      <c r="B7" s="5" t="inlineStr">
        <is>
          <t>Dokumente, Inventare, Geodaten Klimaschutz/Energie/Ressourcen</t>
        </is>
      </c>
    </row>
    <row r="8" ht="15" customHeight="1">
      <c r="A8" s="4" t="inlineStr">
        <is>
          <t>4_Q4_Resilienz</t>
        </is>
      </c>
      <c r="B8" s="5" t="inlineStr">
        <is>
          <t>Dokumente, Inventare, Geodaten Klimaanpassung/Resilienz</t>
        </is>
      </c>
    </row>
    <row r="9" ht="15" customHeight="1">
      <c r="A9" s="4" t="inlineStr">
        <is>
          <t>5_Q5_Ortsbild</t>
        </is>
      </c>
      <c r="B9" s="5" t="inlineStr">
        <is>
          <t>Dokumente, Inventare, Geodaten Ortsbild/Baukultur</t>
        </is>
      </c>
    </row>
    <row r="10" ht="15" customHeight="1">
      <c r="A10" s="4" t="inlineStr">
        <is>
          <t>6_Q6_Bestellung</t>
        </is>
      </c>
      <c r="B10" s="5" t="inlineStr">
        <is>
          <t>Dokumente, Grundlagen integrierte lebenszyklusorientierte Bestellung/Vergabe</t>
        </is>
      </c>
    </row>
    <row r="11" ht="15" customHeight="1">
      <c r="A11" s="4" t="inlineStr">
        <is>
          <t>7_GIS_Layers</t>
        </is>
      </c>
      <c r="B11" s="5" t="inlineStr">
        <is>
          <t>Sammlung der GIS-Layer mit Links (CH-weit und je Gemeinde) zur Betroffenheitsprüfung</t>
        </is>
      </c>
    </row>
    <row r="12" ht="15" customHeight="1">
      <c r="A12" s="4" t="inlineStr">
        <is>
          <t>8_Hinweise_Kataster</t>
        </is>
      </c>
      <c r="B12" s="5" t="inlineStr">
        <is>
          <t>Auffälligkeiten im Kataster, Umsetzungsstand</t>
        </is>
      </c>
    </row>
    <row r="15" ht="15" customHeight="1">
      <c r="A15" s="3" t="inlineStr">
        <is>
          <t>Abdeckung je Blatt und Gemeinde (Anzahl Zeilen, per Formel aus den Blättern)</t>
        </is>
      </c>
    </row>
    <row r="16" ht="42" customHeight="1">
      <c r="A16" s="6" t="inlineStr">
        <is>
          <t>Blatt</t>
        </is>
      </c>
      <c r="B16" s="6" t="inlineStr">
        <is>
          <t>Gemeinde</t>
        </is>
      </c>
      <c r="C16" s="6" t="inlineStr">
        <is>
          <t>gilt / belegt</t>
        </is>
      </c>
      <c r="D16" s="6" t="inlineStr">
        <is>
          <t>belegt – Betroffenheit offen</t>
        </is>
      </c>
      <c r="E16" s="6" t="inlineStr">
        <is>
          <t>keine Regelung (geprüft)</t>
        </is>
      </c>
      <c r="F16" s="6" t="inlineStr">
        <is>
          <t>nicht belegt (Recherche offen)</t>
        </is>
      </c>
      <c r="G16" s="6" t="inlineStr">
        <is>
          <t>Datenanfrage</t>
        </is>
      </c>
      <c r="H16" s="6" t="inlineStr">
        <is>
          <t>Summe</t>
        </is>
      </c>
      <c r="I16" s="6" t="inlineStr">
        <is>
          <t>Anteil belegt</t>
        </is>
      </c>
    </row>
    <row r="17" ht="15" customHeight="1">
      <c r="A17" s="7" t="inlineStr">
        <is>
          <t>1_Q1_Rechtsordnung</t>
        </is>
      </c>
      <c r="B17" s="8" t="inlineStr">
        <is>
          <t>Münchenstein</t>
        </is>
      </c>
      <c r="C17" s="9">
        <f>COUNTIF('1_Q1_Rechtsordnung'!$I$6:$I$95,"belegt")+COUNTIF('1_Q1_Rechtsordnung'!$I$6:$I$95,"gilt")</f>
        <v/>
      </c>
      <c r="D17" s="9">
        <f>COUNTIF('1_Q1_Rechtsordnung'!$I$6:$I$95,"belegt – Betroffenheit offen")</f>
        <v/>
      </c>
      <c r="E17" s="9">
        <f>COUNTIF('1_Q1_Rechtsordnung'!$I$6:$I$95,"keine Regelung (geprüft)")</f>
        <v/>
      </c>
      <c r="F17" s="9">
        <f>COUNTIF('1_Q1_Rechtsordnung'!$I$6:$I$95,"nicht belegt (Recherche offen)")</f>
        <v/>
      </c>
      <c r="G17" s="9">
        <f>COUNTIF('1_Q1_Rechtsordnung'!$I$6:$I$95,"Datenanfrage (nicht öffentlich)")</f>
        <v/>
      </c>
      <c r="H17" s="9">
        <f>SUM(C17:G17)</f>
        <v/>
      </c>
      <c r="I17" s="10">
        <f>IF(H17=0,0,(C17+D17)/H17)</f>
        <v/>
      </c>
    </row>
    <row r="18" ht="15" customHeight="1">
      <c r="A18" s="7" t="n"/>
      <c r="B18" s="8" t="inlineStr">
        <is>
          <t>Wil</t>
        </is>
      </c>
      <c r="C18" s="9">
        <f>COUNTIF('1_Q1_Rechtsordnung'!$J$6:$J$95,"belegt")+COUNTIF('1_Q1_Rechtsordnung'!$J$6:$J$95,"gilt")</f>
        <v/>
      </c>
      <c r="D18" s="9">
        <f>COUNTIF('1_Q1_Rechtsordnung'!$J$6:$J$95,"belegt – Betroffenheit offen")</f>
        <v/>
      </c>
      <c r="E18" s="9">
        <f>COUNTIF('1_Q1_Rechtsordnung'!$J$6:$J$95,"keine Regelung (geprüft)")</f>
        <v/>
      </c>
      <c r="F18" s="9">
        <f>COUNTIF('1_Q1_Rechtsordnung'!$J$6:$J$95,"nicht belegt (Recherche offen)")</f>
        <v/>
      </c>
      <c r="G18" s="9">
        <f>COUNTIF('1_Q1_Rechtsordnung'!$J$6:$J$95,"Datenanfrage (nicht öffentlich)")</f>
        <v/>
      </c>
      <c r="H18" s="9">
        <f>SUM(C18:G18)</f>
        <v/>
      </c>
      <c r="I18" s="10">
        <f>IF(H18=0,0,(C18+D18)/H18)</f>
        <v/>
      </c>
    </row>
    <row r="19" ht="15" customHeight="1">
      <c r="A19" s="7" t="n"/>
      <c r="B19" s="8" t="inlineStr">
        <is>
          <t>Seelisberg</t>
        </is>
      </c>
      <c r="C19" s="9">
        <f>COUNTIF('1_Q1_Rechtsordnung'!$K$6:$K$95,"belegt")+COUNTIF('1_Q1_Rechtsordnung'!$K$6:$K$95,"gilt")</f>
        <v/>
      </c>
      <c r="D19" s="9">
        <f>COUNTIF('1_Q1_Rechtsordnung'!$K$6:$K$95,"belegt – Betroffenheit offen")</f>
        <v/>
      </c>
      <c r="E19" s="9">
        <f>COUNTIF('1_Q1_Rechtsordnung'!$K$6:$K$95,"keine Regelung (geprüft)")</f>
        <v/>
      </c>
      <c r="F19" s="9">
        <f>COUNTIF('1_Q1_Rechtsordnung'!$K$6:$K$95,"nicht belegt (Recherche offen)")</f>
        <v/>
      </c>
      <c r="G19" s="9">
        <f>COUNTIF('1_Q1_Rechtsordnung'!$K$6:$K$95,"Datenanfrage (nicht öffentlich)")</f>
        <v/>
      </c>
      <c r="H19" s="9">
        <f>SUM(C19:G19)</f>
        <v/>
      </c>
      <c r="I19" s="10">
        <f>IF(H19=0,0,(C19+D19)/H19)</f>
        <v/>
      </c>
    </row>
    <row r="20" ht="15" customHeight="1">
      <c r="A20" s="7" t="inlineStr">
        <is>
          <t>2_Q2_Landschaft</t>
        </is>
      </c>
      <c r="B20" s="8" t="inlineStr">
        <is>
          <t>Münchenstein</t>
        </is>
      </c>
      <c r="C20" s="9">
        <f>COUNTIF('2_Q2_Landschaft'!$I$6:$I$36,"belegt")+COUNTIF('2_Q2_Landschaft'!$I$6:$I$36,"gilt")</f>
        <v/>
      </c>
      <c r="D20" s="9">
        <f>COUNTIF('2_Q2_Landschaft'!$I$6:$I$36,"belegt – Betroffenheit offen")</f>
        <v/>
      </c>
      <c r="E20" s="9">
        <f>COUNTIF('2_Q2_Landschaft'!$I$6:$I$36,"keine Regelung (geprüft)")</f>
        <v/>
      </c>
      <c r="F20" s="9">
        <f>COUNTIF('2_Q2_Landschaft'!$I$6:$I$36,"nicht belegt (Recherche offen)")</f>
        <v/>
      </c>
      <c r="G20" s="9">
        <f>COUNTIF('2_Q2_Landschaft'!$I$6:$I$36,"Datenanfrage (nicht öffentlich)")</f>
        <v/>
      </c>
      <c r="H20" s="9">
        <f>SUM(C20:G20)</f>
        <v/>
      </c>
      <c r="I20" s="10">
        <f>IF(H20=0,0,(C20+D20)/H20)</f>
        <v/>
      </c>
    </row>
    <row r="21" ht="15" customHeight="1">
      <c r="A21" s="7" t="n"/>
      <c r="B21" s="8" t="inlineStr">
        <is>
          <t>Wil</t>
        </is>
      </c>
      <c r="C21" s="9">
        <f>COUNTIF('2_Q2_Landschaft'!$J$6:$J$36,"belegt")+COUNTIF('2_Q2_Landschaft'!$J$6:$J$36,"gilt")</f>
        <v/>
      </c>
      <c r="D21" s="9">
        <f>COUNTIF('2_Q2_Landschaft'!$J$6:$J$36,"belegt – Betroffenheit offen")</f>
        <v/>
      </c>
      <c r="E21" s="9">
        <f>COUNTIF('2_Q2_Landschaft'!$J$6:$J$36,"keine Regelung (geprüft)")</f>
        <v/>
      </c>
      <c r="F21" s="9">
        <f>COUNTIF('2_Q2_Landschaft'!$J$6:$J$36,"nicht belegt (Recherche offen)")</f>
        <v/>
      </c>
      <c r="G21" s="9">
        <f>COUNTIF('2_Q2_Landschaft'!$J$6:$J$36,"Datenanfrage (nicht öffentlich)")</f>
        <v/>
      </c>
      <c r="H21" s="9">
        <f>SUM(C21:G21)</f>
        <v/>
      </c>
      <c r="I21" s="10">
        <f>IF(H21=0,0,(C21+D21)/H21)</f>
        <v/>
      </c>
    </row>
    <row r="22" ht="15" customHeight="1">
      <c r="A22" s="7" t="n"/>
      <c r="B22" s="8" t="inlineStr">
        <is>
          <t>Seelisberg</t>
        </is>
      </c>
      <c r="C22" s="9">
        <f>COUNTIF('2_Q2_Landschaft'!$K$6:$K$36,"belegt")+COUNTIF('2_Q2_Landschaft'!$K$6:$K$36,"gilt")</f>
        <v/>
      </c>
      <c r="D22" s="9">
        <f>COUNTIF('2_Q2_Landschaft'!$K$6:$K$36,"belegt – Betroffenheit offen")</f>
        <v/>
      </c>
      <c r="E22" s="9">
        <f>COUNTIF('2_Q2_Landschaft'!$K$6:$K$36,"keine Regelung (geprüft)")</f>
        <v/>
      </c>
      <c r="F22" s="9">
        <f>COUNTIF('2_Q2_Landschaft'!$K$6:$K$36,"nicht belegt (Recherche offen)")</f>
        <v/>
      </c>
      <c r="G22" s="9">
        <f>COUNTIF('2_Q2_Landschaft'!$K$6:$K$36,"Datenanfrage (nicht öffentlich)")</f>
        <v/>
      </c>
      <c r="H22" s="9">
        <f>SUM(C22:G22)</f>
        <v/>
      </c>
      <c r="I22" s="10">
        <f>IF(H22=0,0,(C22+D22)/H22)</f>
        <v/>
      </c>
    </row>
    <row r="23" ht="15" customHeight="1">
      <c r="A23" s="7" t="inlineStr">
        <is>
          <t>3_Q3_Klima_Energie</t>
        </is>
      </c>
      <c r="B23" s="8" t="inlineStr">
        <is>
          <t>Münchenstein</t>
        </is>
      </c>
      <c r="C23" s="9">
        <f>COUNTIF('3_Q3_Klima_Energie'!$I$6:$I$32,"belegt")+COUNTIF('3_Q3_Klima_Energie'!$I$6:$I$32,"gilt")</f>
        <v/>
      </c>
      <c r="D23" s="9">
        <f>COUNTIF('3_Q3_Klima_Energie'!$I$6:$I$32,"belegt – Betroffenheit offen")</f>
        <v/>
      </c>
      <c r="E23" s="9">
        <f>COUNTIF('3_Q3_Klima_Energie'!$I$6:$I$32,"keine Regelung (geprüft)")</f>
        <v/>
      </c>
      <c r="F23" s="9">
        <f>COUNTIF('3_Q3_Klima_Energie'!$I$6:$I$32,"nicht belegt (Recherche offen)")</f>
        <v/>
      </c>
      <c r="G23" s="9">
        <f>COUNTIF('3_Q3_Klima_Energie'!$I$6:$I$32,"Datenanfrage (nicht öffentlich)")</f>
        <v/>
      </c>
      <c r="H23" s="9">
        <f>SUM(C23:G23)</f>
        <v/>
      </c>
      <c r="I23" s="10">
        <f>IF(H23=0,0,(C23+D23)/H23)</f>
        <v/>
      </c>
    </row>
    <row r="24" ht="15" customHeight="1">
      <c r="A24" s="7" t="n"/>
      <c r="B24" s="8" t="inlineStr">
        <is>
          <t>Wil</t>
        </is>
      </c>
      <c r="C24" s="9">
        <f>COUNTIF('3_Q3_Klima_Energie'!$J$6:$J$32,"belegt")+COUNTIF('3_Q3_Klima_Energie'!$J$6:$J$32,"gilt")</f>
        <v/>
      </c>
      <c r="D24" s="9">
        <f>COUNTIF('3_Q3_Klima_Energie'!$J$6:$J$32,"belegt – Betroffenheit offen")</f>
        <v/>
      </c>
      <c r="E24" s="9">
        <f>COUNTIF('3_Q3_Klima_Energie'!$J$6:$J$32,"keine Regelung (geprüft)")</f>
        <v/>
      </c>
      <c r="F24" s="9">
        <f>COUNTIF('3_Q3_Klima_Energie'!$J$6:$J$32,"nicht belegt (Recherche offen)")</f>
        <v/>
      </c>
      <c r="G24" s="9">
        <f>COUNTIF('3_Q3_Klima_Energie'!$J$6:$J$32,"Datenanfrage (nicht öffentlich)")</f>
        <v/>
      </c>
      <c r="H24" s="9">
        <f>SUM(C24:G24)</f>
        <v/>
      </c>
      <c r="I24" s="10">
        <f>IF(H24=0,0,(C24+D24)/H24)</f>
        <v/>
      </c>
    </row>
    <row r="25" ht="15" customHeight="1">
      <c r="A25" s="7" t="n"/>
      <c r="B25" s="8" t="inlineStr">
        <is>
          <t>Seelisberg</t>
        </is>
      </c>
      <c r="C25" s="9">
        <f>COUNTIF('3_Q3_Klima_Energie'!$K$6:$K$32,"belegt")+COUNTIF('3_Q3_Klima_Energie'!$K$6:$K$32,"gilt")</f>
        <v/>
      </c>
      <c r="D25" s="9">
        <f>COUNTIF('3_Q3_Klima_Energie'!$K$6:$K$32,"belegt – Betroffenheit offen")</f>
        <v/>
      </c>
      <c r="E25" s="9">
        <f>COUNTIF('3_Q3_Klima_Energie'!$K$6:$K$32,"keine Regelung (geprüft)")</f>
        <v/>
      </c>
      <c r="F25" s="9">
        <f>COUNTIF('3_Q3_Klima_Energie'!$K$6:$K$32,"nicht belegt (Recherche offen)")</f>
        <v/>
      </c>
      <c r="G25" s="9">
        <f>COUNTIF('3_Q3_Klima_Energie'!$K$6:$K$32,"Datenanfrage (nicht öffentlich)")</f>
        <v/>
      </c>
      <c r="H25" s="9">
        <f>SUM(C25:G25)</f>
        <v/>
      </c>
      <c r="I25" s="10">
        <f>IF(H25=0,0,(C25+D25)/H25)</f>
        <v/>
      </c>
    </row>
    <row r="26" ht="15" customHeight="1">
      <c r="A26" s="7" t="inlineStr">
        <is>
          <t>4_Q4_Resilienz</t>
        </is>
      </c>
      <c r="B26" s="8" t="inlineStr">
        <is>
          <t>Münchenstein</t>
        </is>
      </c>
      <c r="C26" s="9">
        <f>COUNTIF('4_Q4_Resilienz'!$I$6:$I$34,"belegt")+COUNTIF('4_Q4_Resilienz'!$I$6:$I$34,"gilt")</f>
        <v/>
      </c>
      <c r="D26" s="9">
        <f>COUNTIF('4_Q4_Resilienz'!$I$6:$I$34,"belegt – Betroffenheit offen")</f>
        <v/>
      </c>
      <c r="E26" s="9">
        <f>COUNTIF('4_Q4_Resilienz'!$I$6:$I$34,"keine Regelung (geprüft)")</f>
        <v/>
      </c>
      <c r="F26" s="9">
        <f>COUNTIF('4_Q4_Resilienz'!$I$6:$I$34,"nicht belegt (Recherche offen)")</f>
        <v/>
      </c>
      <c r="G26" s="9">
        <f>COUNTIF('4_Q4_Resilienz'!$I$6:$I$34,"Datenanfrage (nicht öffentlich)")</f>
        <v/>
      </c>
      <c r="H26" s="9">
        <f>SUM(C26:G26)</f>
        <v/>
      </c>
      <c r="I26" s="10">
        <f>IF(H26=0,0,(C26+D26)/H26)</f>
        <v/>
      </c>
    </row>
    <row r="27" ht="15" customHeight="1">
      <c r="A27" s="7" t="n"/>
      <c r="B27" s="8" t="inlineStr">
        <is>
          <t>Wil</t>
        </is>
      </c>
      <c r="C27" s="9">
        <f>COUNTIF('4_Q4_Resilienz'!$J$6:$J$34,"belegt")+COUNTIF('4_Q4_Resilienz'!$J$6:$J$34,"gilt")</f>
        <v/>
      </c>
      <c r="D27" s="9">
        <f>COUNTIF('4_Q4_Resilienz'!$J$6:$J$34,"belegt – Betroffenheit offen")</f>
        <v/>
      </c>
      <c r="E27" s="9">
        <f>COUNTIF('4_Q4_Resilienz'!$J$6:$J$34,"keine Regelung (geprüft)")</f>
        <v/>
      </c>
      <c r="F27" s="9">
        <f>COUNTIF('4_Q4_Resilienz'!$J$6:$J$34,"nicht belegt (Recherche offen)")</f>
        <v/>
      </c>
      <c r="G27" s="9">
        <f>COUNTIF('4_Q4_Resilienz'!$J$6:$J$34,"Datenanfrage (nicht öffentlich)")</f>
        <v/>
      </c>
      <c r="H27" s="9">
        <f>SUM(C27:G27)</f>
        <v/>
      </c>
      <c r="I27" s="10">
        <f>IF(H27=0,0,(C27+D27)/H27)</f>
        <v/>
      </c>
    </row>
    <row r="28" ht="15" customHeight="1">
      <c r="A28" s="7" t="n"/>
      <c r="B28" s="8" t="inlineStr">
        <is>
          <t>Seelisberg</t>
        </is>
      </c>
      <c r="C28" s="9">
        <f>COUNTIF('4_Q4_Resilienz'!$K$6:$K$34,"belegt")+COUNTIF('4_Q4_Resilienz'!$K$6:$K$34,"gilt")</f>
        <v/>
      </c>
      <c r="D28" s="9">
        <f>COUNTIF('4_Q4_Resilienz'!$K$6:$K$34,"belegt – Betroffenheit offen")</f>
        <v/>
      </c>
      <c r="E28" s="9">
        <f>COUNTIF('4_Q4_Resilienz'!$K$6:$K$34,"keine Regelung (geprüft)")</f>
        <v/>
      </c>
      <c r="F28" s="9">
        <f>COUNTIF('4_Q4_Resilienz'!$K$6:$K$34,"nicht belegt (Recherche offen)")</f>
        <v/>
      </c>
      <c r="G28" s="9">
        <f>COUNTIF('4_Q4_Resilienz'!$K$6:$K$34,"Datenanfrage (nicht öffentlich)")</f>
        <v/>
      </c>
      <c r="H28" s="9">
        <f>SUM(C28:G28)</f>
        <v/>
      </c>
      <c r="I28" s="10">
        <f>IF(H28=0,0,(C28+D28)/H28)</f>
        <v/>
      </c>
    </row>
    <row r="29" ht="15" customHeight="1">
      <c r="A29" s="7" t="inlineStr">
        <is>
          <t>5_Q5_Ortsbild</t>
        </is>
      </c>
      <c r="B29" s="8" t="inlineStr">
        <is>
          <t>Münchenstein</t>
        </is>
      </c>
      <c r="C29" s="9">
        <f>COUNTIF('5_Q5_Ortsbild'!$I$6:$I$31,"belegt")+COUNTIF('5_Q5_Ortsbild'!$I$6:$I$31,"gilt")</f>
        <v/>
      </c>
      <c r="D29" s="9">
        <f>COUNTIF('5_Q5_Ortsbild'!$I$6:$I$31,"belegt – Betroffenheit offen")</f>
        <v/>
      </c>
      <c r="E29" s="9">
        <f>COUNTIF('5_Q5_Ortsbild'!$I$6:$I$31,"keine Regelung (geprüft)")</f>
        <v/>
      </c>
      <c r="F29" s="9">
        <f>COUNTIF('5_Q5_Ortsbild'!$I$6:$I$31,"nicht belegt (Recherche offen)")</f>
        <v/>
      </c>
      <c r="G29" s="9">
        <f>COUNTIF('5_Q5_Ortsbild'!$I$6:$I$31,"Datenanfrage (nicht öffentlich)")</f>
        <v/>
      </c>
      <c r="H29" s="9">
        <f>SUM(C29:G29)</f>
        <v/>
      </c>
      <c r="I29" s="10">
        <f>IF(H29=0,0,(C29+D29)/H29)</f>
        <v/>
      </c>
    </row>
    <row r="30" ht="15" customHeight="1">
      <c r="A30" s="7" t="n"/>
      <c r="B30" s="8" t="inlineStr">
        <is>
          <t>Wil</t>
        </is>
      </c>
      <c r="C30" s="9">
        <f>COUNTIF('5_Q5_Ortsbild'!$J$6:$J$31,"belegt")+COUNTIF('5_Q5_Ortsbild'!$J$6:$J$31,"gilt")</f>
        <v/>
      </c>
      <c r="D30" s="9">
        <f>COUNTIF('5_Q5_Ortsbild'!$J$6:$J$31,"belegt – Betroffenheit offen")</f>
        <v/>
      </c>
      <c r="E30" s="9">
        <f>COUNTIF('5_Q5_Ortsbild'!$J$6:$J$31,"keine Regelung (geprüft)")</f>
        <v/>
      </c>
      <c r="F30" s="9">
        <f>COUNTIF('5_Q5_Ortsbild'!$J$6:$J$31,"nicht belegt (Recherche offen)")</f>
        <v/>
      </c>
      <c r="G30" s="9">
        <f>COUNTIF('5_Q5_Ortsbild'!$J$6:$J$31,"Datenanfrage (nicht öffentlich)")</f>
        <v/>
      </c>
      <c r="H30" s="9">
        <f>SUM(C30:G30)</f>
        <v/>
      </c>
      <c r="I30" s="10">
        <f>IF(H30=0,0,(C30+D30)/H30)</f>
        <v/>
      </c>
    </row>
    <row r="31" ht="15" customHeight="1">
      <c r="A31" s="7" t="n"/>
      <c r="B31" s="8" t="inlineStr">
        <is>
          <t>Seelisberg</t>
        </is>
      </c>
      <c r="C31" s="9">
        <f>COUNTIF('5_Q5_Ortsbild'!$K$6:$K$31,"belegt")+COUNTIF('5_Q5_Ortsbild'!$K$6:$K$31,"gilt")</f>
        <v/>
      </c>
      <c r="D31" s="9">
        <f>COUNTIF('5_Q5_Ortsbild'!$K$6:$K$31,"belegt – Betroffenheit offen")</f>
        <v/>
      </c>
      <c r="E31" s="9">
        <f>COUNTIF('5_Q5_Ortsbild'!$K$6:$K$31,"keine Regelung (geprüft)")</f>
        <v/>
      </c>
      <c r="F31" s="9">
        <f>COUNTIF('5_Q5_Ortsbild'!$K$6:$K$31,"nicht belegt (Recherche offen)")</f>
        <v/>
      </c>
      <c r="G31" s="9">
        <f>COUNTIF('5_Q5_Ortsbild'!$K$6:$K$31,"Datenanfrage (nicht öffentlich)")</f>
        <v/>
      </c>
      <c r="H31" s="9">
        <f>SUM(C31:G31)</f>
        <v/>
      </c>
      <c r="I31" s="10">
        <f>IF(H31=0,0,(C31+D31)/H31)</f>
        <v/>
      </c>
    </row>
    <row r="32" ht="15" customHeight="1">
      <c r="A32" s="7" t="inlineStr">
        <is>
          <t>6_Q6_Bestellung</t>
        </is>
      </c>
      <c r="B32" s="8" t="inlineStr">
        <is>
          <t>Münchenstein</t>
        </is>
      </c>
      <c r="C32" s="9">
        <f>COUNTIF('6_Q6_Bestellung'!$I$6:$I$36,"belegt")+COUNTIF('6_Q6_Bestellung'!$I$6:$I$36,"gilt")</f>
        <v/>
      </c>
      <c r="D32" s="9">
        <f>COUNTIF('6_Q6_Bestellung'!$I$6:$I$36,"belegt – Betroffenheit offen")</f>
        <v/>
      </c>
      <c r="E32" s="9">
        <f>COUNTIF('6_Q6_Bestellung'!$I$6:$I$36,"keine Regelung (geprüft)")</f>
        <v/>
      </c>
      <c r="F32" s="9">
        <f>COUNTIF('6_Q6_Bestellung'!$I$6:$I$36,"nicht belegt (Recherche offen)")</f>
        <v/>
      </c>
      <c r="G32" s="9">
        <f>COUNTIF('6_Q6_Bestellung'!$I$6:$I$36,"Datenanfrage (nicht öffentlich)")</f>
        <v/>
      </c>
      <c r="H32" s="9">
        <f>SUM(C32:G32)</f>
        <v/>
      </c>
      <c r="I32" s="10">
        <f>IF(H32=0,0,(C32+D32)/H32)</f>
        <v/>
      </c>
    </row>
    <row r="33" ht="15" customHeight="1">
      <c r="A33" s="7" t="n"/>
      <c r="B33" s="8" t="inlineStr">
        <is>
          <t>Wil</t>
        </is>
      </c>
      <c r="C33" s="9">
        <f>COUNTIF('6_Q6_Bestellung'!$J$6:$J$36,"belegt")+COUNTIF('6_Q6_Bestellung'!$J$6:$J$36,"gilt")</f>
        <v/>
      </c>
      <c r="D33" s="9">
        <f>COUNTIF('6_Q6_Bestellung'!$J$6:$J$36,"belegt – Betroffenheit offen")</f>
        <v/>
      </c>
      <c r="E33" s="9">
        <f>COUNTIF('6_Q6_Bestellung'!$J$6:$J$36,"keine Regelung (geprüft)")</f>
        <v/>
      </c>
      <c r="F33" s="9">
        <f>COUNTIF('6_Q6_Bestellung'!$J$6:$J$36,"nicht belegt (Recherche offen)")</f>
        <v/>
      </c>
      <c r="G33" s="9">
        <f>COUNTIF('6_Q6_Bestellung'!$J$6:$J$36,"Datenanfrage (nicht öffentlich)")</f>
        <v/>
      </c>
      <c r="H33" s="9">
        <f>SUM(C33:G33)</f>
        <v/>
      </c>
      <c r="I33" s="10">
        <f>IF(H33=0,0,(C33+D33)/H33)</f>
        <v/>
      </c>
    </row>
    <row r="34" ht="15" customHeight="1">
      <c r="A34" s="7" t="n"/>
      <c r="B34" s="8" t="inlineStr">
        <is>
          <t>Seelisberg</t>
        </is>
      </c>
      <c r="C34" s="9">
        <f>COUNTIF('6_Q6_Bestellung'!$K$6:$K$36,"belegt")+COUNTIF('6_Q6_Bestellung'!$K$6:$K$36,"gilt")</f>
        <v/>
      </c>
      <c r="D34" s="9">
        <f>COUNTIF('6_Q6_Bestellung'!$K$6:$K$36,"belegt – Betroffenheit offen")</f>
        <v/>
      </c>
      <c r="E34" s="9">
        <f>COUNTIF('6_Q6_Bestellung'!$K$6:$K$36,"keine Regelung (geprüft)")</f>
        <v/>
      </c>
      <c r="F34" s="9">
        <f>COUNTIF('6_Q6_Bestellung'!$K$6:$K$36,"nicht belegt (Recherche offen)")</f>
        <v/>
      </c>
      <c r="G34" s="9">
        <f>COUNTIF('6_Q6_Bestellung'!$K$6:$K$36,"Datenanfrage (nicht öffentlich)")</f>
        <v/>
      </c>
      <c r="H34" s="9">
        <f>SUM(C34:G34)</f>
        <v/>
      </c>
      <c r="I34" s="10">
        <f>IF(H34=0,0,(C34+D34)/H34)</f>
        <v/>
      </c>
    </row>
    <row r="35" ht="15" customHeight="1">
      <c r="A35" s="11" t="inlineStr">
        <is>
          <t>Anteil belegt = (belegt + belegt – Betroffenheit offen) / Summe; «n. a.» wird nicht gezählt.</t>
        </is>
      </c>
    </row>
    <row r="37" ht="15" customHeight="1">
      <c r="A37" s="3" t="inlineStr">
        <is>
          <t>Legende Status</t>
        </is>
      </c>
    </row>
    <row r="38" ht="15" customHeight="1">
      <c r="A38" s="12" t="inlineStr">
        <is>
          <t>gilt</t>
        </is>
      </c>
      <c r="B38" s="13" t="inlineStr">
        <is>
          <t>Rechtsnorm gilt für die Gemeinde</t>
        </is>
      </c>
    </row>
    <row r="39" ht="15" customHeight="1">
      <c r="A39" s="12" t="inlineStr">
        <is>
          <t>belegt</t>
        </is>
      </c>
      <c r="B39" s="13" t="inlineStr">
        <is>
          <t>Beleg mit Link vorhanden (Link-Status in der Spalte «Link-Status»)</t>
        </is>
      </c>
    </row>
    <row r="40" ht="15" customHeight="1">
      <c r="A40" s="14" t="inlineStr">
        <is>
          <t>belegt – Betroffenheit offen</t>
        </is>
      </c>
      <c r="B40" s="13" t="inlineStr">
        <is>
          <t>Layer/Inventar existiert; Lage in der Gemeinde per GIS-Overlay zu prüfen (Blatt 7)</t>
        </is>
      </c>
    </row>
    <row r="41" ht="15" customHeight="1">
      <c r="A41" s="15" t="inlineStr">
        <is>
          <t>keine Regelung (geprüft)</t>
        </is>
      </c>
      <c r="B41" s="13" t="inlineStr">
        <is>
          <t>Recherche zeigt: die Ebene regelt/erhebt nichts, übergeordnetes Recht gilt (derzeit keine Zeile)</t>
        </is>
      </c>
    </row>
    <row r="42" ht="15" customHeight="1">
      <c r="A42" s="16" t="inlineStr">
        <is>
          <t>nicht belegt (Recherche offen)</t>
        </is>
      </c>
      <c r="B42" s="13" t="inlineStr">
        <is>
          <t>bisher kein Beleg gefunden</t>
        </is>
      </c>
    </row>
    <row r="43" ht="15" customHeight="1">
      <c r="A43" s="17" t="inlineStr">
        <is>
          <t>Datenanfrage (nicht öffentlich)</t>
        </is>
      </c>
      <c r="B43" s="13" t="inlineStr">
        <is>
          <t>nicht öffentlich; Existenzerwartung (hoch/mittel/unbekannt) im Prüfhinweis</t>
        </is>
      </c>
    </row>
    <row r="44" ht="15" customHeight="1">
      <c r="A44" s="18" t="inlineStr">
        <is>
          <t>n. a.</t>
        </is>
      </c>
      <c r="B44" s="13" t="inlineStr">
        <is>
          <t>nicht anwendbar (andere Gebietskörperschaft)</t>
        </is>
      </c>
    </row>
    <row r="46" ht="15" customHeight="1">
      <c r="A46" s="2" t="inlineStr">
        <is>
          <t>Link-Status: «geprüft · OK» = Link abgerufen und mit Bezeichnung/Referenz abgeglichen (Linkprüfung GitHub-Runner bzw. manuell); «geprüft · korrigiert» = falscher Link ersetzt; «geprüft · manuell prüfen» / «Hinweis» / «nur Einstiegsseite» = noch offen. Herkunft und Confidence stehen in der Spalte «Herkunft · Confidence».</t>
        </is>
      </c>
    </row>
    <row r="47" ht="15" customHeight="1">
      <c r="A47" s="2" t="inlineStr">
        <is>
          <t>Der Status beschreibt Vorhandensein und Quelle, noch keine inhaltliche Einordnung (Ausschluss / Interessenabwägung / unkritisch) – bewusst zurückgestellt.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5"/>
  <sheetViews>
    <sheetView showGridLines="0" tabSelected="1" zoomScaleNormal="100" workbookViewId="0">
      <pane xSplit="4" ySplit="5" topLeftCell="L31" activePane="bottomRight" state="frozen"/>
      <selection pane="bottomRight" activeCell="M36" sqref="M36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1 · Q1 Recht und Planung – Rechtsordnung (Bund → Interkantonal → Kanton → Gemeinde)</t>
        </is>
      </c>
    </row>
    <row r="2" ht="15" customHeight="1">
      <c r="A2" s="2" t="inlineStr">
        <is>
          <t>Erlasse und behördenverbindliche Pläne aller Q-Dimensionen (Spalte «Q»), gegliedert nach Rechtsebene.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Q1–Q6</t>
        </is>
      </c>
      <c r="C7" s="23" t="inlineStr">
        <is>
          <t>Verfassung</t>
        </is>
      </c>
      <c r="D7" s="25" t="inlineStr">
        <is>
          <t>Bundesverfassung (Art. 73 Nachhaltigkeit, 75 Raumplanung, 75b Zweitwohnungen, 78 Natur-/Heimatschutz, 89 Energie)</t>
        </is>
      </c>
      <c r="E7" s="23" t="inlineStr">
        <is>
          <t>SR 101</t>
        </is>
      </c>
      <c r="F7" s="23" t="inlineStr">
        <is>
          <t>konsolidierte Fassung (Fedlex)</t>
        </is>
      </c>
      <c r="G7" s="23" t="inlineStr">
        <is>
          <t>BK</t>
        </is>
      </c>
      <c r="H7" s="23" t="inlineStr">
        <is>
          <t>öffentlich</t>
        </is>
      </c>
      <c r="I7" s="26" t="inlineStr">
        <is>
          <t>gilt</t>
        </is>
      </c>
      <c r="J7" s="26" t="inlineStr">
        <is>
          <t>gilt</t>
        </is>
      </c>
      <c r="K7" s="26" t="inlineStr">
        <is>
          <t>gilt</t>
        </is>
      </c>
      <c r="L7" s="23" t="inlineStr">
        <is>
          <t>Verfassungsgrundlagen für Raumplanung, Natur-/Heimatschutz, Energie</t>
        </is>
      </c>
      <c r="M7" s="27" t="inlineStr">
        <is>
          <t>https://www.fedlex.admin.ch/eli/cc/1999/404/de</t>
        </is>
      </c>
      <c r="N7" s="42" t="inlineStr">
        <is>
          <t>geprüft · OK</t>
        </is>
      </c>
      <c r="O7" s="23" t="inlineStr">
        <is>
          <t>Ergänzung · hoch</t>
        </is>
      </c>
      <c r="P7" s="23" t="n"/>
    </row>
    <row r="8" outlineLevel="1" ht="43.35" customHeight="1">
      <c r="A8" s="23" t="inlineStr">
        <is>
          <t>Bund</t>
        </is>
      </c>
      <c r="B8" s="24" t="inlineStr">
        <is>
          <t>Q1</t>
        </is>
      </c>
      <c r="C8" s="23" t="inlineStr">
        <is>
          <t>Gesetz</t>
        </is>
      </c>
      <c r="D8" s="25" t="inlineStr">
        <is>
          <t>Raumplanungsgesetz (RPG)</t>
        </is>
      </c>
      <c r="E8" s="23" t="inlineStr">
        <is>
          <t>SR 700</t>
        </is>
      </c>
      <c r="F8" s="23" t="inlineStr">
        <is>
          <t>konsolidierte Fassung (Fedlex)</t>
        </is>
      </c>
      <c r="G8" s="23" t="inlineStr">
        <is>
          <t>Bund (ARE)</t>
        </is>
      </c>
      <c r="H8" s="23" t="inlineStr">
        <is>
          <t>öffentlich</t>
        </is>
      </c>
      <c r="I8" s="26" t="inlineStr">
        <is>
          <t>gilt</t>
        </is>
      </c>
      <c r="J8" s="26" t="inlineStr">
        <is>
          <t>gilt</t>
        </is>
      </c>
      <c r="K8" s="26" t="inlineStr">
        <is>
          <t>gilt</t>
        </is>
      </c>
      <c r="L8" s="23" t="inlineStr">
        <is>
          <t>Zonenkonformität, haushälterische Bodennutzung, Bauen ausserhalb Bauzonen</t>
        </is>
      </c>
      <c r="M8" s="27" t="inlineStr">
        <is>
          <t>https://www.fedlex.admin.ch/eli/cc/1979/1573_1573_1573/de</t>
        </is>
      </c>
      <c r="N8" s="42" t="inlineStr">
        <is>
          <t>geprüft · OK</t>
        </is>
      </c>
      <c r="O8" s="23" t="inlineStr">
        <is>
          <t>Katalog · hoch</t>
        </is>
      </c>
      <c r="P8" s="23" t="n"/>
    </row>
    <row r="9" outlineLevel="1" ht="22.35" customHeight="1">
      <c r="A9" s="23" t="inlineStr">
        <is>
          <t>Bund</t>
        </is>
      </c>
      <c r="B9" s="24" t="inlineStr">
        <is>
          <t>Q1</t>
        </is>
      </c>
      <c r="C9" s="23" t="inlineStr">
        <is>
          <t>Verordnung</t>
        </is>
      </c>
      <c r="D9" s="25" t="inlineStr">
        <is>
          <t>Raumplanungsverordnung (RPV)</t>
        </is>
      </c>
      <c r="E9" s="23" t="inlineStr">
        <is>
          <t>SR 700.1</t>
        </is>
      </c>
      <c r="F9" s="23" t="inlineStr">
        <is>
          <t>konsolidierte Fassung (Fedlex)</t>
        </is>
      </c>
      <c r="G9" s="23" t="inlineStr">
        <is>
          <t>Bund (ARE)</t>
        </is>
      </c>
      <c r="H9" s="23" t="inlineStr">
        <is>
          <t>öffentlich</t>
        </is>
      </c>
      <c r="I9" s="26" t="inlineStr">
        <is>
          <t>gilt</t>
        </is>
      </c>
      <c r="J9" s="26" t="inlineStr">
        <is>
          <t>gilt</t>
        </is>
      </c>
      <c r="K9" s="26" t="inlineStr">
        <is>
          <t>gilt</t>
        </is>
      </c>
      <c r="L9" s="23" t="inlineStr">
        <is>
          <t>Ausführungsanforderungen zur Raumplanung (u. a. Sachplan FFF, Bauzonendimensionierung)</t>
        </is>
      </c>
      <c r="M9" s="27" t="inlineStr">
        <is>
          <t>https://www.fedlex.admin.ch/eli/cc/2000/310/de</t>
        </is>
      </c>
      <c r="N9" s="42" t="inlineStr">
        <is>
          <t>geprüft · OK</t>
        </is>
      </c>
      <c r="O9" s="23" t="inlineStr">
        <is>
          <t>Katalog · hoch</t>
        </is>
      </c>
      <c r="P9" s="23" t="n"/>
    </row>
    <row r="10" outlineLevel="1" ht="32.85" customHeight="1">
      <c r="A10" s="23" t="inlineStr">
        <is>
          <t>Bund</t>
        </is>
      </c>
      <c r="B10" s="24" t="inlineStr">
        <is>
          <t>Q1</t>
        </is>
      </c>
      <c r="C10" s="23" t="inlineStr">
        <is>
          <t>Gesetz</t>
        </is>
      </c>
      <c r="D10" s="25" t="inlineStr">
        <is>
          <t>Zweitwohnungsgesetz (ZWG)</t>
        </is>
      </c>
      <c r="E10" s="23" t="inlineStr">
        <is>
          <t>SR 702</t>
        </is>
      </c>
      <c r="F10" s="23" t="inlineStr">
        <is>
          <t>01.10.2024 (Fedlex-Fassung lt. Suchtreffer)</t>
        </is>
      </c>
      <c r="G10" s="23" t="inlineStr">
        <is>
          <t>Bund (ARE)</t>
        </is>
      </c>
      <c r="H10" s="23" t="inlineStr">
        <is>
          <t>öffentlich</t>
        </is>
      </c>
      <c r="I10" s="26" t="inlineStr">
        <is>
          <t>gilt</t>
        </is>
      </c>
      <c r="J10" s="26" t="inlineStr">
        <is>
          <t>gilt</t>
        </is>
      </c>
      <c r="K10" s="26" t="inlineStr">
        <is>
          <t>gilt</t>
        </is>
      </c>
      <c r="L10" s="23" t="inlineStr">
        <is>
          <t>Beschränkung Zweitwohnungen in Gemeinden &gt;20 % Anteil</t>
        </is>
      </c>
      <c r="M10" s="27" t="inlineStr">
        <is>
          <t>https://www.fedlex.admin.ch/eli/cc/2015/886/de</t>
        </is>
      </c>
      <c r="N10" s="42" t="inlineStr">
        <is>
          <t>geprüft · OK</t>
        </is>
      </c>
      <c r="O10" s="23" t="inlineStr">
        <is>
          <t>Ergänzung · hoch</t>
        </is>
      </c>
      <c r="P10" s="23" t="inlineStr">
        <is>
          <t>Massgebend für den Zweitwohnungsanteil ist die jährliche Feststellung des Bundes (Art. 5 ZWG). Seelisberg: siehe ZWV-Anhang</t>
        </is>
      </c>
    </row>
    <row r="11" outlineLevel="1" ht="32.85" customHeight="1">
      <c r="A11" s="23" t="inlineStr">
        <is>
          <t>Bund</t>
        </is>
      </c>
      <c r="B11" s="24" t="inlineStr">
        <is>
          <t>Q1</t>
        </is>
      </c>
      <c r="C11" s="23" t="inlineStr">
        <is>
          <t>Gesetz</t>
        </is>
      </c>
      <c r="D11" s="25" t="inlineStr">
        <is>
          <t>Zweitwohnungsverordnung (ZWV)</t>
        </is>
      </c>
      <c r="E11" s="23" t="inlineStr">
        <is>
          <t>SR 702.1</t>
        </is>
      </c>
      <c r="F11" s="23" t="inlineStr">
        <is>
          <t>konsolidierte Fassung (Fedlex)</t>
        </is>
      </c>
      <c r="G11" s="23" t="inlineStr">
        <is>
          <t>Bund (ARE)</t>
        </is>
      </c>
      <c r="H11" s="23" t="inlineStr">
        <is>
          <t>öffentlich</t>
        </is>
      </c>
      <c r="I11" s="26" t="inlineStr">
        <is>
          <t>gilt</t>
        </is>
      </c>
      <c r="J11" s="26" t="inlineStr">
        <is>
          <t>gilt</t>
        </is>
      </c>
      <c r="K11" s="26" t="inlineStr">
        <is>
          <t>gilt</t>
        </is>
      </c>
      <c r="L11" s="23" t="inlineStr">
        <is>
          <t>Vollzug ZWG; Anhang: Gemeinden mit vermutetem Zweitwohnungsanteil &gt;20 %</t>
        </is>
      </c>
      <c r="M11" s="56" t="inlineStr">
        <is>
          <t>https://www.fedlex.admin.ch/eli/cc/2015/887/de</t>
        </is>
      </c>
      <c r="N11" s="42" t="inlineStr">
        <is>
          <t>geprüft · OK</t>
        </is>
      </c>
      <c r="O11" s="23" t="inlineStr">
        <is>
          <t>Ergänzung · hoch</t>
        </is>
      </c>
      <c r="P11" s="23" t="inlineStr">
        <is>
          <t>Anhang: Seelisberg (UR, BFS-Nr. 1215) aufgeführt; Wil in der SG-Liste nicht aufgeführt; Münchenstein: BL-Teil der Liste nicht eingesehen</t>
        </is>
      </c>
    </row>
    <row r="12" outlineLevel="1" ht="22.35" customHeight="1">
      <c r="A12" s="23" t="inlineStr">
        <is>
          <t>Bund</t>
        </is>
      </c>
      <c r="B12" s="24" t="inlineStr">
        <is>
          <t>Q2 / Q5</t>
        </is>
      </c>
      <c r="C12" s="23" t="inlineStr">
        <is>
          <t>Gesetz</t>
        </is>
      </c>
      <c r="D12" s="25" t="inlineStr">
        <is>
          <t>Natur- und Heimatschutzgesetz (NHG)</t>
        </is>
      </c>
      <c r="E12" s="23" t="inlineStr">
        <is>
          <t>SR 451</t>
        </is>
      </c>
      <c r="F12" s="23" t="inlineStr">
        <is>
          <t>konsolidierte Fassung (Fedlex)</t>
        </is>
      </c>
      <c r="G12" s="23" t="inlineStr">
        <is>
          <t>Bund (BAFU / BAK)</t>
        </is>
      </c>
      <c r="H12" s="23" t="inlineStr">
        <is>
          <t>öffentlich</t>
        </is>
      </c>
      <c r="I12" s="26" t="inlineStr">
        <is>
          <t>gilt</t>
        </is>
      </c>
      <c r="J12" s="26" t="inlineStr">
        <is>
          <t>gilt</t>
        </is>
      </c>
      <c r="K12" s="26" t="inlineStr">
        <is>
          <t>gilt</t>
        </is>
      </c>
      <c r="L12" s="23" t="inlineStr">
        <is>
          <t>Schutz von Landschaften, Biotopen, Ortsbildern je nach Schutzstatus</t>
        </is>
      </c>
      <c r="M12" s="27" t="inlineStr">
        <is>
          <t>https://www.fedlex.admin.ch/eli/cc/1966/1637_1694_1679/de</t>
        </is>
      </c>
      <c r="N12" s="42" t="inlineStr">
        <is>
          <t>geprüft · OK</t>
        </is>
      </c>
      <c r="O12" s="23" t="inlineStr">
        <is>
          <t>Katalog · hoch</t>
        </is>
      </c>
      <c r="P12" s="23" t="n"/>
    </row>
    <row r="13" outlineLevel="1" ht="22.35" customHeight="1">
      <c r="A13" s="23" t="inlineStr">
        <is>
          <t>Bund</t>
        </is>
      </c>
      <c r="B13" s="24" t="inlineStr">
        <is>
          <t>Q2 / Q5</t>
        </is>
      </c>
      <c r="C13" s="23" t="inlineStr">
        <is>
          <t>Verordnung</t>
        </is>
      </c>
      <c r="D13" s="25" t="inlineStr">
        <is>
          <t>Natur- und Heimatschutzverordnung (NHV)</t>
        </is>
      </c>
      <c r="E13" s="23" t="inlineStr">
        <is>
          <t>SR 451.1</t>
        </is>
      </c>
      <c r="F13" s="23" t="inlineStr">
        <is>
          <t>konsolidierte Fassung (Fedlex)</t>
        </is>
      </c>
      <c r="G13" s="23" t="inlineStr">
        <is>
          <t>Bund (BAFU / BAK / ASTRA)</t>
        </is>
      </c>
      <c r="H13" s="23" t="inlineStr">
        <is>
          <t>öffentlich</t>
        </is>
      </c>
      <c r="I13" s="26" t="inlineStr">
        <is>
          <t>gilt</t>
        </is>
      </c>
      <c r="J13" s="26" t="inlineStr">
        <is>
          <t>gilt</t>
        </is>
      </c>
      <c r="K13" s="26" t="inlineStr">
        <is>
          <t>gilt</t>
        </is>
      </c>
      <c r="L13" s="23" t="inlineStr">
        <is>
          <t>Vollzug NHG; Bundesinventare, Bundesaufgaben</t>
        </is>
      </c>
      <c r="M13" s="27" t="inlineStr">
        <is>
          <t>https://www.fedlex.admin.ch/eli/cc/1991/249_249_249/de</t>
        </is>
      </c>
      <c r="N13" s="42" t="inlineStr">
        <is>
          <t>geprüft · OK</t>
        </is>
      </c>
      <c r="O13" s="23" t="inlineStr">
        <is>
          <t>Ergänzung · hoch</t>
        </is>
      </c>
      <c r="P13" s="23" t="n"/>
    </row>
    <row r="14" outlineLevel="1" ht="22.35" customHeight="1">
      <c r="A14" s="23" t="inlineStr">
        <is>
          <t>Bund</t>
        </is>
      </c>
      <c r="B14" s="24" t="inlineStr">
        <is>
          <t>Q2 / Q5</t>
        </is>
      </c>
      <c r="C14" s="23" t="inlineStr">
        <is>
          <t>Verordnung</t>
        </is>
      </c>
      <c r="D14" s="25" t="inlineStr">
        <is>
          <t>Verordnung über das Bundesinventar der Landschaften und Naturdenkmäler (VBLN)</t>
        </is>
      </c>
      <c r="E14" s="23" t="inlineStr">
        <is>
          <t>SR 451.11</t>
        </is>
      </c>
      <c r="F14" s="23" t="inlineStr">
        <is>
          <t>konsolidierte Fassung (Fedlex)</t>
        </is>
      </c>
      <c r="G14" s="23" t="inlineStr">
        <is>
          <t>Bund (BAFU)</t>
        </is>
      </c>
      <c r="H14" s="23" t="inlineStr">
        <is>
          <t>öffentlich</t>
        </is>
      </c>
      <c r="I14" s="26" t="inlineStr">
        <is>
          <t>gilt</t>
        </is>
      </c>
      <c r="J14" s="26" t="inlineStr">
        <is>
          <t>gilt</t>
        </is>
      </c>
      <c r="K14" s="26" t="inlineStr">
        <is>
          <t>gilt</t>
        </is>
      </c>
      <c r="L14" s="23" t="inlineStr">
        <is>
          <t>Rechtsgrundlage BLN</t>
        </is>
      </c>
      <c r="M14" s="56" t="inlineStr">
        <is>
          <t>https://www.fedlex.admin.ch/eli/cc/2017/290/de</t>
        </is>
      </c>
      <c r="N14" s="42" t="inlineStr">
        <is>
          <t>geprüft · OK</t>
        </is>
      </c>
      <c r="O14" s="23" t="inlineStr">
        <is>
          <t>Ergänzung · hoch</t>
        </is>
      </c>
      <c r="P14" s="23" t="n"/>
    </row>
    <row r="15" outlineLevel="1" ht="22.35" customHeight="1">
      <c r="A15" s="23" t="inlineStr">
        <is>
          <t>Bund</t>
        </is>
      </c>
      <c r="B15" s="24" t="inlineStr">
        <is>
          <t>Q2 / Q5</t>
        </is>
      </c>
      <c r="C15" s="23" t="inlineStr">
        <is>
          <t>Verordnung</t>
        </is>
      </c>
      <c r="D15" s="25" t="inlineStr">
        <is>
          <t>Verordnung über das Bundesinventar der schützenswerten Ortsbilder der Schweiz (VISOS)</t>
        </is>
      </c>
      <c r="E15" s="23" t="inlineStr">
        <is>
          <t>SR 451.12</t>
        </is>
      </c>
      <c r="F15" s="23" t="inlineStr">
        <is>
          <t>konsolidierte Fassung (Fedlex)</t>
        </is>
      </c>
      <c r="G15" s="23" t="inlineStr">
        <is>
          <t>Bund (BAK)</t>
        </is>
      </c>
      <c r="H15" s="23" t="inlineStr">
        <is>
          <t>öffentlich</t>
        </is>
      </c>
      <c r="I15" s="26" t="inlineStr">
        <is>
          <t>gilt</t>
        </is>
      </c>
      <c r="J15" s="26" t="inlineStr">
        <is>
          <t>gilt</t>
        </is>
      </c>
      <c r="K15" s="26" t="inlineStr">
        <is>
          <t>gilt</t>
        </is>
      </c>
      <c r="L15" s="23" t="inlineStr">
        <is>
          <t>Rechtsgrundlage ISOS</t>
        </is>
      </c>
      <c r="M15" s="56" t="inlineStr">
        <is>
          <t>https://www.fedlex.admin.ch/eli/cc/2019/673/de</t>
        </is>
      </c>
      <c r="N15" s="42" t="inlineStr">
        <is>
          <t>geprüft · OK</t>
        </is>
      </c>
      <c r="O15" s="23" t="inlineStr">
        <is>
          <t>Ergänzung · hoch</t>
        </is>
      </c>
      <c r="P15" s="23" t="n"/>
    </row>
    <row r="16" outlineLevel="1" ht="22.35" customHeight="1">
      <c r="A16" s="23" t="inlineStr">
        <is>
          <t>Bund</t>
        </is>
      </c>
      <c r="B16" s="24" t="inlineStr">
        <is>
          <t>Q2 / Q5</t>
        </is>
      </c>
      <c r="C16" s="23" t="inlineStr">
        <is>
          <t>Verordnung</t>
        </is>
      </c>
      <c r="D16" s="25" t="inlineStr">
        <is>
          <t>Verordnung über das Bundesinventar der historischen Verkehrswege der Schweiz (VIVS)</t>
        </is>
      </c>
      <c r="E16" s="23" t="inlineStr">
        <is>
          <t>SR 451.13</t>
        </is>
      </c>
      <c r="F16" s="23" t="inlineStr">
        <is>
          <t>konsolidierte Fassung (Fedlex)</t>
        </is>
      </c>
      <c r="G16" s="23" t="inlineStr">
        <is>
          <t>Bund (ASTRA)</t>
        </is>
      </c>
      <c r="H16" s="23" t="inlineStr">
        <is>
          <t>öffentlich</t>
        </is>
      </c>
      <c r="I16" s="26" t="inlineStr">
        <is>
          <t>gilt</t>
        </is>
      </c>
      <c r="J16" s="26" t="inlineStr">
        <is>
          <t>gilt</t>
        </is>
      </c>
      <c r="K16" s="26" t="inlineStr">
        <is>
          <t>gilt</t>
        </is>
      </c>
      <c r="L16" s="23" t="inlineStr">
        <is>
          <t>Rechtsgrundlage IVS</t>
        </is>
      </c>
      <c r="M16" s="56" t="inlineStr">
        <is>
          <t>https://www.fedlex.admin.ch/eli/cc/2010/227/de</t>
        </is>
      </c>
      <c r="N16" s="42" t="inlineStr">
        <is>
          <t>geprüft · OK</t>
        </is>
      </c>
      <c r="O16" s="23" t="inlineStr">
        <is>
          <t>Ergänzung · hoch</t>
        </is>
      </c>
      <c r="P16" s="23" t="n"/>
    </row>
    <row r="17" outlineLevel="1" ht="32.85" customHeight="1">
      <c r="A17" s="23" t="inlineStr">
        <is>
          <t>Bund</t>
        </is>
      </c>
      <c r="B17" s="24" t="inlineStr">
        <is>
          <t>Q2</t>
        </is>
      </c>
      <c r="C17" s="23" t="inlineStr">
        <is>
          <t>Verordnung</t>
        </is>
      </c>
      <c r="D17" s="25" t="inlineStr">
        <is>
          <t>Verordnung über den Schutz der Auengebiete von nationaler Bedeutung (Auenverordnung)</t>
        </is>
      </c>
      <c r="E17" s="23" t="inlineStr">
        <is>
          <t>SR 451.31</t>
        </is>
      </c>
      <c r="F17" s="23" t="inlineStr">
        <is>
          <t>Erlass 28.10.1992; konsolidierte Fassung (Fedlex)</t>
        </is>
      </c>
      <c r="G17" s="23" t="inlineStr">
        <is>
          <t>Bund (BAFU)</t>
        </is>
      </c>
      <c r="H17" s="23" t="inlineStr">
        <is>
          <t>öffentlich</t>
        </is>
      </c>
      <c r="I17" s="26" t="inlineStr">
        <is>
          <t>gilt</t>
        </is>
      </c>
      <c r="J17" s="26" t="inlineStr">
        <is>
          <t>gilt</t>
        </is>
      </c>
      <c r="K17" s="26" t="inlineStr">
        <is>
          <t>gilt</t>
        </is>
      </c>
      <c r="L17" s="23" t="inlineStr">
        <is>
          <t>Rechtsgrundlage Bundesinventar: Auengebiete</t>
        </is>
      </c>
      <c r="M17" s="56" t="inlineStr">
        <is>
          <t>https://www.fedlex.admin.ch/eli/cc/1992/2080_2080_2080/de</t>
        </is>
      </c>
      <c r="N17" s="42" t="inlineStr">
        <is>
          <t>geprüft · OK</t>
        </is>
      </c>
      <c r="O17" s="23" t="inlineStr">
        <is>
          <t>Ergänzung · hoch</t>
        </is>
      </c>
      <c r="P17" s="23" t="n"/>
    </row>
    <row r="18" outlineLevel="1" ht="32.85" customHeight="1">
      <c r="A18" s="23" t="inlineStr">
        <is>
          <t>Bund</t>
        </is>
      </c>
      <c r="B18" s="24" t="inlineStr">
        <is>
          <t>Q2</t>
        </is>
      </c>
      <c r="C18" s="23" t="inlineStr">
        <is>
          <t>Verordnung</t>
        </is>
      </c>
      <c r="D18" s="25" t="inlineStr">
        <is>
          <t>Verordnung über den Schutz der Hoch- und Übergangsmoore von nationaler Bedeutung (Hochmoorverordnung)</t>
        </is>
      </c>
      <c r="E18" s="23" t="inlineStr">
        <is>
          <t>SR 451.32</t>
        </is>
      </c>
      <c r="F18" s="23" t="inlineStr">
        <is>
          <t>Erlass 21.01.1991; konsolidierte Fassung (Fedlex)</t>
        </is>
      </c>
      <c r="G18" s="23" t="inlineStr">
        <is>
          <t>Bund (BAFU)</t>
        </is>
      </c>
      <c r="H18" s="23" t="inlineStr">
        <is>
          <t>öffentlich</t>
        </is>
      </c>
      <c r="I18" s="26" t="inlineStr">
        <is>
          <t>gilt</t>
        </is>
      </c>
      <c r="J18" s="26" t="inlineStr">
        <is>
          <t>gilt</t>
        </is>
      </c>
      <c r="K18" s="26" t="inlineStr">
        <is>
          <t>gilt</t>
        </is>
      </c>
      <c r="L18" s="23" t="inlineStr">
        <is>
          <t>Rechtsgrundlage Bundesinventar: Hoch- und Übergangsmoore</t>
        </is>
      </c>
      <c r="M18" s="56" t="inlineStr">
        <is>
          <t>https://www.fedlex.admin.ch/eli/cc/1991/270_270_270/de</t>
        </is>
      </c>
      <c r="N18" s="42" t="inlineStr">
        <is>
          <t>geprüft · OK</t>
        </is>
      </c>
      <c r="O18" s="23" t="inlineStr">
        <is>
          <t>Ergänzung · hoch</t>
        </is>
      </c>
      <c r="P18" s="23" t="n"/>
    </row>
    <row r="19" outlineLevel="1" ht="32.85" customHeight="1">
      <c r="A19" s="23" t="inlineStr">
        <is>
          <t>Bund</t>
        </is>
      </c>
      <c r="B19" s="24" t="inlineStr">
        <is>
          <t>Q2</t>
        </is>
      </c>
      <c r="C19" s="23" t="inlineStr">
        <is>
          <t>Verordnung</t>
        </is>
      </c>
      <c r="D19" s="25" t="inlineStr">
        <is>
          <t>Verordnung über den Schutz der Flachmoore von nationaler Bedeutung (Flachmoorverordnung)</t>
        </is>
      </c>
      <c r="E19" s="23" t="inlineStr">
        <is>
          <t>SR 451.33</t>
        </is>
      </c>
      <c r="F19" s="23" t="inlineStr">
        <is>
          <t>Erlass 07.09.1994; konsolidierte Fassung (Fedlex)</t>
        </is>
      </c>
      <c r="G19" s="23" t="inlineStr">
        <is>
          <t>Bund (BAFU)</t>
        </is>
      </c>
      <c r="H19" s="23" t="inlineStr">
        <is>
          <t>öffentlich</t>
        </is>
      </c>
      <c r="I19" s="26" t="inlineStr">
        <is>
          <t>gilt</t>
        </is>
      </c>
      <c r="J19" s="26" t="inlineStr">
        <is>
          <t>gilt</t>
        </is>
      </c>
      <c r="K19" s="26" t="inlineStr">
        <is>
          <t>gilt</t>
        </is>
      </c>
      <c r="L19" s="23" t="inlineStr">
        <is>
          <t>Rechtsgrundlage Bundesinventar: Flachmoore</t>
        </is>
      </c>
      <c r="M19" s="56" t="inlineStr">
        <is>
          <t>https://www.fedlex.admin.ch/eli/cc/1994/2092_2092_2092/de</t>
        </is>
      </c>
      <c r="N19" s="42" t="inlineStr">
        <is>
          <t>geprüft · OK</t>
        </is>
      </c>
      <c r="O19" s="23" t="inlineStr">
        <is>
          <t>Ergänzung · hoch</t>
        </is>
      </c>
      <c r="P19" s="23" t="n"/>
    </row>
    <row r="20" outlineLevel="1" ht="32.85" customHeight="1">
      <c r="A20" s="23" t="inlineStr">
        <is>
          <t>Bund</t>
        </is>
      </c>
      <c r="B20" s="24" t="inlineStr">
        <is>
          <t>Q2</t>
        </is>
      </c>
      <c r="C20" s="23" t="inlineStr">
        <is>
          <t>Verordnung</t>
        </is>
      </c>
      <c r="D20" s="25" t="inlineStr">
        <is>
          <t>Verordnung über den Schutz der Amphibienlaichgebiete von nationaler Bedeutung (Amphibienlaichgebiete-Verordnung; AlgV)</t>
        </is>
      </c>
      <c r="E20" s="23" t="inlineStr">
        <is>
          <t>SR 451.34</t>
        </is>
      </c>
      <c r="F20" s="23" t="inlineStr">
        <is>
          <t>Erlass 15.06.2001; konsolidierte Fassung (Fedlex)</t>
        </is>
      </c>
      <c r="G20" s="23" t="inlineStr">
        <is>
          <t>Bund (BAFU)</t>
        </is>
      </c>
      <c r="H20" s="23" t="inlineStr">
        <is>
          <t>öffentlich</t>
        </is>
      </c>
      <c r="I20" s="26" t="inlineStr">
        <is>
          <t>gilt</t>
        </is>
      </c>
      <c r="J20" s="26" t="inlineStr">
        <is>
          <t>gilt</t>
        </is>
      </c>
      <c r="K20" s="26" t="inlineStr">
        <is>
          <t>gilt</t>
        </is>
      </c>
      <c r="L20" s="23" t="inlineStr">
        <is>
          <t>Rechtsgrundlage Bundesinventar: Amphibienlaichgebiete</t>
        </is>
      </c>
      <c r="M20" s="56" t="inlineStr">
        <is>
          <t>https://www.fedlex.admin.ch/eli/cc/2001/328/de</t>
        </is>
      </c>
      <c r="N20" s="42" t="inlineStr">
        <is>
          <t>geprüft · OK</t>
        </is>
      </c>
      <c r="O20" s="23" t="inlineStr">
        <is>
          <t>Ergänzung · hoch</t>
        </is>
      </c>
      <c r="P20" s="23" t="n"/>
    </row>
    <row r="21" outlineLevel="1" ht="32.85" customHeight="1">
      <c r="A21" s="23" t="inlineStr">
        <is>
          <t>Bund</t>
        </is>
      </c>
      <c r="B21" s="24" t="inlineStr">
        <is>
          <t>Q2</t>
        </is>
      </c>
      <c r="C21" s="23" t="inlineStr">
        <is>
          <t>Verordnung</t>
        </is>
      </c>
      <c r="D21" s="25" t="inlineStr">
        <is>
          <t>Verordnung über den Schutz der Moorlandschaften von besonderer Schönheit und von nationaler Bedeutung (Moorlandschaftsverordnung)</t>
        </is>
      </c>
      <c r="E21" s="23" t="inlineStr">
        <is>
          <t>SR 451.35</t>
        </is>
      </c>
      <c r="F21" s="23" t="inlineStr">
        <is>
          <t>Erlass 01.05.1996; konsolidierte Fassung (Fedlex)</t>
        </is>
      </c>
      <c r="G21" s="23" t="inlineStr">
        <is>
          <t>Bund (BAFU)</t>
        </is>
      </c>
      <c r="H21" s="23" t="inlineStr">
        <is>
          <t>öffentlich</t>
        </is>
      </c>
      <c r="I21" s="26" t="inlineStr">
        <is>
          <t>gilt</t>
        </is>
      </c>
      <c r="J21" s="26" t="inlineStr">
        <is>
          <t>gilt</t>
        </is>
      </c>
      <c r="K21" s="26" t="inlineStr">
        <is>
          <t>gilt</t>
        </is>
      </c>
      <c r="L21" s="23" t="inlineStr">
        <is>
          <t>Rechtsgrundlage Bundesinventar: Moorlandschaften</t>
        </is>
      </c>
      <c r="M21" s="56" t="inlineStr">
        <is>
          <t>https://www.fedlex.admin.ch/eli/cc/1996/1839_1839_1839/de</t>
        </is>
      </c>
      <c r="N21" s="42" t="inlineStr">
        <is>
          <t>geprüft · OK</t>
        </is>
      </c>
      <c r="O21" s="23" t="inlineStr">
        <is>
          <t>Ergänzung · hoch</t>
        </is>
      </c>
      <c r="P21" s="23" t="n"/>
    </row>
    <row r="22" outlineLevel="1" ht="32.85" customHeight="1">
      <c r="A22" s="23" t="inlineStr">
        <is>
          <t>Bund</t>
        </is>
      </c>
      <c r="B22" s="24" t="inlineStr">
        <is>
          <t>Q2</t>
        </is>
      </c>
      <c r="C22" s="23" t="inlineStr">
        <is>
          <t>Verordnung</t>
        </is>
      </c>
      <c r="D22" s="25" t="inlineStr">
        <is>
          <t>Verordnung über die Pärke von nationaler Bedeutung (Pärkeverordnung, PäV)</t>
        </is>
      </c>
      <c r="E22" s="23" t="inlineStr">
        <is>
          <t>SR 451.36</t>
        </is>
      </c>
      <c r="F22" s="23" t="inlineStr">
        <is>
          <t>Erlass 07.11.2007; konsolidierte Fassung (Fedlex)</t>
        </is>
      </c>
      <c r="G22" s="23" t="inlineStr">
        <is>
          <t>Bund (BAFU)</t>
        </is>
      </c>
      <c r="H22" s="23" t="inlineStr">
        <is>
          <t>öffentlich</t>
        </is>
      </c>
      <c r="I22" s="26" t="inlineStr">
        <is>
          <t>gilt</t>
        </is>
      </c>
      <c r="J22" s="26" t="inlineStr">
        <is>
          <t>gilt</t>
        </is>
      </c>
      <c r="K22" s="26" t="inlineStr">
        <is>
          <t>gilt</t>
        </is>
      </c>
      <c r="L22" s="23" t="inlineStr">
        <is>
          <t>Rechtsgrundlage Bundesinventar: Pärke von nationaler Bedeutung</t>
        </is>
      </c>
      <c r="M22" s="56" t="inlineStr">
        <is>
          <t>https://www.fedlex.admin.ch/eli/cc/2007/743/de</t>
        </is>
      </c>
      <c r="N22" s="42" t="inlineStr">
        <is>
          <t>geprüft · OK</t>
        </is>
      </c>
      <c r="O22" s="23" t="inlineStr">
        <is>
          <t>Ergänzung · hoch</t>
        </is>
      </c>
      <c r="P22" s="23" t="n"/>
    </row>
    <row r="23" outlineLevel="1" ht="32.85" customHeight="1">
      <c r="A23" s="23" t="inlineStr">
        <is>
          <t>Bund</t>
        </is>
      </c>
      <c r="B23" s="24" t="inlineStr">
        <is>
          <t>Q2</t>
        </is>
      </c>
      <c r="C23" s="23" t="inlineStr">
        <is>
          <t>Verordnung</t>
        </is>
      </c>
      <c r="D23" s="25" t="inlineStr">
        <is>
          <t>Verordnung über den Schutz der Trockenwiesen und -weiden von nationaler Bedeutung (Trockenwiesenverordnung, TwwV)</t>
        </is>
      </c>
      <c r="E23" s="23" t="inlineStr">
        <is>
          <t>SR 451.37</t>
        </is>
      </c>
      <c r="F23" s="23" t="inlineStr">
        <is>
          <t>Erlass 13.01.2010; konsolidierte Fassung (Fedlex)</t>
        </is>
      </c>
      <c r="G23" s="23" t="inlineStr">
        <is>
          <t>Bund (BAFU)</t>
        </is>
      </c>
      <c r="H23" s="23" t="inlineStr">
        <is>
          <t>öffentlich</t>
        </is>
      </c>
      <c r="I23" s="26" t="inlineStr">
        <is>
          <t>gilt</t>
        </is>
      </c>
      <c r="J23" s="26" t="inlineStr">
        <is>
          <t>gilt</t>
        </is>
      </c>
      <c r="K23" s="26" t="inlineStr">
        <is>
          <t>gilt</t>
        </is>
      </c>
      <c r="L23" s="23" t="inlineStr">
        <is>
          <t>Rechtsgrundlage Bundesinventar: Trockenwiesen und -weiden</t>
        </is>
      </c>
      <c r="M23" s="56" t="inlineStr">
        <is>
          <t>https://www.fedlex.admin.ch/eli/cc/2010/38/de</t>
        </is>
      </c>
      <c r="N23" s="42" t="inlineStr">
        <is>
          <t>geprüft · OK</t>
        </is>
      </c>
      <c r="O23" s="23" t="inlineStr">
        <is>
          <t>Ergänzung · hoch</t>
        </is>
      </c>
      <c r="P23" s="23" t="n"/>
    </row>
    <row r="24" outlineLevel="1" ht="32.85" customHeight="1">
      <c r="A24" s="23" t="inlineStr">
        <is>
          <t>Bund</t>
        </is>
      </c>
      <c r="B24" s="24" t="inlineStr">
        <is>
          <t>Q2</t>
        </is>
      </c>
      <c r="C24" s="23" t="inlineStr">
        <is>
          <t>Gesetz</t>
        </is>
      </c>
      <c r="D24" s="25" t="inlineStr">
        <is>
          <t>Gewässerschutzgesetz (GSchG)</t>
        </is>
      </c>
      <c r="E24" s="23" t="inlineStr">
        <is>
          <t>SR 814.20</t>
        </is>
      </c>
      <c r="F24" s="23" t="inlineStr">
        <is>
          <t>konsolidierte Fassung (Fedlex); GSchV Stand 01.08.2025</t>
        </is>
      </c>
      <c r="G24" s="23" t="inlineStr">
        <is>
          <t>Bund (BAFU)</t>
        </is>
      </c>
      <c r="H24" s="23" t="inlineStr">
        <is>
          <t>öffentlich</t>
        </is>
      </c>
      <c r="I24" s="26" t="inlineStr">
        <is>
          <t>gilt</t>
        </is>
      </c>
      <c r="J24" s="26" t="inlineStr">
        <is>
          <t>gilt</t>
        </is>
      </c>
      <c r="K24" s="26" t="inlineStr">
        <is>
          <t>gilt</t>
        </is>
      </c>
      <c r="L24" s="23" t="inlineStr">
        <is>
          <t>Gewässerschutz, Gewässerraum, Restwasser, Grundwasserschutz</t>
        </is>
      </c>
      <c r="M24" s="27" t="inlineStr">
        <is>
          <t>https://www.fedlex.admin.ch/eli/cc/1992/1860_1860_1860/de</t>
        </is>
      </c>
      <c r="N24" s="42" t="inlineStr">
        <is>
          <t>geprüft · OK</t>
        </is>
      </c>
      <c r="O24" s="23" t="inlineStr">
        <is>
          <t>Katalog · hoch</t>
        </is>
      </c>
      <c r="P24" s="23" t="n"/>
    </row>
    <row r="25" outlineLevel="1" ht="22.35" customHeight="1">
      <c r="A25" s="23" t="inlineStr">
        <is>
          <t>Bund</t>
        </is>
      </c>
      <c r="B25" s="24" t="inlineStr">
        <is>
          <t>Q2</t>
        </is>
      </c>
      <c r="C25" s="23" t="inlineStr">
        <is>
          <t>Gesetz</t>
        </is>
      </c>
      <c r="D25" s="25" t="inlineStr">
        <is>
          <t>Gewässerschutzverordnung (GSchV)</t>
        </is>
      </c>
      <c r="E25" s="23" t="inlineStr">
        <is>
          <t>SR 814.201</t>
        </is>
      </c>
      <c r="F25" s="23" t="inlineStr">
        <is>
          <t>01.08.2025 (Fassung lt. Suchtreffer)</t>
        </is>
      </c>
      <c r="G25" s="23" t="inlineStr">
        <is>
          <t>Bund (BAFU)</t>
        </is>
      </c>
      <c r="H25" s="23" t="inlineStr">
        <is>
          <t>öffentlich</t>
        </is>
      </c>
      <c r="I25" s="26" t="inlineStr">
        <is>
          <t>gilt</t>
        </is>
      </c>
      <c r="J25" s="26" t="inlineStr">
        <is>
          <t>gilt</t>
        </is>
      </c>
      <c r="K25" s="26" t="inlineStr">
        <is>
          <t>gilt</t>
        </is>
      </c>
      <c r="L25" s="23" t="inlineStr">
        <is>
          <t>Entwässerungsplanung (Art. 4/5: regionale und kommunale Entwässerungsplanung), Gewässerraum</t>
        </is>
      </c>
      <c r="M25" s="27" t="inlineStr">
        <is>
          <t>https://www.fedlex.admin.ch/eli/cc/1998/2863_2863_2863/de</t>
        </is>
      </c>
      <c r="N25" s="42" t="inlineStr">
        <is>
          <t>geprüft · OK</t>
        </is>
      </c>
      <c r="O25" s="23" t="inlineStr">
        <is>
          <t>Ergänzung · hoch</t>
        </is>
      </c>
      <c r="P25" s="23" t="inlineStr">
        <is>
          <t>Art. 5 GSchV = Grundlage GEP</t>
        </is>
      </c>
    </row>
    <row r="26" outlineLevel="1" ht="22.35" customHeight="1">
      <c r="A26" s="23" t="inlineStr">
        <is>
          <t>Bund</t>
        </is>
      </c>
      <c r="B26" s="24" t="inlineStr">
        <is>
          <t>Q2</t>
        </is>
      </c>
      <c r="C26" s="23" t="inlineStr">
        <is>
          <t>Gesetz</t>
        </is>
      </c>
      <c r="D26" s="25" t="inlineStr">
        <is>
          <t>Waldgesetz (WaG)</t>
        </is>
      </c>
      <c r="E26" s="23" t="inlineStr">
        <is>
          <t>SR 921.0</t>
        </is>
      </c>
      <c r="F26" s="23" t="inlineStr">
        <is>
          <t>konsolidierte Fassung (Fedlex)</t>
        </is>
      </c>
      <c r="G26" s="23" t="inlineStr">
        <is>
          <t>Bund (BAFU)</t>
        </is>
      </c>
      <c r="H26" s="23" t="inlineStr">
        <is>
          <t>öffentlich</t>
        </is>
      </c>
      <c r="I26" s="26" t="inlineStr">
        <is>
          <t>gilt</t>
        </is>
      </c>
      <c r="J26" s="26" t="inlineStr">
        <is>
          <t>gilt</t>
        </is>
      </c>
      <c r="K26" s="26" t="inlineStr">
        <is>
          <t>gilt</t>
        </is>
      </c>
      <c r="L26" s="23" t="inlineStr">
        <is>
          <t>Waldschutz, Waldabstand, Rodungsverbot</t>
        </is>
      </c>
      <c r="M26" s="27" t="inlineStr">
        <is>
          <t>https://www.fedlex.admin.ch/eli/cc/1992/2521_2521_2521/de</t>
        </is>
      </c>
      <c r="N26" s="42" t="inlineStr">
        <is>
          <t>geprüft · OK</t>
        </is>
      </c>
      <c r="O26" s="23" t="inlineStr">
        <is>
          <t>Katalog · hoch</t>
        </is>
      </c>
      <c r="P26" s="23" t="n"/>
    </row>
    <row r="27" outlineLevel="1" ht="22.35" customHeight="1">
      <c r="A27" s="23" t="inlineStr">
        <is>
          <t>Bund</t>
        </is>
      </c>
      <c r="B27" s="24" t="inlineStr">
        <is>
          <t>Q2</t>
        </is>
      </c>
      <c r="C27" s="23" t="inlineStr">
        <is>
          <t>Gesetz</t>
        </is>
      </c>
      <c r="D27" s="25" t="inlineStr">
        <is>
          <t>Waldverordnung (WaV)</t>
        </is>
      </c>
      <c r="E27" s="23" t="inlineStr">
        <is>
          <t>SR 921.01</t>
        </is>
      </c>
      <c r="F27" s="23" t="inlineStr">
        <is>
          <t>konsolidierte Fassung (Fedlex)</t>
        </is>
      </c>
      <c r="G27" s="23" t="inlineStr">
        <is>
          <t>Bund (BAFU)</t>
        </is>
      </c>
      <c r="H27" s="23" t="inlineStr">
        <is>
          <t>öffentlich</t>
        </is>
      </c>
      <c r="I27" s="26" t="inlineStr">
        <is>
          <t>gilt</t>
        </is>
      </c>
      <c r="J27" s="26" t="inlineStr">
        <is>
          <t>gilt</t>
        </is>
      </c>
      <c r="K27" s="26" t="inlineStr">
        <is>
          <t>gilt</t>
        </is>
      </c>
      <c r="L27" s="23" t="inlineStr">
        <is>
          <t>Vollzug WaG</t>
        </is>
      </c>
      <c r="M27" s="56" t="inlineStr">
        <is>
          <t>https://www.fedlex.admin.ch/eli/cc/1992/2538_2538_2538/de</t>
        </is>
      </c>
      <c r="N27" s="42" t="inlineStr">
        <is>
          <t>geprüft · OK</t>
        </is>
      </c>
      <c r="O27" s="23" t="inlineStr">
        <is>
          <t>Ergänzung · hoch</t>
        </is>
      </c>
      <c r="P27" s="23" t="n"/>
    </row>
    <row r="28" outlineLevel="1" ht="22.35" customHeight="1">
      <c r="A28" s="23" t="inlineStr">
        <is>
          <t>Bund</t>
        </is>
      </c>
      <c r="B28" s="24" t="inlineStr">
        <is>
          <t>Q2</t>
        </is>
      </c>
      <c r="C28" s="23" t="inlineStr">
        <is>
          <t>Gesetz</t>
        </is>
      </c>
      <c r="D28" s="25" t="inlineStr">
        <is>
          <t>Jagdgesetz (JSG)</t>
        </is>
      </c>
      <c r="E28" s="23" t="inlineStr">
        <is>
          <t>SR 922.0</t>
        </is>
      </c>
      <c r="F28" s="23" t="inlineStr">
        <is>
          <t>konsolidierte Fassung (Fedlex)</t>
        </is>
      </c>
      <c r="G28" s="23" t="inlineStr">
        <is>
          <t>Bund (BAFU)</t>
        </is>
      </c>
      <c r="H28" s="23" t="inlineStr">
        <is>
          <t>öffentlich</t>
        </is>
      </c>
      <c r="I28" s="26" t="inlineStr">
        <is>
          <t>gilt</t>
        </is>
      </c>
      <c r="J28" s="26" t="inlineStr">
        <is>
          <t>gilt</t>
        </is>
      </c>
      <c r="K28" s="26" t="inlineStr">
        <is>
          <t>gilt</t>
        </is>
      </c>
      <c r="L28" s="23" t="inlineStr">
        <is>
          <t>Wildtierschutz, Banngebiete, Wildtierkorridore</t>
        </is>
      </c>
      <c r="M28" s="27" t="inlineStr">
        <is>
          <t>https://www.fedlex.admin.ch/eli/cc/1988/506_506_506/de</t>
        </is>
      </c>
      <c r="N28" s="42" t="inlineStr">
        <is>
          <t>geprüft · OK</t>
        </is>
      </c>
      <c r="O28" s="23" t="inlineStr">
        <is>
          <t>Ergänzung · hoch</t>
        </is>
      </c>
      <c r="P28" s="23" t="n"/>
    </row>
    <row r="29" outlineLevel="1" ht="22.35" customHeight="1">
      <c r="A29" s="23" t="inlineStr">
        <is>
          <t>Bund</t>
        </is>
      </c>
      <c r="B29" s="24" t="inlineStr">
        <is>
          <t>Q2</t>
        </is>
      </c>
      <c r="C29" s="23" t="inlineStr">
        <is>
          <t>Gesetz</t>
        </is>
      </c>
      <c r="D29" s="25" t="inlineStr">
        <is>
          <t>Bundesgesetz über die Fischerei (BGF)</t>
        </is>
      </c>
      <c r="E29" s="23" t="inlineStr">
        <is>
          <t>SR 923.0</t>
        </is>
      </c>
      <c r="F29" s="23" t="inlineStr">
        <is>
          <t>konsolidierte Fassung (Fedlex)</t>
        </is>
      </c>
      <c r="G29" s="23" t="inlineStr">
        <is>
          <t>Bund (BAFU)</t>
        </is>
      </c>
      <c r="H29" s="23" t="inlineStr">
        <is>
          <t>öffentlich</t>
        </is>
      </c>
      <c r="I29" s="26" t="inlineStr">
        <is>
          <t>gilt</t>
        </is>
      </c>
      <c r="J29" s="26" t="inlineStr">
        <is>
          <t>gilt</t>
        </is>
      </c>
      <c r="K29" s="26" t="inlineStr">
        <is>
          <t>gilt</t>
        </is>
      </c>
      <c r="L29" s="23" t="inlineStr">
        <is>
          <t>Fischereischutz, Lebensräume, Gewässer</t>
        </is>
      </c>
      <c r="M29" s="56" t="inlineStr">
        <is>
          <t>https://www.fedlex.admin.ch/eli/cc/1991/2259_2259_2259/de</t>
        </is>
      </c>
      <c r="N29" s="42" t="inlineStr">
        <is>
          <t>geprüft · OK</t>
        </is>
      </c>
      <c r="O29" s="23" t="inlineStr">
        <is>
          <t>Ergänzung · hoch</t>
        </is>
      </c>
      <c r="P29" s="23" t="n"/>
    </row>
    <row r="30" outlineLevel="1" ht="22.35" customHeight="1">
      <c r="A30" s="23" t="inlineStr">
        <is>
          <t>Bund</t>
        </is>
      </c>
      <c r="B30" s="24" t="inlineStr">
        <is>
          <t>Q3 / Q4</t>
        </is>
      </c>
      <c r="C30" s="23" t="inlineStr">
        <is>
          <t>Gesetz</t>
        </is>
      </c>
      <c r="D30" s="25" t="inlineStr">
        <is>
          <t>Umweltschutzgesetz (USG)</t>
        </is>
      </c>
      <c r="E30" s="23" t="inlineStr">
        <is>
          <t>SR 814.01</t>
        </is>
      </c>
      <c r="F30" s="23" t="inlineStr">
        <is>
          <t>konsolidierte Fassung (Fedlex)</t>
        </is>
      </c>
      <c r="G30" s="23" t="inlineStr">
        <is>
          <t>Bund (BAFU)</t>
        </is>
      </c>
      <c r="H30" s="23" t="inlineStr">
        <is>
          <t>öffentlich</t>
        </is>
      </c>
      <c r="I30" s="26" t="inlineStr">
        <is>
          <t>gilt</t>
        </is>
      </c>
      <c r="J30" s="26" t="inlineStr">
        <is>
          <t>gilt</t>
        </is>
      </c>
      <c r="K30" s="26" t="inlineStr">
        <is>
          <t>gilt</t>
        </is>
      </c>
      <c r="L30" s="23" t="inlineStr">
        <is>
          <t>Umweltbelastungen, Emissionen, Lärm, Boden, Störfall</t>
        </is>
      </c>
      <c r="M30" s="27" t="inlineStr">
        <is>
          <t>https://www.fedlex.admin.ch/eli/cc/1984/1122_1122_1122/de</t>
        </is>
      </c>
      <c r="N30" s="42" t="inlineStr">
        <is>
          <t>geprüft · OK</t>
        </is>
      </c>
      <c r="O30" s="23" t="inlineStr">
        <is>
          <t>Katalog · hoch</t>
        </is>
      </c>
      <c r="P30" s="23" t="n"/>
    </row>
    <row r="31" outlineLevel="1" ht="22.35" customHeight="1">
      <c r="A31" s="23" t="inlineStr">
        <is>
          <t>Bund</t>
        </is>
      </c>
      <c r="B31" s="24" t="inlineStr">
        <is>
          <t>Q3</t>
        </is>
      </c>
      <c r="C31" s="23" t="inlineStr">
        <is>
          <t>Gesetz</t>
        </is>
      </c>
      <c r="D31" s="25" t="inlineStr">
        <is>
          <t>Energiegesetz (EnG)</t>
        </is>
      </c>
      <c r="E31" s="23" t="inlineStr">
        <is>
          <t>SR 730.0</t>
        </is>
      </c>
      <c r="F31" s="23" t="inlineStr">
        <is>
          <t>konsolidierte Fassung (Fedlex)</t>
        </is>
      </c>
      <c r="G31" s="23" t="inlineStr">
        <is>
          <t>Bund (BFE)</t>
        </is>
      </c>
      <c r="H31" s="23" t="inlineStr">
        <is>
          <t>öffentlich</t>
        </is>
      </c>
      <c r="I31" s="26" t="inlineStr">
        <is>
          <t>gilt</t>
        </is>
      </c>
      <c r="J31" s="26" t="inlineStr">
        <is>
          <t>gilt</t>
        </is>
      </c>
      <c r="K31" s="26" t="inlineStr">
        <is>
          <t>gilt</t>
        </is>
      </c>
      <c r="L31" s="23" t="inlineStr">
        <is>
          <t>Bundesrechtliche Energieanforderungen; Gebäudestandards primär kantonal</t>
        </is>
      </c>
      <c r="M31" s="27" t="inlineStr">
        <is>
          <t>https://www.fedlex.admin.ch/eli/cc/2017/762/de</t>
        </is>
      </c>
      <c r="N31" s="42" t="inlineStr">
        <is>
          <t>geprüft · OK</t>
        </is>
      </c>
      <c r="O31" s="23" t="inlineStr">
        <is>
          <t>Katalog · hoch</t>
        </is>
      </c>
      <c r="P31" s="23" t="n"/>
    </row>
    <row r="32" outlineLevel="1" ht="22.35" customHeight="1">
      <c r="A32" s="23" t="inlineStr">
        <is>
          <t>Bund</t>
        </is>
      </c>
      <c r="B32" s="24" t="inlineStr">
        <is>
          <t>Q3</t>
        </is>
      </c>
      <c r="C32" s="23" t="inlineStr">
        <is>
          <t>Gesetz</t>
        </is>
      </c>
      <c r="D32" s="25" t="inlineStr">
        <is>
          <t>Energieverordnung (EnV)</t>
        </is>
      </c>
      <c r="E32" s="23" t="inlineStr">
        <is>
          <t>SR 730.01</t>
        </is>
      </c>
      <c r="F32" s="23" t="inlineStr">
        <is>
          <t>konsolidierte Fassung (Fedlex)</t>
        </is>
      </c>
      <c r="G32" s="23" t="inlineStr">
        <is>
          <t>Bund (BFE)</t>
        </is>
      </c>
      <c r="H32" s="23" t="inlineStr">
        <is>
          <t>öffentlich</t>
        </is>
      </c>
      <c r="I32" s="26" t="inlineStr">
        <is>
          <t>gilt</t>
        </is>
      </c>
      <c r="J32" s="26" t="inlineStr">
        <is>
          <t>gilt</t>
        </is>
      </c>
      <c r="K32" s="26" t="inlineStr">
        <is>
          <t>gilt</t>
        </is>
      </c>
      <c r="L32" s="23" t="inlineStr">
        <is>
          <t>Vollzug EnG</t>
        </is>
      </c>
      <c r="M32" s="27" t="inlineStr">
        <is>
          <t>https://www.fedlex.admin.ch/eli/cc/2017/763/de</t>
        </is>
      </c>
      <c r="N32" s="42" t="inlineStr">
        <is>
          <t>geprüft · OK</t>
        </is>
      </c>
      <c r="O32" s="23" t="inlineStr">
        <is>
          <t>Ergänzung · hoch</t>
        </is>
      </c>
      <c r="P32" s="23" t="n"/>
    </row>
    <row r="33" outlineLevel="1" ht="22.35" customHeight="1">
      <c r="A33" s="23" t="inlineStr">
        <is>
          <t>Bund</t>
        </is>
      </c>
      <c r="B33" s="24" t="inlineStr">
        <is>
          <t>Q3</t>
        </is>
      </c>
      <c r="C33" s="23" t="inlineStr">
        <is>
          <t>Gesetz</t>
        </is>
      </c>
      <c r="D33" s="25" t="inlineStr">
        <is>
          <t>CO₂-Gesetz</t>
        </is>
      </c>
      <c r="E33" s="23" t="inlineStr">
        <is>
          <t>SR 641.71</t>
        </is>
      </c>
      <c r="F33" s="23" t="inlineStr">
        <is>
          <t>konsolidierte Fassung (Fedlex)</t>
        </is>
      </c>
      <c r="G33" s="23" t="inlineStr">
        <is>
          <t>Bund (BAFU)</t>
        </is>
      </c>
      <c r="H33" s="23" t="inlineStr">
        <is>
          <t>öffentlich</t>
        </is>
      </c>
      <c r="I33" s="26" t="inlineStr">
        <is>
          <t>gilt</t>
        </is>
      </c>
      <c r="J33" s="26" t="inlineStr">
        <is>
          <t>gilt</t>
        </is>
      </c>
      <c r="K33" s="26" t="inlineStr">
        <is>
          <t>gilt</t>
        </is>
      </c>
      <c r="L33" s="23" t="inlineStr">
        <is>
          <t>Reduktionsziele, Gebäudeprogramm, Lenkungsabgabe</t>
        </is>
      </c>
      <c r="M33" s="27" t="inlineStr">
        <is>
          <t>https://www.fedlex.admin.ch/eli/cc/2012/855/de</t>
        </is>
      </c>
      <c r="N33" s="42" t="inlineStr">
        <is>
          <t>geprüft · OK</t>
        </is>
      </c>
      <c r="O33" s="23" t="inlineStr">
        <is>
          <t>Ergänzung · hoch</t>
        </is>
      </c>
      <c r="P33" s="23" t="n"/>
    </row>
    <row r="34" outlineLevel="1" ht="22.35" customHeight="1">
      <c r="A34" s="23" t="inlineStr">
        <is>
          <t>Bund</t>
        </is>
      </c>
      <c r="B34" s="24" t="inlineStr">
        <is>
          <t>Q3</t>
        </is>
      </c>
      <c r="C34" s="23" t="inlineStr">
        <is>
          <t>Gesetz</t>
        </is>
      </c>
      <c r="D34" s="25" t="inlineStr">
        <is>
          <t>CO₂-Verordnung</t>
        </is>
      </c>
      <c r="E34" s="23" t="inlineStr">
        <is>
          <t>SR 641.711</t>
        </is>
      </c>
      <c r="F34" s="23" t="inlineStr">
        <is>
          <t>konsolidierte Fassung (Fedlex)</t>
        </is>
      </c>
      <c r="G34" s="23" t="inlineStr">
        <is>
          <t>Bund (BAFU)</t>
        </is>
      </c>
      <c r="H34" s="23" t="inlineStr">
        <is>
          <t>öffentlich</t>
        </is>
      </c>
      <c r="I34" s="26" t="inlineStr">
        <is>
          <t>gilt</t>
        </is>
      </c>
      <c r="J34" s="26" t="inlineStr">
        <is>
          <t>gilt</t>
        </is>
      </c>
      <c r="K34" s="26" t="inlineStr">
        <is>
          <t>gilt</t>
        </is>
      </c>
      <c r="L34" s="23" t="inlineStr">
        <is>
          <t>Reduktionsziele, Gebäudeprogramm, Lenkungsabgabe</t>
        </is>
      </c>
      <c r="M34" s="27" t="inlineStr">
        <is>
          <t>https://www.fedlex.admin.ch/eli/cc/2012/856/de</t>
        </is>
      </c>
      <c r="N34" s="42" t="inlineStr">
        <is>
          <t>geprüft · OK</t>
        </is>
      </c>
      <c r="O34" s="23" t="inlineStr">
        <is>
          <t>Ergänzung · hoch</t>
        </is>
      </c>
      <c r="P34" s="23" t="n"/>
    </row>
    <row r="35" outlineLevel="1" ht="22.35" customHeight="1">
      <c r="A35" s="23" t="inlineStr">
        <is>
          <t>Bund</t>
        </is>
      </c>
      <c r="B35" s="24" t="inlineStr">
        <is>
          <t>Q3</t>
        </is>
      </c>
      <c r="C35" s="23" t="inlineStr">
        <is>
          <t>Gesetz</t>
        </is>
      </c>
      <c r="D35" s="25" t="inlineStr">
        <is>
          <t>Klima- und Innovationsgesetz (KlG)</t>
        </is>
      </c>
      <c r="E35" s="23" t="inlineStr">
        <is>
          <t>SR 814.310</t>
        </is>
      </c>
      <c r="F35" s="23" t="inlineStr">
        <is>
          <t>konsolidierte Fassung (Fedlex)</t>
        </is>
      </c>
      <c r="G35" s="23" t="inlineStr">
        <is>
          <t>Bund (BAFU)</t>
        </is>
      </c>
      <c r="H35" s="23" t="inlineStr">
        <is>
          <t>öffentlich</t>
        </is>
      </c>
      <c r="I35" s="26" t="inlineStr">
        <is>
          <t>gilt</t>
        </is>
      </c>
      <c r="J35" s="26" t="inlineStr">
        <is>
          <t>gilt</t>
        </is>
      </c>
      <c r="K35" s="26" t="inlineStr">
        <is>
          <t>gilt</t>
        </is>
      </c>
      <c r="L35" s="23" t="inlineStr">
        <is>
          <t>Klimaziel Netto-Null 2050, Zwischenziele, Vorbildfunktion</t>
        </is>
      </c>
      <c r="M35" s="27" t="inlineStr">
        <is>
          <t>https://www.fedlex.admin.ch/eli/cc/2023/655/de</t>
        </is>
      </c>
      <c r="N35" s="42" t="inlineStr">
        <is>
          <t>geprüft · OK</t>
        </is>
      </c>
      <c r="O35" s="23" t="inlineStr">
        <is>
          <t>Katalog · hoch</t>
        </is>
      </c>
      <c r="P35" s="23" t="n"/>
    </row>
    <row r="36" outlineLevel="1" ht="22.35" customHeight="1">
      <c r="A36" s="23" t="inlineStr">
        <is>
          <t>Bund</t>
        </is>
      </c>
      <c r="B36" s="24" t="inlineStr">
        <is>
          <t>Q3</t>
        </is>
      </c>
      <c r="C36" s="23" t="inlineStr">
        <is>
          <t>Gesetz</t>
        </is>
      </c>
      <c r="D36" s="25" t="inlineStr">
        <is>
          <t>Bundesgesetz über sichere Stromversorgung mit erneuerbaren Energien (Mantelerlass; Änderung EnG/StromVG)</t>
        </is>
      </c>
      <c r="E36" s="23" t="inlineStr">
        <is>
          <t>AS 2024 679</t>
        </is>
      </c>
      <c r="F36" s="23" t="inlineStr">
        <is>
          <t>in Kraft 2025</t>
        </is>
      </c>
      <c r="G36" s="23" t="inlineStr">
        <is>
          <t>Bund (BFE)</t>
        </is>
      </c>
      <c r="H36" s="23" t="inlineStr">
        <is>
          <t>öffentlich</t>
        </is>
      </c>
      <c r="I36" s="26" t="inlineStr">
        <is>
          <t>gilt</t>
        </is>
      </c>
      <c r="J36" s="26" t="inlineStr">
        <is>
          <t>gilt</t>
        </is>
      </c>
      <c r="K36" s="26" t="inlineStr">
        <is>
          <t>gilt</t>
        </is>
      </c>
      <c r="L36" s="23" t="inlineStr">
        <is>
          <t>Ausbauziele Erneuerbare, Solaranlagen, Raumplanungsbezüge</t>
        </is>
      </c>
      <c r="M36" s="53" t="inlineStr">
        <is>
          <t>https://www.fedlex.admin.ch/eli/oc/2024/679/de</t>
        </is>
      </c>
      <c r="N36" s="42" t="inlineStr">
        <is>
          <t>geprüft · OK</t>
        </is>
      </c>
      <c r="O36" s="23" t="inlineStr">
        <is>
          <t>Ergänzung · hoch</t>
        </is>
      </c>
      <c r="P36" s="23" t="inlineStr">
        <is>
          <t>Änderungserlass (Mantelerlass) ohne eigene SR-Nummer; die Änderungen sind in EnG und StromVG konsolidiert</t>
        </is>
      </c>
    </row>
    <row r="37" outlineLevel="1" ht="22.35" customHeight="1">
      <c r="A37" s="23" t="inlineStr">
        <is>
          <t>Bund</t>
        </is>
      </c>
      <c r="B37" s="24" t="inlineStr">
        <is>
          <t>Q4</t>
        </is>
      </c>
      <c r="C37" s="23" t="inlineStr">
        <is>
          <t>Gesetz</t>
        </is>
      </c>
      <c r="D37" s="25" t="inlineStr">
        <is>
          <t>Wasserbaugesetz (WBG)</t>
        </is>
      </c>
      <c r="E37" s="23" t="inlineStr">
        <is>
          <t>SR 721.100</t>
        </is>
      </c>
      <c r="F37" s="23" t="inlineStr">
        <is>
          <t>konsolidierte Fassung (Fedlex)</t>
        </is>
      </c>
      <c r="G37" s="23" t="inlineStr">
        <is>
          <t>Bund (BAFU)</t>
        </is>
      </c>
      <c r="H37" s="23" t="inlineStr">
        <is>
          <t>öffentlich</t>
        </is>
      </c>
      <c r="I37" s="26" t="inlineStr">
        <is>
          <t>gilt</t>
        </is>
      </c>
      <c r="J37" s="26" t="inlineStr">
        <is>
          <t>gilt</t>
        </is>
      </c>
      <c r="K37" s="26" t="inlineStr">
        <is>
          <t>gilt</t>
        </is>
      </c>
      <c r="L37" s="23" t="inlineStr">
        <is>
          <t>Hochwasserschutz, Gefahrenkarten, Raumbedarf Gewässer</t>
        </is>
      </c>
      <c r="M37" s="56" t="inlineStr">
        <is>
          <t>https://www.fedlex.admin.ch/eli/cc/1993/234_234_234/de</t>
        </is>
      </c>
      <c r="N37" s="42" t="inlineStr">
        <is>
          <t>geprüft · OK</t>
        </is>
      </c>
      <c r="O37" s="23" t="inlineStr">
        <is>
          <t>Ergänzung · hoch</t>
        </is>
      </c>
      <c r="P37" s="23" t="n"/>
    </row>
    <row r="38" outlineLevel="1" ht="22.35" customHeight="1">
      <c r="A38" s="23" t="inlineStr">
        <is>
          <t>Bund</t>
        </is>
      </c>
      <c r="B38" s="24" t="inlineStr">
        <is>
          <t>Q4</t>
        </is>
      </c>
      <c r="C38" s="23" t="inlineStr">
        <is>
          <t>Gesetz</t>
        </is>
      </c>
      <c r="D38" s="25" t="inlineStr">
        <is>
          <t>Wasserbauverordnung (WBV)</t>
        </is>
      </c>
      <c r="E38" s="23" t="inlineStr">
        <is>
          <t>SR 721.100.1</t>
        </is>
      </c>
      <c r="F38" s="23" t="inlineStr">
        <is>
          <t>konsolidierte Fassung (Fedlex)</t>
        </is>
      </c>
      <c r="G38" s="23" t="inlineStr">
        <is>
          <t>Bund (BAFU)</t>
        </is>
      </c>
      <c r="H38" s="23" t="inlineStr">
        <is>
          <t>öffentlich</t>
        </is>
      </c>
      <c r="I38" s="26" t="inlineStr">
        <is>
          <t>gilt</t>
        </is>
      </c>
      <c r="J38" s="26" t="inlineStr">
        <is>
          <t>gilt</t>
        </is>
      </c>
      <c r="K38" s="26" t="inlineStr">
        <is>
          <t>gilt</t>
        </is>
      </c>
      <c r="L38" s="23" t="inlineStr">
        <is>
          <t>Vollzug WBG</t>
        </is>
      </c>
      <c r="M38" s="56" t="inlineStr">
        <is>
          <t>https://www.fedlex.admin.ch/eli/cc/2025/450/de</t>
        </is>
      </c>
      <c r="N38" s="42" t="inlineStr">
        <is>
          <t>geprüft · OK</t>
        </is>
      </c>
      <c r="O38" s="23" t="inlineStr">
        <is>
          <t>Ergänzung · hoch</t>
        </is>
      </c>
      <c r="P38" s="23" t="n"/>
    </row>
    <row r="39" outlineLevel="1" ht="32.85" customHeight="1">
      <c r="A39" s="23" t="inlineStr">
        <is>
          <t>Bund</t>
        </is>
      </c>
      <c r="B39" s="24" t="inlineStr">
        <is>
          <t>Q6</t>
        </is>
      </c>
      <c r="C39" s="23" t="inlineStr">
        <is>
          <t>Gesetz</t>
        </is>
      </c>
      <c r="D39" s="25" t="inlineStr">
        <is>
          <t>Binnenmarktgesetz (BGBM)</t>
        </is>
      </c>
      <c r="E39" s="23" t="inlineStr">
        <is>
          <t>SR 943.02</t>
        </is>
      </c>
      <c r="F39" s="23" t="inlineStr">
        <is>
          <t>konsolidierte Fassung (Fedlex)</t>
        </is>
      </c>
      <c r="G39" s="23" t="inlineStr">
        <is>
          <t>Bund (WEKO)</t>
        </is>
      </c>
      <c r="H39" s="23" t="inlineStr">
        <is>
          <t>öffentlich</t>
        </is>
      </c>
      <c r="I39" s="26" t="inlineStr">
        <is>
          <t>gilt</t>
        </is>
      </c>
      <c r="J39" s="26" t="inlineStr">
        <is>
          <t>gilt</t>
        </is>
      </c>
      <c r="K39" s="26" t="inlineStr">
        <is>
          <t>gilt</t>
        </is>
      </c>
      <c r="L39" s="23" t="inlineStr">
        <is>
          <t>Marktzugang, Vergabegrundsätze für Kantone/Gemeinden</t>
        </is>
      </c>
      <c r="M39" s="27" t="inlineStr">
        <is>
          <t>https://www.fedlex.admin.ch/eli/cc/1996/1738_1738_1738/de</t>
        </is>
      </c>
      <c r="N39" s="42" t="inlineStr">
        <is>
          <t>geprüft · OK</t>
        </is>
      </c>
      <c r="O39" s="23" t="inlineStr">
        <is>
          <t>Ergänzung · hoch</t>
        </is>
      </c>
      <c r="P39" s="23" t="n"/>
    </row>
    <row r="40" outlineLevel="1" ht="22.35" customHeight="1">
      <c r="A40" s="23" t="inlineStr">
        <is>
          <t>Bund</t>
        </is>
      </c>
      <c r="B40" s="24" t="inlineStr">
        <is>
          <t>Q6</t>
        </is>
      </c>
      <c r="C40" s="23" t="inlineStr">
        <is>
          <t>Gesetz</t>
        </is>
      </c>
      <c r="D40" s="25" t="inlineStr">
        <is>
          <t>Bundesgesetz über das öffentliche Beschaffungswesen (BöB)</t>
        </is>
      </c>
      <c r="E40" s="23" t="inlineStr">
        <is>
          <t>SR 172.056.1</t>
        </is>
      </c>
      <c r="F40" s="23" t="inlineStr">
        <is>
          <t>konsolidierte Fassung (Fedlex)</t>
        </is>
      </c>
      <c r="G40" s="23" t="inlineStr">
        <is>
          <t>Bund (BBL / KBOB)</t>
        </is>
      </c>
      <c r="H40" s="23" t="inlineStr">
        <is>
          <t>öffentlich</t>
        </is>
      </c>
      <c r="I40" s="29" t="inlineStr">
        <is>
          <t>n. a.</t>
        </is>
      </c>
      <c r="J40" s="29" t="inlineStr">
        <is>
          <t>n. a.</t>
        </is>
      </c>
      <c r="K40" s="29" t="inlineStr">
        <is>
          <t>n. a.</t>
        </is>
      </c>
      <c r="L40" s="23" t="inlineStr">
        <is>
          <t>Gilt nur für Bundesvergaben – für Gemeinden nur Orientierung</t>
        </is>
      </c>
      <c r="M40" s="27" t="inlineStr">
        <is>
          <t>https://www.fedlex.admin.ch/eli/cc/2020/126/de</t>
        </is>
      </c>
      <c r="N40" s="42" t="inlineStr">
        <is>
          <t>geprüft · OK</t>
        </is>
      </c>
      <c r="O40" s="23" t="inlineStr">
        <is>
          <t>Ergänzung · hoch</t>
        </is>
      </c>
      <c r="P40" s="23" t="inlineStr">
        <is>
          <t>Gemeinden unterstehen kantonalem Recht / IVöB</t>
        </is>
      </c>
    </row>
    <row r="41" outlineLevel="1" ht="22.35" customHeight="1">
      <c r="A41" s="23" t="inlineStr">
        <is>
          <t>Bund</t>
        </is>
      </c>
      <c r="B41" s="24" t="inlineStr">
        <is>
          <t>Q3 / Q4</t>
        </is>
      </c>
      <c r="C41" s="23" t="inlineStr">
        <is>
          <t>Verordnung</t>
        </is>
      </c>
      <c r="D41" s="25" t="inlineStr">
        <is>
          <t>Lärmschutz-Verordnung (LSV)</t>
        </is>
      </c>
      <c r="E41" s="23" t="inlineStr">
        <is>
          <t>SR 814.41</t>
        </is>
      </c>
      <c r="F41" s="23" t="inlineStr">
        <is>
          <t>konsolidierte Fassung (Fedlex)</t>
        </is>
      </c>
      <c r="G41" s="23" t="inlineStr">
        <is>
          <t>Bund (BAFU)</t>
        </is>
      </c>
      <c r="H41" s="23" t="inlineStr">
        <is>
          <t>öffentlich</t>
        </is>
      </c>
      <c r="I41" s="26" t="inlineStr">
        <is>
          <t>gilt</t>
        </is>
      </c>
      <c r="J41" s="26" t="inlineStr">
        <is>
          <t>gilt</t>
        </is>
      </c>
      <c r="K41" s="26" t="inlineStr">
        <is>
          <t>gilt</t>
        </is>
      </c>
      <c r="L41" s="23" t="inlineStr">
        <is>
          <t>Lärmgrenzwerte, Empfindlichkeitsstufen</t>
        </is>
      </c>
      <c r="M41" s="56" t="inlineStr">
        <is>
          <t>https://www.fedlex.admin.ch/eli/cc/1987/338_338_338/de</t>
        </is>
      </c>
      <c r="N41" s="42" t="inlineStr">
        <is>
          <t>geprüft · OK</t>
        </is>
      </c>
      <c r="O41" s="23" t="inlineStr">
        <is>
          <t>Ergänzung · hoch</t>
        </is>
      </c>
      <c r="P41" s="23" t="n"/>
    </row>
    <row r="42" outlineLevel="1" ht="22.35" customHeight="1">
      <c r="A42" s="23" t="inlineStr">
        <is>
          <t>Bund</t>
        </is>
      </c>
      <c r="B42" s="24" t="inlineStr">
        <is>
          <t>Q3 / Q4</t>
        </is>
      </c>
      <c r="C42" s="23" t="inlineStr">
        <is>
          <t>Verordnung</t>
        </is>
      </c>
      <c r="D42" s="25" t="inlineStr">
        <is>
          <t>Luftreinhalte-Verordnung (LRV)</t>
        </is>
      </c>
      <c r="E42" s="23" t="inlineStr">
        <is>
          <t>SR 814.318.142.1</t>
        </is>
      </c>
      <c r="F42" s="23" t="inlineStr">
        <is>
          <t>konsolidierte Fassung (Fedlex)</t>
        </is>
      </c>
      <c r="G42" s="23" t="inlineStr">
        <is>
          <t>Bund (BAFU)</t>
        </is>
      </c>
      <c r="H42" s="23" t="inlineStr">
        <is>
          <t>öffentlich</t>
        </is>
      </c>
      <c r="I42" s="26" t="inlineStr">
        <is>
          <t>gilt</t>
        </is>
      </c>
      <c r="J42" s="26" t="inlineStr">
        <is>
          <t>gilt</t>
        </is>
      </c>
      <c r="K42" s="26" t="inlineStr">
        <is>
          <t>gilt</t>
        </is>
      </c>
      <c r="L42" s="23" t="inlineStr">
        <is>
          <t>Emissionsbegrenzung, Heizungen, Luftqualität</t>
        </is>
      </c>
      <c r="M42" s="27" t="inlineStr">
        <is>
          <t>https://www.fedlex.admin.ch/eli/cc/1986/208_208_208/de</t>
        </is>
      </c>
      <c r="N42" s="42" t="inlineStr">
        <is>
          <t>geprüft · OK</t>
        </is>
      </c>
      <c r="O42" s="23" t="inlineStr">
        <is>
          <t>Ergänzung · hoch</t>
        </is>
      </c>
      <c r="P42" s="23" t="n"/>
    </row>
    <row r="43" outlineLevel="1" ht="22.35" customHeight="1">
      <c r="A43" s="23" t="inlineStr">
        <is>
          <t>Bund</t>
        </is>
      </c>
      <c r="B43" s="24" t="inlineStr">
        <is>
          <t>Q4</t>
        </is>
      </c>
      <c r="C43" s="23" t="inlineStr">
        <is>
          <t>Verordnung</t>
        </is>
      </c>
      <c r="D43" s="25" t="inlineStr">
        <is>
          <t>Störfallverordnung (StFV)</t>
        </is>
      </c>
      <c r="E43" s="23" t="inlineStr">
        <is>
          <t>SR 814.012</t>
        </is>
      </c>
      <c r="F43" s="23" t="inlineStr">
        <is>
          <t>konsolidierte Fassung (Fedlex)</t>
        </is>
      </c>
      <c r="G43" s="23" t="inlineStr">
        <is>
          <t>Bund (BAFU)</t>
        </is>
      </c>
      <c r="H43" s="23" t="inlineStr">
        <is>
          <t>öffentlich</t>
        </is>
      </c>
      <c r="I43" s="26" t="inlineStr">
        <is>
          <t>gilt</t>
        </is>
      </c>
      <c r="J43" s="26" t="inlineStr">
        <is>
          <t>gilt</t>
        </is>
      </c>
      <c r="K43" s="26" t="inlineStr">
        <is>
          <t>gilt</t>
        </is>
      </c>
      <c r="L43" s="23" t="inlineStr">
        <is>
          <t>Risikovorsorge bei Anlagen/Verkehrswegen; Koordination Raumplanung</t>
        </is>
      </c>
      <c r="M43" s="27" t="inlineStr">
        <is>
          <t>https://www.fedlex.admin.ch/eli/cc/1991/748_748_748/de</t>
        </is>
      </c>
      <c r="N43" s="42" t="inlineStr">
        <is>
          <t>geprüft · OK</t>
        </is>
      </c>
      <c r="O43" s="23" t="inlineStr">
        <is>
          <t>Ergänzung · hoch</t>
        </is>
      </c>
      <c r="P43" s="23" t="n"/>
    </row>
    <row r="44" outlineLevel="1" ht="22.35" customHeight="1">
      <c r="A44" s="23" t="inlineStr">
        <is>
          <t>Bund</t>
        </is>
      </c>
      <c r="B44" s="24" t="inlineStr">
        <is>
          <t>Q3 / Q4</t>
        </is>
      </c>
      <c r="C44" s="23" t="inlineStr">
        <is>
          <t>Verordnung</t>
        </is>
      </c>
      <c r="D44" s="25" t="inlineStr">
        <is>
          <t>Verordnung über die Umweltverträglichkeitsprüfung (UVPV)</t>
        </is>
      </c>
      <c r="E44" s="23" t="inlineStr">
        <is>
          <t>SR 814.011</t>
        </is>
      </c>
      <c r="F44" s="23" t="inlineStr">
        <is>
          <t>konsolidierte Fassung (Fedlex)</t>
        </is>
      </c>
      <c r="G44" s="23" t="inlineStr">
        <is>
          <t>Bund (BAFU)</t>
        </is>
      </c>
      <c r="H44" s="23" t="inlineStr">
        <is>
          <t>öffentlich</t>
        </is>
      </c>
      <c r="I44" s="26" t="inlineStr">
        <is>
          <t>gilt</t>
        </is>
      </c>
      <c r="J44" s="26" t="inlineStr">
        <is>
          <t>gilt</t>
        </is>
      </c>
      <c r="K44" s="26" t="inlineStr">
        <is>
          <t>gilt</t>
        </is>
      </c>
      <c r="L44" s="23" t="inlineStr">
        <is>
          <t>UVP-Pflicht</t>
        </is>
      </c>
      <c r="M44" s="56" t="inlineStr">
        <is>
          <t>https://www.fedlex.admin.ch/eli/cc/1988/1931_1931_1931/de</t>
        </is>
      </c>
      <c r="N44" s="42" t="inlineStr">
        <is>
          <t>geprüft · OK</t>
        </is>
      </c>
      <c r="O44" s="23" t="inlineStr">
        <is>
          <t>Ergänzung · hoch</t>
        </is>
      </c>
      <c r="P44" s="23" t="n"/>
    </row>
    <row r="45" outlineLevel="1" ht="22.35" customHeight="1">
      <c r="A45" s="23" t="inlineStr">
        <is>
          <t>Bund</t>
        </is>
      </c>
      <c r="B45" s="24" t="inlineStr">
        <is>
          <t>Q3 / Q4</t>
        </is>
      </c>
      <c r="C45" s="23" t="inlineStr">
        <is>
          <t>Verordnung</t>
        </is>
      </c>
      <c r="D45" s="25" t="inlineStr">
        <is>
          <t>Altlasten-Verordnung (AltlV)</t>
        </is>
      </c>
      <c r="E45" s="23" t="inlineStr">
        <is>
          <t>SR 814.680</t>
        </is>
      </c>
      <c r="F45" s="23" t="inlineStr">
        <is>
          <t>konsolidierte Fassung (Fedlex)</t>
        </is>
      </c>
      <c r="G45" s="23" t="inlineStr">
        <is>
          <t>Bund (BAFU)</t>
        </is>
      </c>
      <c r="H45" s="23" t="inlineStr">
        <is>
          <t>öffentlich</t>
        </is>
      </c>
      <c r="I45" s="26" t="inlineStr">
        <is>
          <t>gilt</t>
        </is>
      </c>
      <c r="J45" s="26" t="inlineStr">
        <is>
          <t>gilt</t>
        </is>
      </c>
      <c r="K45" s="26" t="inlineStr">
        <is>
          <t>gilt</t>
        </is>
      </c>
      <c r="L45" s="23" t="inlineStr">
        <is>
          <t>Belastete Standorte, Kataster</t>
        </is>
      </c>
      <c r="M45" s="56" t="inlineStr">
        <is>
          <t>https://www.fedlex.admin.ch/eli/cc/1998/2261_2261_2261/de</t>
        </is>
      </c>
      <c r="N45" s="42" t="inlineStr">
        <is>
          <t>geprüft · OK</t>
        </is>
      </c>
      <c r="O45" s="23" t="inlineStr">
        <is>
          <t>Ergänzung · hoch</t>
        </is>
      </c>
      <c r="P45" s="23" t="n"/>
    </row>
    <row r="46" outlineLevel="1" ht="22.35" customHeight="1">
      <c r="A46" s="23" t="inlineStr">
        <is>
          <t>Bund</t>
        </is>
      </c>
      <c r="B46" s="24" t="inlineStr">
        <is>
          <t>Q3 / Q4</t>
        </is>
      </c>
      <c r="C46" s="23" t="inlineStr">
        <is>
          <t>Verordnung</t>
        </is>
      </c>
      <c r="D46" s="25" t="inlineStr">
        <is>
          <t>Verordnung über die Vermeidung und die Entsorgung von Abfällen (VVEA)</t>
        </is>
      </c>
      <c r="E46" s="23" t="inlineStr">
        <is>
          <t>SR 814.600</t>
        </is>
      </c>
      <c r="F46" s="23" t="inlineStr">
        <is>
          <t>konsolidierte Fassung (Fedlex)</t>
        </is>
      </c>
      <c r="G46" s="23" t="inlineStr">
        <is>
          <t>Bund (BAFU)</t>
        </is>
      </c>
      <c r="H46" s="23" t="inlineStr">
        <is>
          <t>öffentlich</t>
        </is>
      </c>
      <c r="I46" s="26" t="inlineStr">
        <is>
          <t>gilt</t>
        </is>
      </c>
      <c r="J46" s="26" t="inlineStr">
        <is>
          <t>gilt</t>
        </is>
      </c>
      <c r="K46" s="26" t="inlineStr">
        <is>
          <t>gilt</t>
        </is>
      </c>
      <c r="L46" s="23" t="inlineStr">
        <is>
          <t>Abfall, Kreislauf, Rückbaumaterial</t>
        </is>
      </c>
      <c r="M46" s="56" t="inlineStr">
        <is>
          <t>https://www.fedlex.admin.ch/eli/cc/2015/891/de</t>
        </is>
      </c>
      <c r="N46" s="42" t="inlineStr">
        <is>
          <t>geprüft · OK</t>
        </is>
      </c>
      <c r="O46" s="23" t="inlineStr">
        <is>
          <t>Ergänzung · hoch</t>
        </is>
      </c>
      <c r="P46" s="23" t="n"/>
    </row>
    <row r="47" ht="19.5" customHeight="1">
      <c r="A47" s="21" t="inlineStr">
        <is>
          <t>INTERKANTONAL (Konkordat)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</row>
    <row r="48" outlineLevel="1" ht="43.35" customHeight="1">
      <c r="A48" s="23" t="inlineStr">
        <is>
          <t>Interkantonal</t>
        </is>
      </c>
      <c r="B48" s="24" t="inlineStr">
        <is>
          <t>Q6</t>
        </is>
      </c>
      <c r="C48" s="23" t="inlineStr">
        <is>
          <t>Konkordat</t>
        </is>
      </c>
      <c r="D48" s="25" t="inlineStr">
        <is>
          <t>Interkantonale Vereinbarung über das öffentliche Beschaffungswesen (IVöB 2019)</t>
        </is>
      </c>
      <c r="E48" s="23" t="inlineStr">
        <is>
          <t>–</t>
        </is>
      </c>
      <c r="F48" s="23" t="inlineStr">
        <is>
          <t>IVöB 2019 vom 15.11.2019 (kantonal gestaffelt in Kraft)</t>
        </is>
      </c>
      <c r="G48" s="23" t="inlineStr">
        <is>
          <t>BPUK</t>
        </is>
      </c>
      <c r="H48" s="23" t="inlineStr">
        <is>
          <t>öffentlich</t>
        </is>
      </c>
      <c r="I48" s="26" t="inlineStr">
        <is>
          <t>belegt</t>
        </is>
      </c>
      <c r="J48" s="26" t="inlineStr">
        <is>
          <t>belegt</t>
        </is>
      </c>
      <c r="K48" s="26" t="inlineStr">
        <is>
          <t>belegt</t>
        </is>
      </c>
      <c r="L48" s="23" t="inlineStr">
        <is>
          <t>Anwendbares kantonales Recht und Schwellenwerte; Zuschlagskriterien inkl. Nachhaltigkeit/Lebenszyklus</t>
        </is>
      </c>
      <c r="M48" s="27" t="inlineStr">
        <is>
          <t>https://www.bpuk.ch/bpuk/konkordate/ivoeb/ivoeb-2019</t>
        </is>
      </c>
      <c r="N48" s="42" t="inlineStr">
        <is>
          <t>geprüft · OK</t>
        </is>
      </c>
      <c r="O48" s="23" t="inlineStr">
        <is>
          <t>Katalog · hoch (korrigiert)</t>
        </is>
      </c>
      <c r="P48" s="23" t="inlineStr">
        <is>
          <t>Katalog verwies auf die alte IVöB vom 15.03.2001, ersetzt durch IVöB 2019. Beitritt SG und UR per 01.06.2023; BL: Beitrittsdatum nicht verifiziert</t>
        </is>
      </c>
    </row>
    <row r="49" ht="19.5" customHeight="1">
      <c r="A49" s="21" t="inlineStr">
        <is>
          <t>KANTON BASEL-LANDSCHAFT  →  Münchenstein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</row>
    <row r="50" outlineLevel="1" ht="22.35" customHeight="1">
      <c r="A50" s="23" t="inlineStr">
        <is>
          <t>Kanton BL</t>
        </is>
      </c>
      <c r="B50" s="24" t="inlineStr">
        <is>
          <t>Q1</t>
        </is>
      </c>
      <c r="C50" s="23" t="inlineStr">
        <is>
          <t>Gesetz</t>
        </is>
      </c>
      <c r="D50" s="25" t="inlineStr">
        <is>
          <t>Raumplanungs- und Baugesetz BL (RBG)</t>
        </is>
      </c>
      <c r="E50" s="23" t="inlineStr">
        <is>
          <t>SGS 400</t>
        </is>
      </c>
      <c r="F50" s="23" t="inlineStr">
        <is>
          <t>01.01.2024</t>
        </is>
      </c>
      <c r="G50" s="23" t="inlineStr">
        <is>
          <t>Kanton BL (BUD)</t>
        </is>
      </c>
      <c r="H50" s="23" t="inlineStr">
        <is>
          <t>öffentlich</t>
        </is>
      </c>
      <c r="I50" s="26" t="inlineStr">
        <is>
          <t>belegt</t>
        </is>
      </c>
      <c r="J50" s="29" t="inlineStr">
        <is>
          <t>n. a.</t>
        </is>
      </c>
      <c r="K50" s="29" t="inlineStr">
        <is>
          <t>n. a.</t>
        </is>
      </c>
      <c r="L50" s="23" t="inlineStr">
        <is>
          <t>Baubewilligung, Zonenkonformität, Planungsverfahren</t>
        </is>
      </c>
      <c r="M50" s="27" t="inlineStr">
        <is>
          <t>https://bl.clex.ch/app/de/texts_of_law/400</t>
        </is>
      </c>
      <c r="N50" s="42" t="inlineStr">
        <is>
          <t>geprüft · OK</t>
        </is>
      </c>
      <c r="O50" s="23" t="inlineStr">
        <is>
          <t>Katalog · hoch</t>
        </is>
      </c>
      <c r="P50" s="23" t="n"/>
    </row>
    <row r="51" outlineLevel="1" ht="22.35" customHeight="1">
      <c r="A51" s="23" t="inlineStr">
        <is>
          <t>Kanton BL</t>
        </is>
      </c>
      <c r="B51" s="24" t="inlineStr">
        <is>
          <t>Q1</t>
        </is>
      </c>
      <c r="C51" s="23" t="inlineStr">
        <is>
          <t>Richtplan</t>
        </is>
      </c>
      <c r="D51" s="25" t="inlineStr">
        <is>
          <t>Kantonaler Richtplan BL (KRIP, Objektblätter)</t>
        </is>
      </c>
      <c r="E51" s="23" t="inlineStr">
        <is>
          <t>–</t>
        </is>
      </c>
      <c r="F51" s="23" t="inlineStr">
        <is>
          <t>01.07.2025</t>
        </is>
      </c>
      <c r="G51" s="23" t="inlineStr">
        <is>
          <t>Kanton BL (BUD / Raumplanung)</t>
        </is>
      </c>
      <c r="H51" s="23" t="inlineStr">
        <is>
          <t>öffentlich</t>
        </is>
      </c>
      <c r="I51" s="26" t="inlineStr">
        <is>
          <t>belegt</t>
        </is>
      </c>
      <c r="J51" s="29" t="inlineStr">
        <is>
          <t>n. a.</t>
        </is>
      </c>
      <c r="K51" s="29" t="inlineStr">
        <is>
          <t>n. a.</t>
        </is>
      </c>
      <c r="L51" s="23" t="inlineStr">
        <is>
          <t>Festlegungen Siedlung, Landschaft, Verkehr, Infrastruktur</t>
        </is>
      </c>
      <c r="M51" s="27" t="inlineStr">
        <is>
          <t>https://bl-api.webcloud7.ch/politik-und-behorden/direktionen/bau-und-umweltschutzdirektion/raumplanung/raumplanung/richtplanung/downloads-richtplanung/objektblatter.pdf?_t=1786003350618</t>
        </is>
      </c>
      <c r="N51" s="42" t="inlineStr">
        <is>
          <t>geprüft · OK</t>
        </is>
      </c>
      <c r="O51" s="23" t="inlineStr">
        <is>
          <t>Katalog · hoch</t>
        </is>
      </c>
      <c r="P51" s="23" t="n"/>
    </row>
    <row r="52" outlineLevel="1" ht="22.35" customHeight="1">
      <c r="A52" s="23" t="inlineStr">
        <is>
          <t>Kanton BL</t>
        </is>
      </c>
      <c r="B52" s="24" t="inlineStr">
        <is>
          <t>Q3</t>
        </is>
      </c>
      <c r="C52" s="23" t="inlineStr">
        <is>
          <t>Gesetz</t>
        </is>
      </c>
      <c r="D52" s="25" t="inlineStr">
        <is>
          <t>Energiegesetz BL (EnG BL)</t>
        </is>
      </c>
      <c r="E52" s="23" t="inlineStr">
        <is>
          <t>SGS 490</t>
        </is>
      </c>
      <c r="F52" s="23" t="inlineStr">
        <is>
          <t>01.03.2025</t>
        </is>
      </c>
      <c r="G52" s="23" t="inlineStr">
        <is>
          <t>Kanton BL (AUE)</t>
        </is>
      </c>
      <c r="H52" s="23" t="inlineStr">
        <is>
          <t>öffentlich</t>
        </is>
      </c>
      <c r="I52" s="26" t="inlineStr">
        <is>
          <t>belegt</t>
        </is>
      </c>
      <c r="J52" s="29" t="inlineStr">
        <is>
          <t>n. a.</t>
        </is>
      </c>
      <c r="K52" s="29" t="inlineStr">
        <is>
          <t>n. a.</t>
        </is>
      </c>
      <c r="L52" s="23" t="inlineStr">
        <is>
          <t>Gebäudeenergie, Wärmeerzeugung, Solarpflichten</t>
        </is>
      </c>
      <c r="M52" s="27" t="inlineStr">
        <is>
          <t>https://bl.clex.ch/app/de/texts_of_law/490</t>
        </is>
      </c>
      <c r="N52" s="42" t="inlineStr">
        <is>
          <t>geprüft · OK</t>
        </is>
      </c>
      <c r="O52" s="23" t="inlineStr">
        <is>
          <t>Katalog · hoch</t>
        </is>
      </c>
      <c r="P52" s="23" t="n"/>
    </row>
    <row r="53" outlineLevel="1" ht="22.35" customHeight="1">
      <c r="A53" s="23" t="inlineStr">
        <is>
          <t>Kanton BL</t>
        </is>
      </c>
      <c r="B53" s="24" t="inlineStr">
        <is>
          <t>Q6</t>
        </is>
      </c>
      <c r="C53" s="23" t="inlineStr">
        <is>
          <t>Verordnung</t>
        </is>
      </c>
      <c r="D53" s="25" t="inlineStr">
        <is>
          <t>Verordnung zum Einführungsgesetz IVöB (Vo EG IVöB)</t>
        </is>
      </c>
      <c r="E53" s="23" t="inlineStr">
        <is>
          <t>SGS 420.11</t>
        </is>
      </c>
      <c r="F53" s="23" t="inlineStr">
        <is>
          <t>01.01.2026</t>
        </is>
      </c>
      <c r="G53" s="23" t="inlineStr">
        <is>
          <t>Kanton BL</t>
        </is>
      </c>
      <c r="H53" s="23" t="inlineStr">
        <is>
          <t>öffentlich</t>
        </is>
      </c>
      <c r="I53" s="26" t="inlineStr">
        <is>
          <t>belegt</t>
        </is>
      </c>
      <c r="J53" s="29" t="inlineStr">
        <is>
          <t>n. a.</t>
        </is>
      </c>
      <c r="K53" s="29" t="inlineStr">
        <is>
          <t>n. a.</t>
        </is>
      </c>
      <c r="L53" s="23" t="inlineStr">
        <is>
          <t>Vergabeverfahren, Eignungs- und Zuschlagskriterien</t>
        </is>
      </c>
      <c r="M53" s="27" t="inlineStr">
        <is>
          <t>https://bl.clex.ch/app/de/texts_of_law/420.11</t>
        </is>
      </c>
      <c r="N53" s="42" t="inlineStr">
        <is>
          <t>geprüft · OK</t>
        </is>
      </c>
      <c r="O53" s="23" t="inlineStr">
        <is>
          <t>Katalog · hoch</t>
        </is>
      </c>
      <c r="P53" s="23" t="inlineStr">
        <is>
          <t>Zugehöriges EG IVöB BL (SGS 420) ist in Mappe 6 erfasst; Beitrittszeitpunkt BL nicht verifiziert</t>
        </is>
      </c>
    </row>
    <row r="54" outlineLevel="1" ht="32.85" customHeight="1">
      <c r="A54" s="23" t="inlineStr">
        <is>
          <t>Kanton BL</t>
        </is>
      </c>
      <c r="B54" s="24" t="inlineStr">
        <is>
          <t>Q2 / Q5</t>
        </is>
      </c>
      <c r="C54" s="23" t="inlineStr">
        <is>
          <t>Gesetz</t>
        </is>
      </c>
      <c r="D54" s="25" t="inlineStr">
        <is>
          <t>Gesetz über den Natur- und Landschaftsschutz (NLG BL)</t>
        </is>
      </c>
      <c r="E54" s="23" t="inlineStr">
        <is>
          <t>SGS 790</t>
        </is>
      </c>
      <c r="F54" s="23" t="inlineStr">
        <is>
          <t>Erlass 20.11.1991</t>
        </is>
      </c>
      <c r="G54" s="23" t="inlineStr">
        <is>
          <t>Kanton BL</t>
        </is>
      </c>
      <c r="H54" s="23" t="inlineStr">
        <is>
          <t>öffentlich</t>
        </is>
      </c>
      <c r="I54" s="26" t="inlineStr">
        <is>
          <t>belegt</t>
        </is>
      </c>
      <c r="J54" s="29" t="inlineStr">
        <is>
          <t>n. a.</t>
        </is>
      </c>
      <c r="K54" s="29" t="inlineStr">
        <is>
          <t>n. a.</t>
        </is>
      </c>
      <c r="L54" s="23" t="inlineStr">
        <is>
          <t>§ 8 Natur- und Landschaftsschutzkonzept; § 12 Schutzgebiete; Inventar der geschützten Naturobjekte (Geoportal BL)</t>
        </is>
      </c>
      <c r="M54" s="27" t="inlineStr">
        <is>
          <t>https://bl.clex.ch/app/de/texts_of_law/790</t>
        </is>
      </c>
      <c r="N54" s="42" t="inlineStr">
        <is>
          <t>geprüft · OK</t>
        </is>
      </c>
      <c r="O54" s="23" t="inlineStr">
        <is>
          <t>Ergänzung · hoch</t>
        </is>
      </c>
      <c r="P54" s="23" t="n"/>
    </row>
    <row r="55" outlineLevel="1" ht="22.35" customHeight="1">
      <c r="A55" s="23" t="inlineStr">
        <is>
          <t>Kanton BL</t>
        </is>
      </c>
      <c r="B55" s="24" t="inlineStr">
        <is>
          <t>Q5</t>
        </is>
      </c>
      <c r="C55" s="23" t="inlineStr">
        <is>
          <t>Gesetz</t>
        </is>
      </c>
      <c r="D55" s="25" t="inlineStr">
        <is>
          <t>Gesetz über den Denkmal- und Heimatschutz (DHG BL)</t>
        </is>
      </c>
      <c r="E55" s="23" t="inlineStr">
        <is>
          <t>SGS 791</t>
        </is>
      </c>
      <c r="F55" s="23" t="inlineStr">
        <is>
          <t>–</t>
        </is>
      </c>
      <c r="G55" s="23" t="inlineStr">
        <is>
          <t>Kanton BL (Denkmalpflege)</t>
        </is>
      </c>
      <c r="H55" s="23" t="inlineStr">
        <is>
          <t>öffentlich</t>
        </is>
      </c>
      <c r="I55" s="26" t="inlineStr">
        <is>
          <t>belegt</t>
        </is>
      </c>
      <c r="J55" s="29" t="inlineStr">
        <is>
          <t>n. a.</t>
        </is>
      </c>
      <c r="K55" s="29" t="inlineStr">
        <is>
          <t>n. a.</t>
        </is>
      </c>
      <c r="L55" s="23" t="inlineStr">
        <is>
          <t>Unterschutzstellung, Bauinventar, Ortsbildschutz</t>
        </is>
      </c>
      <c r="M55" s="56" t="inlineStr">
        <is>
          <t>https://bl.clex.ch/app/de/texts_of_law/791</t>
        </is>
      </c>
      <c r="N55" s="42" t="inlineStr">
        <is>
          <t>geprüft · OK</t>
        </is>
      </c>
      <c r="O55" s="23" t="inlineStr">
        <is>
          <t>Ergänzung · hoch</t>
        </is>
      </c>
      <c r="P55" s="23" t="n"/>
    </row>
    <row r="56" outlineLevel="1" ht="22.35" customHeight="1">
      <c r="A56" s="23" t="inlineStr">
        <is>
          <t>Kanton BL</t>
        </is>
      </c>
      <c r="B56" s="24" t="inlineStr">
        <is>
          <t>Q4</t>
        </is>
      </c>
      <c r="C56" s="23" t="inlineStr">
        <is>
          <t>Gesetz</t>
        </is>
      </c>
      <c r="D56" s="25" t="inlineStr">
        <is>
          <t>Wasserbaugesetz BL</t>
        </is>
      </c>
      <c r="E56" s="23" t="inlineStr">
        <is>
          <t>SGS 445</t>
        </is>
      </c>
      <c r="F56" s="23" t="inlineStr">
        <is>
          <t>–</t>
        </is>
      </c>
      <c r="G56" s="23" t="inlineStr">
        <is>
          <t>Kanton BL (Tiefbauamt)</t>
        </is>
      </c>
      <c r="H56" s="23" t="inlineStr">
        <is>
          <t>öffentlich</t>
        </is>
      </c>
      <c r="I56" s="26" t="inlineStr">
        <is>
          <t>belegt</t>
        </is>
      </c>
      <c r="J56" s="29" t="inlineStr">
        <is>
          <t>n. a.</t>
        </is>
      </c>
      <c r="K56" s="29" t="inlineStr">
        <is>
          <t>n. a.</t>
        </is>
      </c>
      <c r="L56" s="23" t="inlineStr">
        <is>
          <t>Hochwasserschutz, Gefahrenkarten, Gewässerraum</t>
        </is>
      </c>
      <c r="M56" s="27" t="inlineStr">
        <is>
          <t>https://bl.clex.ch/app/de/texts_of_law/445</t>
        </is>
      </c>
      <c r="N56" s="42" t="inlineStr">
        <is>
          <t>geprüft · OK</t>
        </is>
      </c>
      <c r="O56" s="23" t="inlineStr">
        <is>
          <t>Ergänzung · hoch</t>
        </is>
      </c>
      <c r="P56" s="23" t="n"/>
    </row>
    <row r="57" ht="19.5" customHeight="1">
      <c r="A57" s="21" t="inlineStr">
        <is>
          <t>KANTON ST. GALLEN  →  Wil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</row>
    <row r="58" outlineLevel="1" ht="22.35" customHeight="1">
      <c r="A58" s="23" t="inlineStr">
        <is>
          <t>Kanton SG</t>
        </is>
      </c>
      <c r="B58" s="24" t="inlineStr">
        <is>
          <t>Q1</t>
        </is>
      </c>
      <c r="C58" s="23" t="inlineStr">
        <is>
          <t>Gesetz</t>
        </is>
      </c>
      <c r="D58" s="25" t="inlineStr">
        <is>
          <t>Planungs- und Baugesetz SG (PBG)</t>
        </is>
      </c>
      <c r="E58" s="23" t="inlineStr">
        <is>
          <t>sGS 731.1</t>
        </is>
      </c>
      <c r="F58" s="23" t="inlineStr">
        <is>
          <t>01.06.2026</t>
        </is>
      </c>
      <c r="G58" s="23" t="inlineStr">
        <is>
          <t>Kanton SG (Amt für Raumentwicklung)</t>
        </is>
      </c>
      <c r="H58" s="23" t="inlineStr">
        <is>
          <t>öffentlich</t>
        </is>
      </c>
      <c r="I58" s="29" t="inlineStr">
        <is>
          <t>n. a.</t>
        </is>
      </c>
      <c r="J58" s="26" t="inlineStr">
        <is>
          <t>belegt</t>
        </is>
      </c>
      <c r="K58" s="29" t="inlineStr">
        <is>
          <t>n. a.</t>
        </is>
      </c>
      <c r="L58" s="23" t="inlineStr">
        <is>
          <t>Baubewilligung, Zonenkonformität, Planungsverfahren</t>
        </is>
      </c>
      <c r="M58" s="56" t="inlineStr">
        <is>
          <t>https://www.gesetzessammlung.sg.ch/app/de/texts_of_law/731.1</t>
        </is>
      </c>
      <c r="N58" s="42" t="inlineStr">
        <is>
          <t>geprüft · OK</t>
        </is>
      </c>
      <c r="O58" s="23" t="inlineStr">
        <is>
          <t>Katalog · hoch</t>
        </is>
      </c>
      <c r="P58" s="23" t="n"/>
    </row>
    <row r="59" outlineLevel="1" ht="22.35" customHeight="1">
      <c r="A59" s="23" t="inlineStr">
        <is>
          <t>Kanton SG</t>
        </is>
      </c>
      <c r="B59" s="24" t="inlineStr">
        <is>
          <t>Q1</t>
        </is>
      </c>
      <c r="C59" s="23" t="inlineStr">
        <is>
          <t>Richtplan</t>
        </is>
      </c>
      <c r="D59" s="25" t="inlineStr">
        <is>
          <t>Kantonaler Richtplan SG</t>
        </is>
      </c>
      <c r="E59" s="23" t="inlineStr">
        <is>
          <t>–</t>
        </is>
      </c>
      <c r="F59" s="23" t="inlineStr">
        <is>
          <t>Katalog: kein Stand</t>
        </is>
      </c>
      <c r="G59" s="23" t="inlineStr">
        <is>
          <t>Kanton SG</t>
        </is>
      </c>
      <c r="H59" s="23" t="inlineStr">
        <is>
          <t>öffentlich</t>
        </is>
      </c>
      <c r="I59" s="29" t="inlineStr">
        <is>
          <t>n. a.</t>
        </is>
      </c>
      <c r="J59" s="26" t="inlineStr">
        <is>
          <t>belegt</t>
        </is>
      </c>
      <c r="K59" s="29" t="inlineStr">
        <is>
          <t>n. a.</t>
        </is>
      </c>
      <c r="L59" s="23" t="inlineStr">
        <is>
          <t>Festlegungen Siedlung, Landschaft, Verkehr, Infrastruktur</t>
        </is>
      </c>
      <c r="M59" s="27" t="inlineStr">
        <is>
          <t>https://www.sg.ch/bauen/raumentwicklung/kantonaleplanung/richtplanung.html</t>
        </is>
      </c>
      <c r="N59" s="42" t="inlineStr">
        <is>
          <t>geprüft · OK</t>
        </is>
      </c>
      <c r="O59" s="23" t="inlineStr">
        <is>
          <t>Katalog · hoch</t>
        </is>
      </c>
      <c r="P59" s="23" t="inlineStr">
        <is>
          <t>Aktuelle Fassung/Genehmigungsstand ergänzen</t>
        </is>
      </c>
    </row>
    <row r="60" outlineLevel="1" ht="22.35" customHeight="1">
      <c r="A60" s="23" t="inlineStr">
        <is>
          <t>Kanton SG</t>
        </is>
      </c>
      <c r="B60" s="24" t="inlineStr">
        <is>
          <t>Q3</t>
        </is>
      </c>
      <c r="C60" s="23" t="inlineStr">
        <is>
          <t>Gesetz</t>
        </is>
      </c>
      <c r="D60" s="25" t="inlineStr">
        <is>
          <t>Energiegesetz SG</t>
        </is>
      </c>
      <c r="E60" s="23" t="inlineStr">
        <is>
          <t>sGS 741.1</t>
        </is>
      </c>
      <c r="F60" s="23" t="inlineStr">
        <is>
          <t>01.07.2021</t>
        </is>
      </c>
      <c r="G60" s="23" t="inlineStr">
        <is>
          <t>Kanton SG (AFU)</t>
        </is>
      </c>
      <c r="H60" s="23" t="inlineStr">
        <is>
          <t>öffentlich</t>
        </is>
      </c>
      <c r="I60" s="29" t="inlineStr">
        <is>
          <t>n. a.</t>
        </is>
      </c>
      <c r="J60" s="26" t="inlineStr">
        <is>
          <t>belegt</t>
        </is>
      </c>
      <c r="K60" s="29" t="inlineStr">
        <is>
          <t>n. a.</t>
        </is>
      </c>
      <c r="L60" s="23" t="inlineStr">
        <is>
          <t>Gebäudeenergie, Wärmeerzeugung, Solarpflichten</t>
        </is>
      </c>
      <c r="M60" s="27" t="inlineStr">
        <is>
          <t>https://www.gesetzessammlung.sg.ch/app/de/texts_of_law/741.1</t>
        </is>
      </c>
      <c r="N60" s="42" t="inlineStr">
        <is>
          <t>geprüft · OK</t>
        </is>
      </c>
      <c r="O60" s="23" t="inlineStr">
        <is>
          <t>Katalog · hoch</t>
        </is>
      </c>
      <c r="P60" s="23" t="n"/>
    </row>
    <row r="61" outlineLevel="1" ht="32.85" customHeight="1">
      <c r="A61" s="23" t="inlineStr">
        <is>
          <t>Kanton SG</t>
        </is>
      </c>
      <c r="B61" s="24" t="inlineStr">
        <is>
          <t>Q4</t>
        </is>
      </c>
      <c r="C61" s="23" t="inlineStr">
        <is>
          <t>Gesetz</t>
        </is>
      </c>
      <c r="D61" s="25" t="inlineStr">
        <is>
          <t>Wasserbaugesetz SG (WBG)</t>
        </is>
      </c>
      <c r="E61" s="23" t="inlineStr">
        <is>
          <t>sGS 734.1</t>
        </is>
      </c>
      <c r="F61" s="23" t="inlineStr">
        <is>
          <t>–</t>
        </is>
      </c>
      <c r="G61" s="23" t="inlineStr">
        <is>
          <t>Kanton SG (Tiefbauamt)</t>
        </is>
      </c>
      <c r="H61" s="23" t="inlineStr">
        <is>
          <t>öffentlich</t>
        </is>
      </c>
      <c r="I61" s="29" t="inlineStr">
        <is>
          <t>n. a.</t>
        </is>
      </c>
      <c r="J61" s="57" t="inlineStr">
        <is>
          <t>belegt</t>
        </is>
      </c>
      <c r="K61" s="29" t="inlineStr">
        <is>
          <t>n. a.</t>
        </is>
      </c>
      <c r="L61" s="23" t="inlineStr">
        <is>
          <t>Hochwasserschutz, Gefahrenkarten, Gewässerraum</t>
        </is>
      </c>
      <c r="M61" s="56" t="inlineStr">
        <is>
          <t>https://www.gesetzessammlung.sg.ch/app/de/texts_of_law/734.1</t>
        </is>
      </c>
      <c r="N61" s="42" t="inlineStr">
        <is>
          <t>geprüft · OK</t>
        </is>
      </c>
      <c r="O61" s="23" t="inlineStr">
        <is>
          <t>Ergänzung · hoch</t>
        </is>
      </c>
      <c r="P61" s="23" t="n"/>
    </row>
    <row r="62" outlineLevel="1" ht="32.85" customHeight="1">
      <c r="A62" s="23" t="inlineStr">
        <is>
          <t>Kanton SG</t>
        </is>
      </c>
      <c r="B62" s="24" t="inlineStr">
        <is>
          <t>Q6</t>
        </is>
      </c>
      <c r="C62" s="23" t="inlineStr">
        <is>
          <t>Verordnung</t>
        </is>
      </c>
      <c r="D62" s="25" t="inlineStr">
        <is>
          <t>Einführungsgesetz zur IVöB 2019 vom 15.11.2022 (EGöB)</t>
        </is>
      </c>
      <c r="E62" s="23" t="inlineStr">
        <is>
          <t>sGS 841.1</t>
        </is>
      </c>
      <c r="F62" s="23" t="inlineStr">
        <is>
          <t>15.11.2022; Vollzug ab 01.06.2023</t>
        </is>
      </c>
      <c r="G62" s="23" t="inlineStr">
        <is>
          <t>Kanton SG</t>
        </is>
      </c>
      <c r="H62" s="23" t="inlineStr">
        <is>
          <t>öffentlich</t>
        </is>
      </c>
      <c r="I62" s="29" t="inlineStr">
        <is>
          <t>n. a.</t>
        </is>
      </c>
      <c r="J62" s="26" t="inlineStr">
        <is>
          <t>belegt</t>
        </is>
      </c>
      <c r="K62" s="29" t="inlineStr">
        <is>
          <t>n. a.</t>
        </is>
      </c>
      <c r="L62" s="23" t="inlineStr">
        <is>
          <t>Vergabeverfahren, Eignungs- und Zuschlagskriterien</t>
        </is>
      </c>
      <c r="M62" s="27" t="inlineStr">
        <is>
          <t>https://www.gesetzessammlung.sg.ch/app/de/texts_of_law/841.1</t>
        </is>
      </c>
      <c r="N62" s="42" t="inlineStr">
        <is>
          <t>geprüft · OK</t>
        </is>
      </c>
      <c r="O62" s="23" t="inlineStr">
        <is>
          <t>Katalog · hoch</t>
        </is>
      </c>
      <c r="P62" s="23" t="n"/>
    </row>
    <row r="63" outlineLevel="1" ht="22.35" customHeight="1">
      <c r="A63" s="23" t="inlineStr">
        <is>
          <t>Kanton SG</t>
        </is>
      </c>
      <c r="B63" s="24" t="inlineStr">
        <is>
          <t>Q2 / Q5</t>
        </is>
      </c>
      <c r="C63" s="23" t="inlineStr">
        <is>
          <t>Verordnung</t>
        </is>
      </c>
      <c r="D63" s="25" t="inlineStr">
        <is>
          <t>Naturschutzverordnung SG</t>
        </is>
      </c>
      <c r="E63" s="23" t="inlineStr">
        <is>
          <t>sGS 671.1</t>
        </is>
      </c>
      <c r="F63" s="23" t="inlineStr">
        <is>
          <t>Erlass 17.06.1975</t>
        </is>
      </c>
      <c r="G63" s="23" t="inlineStr">
        <is>
          <t>Kanton SG</t>
        </is>
      </c>
      <c r="H63" s="23" t="inlineStr">
        <is>
          <t>öffentlich</t>
        </is>
      </c>
      <c r="I63" s="29" t="inlineStr">
        <is>
          <t>n. a.</t>
        </is>
      </c>
      <c r="J63" s="26" t="inlineStr">
        <is>
          <t>belegt</t>
        </is>
      </c>
      <c r="K63" s="29" t="inlineStr">
        <is>
          <t>n. a.</t>
        </is>
      </c>
      <c r="L63" s="23" t="inlineStr">
        <is>
          <t>Grundlage für Natur-/Landschaftsschutz; Gemeinden erlassen Schutzverordnungen (Art. 98 ff. PBG)</t>
        </is>
      </c>
      <c r="M63" s="27" t="inlineStr">
        <is>
          <t>https://www.gesetzessammlung.sg.ch/app/de/texts_of_law/671.1</t>
        </is>
      </c>
      <c r="N63" s="42" t="inlineStr">
        <is>
          <t>geprüft · OK</t>
        </is>
      </c>
      <c r="O63" s="23" t="inlineStr">
        <is>
          <t>Ergänzung · hoch</t>
        </is>
      </c>
      <c r="P63" s="23" t="n"/>
    </row>
    <row r="64" outlineLevel="1" ht="22.35" customHeight="1">
      <c r="A64" s="23" t="inlineStr">
        <is>
          <t>Kanton SG</t>
        </is>
      </c>
      <c r="B64" s="24" t="inlineStr">
        <is>
          <t>Q5</t>
        </is>
      </c>
      <c r="C64" s="23" t="inlineStr">
        <is>
          <t>Verordnung</t>
        </is>
      </c>
      <c r="D64" s="25" t="inlineStr">
        <is>
          <t>Verordnung über die Sicherung und Überlieferung von Naturkörpern</t>
        </is>
      </c>
      <c r="E64" s="23" t="inlineStr">
        <is>
          <t>sGS 271.53</t>
        </is>
      </c>
      <c r="F64" s="23" t="inlineStr">
        <is>
          <t>–</t>
        </is>
      </c>
      <c r="G64" s="23" t="inlineStr">
        <is>
          <t>Kanton SG</t>
        </is>
      </c>
      <c r="H64" s="23" t="inlineStr">
        <is>
          <t>öffentlich</t>
        </is>
      </c>
      <c r="I64" s="29" t="inlineStr">
        <is>
          <t>n. a.</t>
        </is>
      </c>
      <c r="J64" s="26" t="inlineStr">
        <is>
          <t>belegt</t>
        </is>
      </c>
      <c r="K64" s="29" t="inlineStr">
        <is>
          <t>n. a.</t>
        </is>
      </c>
      <c r="L64" s="23" t="inlineStr">
        <is>
          <t>Schutz von Altertümern (Archäologie/Denkmal)</t>
        </is>
      </c>
      <c r="M64" s="56" t="inlineStr">
        <is>
          <t>https://www.gesetzessammlung.sg.ch/app/de/texts_of_law/271.53</t>
        </is>
      </c>
      <c r="N64" s="42" t="inlineStr">
        <is>
          <t>geprüft · OK</t>
        </is>
      </c>
      <c r="O64" s="23" t="inlineStr">
        <is>
          <t>Ergänzung · hoch</t>
        </is>
      </c>
      <c r="P64" s="23" t="inlineStr">
        <is>
          <t>Nachfolgeerlass der aufgehobenen sGS 271.51 «Verordnung betreffend den Schutz von Naturkörpern und Altertümern» (in Vollzug bis 31.07.2019)</t>
        </is>
      </c>
    </row>
    <row r="65" outlineLevel="1" ht="32.85" customHeight="1">
      <c r="A65" s="23" t="inlineStr">
        <is>
          <t>Kanton SG</t>
        </is>
      </c>
      <c r="B65" s="24" t="inlineStr">
        <is>
          <t>Q6</t>
        </is>
      </c>
      <c r="C65" s="23" t="inlineStr">
        <is>
          <t>Konkordat</t>
        </is>
      </c>
      <c r="D65" s="25" t="inlineStr">
        <is>
          <t>IVöB 2019 (Beitritt SG per 01.06.2023)</t>
        </is>
      </c>
      <c r="E65" s="23" t="inlineStr">
        <is>
          <t>sGS 841.51</t>
        </is>
      </c>
      <c r="F65" s="23" t="inlineStr">
        <is>
          <t>01.06.2023</t>
        </is>
      </c>
      <c r="G65" s="23" t="inlineStr">
        <is>
          <t>Kanton SG</t>
        </is>
      </c>
      <c r="H65" s="23" t="inlineStr">
        <is>
          <t>öffentlich</t>
        </is>
      </c>
      <c r="I65" s="29" t="inlineStr">
        <is>
          <t>n. a.</t>
        </is>
      </c>
      <c r="J65" s="26" t="inlineStr">
        <is>
          <t>belegt</t>
        </is>
      </c>
      <c r="K65" s="29" t="inlineStr">
        <is>
          <t>n. a.</t>
        </is>
      </c>
      <c r="L65" s="23" t="inlineStr">
        <is>
          <t>Massgebend für alle Vergabeverfahren nach dem 31.05.2023</t>
        </is>
      </c>
      <c r="M65" s="27" t="inlineStr">
        <is>
          <t>https://www.gesetzessammlung.sg.ch/app/de/texts_of_law/841.51</t>
        </is>
      </c>
      <c r="N65" s="42" t="inlineStr">
        <is>
          <t>geprüft · OK</t>
        </is>
      </c>
      <c r="O65" s="23" t="inlineStr">
        <is>
          <t>Ergänzung · hoch</t>
        </is>
      </c>
      <c r="P65" s="23" t="n"/>
    </row>
    <row r="66" outlineLevel="1" ht="32.85" customHeight="1">
      <c r="A66" s="23" t="inlineStr">
        <is>
          <t>Kanton SG</t>
        </is>
      </c>
      <c r="B66" s="24" t="inlineStr">
        <is>
          <t>Q6</t>
        </is>
      </c>
      <c r="C66" s="23" t="inlineStr">
        <is>
          <t>Gesetz</t>
        </is>
      </c>
      <c r="D66" s="25" t="inlineStr">
        <is>
          <t>Einführungsgesetz zur IVöB 2019 vom 15.11.2022 (EGöB)</t>
        </is>
      </c>
      <c r="E66" s="23" t="inlineStr">
        <is>
          <t>sGS 841.1</t>
        </is>
      </c>
      <c r="F66" s="23" t="inlineStr">
        <is>
          <t>15.11.2022; Vollzug ab 01.06.2023</t>
        </is>
      </c>
      <c r="G66" s="23" t="inlineStr">
        <is>
          <t>Kanton SG</t>
        </is>
      </c>
      <c r="H66" s="23" t="inlineStr">
        <is>
          <t>öffentlich</t>
        </is>
      </c>
      <c r="I66" s="29" t="inlineStr">
        <is>
          <t>n. a.</t>
        </is>
      </c>
      <c r="J66" s="26" t="inlineStr">
        <is>
          <t>belegt</t>
        </is>
      </c>
      <c r="K66" s="29" t="inlineStr">
        <is>
          <t>n. a.</t>
        </is>
      </c>
      <c r="L66" s="23" t="inlineStr">
        <is>
          <t>Kantonale Umsetzung IVöB</t>
        </is>
      </c>
      <c r="M66" s="27" t="inlineStr">
        <is>
          <t>https://www.gesetzessammlung.sg.ch/app/de/texts_of_law/841.1</t>
        </is>
      </c>
      <c r="N66" s="42" t="inlineStr">
        <is>
          <t>geprüft · OK</t>
        </is>
      </c>
      <c r="O66" s="23" t="inlineStr">
        <is>
          <t>Ergänzung · hoch</t>
        </is>
      </c>
      <c r="P66" s="23" t="n"/>
    </row>
    <row r="67" ht="19.5" customHeight="1">
      <c r="A67" s="21" t="inlineStr">
        <is>
          <t>KANTON URI  →  Seelisberg</t>
        </is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</row>
    <row r="68" outlineLevel="1" ht="22.35" customHeight="1">
      <c r="A68" s="23" t="inlineStr">
        <is>
          <t>Kanton UR</t>
        </is>
      </c>
      <c r="B68" s="24" t="inlineStr">
        <is>
          <t>Q1</t>
        </is>
      </c>
      <c r="C68" s="23" t="inlineStr">
        <is>
          <t>Gesetz</t>
        </is>
      </c>
      <c r="D68" s="25" t="inlineStr">
        <is>
          <t>Planungs- und Baugesetz Uri (PBG)</t>
        </is>
      </c>
      <c r="E68" s="23" t="inlineStr">
        <is>
          <t>RB 40.1111</t>
        </is>
      </c>
      <c r="F68" s="23" t="inlineStr">
        <is>
          <t>01.01.2022</t>
        </is>
      </c>
      <c r="G68" s="23" t="inlineStr">
        <is>
          <t>Kanton UR</t>
        </is>
      </c>
      <c r="H68" s="23" t="inlineStr">
        <is>
          <t>öffentlich</t>
        </is>
      </c>
      <c r="I68" s="29" t="inlineStr">
        <is>
          <t>n. a.</t>
        </is>
      </c>
      <c r="J68" s="29" t="inlineStr">
        <is>
          <t>n. a.</t>
        </is>
      </c>
      <c r="K68" s="26" t="inlineStr">
        <is>
          <t>belegt</t>
        </is>
      </c>
      <c r="L68" s="23" t="inlineStr">
        <is>
          <t>Baubewilligung, Zonenkonformität, Planungsverfahren</t>
        </is>
      </c>
      <c r="M68" s="27" t="inlineStr">
        <is>
          <t>https://rechtsbuch.ur.ch/app/de/texts_of_law/40.1111</t>
        </is>
      </c>
      <c r="N68" s="42" t="inlineStr">
        <is>
          <t>geprüft · OK</t>
        </is>
      </c>
      <c r="O68" s="23" t="inlineStr">
        <is>
          <t>Katalog · hoch</t>
        </is>
      </c>
      <c r="P68" s="23" t="n"/>
    </row>
    <row r="69" outlineLevel="1" ht="22.35" customHeight="1">
      <c r="A69" s="23" t="inlineStr">
        <is>
          <t>Kanton UR</t>
        </is>
      </c>
      <c r="B69" s="24" t="inlineStr">
        <is>
          <t>Q1</t>
        </is>
      </c>
      <c r="C69" s="23" t="inlineStr">
        <is>
          <t>Richtplan</t>
        </is>
      </c>
      <c r="D69" s="25" t="inlineStr">
        <is>
          <t>Kantonaler Richtplan Uri</t>
        </is>
      </c>
      <c r="E69" s="23" t="inlineStr">
        <is>
          <t>–</t>
        </is>
      </c>
      <c r="F69" s="23" t="inlineStr">
        <is>
          <t>22.01.2024</t>
        </is>
      </c>
      <c r="G69" s="23" t="inlineStr">
        <is>
          <t>Kanton UR</t>
        </is>
      </c>
      <c r="H69" s="23" t="inlineStr">
        <is>
          <t>öffentlich</t>
        </is>
      </c>
      <c r="I69" s="29" t="inlineStr">
        <is>
          <t>n. a.</t>
        </is>
      </c>
      <c r="J69" s="29" t="inlineStr">
        <is>
          <t>n. a.</t>
        </is>
      </c>
      <c r="K69" s="26" t="inlineStr">
        <is>
          <t>belegt</t>
        </is>
      </c>
      <c r="L69" s="23" t="inlineStr">
        <is>
          <t>Festlegungen Siedlung, Landschaft, Verkehr, Infrastruktur</t>
        </is>
      </c>
      <c r="M69" s="27" t="inlineStr">
        <is>
          <t>https://www.ur.ch/_docn/375874/Richtplantext_240122.pdf</t>
        </is>
      </c>
      <c r="N69" s="42" t="inlineStr">
        <is>
          <t>geprüft · OK</t>
        </is>
      </c>
      <c r="O69" s="23" t="inlineStr">
        <is>
          <t>Katalog · hoch</t>
        </is>
      </c>
      <c r="P69" s="23" t="n"/>
    </row>
    <row r="70" outlineLevel="1" ht="32.85" customHeight="1">
      <c r="A70" s="23" t="inlineStr">
        <is>
          <t>Kanton UR</t>
        </is>
      </c>
      <c r="B70" s="24" t="inlineStr">
        <is>
          <t>Q2 / Q5</t>
        </is>
      </c>
      <c r="C70" s="23" t="inlineStr">
        <is>
          <t>Gesetz</t>
        </is>
      </c>
      <c r="D70" s="25" t="inlineStr">
        <is>
          <t>Gesetz über den Natur- und Heimatschutz Uri</t>
        </is>
      </c>
      <c r="E70" s="23" t="inlineStr">
        <is>
          <t>RB 10.5101</t>
        </is>
      </c>
      <c r="F70" s="23" t="inlineStr">
        <is>
          <t>–</t>
        </is>
      </c>
      <c r="G70" s="23" t="inlineStr">
        <is>
          <t>Kanton UR</t>
        </is>
      </c>
      <c r="H70" s="23" t="inlineStr">
        <is>
          <t>öffentlich</t>
        </is>
      </c>
      <c r="I70" s="29" t="inlineStr">
        <is>
          <t>n. a.</t>
        </is>
      </c>
      <c r="J70" s="29" t="inlineStr">
        <is>
          <t>n. a.</t>
        </is>
      </c>
      <c r="K70" s="57" t="inlineStr">
        <is>
          <t>belegt</t>
        </is>
      </c>
      <c r="L70" s="23" t="inlineStr">
        <is>
          <t>Kantonale Schutzobjekte, Schutzinventar</t>
        </is>
      </c>
      <c r="M70" s="56" t="inlineStr">
        <is>
          <t>https://rechtsbuch.ur.ch/app/de/texts_of_law/10.5101</t>
        </is>
      </c>
      <c r="N70" s="42" t="inlineStr">
        <is>
          <t>geprüft · OK</t>
        </is>
      </c>
      <c r="O70" s="23" t="inlineStr">
        <is>
          <t>Ergänzung · hoch</t>
        </is>
      </c>
      <c r="P70" s="23" t="n"/>
    </row>
    <row r="71" outlineLevel="1" ht="22.35" customHeight="1">
      <c r="A71" s="23" t="inlineStr">
        <is>
          <t>Kanton UR</t>
        </is>
      </c>
      <c r="B71" s="24" t="inlineStr">
        <is>
          <t>Q3</t>
        </is>
      </c>
      <c r="C71" s="23" t="inlineStr">
        <is>
          <t>Gesetz</t>
        </is>
      </c>
      <c r="D71" s="25" t="inlineStr">
        <is>
          <t>Energiegesetz des Kantons Uri (EnG)</t>
        </is>
      </c>
      <c r="E71" s="23" t="inlineStr">
        <is>
          <t>RB 40.7211</t>
        </is>
      </c>
      <c r="F71" s="23" t="inlineStr">
        <is>
          <t>Katalog: 01.01.2000</t>
        </is>
      </c>
      <c r="G71" s="23" t="inlineStr">
        <is>
          <t>Kanton UR</t>
        </is>
      </c>
      <c r="H71" s="23" t="inlineStr">
        <is>
          <t>öffentlich</t>
        </is>
      </c>
      <c r="I71" s="29" t="inlineStr">
        <is>
          <t>n. a.</t>
        </is>
      </c>
      <c r="J71" s="29" t="inlineStr">
        <is>
          <t>n. a.</t>
        </is>
      </c>
      <c r="K71" s="26" t="inlineStr">
        <is>
          <t>belegt</t>
        </is>
      </c>
      <c r="L71" s="23" t="inlineStr">
        <is>
          <t>Gebäudeenergie, Wärmeerzeugung, Solarpflichten</t>
        </is>
      </c>
      <c r="M71" s="27" t="inlineStr">
        <is>
          <t>https://rechtsbuch.ur.ch/app/de/texts_of_law/40.7211</t>
        </is>
      </c>
      <c r="N71" s="42" t="inlineStr">
        <is>
          <t>geprüft · OK</t>
        </is>
      </c>
      <c r="O71" s="23" t="inlineStr">
        <is>
          <t>Katalog · hoch</t>
        </is>
      </c>
      <c r="P71" s="23" t="inlineStr">
        <is>
          <t>Stand im Katalog (01.01.2000) vermutlich Erstinkrafttreten; massgebend ist die aktuelle Fassung im Rechtsbuch</t>
        </is>
      </c>
    </row>
    <row r="72" outlineLevel="1" ht="32.85" customHeight="1">
      <c r="A72" s="23" t="inlineStr">
        <is>
          <t>Kanton UR</t>
        </is>
      </c>
      <c r="B72" s="24" t="inlineStr">
        <is>
          <t>Q4</t>
        </is>
      </c>
      <c r="C72" s="23" t="inlineStr">
        <is>
          <t>Gesetz</t>
        </is>
      </c>
      <c r="D72" s="25" t="inlineStr">
        <is>
          <t>Wasserbaugesetz Uri (WBG)</t>
        </is>
      </c>
      <c r="E72" s="23" t="inlineStr">
        <is>
          <t>RB 40.1211</t>
        </is>
      </c>
      <c r="F72" s="23" t="inlineStr">
        <is>
          <t>–</t>
        </is>
      </c>
      <c r="G72" s="23" t="inlineStr">
        <is>
          <t>Kanton UR</t>
        </is>
      </c>
      <c r="H72" s="23" t="inlineStr">
        <is>
          <t>öffentlich</t>
        </is>
      </c>
      <c r="I72" s="29" t="inlineStr">
        <is>
          <t>n. a.</t>
        </is>
      </c>
      <c r="J72" s="29" t="inlineStr">
        <is>
          <t>n. a.</t>
        </is>
      </c>
      <c r="K72" s="57" t="inlineStr">
        <is>
          <t>belegt</t>
        </is>
      </c>
      <c r="L72" s="23" t="inlineStr">
        <is>
          <t>Hochwasser-/Naturgefahrenschutz, Gefahrenkarten</t>
        </is>
      </c>
      <c r="M72" s="56" t="inlineStr">
        <is>
          <t>https://rechtsbuch.ur.ch/app/de/texts_of_law/40.1211</t>
        </is>
      </c>
      <c r="N72" s="42" t="inlineStr">
        <is>
          <t>geprüft · OK</t>
        </is>
      </c>
      <c r="O72" s="23" t="inlineStr">
        <is>
          <t>Ergänzung · hoch</t>
        </is>
      </c>
      <c r="P72" s="23" t="n"/>
    </row>
    <row r="73" outlineLevel="1" ht="22.35" customHeight="1">
      <c r="A73" s="23" t="inlineStr">
        <is>
          <t>Kanton UR</t>
        </is>
      </c>
      <c r="B73" s="24" t="inlineStr">
        <is>
          <t>Q6</t>
        </is>
      </c>
      <c r="C73" s="23" t="inlineStr">
        <is>
          <t>Beschluss</t>
        </is>
      </c>
      <c r="D73" s="25" t="inlineStr">
        <is>
          <t>Beitritt Kanton Uri zur IVöB 2019 (Landratsbeschluss vom 15.06.2022)</t>
        </is>
      </c>
      <c r="E73" s="23" t="inlineStr">
        <is>
          <t>RB 3.3111</t>
        </is>
      </c>
      <c r="F73" s="23" t="inlineStr">
        <is>
          <t>Inkrafttreten 01.06.2023</t>
        </is>
      </c>
      <c r="G73" s="23" t="inlineStr">
        <is>
          <t>Kanton UR (Baudirektion)</t>
        </is>
      </c>
      <c r="H73" s="23" t="inlineStr">
        <is>
          <t>öffentlich</t>
        </is>
      </c>
      <c r="I73" s="29" t="inlineStr">
        <is>
          <t>n. a.</t>
        </is>
      </c>
      <c r="J73" s="29" t="inlineStr">
        <is>
          <t>n. a.</t>
        </is>
      </c>
      <c r="K73" s="26" t="inlineStr">
        <is>
          <t>belegt</t>
        </is>
      </c>
      <c r="L73" s="23" t="inlineStr">
        <is>
          <t>IVöB 2019 gilt in Uri; frühere Submissionsverordnung aufgehoben</t>
        </is>
      </c>
      <c r="M73" s="56" t="inlineStr">
        <is>
          <t>https://rechtsbuch.ur.ch/app/de/texts_of_law/3.3111</t>
        </is>
      </c>
      <c r="N73" s="42" t="inlineStr">
        <is>
          <t>geprüft · OK</t>
        </is>
      </c>
      <c r="O73" s="23" t="inlineStr">
        <is>
          <t>Ergänzung · hoch</t>
        </is>
      </c>
      <c r="P73" s="23" t="inlineStr">
        <is>
          <t>IVöB im Rechtsbuch Uri (RB 3.3111); Inkrafttreten für Uri 01.06.2023; Submissionsverordnung RB 3.3112 aufgehoben</t>
        </is>
      </c>
    </row>
    <row r="74" outlineLevel="1" ht="22.35" customHeight="1">
      <c r="A74" s="23" t="inlineStr">
        <is>
          <t>Kanton UR</t>
        </is>
      </c>
      <c r="B74" s="24" t="inlineStr">
        <is>
          <t>Q6</t>
        </is>
      </c>
      <c r="C74" s="23" t="inlineStr">
        <is>
          <t>Reglement</t>
        </is>
      </c>
      <c r="D74" s="25" t="inlineStr">
        <is>
          <t>Reglement über den Vollzug der IVöB (Submissionsreglement)</t>
        </is>
      </c>
      <c r="E74" s="23" t="inlineStr">
        <is>
          <t>RB 3.3115</t>
        </is>
      </c>
      <c r="F74" s="23" t="inlineStr">
        <is>
          <t>ab 01.06.2023</t>
        </is>
      </c>
      <c r="G74" s="23" t="inlineStr">
        <is>
          <t>Kanton UR (Baudirektion)</t>
        </is>
      </c>
      <c r="H74" s="23" t="inlineStr">
        <is>
          <t>öffentlich</t>
        </is>
      </c>
      <c r="I74" s="29" t="inlineStr">
        <is>
          <t>n. a.</t>
        </is>
      </c>
      <c r="J74" s="29" t="inlineStr">
        <is>
          <t>n. a.</t>
        </is>
      </c>
      <c r="K74" s="26" t="inlineStr">
        <is>
          <t>belegt</t>
        </is>
      </c>
      <c r="L74" s="23" t="inlineStr">
        <is>
          <t>IVöB 2019 gilt in Uri; frühere Submissionsverordnung aufgehoben</t>
        </is>
      </c>
      <c r="M74" s="56" t="inlineStr">
        <is>
          <t>https://rechtsbuch.ur.ch/app/de/texts_of_law/3.3115</t>
        </is>
      </c>
      <c r="N74" s="42" t="inlineStr">
        <is>
          <t>geprüft · OK</t>
        </is>
      </c>
      <c r="O74" s="23" t="inlineStr">
        <is>
          <t>Ergänzung · hoch</t>
        </is>
      </c>
      <c r="P74" s="23" t="n"/>
    </row>
    <row r="75" outlineLevel="1" ht="19.5" customHeight="1">
      <c r="A75" s="21" t="inlineStr">
        <is>
          <t>GEMEINDE MÜNCHENSTEIN (BL)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</row>
    <row r="76" ht="22.35" customHeight="1">
      <c r="A76" s="23" t="inlineStr">
        <is>
          <t>Gde Münchenstein</t>
        </is>
      </c>
      <c r="B76" s="24" t="inlineStr">
        <is>
          <t>Q1</t>
        </is>
      </c>
      <c r="C76" s="23" t="inlineStr">
        <is>
          <t>Reglement</t>
        </is>
      </c>
      <c r="D76" s="25" t="inlineStr">
        <is>
          <t>Zonenvorschriften Siedlung</t>
        </is>
      </c>
      <c r="E76" s="23" t="inlineStr">
        <is>
          <t>–</t>
        </is>
      </c>
      <c r="F76" s="23" t="inlineStr">
        <is>
          <t>25.02.2025</t>
        </is>
      </c>
      <c r="G76" s="23" t="inlineStr">
        <is>
          <t>Gde Münchenstein</t>
        </is>
      </c>
      <c r="H76" s="23" t="inlineStr">
        <is>
          <t>öffentlich</t>
        </is>
      </c>
      <c r="I76" s="26" t="inlineStr">
        <is>
          <t>belegt</t>
        </is>
      </c>
      <c r="J76" s="29" t="inlineStr">
        <is>
          <t>n. a.</t>
        </is>
      </c>
      <c r="K76" s="29" t="inlineStr">
        <is>
          <t>n. a.</t>
        </is>
      </c>
      <c r="L76" s="23" t="inlineStr">
        <is>
          <t>Bauweise, Abstände, Höhen, Nutzungsvorgaben</t>
        </is>
      </c>
      <c r="M76" s="27" t="inlineStr">
        <is>
          <t>https://oereblex.bl.ch/api/attachments/22718</t>
        </is>
      </c>
      <c r="N76" s="42" t="inlineStr">
        <is>
          <t>geprüft · OK</t>
        </is>
      </c>
      <c r="O76" s="23" t="inlineStr">
        <is>
          <t>Katalog · hoch</t>
        </is>
      </c>
      <c r="P76" s="23" t="inlineStr">
        <is>
          <t>Mehrfach gelistet, weil das Dokument mehrere Q-Dimensionen abdeckt (Q1, Q2, Q3, Q5)</t>
        </is>
      </c>
    </row>
    <row r="77" outlineLevel="1" ht="22.35" customHeight="1">
      <c r="A77" s="23" t="inlineStr">
        <is>
          <t>Gde Münchenstein</t>
        </is>
      </c>
      <c r="B77" s="24" t="inlineStr">
        <is>
          <t>Q2</t>
        </is>
      </c>
      <c r="C77" s="23" t="inlineStr">
        <is>
          <t>Reglement</t>
        </is>
      </c>
      <c r="D77" s="25" t="inlineStr">
        <is>
          <t>Zonenvorschriften Siedlung</t>
        </is>
      </c>
      <c r="E77" s="23" t="inlineStr">
        <is>
          <t>–</t>
        </is>
      </c>
      <c r="F77" s="23" t="inlineStr">
        <is>
          <t>25.02.2025</t>
        </is>
      </c>
      <c r="G77" s="23" t="inlineStr">
        <is>
          <t>Gde Münchenstein</t>
        </is>
      </c>
      <c r="H77" s="23" t="inlineStr">
        <is>
          <t>öffentlich</t>
        </is>
      </c>
      <c r="I77" s="26" t="inlineStr">
        <is>
          <t>belegt</t>
        </is>
      </c>
      <c r="J77" s="29" t="inlineStr">
        <is>
          <t>n. a.</t>
        </is>
      </c>
      <c r="K77" s="29" t="inlineStr">
        <is>
          <t>n. a.</t>
        </is>
      </c>
      <c r="L77" s="23" t="inlineStr">
        <is>
          <t>Schutzflächen, Gewässerräume, Grünstrukturen</t>
        </is>
      </c>
      <c r="M77" s="27" t="inlineStr">
        <is>
          <t>https://oereblex.bl.ch/api/attachments/22718</t>
        </is>
      </c>
      <c r="N77" s="42" t="inlineStr">
        <is>
          <t>geprüft · OK</t>
        </is>
      </c>
      <c r="O77" s="23" t="inlineStr">
        <is>
          <t>Katalog · hoch</t>
        </is>
      </c>
      <c r="P77" s="23" t="inlineStr">
        <is>
          <t>Mehrfach gelistet, weil das Dokument mehrere Q-Dimensionen abdeckt; Q2-Aspekt: Natur- und Landschaftsschutzfestlegungen</t>
        </is>
      </c>
    </row>
    <row r="78" outlineLevel="1" ht="22.35" customHeight="1">
      <c r="A78" s="23" t="inlineStr">
        <is>
          <t>Gde Münchenstein</t>
        </is>
      </c>
      <c r="B78" s="24" t="inlineStr">
        <is>
          <t>Q3</t>
        </is>
      </c>
      <c r="C78" s="23" t="inlineStr">
        <is>
          <t>Reglement</t>
        </is>
      </c>
      <c r="D78" s="25" t="inlineStr">
        <is>
          <t>Zonenvorschriften Siedlung</t>
        </is>
      </c>
      <c r="E78" s="23" t="inlineStr">
        <is>
          <t>–</t>
        </is>
      </c>
      <c r="F78" s="23" t="inlineStr">
        <is>
          <t>25.02.2025</t>
        </is>
      </c>
      <c r="G78" s="23" t="inlineStr">
        <is>
          <t>Gde Münchenstein</t>
        </is>
      </c>
      <c r="H78" s="23" t="inlineStr">
        <is>
          <t>öffentlich</t>
        </is>
      </c>
      <c r="I78" s="26" t="inlineStr">
        <is>
          <t>belegt</t>
        </is>
      </c>
      <c r="J78" s="29" t="inlineStr">
        <is>
          <t>n. a.</t>
        </is>
      </c>
      <c r="K78" s="29" t="inlineStr">
        <is>
          <t>n. a.</t>
        </is>
      </c>
      <c r="L78" s="23" t="inlineStr">
        <is>
          <t>Allfällige Anschluss-/Versorgungsregeln</t>
        </is>
      </c>
      <c r="M78" s="27" t="inlineStr">
        <is>
          <t>https://oereblex.bl.ch/api/attachments/22718</t>
        </is>
      </c>
      <c r="N78" s="42" t="inlineStr">
        <is>
          <t>geprüft · OK</t>
        </is>
      </c>
      <c r="O78" s="23" t="inlineStr">
        <is>
          <t>Katalog · hoch</t>
        </is>
      </c>
      <c r="P78" s="23" t="inlineStr">
        <is>
          <t>Mehrfach gelistet, weil das Dokument mehrere Q-Dimensionen abdeckt; Q3-Aspekt: Energieplanung / Wärmeversorgung</t>
        </is>
      </c>
    </row>
    <row r="79" outlineLevel="1" ht="22.35" customHeight="1">
      <c r="A79" s="23" t="inlineStr">
        <is>
          <t>Gde Münchenstein</t>
        </is>
      </c>
      <c r="B79" s="24" t="inlineStr">
        <is>
          <t>Q4</t>
        </is>
      </c>
      <c r="C79" s="23" t="inlineStr">
        <is>
          <t>Reglement</t>
        </is>
      </c>
      <c r="D79" s="25" t="inlineStr">
        <is>
          <t>Abwasserreglement (vom 28.10.2020)</t>
        </is>
      </c>
      <c r="E79" s="23" t="inlineStr">
        <is>
          <t>TR 5.4</t>
        </is>
      </c>
      <c r="F79" s="23" t="inlineStr">
        <is>
          <t>07.01.2021</t>
        </is>
      </c>
      <c r="G79" s="23" t="inlineStr">
        <is>
          <t>Gde Münchenstein</t>
        </is>
      </c>
      <c r="H79" s="23" t="inlineStr">
        <is>
          <t>öffentlich</t>
        </is>
      </c>
      <c r="I79" s="26" t="inlineStr">
        <is>
          <t>belegt</t>
        </is>
      </c>
      <c r="J79" s="29" t="inlineStr">
        <is>
          <t>n. a.</t>
        </is>
      </c>
      <c r="K79" s="29" t="inlineStr">
        <is>
          <t>n. a.</t>
        </is>
      </c>
      <c r="L79" s="23" t="inlineStr">
        <is>
          <t>Entwässerungs- und Retentionsanforderungen</t>
        </is>
      </c>
      <c r="M79" s="27" t="inlineStr">
        <is>
          <t>https://www.muenchenstein.ch/_docn/5130739/TR_5.4_Abwasserreglement_vom_28._Oktober_2020_-_Stand_07.01.2021.pdf</t>
        </is>
      </c>
      <c r="N79" s="42" t="inlineStr">
        <is>
          <t>geprüft · OK</t>
        </is>
      </c>
      <c r="O79" s="23" t="inlineStr">
        <is>
          <t>Katalog · hoch</t>
        </is>
      </c>
      <c r="P79" s="23" t="n"/>
    </row>
    <row r="80" outlineLevel="1" ht="22.35" customHeight="1">
      <c r="A80" s="23" t="inlineStr">
        <is>
          <t>Gde Münchenstein</t>
        </is>
      </c>
      <c r="B80" s="24" t="inlineStr">
        <is>
          <t>Q5</t>
        </is>
      </c>
      <c r="C80" s="23" t="inlineStr">
        <is>
          <t>Reglement</t>
        </is>
      </c>
      <c r="D80" s="25" t="inlineStr">
        <is>
          <t>Zonenvorschriften Siedlung</t>
        </is>
      </c>
      <c r="E80" s="23" t="inlineStr">
        <is>
          <t>–</t>
        </is>
      </c>
      <c r="F80" s="23" t="inlineStr">
        <is>
          <t>25.02.2025</t>
        </is>
      </c>
      <c r="G80" s="23" t="inlineStr">
        <is>
          <t>Gde Münchenstein</t>
        </is>
      </c>
      <c r="H80" s="23" t="inlineStr">
        <is>
          <t>öffentlich</t>
        </is>
      </c>
      <c r="I80" s="26" t="inlineStr">
        <is>
          <t>belegt</t>
        </is>
      </c>
      <c r="J80" s="29" t="inlineStr">
        <is>
          <t>n. a.</t>
        </is>
      </c>
      <c r="K80" s="29" t="inlineStr">
        <is>
          <t>n. a.</t>
        </is>
      </c>
      <c r="L80" s="23" t="inlineStr">
        <is>
          <t>Schutzobjekte, Erhaltungs- und Gestaltungsauflagen</t>
        </is>
      </c>
      <c r="M80" s="27" t="inlineStr">
        <is>
          <t>https://oereblex.bl.ch/api/attachments/22718</t>
        </is>
      </c>
      <c r="N80" s="42" t="inlineStr">
        <is>
          <t>geprüft · OK</t>
        </is>
      </c>
      <c r="O80" s="23" t="inlineStr">
        <is>
          <t>Katalog · hoch</t>
        </is>
      </c>
      <c r="P80" s="23" t="inlineStr">
        <is>
          <t>Mehrfach gelistet, weil das Dokument mehrere Q-Dimensionen abdeckt; Q5-Aspekt: Schutzverordnung / Ortsbildvorgaben</t>
        </is>
      </c>
    </row>
    <row r="81" outlineLevel="1" ht="22.35" customHeight="1">
      <c r="A81" s="23" t="inlineStr">
        <is>
          <t>Gde Münchenstein</t>
        </is>
      </c>
      <c r="B81" s="24" t="inlineStr">
        <is>
          <t>Q6</t>
        </is>
      </c>
      <c r="C81" s="23" t="inlineStr">
        <is>
          <t>Reglement</t>
        </is>
      </c>
      <c r="D81" s="25" t="inlineStr">
        <is>
          <t>Gemeindeordnung / Finanzhaushalt- und Beschaffungsreglement</t>
        </is>
      </c>
      <c r="E81" s="23" t="inlineStr">
        <is>
          <t>–</t>
        </is>
      </c>
      <c r="F81" s="23" t="inlineStr">
        <is>
          <t>–</t>
        </is>
      </c>
      <c r="G81" s="23" t="inlineStr">
        <is>
          <t>Gde Münchenstein</t>
        </is>
      </c>
      <c r="H81" s="23" t="inlineStr">
        <is>
          <t>öffentlich</t>
        </is>
      </c>
      <c r="I81" s="57" t="inlineStr">
        <is>
          <t>belegt</t>
        </is>
      </c>
      <c r="J81" s="29" t="inlineStr">
        <is>
          <t>n. a.</t>
        </is>
      </c>
      <c r="K81" s="29" t="inlineStr">
        <is>
          <t>n. a.</t>
        </is>
      </c>
      <c r="L81" s="23" t="inlineStr">
        <is>
          <t>Ausgaben-/Vertragskompetenzen, kommunale Vergaberegeln</t>
        </is>
      </c>
      <c r="M81" s="53" t="inlineStr">
        <is>
          <t>https://www.muenchenstein.ch/_docn/2430218/20180713_Gemeindeordnung_Stand_01.01.2013_publiziert_sw.pdf</t>
        </is>
      </c>
      <c r="N81" s="42" t="inlineStr">
        <is>
          <t>geprüft · OK</t>
        </is>
      </c>
      <c r="O81" s="23" t="inlineStr">
        <is>
          <t>Ergänzung · hoch</t>
        </is>
      </c>
      <c r="P81" s="23" t="inlineStr">
        <is>
          <t>Verlinkt ist die Gemeindeordnung; ein eigenes Finanzhaushalt-/Beschaffungsreglement ist nicht verlinkt</t>
        </is>
      </c>
    </row>
    <row r="82" outlineLevel="1" ht="19.5" customHeight="1">
      <c r="A82" s="21" t="inlineStr">
        <is>
          <t>GEMEINDE WIL (SG)</t>
        </is>
      </c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</row>
    <row r="83" ht="22.35" customHeight="1">
      <c r="A83" s="23" t="inlineStr">
        <is>
          <t>Gde Wil</t>
        </is>
      </c>
      <c r="B83" s="24" t="inlineStr">
        <is>
          <t>Q1</t>
        </is>
      </c>
      <c r="C83" s="23" t="inlineStr">
        <is>
          <t>Plan</t>
        </is>
      </c>
      <c r="D83" s="25" t="inlineStr">
        <is>
          <t>Zonenplan</t>
        </is>
      </c>
      <c r="E83" s="23" t="inlineStr">
        <is>
          <t>–</t>
        </is>
      </c>
      <c r="F83" s="23" t="inlineStr">
        <is>
          <t>14.12.2012</t>
        </is>
      </c>
      <c r="G83" s="23" t="inlineStr">
        <is>
          <t>Gde Wil</t>
        </is>
      </c>
      <c r="H83" s="23" t="inlineStr">
        <is>
          <t>öffentlich</t>
        </is>
      </c>
      <c r="I83" s="29" t="inlineStr">
        <is>
          <t>n. a.</t>
        </is>
      </c>
      <c r="J83" s="26" t="inlineStr">
        <is>
          <t>belegt</t>
        </is>
      </c>
      <c r="K83" s="29" t="inlineStr">
        <is>
          <t>n. a.</t>
        </is>
      </c>
      <c r="L83" s="23" t="inlineStr">
        <is>
          <t>Bauweise, Abstände, Höhen, Nutzungsvorgaben</t>
        </is>
      </c>
      <c r="M83" s="53" t="inlineStr">
        <is>
          <t>https://www.geoportal.ch/wil_sg/map/101?y=2719905.16&amp;x=1258486.88&amp;scale=25000&amp;rotation=0</t>
        </is>
      </c>
      <c r="N83" s="42" t="inlineStr">
        <is>
          <t>geprüft · OK</t>
        </is>
      </c>
      <c r="O83" s="23" t="inlineStr">
        <is>
          <t>Katalog · hoch</t>
        </is>
      </c>
      <c r="P83" s="23" t="n"/>
    </row>
    <row r="84" outlineLevel="1" ht="22.35" customHeight="1">
      <c r="A84" s="23" t="inlineStr">
        <is>
          <t>Gde Wil</t>
        </is>
      </c>
      <c r="B84" s="24" t="inlineStr">
        <is>
          <t>Q1</t>
        </is>
      </c>
      <c r="C84" s="23" t="inlineStr">
        <is>
          <t>Reglement</t>
        </is>
      </c>
      <c r="D84" s="25" t="inlineStr">
        <is>
          <t>Baureglement Stadt Wil</t>
        </is>
      </c>
      <c r="E84" s="23" t="inlineStr">
        <is>
          <t>SRS 7.1-1</t>
        </is>
      </c>
      <c r="F84" s="23" t="inlineStr">
        <is>
          <t>01.03.2021</t>
        </is>
      </c>
      <c r="G84" s="23" t="inlineStr">
        <is>
          <t>Gde Wil</t>
        </is>
      </c>
      <c r="H84" s="23" t="inlineStr">
        <is>
          <t>öffentlich</t>
        </is>
      </c>
      <c r="I84" s="29" t="inlineStr">
        <is>
          <t>n. a.</t>
        </is>
      </c>
      <c r="J84" s="26" t="inlineStr">
        <is>
          <t>belegt</t>
        </is>
      </c>
      <c r="K84" s="29" t="inlineStr">
        <is>
          <t>n. a.</t>
        </is>
      </c>
      <c r="L84" s="23" t="inlineStr">
        <is>
          <t>Bauweise, Abstände, Höhen, Nutzungsvorgaben</t>
        </is>
      </c>
      <c r="M84" s="27" t="inlineStr">
        <is>
          <t>https://wil-sg.tlex.ch/app/de/texts_of_law/7.1-1</t>
        </is>
      </c>
      <c r="N84" s="42" t="inlineStr">
        <is>
          <t>geprüft · OK</t>
        </is>
      </c>
      <c r="O84" s="23" t="inlineStr">
        <is>
          <t>Katalog · hoch</t>
        </is>
      </c>
      <c r="P84" s="23" t="n"/>
    </row>
    <row r="85" outlineLevel="1" ht="22.35" customHeight="1">
      <c r="A85" s="23" t="inlineStr">
        <is>
          <t>Gde Wil</t>
        </is>
      </c>
      <c r="B85" s="24" t="inlineStr">
        <is>
          <t>Q2 / Q5</t>
        </is>
      </c>
      <c r="C85" s="23" t="inlineStr">
        <is>
          <t>Reglement</t>
        </is>
      </c>
      <c r="D85" s="25" t="inlineStr">
        <is>
          <t>Reglement zur Schutzverordnung</t>
        </is>
      </c>
      <c r="E85" s="23" t="inlineStr">
        <is>
          <t>–</t>
        </is>
      </c>
      <c r="F85" s="23" t="inlineStr">
        <is>
          <t>31.08.2022</t>
        </is>
      </c>
      <c r="G85" s="23" t="inlineStr">
        <is>
          <t xml:space="preserve">Gde Wil </t>
        </is>
      </c>
      <c r="H85" s="23" t="inlineStr">
        <is>
          <t>öffentlich</t>
        </is>
      </c>
      <c r="I85" s="29" t="inlineStr">
        <is>
          <t>n. a.</t>
        </is>
      </c>
      <c r="J85" s="26" t="inlineStr">
        <is>
          <t>belegt</t>
        </is>
      </c>
      <c r="K85" s="29" t="inlineStr">
        <is>
          <t>n. a.</t>
        </is>
      </c>
      <c r="L85" s="23" t="inlineStr">
        <is>
          <t>Schutzflächen, Gewässerräume, Grünstrukturen; Schutzobjekte, Gestaltungsauflagen</t>
        </is>
      </c>
      <c r="M85" s="27" t="inlineStr">
        <is>
          <t>https://cms.e-mitwirkung.ch/media/wil/Reglement_221013.pdf</t>
        </is>
      </c>
      <c r="N85" s="42" t="inlineStr">
        <is>
          <t>geprüft · OK</t>
        </is>
      </c>
      <c r="O85" s="23" t="inlineStr">
        <is>
          <t>Katalog · hoch</t>
        </is>
      </c>
      <c r="P85" s="23" t="inlineStr">
        <is>
          <t>Reglement enthält auch kantonale Schutzobjekte; Zuständigkeit liegt allein bei der Gde Wil. Verlinkt ist der Entwurf zur öffentlichen Auflage (13.10.2022); die erlassene Fassung ist online nicht auffindbar</t>
        </is>
      </c>
    </row>
    <row r="86" outlineLevel="1" ht="22.35" customHeight="1">
      <c r="A86" s="23" t="inlineStr">
        <is>
          <t>Gde Wil</t>
        </is>
      </c>
      <c r="B86" s="24" t="inlineStr">
        <is>
          <t>Q3</t>
        </is>
      </c>
      <c r="C86" s="23" t="inlineStr">
        <is>
          <t>Reglement</t>
        </is>
      </c>
      <c r="D86" s="25" t="inlineStr">
        <is>
          <t>Kommunale Energieplanung / Wärmeversorgung</t>
        </is>
      </c>
      <c r="E86" s="23" t="inlineStr">
        <is>
          <t>SRS 7.1-1</t>
        </is>
      </c>
      <c r="F86" s="23" t="inlineStr">
        <is>
          <t>01.03.2021</t>
        </is>
      </c>
      <c r="G86" s="23" t="inlineStr">
        <is>
          <t>Gde Wil</t>
        </is>
      </c>
      <c r="H86" s="23" t="inlineStr">
        <is>
          <t>öffentlich</t>
        </is>
      </c>
      <c r="I86" s="29" t="inlineStr">
        <is>
          <t>n. a.</t>
        </is>
      </c>
      <c r="J86" s="26" t="inlineStr">
        <is>
          <t>belegt</t>
        </is>
      </c>
      <c r="K86" s="29" t="inlineStr">
        <is>
          <t>n. a.</t>
        </is>
      </c>
      <c r="L86" s="23" t="inlineStr">
        <is>
          <t>Allfällige Anschluss-/Versorgungsregeln</t>
        </is>
      </c>
      <c r="M86" s="27" t="inlineStr">
        <is>
          <t>https://wil-sg.tlex.ch/app/de/texts_of_law/7.1-1</t>
        </is>
      </c>
      <c r="N86" s="42" t="inlineStr">
        <is>
          <t>geprüft · OK</t>
        </is>
      </c>
      <c r="O86" s="23" t="inlineStr">
        <is>
          <t>Katalog · hoch</t>
        </is>
      </c>
      <c r="P86" s="23" t="inlineStr">
        <is>
          <t>Keine eigene Energieplanung in der Rechtssammlung Wil; Energievorgaben im Baureglement (SRS 7.1-1)</t>
        </is>
      </c>
    </row>
    <row r="87" outlineLevel="1" ht="22.35" customHeight="1">
      <c r="A87" s="23" t="inlineStr">
        <is>
          <t>Gde Wil</t>
        </is>
      </c>
      <c r="B87" s="24" t="inlineStr">
        <is>
          <t>Q4</t>
        </is>
      </c>
      <c r="C87" s="23" t="inlineStr">
        <is>
          <t>Reglement</t>
        </is>
      </c>
      <c r="D87" s="25" t="inlineStr">
        <is>
          <t>Abwasserreglement</t>
        </is>
      </c>
      <c r="E87" s="23" t="inlineStr">
        <is>
          <t>SRS 7.4.3-6</t>
        </is>
      </c>
      <c r="F87" s="58" t="n">
        <v>43374</v>
      </c>
      <c r="G87" s="23" t="inlineStr">
        <is>
          <t>Gde Wil</t>
        </is>
      </c>
      <c r="H87" s="23" t="inlineStr">
        <is>
          <t>öffentlich</t>
        </is>
      </c>
      <c r="I87" s="29" t="inlineStr">
        <is>
          <t>n. a.</t>
        </is>
      </c>
      <c r="J87" s="26" t="inlineStr">
        <is>
          <t>belegt</t>
        </is>
      </c>
      <c r="K87" s="29" t="inlineStr">
        <is>
          <t>n. a.</t>
        </is>
      </c>
      <c r="L87" s="23" t="inlineStr">
        <is>
          <t>Entwässerungs- und Retentionsanforderungen</t>
        </is>
      </c>
      <c r="M87" s="56" t="inlineStr">
        <is>
          <t>https://wil-sg.tlex.ch/app/de/texts_of_law/7.4.3-6</t>
        </is>
      </c>
      <c r="N87" s="42" t="inlineStr">
        <is>
          <t>geprüft · OK</t>
        </is>
      </c>
      <c r="O87" s="23" t="inlineStr">
        <is>
          <t>Katalog · hoch</t>
        </is>
      </c>
      <c r="P87" s="23" t="n"/>
    </row>
    <row r="88" outlineLevel="1" ht="22.35" customHeight="1">
      <c r="A88" s="23" t="inlineStr">
        <is>
          <t>Gde Wil</t>
        </is>
      </c>
      <c r="B88" s="24" t="inlineStr">
        <is>
          <t>Q6</t>
        </is>
      </c>
      <c r="C88" s="23" t="inlineStr">
        <is>
          <t>Reglement</t>
        </is>
      </c>
      <c r="D88" s="25" t="inlineStr">
        <is>
          <t>Reglement über die Ausgaben- und Vertragskompetenzen der Departemente und Dienststellen</t>
        </is>
      </c>
      <c r="E88" s="23" t="inlineStr">
        <is>
          <t>SRS 1.6-4</t>
        </is>
      </c>
      <c r="F88" s="23" t="inlineStr">
        <is>
          <t>Katalog: kein Stand</t>
        </is>
      </c>
      <c r="G88" s="23" t="inlineStr">
        <is>
          <t>Gde Wil</t>
        </is>
      </c>
      <c r="H88" s="23" t="inlineStr">
        <is>
          <t>öffentlich</t>
        </is>
      </c>
      <c r="I88" s="29" t="inlineStr">
        <is>
          <t>n. a.</t>
        </is>
      </c>
      <c r="J88" s="26" t="inlineStr">
        <is>
          <t>belegt</t>
        </is>
      </c>
      <c r="K88" s="29" t="inlineStr">
        <is>
          <t>n. a.</t>
        </is>
      </c>
      <c r="L88" s="23" t="inlineStr">
        <is>
          <t>Lebenszykluskosten und Verantwortlichkeiten projektspezifisch festlegen</t>
        </is>
      </c>
      <c r="M88" s="27" t="inlineStr">
        <is>
          <t>https://wil-sg.tlex.ch/app/de/texts_of_law/1.6-4</t>
        </is>
      </c>
      <c r="N88" s="42" t="inlineStr">
        <is>
          <t>geprüft · OK</t>
        </is>
      </c>
      <c r="O88" s="23" t="inlineStr">
        <is>
          <t>Katalog · hoch</t>
        </is>
      </c>
      <c r="P88" s="23" t="n"/>
    </row>
    <row r="89" outlineLevel="1" ht="19.5" customHeight="1">
      <c r="A89" s="21" t="inlineStr">
        <is>
          <t>GEMEINDE SEELISBERG (UR)</t>
        </is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</row>
    <row r="90" ht="32.85" customHeight="1">
      <c r="A90" s="23" t="inlineStr">
        <is>
          <t>Gde Seelisberg</t>
        </is>
      </c>
      <c r="B90" s="24" t="inlineStr">
        <is>
          <t>Q1</t>
        </is>
      </c>
      <c r="C90" s="23" t="inlineStr">
        <is>
          <t>Reglement</t>
        </is>
      </c>
      <c r="D90" s="25" t="inlineStr">
        <is>
          <t>Bau- und Zonenordnung (BZO) Seelisberg</t>
        </is>
      </c>
      <c r="E90" s="23" t="inlineStr">
        <is>
          <t>–</t>
        </is>
      </c>
      <c r="F90" s="23" t="inlineStr">
        <is>
          <t>18.02.2025</t>
        </is>
      </c>
      <c r="G90" s="23" t="inlineStr">
        <is>
          <t>Gde Seelisberg</t>
        </is>
      </c>
      <c r="H90" s="23" t="inlineStr">
        <is>
          <t>öffentlich</t>
        </is>
      </c>
      <c r="I90" s="29" t="inlineStr">
        <is>
          <t>n. a.</t>
        </is>
      </c>
      <c r="J90" s="29" t="inlineStr">
        <is>
          <t>n. a.</t>
        </is>
      </c>
      <c r="K90" s="26" t="inlineStr">
        <is>
          <t>belegt</t>
        </is>
      </c>
      <c r="L90" s="23" t="inlineStr">
        <is>
          <t>Art. 5–7 Nutzungsplan; Art. 8a Kernzone Sonnenberg (Quartiergestaltungsplanpflicht); Art. 20–23 Schutz; Art. 24 Gefahrenzonen; Art. 26a Quartier-/Gestaltungsplanpflicht</t>
        </is>
      </c>
      <c r="M90" s="27" t="inlineStr">
        <is>
          <t>https://www.seelisberg.ch/files/pdf/Bau-und-Zonenordnung-Seelisberg.pdf</t>
        </is>
      </c>
      <c r="N90" s="42" t="inlineStr">
        <is>
          <t>geprüft · OK</t>
        </is>
      </c>
      <c r="O90" s="23" t="inlineStr">
        <is>
          <t>Katalog · hoch</t>
        </is>
      </c>
      <c r="P90" s="23" t="inlineStr">
        <is>
          <t>BZO vom 01.01.2015, Revision 18.02.2025</t>
        </is>
      </c>
    </row>
    <row r="91" outlineLevel="1" ht="22.35" customHeight="1">
      <c r="A91" s="23" t="inlineStr">
        <is>
          <t>Gde Seelisberg</t>
        </is>
      </c>
      <c r="B91" s="24" t="inlineStr">
        <is>
          <t>Q1</t>
        </is>
      </c>
      <c r="C91" s="23" t="inlineStr">
        <is>
          <t>Plan</t>
        </is>
      </c>
      <c r="D91" s="25" t="inlineStr">
        <is>
          <t>Rechtskräftiger Zonenplan / Nutzungsplanung</t>
        </is>
      </c>
      <c r="E91" s="23" t="inlineStr">
        <is>
          <t>–</t>
        </is>
      </c>
      <c r="F91" s="23" t="inlineStr">
        <is>
          <t>08.01.2026</t>
        </is>
      </c>
      <c r="G91" s="23" t="inlineStr">
        <is>
          <t>Gde Seelisberg</t>
        </is>
      </c>
      <c r="H91" s="23" t="inlineStr">
        <is>
          <t>öffentlich</t>
        </is>
      </c>
      <c r="I91" s="29" t="inlineStr">
        <is>
          <t>n. a.</t>
        </is>
      </c>
      <c r="J91" s="29" t="inlineStr">
        <is>
          <t>n. a.</t>
        </is>
      </c>
      <c r="K91" s="26" t="inlineStr">
        <is>
          <t>belegt</t>
        </is>
      </c>
      <c r="L91" s="23" t="inlineStr">
        <is>
          <t>Zulässige Nutzungen, Zonen, Sondernutzungen</t>
        </is>
      </c>
      <c r="M91" s="27" t="inlineStr">
        <is>
          <t>https://geo.ur.ch/</t>
        </is>
      </c>
      <c r="N91" s="42" t="inlineStr">
        <is>
          <t>geprüft · OK</t>
        </is>
      </c>
      <c r="O91" s="23" t="inlineStr">
        <is>
          <t>Katalog · hoch</t>
        </is>
      </c>
      <c r="P91" s="23" t="inlineStr">
        <is>
          <t>Kartenviewer geo.ur.ch (Nutzungsplanung)</t>
        </is>
      </c>
    </row>
    <row r="92" outlineLevel="1" ht="22.35" customHeight="1">
      <c r="A92" s="23" t="inlineStr">
        <is>
          <t>Gde Seelisberg</t>
        </is>
      </c>
      <c r="B92" s="24" t="inlineStr">
        <is>
          <t>Q2</t>
        </is>
      </c>
      <c r="C92" s="23" t="inlineStr">
        <is>
          <t>Inventar</t>
        </is>
      </c>
      <c r="D92" s="25" t="inlineStr">
        <is>
          <t>Kommunales Schutzinventar (Inventarliste Seelisberg)</t>
        </is>
      </c>
      <c r="E92" s="23" t="inlineStr">
        <is>
          <t>–</t>
        </is>
      </c>
      <c r="F92" s="23" t="inlineStr">
        <is>
          <t>20.12.2022</t>
        </is>
      </c>
      <c r="G92" s="23" t="inlineStr">
        <is>
          <t>Gde Seelisberg</t>
        </is>
      </c>
      <c r="H92" s="23" t="inlineStr">
        <is>
          <t>öffentlich</t>
        </is>
      </c>
      <c r="I92" s="29" t="inlineStr">
        <is>
          <t>n. a.</t>
        </is>
      </c>
      <c r="J92" s="29" t="inlineStr">
        <is>
          <t>n. a.</t>
        </is>
      </c>
      <c r="K92" s="26" t="inlineStr">
        <is>
          <t>belegt</t>
        </is>
      </c>
      <c r="L92" s="23" t="inlineStr">
        <is>
          <t>Schutzflächen, Gewässerräume, Grünstrukturen</t>
        </is>
      </c>
      <c r="M92" s="27" t="inlineStr">
        <is>
          <t>https://www.ur.ch/_docn/385540/Inventarliste_Seelisberg_Website.pdf</t>
        </is>
      </c>
      <c r="N92" s="42" t="inlineStr">
        <is>
          <t>geprüft · OK</t>
        </is>
      </c>
      <c r="O92" s="23" t="inlineStr">
        <is>
          <t>Katalog · hoch</t>
        </is>
      </c>
      <c r="P92" s="23" t="n"/>
    </row>
    <row r="93" outlineLevel="1" ht="22.35" customHeight="1">
      <c r="A93" s="23" t="inlineStr">
        <is>
          <t>Gde Seelisberg</t>
        </is>
      </c>
      <c r="B93" s="24" t="inlineStr">
        <is>
          <t>Q4</t>
        </is>
      </c>
      <c r="C93" s="23" t="inlineStr">
        <is>
          <t>Verordnung</t>
        </is>
      </c>
      <c r="D93" s="25" t="inlineStr">
        <is>
          <t>Verordnung über die Wasserversorgung</t>
        </is>
      </c>
      <c r="E93" s="23" t="inlineStr">
        <is>
          <t>–</t>
        </is>
      </c>
      <c r="F93" s="23" t="inlineStr">
        <is>
          <t>01.01.2020</t>
        </is>
      </c>
      <c r="G93" s="23" t="inlineStr">
        <is>
          <t>Gde Seelisberg</t>
        </is>
      </c>
      <c r="H93" s="23" t="inlineStr">
        <is>
          <t>öffentlich</t>
        </is>
      </c>
      <c r="I93" s="29" t="inlineStr">
        <is>
          <t>n. a.</t>
        </is>
      </c>
      <c r="J93" s="29" t="inlineStr">
        <is>
          <t>n. a.</t>
        </is>
      </c>
      <c r="K93" s="26" t="inlineStr">
        <is>
          <t>belegt</t>
        </is>
      </c>
      <c r="L93" s="23" t="inlineStr">
        <is>
          <t>Entwässerungs-/Retentionsanforderungen standortbezogen klären</t>
        </is>
      </c>
      <c r="M93" s="27" t="inlineStr">
        <is>
          <t>https://www.seelisberg.ch/files/pdf/Verordnung_%C3%BCber_die_Wasserversorgung.pdf</t>
        </is>
      </c>
      <c r="N93" s="42" t="inlineStr">
        <is>
          <t>geprüft · OK</t>
        </is>
      </c>
      <c r="O93" s="23" t="inlineStr">
        <is>
          <t>Katalog · hoch</t>
        </is>
      </c>
      <c r="P93" s="23" t="inlineStr">
        <is>
          <t>Inhaltlich Wasserversorgung, nicht Entwässerung/Retention → Abwasserreglement/GEP Seelisberg fehlt</t>
        </is>
      </c>
    </row>
    <row r="94" outlineLevel="1" ht="22.35" customHeight="1">
      <c r="A94" s="23" t="inlineStr">
        <is>
          <t>Gde Seelisberg</t>
        </is>
      </c>
      <c r="B94" s="24" t="inlineStr">
        <is>
          <t>Q5</t>
        </is>
      </c>
      <c r="C94" s="23" t="inlineStr">
        <is>
          <t>Verordnung</t>
        </is>
      </c>
      <c r="D94" s="25" t="inlineStr">
        <is>
          <t>Bau- und Zonenordnung (BZO) Seelisberg</t>
        </is>
      </c>
      <c r="E94" s="23" t="inlineStr">
        <is>
          <t>–</t>
        </is>
      </c>
      <c r="F94" s="23" t="inlineStr">
        <is>
          <t>18.02.2025</t>
        </is>
      </c>
      <c r="G94" s="23" t="inlineStr">
        <is>
          <t>Gde Seelisberg</t>
        </is>
      </c>
      <c r="H94" s="23" t="inlineStr">
        <is>
          <t>öffentlich</t>
        </is>
      </c>
      <c r="I94" s="29" t="inlineStr">
        <is>
          <t>n. a.</t>
        </is>
      </c>
      <c r="J94" s="29" t="inlineStr">
        <is>
          <t>n. a.</t>
        </is>
      </c>
      <c r="K94" s="26" t="inlineStr">
        <is>
          <t>belegt</t>
        </is>
      </c>
      <c r="L94" s="23" t="inlineStr">
        <is>
          <t>Schutzobjekte, Erhaltungs- und Gestaltungsauflagen</t>
        </is>
      </c>
      <c r="M94" s="27" t="inlineStr">
        <is>
          <t>https://www.seelisberg.ch/files/pdf/Bau-und-Zonenordnung-Seelisberg.pdf</t>
        </is>
      </c>
      <c r="N94" s="42" t="inlineStr">
        <is>
          <t>geprüft · OK</t>
        </is>
      </c>
      <c r="O94" s="23" t="inlineStr">
        <is>
          <t>Katalog · hoch</t>
        </is>
      </c>
      <c r="P94" s="23" t="inlineStr">
        <is>
          <t>Mehrfach gelistet, weil das Dokument mehrere Q-Dimensionen abdeckt (Q1, Q5); BZO vom 01.01.2015, Revision 18.02.2025</t>
        </is>
      </c>
    </row>
    <row r="95" outlineLevel="1" ht="22.35" customHeight="1">
      <c r="A95" s="23" t="inlineStr">
        <is>
          <t>Gde Seelisberg</t>
        </is>
      </c>
      <c r="B95" s="24" t="inlineStr">
        <is>
          <t>Q6</t>
        </is>
      </c>
      <c r="C95" s="23" t="inlineStr">
        <is>
          <t>Reglement</t>
        </is>
      </c>
      <c r="D95" s="25" t="inlineStr">
        <is>
          <t>Gemeindeordnung / Finanzhaushalt- und Beschaffungsreglement</t>
        </is>
      </c>
      <c r="E95" s="23" t="inlineStr">
        <is>
          <t>–</t>
        </is>
      </c>
      <c r="F95" s="23" t="inlineStr">
        <is>
          <t>–</t>
        </is>
      </c>
      <c r="G95" s="23" t="inlineStr">
        <is>
          <t>Gde Seelisberg</t>
        </is>
      </c>
      <c r="H95" s="23" t="inlineStr">
        <is>
          <t>öffentlich</t>
        </is>
      </c>
      <c r="I95" s="29" t="inlineStr">
        <is>
          <t>n. a.</t>
        </is>
      </c>
      <c r="J95" s="29" t="inlineStr">
        <is>
          <t>n. a.</t>
        </is>
      </c>
      <c r="K95" s="57" t="inlineStr">
        <is>
          <t>belegt</t>
        </is>
      </c>
      <c r="L95" s="23" t="inlineStr">
        <is>
          <t>Ausgaben-/Vertragskompetenzen, kommunale Vergaberegeln</t>
        </is>
      </c>
      <c r="M95" s="53" t="inlineStr">
        <is>
          <t>https://www.seelisberg.ch/files/pdf/Gemeindeordnung.pdf</t>
        </is>
      </c>
      <c r="N95" s="42" t="inlineStr">
        <is>
          <t>geprüft · OK</t>
        </is>
      </c>
      <c r="O95" s="23" t="inlineStr">
        <is>
          <t>Ergänzung · hoch</t>
        </is>
      </c>
      <c r="P95" s="23" t="inlineStr">
        <is>
          <t>Verlinkt ist die Gemeindeordnung; ein eigenes Finanzhaushalt-/Beschaffungsreglement ist nicht verlinkt</t>
        </is>
      </c>
    </row>
    <row r="96" outlineLevel="1"/>
    <row r="97" outlineLevel="1"/>
  </sheetData>
  <autoFilter ref="A5:P95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3" r:id="rId17"/>
    <hyperlink xmlns:r="http://schemas.openxmlformats.org/officeDocument/2006/relationships" ref="M24" r:id="rId18"/>
    <hyperlink xmlns:r="http://schemas.openxmlformats.org/officeDocument/2006/relationships" ref="M25" r:id="rId19"/>
    <hyperlink xmlns:r="http://schemas.openxmlformats.org/officeDocument/2006/relationships" ref="M26" r:id="rId20"/>
    <hyperlink xmlns:r="http://schemas.openxmlformats.org/officeDocument/2006/relationships" ref="M27" r:id="rId21"/>
    <hyperlink xmlns:r="http://schemas.openxmlformats.org/officeDocument/2006/relationships" ref="M28" r:id="rId22"/>
    <hyperlink xmlns:r="http://schemas.openxmlformats.org/officeDocument/2006/relationships" ref="M29" r:id="rId23"/>
    <hyperlink xmlns:r="http://schemas.openxmlformats.org/officeDocument/2006/relationships" ref="M30" r:id="rId24"/>
    <hyperlink xmlns:r="http://schemas.openxmlformats.org/officeDocument/2006/relationships" ref="M31" r:id="rId25"/>
    <hyperlink xmlns:r="http://schemas.openxmlformats.org/officeDocument/2006/relationships" ref="M32" r:id="rId26"/>
    <hyperlink xmlns:r="http://schemas.openxmlformats.org/officeDocument/2006/relationships" ref="M33" r:id="rId27"/>
    <hyperlink xmlns:r="http://schemas.openxmlformats.org/officeDocument/2006/relationships" ref="M34" r:id="rId28"/>
    <hyperlink xmlns:r="http://schemas.openxmlformats.org/officeDocument/2006/relationships" ref="M35" r:id="rId29"/>
    <hyperlink xmlns:r="http://schemas.openxmlformats.org/officeDocument/2006/relationships" ref="M36" r:id="rId30"/>
    <hyperlink xmlns:r="http://schemas.openxmlformats.org/officeDocument/2006/relationships" ref="M37" r:id="rId31"/>
    <hyperlink xmlns:r="http://schemas.openxmlformats.org/officeDocument/2006/relationships" ref="M38" r:id="rId32"/>
    <hyperlink xmlns:r="http://schemas.openxmlformats.org/officeDocument/2006/relationships" ref="M39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6" r:id="rId40"/>
    <hyperlink xmlns:r="http://schemas.openxmlformats.org/officeDocument/2006/relationships" ref="M48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8" r:id="rId49"/>
    <hyperlink xmlns:r="http://schemas.openxmlformats.org/officeDocument/2006/relationships" ref="M59" r:id="rId50"/>
    <hyperlink xmlns:r="http://schemas.openxmlformats.org/officeDocument/2006/relationships" ref="M60" r:id="rId51"/>
    <hyperlink xmlns:r="http://schemas.openxmlformats.org/officeDocument/2006/relationships" ref="M61" r:id="rId52"/>
    <hyperlink xmlns:r="http://schemas.openxmlformats.org/officeDocument/2006/relationships" ref="M62" r:id="rId53"/>
    <hyperlink xmlns:r="http://schemas.openxmlformats.org/officeDocument/2006/relationships" ref="M63" r:id="rId54"/>
    <hyperlink xmlns:r="http://schemas.openxmlformats.org/officeDocument/2006/relationships" ref="M64" r:id="rId55"/>
    <hyperlink xmlns:r="http://schemas.openxmlformats.org/officeDocument/2006/relationships" ref="M65" r:id="rId56"/>
    <hyperlink xmlns:r="http://schemas.openxmlformats.org/officeDocument/2006/relationships" ref="M66" r:id="rId57"/>
    <hyperlink xmlns:r="http://schemas.openxmlformats.org/officeDocument/2006/relationships" ref="M68" r:id="rId58"/>
    <hyperlink xmlns:r="http://schemas.openxmlformats.org/officeDocument/2006/relationships" ref="M69" r:id="rId59"/>
    <hyperlink xmlns:r="http://schemas.openxmlformats.org/officeDocument/2006/relationships" ref="M70" r:id="rId60"/>
    <hyperlink xmlns:r="http://schemas.openxmlformats.org/officeDocument/2006/relationships" ref="M71" r:id="rId61"/>
    <hyperlink xmlns:r="http://schemas.openxmlformats.org/officeDocument/2006/relationships" ref="M72" r:id="rId62"/>
    <hyperlink xmlns:r="http://schemas.openxmlformats.org/officeDocument/2006/relationships" ref="M73" r:id="rId63"/>
    <hyperlink xmlns:r="http://schemas.openxmlformats.org/officeDocument/2006/relationships" ref="M74" r:id="rId64"/>
    <hyperlink xmlns:r="http://schemas.openxmlformats.org/officeDocument/2006/relationships" ref="M76" r:id="rId65"/>
    <hyperlink xmlns:r="http://schemas.openxmlformats.org/officeDocument/2006/relationships" ref="M77" r:id="rId66"/>
    <hyperlink xmlns:r="http://schemas.openxmlformats.org/officeDocument/2006/relationships" ref="M78" r:id="rId67"/>
    <hyperlink xmlns:r="http://schemas.openxmlformats.org/officeDocument/2006/relationships" ref="M79" r:id="rId68"/>
    <hyperlink xmlns:r="http://schemas.openxmlformats.org/officeDocument/2006/relationships" ref="M80" r:id="rId69"/>
    <hyperlink xmlns:r="http://schemas.openxmlformats.org/officeDocument/2006/relationships" ref="M81" r:id="rId70"/>
    <hyperlink xmlns:r="http://schemas.openxmlformats.org/officeDocument/2006/relationships" ref="M83" r:id="rId71"/>
    <hyperlink xmlns:r="http://schemas.openxmlformats.org/officeDocument/2006/relationships" ref="M84" r:id="rId72"/>
    <hyperlink xmlns:r="http://schemas.openxmlformats.org/officeDocument/2006/relationships" ref="M85" r:id="rId73"/>
    <hyperlink xmlns:r="http://schemas.openxmlformats.org/officeDocument/2006/relationships" ref="M86" r:id="rId74"/>
    <hyperlink xmlns:r="http://schemas.openxmlformats.org/officeDocument/2006/relationships" ref="M87" r:id="rId75"/>
    <hyperlink xmlns:r="http://schemas.openxmlformats.org/officeDocument/2006/relationships" ref="M88" r:id="rId76"/>
    <hyperlink xmlns:r="http://schemas.openxmlformats.org/officeDocument/2006/relationships" ref="M90" r:id="rId77"/>
    <hyperlink xmlns:r="http://schemas.openxmlformats.org/officeDocument/2006/relationships" ref="M91" r:id="rId78"/>
    <hyperlink xmlns:r="http://schemas.openxmlformats.org/officeDocument/2006/relationships" ref="M92" r:id="rId79"/>
    <hyperlink xmlns:r="http://schemas.openxmlformats.org/officeDocument/2006/relationships" ref="M93" r:id="rId80"/>
    <hyperlink xmlns:r="http://schemas.openxmlformats.org/officeDocument/2006/relationships" ref="M94" r:id="rId81"/>
    <hyperlink xmlns:r="http://schemas.openxmlformats.org/officeDocument/2006/relationships" ref="M95" r:id="rId82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zoomScaleNormal="100" workbookViewId="0">
      <pane xSplit="4" ySplit="5" topLeftCell="O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2 · Q2 Landschaft, Kulturland und Biodiversität – Dokumente, Inventare, Geodaten</t>
        </is>
      </c>
    </row>
    <row r="2" ht="15" customHeight="1">
      <c r="A2" s="2" t="inlineStr">
        <is>
          <t>Öffentliche Quellen je Ebene; nicht öffentliche Daten sind separat markiert (orange).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32.85" customHeight="1">
      <c r="A7" s="23" t="inlineStr">
        <is>
          <t>Bund</t>
        </is>
      </c>
      <c r="B7" s="24" t="inlineStr">
        <is>
          <t>Q2</t>
        </is>
      </c>
      <c r="C7" s="23" t="inlineStr">
        <is>
          <t>Inventar / Layer</t>
        </is>
      </c>
      <c r="D7" s="25" t="inlineStr">
        <is>
          <t>BLN – Bundesinventar der Landschaften und Naturdenkmäler</t>
        </is>
      </c>
      <c r="E7" s="23" t="inlineStr">
        <is>
          <t>VBLN</t>
        </is>
      </c>
      <c r="F7" s="23" t="inlineStr">
        <is>
          <t>–</t>
        </is>
      </c>
      <c r="G7" s="23" t="inlineStr">
        <is>
          <t>BAFU / swisstopo</t>
        </is>
      </c>
      <c r="H7" s="23" t="inlineStr">
        <is>
          <t>öffentlich</t>
        </is>
      </c>
      <c r="I7" s="31" t="inlineStr">
        <is>
          <t>belegt – Betroffenheit offen</t>
        </is>
      </c>
      <c r="J7" s="31" t="inlineStr">
        <is>
          <t>belegt – Betroffenheit offen</t>
        </is>
      </c>
      <c r="K7" s="31" t="inlineStr">
        <is>
          <t>belegt – Betroffenheit offen</t>
        </is>
      </c>
      <c r="L7" s="23" t="inlineStr">
        <is>
          <t>Landschaften von nationaler Bedeutung; Bundesaufgaben-Bindung</t>
        </is>
      </c>
      <c r="M7" s="43" t="inlineStr">
        <is>
          <t>https://map.geo.admin.ch/#/map?lang=de&amp;center=2660000,1190000&amp;z=1&amp;bgLayer=ch.swisstopo.pixelkarte-grau&amp;layers=ch.bafu.bundesinventare-bln</t>
        </is>
      </c>
      <c r="N7" s="44" t="inlineStr">
        <is>
          <t>geprüft · korrigiert</t>
        </is>
      </c>
      <c r="O7" s="23" t="inlineStr">
        <is>
          <t>Ergänzung · mittel</t>
        </is>
      </c>
      <c r="P7" s="23" t="inlineStr">
        <is>
          <t>Seelisberg: Lage im BLN-Gebiet Vierwaldstättersee wahrscheinlich → verifizieren | Linkprüfung 14.10.2026: Hyperlink führte nur auf https://map.geo.admin.ch/ statt auf den angezeigten Link. Alter Link: https://map.geo.admin.ch/#/map?lang=de&amp;center=2660000,1190000&amp;z=1&amp;bgLayer=ch.swisstopo.pixelkarte-grau&amp;layers=ch.bafu.bundesinventare-bln</t>
        </is>
      </c>
    </row>
    <row r="8" outlineLevel="1" ht="32.85" customHeight="1">
      <c r="A8" s="23" t="inlineStr">
        <is>
          <t>Bund</t>
        </is>
      </c>
      <c r="B8" s="24" t="inlineStr">
        <is>
          <t>Q2</t>
        </is>
      </c>
      <c r="C8" s="23" t="inlineStr">
        <is>
          <t>Inventar / Layer</t>
        </is>
      </c>
      <c r="D8" s="25" t="inlineStr">
        <is>
          <t>Bundesinventare Moore, Moorlandschaften, Auen, Amphibienlaichgebiete, Trockenwiesen/-weiden (TWW)</t>
        </is>
      </c>
      <c r="E8" s="23" t="inlineStr">
        <is>
          <t>NHG / Inventarverordnungen</t>
        </is>
      </c>
      <c r="F8" s="23" t="inlineStr">
        <is>
          <t>–</t>
        </is>
      </c>
      <c r="G8" s="23" t="inlineStr">
        <is>
          <t>BAFU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Biotope von nationaler Bedeutung, Pufferzonen</t>
        </is>
      </c>
      <c r="M8" s="43" t="inlineStr">
        <is>
          <t>https://map.geo.admin.ch/#/map?lang=de&amp;center=2660000,1190000&amp;z=1&amp;bgLayer=ch.swisstopo.pixelkarte-grau&amp;layers=ch.bafu.bundesinventare-hochmoore</t>
        </is>
      </c>
      <c r="N8" s="44" t="inlineStr">
        <is>
          <t>geprüft · korrigiert</t>
        </is>
      </c>
      <c r="O8" s="23" t="inlineStr">
        <is>
          <t>Ergänzung · mittel</t>
        </is>
      </c>
      <c r="P8" s="23" t="inlineStr">
        <is>
          <t>Betroffenheit je Gemeinde per Geodaten-Overlay prüfen | Linkprüfung 14.10.2026: Hyperlink führte nur auf https://map.geo.admin.ch/ statt auf den angezeigten Link. Alter Link: https://map.geo.admin.ch/#/map?lang=de&amp;center=2660000,1190000&amp;z=1&amp;bgLayer=ch.swisstopo.pixelkarte-grau&amp;layers=ch.bafu.bundesinventare-hochmoore</t>
        </is>
      </c>
    </row>
    <row r="9" outlineLevel="1" ht="32.85" customHeight="1">
      <c r="A9" s="23" t="inlineStr">
        <is>
          <t>Bund</t>
        </is>
      </c>
      <c r="B9" s="24" t="inlineStr">
        <is>
          <t>Q2</t>
        </is>
      </c>
      <c r="C9" s="23" t="inlineStr">
        <is>
          <t>Inventar / Layer</t>
        </is>
      </c>
      <c r="D9" s="25" t="inlineStr">
        <is>
          <t>Jagdbanngebiete, Wasser- und Zugvogelreservate, Smaragd-Gebiete</t>
        </is>
      </c>
      <c r="E9" s="23" t="inlineStr">
        <is>
          <t>JSG</t>
        </is>
      </c>
      <c r="F9" s="23" t="inlineStr">
        <is>
          <t>–</t>
        </is>
      </c>
      <c r="G9" s="23" t="inlineStr">
        <is>
          <t>BAFU</t>
        </is>
      </c>
      <c r="H9" s="23" t="inlineStr">
        <is>
          <t>öffentlich</t>
        </is>
      </c>
      <c r="I9" s="31" t="inlineStr">
        <is>
          <t>belegt – Betroffenheit offen</t>
        </is>
      </c>
      <c r="J9" s="31" t="inlineStr">
        <is>
          <t>belegt – Betroffenheit offen</t>
        </is>
      </c>
      <c r="K9" s="31" t="inlineStr">
        <is>
          <t>belegt – Betroffenheit offen</t>
        </is>
      </c>
      <c r="L9" s="23" t="inlineStr">
        <is>
          <t>Wildtier- und Vogelschutz</t>
        </is>
      </c>
      <c r="M9" s="43" t="inlineStr">
        <is>
          <t>https://map.geo.admin.ch/#/map?lang=de&amp;center=2660000,1190000&amp;z=1&amp;bgLayer=ch.swisstopo.pixelkarte-grau&amp;layers=ch.bafu.bundesinventare-jagdbanngebiete</t>
        </is>
      </c>
      <c r="N9" s="44" t="inlineStr">
        <is>
          <t>geprüft · korrigiert</t>
        </is>
      </c>
      <c r="O9" s="23" t="inlineStr">
        <is>
          <t>Ergänzung · mittel</t>
        </is>
      </c>
      <c r="P9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https://map.geo.admin.ch/#/map?lang=de&amp;center=2660000,1190000&amp;z=1&amp;bgLayer=ch.swisstopo.pixelkarte-grau&amp;layers=ch.bafu.bundesinventare-jagdbanngebiete</t>
        </is>
      </c>
    </row>
    <row r="10" outlineLevel="1" ht="32.85" customHeight="1">
      <c r="A10" s="23" t="inlineStr">
        <is>
          <t>Bund</t>
        </is>
      </c>
      <c r="B10" s="24" t="inlineStr">
        <is>
          <t>Q2</t>
        </is>
      </c>
      <c r="C10" s="23" t="inlineStr">
        <is>
          <t>Layer</t>
        </is>
      </c>
      <c r="D10" s="25" t="inlineStr">
        <is>
          <t>Wildtierkorridore / Landschaftsverbindungen (überregional)</t>
        </is>
      </c>
      <c r="E10" s="23" t="inlineStr">
        <is>
          <t>–</t>
        </is>
      </c>
      <c r="F10" s="23" t="inlineStr">
        <is>
          <t>–</t>
        </is>
      </c>
      <c r="G10" s="23" t="inlineStr">
        <is>
          <t>BAFU / ASTRA</t>
        </is>
      </c>
      <c r="H10" s="23" t="inlineStr">
        <is>
          <t>öffentlich</t>
        </is>
      </c>
      <c r="I10" s="31" t="inlineStr">
        <is>
          <t>belegt – Betroffenheit offen</t>
        </is>
      </c>
      <c r="J10" s="31" t="inlineStr">
        <is>
          <t>belegt – Betroffenheit offen</t>
        </is>
      </c>
      <c r="K10" s="31" t="inlineStr">
        <is>
          <t>belegt – Betroffenheit offen</t>
        </is>
      </c>
      <c r="L10" s="23" t="inlineStr">
        <is>
          <t>Vernetzung, Konfliktpotenzial bei Siedlungsentwicklung</t>
        </is>
      </c>
      <c r="M10" s="43" t="inlineStr">
        <is>
          <t>https://map.geo.admin.ch/#/map?lang=de&amp;center=2660000,1190000&amp;z=1&amp;bgLayer=ch.swisstopo.pixelkarte-grau&amp;layers=ch.bafu.fauna-wildtierkorridor_national</t>
        </is>
      </c>
      <c r="N10" s="44" t="inlineStr">
        <is>
          <t>geprüft · korrigiert</t>
        </is>
      </c>
      <c r="O10" s="23" t="inlineStr">
        <is>
          <t>Ergänzung · mittel</t>
        </is>
      </c>
      <c r="P10" s="23" t="inlineStr">
        <is>
          <t>Linkprüfung 14.10.2026: Layer-ID ch.bafu.fauna-wildtierkorridore_national existiert nicht, richtig: ch.bafu.fauna-wildtierkorridor_national; Hyperlink führte nur auf https://map.geo.admin.ch/ statt auf den angezeigten Link. Alter Link: https://map.geo.admin.ch/#/map?lang=de&amp;center=2660000,1190000&amp;z=1&amp;bgLayer=ch.swisstopo.pixelkarte-grau&amp;layers=ch.bafu.fauna-wildtierkorridore_national</t>
        </is>
      </c>
    </row>
    <row r="11" outlineLevel="1" ht="32.85" customHeight="1">
      <c r="A11" s="23" t="inlineStr">
        <is>
          <t>Bund</t>
        </is>
      </c>
      <c r="B11" s="24" t="inlineStr">
        <is>
          <t>Q2</t>
        </is>
      </c>
      <c r="C11" s="23" t="inlineStr">
        <is>
          <t>Layer</t>
        </is>
      </c>
      <c r="D11" s="25" t="inlineStr">
        <is>
          <t>Wald: Waldareal, Waldreservate, Schutzwald (Bundesgeodaten)</t>
        </is>
      </c>
      <c r="E11" s="23" t="inlineStr">
        <is>
          <t>WaG</t>
        </is>
      </c>
      <c r="F11" s="23" t="inlineStr">
        <is>
          <t>–</t>
        </is>
      </c>
      <c r="G11" s="23" t="inlineStr">
        <is>
          <t>BAFU</t>
        </is>
      </c>
      <c r="H11" s="23" t="inlineStr">
        <is>
          <t>öffentlich</t>
        </is>
      </c>
      <c r="I11" s="31" t="inlineStr">
        <is>
          <t>belegt – Betroffenheit offen</t>
        </is>
      </c>
      <c r="J11" s="31" t="inlineStr">
        <is>
          <t>belegt – Betroffenheit offen</t>
        </is>
      </c>
      <c r="K11" s="31" t="inlineStr">
        <is>
          <t>belegt – Betroffenheit offen</t>
        </is>
      </c>
      <c r="L11" s="23" t="inlineStr">
        <is>
          <t>Waldabstand, Rodungsrestriktion</t>
        </is>
      </c>
      <c r="M11" s="43" t="inlineStr">
        <is>
          <t>https://map.geo.admin.ch/#/map?lang=de&amp;center=2660000,1190000&amp;z=1&amp;bgLayer=ch.swisstopo.pixelkarte-grau&amp;layers=ch.bafu.waldreservate</t>
        </is>
      </c>
      <c r="N11" s="44" t="inlineStr">
        <is>
          <t>geprüft · korrigiert</t>
        </is>
      </c>
      <c r="O11" s="23" t="inlineStr">
        <is>
          <t>Ergänzung · mittel</t>
        </is>
      </c>
      <c r="P11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https://map.geo.admin.ch/#/map?lang=de&amp;center=2660000,1190000&amp;z=1&amp;bgLayer=ch.swisstopo.pixelkarte-grau&amp;layers=ch.bafu.waldreservate</t>
        </is>
      </c>
    </row>
    <row r="12" outlineLevel="1" ht="22.35" customHeight="1">
      <c r="A12" s="23" t="inlineStr">
        <is>
          <t>Bund</t>
        </is>
      </c>
      <c r="B12" s="24" t="inlineStr">
        <is>
          <t>Q2</t>
        </is>
      </c>
      <c r="C12" s="23" t="inlineStr">
        <is>
          <t>Dokument</t>
        </is>
      </c>
      <c r="D12" s="25" t="inlineStr">
        <is>
          <t>Sachplan Fruchtfolgeflächen (SP FFF, 2020) und kantonale Mindestkontingente</t>
        </is>
      </c>
      <c r="E12" s="23" t="inlineStr">
        <is>
          <t>RPV Art. 26–30</t>
        </is>
      </c>
      <c r="F12" s="23" t="inlineStr">
        <is>
          <t>2020</t>
        </is>
      </c>
      <c r="G12" s="23" t="inlineStr">
        <is>
          <t>ARE</t>
        </is>
      </c>
      <c r="H12" s="23" t="inlineStr">
        <is>
          <t>öffentlich</t>
        </is>
      </c>
      <c r="I12" s="26" t="inlineStr">
        <is>
          <t>belegt</t>
        </is>
      </c>
      <c r="J12" s="26" t="inlineStr">
        <is>
          <t>belegt</t>
        </is>
      </c>
      <c r="K12" s="26" t="inlineStr">
        <is>
          <t>belegt</t>
        </is>
      </c>
      <c r="L12" s="23" t="inlineStr">
        <is>
          <t>Kontingent je Kanton; Beanspruchung nur mit Kompensation</t>
        </is>
      </c>
      <c r="M12" s="27" t="inlineStr">
        <is>
          <t>https://www.are.admin.ch</t>
        </is>
      </c>
      <c r="N12" s="28" t="inlineStr">
        <is>
          <t>Einstiegsseite · geprüft · nur Einstiegsseite</t>
        </is>
      </c>
      <c r="O12" s="23" t="inlineStr">
        <is>
          <t>Ergänzung · mittel</t>
        </is>
      </c>
      <c r="P12" s="23" t="n"/>
    </row>
    <row r="13" outlineLevel="1" ht="22.35" customHeight="1">
      <c r="A13" s="23" t="inlineStr">
        <is>
          <t>Bund</t>
        </is>
      </c>
      <c r="B13" s="24" t="inlineStr">
        <is>
          <t>Q2</t>
        </is>
      </c>
      <c r="C13" s="23" t="inlineStr">
        <is>
          <t>Dokument</t>
        </is>
      </c>
      <c r="D13" s="25" t="inlineStr">
        <is>
          <t>Landschaftskonzept Schweiz / Strategie Biodiversität Schweiz / Aktionsplan</t>
        </is>
      </c>
      <c r="E13" s="23" t="inlineStr">
        <is>
          <t>–</t>
        </is>
      </c>
      <c r="F13" s="23" t="inlineStr">
        <is>
          <t>–</t>
        </is>
      </c>
      <c r="G13" s="23" t="inlineStr">
        <is>
          <t>BAFU</t>
        </is>
      </c>
      <c r="H13" s="23" t="inlineStr">
        <is>
          <t>öffentlich</t>
        </is>
      </c>
      <c r="I13" s="26" t="inlineStr">
        <is>
          <t>belegt</t>
        </is>
      </c>
      <c r="J13" s="26" t="inlineStr">
        <is>
          <t>belegt</t>
        </is>
      </c>
      <c r="K13" s="26" t="inlineStr">
        <is>
          <t>belegt</t>
        </is>
      </c>
      <c r="L13" s="23" t="inlineStr">
        <is>
          <t>Strategische Leitplanken für Landschaft und Biodiversität</t>
        </is>
      </c>
      <c r="M13" s="27" t="inlineStr">
        <is>
          <t>https://www.bafu.admin.ch</t>
        </is>
      </c>
      <c r="N13" s="28" t="inlineStr">
        <is>
          <t>Einstiegsseite · geprüft · nur Einstiegsseite</t>
        </is>
      </c>
      <c r="O13" s="23" t="inlineStr">
        <is>
          <t>Ergänzung · mittel</t>
        </is>
      </c>
      <c r="P13" s="23" t="n"/>
    </row>
    <row r="14" outlineLevel="1" ht="32.85" customHeight="1">
      <c r="A14" s="23" t="inlineStr">
        <is>
          <t>Bund</t>
        </is>
      </c>
      <c r="B14" s="24" t="inlineStr">
        <is>
          <t>Q2</t>
        </is>
      </c>
      <c r="C14" s="23" t="inlineStr">
        <is>
          <t>Layer</t>
        </is>
      </c>
      <c r="D14" s="25" t="inlineStr">
        <is>
          <t>Gewässernetz, Gewässerschutzkarten, Grundwasserschutzzonen (Bundesdienste)</t>
        </is>
      </c>
      <c r="E14" s="23" t="inlineStr">
        <is>
          <t>GSchG</t>
        </is>
      </c>
      <c r="F14" s="23" t="inlineStr">
        <is>
          <t>–</t>
        </is>
      </c>
      <c r="G14" s="23" t="inlineStr">
        <is>
          <t>BAFU / swisstopo</t>
        </is>
      </c>
      <c r="H14" s="23" t="inlineStr">
        <is>
          <t>öffentlich</t>
        </is>
      </c>
      <c r="I14" s="31" t="inlineStr">
        <is>
          <t>belegt – Betroffenheit offen</t>
        </is>
      </c>
      <c r="J14" s="31" t="inlineStr">
        <is>
          <t>belegt – Betroffenheit offen</t>
        </is>
      </c>
      <c r="K14" s="31" t="inlineStr">
        <is>
          <t>belegt – Betroffenheit offen</t>
        </is>
      </c>
      <c r="L14" s="23" t="inlineStr">
        <is>
          <t>Gewässerraum, Grundwasserschutz</t>
        </is>
      </c>
      <c r="M14" s="43" t="inlineStr">
        <is>
          <t>https://map.geo.admin.ch</t>
        </is>
      </c>
      <c r="N14" s="44" t="inlineStr">
        <is>
          <t>geprüft · korrigiert</t>
        </is>
      </c>
      <c r="O14" s="23" t="inlineStr">
        <is>
          <t>Ergänzung · mittel</t>
        </is>
      </c>
      <c r="P14" s="23" t="inlineStr">
        <is>
          <t>Linkprüfung 14.10.2026: Hyperlink führte nur auf https://map.geo.admin.ch/ statt auf den angezeigten Link. Alter Link: https://map.geo.admin.ch</t>
        </is>
      </c>
    </row>
    <row r="15" outlineLevel="1" ht="32.85" customHeight="1">
      <c r="A15" s="23" t="inlineStr">
        <is>
          <t>Bund</t>
        </is>
      </c>
      <c r="B15" s="24" t="inlineStr">
        <is>
          <t>Q2</t>
        </is>
      </c>
      <c r="C15" s="23" t="inlineStr">
        <is>
          <t>Layer</t>
        </is>
      </c>
      <c r="D15" s="25" t="inlineStr">
        <is>
          <t>Arealstatistik / Bodenbedeckung / Landschaftstypologie</t>
        </is>
      </c>
      <c r="E15" s="23" t="inlineStr">
        <is>
          <t>–</t>
        </is>
      </c>
      <c r="F15" s="23" t="inlineStr">
        <is>
          <t>–</t>
        </is>
      </c>
      <c r="G15" s="23" t="inlineStr">
        <is>
          <t>BFS / ARE</t>
        </is>
      </c>
      <c r="H15" s="23" t="inlineStr">
        <is>
          <t>öffentlich</t>
        </is>
      </c>
      <c r="I15" s="31" t="inlineStr">
        <is>
          <t>belegt – Betroffenheit offen</t>
        </is>
      </c>
      <c r="J15" s="31" t="inlineStr">
        <is>
          <t>belegt – Betroffenheit offen</t>
        </is>
      </c>
      <c r="K15" s="31" t="inlineStr">
        <is>
          <t>belegt – Betroffenheit offen</t>
        </is>
      </c>
      <c r="L15" s="23" t="inlineStr">
        <is>
          <t>Flächenbilanz, Siedlungsflächenverbrauch</t>
        </is>
      </c>
      <c r="M15" s="27" t="inlineStr">
        <is>
          <t>https://www.are.admin.ch</t>
        </is>
      </c>
      <c r="N15" s="28" t="inlineStr">
        <is>
          <t>Einstiegsseite · geprüft · nur Einstiegsseite</t>
        </is>
      </c>
      <c r="O15" s="23" t="inlineStr">
        <is>
          <t>Ergänzung · mittel</t>
        </is>
      </c>
      <c r="P15" s="23" t="n"/>
    </row>
    <row r="16" ht="19.5" customHeight="1">
      <c r="A16" s="21" t="inlineStr">
        <is>
          <t>KANTON BASEL-LANDSCHAFT  →  Münchenstein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 outlineLevel="1" ht="22.35" customHeight="1">
      <c r="A17" s="23" t="inlineStr">
        <is>
          <t>Kanton BL</t>
        </is>
      </c>
      <c r="B17" s="24" t="inlineStr">
        <is>
          <t>Q2</t>
        </is>
      </c>
      <c r="C17" s="23" t="inlineStr">
        <is>
          <t>Inventar / Layer</t>
        </is>
      </c>
      <c r="D17" s="25" t="inlineStr">
        <is>
          <t>Kantonale Schutzinventare / Fruchtfolgeflächen BL</t>
        </is>
      </c>
      <c r="E17" s="23" t="inlineStr">
        <is>
          <t>–</t>
        </is>
      </c>
      <c r="F17" s="23" t="inlineStr">
        <is>
          <t>Katalog: kein Stand</t>
        </is>
      </c>
      <c r="G17" s="23" t="inlineStr">
        <is>
          <t>Kanton BL (Raumplanung / ARP)</t>
        </is>
      </c>
      <c r="H17" s="23" t="inlineStr">
        <is>
          <t>öffentlich</t>
        </is>
      </c>
      <c r="I17" s="26" t="inlineStr">
        <is>
          <t>belegt</t>
        </is>
      </c>
      <c r="J17" s="29" t="inlineStr">
        <is>
          <t>n. a.</t>
        </is>
      </c>
      <c r="K17" s="29" t="inlineStr">
        <is>
          <t>n. a.</t>
        </is>
      </c>
      <c r="L17" s="23" t="inlineStr">
        <is>
          <t>Schutzobjekte, Kulturlandrestriktionen standortspezifisch erheben (GIS-Overlay, Flächenbilanz)</t>
        </is>
      </c>
      <c r="M17" s="27" t="inlineStr">
        <is>
          <t>https://arp-daten.bl.ch/</t>
        </is>
      </c>
      <c r="N17" s="24" t="inlineStr">
        <is>
          <t>Kataster · geprüft · nur Einstiegsseite</t>
        </is>
      </c>
      <c r="O17" s="23" t="inlineStr">
        <is>
          <t>Katalog · hoch</t>
        </is>
      </c>
      <c r="P17" s="23" t="inlineStr">
        <is>
          <t>Stand ergänzen; FFF und Schutzinventare separat ausweisen</t>
        </is>
      </c>
    </row>
    <row r="18" outlineLevel="1" ht="32.85" customHeight="1">
      <c r="A18" s="23" t="inlineStr">
        <is>
          <t>Kanton BL</t>
        </is>
      </c>
      <c r="B18" s="24" t="inlineStr">
        <is>
          <t>Q2</t>
        </is>
      </c>
      <c r="C18" s="23" t="inlineStr">
        <is>
          <t>Konzept / Layer</t>
        </is>
      </c>
      <c r="D18" s="25" t="inlineStr">
        <is>
          <t>Inventar der geschützten Naturobjekte und Natur- und Landschaftsschutzkonzept BL</t>
        </is>
      </c>
      <c r="E18" s="23" t="inlineStr">
        <is>
          <t>–</t>
        </is>
      </c>
      <c r="F18" s="23" t="inlineStr">
        <is>
          <t>–</t>
        </is>
      </c>
      <c r="G18" s="23" t="inlineStr">
        <is>
          <t>Kanton BL</t>
        </is>
      </c>
      <c r="H18" s="23" t="inlineStr">
        <is>
          <t>öffentlich</t>
        </is>
      </c>
      <c r="I18" s="30" t="inlineStr">
        <is>
          <t>nicht belegt (Recherche offen)</t>
        </is>
      </c>
      <c r="J18" s="29" t="inlineStr">
        <is>
          <t>n. a.</t>
        </is>
      </c>
      <c r="K18" s="29" t="inlineStr">
        <is>
          <t>n. a.</t>
        </is>
      </c>
      <c r="L18" s="23" t="inlineStr">
        <is>
          <t>Biotopvernetzung, Landschaftsqualität</t>
        </is>
      </c>
      <c r="M18" s="27" t="inlineStr">
        <is>
          <t>https://geoview.bl.ch</t>
        </is>
      </c>
      <c r="N18" s="24" t="inlineStr">
        <is>
          <t>Kataster · geprüft · nur Einstiegsseite</t>
        </is>
      </c>
      <c r="O18" s="23" t="inlineStr">
        <is>
          <t>Ergänzung · tief</t>
        </is>
      </c>
      <c r="P18" s="23" t="inlineStr">
        <is>
          <t>Rechtsgrundlage: § 8 und § 12 NLG (SGS 790); Naturschutzgebiets-Verordnungen verweisen auf Geoportal BL</t>
        </is>
      </c>
    </row>
    <row r="19" ht="19.5" customHeight="1">
      <c r="A19" s="21" t="inlineStr">
        <is>
          <t>KANTON ST. GALLEN  →  Wil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outlineLevel="1" ht="32.85" customHeight="1">
      <c r="A20" s="23" t="inlineStr">
        <is>
          <t>Kanton SG</t>
        </is>
      </c>
      <c r="B20" s="24" t="inlineStr">
        <is>
          <t>Q2</t>
        </is>
      </c>
      <c r="C20" s="23" t="inlineStr">
        <is>
          <t>Inventar / Layer</t>
        </is>
      </c>
      <c r="D20" s="25" t="inlineStr">
        <is>
          <t>Kantonale Natur-/Landschaftsschutzgebiete, Biotope, Vernetzung SG</t>
        </is>
      </c>
      <c r="E20" s="23" t="inlineStr">
        <is>
          <t>–</t>
        </is>
      </c>
      <c r="F20" s="23" t="inlineStr">
        <is>
          <t>–</t>
        </is>
      </c>
      <c r="G20" s="23" t="inlineStr">
        <is>
          <t>Kanton SG</t>
        </is>
      </c>
      <c r="H20" s="23" t="inlineStr">
        <is>
          <t>öffentlich</t>
        </is>
      </c>
      <c r="I20" s="29" t="inlineStr">
        <is>
          <t>n. a.</t>
        </is>
      </c>
      <c r="J20" s="30" t="inlineStr">
        <is>
          <t>nicht belegt (Recherche offen)</t>
        </is>
      </c>
      <c r="K20" s="29" t="inlineStr">
        <is>
          <t>n. a.</t>
        </is>
      </c>
      <c r="L20" s="23" t="inlineStr">
        <is>
          <t>Im Katalog keine Kantonsebene für Q2</t>
        </is>
      </c>
      <c r="M20" s="27" t="inlineStr">
        <is>
          <t>https://www.geoportal.ch/ktsg</t>
        </is>
      </c>
      <c r="N20" s="46" t="inlineStr">
        <is>
          <t>Kataster · geprüft · manuell prüfen</t>
        </is>
      </c>
      <c r="O20" s="23" t="inlineStr">
        <is>
          <t>Ergänzung · tief</t>
        </is>
      </c>
      <c r="P20" s="23" t="inlineStr">
        <is>
          <t>Rechtsgrundlage vorhanden (Naturschutzverordnung sGS 671.1, Schutzverordnungen der Gemeinden nach Art. 98 ff. PBG); konkrete kantonale Inventar-/Layerliste noch nicht gesichtet | Linkprüfung 14.10.2026: erreichbar, Bezeichnung im Dokument nicht gefunden («Geoportal»)</t>
        </is>
      </c>
    </row>
    <row r="21" outlineLevel="1" ht="32.85" customHeight="1">
      <c r="A21" s="23" t="inlineStr">
        <is>
          <t>Kanton SG</t>
        </is>
      </c>
      <c r="B21" s="24" t="inlineStr">
        <is>
          <t>Q2</t>
        </is>
      </c>
      <c r="C21" s="23" t="inlineStr">
        <is>
          <t>Layer</t>
        </is>
      </c>
      <c r="D21" s="25" t="inlineStr">
        <is>
          <t>Fruchtfolgeflächen (FFF) SG</t>
        </is>
      </c>
      <c r="E21" s="23" t="inlineStr">
        <is>
          <t>–</t>
        </is>
      </c>
      <c r="F21" s="23" t="inlineStr">
        <is>
          <t>–</t>
        </is>
      </c>
      <c r="G21" s="23" t="inlineStr">
        <is>
          <t>Kanton SG</t>
        </is>
      </c>
      <c r="H21" s="23" t="inlineStr">
        <is>
          <t>öffentlich</t>
        </is>
      </c>
      <c r="I21" s="29" t="inlineStr">
        <is>
          <t>n. a.</t>
        </is>
      </c>
      <c r="J21" s="30" t="inlineStr">
        <is>
          <t>nicht belegt (Recherche offen)</t>
        </is>
      </c>
      <c r="K21" s="29" t="inlineStr">
        <is>
          <t>n. a.</t>
        </is>
      </c>
      <c r="L21" s="23" t="inlineStr">
        <is>
          <t>FFF-Inventar/Kontingent für Wil prüfen</t>
        </is>
      </c>
      <c r="M21" s="27" t="inlineStr">
        <is>
          <t>https://www.geoportal.ch/ktsg</t>
        </is>
      </c>
      <c r="N21" s="46" t="inlineStr">
        <is>
          <t>Kataster · geprüft · manuell prüfen</t>
        </is>
      </c>
      <c r="O21" s="23" t="inlineStr">
        <is>
          <t>Ergänzung · tief</t>
        </is>
      </c>
      <c r="P21" s="23" t="inlineStr">
        <is>
          <t>Rechtsgrundlage vorhanden (Naturschutzverordnung sGS 671.1, Schutzverordnungen der Gemeinden nach Art. 98 ff. PBG); konkrete kantonale Inventar-/Layerliste noch nicht gesichtet | Linkprüfung 14.10.2026: erreichbar, Bezeichnung im Dokument nicht gefunden («Geoportal»)</t>
        </is>
      </c>
    </row>
    <row r="22" ht="19.5" customHeight="1">
      <c r="A22" s="21" t="inlineStr">
        <is>
          <t>KANTON URI  →  Seelisberg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outlineLevel="1" ht="22.35" customHeight="1">
      <c r="A23" s="23" t="inlineStr">
        <is>
          <t>Kanton UR</t>
        </is>
      </c>
      <c r="B23" s="24" t="inlineStr">
        <is>
          <t>Q2</t>
        </is>
      </c>
      <c r="C23" s="23" t="inlineStr">
        <is>
          <t>Inventar / Layer</t>
        </is>
      </c>
      <c r="D23" s="25" t="inlineStr">
        <is>
          <t>Schutzinventare Uri (Schutzobjekte, Kulturlandrestriktionen)</t>
        </is>
      </c>
      <c r="E23" s="23" t="inlineStr">
        <is>
          <t>–</t>
        </is>
      </c>
      <c r="F23" s="23" t="inlineStr">
        <is>
          <t>20.03.2026</t>
        </is>
      </c>
      <c r="G23" s="23" t="inlineStr">
        <is>
          <t>Kanton UR</t>
        </is>
      </c>
      <c r="H23" s="23" t="inlineStr">
        <is>
          <t>öffentlich</t>
        </is>
      </c>
      <c r="I23" s="29" t="inlineStr">
        <is>
          <t>n. a.</t>
        </is>
      </c>
      <c r="J23" s="29" t="inlineStr">
        <is>
          <t>n. a.</t>
        </is>
      </c>
      <c r="K23" s="26" t="inlineStr">
        <is>
          <t>belegt</t>
        </is>
      </c>
      <c r="L23" s="23" t="inlineStr">
        <is>
          <t>Standortspezifisch erheben (GIS-Overlay, Flächenbilanz)</t>
        </is>
      </c>
      <c r="M23" s="27" t="inlineStr">
        <is>
          <t>https://geo.ur.ch</t>
        </is>
      </c>
      <c r="N23" s="24" t="inlineStr">
        <is>
          <t>Kataster · geprüft · nur Einstiegsseite</t>
        </is>
      </c>
      <c r="O23" s="23" t="inlineStr">
        <is>
          <t>Katalog · hoch</t>
        </is>
      </c>
      <c r="P23" s="23" t="n"/>
    </row>
    <row r="24" outlineLevel="1" ht="32.85" customHeight="1">
      <c r="A24" s="23" t="inlineStr">
        <is>
          <t>Kanton UR</t>
        </is>
      </c>
      <c r="B24" s="24" t="inlineStr">
        <is>
          <t>Q2</t>
        </is>
      </c>
      <c r="C24" s="23" t="inlineStr">
        <is>
          <t>Layer</t>
        </is>
      </c>
      <c r="D24" s="25" t="inlineStr">
        <is>
          <t>Fruchtfolgeflächen, Natur-/Landschaftsinventare Uri</t>
        </is>
      </c>
      <c r="E24" s="23" t="inlineStr">
        <is>
          <t>–</t>
        </is>
      </c>
      <c r="F24" s="23" t="inlineStr">
        <is>
          <t>–</t>
        </is>
      </c>
      <c r="G24" s="23" t="inlineStr">
        <is>
          <t>Kanton UR</t>
        </is>
      </c>
      <c r="H24" s="23" t="inlineStr">
        <is>
          <t>öffentlich</t>
        </is>
      </c>
      <c r="I24" s="29" t="inlineStr">
        <is>
          <t>n. a.</t>
        </is>
      </c>
      <c r="J24" s="29" t="inlineStr">
        <is>
          <t>n. a.</t>
        </is>
      </c>
      <c r="K24" s="30" t="inlineStr">
        <is>
          <t>nicht belegt (Recherche offen)</t>
        </is>
      </c>
      <c r="L24" s="23" t="inlineStr">
        <is>
          <t>Landwirtschaft/FFF; Vernetzung</t>
        </is>
      </c>
      <c r="M24" s="27" t="inlineStr">
        <is>
          <t>https://geo.ur.ch</t>
        </is>
      </c>
      <c r="N24" s="28" t="inlineStr">
        <is>
          <t>Muster · geprüft · nur Einstiegsseite</t>
        </is>
      </c>
      <c r="O24" s="23" t="inlineStr">
        <is>
          <t>Ergänzung · tief</t>
        </is>
      </c>
      <c r="P24" s="23" t="n"/>
    </row>
    <row r="25" ht="19.5" customHeight="1">
      <c r="A25" s="21" t="inlineStr">
        <is>
          <t>GEMEINDE MÜNCHENSTEIN (BL)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outlineLevel="1" ht="22.35" customHeight="1">
      <c r="A26" s="23" t="inlineStr">
        <is>
          <t>Gde Münchenstein</t>
        </is>
      </c>
      <c r="B26" s="24" t="inlineStr">
        <is>
          <t>Q2</t>
        </is>
      </c>
      <c r="C26" s="23" t="inlineStr">
        <is>
          <t>Plan / Reglement</t>
        </is>
      </c>
      <c r="D26" s="25" t="inlineStr">
        <is>
          <t>Zonenvorschriften Siedlung</t>
        </is>
      </c>
      <c r="E26" s="23" t="inlineStr">
        <is>
          <t>–</t>
        </is>
      </c>
      <c r="F26" s="23" t="inlineStr">
        <is>
          <t>25.02.2025</t>
        </is>
      </c>
      <c r="G26" s="23" t="inlineStr">
        <is>
          <t>Gde Münchenstein</t>
        </is>
      </c>
      <c r="H26" s="23" t="inlineStr">
        <is>
          <t>öffentlich</t>
        </is>
      </c>
      <c r="I26" s="26" t="inlineStr">
        <is>
          <t>belegt</t>
        </is>
      </c>
      <c r="J26" s="29" t="inlineStr">
        <is>
          <t>n. a.</t>
        </is>
      </c>
      <c r="K26" s="29" t="inlineStr">
        <is>
          <t>n. a.</t>
        </is>
      </c>
      <c r="L26" s="23" t="inlineStr">
        <is>
          <t>Schutzflächen, Gewässerräume, Grünstrukturen prüfen (Schutzplan und GIS)</t>
        </is>
      </c>
      <c r="M26" s="27" t="inlineStr">
        <is>
          <t>https://oereblex.bl.ch/api/attachments/22718</t>
        </is>
      </c>
      <c r="N26" s="42" t="inlineStr">
        <is>
          <t>manuell geprüft · OK</t>
        </is>
      </c>
      <c r="O26" s="23" t="inlineStr">
        <is>
          <t>Katalog · hoch</t>
        </is>
      </c>
      <c r="P26" s="23" t="inlineStr">
        <is>
          <t>Manuell geprüft 14.10.2026: Link (oereblex 22718) = Zonenvorschriften Siedlung, OK. Mehrfach gelistet, weil das Dokument mehrere Q-Dimensionen abdeckt (bisherige Bezeichnung: «Natur- und Landschaftsschutzfestlegungen (Zonenvorschriften)»)</t>
        </is>
      </c>
    </row>
    <row r="27" outlineLevel="1" ht="22.35" customHeight="1">
      <c r="A27" s="23" t="inlineStr">
        <is>
          <t>Gde Münchenstein</t>
        </is>
      </c>
      <c r="B27" s="24" t="inlineStr">
        <is>
          <t>Q2</t>
        </is>
      </c>
      <c r="C27" s="23" t="inlineStr">
        <is>
          <t>Layer</t>
        </is>
      </c>
      <c r="D27" s="25" t="inlineStr">
        <is>
          <t>Geoportal Münchenstein (Nutzungsplanung, Grünstrukturen)</t>
        </is>
      </c>
      <c r="E27" s="23" t="inlineStr">
        <is>
          <t>–</t>
        </is>
      </c>
      <c r="F27" s="23" t="inlineStr">
        <is>
          <t>–</t>
        </is>
      </c>
      <c r="G27" s="23" t="inlineStr">
        <is>
          <t>Gde Münchenstein</t>
        </is>
      </c>
      <c r="H27" s="23" t="inlineStr">
        <is>
          <t>öffentlich</t>
        </is>
      </c>
      <c r="I27" s="30" t="inlineStr">
        <is>
          <t>nicht belegt (Recherche offen)</t>
        </is>
      </c>
      <c r="J27" s="29" t="inlineStr">
        <is>
          <t>n. a.</t>
        </is>
      </c>
      <c r="K27" s="29" t="inlineStr">
        <is>
          <t>n. a.</t>
        </is>
      </c>
      <c r="L27" s="23" t="inlineStr">
        <is>
          <t>Kommunale Layer</t>
        </is>
      </c>
      <c r="M27" s="27" t="inlineStr">
        <is>
          <t>https://www.geoportal.ch/muenchenstein</t>
        </is>
      </c>
      <c r="N27" s="42" t="inlineStr">
        <is>
          <t>Muster · geprüft · OK</t>
        </is>
      </c>
      <c r="O27" s="23" t="inlineStr">
        <is>
          <t>Ergänzung · tief</t>
        </is>
      </c>
      <c r="P27" s="23" t="n"/>
    </row>
    <row r="28" ht="19.5" customHeight="1">
      <c r="A28" s="21" t="inlineStr">
        <is>
          <t>GEMEINDE WIL (SG)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 outlineLevel="1" ht="22.35" customHeight="1">
      <c r="A29" s="23" t="inlineStr">
        <is>
          <t>Gde Wil</t>
        </is>
      </c>
      <c r="B29" s="24" t="inlineStr">
        <is>
          <t>Q2</t>
        </is>
      </c>
      <c r="C29" s="23" t="inlineStr">
        <is>
          <t>Reglement / Plan</t>
        </is>
      </c>
      <c r="D29" s="25" t="inlineStr">
        <is>
          <t>Reglement zur Schutzverordnung und Schutzplan</t>
        </is>
      </c>
      <c r="E29" s="23" t="inlineStr">
        <is>
          <t>–</t>
        </is>
      </c>
      <c r="F29" s="23" t="inlineStr">
        <is>
          <t>31.08.2022</t>
        </is>
      </c>
      <c r="G29" s="23" t="inlineStr">
        <is>
          <t>Gde Wil</t>
        </is>
      </c>
      <c r="H29" s="23" t="inlineStr">
        <is>
          <t>öffentlich</t>
        </is>
      </c>
      <c r="I29" s="29" t="inlineStr">
        <is>
          <t>n. a.</t>
        </is>
      </c>
      <c r="J29" s="26" t="inlineStr">
        <is>
          <t>belegt</t>
        </is>
      </c>
      <c r="K29" s="29" t="inlineStr">
        <is>
          <t>n. a.</t>
        </is>
      </c>
      <c r="L29" s="23" t="inlineStr">
        <is>
          <t>Schutzflächen, Gewässerräume, Grünstrukturen prüfen</t>
        </is>
      </c>
      <c r="M29" s="27" t="inlineStr">
        <is>
          <t>https://cms.e-mitwirkung.ch/media/wil/Reglement_221013.pdf</t>
        </is>
      </c>
      <c r="N29" s="46" t="inlineStr">
        <is>
          <t>Kataster · geprüft · Hinweis</t>
        </is>
      </c>
      <c r="O29" s="23" t="inlineStr">
        <is>
          <t>Katalog · hoch</t>
        </is>
      </c>
      <c r="P29" s="23" t="inlineStr">
        <is>
          <t>Schutzplan als Geodaten verifizieren | Linkprüfung 14.10.2026: Inhalt passt (Treffer: Schutzverordnung) | PDF ist der Entwurf zur öffentlichen Auflage (13.10.2022), nicht die erlassene Fassung; in der Rechtssammlung Wil (tlex) nicht vorhanden</t>
        </is>
      </c>
    </row>
    <row r="30" outlineLevel="1" ht="22.35" customHeight="1">
      <c r="A30" s="23" t="inlineStr">
        <is>
          <t>Gde Wil</t>
        </is>
      </c>
      <c r="B30" s="24" t="inlineStr">
        <is>
          <t>Q2</t>
        </is>
      </c>
      <c r="C30" s="23" t="inlineStr">
        <is>
          <t>Layer</t>
        </is>
      </c>
      <c r="D30" s="25" t="inlineStr">
        <is>
          <t>Geoportal Wil (Nutzungsplanung, Schutzzonen)</t>
        </is>
      </c>
      <c r="E30" s="23" t="inlineStr">
        <is>
          <t>–</t>
        </is>
      </c>
      <c r="F30" s="23" t="inlineStr">
        <is>
          <t>–</t>
        </is>
      </c>
      <c r="G30" s="23" t="inlineStr">
        <is>
          <t>Gde Wil</t>
        </is>
      </c>
      <c r="H30" s="23" t="inlineStr">
        <is>
          <t>öffentlich</t>
        </is>
      </c>
      <c r="I30" s="29" t="inlineStr">
        <is>
          <t>n. a.</t>
        </is>
      </c>
      <c r="J30" s="30" t="inlineStr">
        <is>
          <t>nicht belegt (Recherche offen)</t>
        </is>
      </c>
      <c r="K30" s="29" t="inlineStr">
        <is>
          <t>n. a.</t>
        </is>
      </c>
      <c r="L30" s="23" t="inlineStr">
        <is>
          <t>Kommunale Layer</t>
        </is>
      </c>
      <c r="M30" s="27" t="inlineStr">
        <is>
          <t>https://www.geoportal.ch/wil_sg</t>
        </is>
      </c>
      <c r="N30" s="42" t="inlineStr">
        <is>
          <t>Muster · geprüft · OK</t>
        </is>
      </c>
      <c r="O30" s="23" t="inlineStr">
        <is>
          <t>Ergänzung · tief</t>
        </is>
      </c>
      <c r="P30" s="23" t="n"/>
    </row>
    <row r="31" ht="19.5" customHeight="1">
      <c r="A31" s="21" t="inlineStr">
        <is>
          <t>GEMEINDE SEELISBERG (UR)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 outlineLevel="1" ht="22.35" customHeight="1">
      <c r="A32" s="23" t="inlineStr">
        <is>
          <t>Gde Seelisberg</t>
        </is>
      </c>
      <c r="B32" s="24" t="inlineStr">
        <is>
          <t>Q2</t>
        </is>
      </c>
      <c r="C32" s="23" t="inlineStr">
        <is>
          <t>Inventar</t>
        </is>
      </c>
      <c r="D32" s="25" t="inlineStr">
        <is>
          <t>Kommunales Schutzinventar Seelisberg (Inventarliste)</t>
        </is>
      </c>
      <c r="E32" s="23" t="inlineStr">
        <is>
          <t>–</t>
        </is>
      </c>
      <c r="F32" s="23" t="inlineStr">
        <is>
          <t>20.12.2022</t>
        </is>
      </c>
      <c r="G32" s="23" t="inlineStr">
        <is>
          <t>Gde Seelisberg</t>
        </is>
      </c>
      <c r="H32" s="23" t="inlineStr">
        <is>
          <t>öffentlich</t>
        </is>
      </c>
      <c r="I32" s="29" t="inlineStr">
        <is>
          <t>n. a.</t>
        </is>
      </c>
      <c r="J32" s="29" t="inlineStr">
        <is>
          <t>n. a.</t>
        </is>
      </c>
      <c r="K32" s="26" t="inlineStr">
        <is>
          <t>belegt</t>
        </is>
      </c>
      <c r="L32" s="23" t="inlineStr">
        <is>
          <t>Schutzflächen, Gewässerräume, Grünstrukturen prüfen (Schutzplan und GIS)</t>
        </is>
      </c>
      <c r="M32" s="27" t="inlineStr">
        <is>
          <t>https://www.ur.ch/_docn/385540/Inventarliste_Seelisberg_Website.pdf</t>
        </is>
      </c>
      <c r="N32" s="42" t="inlineStr">
        <is>
          <t>Kataster · geprüft · OK</t>
        </is>
      </c>
      <c r="O32" s="23" t="inlineStr">
        <is>
          <t>Katalog · hoch</t>
        </is>
      </c>
      <c r="P32" s="23" t="n"/>
    </row>
    <row r="33" outlineLevel="1" ht="22.35" customHeight="1">
      <c r="A33" s="23" t="inlineStr">
        <is>
          <t>Gde Seelisberg</t>
        </is>
      </c>
      <c r="B33" s="24" t="inlineStr">
        <is>
          <t>Q2</t>
        </is>
      </c>
      <c r="C33" s="23" t="inlineStr">
        <is>
          <t>Reglement</t>
        </is>
      </c>
      <c r="D33" s="25" t="inlineStr">
        <is>
          <t>BZO Art. 20–23 Schutzbestimmungen</t>
        </is>
      </c>
      <c r="E33" s="23" t="inlineStr">
        <is>
          <t>–</t>
        </is>
      </c>
      <c r="F33" s="23" t="inlineStr">
        <is>
          <t>01.01.2015</t>
        </is>
      </c>
      <c r="G33" s="23" t="inlineStr">
        <is>
          <t>Gde Seelisberg</t>
        </is>
      </c>
      <c r="H33" s="23" t="inlineStr">
        <is>
          <t>öffentlich</t>
        </is>
      </c>
      <c r="I33" s="29" t="inlineStr">
        <is>
          <t>n. a.</t>
        </is>
      </c>
      <c r="J33" s="29" t="inlineStr">
        <is>
          <t>n. a.</t>
        </is>
      </c>
      <c r="K33" s="26" t="inlineStr">
        <is>
          <t>belegt</t>
        </is>
      </c>
      <c r="L33" s="23" t="inlineStr">
        <is>
          <t>Schutzbestimmungen Landschaft/Natur</t>
        </is>
      </c>
      <c r="M33" s="27" t="inlineStr">
        <is>
          <t>https://www.seelisberg.ch/files/pdf/Bau-und-Zonenordnung-Seelisberg.pdf</t>
        </is>
      </c>
      <c r="N33" s="42" t="inlineStr">
        <is>
          <t>Kataster · geprüft · OK</t>
        </is>
      </c>
      <c r="O33" s="23" t="inlineStr">
        <is>
          <t>Katalog · hoch</t>
        </is>
      </c>
      <c r="P33" s="23" t="n"/>
    </row>
    <row r="34" ht="19.5" customHeight="1">
      <c r="A34" s="21" t="inlineStr">
        <is>
          <t>GEMEINDEN – nicht öffentliche Daten (Lieferung durch Gemeinde / Kanton)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 outlineLevel="1" ht="32.85" customHeight="1">
      <c r="A35" s="23" t="inlineStr">
        <is>
          <t>Gemeinden (alle)</t>
        </is>
      </c>
      <c r="B35" s="24" t="inlineStr">
        <is>
          <t>Q2</t>
        </is>
      </c>
      <c r="C35" s="23" t="inlineStr">
        <is>
          <t>Datensatz</t>
        </is>
      </c>
      <c r="D35" s="25" t="inlineStr">
        <is>
          <t>Detaillierte Biotop-/Artenfunddaten (z. B. Info Species), Naturschutzverträge, BFF-Bewirtschaftungsverträge</t>
        </is>
      </c>
      <c r="E35" s="23" t="inlineStr">
        <is>
          <t>–</t>
        </is>
      </c>
      <c r="F35" s="23" t="inlineStr">
        <is>
          <t>–</t>
        </is>
      </c>
      <c r="G35" s="23" t="inlineStr">
        <is>
          <t>Kanton / Fachstellen</t>
        </is>
      </c>
      <c r="H35" s="32" t="inlineStr">
        <is>
          <t>nicht öffentlich</t>
        </is>
      </c>
      <c r="I35" s="33" t="inlineStr">
        <is>
          <t>Datenanfrage (nicht öffentlich)</t>
        </is>
      </c>
      <c r="J35" s="33" t="inlineStr">
        <is>
          <t>Datenanfrage (nicht öffentlich)</t>
        </is>
      </c>
      <c r="K35" s="33" t="inlineStr">
        <is>
          <t>Datenanfrage (nicht öffentlich)</t>
        </is>
      </c>
      <c r="L35" s="23" t="inlineStr">
        <is>
          <t>Standortgenaue Artdaten und Verträge nur eingeschränkt zugänglich</t>
        </is>
      </c>
      <c r="M35" s="27" t="inlineStr">
        <is>
          <t>https://www.fedlex.admin.ch</t>
        </is>
      </c>
      <c r="N35" s="28" t="inlineStr">
        <is>
          <t>Einstiegsseite · geprüft · nur Einstiegsseite</t>
        </is>
      </c>
      <c r="O35" s="23" t="inlineStr">
        <is>
          <t>Ergänzung · mittel</t>
        </is>
      </c>
      <c r="P35" s="23" t="inlineStr">
        <is>
          <t>Existenz: hoch (Kanton führt Biotop-/Artdaten und Bewirtschaftungsverträge; NHG Art. 18b). Zugang: Auskunft Fachstelle, teils gesperrt</t>
        </is>
      </c>
    </row>
    <row r="36" outlineLevel="1" ht="22.35" customHeight="1">
      <c r="A36" s="23" t="inlineStr">
        <is>
          <t>Gemeinden (alle)</t>
        </is>
      </c>
      <c r="B36" s="24" t="inlineStr">
        <is>
          <t>Q2</t>
        </is>
      </c>
      <c r="C36" s="23" t="inlineStr">
        <is>
          <t>Datensatz</t>
        </is>
      </c>
      <c r="D36" s="25" t="inlineStr">
        <is>
          <t>Kommunale Pflege-/Unterhaltskonzepte Grünräume, Baumkataster</t>
        </is>
      </c>
      <c r="E36" s="23" t="inlineStr">
        <is>
          <t>–</t>
        </is>
      </c>
      <c r="F36" s="23" t="inlineStr">
        <is>
          <t>–</t>
        </is>
      </c>
      <c r="G36" s="23" t="inlineStr">
        <is>
          <t>Gemeinde</t>
        </is>
      </c>
      <c r="H36" s="32" t="inlineStr">
        <is>
          <t>nicht öffentlich</t>
        </is>
      </c>
      <c r="I36" s="33" t="inlineStr">
        <is>
          <t>Datenanfrage (nicht öffentlich)</t>
        </is>
      </c>
      <c r="J36" s="33" t="inlineStr">
        <is>
          <t>Datenanfrage (nicht öffentlich)</t>
        </is>
      </c>
      <c r="K36" s="33" t="inlineStr">
        <is>
          <t>Datenanfrage (nicht öffentlich)</t>
        </is>
      </c>
      <c r="L36" s="23" t="inlineStr">
        <is>
          <t>Grünraumbewirtschaftung</t>
        </is>
      </c>
      <c r="M36" s="27" t="inlineStr">
        <is>
          <t>https://www.fedlex.admin.ch</t>
        </is>
      </c>
      <c r="N36" s="28" t="inlineStr">
        <is>
          <t>Einstiegsseite · geprüft · nur Einstiegsseite</t>
        </is>
      </c>
      <c r="O36" s="23" t="inlineStr">
        <is>
          <t>Ergänzung · tief</t>
        </is>
      </c>
      <c r="P36" s="23" t="inlineStr">
        <is>
          <t>Existenz: unbekannt (fakultativ, Gemeindegrösse abhängig)</t>
        </is>
      </c>
    </row>
  </sheetData>
  <autoFilter ref="A5:P36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7" r:id="rId10"/>
    <hyperlink xmlns:r="http://schemas.openxmlformats.org/officeDocument/2006/relationships" ref="M18" r:id="rId11"/>
    <hyperlink xmlns:r="http://schemas.openxmlformats.org/officeDocument/2006/relationships" ref="M20" r:id="rId12"/>
    <hyperlink xmlns:r="http://schemas.openxmlformats.org/officeDocument/2006/relationships" ref="M21" r:id="rId13"/>
    <hyperlink xmlns:r="http://schemas.openxmlformats.org/officeDocument/2006/relationships" ref="M23" r:id="rId14"/>
    <hyperlink xmlns:r="http://schemas.openxmlformats.org/officeDocument/2006/relationships" ref="M24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9" r:id="rId18"/>
    <hyperlink xmlns:r="http://schemas.openxmlformats.org/officeDocument/2006/relationships" ref="M30" r:id="rId19"/>
    <hyperlink xmlns:r="http://schemas.openxmlformats.org/officeDocument/2006/relationships" ref="M32" r:id="rId20"/>
    <hyperlink xmlns:r="http://schemas.openxmlformats.org/officeDocument/2006/relationships" ref="M33" r:id="rId21"/>
    <hyperlink xmlns:r="http://schemas.openxmlformats.org/officeDocument/2006/relationships" ref="M35" r:id="rId22"/>
    <hyperlink xmlns:r="http://schemas.openxmlformats.org/officeDocument/2006/relationships" ref="M36" r:id="rId23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3 · Q3 Klimaschutz, Energie und Ressourcen – Dokumente, Inventare, Geodaten</t>
        </is>
      </c>
    </row>
    <row r="2" ht="15" customHeight="1">
      <c r="A2" s="2" t="inlineStr">
        <is>
          <t>Kontext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Q3</t>
        </is>
      </c>
      <c r="C7" s="23" t="inlineStr">
        <is>
          <t>Strategie</t>
        </is>
      </c>
      <c r="D7" s="25" t="inlineStr">
        <is>
          <t>Langfristige Klimastrategie der Schweiz 2050; Energieperspektiven 2050+</t>
        </is>
      </c>
      <c r="E7" s="23" t="inlineStr">
        <is>
          <t>–</t>
        </is>
      </c>
      <c r="F7" s="23" t="inlineStr">
        <is>
          <t>–</t>
        </is>
      </c>
      <c r="G7" s="23" t="inlineStr">
        <is>
          <t>BAFU / BFE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Zielpfade Netto-Null, Gebäude- und Wärmesektor</t>
        </is>
      </c>
      <c r="M7" s="27" t="inlineStr">
        <is>
          <t>https://www.bafu.admin.ch</t>
        </is>
      </c>
      <c r="N7" s="28" t="inlineStr">
        <is>
          <t>Einstiegsseite · geprüft · nur Einstiegsseite</t>
        </is>
      </c>
      <c r="O7" s="23" t="inlineStr">
        <is>
          <t>Ergänzung · mittel</t>
        </is>
      </c>
      <c r="P7" s="23" t="n"/>
    </row>
    <row r="8" outlineLevel="1" ht="32.85" customHeight="1">
      <c r="A8" s="23" t="inlineStr">
        <is>
          <t>Bund</t>
        </is>
      </c>
      <c r="B8" s="24" t="inlineStr">
        <is>
          <t>Q3</t>
        </is>
      </c>
      <c r="C8" s="23" t="inlineStr">
        <is>
          <t>Layer</t>
        </is>
      </c>
      <c r="D8" s="25" t="inlineStr">
        <is>
          <t>Sonnendach.ch / Sonnenfassade.ch (Solarpotenzial Dächer und Fassaden)</t>
        </is>
      </c>
      <c r="E8" s="23" t="inlineStr">
        <is>
          <t>–</t>
        </is>
      </c>
      <c r="F8" s="23" t="inlineStr">
        <is>
          <t>–</t>
        </is>
      </c>
      <c r="G8" s="23" t="inlineStr">
        <is>
          <t>BFE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Solarpotenzial je Gebäude</t>
        </is>
      </c>
      <c r="M8" s="43" t="inlineStr">
        <is>
          <t>https://map.geo.admin.ch/#/map?lang=de&amp;center=2660000,1190000&amp;z=1&amp;bgLayer=ch.swisstopo.pixelkarte-grau&amp;layers=ch.bfe.solarenergie-eignung-daecher</t>
        </is>
      </c>
      <c r="N8" s="44" t="inlineStr">
        <is>
          <t>geprüft · korrigiert</t>
        </is>
      </c>
      <c r="O8" s="23" t="inlineStr">
        <is>
          <t>Ergänzung · hoch</t>
        </is>
      </c>
      <c r="P8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https://map.geo.admin.ch/#/map?lang=de&amp;center=2660000,1190000&amp;z=1&amp;bgLayer=ch.swisstopo.pixelkarte-grau&amp;layers=ch.bfe.solarenergie-eignung-daecher</t>
        </is>
      </c>
    </row>
    <row r="9" outlineLevel="1" ht="22.35" customHeight="1">
      <c r="A9" s="23" t="inlineStr">
        <is>
          <t>Bund</t>
        </is>
      </c>
      <c r="B9" s="24" t="inlineStr">
        <is>
          <t>Q3</t>
        </is>
      </c>
      <c r="C9" s="23" t="inlineStr">
        <is>
          <t>Layer</t>
        </is>
      </c>
      <c r="D9" s="25" t="inlineStr">
        <is>
          <t>Geothermie-/Erdwärmesonden-Eignung, Windatlas, Wärmenetz-/Fernwärme-Potenzial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BFE / swisstopo</t>
        </is>
      </c>
      <c r="H9" s="23" t="inlineStr">
        <is>
          <t>öffentlich</t>
        </is>
      </c>
      <c r="I9" s="30" t="inlineStr">
        <is>
          <t>nicht belegt (Recherche offen)</t>
        </is>
      </c>
      <c r="J9" s="30" t="inlineStr">
        <is>
          <t>nicht belegt (Recherche offen)</t>
        </is>
      </c>
      <c r="K9" s="30" t="inlineStr">
        <is>
          <t>nicht belegt (Recherche offen)</t>
        </is>
      </c>
      <c r="L9" s="23" t="inlineStr">
        <is>
          <t>Energieträger-Potenziale (Wärmeplanung)</t>
        </is>
      </c>
      <c r="M9" s="43" t="inlineStr">
        <is>
          <t>https://map.geo.admin.ch</t>
        </is>
      </c>
      <c r="N9" s="44" t="inlineStr">
        <is>
          <t>geprüft · korrigiert</t>
        </is>
      </c>
      <c r="O9" s="23" t="inlineStr">
        <is>
          <t>Ergänzung · tief</t>
        </is>
      </c>
      <c r="P9" s="23" t="inlineStr">
        <is>
          <t>Verfügbarkeit je Layer prüfen | Linkprüfung 14.10.2026: Hyperlink führte nur auf https://map.geo.admin.ch/ statt auf den angezeigten Link. Alter Link: https://map.geo.admin.ch</t>
        </is>
      </c>
    </row>
    <row r="10" outlineLevel="1" ht="22.35" customHeight="1">
      <c r="A10" s="23" t="inlineStr">
        <is>
          <t>Bund</t>
        </is>
      </c>
      <c r="B10" s="24" t="inlineStr">
        <is>
          <t>Q3</t>
        </is>
      </c>
      <c r="C10" s="23" t="inlineStr">
        <is>
          <t>Statistik</t>
        </is>
      </c>
      <c r="D10" s="25" t="inlineStr">
        <is>
          <t>Gebäude- und Wohnungsregister (GWR): Heizungsart, Energieträger, Baujahr</t>
        </is>
      </c>
      <c r="E10" s="23" t="inlineStr">
        <is>
          <t>–</t>
        </is>
      </c>
      <c r="F10" s="23" t="inlineStr">
        <is>
          <t>–</t>
        </is>
      </c>
      <c r="G10" s="23" t="inlineStr">
        <is>
          <t>BFS</t>
        </is>
      </c>
      <c r="H10" s="23" t="inlineStr">
        <is>
          <t>öffentlich</t>
        </is>
      </c>
      <c r="I10" s="26" t="inlineStr">
        <is>
          <t>belegt</t>
        </is>
      </c>
      <c r="J10" s="26" t="inlineStr">
        <is>
          <t>belegt</t>
        </is>
      </c>
      <c r="K10" s="26" t="inlineStr">
        <is>
          <t>belegt</t>
        </is>
      </c>
      <c r="L10" s="23" t="inlineStr">
        <is>
          <t>Energieträger- und Gebäudebestand je Gemeinde</t>
        </is>
      </c>
      <c r="M10" s="43" t="inlineStr">
        <is>
          <t>https://map.geo.admin.ch/#/map?lang=de&amp;center=2660000,1190000&amp;z=1&amp;bgLayer=ch.swisstopo.pixelkarte-grau&amp;layers=ch.bfs.gebaeude_wohnungs_register</t>
        </is>
      </c>
      <c r="N10" s="44" t="inlineStr">
        <is>
          <t>geprüft · korrigiert</t>
        </is>
      </c>
      <c r="O10" s="23" t="inlineStr">
        <is>
          <t>Ergänzung · hoch</t>
        </is>
      </c>
      <c r="P10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https://map.geo.admin.ch/#/map?lang=de&amp;center=2660000,1190000&amp;z=1&amp;bgLayer=ch.swisstopo.pixelkarte-grau&amp;layers=ch.bfs.gebaeude_wohnungs_register</t>
        </is>
      </c>
    </row>
    <row r="11" outlineLevel="1" ht="22.35" customHeight="1">
      <c r="A11" s="23" t="inlineStr">
        <is>
          <t>Bund</t>
        </is>
      </c>
      <c r="B11" s="24" t="inlineStr">
        <is>
          <t>Q3</t>
        </is>
      </c>
      <c r="C11" s="23" t="inlineStr">
        <is>
          <t>Statistik</t>
        </is>
      </c>
      <c r="D11" s="25" t="inlineStr">
        <is>
          <t>Treibhausgasinventar / Gemeinde-Energie- und CO₂-Bilanzen</t>
        </is>
      </c>
      <c r="E11" s="23" t="inlineStr">
        <is>
          <t>–</t>
        </is>
      </c>
      <c r="F11" s="23" t="inlineStr">
        <is>
          <t>–</t>
        </is>
      </c>
      <c r="G11" s="23" t="inlineStr">
        <is>
          <t>BAFU / BFE</t>
        </is>
      </c>
      <c r="H11" s="23" t="inlineStr">
        <is>
          <t>teilw. öffentlich</t>
        </is>
      </c>
      <c r="I11" s="30" t="inlineStr">
        <is>
          <t>nicht belegt (Recherche offen)</t>
        </is>
      </c>
      <c r="J11" s="30" t="inlineStr">
        <is>
          <t>nicht belegt (Recherche offen)</t>
        </is>
      </c>
      <c r="K11" s="30" t="inlineStr">
        <is>
          <t>nicht belegt (Recherche offen)</t>
        </is>
      </c>
      <c r="L11" s="23" t="inlineStr">
        <is>
          <t>Ausgangslage für CO₂-Absenkpfad</t>
        </is>
      </c>
      <c r="M11" s="27" t="inlineStr">
        <is>
          <t>https://www.bafu.admin.ch</t>
        </is>
      </c>
      <c r="N11" s="28" t="inlineStr">
        <is>
          <t>Einstiegsseite · geprüft · nur Einstiegsseite</t>
        </is>
      </c>
      <c r="O11" s="23" t="inlineStr">
        <is>
          <t>Ergänzung · tief</t>
        </is>
      </c>
      <c r="P11" s="23" t="n"/>
    </row>
    <row r="12" outlineLevel="1" ht="22.35" customHeight="1">
      <c r="A12" s="23" t="inlineStr">
        <is>
          <t>Bund</t>
        </is>
      </c>
      <c r="B12" s="24" t="inlineStr">
        <is>
          <t>Q3</t>
        </is>
      </c>
      <c r="C12" s="23" t="inlineStr">
        <is>
          <t>Norm / Standard</t>
        </is>
      </c>
      <c r="D12" s="25" t="inlineStr">
        <is>
          <t>MuKEn 2014 (Mustervorschriften der Kantone), SIA 2040, SIA 2032 (Graue Energie), SNBS Hochbau, Minergie</t>
        </is>
      </c>
      <c r="E12" s="23" t="inlineStr">
        <is>
          <t>–</t>
        </is>
      </c>
      <c r="F12" s="23" t="inlineStr">
        <is>
          <t>–</t>
        </is>
      </c>
      <c r="G12" s="23" t="inlineStr">
        <is>
          <t>EnDK / SIA / NNBS</t>
        </is>
      </c>
      <c r="H12" s="23" t="inlineStr">
        <is>
          <t>kostenpflichtig (Norm)</t>
        </is>
      </c>
      <c r="I12" s="26" t="inlineStr">
        <is>
          <t>belegt</t>
        </is>
      </c>
      <c r="J12" s="26" t="inlineStr">
        <is>
          <t>belegt</t>
        </is>
      </c>
      <c r="K12" s="26" t="inlineStr">
        <is>
          <t>belegt</t>
        </is>
      </c>
      <c r="L12" s="23" t="inlineStr">
        <is>
          <t>Referenzrahmen Gebäudestandard, graue Energie, Ressourcen</t>
        </is>
      </c>
      <c r="M12" s="27" t="inlineStr">
        <is>
          <t>https://www.sia.ch</t>
        </is>
      </c>
      <c r="N12" s="28" t="inlineStr">
        <is>
          <t>Einstiegsseite · geprüft · nur Einstiegsseite</t>
        </is>
      </c>
      <c r="O12" s="23" t="inlineStr">
        <is>
          <t>Ergänzung · mittel</t>
        </is>
      </c>
      <c r="P12" s="23" t="inlineStr">
        <is>
          <t>Normen kostenpflichtig; Anwendung gemeindespezifisch</t>
        </is>
      </c>
    </row>
    <row r="13" ht="19.5" customHeight="1">
      <c r="A13" s="21" t="inlineStr">
        <is>
          <t>KANTON BASEL-LANDSCHAFT  →  Münchenstein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outlineLevel="1" ht="22.35" customHeight="1">
      <c r="A14" s="23" t="inlineStr">
        <is>
          <t>Kanton BL</t>
        </is>
      </c>
      <c r="B14" s="24" t="inlineStr">
        <is>
          <t>Q3</t>
        </is>
      </c>
      <c r="C14" s="23" t="inlineStr">
        <is>
          <t>Gesetz</t>
        </is>
      </c>
      <c r="D14" s="25" t="inlineStr">
        <is>
          <t>Energiegesetz BL (EnG BL)</t>
        </is>
      </c>
      <c r="E14" s="23" t="inlineStr">
        <is>
          <t>SGS 490</t>
        </is>
      </c>
      <c r="F14" s="23" t="inlineStr">
        <is>
          <t>01.03.2025</t>
        </is>
      </c>
      <c r="G14" s="23" t="inlineStr">
        <is>
          <t>Kanton BL</t>
        </is>
      </c>
      <c r="H14" s="23" t="inlineStr">
        <is>
          <t>öffentlich</t>
        </is>
      </c>
      <c r="I14" s="26" t="inlineStr">
        <is>
          <t>belegt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Gebäudeenergie, Wärmeerzeugung, Solarpflichten</t>
        </is>
      </c>
      <c r="M14" s="27" t="inlineStr">
        <is>
          <t>https://bl.clex.ch/app/de/texts_of_law/490</t>
        </is>
      </c>
      <c r="N14" s="42" t="inlineStr">
        <is>
          <t>Kataster · geprüft · OK</t>
        </is>
      </c>
      <c r="O14" s="23" t="inlineStr">
        <is>
          <t>Katalog · hoch</t>
        </is>
      </c>
      <c r="P14" s="23" t="n"/>
    </row>
    <row r="15" outlineLevel="1" ht="32.85" customHeight="1">
      <c r="A15" s="23" t="inlineStr">
        <is>
          <t>Kanton BL</t>
        </is>
      </c>
      <c r="B15" s="24" t="inlineStr">
        <is>
          <t>Q3</t>
        </is>
      </c>
      <c r="C15" s="23" t="inlineStr">
        <is>
          <t>Konzept / Layer</t>
        </is>
      </c>
      <c r="D15" s="25" t="inlineStr">
        <is>
          <t>Kantonale Energieplanung BL, Energie-/Klimastrategie, Solar-/Wärmepotenzial im Geoportal</t>
        </is>
      </c>
      <c r="E15" s="23" t="inlineStr">
        <is>
          <t>–</t>
        </is>
      </c>
      <c r="F15" s="23" t="inlineStr">
        <is>
          <t>–</t>
        </is>
      </c>
      <c r="G15" s="23" t="inlineStr">
        <is>
          <t>Kanton BL</t>
        </is>
      </c>
      <c r="H15" s="23" t="inlineStr">
        <is>
          <t>öffentlich</t>
        </is>
      </c>
      <c r="I15" s="30" t="inlineStr">
        <is>
          <t>nicht belegt (Recherche offen)</t>
        </is>
      </c>
      <c r="J15" s="29" t="inlineStr">
        <is>
          <t>n. a.</t>
        </is>
      </c>
      <c r="K15" s="29" t="inlineStr">
        <is>
          <t>n. a.</t>
        </is>
      </c>
      <c r="L15" s="23" t="inlineStr">
        <is>
          <t>Kantonale Zielpfade, Planungsgrundlagen</t>
        </is>
      </c>
      <c r="M15" s="27" t="inlineStr">
        <is>
          <t>https://geoview.bl.ch</t>
        </is>
      </c>
      <c r="N15" s="28" t="inlineStr">
        <is>
          <t>Muster · geprüft · nur Einstiegsseite</t>
        </is>
      </c>
      <c r="O15" s="23" t="inlineStr">
        <is>
          <t>Ergänzung · tief</t>
        </is>
      </c>
      <c r="P15" s="23" t="n"/>
    </row>
    <row r="16" ht="19.5" customHeight="1">
      <c r="A16" s="21" t="inlineStr">
        <is>
          <t>KANTON ST. GALLEN  →  Wil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 outlineLevel="1" ht="22.35" customHeight="1">
      <c r="A17" s="23" t="inlineStr">
        <is>
          <t>Kanton SG</t>
        </is>
      </c>
      <c r="B17" s="24" t="inlineStr">
        <is>
          <t>Q3</t>
        </is>
      </c>
      <c r="C17" s="23" t="inlineStr">
        <is>
          <t>Gesetz</t>
        </is>
      </c>
      <c r="D17" s="25" t="inlineStr">
        <is>
          <t>Energiegesetz SG</t>
        </is>
      </c>
      <c r="E17" s="23" t="inlineStr">
        <is>
          <t>sGS 741.1</t>
        </is>
      </c>
      <c r="F17" s="23" t="inlineStr">
        <is>
          <t>01.07.2021</t>
        </is>
      </c>
      <c r="G17" s="23" t="inlineStr">
        <is>
          <t>Kanton SG</t>
        </is>
      </c>
      <c r="H17" s="23" t="inlineStr">
        <is>
          <t>öffentlich</t>
        </is>
      </c>
      <c r="I17" s="29" t="inlineStr">
        <is>
          <t>n. a.</t>
        </is>
      </c>
      <c r="J17" s="26" t="inlineStr">
        <is>
          <t>belegt</t>
        </is>
      </c>
      <c r="K17" s="29" t="inlineStr">
        <is>
          <t>n. a.</t>
        </is>
      </c>
      <c r="L17" s="23" t="inlineStr">
        <is>
          <t>Gebäudeenergie, Wärmeerzeugung, Solarpflichten</t>
        </is>
      </c>
      <c r="M17" s="27" t="inlineStr">
        <is>
          <t>https://www.gesetzessammlung.sg.ch/app/de/texts_of_law/741.1</t>
        </is>
      </c>
      <c r="N17" s="42" t="inlineStr">
        <is>
          <t>Kataster · geprüft · OK</t>
        </is>
      </c>
      <c r="O17" s="23" t="inlineStr">
        <is>
          <t>Katalog · hoch</t>
        </is>
      </c>
      <c r="P17" s="23" t="n"/>
    </row>
    <row r="18" outlineLevel="1" ht="32.85" customHeight="1">
      <c r="A18" s="23" t="inlineStr">
        <is>
          <t>Kanton SG</t>
        </is>
      </c>
      <c r="B18" s="24" t="inlineStr">
        <is>
          <t>Q3</t>
        </is>
      </c>
      <c r="C18" s="23" t="inlineStr">
        <is>
          <t>Konzept / Layer</t>
        </is>
      </c>
      <c r="D18" s="25" t="inlineStr">
        <is>
          <t>Kantonales Energiekonzept SG, Wärme-/Solarpotenzial im Geoportal</t>
        </is>
      </c>
      <c r="E18" s="23" t="inlineStr">
        <is>
          <t>–</t>
        </is>
      </c>
      <c r="F18" s="23" t="inlineStr">
        <is>
          <t>–</t>
        </is>
      </c>
      <c r="G18" s="23" t="inlineStr">
        <is>
          <t>Kanton SG</t>
        </is>
      </c>
      <c r="H18" s="23" t="inlineStr">
        <is>
          <t>öffentlich</t>
        </is>
      </c>
      <c r="I18" s="29" t="inlineStr">
        <is>
          <t>n. a.</t>
        </is>
      </c>
      <c r="J18" s="30" t="inlineStr">
        <is>
          <t>nicht belegt (Recherche offen)</t>
        </is>
      </c>
      <c r="K18" s="29" t="inlineStr">
        <is>
          <t>n. a.</t>
        </is>
      </c>
      <c r="L18" s="23" t="inlineStr">
        <is>
          <t>Kantonale Zielpfade, Planungsgrundlagen</t>
        </is>
      </c>
      <c r="M18" s="27" t="inlineStr">
        <is>
          <t>https://www.geoportal.ch/ktsg</t>
        </is>
      </c>
      <c r="N18" s="42" t="inlineStr">
        <is>
          <t>Muster · geprüft · OK</t>
        </is>
      </c>
      <c r="O18" s="23" t="inlineStr">
        <is>
          <t>Ergänzung · tief</t>
        </is>
      </c>
      <c r="P18" s="23" t="n"/>
    </row>
    <row r="19" ht="19.5" customHeight="1">
      <c r="A19" s="21" t="inlineStr">
        <is>
          <t>KANTON URI  →  Seelisberg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outlineLevel="1" ht="22.35" customHeight="1">
      <c r="A20" s="23" t="inlineStr">
        <is>
          <t>Kanton UR</t>
        </is>
      </c>
      <c r="B20" s="24" t="inlineStr">
        <is>
          <t>Q3</t>
        </is>
      </c>
      <c r="C20" s="23" t="inlineStr">
        <is>
          <t>Gesetz</t>
        </is>
      </c>
      <c r="D20" s="25" t="inlineStr">
        <is>
          <t>Kantonale Energiegesetzgebung Uri</t>
        </is>
      </c>
      <c r="E20" s="23" t="inlineStr">
        <is>
          <t>RB 40.7211</t>
        </is>
      </c>
      <c r="F20" s="23" t="inlineStr">
        <is>
          <t>Katalog: 01.01.2000</t>
        </is>
      </c>
      <c r="G20" s="23" t="inlineStr">
        <is>
          <t>Kanton UR</t>
        </is>
      </c>
      <c r="H20" s="23" t="inlineStr">
        <is>
          <t>öffentlich</t>
        </is>
      </c>
      <c r="I20" s="29" t="inlineStr">
        <is>
          <t>n. a.</t>
        </is>
      </c>
      <c r="J20" s="29" t="inlineStr">
        <is>
          <t>n. a.</t>
        </is>
      </c>
      <c r="K20" s="26" t="inlineStr">
        <is>
          <t>belegt</t>
        </is>
      </c>
      <c r="L20" s="23" t="inlineStr">
        <is>
          <t>Gebäudeenergie, Wärmeerzeugung, Solarpflichten</t>
        </is>
      </c>
      <c r="M20" s="27" t="inlineStr">
        <is>
          <t>https://rechtsbuch.ur.ch/app/de/texts_of_law/40.7211</t>
        </is>
      </c>
      <c r="N20" s="42" t="inlineStr">
        <is>
          <t>Kataster · geprüft · OK</t>
        </is>
      </c>
      <c r="O20" s="23" t="inlineStr">
        <is>
          <t>Katalog · hoch</t>
        </is>
      </c>
      <c r="P20" s="23" t="inlineStr">
        <is>
          <t>Aktuelle Fassung prüfen | verlinkte Nummer 40.7211 ist «Energiegesetz des Kantons Uri (EnG)»; Bezeichnung lautet anders</t>
        </is>
      </c>
    </row>
    <row r="21" outlineLevel="1" ht="32.85" customHeight="1">
      <c r="A21" s="23" t="inlineStr">
        <is>
          <t>Kanton UR</t>
        </is>
      </c>
      <c r="B21" s="24" t="inlineStr">
        <is>
          <t>Q3</t>
        </is>
      </c>
      <c r="C21" s="23" t="inlineStr">
        <is>
          <t>Konzept</t>
        </is>
      </c>
      <c r="D21" s="25" t="inlineStr">
        <is>
          <t>Energie-/Klimastrategie Uri, kantonale Energieplanung</t>
        </is>
      </c>
      <c r="E21" s="23" t="inlineStr">
        <is>
          <t>–</t>
        </is>
      </c>
      <c r="F21" s="23" t="inlineStr">
        <is>
          <t>–</t>
        </is>
      </c>
      <c r="G21" s="23" t="inlineStr">
        <is>
          <t>Kanton UR</t>
        </is>
      </c>
      <c r="H21" s="23" t="inlineStr">
        <is>
          <t>öffentlich</t>
        </is>
      </c>
      <c r="I21" s="29" t="inlineStr">
        <is>
          <t>n. a.</t>
        </is>
      </c>
      <c r="J21" s="29" t="inlineStr">
        <is>
          <t>n. a.</t>
        </is>
      </c>
      <c r="K21" s="30" t="inlineStr">
        <is>
          <t>nicht belegt (Recherche offen)</t>
        </is>
      </c>
      <c r="L21" s="23" t="inlineStr">
        <is>
          <t>Kantonale Zielpfade</t>
        </is>
      </c>
      <c r="M21" s="27" t="inlineStr">
        <is>
          <t>https://www.ur.ch</t>
        </is>
      </c>
      <c r="N21" s="28" t="inlineStr">
        <is>
          <t>Einstiegsseite · geprüft · nur Einstiegsseite</t>
        </is>
      </c>
      <c r="O21" s="23" t="inlineStr">
        <is>
          <t>Ergänzung · tief</t>
        </is>
      </c>
      <c r="P21" s="23" t="n"/>
    </row>
    <row r="22" ht="19.5" customHeight="1">
      <c r="A22" s="21" t="inlineStr">
        <is>
          <t>GEMEINDE MÜNCHENSTEIN (BL)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outlineLevel="1" ht="22.35" customHeight="1">
      <c r="A23" s="23" t="inlineStr">
        <is>
          <t>Gde Münchenstein</t>
        </is>
      </c>
      <c r="B23" s="24" t="inlineStr">
        <is>
          <t>Q3</t>
        </is>
      </c>
      <c r="C23" s="23" t="inlineStr">
        <is>
          <t>Plan / Reglement</t>
        </is>
      </c>
      <c r="D23" s="25" t="inlineStr">
        <is>
          <t>Zonenvorschriften Siedlung</t>
        </is>
      </c>
      <c r="E23" s="23" t="inlineStr">
        <is>
          <t>–</t>
        </is>
      </c>
      <c r="F23" s="23" t="inlineStr">
        <is>
          <t>25.02.2025</t>
        </is>
      </c>
      <c r="G23" s="23" t="inlineStr">
        <is>
          <t>Gde Münchenstein</t>
        </is>
      </c>
      <c r="H23" s="23" t="inlineStr">
        <is>
          <t>öffentlich</t>
        </is>
      </c>
      <c r="I23" s="26" t="inlineStr">
        <is>
          <t>belegt</t>
        </is>
      </c>
      <c r="J23" s="29" t="inlineStr">
        <is>
          <t>n. a.</t>
        </is>
      </c>
      <c r="K23" s="29" t="inlineStr">
        <is>
          <t>n. a.</t>
        </is>
      </c>
      <c r="L23" s="23" t="inlineStr">
        <is>
          <t>Allfällige verbindliche Anschluss- oder Versorgungsregeln (Energie-/Wärmeplanabgleich)</t>
        </is>
      </c>
      <c r="M23" s="27" t="inlineStr">
        <is>
          <t>https://oereblex.bl.ch/api/attachments/22718</t>
        </is>
      </c>
      <c r="N23" s="42" t="inlineStr">
        <is>
          <t>manuell geprüft · OK</t>
        </is>
      </c>
      <c r="O23" s="23" t="inlineStr">
        <is>
          <t>Katalog · hoch</t>
        </is>
      </c>
      <c r="P23" s="23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</row>
    <row r="24" outlineLevel="1" ht="22.35" customHeight="1">
      <c r="A24" s="23" t="inlineStr">
        <is>
          <t>Gde Münchenstein</t>
        </is>
      </c>
      <c r="B24" s="24" t="inlineStr">
        <is>
          <t>Q3</t>
        </is>
      </c>
      <c r="C24" s="23" t="inlineStr">
        <is>
          <t>Label</t>
        </is>
      </c>
      <c r="D24" s="25" t="inlineStr">
        <is>
          <t>Energiestadt-Label / kommunale Klimaziele</t>
        </is>
      </c>
      <c r="E24" s="23" t="inlineStr">
        <is>
          <t>–</t>
        </is>
      </c>
      <c r="F24" s="23" t="inlineStr">
        <is>
          <t>–</t>
        </is>
      </c>
      <c r="G24" s="23" t="inlineStr">
        <is>
          <t>Gde Münchenstein</t>
        </is>
      </c>
      <c r="H24" s="23" t="inlineStr">
        <is>
          <t>öffentlich</t>
        </is>
      </c>
      <c r="I24" s="30" t="inlineStr">
        <is>
          <t>nicht belegt (Recherche offen)</t>
        </is>
      </c>
      <c r="J24" s="29" t="inlineStr">
        <is>
          <t>n. a.</t>
        </is>
      </c>
      <c r="K24" s="29" t="inlineStr">
        <is>
          <t>n. a.</t>
        </is>
      </c>
      <c r="L24" s="23" t="inlineStr">
        <is>
          <t>Energiepolitisches Leitbild</t>
        </is>
      </c>
      <c r="M24" s="27" t="inlineStr">
        <is>
          <t>https://www.muenchenstein.ch</t>
        </is>
      </c>
      <c r="N24" s="28" t="inlineStr">
        <is>
          <t>Einstiegsseite · geprüft · nur Einstiegsseite</t>
        </is>
      </c>
      <c r="O24" s="23" t="inlineStr">
        <is>
          <t>Ergänzung · tief</t>
        </is>
      </c>
      <c r="P24" s="23" t="n"/>
    </row>
    <row r="25" ht="19.5" customHeight="1">
      <c r="A25" s="21" t="inlineStr">
        <is>
          <t>GEMEINDE WIL (SG)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outlineLevel="1" ht="22.35" customHeight="1">
      <c r="A26" s="23" t="inlineStr">
        <is>
          <t>Gde Wil</t>
        </is>
      </c>
      <c r="B26" s="24" t="inlineStr">
        <is>
          <t>Q3</t>
        </is>
      </c>
      <c r="C26" s="23" t="inlineStr">
        <is>
          <t>Programm</t>
        </is>
      </c>
      <c r="D26" s="25" t="inlineStr">
        <is>
          <t>Kommunales Klimaprogramm Stadt Wil</t>
        </is>
      </c>
      <c r="E26" s="23" t="inlineStr">
        <is>
          <t>–</t>
        </is>
      </c>
      <c r="F26" s="23" t="inlineStr">
        <is>
          <t>Katalog: kein Stand</t>
        </is>
      </c>
      <c r="G26" s="23" t="inlineStr">
        <is>
          <t>Gde Wil</t>
        </is>
      </c>
      <c r="H26" s="23" t="inlineStr">
        <is>
          <t>öffentlich</t>
        </is>
      </c>
      <c r="I26" s="29" t="inlineStr">
        <is>
          <t>n. a.</t>
        </is>
      </c>
      <c r="J26" s="26" t="inlineStr">
        <is>
          <t>belegt</t>
        </is>
      </c>
      <c r="K26" s="29" t="inlineStr">
        <is>
          <t>n. a.</t>
        </is>
      </c>
      <c r="L26" s="23" t="inlineStr">
        <is>
          <t>Klimaziele, Massnahmen; Verbindlichkeit prüfen (Programm ≠ Erlass)</t>
        </is>
      </c>
      <c r="M26" s="27" t="inlineStr">
        <is>
          <t>https://www.stadtwil.ch/storage/0c6b26d62a364629241b9c9e4535a6b58c82d46aeb166b034ae96c29862a1331</t>
        </is>
      </c>
      <c r="N26" s="42" t="inlineStr">
        <is>
          <t>Kataster · geprüft · OK</t>
        </is>
      </c>
      <c r="O26" s="23" t="inlineStr">
        <is>
          <t>Katalog · hoch</t>
        </is>
      </c>
      <c r="P26" s="23" t="inlineStr">
        <is>
          <t>Stand ergänzen</t>
        </is>
      </c>
    </row>
    <row r="27" outlineLevel="1" ht="22.35" customHeight="1">
      <c r="A27" s="23" t="inlineStr">
        <is>
          <t>Gde Wil</t>
        </is>
      </c>
      <c r="B27" s="24" t="inlineStr">
        <is>
          <t>Q3</t>
        </is>
      </c>
      <c r="C27" s="23" t="inlineStr">
        <is>
          <t>Plan / Reglement</t>
        </is>
      </c>
      <c r="D27" s="25" t="inlineStr">
        <is>
          <t>Kommunale Energieplanung / Wärmeversorgung</t>
        </is>
      </c>
      <c r="E27" s="23" t="inlineStr">
        <is>
          <t>SRS 7.1-1</t>
        </is>
      </c>
      <c r="F27" s="23" t="inlineStr">
        <is>
          <t>01.03.2021</t>
        </is>
      </c>
      <c r="G27" s="23" t="inlineStr">
        <is>
          <t>Gde Wil</t>
        </is>
      </c>
      <c r="H27" s="23" t="inlineStr">
        <is>
          <t>öffentlich</t>
        </is>
      </c>
      <c r="I27" s="29" t="inlineStr">
        <is>
          <t>n. a.</t>
        </is>
      </c>
      <c r="J27" s="26" t="inlineStr">
        <is>
          <t>belegt</t>
        </is>
      </c>
      <c r="K27" s="29" t="inlineStr">
        <is>
          <t>n. a.</t>
        </is>
      </c>
      <c r="L27" s="23" t="inlineStr">
        <is>
          <t>Allfällige Anschluss-/Versorgungsregeln (Energie-/Wärmeplanabgleich)</t>
        </is>
      </c>
      <c r="M27" s="27" t="inlineStr">
        <is>
          <t>https://wil-sg.tlex.ch/app/de/texts_of_law/7.1-1</t>
        </is>
      </c>
      <c r="N27" s="42" t="inlineStr">
        <is>
          <t>Kataster · geprüft · OK</t>
        </is>
      </c>
      <c r="O27" s="23" t="inlineStr">
        <is>
          <t>Katalog · hoch</t>
        </is>
      </c>
      <c r="P27" s="23" t="inlineStr">
        <is>
          <t>Link identisch mit Baureglement → eigene Energieplanung separat suchen | Referenz SRS 7.1-1 ist das Baureglement; eine eigene Energieplanung ist in der Rechtssammlung Wil nicht vorhanden</t>
        </is>
      </c>
    </row>
    <row r="28" outlineLevel="1" ht="22.35" customHeight="1">
      <c r="A28" s="23" t="inlineStr">
        <is>
          <t>Gde Wil</t>
        </is>
      </c>
      <c r="B28" s="24" t="inlineStr">
        <is>
          <t>Q3</t>
        </is>
      </c>
      <c r="C28" s="23" t="inlineStr">
        <is>
          <t>Label</t>
        </is>
      </c>
      <c r="D28" s="25" t="inlineStr">
        <is>
          <t>Energiestadt-Label Wil</t>
        </is>
      </c>
      <c r="E28" s="23" t="inlineStr">
        <is>
          <t>–</t>
        </is>
      </c>
      <c r="F28" s="23" t="inlineStr">
        <is>
          <t>–</t>
        </is>
      </c>
      <c r="G28" s="23" t="inlineStr">
        <is>
          <t>Gde Wil</t>
        </is>
      </c>
      <c r="H28" s="23" t="inlineStr">
        <is>
          <t>öffentlich</t>
        </is>
      </c>
      <c r="I28" s="29" t="inlineStr">
        <is>
          <t>n. a.</t>
        </is>
      </c>
      <c r="J28" s="30" t="inlineStr">
        <is>
          <t>nicht belegt (Recherche offen)</t>
        </is>
      </c>
      <c r="K28" s="29" t="inlineStr">
        <is>
          <t>n. a.</t>
        </is>
      </c>
      <c r="L28" s="23" t="inlineStr">
        <is>
          <t>Energiepolitisches Leitbild</t>
        </is>
      </c>
      <c r="M28" s="27" t="inlineStr">
        <is>
          <t>https://www.stadtwil.ch</t>
        </is>
      </c>
      <c r="N28" s="28" t="inlineStr">
        <is>
          <t>Einstiegsseite · geprüft · nur Einstiegsseite</t>
        </is>
      </c>
      <c r="O28" s="23" t="inlineStr">
        <is>
          <t>Ergänzung · tief</t>
        </is>
      </c>
      <c r="P28" s="23" t="n"/>
    </row>
    <row r="29" ht="19.5" customHeight="1">
      <c r="A29" s="21" t="inlineStr">
        <is>
          <t>GEMEINDE SEELISBERG (UR)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 outlineLevel="1" ht="19.5" customHeight="1">
      <c r="A30" s="21" t="inlineStr">
        <is>
          <t>GEMEINDEN – nicht öffentliche Daten (Lieferung durch Gemeinde / Kanton)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</row>
    <row r="31" ht="22.35" customHeight="1">
      <c r="A31" s="23" t="inlineStr">
        <is>
          <t>Gemeinden (alle)</t>
        </is>
      </c>
      <c r="B31" s="24" t="inlineStr">
        <is>
          <t>Q3</t>
        </is>
      </c>
      <c r="C31" s="23" t="inlineStr">
        <is>
          <t>Datensatz</t>
        </is>
      </c>
      <c r="D31" s="25" t="inlineStr">
        <is>
          <t>Energieversorger-Daten (Verbrauch, Netzgebiete, Wärmenetze, Anschlussdichte)</t>
        </is>
      </c>
      <c r="E31" s="23" t="inlineStr">
        <is>
          <t>–</t>
        </is>
      </c>
      <c r="F31" s="23" t="inlineStr">
        <is>
          <t>–</t>
        </is>
      </c>
      <c r="G31" s="23" t="inlineStr">
        <is>
          <t>Energieversorger / Gemeinde</t>
        </is>
      </c>
      <c r="H31" s="32" t="inlineStr">
        <is>
          <t>nicht öffentlich</t>
        </is>
      </c>
      <c r="I31" s="33" t="inlineStr">
        <is>
          <t>Datenanfrage (nicht öffentlich)</t>
        </is>
      </c>
      <c r="J31" s="33" t="inlineStr">
        <is>
          <t>Datenanfrage (nicht öffentlich)</t>
        </is>
      </c>
      <c r="K31" s="33" t="inlineStr">
        <is>
          <t>Datenanfrage (nicht öffentlich)</t>
        </is>
      </c>
      <c r="L31" s="23" t="inlineStr">
        <is>
          <t>Grundlage Wärmeplanung, Absenkpfad</t>
        </is>
      </c>
      <c r="M31" s="27" t="inlineStr">
        <is>
          <t>https://www.fedlex.admin.ch</t>
        </is>
      </c>
      <c r="N31" s="28" t="inlineStr">
        <is>
          <t>Einstiegsseite · geprüft · nur Einstiegsseite</t>
        </is>
      </c>
      <c r="O31" s="23" t="inlineStr">
        <is>
          <t>Ergänzung · mittel</t>
        </is>
      </c>
      <c r="P31" s="23" t="inlineStr">
        <is>
          <t>Existenz: hoch (Versorger je Gemeinde vorhanden). Zugang: Datenschutz/Geschäftsgeheimnis → Anfrage</t>
        </is>
      </c>
    </row>
    <row r="32" outlineLevel="1" ht="22.35" customHeight="1">
      <c r="A32" s="23" t="inlineStr">
        <is>
          <t>Gemeinden (alle)</t>
        </is>
      </c>
      <c r="B32" s="24" t="inlineStr">
        <is>
          <t>Q3</t>
        </is>
      </c>
      <c r="C32" s="23" t="inlineStr">
        <is>
          <t>Datensatz</t>
        </is>
      </c>
      <c r="D32" s="25" t="inlineStr">
        <is>
          <t>Gebäudebezogener Sanierungsstand, Heizungsregister, kommunale Gebäude-Energiebuchhaltung</t>
        </is>
      </c>
      <c r="E32" s="23" t="inlineStr">
        <is>
          <t>–</t>
        </is>
      </c>
      <c r="F32" s="23" t="inlineStr">
        <is>
          <t>–</t>
        </is>
      </c>
      <c r="G32" s="23" t="inlineStr">
        <is>
          <t>Gemeinde / Kanton</t>
        </is>
      </c>
      <c r="H32" s="32" t="inlineStr">
        <is>
          <t>nicht öffentlich</t>
        </is>
      </c>
      <c r="I32" s="33" t="inlineStr">
        <is>
          <t>Datenanfrage (nicht öffentlich)</t>
        </is>
      </c>
      <c r="J32" s="33" t="inlineStr">
        <is>
          <t>Datenanfrage (nicht öffentlich)</t>
        </is>
      </c>
      <c r="K32" s="33" t="inlineStr">
        <is>
          <t>Datenanfrage (nicht öffentlich)</t>
        </is>
      </c>
      <c r="L32" s="23" t="inlineStr">
        <is>
          <t>Gemeindeeigene Bauten, CO₂-Ausgangslage</t>
        </is>
      </c>
      <c r="M32" s="27" t="inlineStr">
        <is>
          <t>https://www.fedlex.admin.ch</t>
        </is>
      </c>
      <c r="N32" s="28" t="inlineStr">
        <is>
          <t>Einstiegsseite · geprüft · nur Einstiegsseite</t>
        </is>
      </c>
      <c r="O32" s="23" t="inlineStr">
        <is>
          <t>Ergänzung · mittel</t>
        </is>
      </c>
      <c r="P32" s="23" t="inlineStr">
        <is>
          <t>Existenz: mittel (Gebäudeprogramm/Feuerungskontrolle vorhanden, Aufbereitung offen)</t>
        </is>
      </c>
    </row>
    <row r="33" outlineLevel="1"/>
  </sheetData>
  <autoFilter ref="A5:P32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20" r:id="rId11"/>
    <hyperlink xmlns:r="http://schemas.openxmlformats.org/officeDocument/2006/relationships" ref="M21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6" r:id="rId15"/>
    <hyperlink xmlns:r="http://schemas.openxmlformats.org/officeDocument/2006/relationships" ref="M27" r:id="rId16"/>
    <hyperlink xmlns:r="http://schemas.openxmlformats.org/officeDocument/2006/relationships" ref="M28" r:id="rId17"/>
    <hyperlink xmlns:r="http://schemas.openxmlformats.org/officeDocument/2006/relationships" ref="M31" r:id="rId18"/>
    <hyperlink xmlns:r="http://schemas.openxmlformats.org/officeDocument/2006/relationships" ref="M32" r:id="rId19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4 · Q4 Klimaanpassung und Resilienz – Dokumente, Inventare, Geodaten</t>
        </is>
      </c>
    </row>
    <row r="2" ht="15" customHeight="1">
      <c r="A2" s="2" t="inlineStr">
        <is>
          <t>Kontext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Q4</t>
        </is>
      </c>
      <c r="C7" s="23" t="inlineStr">
        <is>
          <t>Layer</t>
        </is>
      </c>
      <c r="D7" s="25" t="inlineStr">
        <is>
          <t>Naturgefahren: Gefahrenhinweiskarte / Portal (Daten der Kantone, via geo.admin.ch)</t>
        </is>
      </c>
      <c r="E7" s="23" t="inlineStr">
        <is>
          <t>–</t>
        </is>
      </c>
      <c r="F7" s="23" t="inlineStr">
        <is>
          <t>Katalog: 04.02.2026</t>
        </is>
      </c>
      <c r="G7" s="23" t="inlineStr">
        <is>
          <t>BAFU (Portal) / Kantone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Gefahren und Nutzungseinschränkungen standortspezifisch prüfen</t>
        </is>
      </c>
      <c r="M7" s="27" t="inlineStr">
        <is>
          <t>https://www.geo.admin.ch/</t>
        </is>
      </c>
      <c r="N7" s="24" t="inlineStr">
        <is>
          <t>Kataster · geprüft · nur Einstiegsseite</t>
        </is>
      </c>
      <c r="O7" s="23" t="inlineStr">
        <is>
          <t>Katalog · hoch</t>
        </is>
      </c>
      <c r="P7" s="23" t="inlineStr">
        <is>
          <t>Gefahrenkarten sind kantonale Daten; Bund stellt Hinweiskarte/Portal</t>
        </is>
      </c>
    </row>
    <row r="8" outlineLevel="1" ht="32.85" customHeight="1">
      <c r="A8" s="23" t="inlineStr">
        <is>
          <t>Bund</t>
        </is>
      </c>
      <c r="B8" s="24" t="inlineStr">
        <is>
          <t>Q4</t>
        </is>
      </c>
      <c r="C8" s="23" t="inlineStr">
        <is>
          <t>Layer</t>
        </is>
      </c>
      <c r="D8" s="25" t="inlineStr">
        <is>
          <t>Gefährdungskarte Oberflächenabfluss (Starkregen)</t>
        </is>
      </c>
      <c r="E8" s="23" t="inlineStr">
        <is>
          <t>–</t>
        </is>
      </c>
      <c r="F8" s="23" t="inlineStr">
        <is>
          <t>–</t>
        </is>
      </c>
      <c r="G8" s="23" t="inlineStr">
        <is>
          <t>BAFU / VKF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Starkregen-/Oberflächenabfluss-Gefährdung</t>
        </is>
      </c>
      <c r="M8" s="43" t="inlineStr">
        <is>
          <t>https://map.geo.admin.ch/#/map?lang=de&amp;center=2660000,1190000&amp;z=1&amp;bgLayer=ch.swisstopo.pixelkarte-grau&amp;layers=ch.bafu.gefaehrdungskarte-oberflaechenabfluss</t>
        </is>
      </c>
      <c r="N8" s="44" t="inlineStr">
        <is>
          <t>geprüft · korrigiert</t>
        </is>
      </c>
      <c r="O8" s="23" t="inlineStr">
        <is>
          <t>Ergänzung · mittel</t>
        </is>
      </c>
      <c r="P8" s="23" t="inlineStr">
        <is>
          <t>Linkprüfung 14.10.2026: Layer-ID ch.bafu.gefahren-oberflaechenabfluss existiert nicht, richtig: ch.bafu.gefaehrdungskarte-oberflaechenabfluss; Hyperlink führte nur auf https://map.geo.admin.ch/ statt auf den angezeigten Link. Alter Link: https://map.geo.admin.ch/#/map?lang=de&amp;center=2660000,1190000&amp;z=1&amp;bgLayer=ch.swisstopo.pixelkarte-grau&amp;layers=ch.bafu.gefahren-oberflaechenabfluss</t>
        </is>
      </c>
    </row>
    <row r="9" outlineLevel="1" ht="22.35" customHeight="1">
      <c r="A9" s="23" t="inlineStr">
        <is>
          <t>Bund</t>
        </is>
      </c>
      <c r="B9" s="24" t="inlineStr">
        <is>
          <t>Q4</t>
        </is>
      </c>
      <c r="C9" s="23" t="inlineStr">
        <is>
          <t>Dokument / Daten</t>
        </is>
      </c>
      <c r="D9" s="25" t="inlineStr">
        <is>
          <t>Klimaszenarien CH2018 / Hydro-CH2018 / Klimaszenarien 2025; Strategie Anpassung an den Klimawandel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MeteoSchweiz / BAFU</t>
        </is>
      </c>
      <c r="H9" s="23" t="inlineStr">
        <is>
          <t>öffentlich</t>
        </is>
      </c>
      <c r="I9" s="26" t="inlineStr">
        <is>
          <t>belegt</t>
        </is>
      </c>
      <c r="J9" s="26" t="inlineStr">
        <is>
          <t>belegt</t>
        </is>
      </c>
      <c r="K9" s="26" t="inlineStr">
        <is>
          <t>belegt</t>
        </is>
      </c>
      <c r="L9" s="23" t="inlineStr">
        <is>
          <t>Klimaprojektionen, Hitze, Trockenheit, Starkniederschlag</t>
        </is>
      </c>
      <c r="M9" s="27" t="inlineStr">
        <is>
          <t>https://www.bafu.admin.ch</t>
        </is>
      </c>
      <c r="N9" s="28" t="inlineStr">
        <is>
          <t>Einstiegsseite · geprüft · nur Einstiegsseite</t>
        </is>
      </c>
      <c r="O9" s="23" t="inlineStr">
        <is>
          <t>Ergänzung · mittel</t>
        </is>
      </c>
      <c r="P9" s="23" t="n"/>
    </row>
    <row r="10" outlineLevel="1" ht="22.35" customHeight="1">
      <c r="A10" s="23" t="inlineStr">
        <is>
          <t>Bund</t>
        </is>
      </c>
      <c r="B10" s="24" t="inlineStr">
        <is>
          <t>Q4</t>
        </is>
      </c>
      <c r="C10" s="23" t="inlineStr">
        <is>
          <t>Layer</t>
        </is>
      </c>
      <c r="D10" s="25" t="inlineStr">
        <is>
          <t>Hitzebelastung / Klimaanalyse (urbane Wärmeinseln, Bundesdaten)</t>
        </is>
      </c>
      <c r="E10" s="23" t="inlineStr">
        <is>
          <t>–</t>
        </is>
      </c>
      <c r="F10" s="23" t="inlineStr">
        <is>
          <t>–</t>
        </is>
      </c>
      <c r="G10" s="23" t="inlineStr">
        <is>
          <t>BAFU / MeteoSchweiz</t>
        </is>
      </c>
      <c r="H10" s="23" t="inlineStr">
        <is>
          <t>öffentlich</t>
        </is>
      </c>
      <c r="I10" s="30" t="inlineStr">
        <is>
          <t>nicht belegt (Recherche offen)</t>
        </is>
      </c>
      <c r="J10" s="30" t="inlineStr">
        <is>
          <t>nicht belegt (Recherche offen)</t>
        </is>
      </c>
      <c r="K10" s="30" t="inlineStr">
        <is>
          <t>nicht belegt (Recherche offen)</t>
        </is>
      </c>
      <c r="L10" s="23" t="inlineStr">
        <is>
          <t>Hitzevorsorge Siedlungsgebiet</t>
        </is>
      </c>
      <c r="M10" s="27" t="inlineStr">
        <is>
          <t>https://www.bafu.admin.ch</t>
        </is>
      </c>
      <c r="N10" s="28" t="inlineStr">
        <is>
          <t>Einstiegsseite · geprüft · nur Einstiegsseite</t>
        </is>
      </c>
      <c r="O10" s="23" t="inlineStr">
        <is>
          <t>Ergänzung · tief</t>
        </is>
      </c>
      <c r="P10" s="23" t="inlineStr">
        <is>
          <t>Abdeckung für kleine Gemeinden prüfen</t>
        </is>
      </c>
    </row>
    <row r="11" outlineLevel="1" ht="32.85" customHeight="1">
      <c r="A11" s="23" t="inlineStr">
        <is>
          <t>Bund</t>
        </is>
      </c>
      <c r="B11" s="24" t="inlineStr">
        <is>
          <t>Q4</t>
        </is>
      </c>
      <c r="C11" s="23" t="inlineStr">
        <is>
          <t>Layer / Norm</t>
        </is>
      </c>
      <c r="D11" s="25" t="inlineStr">
        <is>
          <t>Erdbebengefährdung / Mikrozonierung (SED), SIA 261 Bauwerksklassen</t>
        </is>
      </c>
      <c r="E11" s="23" t="inlineStr">
        <is>
          <t>–</t>
        </is>
      </c>
      <c r="F11" s="23" t="inlineStr">
        <is>
          <t>–</t>
        </is>
      </c>
      <c r="G11" s="23" t="inlineStr">
        <is>
          <t>SED / SIA</t>
        </is>
      </c>
      <c r="H11" s="23" t="inlineStr">
        <is>
          <t>teilw. öffentlich</t>
        </is>
      </c>
      <c r="I11" s="31" t="inlineStr">
        <is>
          <t>belegt – Betroffenheit offen</t>
        </is>
      </c>
      <c r="J11" s="31" t="inlineStr">
        <is>
          <t>belegt – Betroffenheit offen</t>
        </is>
      </c>
      <c r="K11" s="31" t="inlineStr">
        <is>
          <t>belegt – Betroffenheit offen</t>
        </is>
      </c>
      <c r="L11" s="23" t="inlineStr">
        <is>
          <t>Baugrund-Klassen, Bauvorschriften</t>
        </is>
      </c>
      <c r="M11" s="43" t="inlineStr">
        <is>
          <t>https://map.geo.admin.ch/#/map?lang=de&amp;center=2660000,1190000&amp;z=1&amp;bgLayer=ch.swisstopo.pixelkarte-grau&amp;layers=ch.bafu.gefahren-baugrundklassen</t>
        </is>
      </c>
      <c r="N11" s="44" t="inlineStr">
        <is>
          <t>geprüft · korrigiert</t>
        </is>
      </c>
      <c r="O11" s="23" t="inlineStr">
        <is>
          <t>Ergänzung · mittel</t>
        </is>
      </c>
      <c r="P11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https://map.geo.admin.ch/#/map?lang=de&amp;center=2660000,1190000&amp;z=1&amp;bgLayer=ch.swisstopo.pixelkarte-grau&amp;layers=ch.bafu.gefahren-baugrundklassen</t>
        </is>
      </c>
    </row>
    <row r="12" outlineLevel="1" ht="32.85" customHeight="1">
      <c r="A12" s="23" t="inlineStr">
        <is>
          <t>Bund</t>
        </is>
      </c>
      <c r="B12" s="24" t="inlineStr">
        <is>
          <t>Q4</t>
        </is>
      </c>
      <c r="C12" s="23" t="inlineStr">
        <is>
          <t>Layer</t>
        </is>
      </c>
      <c r="D12" s="25" t="inlineStr">
        <is>
          <t>Lärmbelastung (sonBASE), Störfall-Risikokataster, Kataster belasteter Standorte (Bundesbezug)</t>
        </is>
      </c>
      <c r="E12" s="23" t="inlineStr">
        <is>
          <t>USG / StFV / AltlV</t>
        </is>
      </c>
      <c r="F12" s="23" t="inlineStr">
        <is>
          <t>–</t>
        </is>
      </c>
      <c r="G12" s="23" t="inlineStr">
        <is>
          <t>BAFU / Kantone</t>
        </is>
      </c>
      <c r="H12" s="23" t="inlineStr">
        <is>
          <t>teilw. öffentlich</t>
        </is>
      </c>
      <c r="I12" s="31" t="inlineStr">
        <is>
          <t>belegt – Betroffenheit offen</t>
        </is>
      </c>
      <c r="J12" s="31" t="inlineStr">
        <is>
          <t>belegt – Betroffenheit offen</t>
        </is>
      </c>
      <c r="K12" s="31" t="inlineStr">
        <is>
          <t>belegt – Betroffenheit offen</t>
        </is>
      </c>
      <c r="L12" s="23" t="inlineStr">
        <is>
          <t>Belastungen, Standortrestriktionen</t>
        </is>
      </c>
      <c r="M12" s="43" t="inlineStr">
        <is>
          <t>https://map.geo.admin.ch/#/map?lang=de&amp;center=2660000,1190000&amp;z=1&amp;bgLayer=ch.swisstopo.pixelkarte-grau&amp;layers=ch.bafu.laerm-strassenlaerm_tag</t>
        </is>
      </c>
      <c r="N12" s="44" t="inlineStr">
        <is>
          <t>geprüft · korrigiert</t>
        </is>
      </c>
      <c r="O12" s="23" t="inlineStr">
        <is>
          <t>Ergänzung · mittel</t>
        </is>
      </c>
      <c r="P12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https://map.geo.admin.ch/#/map?lang=de&amp;center=2660000,1190000&amp;z=1&amp;bgLayer=ch.swisstopo.pixelkarte-grau&amp;layers=ch.bafu.laerm-strassenlaerm_tag</t>
        </is>
      </c>
    </row>
    <row r="13" ht="19.5" customHeight="1">
      <c r="A13" s="21" t="inlineStr">
        <is>
          <t>KANTON BASEL-LANDSCHAFT  →  Münchenstein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outlineLevel="1" ht="22.35" customHeight="1">
      <c r="A14" s="23" t="inlineStr">
        <is>
          <t>Kanton BL</t>
        </is>
      </c>
      <c r="B14" s="24" t="inlineStr">
        <is>
          <t>Q4</t>
        </is>
      </c>
      <c r="C14" s="23" t="inlineStr">
        <is>
          <t>Layer</t>
        </is>
      </c>
      <c r="D14" s="25" t="inlineStr">
        <is>
          <t>Kantonale Naturgefahrenkarten BL (Wasser-, Sturz-, Rutschgefahren)</t>
        </is>
      </c>
      <c r="E14" s="23" t="inlineStr">
        <is>
          <t>–</t>
        </is>
      </c>
      <c r="F14" s="23" t="inlineStr">
        <is>
          <t>Katalog: 28.11.2005</t>
        </is>
      </c>
      <c r="G14" s="23" t="inlineStr">
        <is>
          <t>Kanton BL</t>
        </is>
      </c>
      <c r="H14" s="23" t="inlineStr">
        <is>
          <t>öffentlich</t>
        </is>
      </c>
      <c r="I14" s="26" t="inlineStr">
        <is>
          <t>belegt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Gefährdung und allfällige Nutzungsauflagen prüfen</t>
        </is>
      </c>
      <c r="M14" s="27" t="inlineStr">
        <is>
          <t>https://geoview.bl.ch/</t>
        </is>
      </c>
      <c r="N14" s="24" t="inlineStr">
        <is>
          <t>Kataster · geprüft · nur Einstiegsseite</t>
        </is>
      </c>
      <c r="O14" s="23" t="inlineStr">
        <is>
          <t>Katalog · hoch</t>
        </is>
      </c>
      <c r="P14" s="23" t="inlineStr">
        <is>
          <t>Stand 2005 → Aktualität prüfen</t>
        </is>
      </c>
    </row>
    <row r="15" outlineLevel="1" ht="32.85" customHeight="1">
      <c r="A15" s="23" t="inlineStr">
        <is>
          <t>Kanton BL</t>
        </is>
      </c>
      <c r="B15" s="24" t="inlineStr">
        <is>
          <t>Q4</t>
        </is>
      </c>
      <c r="C15" s="23" t="inlineStr">
        <is>
          <t>Layer</t>
        </is>
      </c>
      <c r="D15" s="25" t="inlineStr">
        <is>
          <t>Kantonale Hitze-/Klimaanalyse, Oberflächenabfluss, Lärm- und Altlastenkataster BL</t>
        </is>
      </c>
      <c r="E15" s="23" t="inlineStr">
        <is>
          <t>–</t>
        </is>
      </c>
      <c r="F15" s="23" t="inlineStr">
        <is>
          <t>–</t>
        </is>
      </c>
      <c r="G15" s="23" t="inlineStr">
        <is>
          <t>Kanton BL</t>
        </is>
      </c>
      <c r="H15" s="23" t="inlineStr">
        <is>
          <t>öffentlich</t>
        </is>
      </c>
      <c r="I15" s="30" t="inlineStr">
        <is>
          <t>nicht belegt (Recherche offen)</t>
        </is>
      </c>
      <c r="J15" s="29" t="inlineStr">
        <is>
          <t>n. a.</t>
        </is>
      </c>
      <c r="K15" s="29" t="inlineStr">
        <is>
          <t>n. a.</t>
        </is>
      </c>
      <c r="L15" s="23" t="inlineStr">
        <is>
          <t>Hitze, Starkregen, Belastungen</t>
        </is>
      </c>
      <c r="M15" s="27" t="inlineStr">
        <is>
          <t>https://geoview.bl.ch</t>
        </is>
      </c>
      <c r="N15" s="28" t="inlineStr">
        <is>
          <t>Muster · geprüft · nur Einstiegsseite</t>
        </is>
      </c>
      <c r="O15" s="23" t="inlineStr">
        <is>
          <t>Ergänzung · tief</t>
        </is>
      </c>
      <c r="P15" s="23" t="n"/>
    </row>
    <row r="16" ht="19.5" customHeight="1">
      <c r="A16" s="21" t="inlineStr">
        <is>
          <t>KANTON ST. GALLEN  →  Wil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 outlineLevel="1" ht="22.35" customHeight="1">
      <c r="A17" s="23" t="inlineStr">
        <is>
          <t>Kanton SG</t>
        </is>
      </c>
      <c r="B17" s="24" t="inlineStr">
        <is>
          <t>Q4</t>
        </is>
      </c>
      <c r="C17" s="23" t="inlineStr">
        <is>
          <t>Layer</t>
        </is>
      </c>
      <c r="D17" s="25" t="inlineStr">
        <is>
          <t>Kantonale Naturgefahrenkarten SG</t>
        </is>
      </c>
      <c r="E17" s="23" t="inlineStr">
        <is>
          <t>–</t>
        </is>
      </c>
      <c r="F17" s="23" t="inlineStr">
        <is>
          <t>Katalog: 03.09.2026</t>
        </is>
      </c>
      <c r="G17" s="23" t="inlineStr">
        <is>
          <t>Kanton SG</t>
        </is>
      </c>
      <c r="H17" s="23" t="inlineStr">
        <is>
          <t>öffentlich</t>
        </is>
      </c>
      <c r="I17" s="29" t="inlineStr">
        <is>
          <t>n. a.</t>
        </is>
      </c>
      <c r="J17" s="26" t="inlineStr">
        <is>
          <t>belegt</t>
        </is>
      </c>
      <c r="K17" s="29" t="inlineStr">
        <is>
          <t>n. a.</t>
        </is>
      </c>
      <c r="L17" s="23" t="inlineStr">
        <is>
          <t>Gefährdung und allfällige Nutzungsauflagen prüfen</t>
        </is>
      </c>
      <c r="M17" s="43" t="inlineStr">
        <is>
          <t>https://www.geoportal.ch/ktsg/map/3502?y=2721138&amp;x=1258009&amp;scale=50000&amp;rotation=0</t>
        </is>
      </c>
      <c r="N17" s="44" t="inlineStr">
        <is>
          <t>geprüft · korrigiert</t>
        </is>
      </c>
      <c r="O17" s="23" t="inlineStr">
        <is>
          <t>Katalog · hoch</t>
        </is>
      </c>
      <c r="P17" s="23" t="inlineStr">
        <is>
          <t>Linkprüfung 14.10.2026: Kartenzentrum lag rund 6 km südlich von Wil; auf Wil zentriert. Alter Link: https://www.geoportal.ch/ktsg/map/3502?y=2717572.22&amp;x=1252351.20&amp;scale=50000&amp;rotation=0</t>
        </is>
      </c>
    </row>
    <row r="18" outlineLevel="1" ht="32.85" customHeight="1">
      <c r="A18" s="23" t="inlineStr">
        <is>
          <t>Kanton SG</t>
        </is>
      </c>
      <c r="B18" s="24" t="inlineStr">
        <is>
          <t>Q4</t>
        </is>
      </c>
      <c r="C18" s="23" t="inlineStr">
        <is>
          <t>Layer</t>
        </is>
      </c>
      <c r="D18" s="25" t="inlineStr">
        <is>
          <t>Hitze-/Klimaanalyse, Oberflächenabfluss, Lärm- und Altlastenkataster SG</t>
        </is>
      </c>
      <c r="E18" s="23" t="inlineStr">
        <is>
          <t>–</t>
        </is>
      </c>
      <c r="F18" s="23" t="inlineStr">
        <is>
          <t>–</t>
        </is>
      </c>
      <c r="G18" s="23" t="inlineStr">
        <is>
          <t>Kanton SG</t>
        </is>
      </c>
      <c r="H18" s="23" t="inlineStr">
        <is>
          <t>öffentlich</t>
        </is>
      </c>
      <c r="I18" s="29" t="inlineStr">
        <is>
          <t>n. a.</t>
        </is>
      </c>
      <c r="J18" s="30" t="inlineStr">
        <is>
          <t>nicht belegt (Recherche offen)</t>
        </is>
      </c>
      <c r="K18" s="29" t="inlineStr">
        <is>
          <t>n. a.</t>
        </is>
      </c>
      <c r="L18" s="23" t="inlineStr">
        <is>
          <t>Hitze, Starkregen, Belastungen</t>
        </is>
      </c>
      <c r="M18" s="27" t="inlineStr">
        <is>
          <t>https://www.geoportal.ch/ktsg</t>
        </is>
      </c>
      <c r="N18" s="46" t="inlineStr">
        <is>
          <t>Muster · geprüft · manuell prüfen</t>
        </is>
      </c>
      <c r="O18" s="23" t="inlineStr">
        <is>
          <t>Ergänzung · tief</t>
        </is>
      </c>
      <c r="P18" s="23" t="inlineStr">
        <is>
          <t>Linkprüfung 14.10.2026: erreichbar, Bezeichnung im Dokument nicht gefunden («Geoportal»)</t>
        </is>
      </c>
    </row>
    <row r="19" ht="19.5" customHeight="1">
      <c r="A19" s="21" t="inlineStr">
        <is>
          <t>KANTON URI  →  Seelisberg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outlineLevel="1" ht="22.35" customHeight="1">
      <c r="A20" s="23" t="inlineStr">
        <is>
          <t>Kanton UR</t>
        </is>
      </c>
      <c r="B20" s="24" t="inlineStr">
        <is>
          <t>Q4</t>
        </is>
      </c>
      <c r="C20" s="23" t="inlineStr">
        <is>
          <t>Layer</t>
        </is>
      </c>
      <c r="D20" s="25" t="inlineStr">
        <is>
          <t>Kantonale Naturgefahrenkarten Uri</t>
        </is>
      </c>
      <c r="E20" s="23" t="inlineStr">
        <is>
          <t>–</t>
        </is>
      </c>
      <c r="F20" s="23" t="inlineStr">
        <is>
          <t>22.08.2023</t>
        </is>
      </c>
      <c r="G20" s="23" t="inlineStr">
        <is>
          <t>Kanton UR</t>
        </is>
      </c>
      <c r="H20" s="23" t="inlineStr">
        <is>
          <t>öffentlich</t>
        </is>
      </c>
      <c r="I20" s="29" t="inlineStr">
        <is>
          <t>n. a.</t>
        </is>
      </c>
      <c r="J20" s="29" t="inlineStr">
        <is>
          <t>n. a.</t>
        </is>
      </c>
      <c r="K20" s="26" t="inlineStr">
        <is>
          <t>belegt</t>
        </is>
      </c>
      <c r="L20" s="23" t="inlineStr">
        <is>
          <t>Gefährdung und allfällige Nutzungsauflagen prüfen</t>
        </is>
      </c>
      <c r="M20" s="27" t="inlineStr">
        <is>
          <t>https://geo.ur.ch/</t>
        </is>
      </c>
      <c r="N20" s="24" t="inlineStr">
        <is>
          <t>Kataster · geprüft · nur Einstiegsseite</t>
        </is>
      </c>
      <c r="O20" s="23" t="inlineStr">
        <is>
          <t>Katalog · hoch</t>
        </is>
      </c>
      <c r="P20" s="23" t="inlineStr">
        <is>
          <t>Seelisberg: Sturz-/Rutschgefahr erwartbar → Gefahrenstufen im Perimeter auswerten</t>
        </is>
      </c>
    </row>
    <row r="21" outlineLevel="1" ht="32.85" customHeight="1">
      <c r="A21" s="23" t="inlineStr">
        <is>
          <t>Kanton UR</t>
        </is>
      </c>
      <c r="B21" s="24" t="inlineStr">
        <is>
          <t>Q4</t>
        </is>
      </c>
      <c r="C21" s="23" t="inlineStr">
        <is>
          <t>Layer</t>
        </is>
      </c>
      <c r="D21" s="25" t="inlineStr">
        <is>
          <t>Schutzwald, Lawinen-/Steinschlagschutz, Lärm-/Altlastenkataster Uri</t>
        </is>
      </c>
      <c r="E21" s="23" t="inlineStr">
        <is>
          <t>–</t>
        </is>
      </c>
      <c r="F21" s="23" t="inlineStr">
        <is>
          <t>–</t>
        </is>
      </c>
      <c r="G21" s="23" t="inlineStr">
        <is>
          <t>Kanton UR</t>
        </is>
      </c>
      <c r="H21" s="23" t="inlineStr">
        <is>
          <t>öffentlich</t>
        </is>
      </c>
      <c r="I21" s="29" t="inlineStr">
        <is>
          <t>n. a.</t>
        </is>
      </c>
      <c r="J21" s="29" t="inlineStr">
        <is>
          <t>n. a.</t>
        </is>
      </c>
      <c r="K21" s="30" t="inlineStr">
        <is>
          <t>nicht belegt (Recherche offen)</t>
        </is>
      </c>
      <c r="L21" s="23" t="inlineStr">
        <is>
          <t>Schutzbauten, Belastungen</t>
        </is>
      </c>
      <c r="M21" s="27" t="inlineStr">
        <is>
          <t>https://geo.ur.ch/</t>
        </is>
      </c>
      <c r="N21" s="28" t="inlineStr">
        <is>
          <t>Muster · geprüft · nur Einstiegsseite</t>
        </is>
      </c>
      <c r="O21" s="23" t="inlineStr">
        <is>
          <t>Ergänzung · tief</t>
        </is>
      </c>
      <c r="P21" s="23" t="n"/>
    </row>
    <row r="22" ht="19.5" customHeight="1">
      <c r="A22" s="21" t="inlineStr">
        <is>
          <t>GEMEINDE MÜNCHENSTEIN (BL)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outlineLevel="1" ht="22.35" customHeight="1">
      <c r="A23" s="23" t="inlineStr">
        <is>
          <t>Gde Münchenstein</t>
        </is>
      </c>
      <c r="B23" s="24" t="inlineStr">
        <is>
          <t>Q4</t>
        </is>
      </c>
      <c r="C23" s="23" t="inlineStr">
        <is>
          <t>Reglement</t>
        </is>
      </c>
      <c r="D23" s="25" t="inlineStr">
        <is>
          <t>Abwasserreglement (28.10.2020)</t>
        </is>
      </c>
      <c r="E23" s="23" t="inlineStr">
        <is>
          <t>TR 5.4</t>
        </is>
      </c>
      <c r="F23" s="23" t="inlineStr">
        <is>
          <t>07.01.2021</t>
        </is>
      </c>
      <c r="G23" s="23" t="inlineStr">
        <is>
          <t>Gde Münchenstein</t>
        </is>
      </c>
      <c r="H23" s="23" t="inlineStr">
        <is>
          <t>öffentlich</t>
        </is>
      </c>
      <c r="I23" s="26" t="inlineStr">
        <is>
          <t>belegt</t>
        </is>
      </c>
      <c r="J23" s="29" t="inlineStr">
        <is>
          <t>n. a.</t>
        </is>
      </c>
      <c r="K23" s="29" t="inlineStr">
        <is>
          <t>n. a.</t>
        </is>
      </c>
      <c r="L23" s="23" t="inlineStr">
        <is>
          <t>Entwässerungs- und Retentionsanforderungen</t>
        </is>
      </c>
      <c r="M23" s="27" t="inlineStr">
        <is>
          <t>https://www.muenchenstein.ch/_docn/5130739/TR_5.4_Abwasserreglement_vom_28._Oktober_2020_-_Stand_07.01.2021.pdf</t>
        </is>
      </c>
      <c r="N23" s="42" t="inlineStr">
        <is>
          <t>Kataster · geprüft · OK</t>
        </is>
      </c>
      <c r="O23" s="23" t="inlineStr">
        <is>
          <t>Katalog · hoch</t>
        </is>
      </c>
      <c r="P23" s="23" t="n"/>
    </row>
    <row r="24" outlineLevel="1" ht="22.35" customHeight="1">
      <c r="A24" s="23" t="inlineStr">
        <is>
          <t>Gde Münchenstein</t>
        </is>
      </c>
      <c r="B24" s="24" t="inlineStr">
        <is>
          <t>Q4</t>
        </is>
      </c>
      <c r="C24" s="23" t="inlineStr">
        <is>
          <t>Layer</t>
        </is>
      </c>
      <c r="D24" s="25" t="inlineStr">
        <is>
          <t>Generelle Entwässerungsplanung (GEP) / Starkregengrundlagen (Geoportal)</t>
        </is>
      </c>
      <c r="E24" s="23" t="inlineStr">
        <is>
          <t>–</t>
        </is>
      </c>
      <c r="F24" s="23" t="inlineStr">
        <is>
          <t>Katalog: kein Stand</t>
        </is>
      </c>
      <c r="G24" s="23" t="inlineStr">
        <is>
          <t>Gde Münchenstein</t>
        </is>
      </c>
      <c r="H24" s="23" t="inlineStr">
        <is>
          <t>teilw. öffentlich</t>
        </is>
      </c>
      <c r="I24" s="26" t="inlineStr">
        <is>
          <t>belegt</t>
        </is>
      </c>
      <c r="J24" s="29" t="inlineStr">
        <is>
          <t>n. a.</t>
        </is>
      </c>
      <c r="K24" s="29" t="inlineStr">
        <is>
          <t>n. a.</t>
        </is>
      </c>
      <c r="L24" s="23" t="inlineStr">
        <is>
          <t>GEP- und Starkregenprüfung</t>
        </is>
      </c>
      <c r="M24" s="27" t="inlineStr">
        <is>
          <t>https://www.geoportal.ch/muenchenstein/map/1037?y=2611563.50&amp;x=1263436.40&amp;scale=25000&amp;rotation=0</t>
        </is>
      </c>
      <c r="N24" s="42" t="inlineStr">
        <is>
          <t>Kataster · geprüft · OK</t>
        </is>
      </c>
      <c r="O24" s="23" t="inlineStr">
        <is>
          <t>Katalog · hoch</t>
        </is>
      </c>
      <c r="P24" s="23" t="inlineStr">
        <is>
          <t>Einsehbar ohne Attribute, externe Legende; Bezug bei Baudirektion</t>
        </is>
      </c>
    </row>
    <row r="25" ht="19.5" customHeight="1">
      <c r="A25" s="21" t="inlineStr">
        <is>
          <t>GEMEINDE WIL (SG)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outlineLevel="1" ht="22.35" customHeight="1">
      <c r="A26" s="23" t="inlineStr">
        <is>
          <t>Gde Wil</t>
        </is>
      </c>
      <c r="B26" s="24" t="inlineStr">
        <is>
          <t>Q4</t>
        </is>
      </c>
      <c r="C26" s="23" t="inlineStr">
        <is>
          <t>Reglement</t>
        </is>
      </c>
      <c r="D26" s="25" t="inlineStr">
        <is>
          <t>Abwasserreglement</t>
        </is>
      </c>
      <c r="E26" s="45" t="inlineStr">
        <is>
          <t>SRS 7.4.3-6</t>
        </is>
      </c>
      <c r="F26" s="23" t="inlineStr">
        <is>
          <t>Katalog: kein Stand</t>
        </is>
      </c>
      <c r="G26" s="23" t="inlineStr">
        <is>
          <t>Gde Wil</t>
        </is>
      </c>
      <c r="H26" s="23" t="inlineStr">
        <is>
          <t>öffentlich</t>
        </is>
      </c>
      <c r="I26" s="29" t="inlineStr">
        <is>
          <t>n. a.</t>
        </is>
      </c>
      <c r="J26" s="26" t="inlineStr">
        <is>
          <t>belegt</t>
        </is>
      </c>
      <c r="K26" s="29" t="inlineStr">
        <is>
          <t>n. a.</t>
        </is>
      </c>
      <c r="L26" s="23" t="inlineStr">
        <is>
          <t>Entwässerungs- und Retentionsanforderungen</t>
        </is>
      </c>
      <c r="M26" s="43" t="inlineStr">
        <is>
          <t>https://wil-sg.tlex.ch/app/de/texts_of_law/7.4.3-6</t>
        </is>
      </c>
      <c r="N26" s="44" t="inlineStr">
        <is>
          <t>geprüft · korrigiert</t>
        </is>
      </c>
      <c r="O26" s="23" t="inlineStr">
        <is>
          <t>Katalog · hoch</t>
        </is>
      </c>
      <c r="P26" s="23" t="inlineStr">
        <is>
          <t>Linkprüfung 14.10.2026: Link zeigte auf einen Entwurf («vom ____»); geltende Fassung = SRS 7.4.3-6 (Titel lt. Sammlung: «Abwasserreglement»). Alter Link: https://www.stadtwil.ch/storage/8ae27a52e6272acbe7a00ddad257f439fbae9a367f80166a75d97ea28f6771cf</t>
        </is>
      </c>
    </row>
    <row r="27" outlineLevel="1" ht="22.35" customHeight="1">
      <c r="A27" s="23" t="inlineStr">
        <is>
          <t>Gde Wil</t>
        </is>
      </c>
      <c r="B27" s="24" t="inlineStr">
        <is>
          <t>Q4</t>
        </is>
      </c>
      <c r="C27" s="23" t="inlineStr">
        <is>
          <t>Plan</t>
        </is>
      </c>
      <c r="D27" s="25" t="inlineStr">
        <is>
          <t>GEP / Starkregenkarte Wil</t>
        </is>
      </c>
      <c r="E27" s="23" t="inlineStr">
        <is>
          <t>–</t>
        </is>
      </c>
      <c r="F27" s="23" t="inlineStr">
        <is>
          <t>–</t>
        </is>
      </c>
      <c r="G27" s="23" t="inlineStr">
        <is>
          <t>Gde Wil</t>
        </is>
      </c>
      <c r="H27" s="23" t="inlineStr">
        <is>
          <t>öffentlich</t>
        </is>
      </c>
      <c r="I27" s="29" t="inlineStr">
        <is>
          <t>n. a.</t>
        </is>
      </c>
      <c r="J27" s="30" t="inlineStr">
        <is>
          <t>nicht belegt (Recherche offen)</t>
        </is>
      </c>
      <c r="K27" s="29" t="inlineStr">
        <is>
          <t>n. a.</t>
        </is>
      </c>
      <c r="L27" s="23" t="inlineStr">
        <is>
          <t>Im Katalog nicht belegt</t>
        </is>
      </c>
      <c r="M27" s="27" t="inlineStr">
        <is>
          <t>https://www.stadtwil.ch</t>
        </is>
      </c>
      <c r="N27" s="28" t="inlineStr">
        <is>
          <t>Einstiegsseite · geprüft · nur Einstiegsseite</t>
        </is>
      </c>
      <c r="O27" s="23" t="inlineStr">
        <is>
          <t>Ergänzung · tief</t>
        </is>
      </c>
      <c r="P27" s="23" t="n"/>
    </row>
    <row r="28" ht="19.5" customHeight="1">
      <c r="A28" s="21" t="inlineStr">
        <is>
          <t>GEMEINDE SEELISBERG (UR)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 outlineLevel="1" ht="22.35" customHeight="1">
      <c r="A29" s="23" t="inlineStr">
        <is>
          <t>Gde Seelisberg</t>
        </is>
      </c>
      <c r="B29" s="24" t="inlineStr">
        <is>
          <t>Q4</t>
        </is>
      </c>
      <c r="C29" s="23" t="inlineStr">
        <is>
          <t>Verordnung</t>
        </is>
      </c>
      <c r="D29" s="25" t="inlineStr">
        <is>
          <t>Verordnung über die Wasserversorgung</t>
        </is>
      </c>
      <c r="E29" s="23" t="inlineStr">
        <is>
          <t>–</t>
        </is>
      </c>
      <c r="F29" s="23" t="inlineStr">
        <is>
          <t>01.01.2020</t>
        </is>
      </c>
      <c r="G29" s="23" t="inlineStr">
        <is>
          <t>Gde Seelisberg</t>
        </is>
      </c>
      <c r="H29" s="23" t="inlineStr">
        <is>
          <t>öffentlich</t>
        </is>
      </c>
      <c r="I29" s="29" t="inlineStr">
        <is>
          <t>n. a.</t>
        </is>
      </c>
      <c r="J29" s="29" t="inlineStr">
        <is>
          <t>n. a.</t>
        </is>
      </c>
      <c r="K29" s="26" t="inlineStr">
        <is>
          <t>belegt</t>
        </is>
      </c>
      <c r="L29" s="23" t="inlineStr">
        <is>
          <t>Wasserversorgung; Entwässerung/Retention damit nicht abgedeckt</t>
        </is>
      </c>
      <c r="M29" s="27" t="inlineStr">
        <is>
          <t>https://www.seelisberg.ch/files/pdf/Verordnung_%C3%BCber_die_Wasserversorgung.pdf</t>
        </is>
      </c>
      <c r="N29" s="42" t="inlineStr">
        <is>
          <t>Kataster · geprüft · OK</t>
        </is>
      </c>
      <c r="O29" s="23" t="inlineStr">
        <is>
          <t>Katalog · hoch</t>
        </is>
      </c>
      <c r="P29" s="23" t="n"/>
    </row>
    <row r="30" outlineLevel="1" ht="22.35" customHeight="1">
      <c r="A30" s="23" t="inlineStr">
        <is>
          <t>Gde Seelisberg</t>
        </is>
      </c>
      <c r="B30" s="24" t="inlineStr">
        <is>
          <t>Q4</t>
        </is>
      </c>
      <c r="C30" s="23" t="inlineStr">
        <is>
          <t>Reglement</t>
        </is>
      </c>
      <c r="D30" s="25" t="inlineStr">
        <is>
          <t>BZO Art. 24 Gefahrenzonen</t>
        </is>
      </c>
      <c r="E30" s="23" t="inlineStr">
        <is>
          <t>–</t>
        </is>
      </c>
      <c r="F30" s="23" t="inlineStr">
        <is>
          <t>01.01.2015</t>
        </is>
      </c>
      <c r="G30" s="23" t="inlineStr">
        <is>
          <t>Gde Seelisberg</t>
        </is>
      </c>
      <c r="H30" s="23" t="inlineStr">
        <is>
          <t>öffentlich</t>
        </is>
      </c>
      <c r="I30" s="29" t="inlineStr">
        <is>
          <t>n. a.</t>
        </is>
      </c>
      <c r="J30" s="29" t="inlineStr">
        <is>
          <t>n. a.</t>
        </is>
      </c>
      <c r="K30" s="26" t="inlineStr">
        <is>
          <t>belegt</t>
        </is>
      </c>
      <c r="L30" s="23" t="inlineStr">
        <is>
          <t>Gefahrenzonen in der Nutzungsplanung</t>
        </is>
      </c>
      <c r="M30" s="27" t="inlineStr">
        <is>
          <t>https://www.seelisberg.ch/files/pdf/Bau-und-Zonenordnung-Seelisberg.pdf</t>
        </is>
      </c>
      <c r="N30" s="42" t="inlineStr">
        <is>
          <t>Kataster · geprüft · OK</t>
        </is>
      </c>
      <c r="O30" s="23" t="inlineStr">
        <is>
          <t>Katalog · hoch</t>
        </is>
      </c>
      <c r="P30" s="23" t="n"/>
    </row>
    <row r="31" outlineLevel="1" ht="22.35" customHeight="1">
      <c r="A31" s="23" t="inlineStr">
        <is>
          <t>Gde Seelisberg</t>
        </is>
      </c>
      <c r="B31" s="24" t="inlineStr">
        <is>
          <t>Q4</t>
        </is>
      </c>
      <c r="C31" s="23" t="inlineStr">
        <is>
          <t>Plan</t>
        </is>
      </c>
      <c r="D31" s="25" t="inlineStr">
        <is>
          <t>Abwasserreglement / GEP Seelisberg</t>
        </is>
      </c>
      <c r="E31" s="23" t="inlineStr">
        <is>
          <t>–</t>
        </is>
      </c>
      <c r="F31" s="23" t="inlineStr">
        <is>
          <t>–</t>
        </is>
      </c>
      <c r="G31" s="23" t="inlineStr">
        <is>
          <t>Gde Seelisberg</t>
        </is>
      </c>
      <c r="H31" s="23" t="inlineStr">
        <is>
          <t>öffentlich</t>
        </is>
      </c>
      <c r="I31" s="29" t="inlineStr">
        <is>
          <t>n. a.</t>
        </is>
      </c>
      <c r="J31" s="29" t="inlineStr">
        <is>
          <t>n. a.</t>
        </is>
      </c>
      <c r="K31" s="30" t="inlineStr">
        <is>
          <t>nicht belegt (Recherche offen)</t>
        </is>
      </c>
      <c r="L31" s="23" t="inlineStr">
        <is>
          <t>Im Katalog nicht belegt</t>
        </is>
      </c>
      <c r="M31" s="27" t="inlineStr">
        <is>
          <t>https://www.seelisberg.ch</t>
        </is>
      </c>
      <c r="N31" s="28" t="inlineStr">
        <is>
          <t>Einstiegsseite · geprüft · nur Einstiegsseite</t>
        </is>
      </c>
      <c r="O31" s="23" t="inlineStr">
        <is>
          <t>Ergänzung · tief</t>
        </is>
      </c>
      <c r="P31" s="23" t="n"/>
    </row>
    <row r="32" ht="19.5" customHeight="1">
      <c r="A32" s="21" t="inlineStr">
        <is>
          <t>GEMEINDEN – nicht öffentliche Daten (Lieferung durch Gemeinde / Kanton)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</row>
    <row r="33" outlineLevel="1" ht="32.85" customHeight="1">
      <c r="A33" s="23" t="inlineStr">
        <is>
          <t>Gemeinden (alle)</t>
        </is>
      </c>
      <c r="B33" s="24" t="inlineStr">
        <is>
          <t>Q4</t>
        </is>
      </c>
      <c r="C33" s="23" t="inlineStr">
        <is>
          <t>Datensatz</t>
        </is>
      </c>
      <c r="D33" s="25" t="inlineStr">
        <is>
          <t>GEP-Sachdaten, Notfall-/Katastrophenkonzepte, Gefährdungsanalysen (KATAPLAN), Hochwasser-Einsatzplanung</t>
        </is>
      </c>
      <c r="E33" s="23" t="inlineStr">
        <is>
          <t>–</t>
        </is>
      </c>
      <c r="F33" s="23" t="inlineStr">
        <is>
          <t>–</t>
        </is>
      </c>
      <c r="G33" s="23" t="inlineStr">
        <is>
          <t>Gemeinde / Kanton</t>
        </is>
      </c>
      <c r="H33" s="32" t="inlineStr">
        <is>
          <t>nicht öffentlich</t>
        </is>
      </c>
      <c r="I33" s="33" t="inlineStr">
        <is>
          <t>Datenanfrage (nicht öffentlich)</t>
        </is>
      </c>
      <c r="J33" s="33" t="inlineStr">
        <is>
          <t>Datenanfrage (nicht öffentlich)</t>
        </is>
      </c>
      <c r="K33" s="33" t="inlineStr">
        <is>
          <t>Datenanfrage (nicht öffentlich)</t>
        </is>
      </c>
      <c r="L33" s="23" t="inlineStr">
        <is>
          <t>Operative Resilienz-Grundlagen</t>
        </is>
      </c>
      <c r="M33" s="27" t="inlineStr">
        <is>
          <t>https://www.fedlex.admin.ch</t>
        </is>
      </c>
      <c r="N33" s="28" t="inlineStr">
        <is>
          <t>Einstiegsseite · geprüft · nur Einstiegsseite</t>
        </is>
      </c>
      <c r="O33" s="23" t="inlineStr">
        <is>
          <t>Ergänzung · mittel</t>
        </is>
      </c>
      <c r="P33" s="23" t="inlineStr">
        <is>
          <t>Existenz: mittel bis hoch (Gefährdungsanalyse/Bevölkerungsschutz Pflicht auf kantonaler Ebene, Detailstand offen)</t>
        </is>
      </c>
    </row>
    <row r="34" outlineLevel="1" ht="22.35" customHeight="1">
      <c r="A34" s="23" t="inlineStr">
        <is>
          <t>Gemeinden (alle)</t>
        </is>
      </c>
      <c r="B34" s="24" t="inlineStr">
        <is>
          <t>Q4</t>
        </is>
      </c>
      <c r="C34" s="23" t="inlineStr">
        <is>
          <t>Datensatz</t>
        </is>
      </c>
      <c r="D34" s="25" t="inlineStr">
        <is>
          <t>Gebäudeversicherung: Elementarschaden-Daten, Objektschutz-Nachweise</t>
        </is>
      </c>
      <c r="E34" s="23" t="inlineStr">
        <is>
          <t>–</t>
        </is>
      </c>
      <c r="F34" s="23" t="inlineStr">
        <is>
          <t>–</t>
        </is>
      </c>
      <c r="G34" s="23" t="inlineStr">
        <is>
          <t>Kant. Gebäudeversicherung</t>
        </is>
      </c>
      <c r="H34" s="32" t="inlineStr">
        <is>
          <t>nicht öffentlich</t>
        </is>
      </c>
      <c r="I34" s="33" t="inlineStr">
        <is>
          <t>Datenanfrage (nicht öffentlich)</t>
        </is>
      </c>
      <c r="J34" s="33" t="inlineStr">
        <is>
          <t>Datenanfrage (nicht öffentlich)</t>
        </is>
      </c>
      <c r="K34" s="33" t="inlineStr">
        <is>
          <t>Datenanfrage (nicht öffentlich)</t>
        </is>
      </c>
      <c r="L34" s="23" t="inlineStr">
        <is>
          <t>Schadenshistorie</t>
        </is>
      </c>
      <c r="M34" s="27" t="inlineStr">
        <is>
          <t>https://www.fedlex.admin.ch</t>
        </is>
      </c>
      <c r="N34" s="28" t="inlineStr">
        <is>
          <t>Einstiegsseite · geprüft · nur Einstiegsseite</t>
        </is>
      </c>
      <c r="O34" s="23" t="inlineStr">
        <is>
          <t>Ergänzung · tief</t>
        </is>
      </c>
      <c r="P34" s="23" t="inlineStr">
        <is>
          <t>Existenz: hoch (kantonale Gebäudeversicherungen führen Schadendaten; Zugang nur auf Anfrage)</t>
        </is>
      </c>
    </row>
  </sheetData>
  <autoFilter ref="A5:P34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20" r:id="rId11"/>
    <hyperlink xmlns:r="http://schemas.openxmlformats.org/officeDocument/2006/relationships" ref="M21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6" r:id="rId15"/>
    <hyperlink xmlns:r="http://schemas.openxmlformats.org/officeDocument/2006/relationships" ref="M27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1" r:id="rId19"/>
    <hyperlink xmlns:r="http://schemas.openxmlformats.org/officeDocument/2006/relationships" ref="M33" r:id="rId20"/>
    <hyperlink xmlns:r="http://schemas.openxmlformats.org/officeDocument/2006/relationships" ref="M34" r:id="rId21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5 · Q5 Ortsbild und Baukultur – Dokumente, Inventare, Geodaten</t>
        </is>
      </c>
    </row>
    <row r="2" ht="15" customHeight="1">
      <c r="A2" s="2" t="inlineStr">
        <is>
          <t>Kontext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Q5</t>
        </is>
      </c>
      <c r="C7" s="23" t="inlineStr">
        <is>
          <t>Inventar / Layer</t>
        </is>
      </c>
      <c r="D7" s="25" t="inlineStr">
        <is>
          <t>ISOS – Bundesinventar schützenswerter Ortsbilder der Schweiz</t>
        </is>
      </c>
      <c r="E7" s="23" t="inlineStr">
        <is>
          <t>VISOS</t>
        </is>
      </c>
      <c r="F7" s="23" t="inlineStr">
        <is>
          <t>Katalog: 01.06.2026</t>
        </is>
      </c>
      <c r="G7" s="23" t="inlineStr">
        <is>
          <t>BAK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Schutz- und Abwägungspflichten je nach Vorhaben und Rechtskontext (ISOS-/Ortsbildprüfung)</t>
        </is>
      </c>
      <c r="M7" s="43" t="inlineStr">
        <is>
          <t>https://map.geo.admin.ch/#/map?lang=de&amp;center=2660000,1190000&amp;z=1&amp;bgLayer=ch.swisstopo.pixelkarte-grau&amp;layers=ch.bak.bundesinventar-schuetzenswerte-ortsbilder</t>
        </is>
      </c>
      <c r="N7" s="44" t="inlineStr">
        <is>
          <t>geprüft · korrigiert</t>
        </is>
      </c>
      <c r="O7" s="23" t="inlineStr">
        <is>
          <t>Katalog · hoch</t>
        </is>
      </c>
      <c r="P7" s="23" t="inlineStr">
        <is>
          <t>Einstufung je Ortsbild (Aufnahmekategorie, Erhaltungsziele) je Gemeinde auswerten | Linkprüfung 14.10.2026: Hyperlink führte nur auf https://map.geo.admin.ch/ statt auf den angezeigten Link. Alter Link: https://map.geo.admin.ch/#/map?lang=de&amp;center=2660000,1190000&amp;z=1&amp;bgLayer=ch.swisstopo.pixelkarte-grau&amp;layers=ch.bak.bundesinventar-schuetzenswerte-ortsbilder</t>
        </is>
      </c>
    </row>
    <row r="8" outlineLevel="1" ht="32.85" customHeight="1">
      <c r="A8" s="23" t="inlineStr">
        <is>
          <t>Bund</t>
        </is>
      </c>
      <c r="B8" s="24" t="inlineStr">
        <is>
          <t>Q5</t>
        </is>
      </c>
      <c r="C8" s="23" t="inlineStr">
        <is>
          <t>Inventar / Layer</t>
        </is>
      </c>
      <c r="D8" s="25" t="inlineStr">
        <is>
          <t>IVS – Inventar historischer Verkehrswege der Schweiz</t>
        </is>
      </c>
      <c r="E8" s="23" t="inlineStr">
        <is>
          <t>VIVS</t>
        </is>
      </c>
      <c r="F8" s="23" t="inlineStr">
        <is>
          <t>–</t>
        </is>
      </c>
      <c r="G8" s="23" t="inlineStr">
        <is>
          <t>ASTRA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Historische Wege, Substanz-/Verlaufsschutz</t>
        </is>
      </c>
      <c r="M8" s="43" t="inlineStr">
        <is>
          <t>https://map.geo.admin.ch/#/map?lang=de&amp;center=2660000,1190000&amp;z=1&amp;bgLayer=ch.swisstopo.pixelkarte-grau&amp;layers=ch.astra.ivs-nat</t>
        </is>
      </c>
      <c r="N8" s="44" t="inlineStr">
        <is>
          <t>geprüft · korrigiert</t>
        </is>
      </c>
      <c r="O8" s="23" t="inlineStr">
        <is>
          <t>Ergänzung · mittel</t>
        </is>
      </c>
      <c r="P8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https://map.geo.admin.ch/#/map?lang=de&amp;center=2660000,1190000&amp;z=1&amp;bgLayer=ch.swisstopo.pixelkarte-grau&amp;layers=ch.astra.ivs-nat</t>
        </is>
      </c>
    </row>
    <row r="9" outlineLevel="1" ht="32.85" customHeight="1">
      <c r="A9" s="23" t="inlineStr">
        <is>
          <t>Bund</t>
        </is>
      </c>
      <c r="B9" s="24" t="inlineStr">
        <is>
          <t>Q5</t>
        </is>
      </c>
      <c r="C9" s="23" t="inlineStr">
        <is>
          <t>Inventar / Layer</t>
        </is>
      </c>
      <c r="D9" s="25" t="inlineStr">
        <is>
          <t>KGS-Inventar (Kulturgüter von nationaler/regionaler Bedeutung)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BABS</t>
        </is>
      </c>
      <c r="H9" s="23" t="inlineStr">
        <is>
          <t>öffentlich</t>
        </is>
      </c>
      <c r="I9" s="31" t="inlineStr">
        <is>
          <t>belegt – Betroffenheit offen</t>
        </is>
      </c>
      <c r="J9" s="31" t="inlineStr">
        <is>
          <t>belegt – Betroffenheit offen</t>
        </is>
      </c>
      <c r="K9" s="31" t="inlineStr">
        <is>
          <t>belegt – Betroffenheit offen</t>
        </is>
      </c>
      <c r="L9" s="23" t="inlineStr">
        <is>
          <t>Schutzobjekte, Pufferbereiche</t>
        </is>
      </c>
      <c r="M9" s="43" t="inlineStr">
        <is>
          <t>https://map.geo.admin.ch/#/map?lang=de&amp;center=2660000,1190000&amp;z=1&amp;bgLayer=ch.swisstopo.pixelkarte-grau&amp;layers=ch.babs.kulturgueter</t>
        </is>
      </c>
      <c r="N9" s="44" t="inlineStr">
        <is>
          <t>geprüft · korrigiert</t>
        </is>
      </c>
      <c r="O9" s="23" t="inlineStr">
        <is>
          <t>Ergänzung · mittel</t>
        </is>
      </c>
      <c r="P9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https://map.geo.admin.ch/#/map?lang=de&amp;center=2660000,1190000&amp;z=1&amp;bgLayer=ch.swisstopo.pixelkarte-grau&amp;layers=ch.babs.kulturgueter</t>
        </is>
      </c>
    </row>
    <row r="10" outlineLevel="1" ht="32.85" customHeight="1">
      <c r="A10" s="23" t="inlineStr">
        <is>
          <t>Bund</t>
        </is>
      </c>
      <c r="B10" s="24" t="inlineStr">
        <is>
          <t>Q5</t>
        </is>
      </c>
      <c r="C10" s="23" t="inlineStr">
        <is>
          <t>Inventar / Layer</t>
        </is>
      </c>
      <c r="D10" s="25" t="inlineStr">
        <is>
          <t>BLN (Landschaftsbild / Kulturlandschaft) – Querbezug Q2</t>
        </is>
      </c>
      <c r="E10" s="23" t="inlineStr">
        <is>
          <t>VBLN</t>
        </is>
      </c>
      <c r="F10" s="23" t="inlineStr">
        <is>
          <t>–</t>
        </is>
      </c>
      <c r="G10" s="23" t="inlineStr">
        <is>
          <t>BAFU</t>
        </is>
      </c>
      <c r="H10" s="23" t="inlineStr">
        <is>
          <t>öffentlich</t>
        </is>
      </c>
      <c r="I10" s="31" t="inlineStr">
        <is>
          <t>belegt – Betroffenheit offen</t>
        </is>
      </c>
      <c r="J10" s="31" t="inlineStr">
        <is>
          <t>belegt – Betroffenheit offen</t>
        </is>
      </c>
      <c r="K10" s="31" t="inlineStr">
        <is>
          <t>belegt – Betroffenheit offen</t>
        </is>
      </c>
      <c r="L10" s="23" t="inlineStr">
        <is>
          <t>Landschaftsprägende Elemente</t>
        </is>
      </c>
      <c r="M10" s="43" t="inlineStr">
        <is>
          <t>https://map.geo.admin.ch/#/map?lang=de&amp;center=2660000,1190000&amp;z=1&amp;bgLayer=ch.swisstopo.pixelkarte-grau&amp;layers=ch.bafu.bundesinventare-bln</t>
        </is>
      </c>
      <c r="N10" s="44" t="inlineStr">
        <is>
          <t>geprüft · korrigiert</t>
        </is>
      </c>
      <c r="O10" s="23" t="inlineStr">
        <is>
          <t>Ergänzung · mittel</t>
        </is>
      </c>
      <c r="P10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https://map.geo.admin.ch/#/map?lang=de&amp;center=2660000,1190000&amp;z=1&amp;bgLayer=ch.swisstopo.pixelkarte-grau&amp;layers=ch.bafu.bundesinventare-bln</t>
        </is>
      </c>
    </row>
    <row r="11" outlineLevel="1" ht="22.35" customHeight="1">
      <c r="A11" s="23" t="inlineStr">
        <is>
          <t>Bund</t>
        </is>
      </c>
      <c r="B11" s="24" t="inlineStr">
        <is>
          <t>Q5</t>
        </is>
      </c>
      <c r="C11" s="23" t="inlineStr">
        <is>
          <t>Strategie / Leitfaden</t>
        </is>
      </c>
      <c r="D11" s="25" t="inlineStr">
        <is>
          <t>Strategie Baukultur des Bundes; Davos Qualitätssystem; Leitfäden BAK</t>
        </is>
      </c>
      <c r="E11" s="23" t="inlineStr">
        <is>
          <t>–</t>
        </is>
      </c>
      <c r="F11" s="23" t="inlineStr">
        <is>
          <t>–</t>
        </is>
      </c>
      <c r="G11" s="23" t="inlineStr">
        <is>
          <t>BAK</t>
        </is>
      </c>
      <c r="H11" s="23" t="inlineStr">
        <is>
          <t>öffentlich</t>
        </is>
      </c>
      <c r="I11" s="26" t="inlineStr">
        <is>
          <t>belegt</t>
        </is>
      </c>
      <c r="J11" s="26" t="inlineStr">
        <is>
          <t>belegt</t>
        </is>
      </c>
      <c r="K11" s="26" t="inlineStr">
        <is>
          <t>belegt</t>
        </is>
      </c>
      <c r="L11" s="23" t="inlineStr">
        <is>
          <t>Qualitätskriterien für Baukultur</t>
        </is>
      </c>
      <c r="M11" s="27" t="inlineStr">
        <is>
          <t>https://www.bak.admin.ch</t>
        </is>
      </c>
      <c r="N11" s="28" t="inlineStr">
        <is>
          <t>Einstiegsseite · geprüft · nur Einstiegsseite</t>
        </is>
      </c>
      <c r="O11" s="23" t="inlineStr">
        <is>
          <t>Ergänzung · mittel</t>
        </is>
      </c>
      <c r="P11" s="23" t="n"/>
    </row>
    <row r="12" ht="19.5" customHeight="1">
      <c r="A12" s="21" t="inlineStr">
        <is>
          <t>KANTON BASEL-LANDSCHAFT  →  Münchenstein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outlineLevel="1" ht="22.35" customHeight="1">
      <c r="A13" s="23" t="inlineStr">
        <is>
          <t>Kanton BL</t>
        </is>
      </c>
      <c r="B13" s="24" t="inlineStr">
        <is>
          <t>Q5</t>
        </is>
      </c>
      <c r="C13" s="23" t="inlineStr">
        <is>
          <t>Inventar / Layer</t>
        </is>
      </c>
      <c r="D13" s="25" t="inlineStr">
        <is>
          <t>Inventar der Kulturdenkmäler (IKD) BL</t>
        </is>
      </c>
      <c r="E13" s="23" t="inlineStr">
        <is>
          <t>–</t>
        </is>
      </c>
      <c r="F13" s="23" t="inlineStr">
        <is>
          <t>Katalog: kein Stand</t>
        </is>
      </c>
      <c r="G13" s="23" t="inlineStr">
        <is>
          <t>Kanton BL (Denkmalpflege)</t>
        </is>
      </c>
      <c r="H13" s="23" t="inlineStr">
        <is>
          <t>öffentlich</t>
        </is>
      </c>
      <c r="I13" s="26" t="inlineStr">
        <is>
          <t>belegt</t>
        </is>
      </c>
      <c r="J13" s="29" t="inlineStr">
        <is>
          <t>n. a.</t>
        </is>
      </c>
      <c r="K13" s="29" t="inlineStr">
        <is>
          <t>n. a.</t>
        </is>
      </c>
      <c r="L13" s="23" t="inlineStr">
        <is>
          <t>Schutzwürdigkeit und Schutzstatus betroffener Objekte prüfen (Inventarabgleich)</t>
        </is>
      </c>
      <c r="M13" s="27" t="inlineStr">
        <is>
          <t>https://www.geoportal.ch/muenchenstein/map/912?y=2611965.69&amp;x=1263213.43&amp;scale=17500&amp;rotation=0</t>
        </is>
      </c>
      <c r="N13" s="46" t="inlineStr">
        <is>
          <t>Kataster · geprüft · manuell prüfen</t>
        </is>
      </c>
      <c r="O13" s="23" t="inlineStr">
        <is>
          <t>Katalog · hoch</t>
        </is>
      </c>
      <c r="P13" s="23" t="inlineStr">
        <is>
          <t>Stand ergänzen | Linkprüfung 14.10.2026: erreichbar, Bezeichnung im Dokument nicht gefunden («Geoportal»)</t>
        </is>
      </c>
    </row>
    <row r="14" outlineLevel="1" ht="32.85" customHeight="1">
      <c r="A14" s="23" t="inlineStr">
        <is>
          <t>Kanton BL</t>
        </is>
      </c>
      <c r="B14" s="24" t="inlineStr">
        <is>
          <t>Q5</t>
        </is>
      </c>
      <c r="C14" s="23" t="inlineStr">
        <is>
          <t>Inventar</t>
        </is>
      </c>
      <c r="D14" s="25" t="inlineStr">
        <is>
          <t>Kantonales Bauinventar BL (BIB) / Denkmalverzeichnis</t>
        </is>
      </c>
      <c r="E14" s="23" t="inlineStr">
        <is>
          <t>–</t>
        </is>
      </c>
      <c r="F14" s="23" t="inlineStr">
        <is>
          <t>–</t>
        </is>
      </c>
      <c r="G14" s="23" t="inlineStr">
        <is>
          <t>Kanton BL</t>
        </is>
      </c>
      <c r="H14" s="23" t="inlineStr">
        <is>
          <t>öffentlich</t>
        </is>
      </c>
      <c r="I14" s="30" t="inlineStr">
        <is>
          <t>nicht belegt (Recherche offen)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Schützenswerte/erhaltenswerte Bauten</t>
        </is>
      </c>
      <c r="M14" s="27" t="inlineStr">
        <is>
          <t>https://www.baselland.ch</t>
        </is>
      </c>
      <c r="N14" s="46" t="inlineStr">
        <is>
          <t>Einstiegsseite · geprüft · manuell prüfen</t>
        </is>
      </c>
      <c r="O14" s="23" t="inlineStr">
        <is>
          <t>Ergänzung · tief</t>
        </is>
      </c>
      <c r="P14" s="23" t="inlineStr">
        <is>
          <t>Linkprüfung 14.10.2026: Server blockiert automatische Abfragen (HTTP 403); im Browser prüfen</t>
        </is>
      </c>
    </row>
    <row r="15" ht="19.5" customHeight="1">
      <c r="A15" s="21" t="inlineStr">
        <is>
          <t>KANTON ST. GALLEN  →  Wil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</row>
    <row r="16" outlineLevel="1" ht="32.85" customHeight="1">
      <c r="A16" s="23" t="inlineStr">
        <is>
          <t>Kanton SG</t>
        </is>
      </c>
      <c r="B16" s="24" t="inlineStr">
        <is>
          <t>Q5</t>
        </is>
      </c>
      <c r="C16" s="23" t="inlineStr">
        <is>
          <t>Inventar / Layer</t>
        </is>
      </c>
      <c r="D16" s="25" t="inlineStr">
        <is>
          <t>Kantonales Denkmalverzeichnis / Hinweisinventar SG</t>
        </is>
      </c>
      <c r="E16" s="23" t="inlineStr">
        <is>
          <t>–</t>
        </is>
      </c>
      <c r="F16" s="23" t="inlineStr">
        <is>
          <t>–</t>
        </is>
      </c>
      <c r="G16" s="23" t="inlineStr">
        <is>
          <t>Kanton SG (Denkmalpflege)</t>
        </is>
      </c>
      <c r="H16" s="23" t="inlineStr">
        <is>
          <t>öffentlich</t>
        </is>
      </c>
      <c r="I16" s="29" t="inlineStr">
        <is>
          <t>n. a.</t>
        </is>
      </c>
      <c r="J16" s="30" t="inlineStr">
        <is>
          <t>nicht belegt (Recherche offen)</t>
        </is>
      </c>
      <c r="K16" s="29" t="inlineStr">
        <is>
          <t>n. a.</t>
        </is>
      </c>
      <c r="L16" s="23" t="inlineStr">
        <is>
          <t>Im Katalog keine Kantonsebene für Q5</t>
        </is>
      </c>
      <c r="M16" s="27" t="inlineStr">
        <is>
          <t>https://www.geoportal.ch/ktsg</t>
        </is>
      </c>
      <c r="N16" s="46" t="inlineStr">
        <is>
          <t>Muster · geprüft · manuell prüfen</t>
        </is>
      </c>
      <c r="O16" s="23" t="inlineStr">
        <is>
          <t>Ergänzung · tief</t>
        </is>
      </c>
      <c r="P16" s="23" t="inlineStr">
        <is>
          <t>Wil: Altstadt, historische Bauten → Inventar sichten | Linkprüfung 14.10.2026: erreichbar, Bezeichnung im Dokument nicht gefunden («Geoportal»)</t>
        </is>
      </c>
    </row>
    <row r="17" ht="19.5" customHeight="1">
      <c r="A17" s="21" t="inlineStr">
        <is>
          <t>KANTON URI  →  Seelisberg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outlineLevel="1" ht="22.35" customHeight="1">
      <c r="A18" s="23" t="inlineStr">
        <is>
          <t>Kanton UR</t>
        </is>
      </c>
      <c r="B18" s="24" t="inlineStr">
        <is>
          <t>Q5</t>
        </is>
      </c>
      <c r="C18" s="23" t="inlineStr">
        <is>
          <t>Inventar / Layer</t>
        </is>
      </c>
      <c r="D18" s="25" t="inlineStr">
        <is>
          <t>Kantonale Denkmal- und Ortsbildinventare Uri</t>
        </is>
      </c>
      <c r="E18" s="23" t="inlineStr">
        <is>
          <t>–</t>
        </is>
      </c>
      <c r="F18" s="23" t="inlineStr">
        <is>
          <t>20.03.2026</t>
        </is>
      </c>
      <c r="G18" s="23" t="inlineStr">
        <is>
          <t>Kanton UR</t>
        </is>
      </c>
      <c r="H18" s="23" t="inlineStr">
        <is>
          <t>öffentlich</t>
        </is>
      </c>
      <c r="I18" s="29" t="inlineStr">
        <is>
          <t>n. a.</t>
        </is>
      </c>
      <c r="J18" s="29" t="inlineStr">
        <is>
          <t>n. a.</t>
        </is>
      </c>
      <c r="K18" s="26" t="inlineStr">
        <is>
          <t>belegt</t>
        </is>
      </c>
      <c r="L18" s="23" t="inlineStr">
        <is>
          <t>Schutzwürdigkeit und Schutzstatus betroffener Objekte prüfen (Inventarabgleich)</t>
        </is>
      </c>
      <c r="M18" s="27" t="inlineStr">
        <is>
          <t>https://geo.ur.ch</t>
        </is>
      </c>
      <c r="N18" s="24" t="inlineStr">
        <is>
          <t>Kataster · geprüft · nur Einstiegsseite</t>
        </is>
      </c>
      <c r="O18" s="23" t="inlineStr">
        <is>
          <t>Katalog · hoch</t>
        </is>
      </c>
      <c r="P18" s="23" t="n"/>
    </row>
    <row r="19" outlineLevel="1" ht="22.35" customHeight="1">
      <c r="A19" s="23" t="inlineStr">
        <is>
          <t>Kanton UR</t>
        </is>
      </c>
      <c r="B19" s="24" t="inlineStr">
        <is>
          <t>Q5</t>
        </is>
      </c>
      <c r="C19" s="23" t="inlineStr">
        <is>
          <t>Inventar / Layer</t>
        </is>
      </c>
      <c r="D19" s="25" t="inlineStr">
        <is>
          <t>Kantonales Schutzinventar Seelisberg</t>
        </is>
      </c>
      <c r="E19" s="23" t="inlineStr">
        <is>
          <t>–</t>
        </is>
      </c>
      <c r="F19" s="23" t="inlineStr">
        <is>
          <t>20.03.2026</t>
        </is>
      </c>
      <c r="G19" s="23" t="inlineStr">
        <is>
          <t>Kanton UR / Gde Seelisberg</t>
        </is>
      </c>
      <c r="H19" s="23" t="inlineStr">
        <is>
          <t>öffentlich</t>
        </is>
      </c>
      <c r="I19" s="29" t="inlineStr">
        <is>
          <t>n. a.</t>
        </is>
      </c>
      <c r="J19" s="29" t="inlineStr">
        <is>
          <t>n. a.</t>
        </is>
      </c>
      <c r="K19" s="26" t="inlineStr">
        <is>
          <t>belegt</t>
        </is>
      </c>
      <c r="L19" s="23" t="inlineStr">
        <is>
          <t>Geschützte Objekte und Landschaftsteile identifizieren</t>
        </is>
      </c>
      <c r="M19" s="27" t="inlineStr">
        <is>
          <t>https://geo.ur.ch</t>
        </is>
      </c>
      <c r="N19" s="24" t="inlineStr">
        <is>
          <t>Kataster · geprüft · nur Einstiegsseite</t>
        </is>
      </c>
      <c r="O19" s="23" t="inlineStr">
        <is>
          <t>Katalog · hoch</t>
        </is>
      </c>
      <c r="P19" s="23" t="n"/>
    </row>
    <row r="20" ht="19.5" customHeight="1">
      <c r="A20" s="21" t="inlineStr">
        <is>
          <t>GEMEINDE MÜNCHENSTEIN (BL)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 outlineLevel="1" ht="22.35" customHeight="1">
      <c r="A21" s="23" t="inlineStr">
        <is>
          <t>Gde Münchenstein</t>
        </is>
      </c>
      <c r="B21" s="24" t="inlineStr">
        <is>
          <t>Q5</t>
        </is>
      </c>
      <c r="C21" s="23" t="inlineStr">
        <is>
          <t>Reglement</t>
        </is>
      </c>
      <c r="D21" s="25" t="inlineStr">
        <is>
          <t>Zonenvorschriften Siedlung</t>
        </is>
      </c>
      <c r="E21" s="23" t="inlineStr">
        <is>
          <t>–</t>
        </is>
      </c>
      <c r="F21" s="23" t="inlineStr">
        <is>
          <t>25.02.2025</t>
        </is>
      </c>
      <c r="G21" s="23" t="inlineStr">
        <is>
          <t>Gde Münchenstein</t>
        </is>
      </c>
      <c r="H21" s="23" t="inlineStr">
        <is>
          <t>öffentlich</t>
        </is>
      </c>
      <c r="I21" s="26" t="inlineStr">
        <is>
          <t>belegt</t>
        </is>
      </c>
      <c r="J21" s="29" t="inlineStr">
        <is>
          <t>n. a.</t>
        </is>
      </c>
      <c r="K21" s="29" t="inlineStr">
        <is>
          <t>n. a.</t>
        </is>
      </c>
      <c r="L21" s="23" t="inlineStr">
        <is>
          <t>Schutzobjekte, Erhaltungs- und Gestaltungsauflagen (Schutzplan und Gestaltungsnachweis)</t>
        </is>
      </c>
      <c r="M21" s="27" t="inlineStr">
        <is>
          <t>https://oereblex.bl.ch/api/attachments/22718</t>
        </is>
      </c>
      <c r="N21" s="42" t="inlineStr">
        <is>
          <t>manuell geprüft · OK</t>
        </is>
      </c>
      <c r="O21" s="23" t="inlineStr">
        <is>
          <t>Katalog · hoch</t>
        </is>
      </c>
      <c r="P21" s="23" t="inlineStr">
        <is>
          <t>Manuell geprüft 14.10.2026: Link (oereblex 22718) = Zonenvorschriften Siedlung, OK. Mehrfach gelistet, weil das Dokument mehrere Q-Dimensionen abdeckt (bisherige Bezeichnung: «Kommunale Schutzverordnung / Ortsbildvorgaben (Zonenvorschriften)»)</t>
        </is>
      </c>
    </row>
    <row r="22" outlineLevel="1" ht="22.35" customHeight="1">
      <c r="A22" s="23" t="inlineStr">
        <is>
          <t>Gde Münchenstein</t>
        </is>
      </c>
      <c r="B22" s="24" t="inlineStr">
        <is>
          <t>Q5</t>
        </is>
      </c>
      <c r="C22" s="23" t="inlineStr">
        <is>
          <t>Layer</t>
        </is>
      </c>
      <c r="D22" s="25" t="inlineStr">
        <is>
          <t>Geoportal Münchenstein: Ortsbild-/Denkmal-Layer</t>
        </is>
      </c>
      <c r="E22" s="23" t="inlineStr">
        <is>
          <t>–</t>
        </is>
      </c>
      <c r="F22" s="23" t="inlineStr">
        <is>
          <t>–</t>
        </is>
      </c>
      <c r="G22" s="23" t="inlineStr">
        <is>
          <t>Gde Münchenstein</t>
        </is>
      </c>
      <c r="H22" s="23" t="inlineStr">
        <is>
          <t>öffentlich</t>
        </is>
      </c>
      <c r="I22" s="30" t="inlineStr">
        <is>
          <t>nicht belegt (Recherche offen)</t>
        </is>
      </c>
      <c r="J22" s="29" t="inlineStr">
        <is>
          <t>n. a.</t>
        </is>
      </c>
      <c r="K22" s="29" t="inlineStr">
        <is>
          <t>n. a.</t>
        </is>
      </c>
      <c r="L22" s="23" t="inlineStr">
        <is>
          <t>Kommunale Layer</t>
        </is>
      </c>
      <c r="M22" s="27" t="inlineStr">
        <is>
          <t>https://www.geoportal.ch/muenchenstein</t>
        </is>
      </c>
      <c r="N22" s="42" t="inlineStr">
        <is>
          <t>Muster · geprüft · OK</t>
        </is>
      </c>
      <c r="O22" s="23" t="inlineStr">
        <is>
          <t>Ergänzung · tief</t>
        </is>
      </c>
      <c r="P22" s="23" t="n"/>
    </row>
    <row r="23" ht="19.5" customHeight="1">
      <c r="A23" s="21" t="inlineStr">
        <is>
          <t>GEMEINDE WIL (SG)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outlineLevel="1" ht="22.35" customHeight="1">
      <c r="A24" s="23" t="inlineStr">
        <is>
          <t>Gde Wil</t>
        </is>
      </c>
      <c r="B24" s="24" t="inlineStr">
        <is>
          <t>Q5</t>
        </is>
      </c>
      <c r="C24" s="23" t="inlineStr">
        <is>
          <t>Reglement</t>
        </is>
      </c>
      <c r="D24" s="25" t="inlineStr">
        <is>
          <t>Reglement zur Schutzverordnung (Schutzobjekte, Gestaltungsauflagen)</t>
        </is>
      </c>
      <c r="E24" s="23" t="inlineStr">
        <is>
          <t>–</t>
        </is>
      </c>
      <c r="F24" s="23" t="inlineStr">
        <is>
          <t>31.08.2022</t>
        </is>
      </c>
      <c r="G24" s="23" t="inlineStr">
        <is>
          <t>Gde Wil</t>
        </is>
      </c>
      <c r="H24" s="23" t="inlineStr">
        <is>
          <t>öffentlich</t>
        </is>
      </c>
      <c r="I24" s="29" t="inlineStr">
        <is>
          <t>n. a.</t>
        </is>
      </c>
      <c r="J24" s="26" t="inlineStr">
        <is>
          <t>belegt</t>
        </is>
      </c>
      <c r="K24" s="29" t="inlineStr">
        <is>
          <t>n. a.</t>
        </is>
      </c>
      <c r="L24" s="23" t="inlineStr">
        <is>
          <t>Schutzobjekte, Erhaltungs- und Gestaltungsauflagen</t>
        </is>
      </c>
      <c r="M24" s="27" t="inlineStr">
        <is>
          <t>https://cms.e-mitwirkung.ch/media/wil/Reglement_221013.pdf</t>
        </is>
      </c>
      <c r="N24" s="46" t="inlineStr">
        <is>
          <t>Kataster · geprüft · Hinweis</t>
        </is>
      </c>
      <c r="O24" s="23" t="inlineStr">
        <is>
          <t>Katalog · hoch</t>
        </is>
      </c>
      <c r="P24" s="23" t="inlineStr">
        <is>
          <t>Linkprüfung 14.10.2026: Inhalt passt (Treffer: Schutzverordnung) | PDF ist der Entwurf zur öffentlichen Auflage (13.10.2022), nicht die erlassene Fassung; in der Rechtssammlung Wil (tlex) nicht vorhanden</t>
        </is>
      </c>
    </row>
    <row r="25" outlineLevel="1" ht="22.35" customHeight="1">
      <c r="A25" s="23" t="inlineStr">
        <is>
          <t>Gde Wil</t>
        </is>
      </c>
      <c r="B25" s="24" t="inlineStr">
        <is>
          <t>Q5</t>
        </is>
      </c>
      <c r="C25" s="23" t="inlineStr">
        <is>
          <t>Layer</t>
        </is>
      </c>
      <c r="D25" s="25" t="inlineStr">
        <is>
          <t>Geoportal Wil: Ortsbild-/Schutzobjekt-Layer, Kernzonen</t>
        </is>
      </c>
      <c r="E25" s="23" t="inlineStr">
        <is>
          <t>–</t>
        </is>
      </c>
      <c r="F25" s="23" t="inlineStr">
        <is>
          <t>–</t>
        </is>
      </c>
      <c r="G25" s="23" t="inlineStr">
        <is>
          <t>Gde Wil</t>
        </is>
      </c>
      <c r="H25" s="23" t="inlineStr">
        <is>
          <t>öffentlich</t>
        </is>
      </c>
      <c r="I25" s="29" t="inlineStr">
        <is>
          <t>n. a.</t>
        </is>
      </c>
      <c r="J25" s="30" t="inlineStr">
        <is>
          <t>nicht belegt (Recherche offen)</t>
        </is>
      </c>
      <c r="K25" s="29" t="inlineStr">
        <is>
          <t>n. a.</t>
        </is>
      </c>
      <c r="L25" s="23" t="inlineStr">
        <is>
          <t>Kommunale Layer</t>
        </is>
      </c>
      <c r="M25" s="27" t="inlineStr">
        <is>
          <t>https://www.geoportal.ch/wil_sg</t>
        </is>
      </c>
      <c r="N25" s="42" t="inlineStr">
        <is>
          <t>Muster · geprüft · OK</t>
        </is>
      </c>
      <c r="O25" s="23" t="inlineStr">
        <is>
          <t>Ergänzung · tief</t>
        </is>
      </c>
      <c r="P25" s="23" t="n"/>
    </row>
    <row r="26" ht="19.5" customHeight="1">
      <c r="A26" s="21" t="inlineStr">
        <is>
          <t>GEMEINDE SEELISBERG (UR)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</row>
    <row r="27" outlineLevel="1" ht="22.35" customHeight="1">
      <c r="A27" s="23" t="inlineStr">
        <is>
          <t>Gde Seelisberg</t>
        </is>
      </c>
      <c r="B27" s="24" t="inlineStr">
        <is>
          <t>Q5</t>
        </is>
      </c>
      <c r="C27" s="23" t="inlineStr">
        <is>
          <t>Verordnung</t>
        </is>
      </c>
      <c r="D27" s="25" t="inlineStr">
        <is>
          <t>Kommunale Schutzverordnung / Ortsbildvorgaben</t>
        </is>
      </c>
      <c r="E27" s="23" t="inlineStr">
        <is>
          <t>–</t>
        </is>
      </c>
      <c r="F27" s="23" t="inlineStr">
        <is>
          <t>18.02.2025</t>
        </is>
      </c>
      <c r="G27" s="23" t="inlineStr">
        <is>
          <t>Gde Seelisberg</t>
        </is>
      </c>
      <c r="H27" s="23" t="inlineStr">
        <is>
          <t>öffentlich</t>
        </is>
      </c>
      <c r="I27" s="29" t="inlineStr">
        <is>
          <t>n. a.</t>
        </is>
      </c>
      <c r="J27" s="29" t="inlineStr">
        <is>
          <t>n. a.</t>
        </is>
      </c>
      <c r="K27" s="26" t="inlineStr">
        <is>
          <t>belegt</t>
        </is>
      </c>
      <c r="L27" s="23" t="inlineStr">
        <is>
          <t>Schutzobjekte, Erhaltungs- und Gestaltungsauflagen</t>
        </is>
      </c>
      <c r="M27" s="27" t="inlineStr">
        <is>
          <t>https://www.seelisberg.ch/files/pdf/Bau-und-Zonenordnung-Seelisberg.pdf</t>
        </is>
      </c>
      <c r="N27" s="46" t="inlineStr">
        <is>
          <t>Kataster · geprüft · manuell prüfen</t>
        </is>
      </c>
      <c r="O27" s="23" t="inlineStr">
        <is>
          <t>Katalog · hoch</t>
        </is>
      </c>
      <c r="P27" s="23" t="inlineStr">
        <is>
          <t>Link = BZO (2015) → Widerspruch zum Datum klären | Linkprüfung 14.10.2026: erreichbar, Bezeichnung im Dokument nicht gefunden («»)</t>
        </is>
      </c>
    </row>
    <row r="28" outlineLevel="1" ht="22.35" customHeight="1">
      <c r="A28" s="23" t="inlineStr">
        <is>
          <t>Gde Seelisberg</t>
        </is>
      </c>
      <c r="B28" s="24" t="inlineStr">
        <is>
          <t>Q5</t>
        </is>
      </c>
      <c r="C28" s="23" t="inlineStr">
        <is>
          <t>Reglement</t>
        </is>
      </c>
      <c r="D28" s="25" t="inlineStr">
        <is>
          <t>BZO Art. 8a Kernzone Sonnenberg (Quartiergestaltungsplanpflicht), Art. 26a</t>
        </is>
      </c>
      <c r="E28" s="23" t="inlineStr">
        <is>
          <t>–</t>
        </is>
      </c>
      <c r="F28" s="23" t="inlineStr">
        <is>
          <t>01.01.2015</t>
        </is>
      </c>
      <c r="G28" s="23" t="inlineStr">
        <is>
          <t>Gde Seelisberg</t>
        </is>
      </c>
      <c r="H28" s="23" t="inlineStr">
        <is>
          <t>öffentlich</t>
        </is>
      </c>
      <c r="I28" s="29" t="inlineStr">
        <is>
          <t>n. a.</t>
        </is>
      </c>
      <c r="J28" s="29" t="inlineStr">
        <is>
          <t>n. a.</t>
        </is>
      </c>
      <c r="K28" s="26" t="inlineStr">
        <is>
          <t>belegt</t>
        </is>
      </c>
      <c r="L28" s="23" t="inlineStr">
        <is>
          <t>Gestaltungsplanpflicht als baukulturelles Qualitätsinstrument</t>
        </is>
      </c>
      <c r="M28" s="27" t="inlineStr">
        <is>
          <t>https://www.seelisberg.ch/files/pdf/Bau-und-Zonenordnung-Seelisberg.pdf</t>
        </is>
      </c>
      <c r="N28" s="42" t="inlineStr">
        <is>
          <t>Kataster · geprüft · OK</t>
        </is>
      </c>
      <c r="O28" s="23" t="inlineStr">
        <is>
          <t>Katalog · hoch</t>
        </is>
      </c>
      <c r="P28" s="23" t="n"/>
    </row>
    <row r="29" ht="19.5" customHeight="1">
      <c r="A29" s="21" t="inlineStr">
        <is>
          <t>GEMEINDEN – nicht öffentliche Daten (Lieferung durch Gemeinde / Kanton)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 outlineLevel="1" ht="22.35" customHeight="1">
      <c r="A30" s="23" t="inlineStr">
        <is>
          <t>Gemeinden (alle)</t>
        </is>
      </c>
      <c r="B30" s="24" t="inlineStr">
        <is>
          <t>Q5</t>
        </is>
      </c>
      <c r="C30" s="23" t="inlineStr">
        <is>
          <t>Datensatz</t>
        </is>
      </c>
      <c r="D30" s="25" t="inlineStr">
        <is>
          <t>Archäologische Fundstellen / Verdachtsflächen</t>
        </is>
      </c>
      <c r="E30" s="23" t="inlineStr">
        <is>
          <t>–</t>
        </is>
      </c>
      <c r="F30" s="23" t="inlineStr">
        <is>
          <t>–</t>
        </is>
      </c>
      <c r="G30" s="23" t="inlineStr">
        <is>
          <t>Kantonsarchäologie</t>
        </is>
      </c>
      <c r="H30" s="32" t="inlineStr">
        <is>
          <t>nicht öffentlich</t>
        </is>
      </c>
      <c r="I30" s="33" t="inlineStr">
        <is>
          <t>Datenanfrage (nicht öffentlich)</t>
        </is>
      </c>
      <c r="J30" s="33" t="inlineStr">
        <is>
          <t>Datenanfrage (nicht öffentlich)</t>
        </is>
      </c>
      <c r="K30" s="33" t="inlineStr">
        <is>
          <t>Datenanfrage (nicht öffentlich)</t>
        </is>
      </c>
      <c r="L30" s="23" t="inlineStr">
        <is>
          <t>Fundstellen aus Schutzgründen nicht öffentlich</t>
        </is>
      </c>
      <c r="M30" s="27" t="inlineStr">
        <is>
          <t>https://www.fedlex.admin.ch</t>
        </is>
      </c>
      <c r="N30" s="28" t="inlineStr">
        <is>
          <t>Einstiegsseite · geprüft · nur Einstiegsseite</t>
        </is>
      </c>
      <c r="O30" s="23" t="inlineStr">
        <is>
          <t>Ergänzung · mittel</t>
        </is>
      </c>
      <c r="P30" s="23" t="inlineStr">
        <is>
          <t>Existenz: hoch (kantonale Fachstellen; ZGB Art. 724). Zugang: aus Schutzgründen nicht öffentlich</t>
        </is>
      </c>
    </row>
    <row r="31" outlineLevel="1" ht="22.35" customHeight="1">
      <c r="A31" s="23" t="inlineStr">
        <is>
          <t>Gemeinden (alle)</t>
        </is>
      </c>
      <c r="B31" s="24" t="inlineStr">
        <is>
          <t>Q5</t>
        </is>
      </c>
      <c r="C31" s="23" t="inlineStr">
        <is>
          <t>Datensatz</t>
        </is>
      </c>
      <c r="D31" s="25" t="inlineStr">
        <is>
          <t>Denkmalpflegerische Gutachten, Einzelobjekt-Inventarblätter, Bauberatungs-Protokolle, Gestaltungsbeirat</t>
        </is>
      </c>
      <c r="E31" s="23" t="inlineStr">
        <is>
          <t>–</t>
        </is>
      </c>
      <c r="F31" s="23" t="inlineStr">
        <is>
          <t>–</t>
        </is>
      </c>
      <c r="G31" s="23" t="inlineStr">
        <is>
          <t>Gemeinde / Kanton</t>
        </is>
      </c>
      <c r="H31" s="32" t="inlineStr">
        <is>
          <t>nicht öffentlich</t>
        </is>
      </c>
      <c r="I31" s="33" t="inlineStr">
        <is>
          <t>Datenanfrage (nicht öffentlich)</t>
        </is>
      </c>
      <c r="J31" s="33" t="inlineStr">
        <is>
          <t>Datenanfrage (nicht öffentlich)</t>
        </is>
      </c>
      <c r="K31" s="33" t="inlineStr">
        <is>
          <t>Datenanfrage (nicht öffentlich)</t>
        </is>
      </c>
      <c r="L31" s="23" t="inlineStr">
        <is>
          <t>Detailgrundlagen für Ortsbildprüfung</t>
        </is>
      </c>
      <c r="M31" s="27" t="inlineStr">
        <is>
          <t>https://www.fedlex.admin.ch</t>
        </is>
      </c>
      <c r="N31" s="28" t="inlineStr">
        <is>
          <t>Einstiegsseite · geprüft · nur Einstiegsseite</t>
        </is>
      </c>
      <c r="O31" s="23" t="inlineStr">
        <is>
          <t>Ergänzung · tief</t>
        </is>
      </c>
      <c r="P31" s="23" t="inlineStr">
        <is>
          <t>Existenz: mittel (nur bei Unterschutzstellung/Verfahren)</t>
        </is>
      </c>
    </row>
  </sheetData>
  <autoFilter ref="A5:P31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3" r:id="rId6"/>
    <hyperlink xmlns:r="http://schemas.openxmlformats.org/officeDocument/2006/relationships" ref="M14" r:id="rId7"/>
    <hyperlink xmlns:r="http://schemas.openxmlformats.org/officeDocument/2006/relationships" ref="M16" r:id="rId8"/>
    <hyperlink xmlns:r="http://schemas.openxmlformats.org/officeDocument/2006/relationships" ref="M18" r:id="rId9"/>
    <hyperlink xmlns:r="http://schemas.openxmlformats.org/officeDocument/2006/relationships" ref="M19" r:id="rId10"/>
    <hyperlink xmlns:r="http://schemas.openxmlformats.org/officeDocument/2006/relationships" ref="M21" r:id="rId11"/>
    <hyperlink xmlns:r="http://schemas.openxmlformats.org/officeDocument/2006/relationships" ref="M22" r:id="rId12"/>
    <hyperlink xmlns:r="http://schemas.openxmlformats.org/officeDocument/2006/relationships" ref="M24" r:id="rId13"/>
    <hyperlink xmlns:r="http://schemas.openxmlformats.org/officeDocument/2006/relationships" ref="M25" r:id="rId14"/>
    <hyperlink xmlns:r="http://schemas.openxmlformats.org/officeDocument/2006/relationships" ref="M27" r:id="rId15"/>
    <hyperlink xmlns:r="http://schemas.openxmlformats.org/officeDocument/2006/relationships" ref="M28" r:id="rId16"/>
    <hyperlink xmlns:r="http://schemas.openxmlformats.org/officeDocument/2006/relationships" ref="M30" r:id="rId17"/>
    <hyperlink xmlns:r="http://schemas.openxmlformats.org/officeDocument/2006/relationships" ref="M31" r:id="rId18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6 · Q6 Integrierte, lebenszyklusorientierte Bestellung und Umsetzung – Dokumente, Grundlagen</t>
        </is>
      </c>
    </row>
    <row r="2" ht="15" customHeight="1">
      <c r="A2" s="2" t="inlineStr">
        <is>
          <t>Kontext Projektvergabe bei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Q6</t>
        </is>
      </c>
      <c r="C7" s="23" t="inlineStr">
        <is>
          <t>Plattform</t>
        </is>
      </c>
      <c r="D7" s="25" t="inlineStr">
        <is>
          <t>simap.ch – Beschaffungsplattform (Ausschreibungen, Zuschläge)</t>
        </is>
      </c>
      <c r="E7" s="23" t="inlineStr">
        <is>
          <t>–</t>
        </is>
      </c>
      <c r="F7" s="23" t="inlineStr">
        <is>
          <t>–</t>
        </is>
      </c>
      <c r="G7" s="23" t="inlineStr">
        <is>
          <t>Bund / Kantone / Gemeinden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Referenzprojekte, Vergabepraxis der Gemeinden recherchierbar</t>
        </is>
      </c>
      <c r="M7" s="27" t="inlineStr">
        <is>
          <t>https://www.simap.ch</t>
        </is>
      </c>
      <c r="N7" s="28" t="inlineStr">
        <is>
          <t>Muster · geprüft · nur Einstiegsseite</t>
        </is>
      </c>
      <c r="O7" s="23" t="inlineStr">
        <is>
          <t>Ergänzung · hoch</t>
        </is>
      </c>
      <c r="P7" s="23" t="inlineStr">
        <is>
          <t>Gemeinde-Vergaben auswerten (Verfahrensart, Zuschlagskriterien)</t>
        </is>
      </c>
    </row>
    <row r="8" outlineLevel="1" ht="22.35" customHeight="1">
      <c r="A8" s="23" t="inlineStr">
        <is>
          <t>Bund</t>
        </is>
      </c>
      <c r="B8" s="24" t="inlineStr">
        <is>
          <t>Q6</t>
        </is>
      </c>
      <c r="C8" s="23" t="inlineStr">
        <is>
          <t>Leitfaden</t>
        </is>
      </c>
      <c r="D8" s="25" t="inlineStr">
        <is>
          <t>KBOB-Empfehlungen (Beschaffung, Lebenszykluskosten, Nachhaltigkeit); Leitfaden Nachhaltige Beschaffung</t>
        </is>
      </c>
      <c r="E8" s="23" t="inlineStr">
        <is>
          <t>–</t>
        </is>
      </c>
      <c r="F8" s="23" t="inlineStr">
        <is>
          <t>–</t>
        </is>
      </c>
      <c r="G8" s="23" t="inlineStr">
        <is>
          <t>KBOB / BBL</t>
        </is>
      </c>
      <c r="H8" s="23" t="inlineStr">
        <is>
          <t>öffentlich</t>
        </is>
      </c>
      <c r="I8" s="26" t="inlineStr">
        <is>
          <t>belegt</t>
        </is>
      </c>
      <c r="J8" s="26" t="inlineStr">
        <is>
          <t>belegt</t>
        </is>
      </c>
      <c r="K8" s="26" t="inlineStr">
        <is>
          <t>belegt</t>
        </is>
      </c>
      <c r="L8" s="23" t="inlineStr">
        <is>
          <t>Referenz für lebenszyklusorientierte Beschaffung und Verantwortlichkeiten</t>
        </is>
      </c>
      <c r="M8" s="27" t="inlineStr">
        <is>
          <t>https://www.kbob.admin.ch</t>
        </is>
      </c>
      <c r="N8" s="28" t="inlineStr">
        <is>
          <t>Einstiegsseite · geprüft · nur Einstiegsseite</t>
        </is>
      </c>
      <c r="O8" s="23" t="inlineStr">
        <is>
          <t>Ergänzung · mittel</t>
        </is>
      </c>
      <c r="P8" s="23" t="n"/>
    </row>
    <row r="9" outlineLevel="1" ht="22.35" customHeight="1">
      <c r="A9" s="23" t="inlineStr">
        <is>
          <t>Bund</t>
        </is>
      </c>
      <c r="B9" s="24" t="inlineStr">
        <is>
          <t>Q6</t>
        </is>
      </c>
      <c r="C9" s="23" t="inlineStr">
        <is>
          <t>Norm</t>
        </is>
      </c>
      <c r="D9" s="25" t="inlineStr">
        <is>
          <t>SIA 142 (Wettbewerbe), SIA 143 (Studienaufträge), SIA 112 (Leistungsmodell), SIA 118, SIA 480 (Wirtschaftlichkeit)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SIA</t>
        </is>
      </c>
      <c r="H9" s="23" t="inlineStr">
        <is>
          <t>kostenpflichtig (Norm)</t>
        </is>
      </c>
      <c r="I9" s="26" t="inlineStr">
        <is>
          <t>belegt</t>
        </is>
      </c>
      <c r="J9" s="26" t="inlineStr">
        <is>
          <t>belegt</t>
        </is>
      </c>
      <c r="K9" s="26" t="inlineStr">
        <is>
          <t>belegt</t>
        </is>
      </c>
      <c r="L9" s="23" t="inlineStr">
        <is>
          <t>Verfahrens- und Vertragsstandards für Planerleistungen und Bauausführung</t>
        </is>
      </c>
      <c r="M9" s="27" t="inlineStr">
        <is>
          <t>https://www.sia.ch</t>
        </is>
      </c>
      <c r="N9" s="28" t="inlineStr">
        <is>
          <t>Einstiegsseite · geprüft · nur Einstiegsseite</t>
        </is>
      </c>
      <c r="O9" s="23" t="inlineStr">
        <is>
          <t>Ergänzung · mittel</t>
        </is>
      </c>
      <c r="P9" s="23" t="inlineStr">
        <is>
          <t>Kostenpflichtig; Anwendung gemeindespezifisch</t>
        </is>
      </c>
    </row>
    <row r="10" ht="19.5" customHeight="1">
      <c r="A10" s="21" t="inlineStr">
        <is>
          <t>INTERKANTONAL (Konkordat)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 outlineLevel="1" ht="22.35" customHeight="1">
      <c r="A11" s="23" t="inlineStr">
        <is>
          <t>Interkantonal</t>
        </is>
      </c>
      <c r="B11" s="24" t="inlineStr">
        <is>
          <t>Q6</t>
        </is>
      </c>
      <c r="C11" s="23" t="inlineStr">
        <is>
          <t>Konkordat</t>
        </is>
      </c>
      <c r="D11" s="25" t="inlineStr">
        <is>
          <t>IVöB 2019 inkl. Schwellenwerte</t>
        </is>
      </c>
      <c r="E11" s="23" t="inlineStr">
        <is>
          <t>–</t>
        </is>
      </c>
      <c r="F11" s="23" t="inlineStr">
        <is>
          <t>Katalog: 15.03.2001</t>
        </is>
      </c>
      <c r="G11" s="23" t="inlineStr">
        <is>
          <t>BPUK</t>
        </is>
      </c>
      <c r="H11" s="23" t="inlineStr">
        <is>
          <t>öffentlich</t>
        </is>
      </c>
      <c r="I11" s="26" t="inlineStr">
        <is>
          <t>belegt</t>
        </is>
      </c>
      <c r="J11" s="26" t="inlineStr">
        <is>
          <t>belegt</t>
        </is>
      </c>
      <c r="K11" s="26" t="inlineStr">
        <is>
          <t>belegt</t>
        </is>
      </c>
      <c r="L11" s="23" t="inlineStr">
        <is>
          <t>Anwendbares kantonales Recht und Schwellenwerte prüfen (Vergaberechtliche Prüfung)</t>
        </is>
      </c>
      <c r="M11" s="43" t="inlineStr">
        <is>
          <t>https://www.bpuk.ch/bpuk/konkordate/ivoeb/ivoeb-2019</t>
        </is>
      </c>
      <c r="N11" s="44" t="inlineStr">
        <is>
          <t>geprüft · korrigiert</t>
        </is>
      </c>
      <c r="O11" s="23" t="inlineStr">
        <is>
          <t>Katalog · hoch</t>
        </is>
      </c>
      <c r="P11" s="23" t="inlineStr">
        <is>
          <t>Katalog-Datum betrifft alte IVöB → IVöB 2019 verifizieren | Linkprüfung 14.10.2026: PDF war die alte IVöB vom 15.03.2001; ersetzt durch die IVöB-2019-Seite der BPUK. Alter Link: https://www.bpuk.ch/fileadmin/Dokumente/bpuk/public/de/konkordate/ivoeb/INTERKANTONALE%2BVEREINBARUNG%2B%25c3%259cBER%2BDAS%2B%25c3%2596FFENTLICHE%2BBESCHAFFUNGSWESEN%2B%28IV%25c3%25b6B%29.pdf</t>
        </is>
      </c>
    </row>
    <row r="12" outlineLevel="1" ht="22.35" customHeight="1">
      <c r="A12" s="23" t="inlineStr">
        <is>
          <t>Interkantonal</t>
        </is>
      </c>
      <c r="B12" s="24" t="inlineStr">
        <is>
          <t>Q6</t>
        </is>
      </c>
      <c r="C12" s="23" t="inlineStr">
        <is>
          <t>Leitfaden</t>
        </is>
      </c>
      <c r="D12" s="25" t="inlineStr">
        <is>
          <t>Leitfaden/Kommentar zur IVöB 2019 (BPUK / Beschaffungskonferenz)</t>
        </is>
      </c>
      <c r="E12" s="23" t="inlineStr">
        <is>
          <t>–</t>
        </is>
      </c>
      <c r="F12" s="23" t="inlineStr">
        <is>
          <t>–</t>
        </is>
      </c>
      <c r="G12" s="23" t="inlineStr">
        <is>
          <t>BPUK / BKB</t>
        </is>
      </c>
      <c r="H12" s="23" t="inlineStr">
        <is>
          <t>öffentlich</t>
        </is>
      </c>
      <c r="I12" s="30" t="inlineStr">
        <is>
          <t>nicht belegt (Recherche offen)</t>
        </is>
      </c>
      <c r="J12" s="30" t="inlineStr">
        <is>
          <t>nicht belegt (Recherche offen)</t>
        </is>
      </c>
      <c r="K12" s="30" t="inlineStr">
        <is>
          <t>nicht belegt (Recherche offen)</t>
        </is>
      </c>
      <c r="L12" s="23" t="inlineStr">
        <is>
          <t>Auslegungshilfe: Zuschlagskriterien, Nachhaltigkeit, Lebenszyklus</t>
        </is>
      </c>
      <c r="M12" s="27" t="inlineStr">
        <is>
          <t>https://www.bpuk.ch</t>
        </is>
      </c>
      <c r="N12" s="28" t="inlineStr">
        <is>
          <t>Einstiegsseite · geprüft · nur Einstiegsseite</t>
        </is>
      </c>
      <c r="O12" s="23" t="inlineStr">
        <is>
          <t>Ergänzung · tief</t>
        </is>
      </c>
      <c r="P12" s="23" t="n"/>
    </row>
    <row r="13" ht="19.5" customHeight="1">
      <c r="A13" s="21" t="inlineStr">
        <is>
          <t>KANTON BASEL-LANDSCHAFT  →  Münchenstein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outlineLevel="1" ht="22.35" customHeight="1">
      <c r="A14" s="23" t="inlineStr">
        <is>
          <t>Kanton BL</t>
        </is>
      </c>
      <c r="B14" s="24" t="inlineStr">
        <is>
          <t>Q6</t>
        </is>
      </c>
      <c r="C14" s="23" t="inlineStr">
        <is>
          <t>Verordnung</t>
        </is>
      </c>
      <c r="D14" s="25" t="inlineStr">
        <is>
          <t>Verordnung zum EG IVöB (Vo EG IVöB)</t>
        </is>
      </c>
      <c r="E14" s="23" t="inlineStr">
        <is>
          <t>SGS 420.11</t>
        </is>
      </c>
      <c r="F14" s="23" t="inlineStr">
        <is>
          <t>01.01.2026</t>
        </is>
      </c>
      <c r="G14" s="23" t="inlineStr">
        <is>
          <t>Kanton BL</t>
        </is>
      </c>
      <c r="H14" s="23" t="inlineStr">
        <is>
          <t>öffentlich</t>
        </is>
      </c>
      <c r="I14" s="26" t="inlineStr">
        <is>
          <t>belegt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Vergabeverfahren, Eignungs- und Zuschlagskriterien (Vergabekonzept)</t>
        </is>
      </c>
      <c r="M14" s="27" t="inlineStr">
        <is>
          <t>https://bl.clex.ch/app/de/texts_of_law/420.11</t>
        </is>
      </c>
      <c r="N14" s="42" t="inlineStr">
        <is>
          <t>Kataster · geprüft · OK</t>
        </is>
      </c>
      <c r="O14" s="23" t="inlineStr">
        <is>
          <t>Katalog · hoch</t>
        </is>
      </c>
      <c r="P14" s="23" t="n"/>
    </row>
    <row r="15" outlineLevel="1" ht="32.85" customHeight="1">
      <c r="A15" s="23" t="inlineStr">
        <is>
          <t>Kanton BL</t>
        </is>
      </c>
      <c r="B15" s="24" t="inlineStr">
        <is>
          <t>Q6</t>
        </is>
      </c>
      <c r="C15" s="23" t="inlineStr">
        <is>
          <t>Gesetz / Leitfaden</t>
        </is>
      </c>
      <c r="D15" s="25" t="inlineStr">
        <is>
          <t>EG IVöB BL (Gesetz) und kantonale Beschaffungsleitfäden</t>
        </is>
      </c>
      <c r="E15" s="45" t="inlineStr">
        <is>
          <t>SGS 420</t>
        </is>
      </c>
      <c r="F15" s="23" t="inlineStr">
        <is>
          <t>–</t>
        </is>
      </c>
      <c r="G15" s="23" t="inlineStr">
        <is>
          <t>Kanton BL</t>
        </is>
      </c>
      <c r="H15" s="23" t="inlineStr">
        <is>
          <t>öffentlich</t>
        </is>
      </c>
      <c r="I15" s="30" t="inlineStr">
        <is>
          <t>nicht belegt (Recherche offen)</t>
        </is>
      </c>
      <c r="J15" s="29" t="inlineStr">
        <is>
          <t>n. a.</t>
        </is>
      </c>
      <c r="K15" s="29" t="inlineStr">
        <is>
          <t>n. a.</t>
        </is>
      </c>
      <c r="L15" s="23" t="inlineStr">
        <is>
          <t>Kantonale Umsetzung, Praxis</t>
        </is>
      </c>
      <c r="M15" s="43" t="inlineStr">
        <is>
          <t>https://bl.clex.ch/app/de/texts_of_law/420</t>
        </is>
      </c>
      <c r="N15" s="44" t="inlineStr">
        <is>
          <t>geprüft · korrigiert</t>
        </is>
      </c>
      <c r="O15" s="23" t="inlineStr">
        <is>
          <t>Ergänzung · tief</t>
        </is>
      </c>
      <c r="P15" s="23" t="inlineStr">
        <is>
          <t>Linkprüfung 14.10.2026: Link zeigte auf die Startseite baselland.ch; EG IVöB BL = SGS 420 (Titel lt. Sammlung: «Einführungsgesetz zur interkantonalen Vereinbarung über das öffentliche Beschaffungswesen (EG IVöB)»). Alter Link: https://www.baselland.ch</t>
        </is>
      </c>
    </row>
    <row r="16" outlineLevel="1" ht="32.85" customHeight="1">
      <c r="A16" s="23" t="inlineStr">
        <is>
          <t>Kanton BL</t>
        </is>
      </c>
      <c r="B16" s="24" t="inlineStr">
        <is>
          <t>Q6</t>
        </is>
      </c>
      <c r="C16" s="23" t="inlineStr">
        <is>
          <t>Planungsrecht</t>
        </is>
      </c>
      <c r="D16" s="25" t="inlineStr">
        <is>
          <t>RBG BL: Qualitätssicherungsverfahren / Gestaltungsplanverfahren (Konkurrenzverfahren)</t>
        </is>
      </c>
      <c r="E16" s="23" t="inlineStr">
        <is>
          <t>SGS 400</t>
        </is>
      </c>
      <c r="F16" s="23" t="inlineStr">
        <is>
          <t>01.01.2024</t>
        </is>
      </c>
      <c r="G16" s="23" t="inlineStr">
        <is>
          <t>Kanton BL</t>
        </is>
      </c>
      <c r="H16" s="23" t="inlineStr">
        <is>
          <t>öffentlich</t>
        </is>
      </c>
      <c r="I16" s="30" t="inlineStr">
        <is>
          <t>nicht belegt (Recherche offen)</t>
        </is>
      </c>
      <c r="J16" s="29" t="inlineStr">
        <is>
          <t>n. a.</t>
        </is>
      </c>
      <c r="K16" s="29" t="inlineStr">
        <is>
          <t>n. a.</t>
        </is>
      </c>
      <c r="L16" s="23" t="inlineStr">
        <is>
          <t>Planungsrechtliche Verknüpfung Verfahren ↔ Qualität</t>
        </is>
      </c>
      <c r="M16" s="27" t="inlineStr">
        <is>
          <t>https://bl.clex.ch/app/de/texts_of_law/400</t>
        </is>
      </c>
      <c r="N16" s="42" t="inlineStr">
        <is>
          <t>Muster · geprüft · OK</t>
        </is>
      </c>
      <c r="O16" s="23" t="inlineStr">
        <is>
          <t>Ergänzung · tief</t>
        </is>
      </c>
      <c r="P16" s="23" t="inlineStr">
        <is>
          <t>Entsprechende Artikel im RBG identifizieren</t>
        </is>
      </c>
    </row>
    <row r="17" ht="19.5" customHeight="1">
      <c r="A17" s="21" t="inlineStr">
        <is>
          <t>KANTON ST. GALLEN  →  Wil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outlineLevel="1" ht="32.85" customHeight="1">
      <c r="A18" s="23" t="inlineStr">
        <is>
          <t>Kanton SG</t>
        </is>
      </c>
      <c r="B18" s="24" t="inlineStr">
        <is>
          <t>Q6</t>
        </is>
      </c>
      <c r="C18" s="23" t="inlineStr">
        <is>
          <t>Verordnung</t>
        </is>
      </c>
      <c r="D18" s="25" t="inlineStr">
        <is>
          <t>Kantonales Beschaffungsrecht / VöB SG</t>
        </is>
      </c>
      <c r="E18" s="23" t="inlineStr">
        <is>
          <t>sGS 841.11</t>
        </is>
      </c>
      <c r="F18" s="23" t="inlineStr">
        <is>
          <t>Katalog: kein Stand</t>
        </is>
      </c>
      <c r="G18" s="23" t="inlineStr">
        <is>
          <t>Kanton SG</t>
        </is>
      </c>
      <c r="H18" s="23" t="inlineStr">
        <is>
          <t>öffentlich</t>
        </is>
      </c>
      <c r="I18" s="29" t="inlineStr">
        <is>
          <t>n. a.</t>
        </is>
      </c>
      <c r="J18" s="26" t="inlineStr">
        <is>
          <t>belegt</t>
        </is>
      </c>
      <c r="K18" s="29" t="inlineStr">
        <is>
          <t>n. a.</t>
        </is>
      </c>
      <c r="L18" s="23" t="inlineStr">
        <is>
          <t>Vergabeverfahren, Eignungs- und Zuschlagskriterien (Vergabekonzept)</t>
        </is>
      </c>
      <c r="M18" s="27" t="inlineStr">
        <is>
          <t>https://www.gesetzessammlung.sg.ch/app/de/texts_of_law/841.11</t>
        </is>
      </c>
      <c r="N18" s="42" t="inlineStr">
        <is>
          <t>Kataster · geprüft · OK</t>
        </is>
      </c>
      <c r="O18" s="23" t="inlineStr">
        <is>
          <t>Katalog · hoch</t>
        </is>
      </c>
      <c r="P18" s="23" t="n"/>
    </row>
    <row r="19" outlineLevel="1" ht="32.85" customHeight="1">
      <c r="A19" s="23" t="inlineStr">
        <is>
          <t>Kanton SG</t>
        </is>
      </c>
      <c r="B19" s="24" t="inlineStr">
        <is>
          <t>Q6</t>
        </is>
      </c>
      <c r="C19" s="23" t="inlineStr">
        <is>
          <t>Gesetz</t>
        </is>
      </c>
      <c r="D19" s="25" t="inlineStr">
        <is>
          <t>Einführungsgesetz zur IVöB 2019 vom 15.11.2022 (EGöB)</t>
        </is>
      </c>
      <c r="E19" s="23" t="inlineStr">
        <is>
          <t>sGS 841.1</t>
        </is>
      </c>
      <c r="F19" s="23" t="inlineStr">
        <is>
          <t>01.06.2023</t>
        </is>
      </c>
      <c r="G19" s="23" t="inlineStr">
        <is>
          <t>Kanton SG</t>
        </is>
      </c>
      <c r="H19" s="23" t="inlineStr">
        <is>
          <t>öffentlich</t>
        </is>
      </c>
      <c r="I19" s="29" t="inlineStr">
        <is>
          <t>n. a.</t>
        </is>
      </c>
      <c r="J19" s="26" t="inlineStr">
        <is>
          <t>belegt</t>
        </is>
      </c>
      <c r="K19" s="29" t="inlineStr">
        <is>
          <t>n. a.</t>
        </is>
      </c>
      <c r="L19" s="23" t="inlineStr">
        <is>
          <t>Kantonale Umsetzung IVöB</t>
        </is>
      </c>
      <c r="M19" s="27" t="inlineStr">
        <is>
          <t>https://www.gesetzessammlung.sg.ch/app/de/texts_of_law/841.1</t>
        </is>
      </c>
      <c r="N19" s="42" t="inlineStr">
        <is>
          <t>Suchtreffer · geprüft · OK</t>
        </is>
      </c>
      <c r="O19" s="23" t="inlineStr">
        <is>
          <t>Ergänzung · mittel</t>
        </is>
      </c>
      <c r="P19" s="23" t="n"/>
    </row>
    <row r="20" outlineLevel="1" ht="32.85" customHeight="1">
      <c r="A20" s="23" t="inlineStr">
        <is>
          <t>Kanton SG</t>
        </is>
      </c>
      <c r="B20" s="24" t="inlineStr">
        <is>
          <t>Q6</t>
        </is>
      </c>
      <c r="C20" s="23" t="inlineStr">
        <is>
          <t>Planungsrecht</t>
        </is>
      </c>
      <c r="D20" s="25" t="inlineStr">
        <is>
          <t>PBG SG: Sondernutzungsplanung / Qualitätsverfahren</t>
        </is>
      </c>
      <c r="E20" s="23" t="inlineStr">
        <is>
          <t>sGS 731.1</t>
        </is>
      </c>
      <c r="F20" s="23" t="inlineStr">
        <is>
          <t>01.06.2026</t>
        </is>
      </c>
      <c r="G20" s="23" t="inlineStr">
        <is>
          <t>Kanton SG</t>
        </is>
      </c>
      <c r="H20" s="23" t="inlineStr">
        <is>
          <t>öffentlich</t>
        </is>
      </c>
      <c r="I20" s="29" t="inlineStr">
        <is>
          <t>n. a.</t>
        </is>
      </c>
      <c r="J20" s="30" t="inlineStr">
        <is>
          <t>nicht belegt (Recherche offen)</t>
        </is>
      </c>
      <c r="K20" s="29" t="inlineStr">
        <is>
          <t>n. a.</t>
        </is>
      </c>
      <c r="L20" s="23" t="inlineStr">
        <is>
          <t>Planungsrechtliche Verknüpfung Verfahren ↔ Qualität</t>
        </is>
      </c>
      <c r="M20" s="43" t="inlineStr">
        <is>
          <t>https://www.gesetzessammlung.sg.ch/app/de/texts_of_law/731.1</t>
        </is>
      </c>
      <c r="N20" s="44" t="inlineStr">
        <is>
          <t>geprüft · korrigiert</t>
        </is>
      </c>
      <c r="O20" s="23" t="inlineStr">
        <is>
          <t>Ergänzung · tief</t>
        </is>
      </c>
      <c r="P20" s="23" t="inlineStr">
        <is>
          <t>Linkprüfung 14.10.2026: Link auf Standardform der Sammlung vereinheitlicht (731.1 «Planungs- und Baugesetz (PBG)»). Alter Link: https://www.gesetzessammlung.sg.ch/data/731.1/de</t>
        </is>
      </c>
    </row>
    <row r="21" ht="19.5" customHeight="1">
      <c r="A21" s="21" t="inlineStr">
        <is>
          <t>KANTON URI  →  Seelisberg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outlineLevel="1" ht="22.35" customHeight="1">
      <c r="A22" s="23" t="inlineStr">
        <is>
          <t>Kanton UR</t>
        </is>
      </c>
      <c r="B22" s="24" t="inlineStr">
        <is>
          <t>Q6</t>
        </is>
      </c>
      <c r="C22" s="23" t="inlineStr">
        <is>
          <t>Gesetz</t>
        </is>
      </c>
      <c r="D22" s="25" t="inlineStr">
        <is>
          <t>Beitritt Kanton Uri zur IVöB 2019 (Landratsbeschluss vom 15.06.2022)</t>
        </is>
      </c>
      <c r="E22" s="23" t="inlineStr">
        <is>
          <t>IVöB: RB 3.3111</t>
        </is>
      </c>
      <c r="F22" s="23" t="inlineStr">
        <is>
          <t>Inkrafttreten 01.06.2023</t>
        </is>
      </c>
      <c r="G22" s="23" t="inlineStr">
        <is>
          <t>Kanton UR</t>
        </is>
      </c>
      <c r="H22" s="23" t="inlineStr">
        <is>
          <t>öffentlich</t>
        </is>
      </c>
      <c r="I22" s="29" t="inlineStr">
        <is>
          <t>n. a.</t>
        </is>
      </c>
      <c r="J22" s="29" t="inlineStr">
        <is>
          <t>n. a.</t>
        </is>
      </c>
      <c r="K22" s="26" t="inlineStr">
        <is>
          <t>belegt</t>
        </is>
      </c>
      <c r="L22" s="23" t="inlineStr">
        <is>
          <t>Im Katalog nur IVöB; kantonale Umsetzung fehlt</t>
        </is>
      </c>
      <c r="M22" s="43" t="inlineStr">
        <is>
          <t>https://rechtsbuch.ur.ch/app/de/texts_of_law/3.3111</t>
        </is>
      </c>
      <c r="N22" s="44" t="inlineStr">
        <is>
          <t>geprüft · korrigiert</t>
        </is>
      </c>
      <c r="O22" s="23" t="inlineStr">
        <is>
          <t>Ergänzung · tief</t>
        </is>
      </c>
      <c r="P22" s="23" t="inlineStr">
        <is>
          <t>Beleg: Schulungsunterlage Baudirektion UR vom 08.05.2023 (Link getestet). Submissionsverordnung RB 3.3112 aufgehoben | Linkprüfung 14.10.2026: Link zeigte auf https://www.ur.ch/_doc/337571 (HTTP 200, «Microsoft PowerPoint - 20230508_Schulung_IVöB_Uri final(2).p»); richtig: RB 3.3111 «Interkantonale Vereinbarung über das öffentliche Beschaffungswesen (IVöB)». Alter Link: https://www.ur.ch/_doc/337571</t>
        </is>
      </c>
    </row>
    <row r="23" outlineLevel="1" ht="22.35" customHeight="1">
      <c r="A23" s="23" t="inlineStr">
        <is>
          <t>Kanton UR</t>
        </is>
      </c>
      <c r="B23" s="24" t="inlineStr">
        <is>
          <t>Q6</t>
        </is>
      </c>
      <c r="C23" s="23" t="inlineStr">
        <is>
          <t>Gesetz</t>
        </is>
      </c>
      <c r="D23" s="25" t="inlineStr">
        <is>
          <t>Reglement über den Vollzug der IVöB (Submissionsreglement)</t>
        </is>
      </c>
      <c r="E23" s="23" t="inlineStr">
        <is>
          <t>RB 3.3115</t>
        </is>
      </c>
      <c r="F23" s="23" t="inlineStr">
        <is>
          <t>ab 01.06.2023</t>
        </is>
      </c>
      <c r="G23" s="23" t="inlineStr">
        <is>
          <t>Kanton UR</t>
        </is>
      </c>
      <c r="H23" s="23" t="inlineStr">
        <is>
          <t>öffentlich</t>
        </is>
      </c>
      <c r="I23" s="29" t="inlineStr">
        <is>
          <t>n. a.</t>
        </is>
      </c>
      <c r="J23" s="29" t="inlineStr">
        <is>
          <t>n. a.</t>
        </is>
      </c>
      <c r="K23" s="26" t="inlineStr">
        <is>
          <t>belegt</t>
        </is>
      </c>
      <c r="L23" s="23" t="inlineStr">
        <is>
          <t>Im Katalog nur IVöB; kantonale Umsetzung fehlt</t>
        </is>
      </c>
      <c r="M23" s="43" t="inlineStr">
        <is>
          <t>https://rechtsbuch.ur.ch/app/de/texts_of_law/3.3115</t>
        </is>
      </c>
      <c r="N23" s="44" t="inlineStr">
        <is>
          <t>geprüft · korrigiert</t>
        </is>
      </c>
      <c r="O23" s="23" t="inlineStr">
        <is>
          <t>Ergänzung · tief</t>
        </is>
      </c>
      <c r="P23" s="23" t="inlineStr">
        <is>
          <t>Beleg: Schulungsunterlage Baudirektion UR vom 08.05.2023 (Link getestet); eigener Reglementstext-Link nicht ermittelt | Linkprüfung 14.10.2026: Link zeigte auf https://www.ur.ch/_doc/337571 (HTTP 200, «Microsoft PowerPoint - 20230508_Schulung_IVöB_Uri final(2).p»); richtig: RB 3.3115 «Reglement über den Vollzug der Interkantonalen Vereinbarung über das öffentliche Beschaffungswesen (Submissionsreglement)». Alter Link: https://www.ur.ch/_doc/337571</t>
        </is>
      </c>
    </row>
    <row r="24" outlineLevel="1" ht="32.85" customHeight="1">
      <c r="A24" s="23" t="inlineStr">
        <is>
          <t>Kanton UR</t>
        </is>
      </c>
      <c r="B24" s="24" t="inlineStr">
        <is>
          <t>Q6</t>
        </is>
      </c>
      <c r="C24" s="23" t="inlineStr">
        <is>
          <t>Planungsrecht</t>
        </is>
      </c>
      <c r="D24" s="25" t="inlineStr">
        <is>
          <t>PBG Uri: Gestaltungsplan-/Quartierplan-Verfahren</t>
        </is>
      </c>
      <c r="E24" s="23" t="inlineStr">
        <is>
          <t>IVöB: RB 3.3111; Reglement: RB 3.3115</t>
        </is>
      </c>
      <c r="F24" s="23" t="inlineStr">
        <is>
          <t>Inkrafttreten 01.06.2023</t>
        </is>
      </c>
      <c r="G24" s="23" t="inlineStr">
        <is>
          <t>Kanton UR</t>
        </is>
      </c>
      <c r="H24" s="23" t="inlineStr">
        <is>
          <t>öffentlich</t>
        </is>
      </c>
      <c r="I24" s="29" t="inlineStr">
        <is>
          <t>n. a.</t>
        </is>
      </c>
      <c r="J24" s="29" t="inlineStr">
        <is>
          <t>n. a.</t>
        </is>
      </c>
      <c r="K24" s="30" t="inlineStr">
        <is>
          <t>nicht belegt (Recherche offen)</t>
        </is>
      </c>
      <c r="L24" s="23" t="inlineStr">
        <is>
          <t>Planungsrechtliche Verknüpfung Verfahren ↔ Qualität</t>
        </is>
      </c>
      <c r="M24" s="27" t="inlineStr">
        <is>
          <t>https://rechtsbuch.ur.ch/app/de/texts_of_law/40.1111</t>
        </is>
      </c>
      <c r="N24" s="42" t="inlineStr">
        <is>
          <t>Muster · geprüft · OK</t>
        </is>
      </c>
      <c r="O24" s="23" t="inlineStr">
        <is>
          <t>Ergänzung · tief</t>
        </is>
      </c>
      <c r="P24" s="23" t="inlineStr">
        <is>
          <t>Beleg: Schulungsunterlage Baudirektion UR vom 08.05.2023 (Link getestet); Submissionsverordnung RB 3.3112 aufgehoben | Link (RB 40.1111, PBG Uri) passt zur Bezeichnung; die Spalte Referenz nennt dagegen IVöB/Submissionsreglement</t>
        </is>
      </c>
    </row>
    <row r="25" outlineLevel="1" ht="19.5" customHeight="1">
      <c r="A25" s="21" t="inlineStr">
        <is>
          <t>GEMEINDE MÜNCHENSTEIN (BL)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ht="22.35" customHeight="1">
      <c r="A26" s="23" t="inlineStr">
        <is>
          <t>Gde Münchenstein</t>
        </is>
      </c>
      <c r="B26" s="24" t="inlineStr">
        <is>
          <t>Q6</t>
        </is>
      </c>
      <c r="C26" s="23" t="inlineStr">
        <is>
          <t>Reglement</t>
        </is>
      </c>
      <c r="D26" s="25" t="inlineStr">
        <is>
          <t>Gemeindeordnung, Finanzhaushalt- und Beschaffungsreglement</t>
        </is>
      </c>
      <c r="E26" s="23" t="inlineStr">
        <is>
          <t>–</t>
        </is>
      </c>
      <c r="F26" s="23" t="inlineStr">
        <is>
          <t>–</t>
        </is>
      </c>
      <c r="G26" s="23" t="inlineStr">
        <is>
          <t>Gde Münchenstein</t>
        </is>
      </c>
      <c r="H26" s="23" t="inlineStr">
        <is>
          <t>öffentlich</t>
        </is>
      </c>
      <c r="I26" s="30" t="inlineStr">
        <is>
          <t>nicht belegt (Recherche offen)</t>
        </is>
      </c>
      <c r="J26" s="29" t="inlineStr">
        <is>
          <t>n. a.</t>
        </is>
      </c>
      <c r="K26" s="29" t="inlineStr">
        <is>
          <t>n. a.</t>
        </is>
      </c>
      <c r="L26" s="23" t="inlineStr">
        <is>
          <t>Ausgaben-/Vertragskompetenzen, Bestellerorganisation</t>
        </is>
      </c>
      <c r="M26" s="27" t="inlineStr">
        <is>
          <t>https://www.muenchenstein.ch</t>
        </is>
      </c>
      <c r="N26" s="28" t="inlineStr">
        <is>
          <t>Einstiegsseite · geprüft · nur Einstiegsseite</t>
        </is>
      </c>
      <c r="O26" s="23" t="inlineStr">
        <is>
          <t>Ergänzung · tief</t>
        </is>
      </c>
      <c r="P26" s="23" t="inlineStr">
        <is>
          <t>Im Katalog nicht belegt</t>
        </is>
      </c>
    </row>
    <row r="27" outlineLevel="1" ht="22.35" customHeight="1">
      <c r="A27" s="23" t="inlineStr">
        <is>
          <t>Gde Münchenstein</t>
        </is>
      </c>
      <c r="B27" s="24" t="inlineStr">
        <is>
          <t>Q6</t>
        </is>
      </c>
      <c r="C27" s="23" t="inlineStr">
        <is>
          <t>Plattform</t>
        </is>
      </c>
      <c r="D27" s="25" t="inlineStr">
        <is>
          <t>Vergaben Münchenstein auf simap.ch</t>
        </is>
      </c>
      <c r="E27" s="23" t="inlineStr">
        <is>
          <t>–</t>
        </is>
      </c>
      <c r="F27" s="23" t="inlineStr">
        <is>
          <t>–</t>
        </is>
      </c>
      <c r="G27" s="23" t="inlineStr">
        <is>
          <t>Gde Münchenstein</t>
        </is>
      </c>
      <c r="H27" s="23" t="inlineStr">
        <is>
          <t>öffentlich</t>
        </is>
      </c>
      <c r="I27" s="30" t="inlineStr">
        <is>
          <t>nicht belegt (Recherche offen)</t>
        </is>
      </c>
      <c r="J27" s="29" t="inlineStr">
        <is>
          <t>n. a.</t>
        </is>
      </c>
      <c r="K27" s="29" t="inlineStr">
        <is>
          <t>n. a.</t>
        </is>
      </c>
      <c r="L27" s="23" t="inlineStr">
        <is>
          <t>Praxisreferenz Bestellung/Vergabe</t>
        </is>
      </c>
      <c r="M27" s="27" t="inlineStr">
        <is>
          <t>https://www.simap.ch</t>
        </is>
      </c>
      <c r="N27" s="28" t="inlineStr">
        <is>
          <t>Muster · geprüft · nur Einstiegsseite</t>
        </is>
      </c>
      <c r="O27" s="23" t="inlineStr">
        <is>
          <t>Ergänzung · tief</t>
        </is>
      </c>
      <c r="P27" s="23" t="n"/>
    </row>
    <row r="28" outlineLevel="1" ht="19.5" customHeight="1">
      <c r="A28" s="21" t="inlineStr">
        <is>
          <t>GEMEINDE WIL (SG)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 ht="22.35" customHeight="1">
      <c r="A29" s="23" t="inlineStr">
        <is>
          <t>Gde Wil</t>
        </is>
      </c>
      <c r="B29" s="24" t="inlineStr">
        <is>
          <t>Q6</t>
        </is>
      </c>
      <c r="C29" s="23" t="inlineStr">
        <is>
          <t>Reglement</t>
        </is>
      </c>
      <c r="D29" s="25" t="inlineStr">
        <is>
          <t>Reglement über die Ausgaben- und Vertragskompetenzen der Departemente und Dienststellen</t>
        </is>
      </c>
      <c r="E29" s="23" t="inlineStr">
        <is>
          <t>SRS 1.6-4</t>
        </is>
      </c>
      <c r="F29" s="23" t="inlineStr">
        <is>
          <t>Katalog: kein Stand</t>
        </is>
      </c>
      <c r="G29" s="23" t="inlineStr">
        <is>
          <t>Gde Wil</t>
        </is>
      </c>
      <c r="H29" s="23" t="inlineStr">
        <is>
          <t>öffentlich</t>
        </is>
      </c>
      <c r="I29" s="29" t="inlineStr">
        <is>
          <t>n. a.</t>
        </is>
      </c>
      <c r="J29" s="26" t="inlineStr">
        <is>
          <t>belegt</t>
        </is>
      </c>
      <c r="K29" s="29" t="inlineStr">
        <is>
          <t>n. a.</t>
        </is>
      </c>
      <c r="L29" s="23" t="inlineStr">
        <is>
          <t>Lebenszykluskosten und Verantwortlichkeiten projektspezifisch festlegen (Besteller-/LCC-Konzept)</t>
        </is>
      </c>
      <c r="M29" s="27" t="inlineStr">
        <is>
          <t>https://wil-sg.tlex.ch/app/de/texts_of_law/1.6-4</t>
        </is>
      </c>
      <c r="N29" s="42" t="inlineStr">
        <is>
          <t>Kataster · geprüft · OK</t>
        </is>
      </c>
      <c r="O29" s="23" t="inlineStr">
        <is>
          <t>Katalog · hoch</t>
        </is>
      </c>
      <c r="P29" s="23" t="inlineStr">
        <is>
          <t>Stand ergänzen; LCC-Bezug im Text prüfen</t>
        </is>
      </c>
    </row>
    <row r="30" outlineLevel="1" ht="22.35" customHeight="1">
      <c r="A30" s="23" t="inlineStr">
        <is>
          <t>Gde Wil</t>
        </is>
      </c>
      <c r="B30" s="24" t="inlineStr">
        <is>
          <t>Q6</t>
        </is>
      </c>
      <c r="C30" s="23" t="inlineStr">
        <is>
          <t>Plattform</t>
        </is>
      </c>
      <c r="D30" s="25" t="inlineStr">
        <is>
          <t>Vergaben Wil auf simap.ch</t>
        </is>
      </c>
      <c r="E30" s="23" t="inlineStr">
        <is>
          <t>–</t>
        </is>
      </c>
      <c r="F30" s="23" t="inlineStr">
        <is>
          <t>–</t>
        </is>
      </c>
      <c r="G30" s="23" t="inlineStr">
        <is>
          <t>Gde Wil</t>
        </is>
      </c>
      <c r="H30" s="23" t="inlineStr">
        <is>
          <t>öffentlich</t>
        </is>
      </c>
      <c r="I30" s="29" t="inlineStr">
        <is>
          <t>n. a.</t>
        </is>
      </c>
      <c r="J30" s="30" t="inlineStr">
        <is>
          <t>nicht belegt (Recherche offen)</t>
        </is>
      </c>
      <c r="K30" s="29" t="inlineStr">
        <is>
          <t>n. a.</t>
        </is>
      </c>
      <c r="L30" s="23" t="inlineStr">
        <is>
          <t>Praxisreferenz Bestellung/Vergabe</t>
        </is>
      </c>
      <c r="M30" s="27" t="inlineStr">
        <is>
          <t>https://www.simap.ch</t>
        </is>
      </c>
      <c r="N30" s="28" t="inlineStr">
        <is>
          <t>Muster · geprüft · nur Einstiegsseite</t>
        </is>
      </c>
      <c r="O30" s="23" t="inlineStr">
        <is>
          <t>Ergänzung · tief</t>
        </is>
      </c>
      <c r="P30" s="23" t="n"/>
    </row>
    <row r="31" outlineLevel="1" ht="19.5" customHeight="1">
      <c r="A31" s="21" t="inlineStr">
        <is>
          <t>GEMEINDE SEELISBERG (UR)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 ht="22.35" customHeight="1">
      <c r="A32" s="23" t="inlineStr">
        <is>
          <t>Gde Seelisberg</t>
        </is>
      </c>
      <c r="B32" s="24" t="inlineStr">
        <is>
          <t>Q6</t>
        </is>
      </c>
      <c r="C32" s="23" t="inlineStr">
        <is>
          <t>Reglement</t>
        </is>
      </c>
      <c r="D32" s="25" t="inlineStr">
        <is>
          <t>Gemeindeordnung, Finanzhaushalt- und Beschaffungsreglement</t>
        </is>
      </c>
      <c r="E32" s="23" t="inlineStr">
        <is>
          <t>–</t>
        </is>
      </c>
      <c r="F32" s="23" t="inlineStr">
        <is>
          <t>–</t>
        </is>
      </c>
      <c r="G32" s="23" t="inlineStr">
        <is>
          <t>Gde Seelisberg</t>
        </is>
      </c>
      <c r="H32" s="23" t="inlineStr">
        <is>
          <t>öffentlich</t>
        </is>
      </c>
      <c r="I32" s="29" t="inlineStr">
        <is>
          <t>n. a.</t>
        </is>
      </c>
      <c r="J32" s="29" t="inlineStr">
        <is>
          <t>n. a.</t>
        </is>
      </c>
      <c r="K32" s="30" t="inlineStr">
        <is>
          <t>nicht belegt (Recherche offen)</t>
        </is>
      </c>
      <c r="L32" s="23" t="inlineStr">
        <is>
          <t>Ausgaben-/Vertragskompetenzen, Bestellerorganisation</t>
        </is>
      </c>
      <c r="M32" s="27" t="inlineStr">
        <is>
          <t>https://www.seelisberg.ch</t>
        </is>
      </c>
      <c r="N32" s="28" t="inlineStr">
        <is>
          <t>Einstiegsseite · geprüft · nur Einstiegsseite</t>
        </is>
      </c>
      <c r="O32" s="23" t="inlineStr">
        <is>
          <t>Ergänzung · tief</t>
        </is>
      </c>
      <c r="P32" s="23" t="inlineStr">
        <is>
          <t>Im Katalog nicht belegt</t>
        </is>
      </c>
    </row>
    <row r="33" outlineLevel="1" ht="22.35" customHeight="1">
      <c r="A33" s="23" t="inlineStr">
        <is>
          <t>Gde Seelisberg</t>
        </is>
      </c>
      <c r="B33" s="24" t="inlineStr">
        <is>
          <t>Q6</t>
        </is>
      </c>
      <c r="C33" s="23" t="inlineStr">
        <is>
          <t>Plattform</t>
        </is>
      </c>
      <c r="D33" s="25" t="inlineStr">
        <is>
          <t>Vergaben Seelisberg auf simap.ch</t>
        </is>
      </c>
      <c r="E33" s="23" t="inlineStr">
        <is>
          <t>–</t>
        </is>
      </c>
      <c r="F33" s="23" t="inlineStr">
        <is>
          <t>–</t>
        </is>
      </c>
      <c r="G33" s="23" t="inlineStr">
        <is>
          <t>Gde Seelisberg</t>
        </is>
      </c>
      <c r="H33" s="23" t="inlineStr">
        <is>
          <t>öffentlich</t>
        </is>
      </c>
      <c r="I33" s="29" t="inlineStr">
        <is>
          <t>n. a.</t>
        </is>
      </c>
      <c r="J33" s="29" t="inlineStr">
        <is>
          <t>n. a.</t>
        </is>
      </c>
      <c r="K33" s="30" t="inlineStr">
        <is>
          <t>nicht belegt (Recherche offen)</t>
        </is>
      </c>
      <c r="L33" s="23" t="inlineStr">
        <is>
          <t>Praxisreferenz Bestellung/Vergabe</t>
        </is>
      </c>
      <c r="M33" s="27" t="inlineStr">
        <is>
          <t>https://www.simap.ch</t>
        </is>
      </c>
      <c r="N33" s="28" t="inlineStr">
        <is>
          <t>Muster · geprüft · nur Einstiegsseite</t>
        </is>
      </c>
      <c r="O33" s="23" t="inlineStr">
        <is>
          <t>Ergänzung · tief</t>
        </is>
      </c>
      <c r="P33" s="23" t="n"/>
    </row>
    <row r="34" outlineLevel="1" ht="19.5" customHeight="1">
      <c r="A34" s="21" t="inlineStr">
        <is>
          <t>GEMEINDEN – nicht öffentliche Daten (Lieferung durch Gemeinde / Kanton)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 ht="22.35" customHeight="1">
      <c r="A35" s="23" t="inlineStr">
        <is>
          <t>Gemeinden (alle)</t>
        </is>
      </c>
      <c r="B35" s="24" t="inlineStr">
        <is>
          <t>Q6</t>
        </is>
      </c>
      <c r="C35" s="23" t="inlineStr">
        <is>
          <t>Datensatz</t>
        </is>
      </c>
      <c r="D35" s="25" t="inlineStr">
        <is>
          <t>Laufende Vergaben, Verträge, Bestellorganisation, Projektabläufe, Beschaffungsstatistik</t>
        </is>
      </c>
      <c r="E35" s="23" t="inlineStr">
        <is>
          <t>–</t>
        </is>
      </c>
      <c r="F35" s="23" t="inlineStr">
        <is>
          <t>–</t>
        </is>
      </c>
      <c r="G35" s="23" t="inlineStr">
        <is>
          <t>Gemeinde</t>
        </is>
      </c>
      <c r="H35" s="32" t="inlineStr">
        <is>
          <t>nicht öffentlich</t>
        </is>
      </c>
      <c r="I35" s="33" t="inlineStr">
        <is>
          <t>Datenanfrage (nicht öffentlich)</t>
        </is>
      </c>
      <c r="J35" s="33" t="inlineStr">
        <is>
          <t>Datenanfrage (nicht öffentlich)</t>
        </is>
      </c>
      <c r="K35" s="33" t="inlineStr">
        <is>
          <t>Datenanfrage (nicht öffentlich)</t>
        </is>
      </c>
      <c r="L35" s="23" t="inlineStr">
        <is>
          <t>Bestellerkompetenz (C4) und Vergabepraxis</t>
        </is>
      </c>
      <c r="M35" s="27" t="inlineStr">
        <is>
          <t>https://www.fedlex.admin.ch</t>
        </is>
      </c>
      <c r="N35" s="28" t="inlineStr">
        <is>
          <t>Einstiegsseite · geprüft · nur Einstiegsseite</t>
        </is>
      </c>
      <c r="O35" s="23" t="inlineStr">
        <is>
          <t>Ergänzung · mittel</t>
        </is>
      </c>
      <c r="P35" s="23" t="inlineStr">
        <is>
          <t>Existenz: hoch (Vergaben sind zu dokumentieren), Zugang nicht öffentlich</t>
        </is>
      </c>
    </row>
    <row r="36" outlineLevel="1" ht="22.35" customHeight="1">
      <c r="A36" s="23" t="inlineStr">
        <is>
          <t>Gemeinden (alle)</t>
        </is>
      </c>
      <c r="B36" s="24" t="inlineStr">
        <is>
          <t>Q6</t>
        </is>
      </c>
      <c r="C36" s="23" t="inlineStr">
        <is>
          <t>Datensatz</t>
        </is>
      </c>
      <c r="D36" s="25" t="inlineStr">
        <is>
          <t>Lebenszykluskosten-Vorgaben, Bestellerhandbücher, Projektleitungs-Standards der Gemeinde</t>
        </is>
      </c>
      <c r="E36" s="23" t="inlineStr">
        <is>
          <t>–</t>
        </is>
      </c>
      <c r="F36" s="23" t="inlineStr">
        <is>
          <t>–</t>
        </is>
      </c>
      <c r="G36" s="23" t="inlineStr">
        <is>
          <t>Gemeinde</t>
        </is>
      </c>
      <c r="H36" s="32" t="inlineStr">
        <is>
          <t>nicht öffentlich</t>
        </is>
      </c>
      <c r="I36" s="33" t="inlineStr">
        <is>
          <t>Datenanfrage (nicht öffentlich)</t>
        </is>
      </c>
      <c r="J36" s="33" t="inlineStr">
        <is>
          <t>Datenanfrage (nicht öffentlich)</t>
        </is>
      </c>
      <c r="K36" s="33" t="inlineStr">
        <is>
          <t>Datenanfrage (nicht öffentlich)</t>
        </is>
      </c>
      <c r="L36" s="23" t="inlineStr">
        <is>
          <t>Q6-Schwelle: integrierte Gesamtlösung</t>
        </is>
      </c>
      <c r="M36" s="27" t="inlineStr">
        <is>
          <t>https://www.fedlex.admin.ch</t>
        </is>
      </c>
      <c r="N36" s="28" t="inlineStr">
        <is>
          <t>Einstiegsseite · geprüft · nur Einstiegsseite</t>
        </is>
      </c>
      <c r="O36" s="23" t="inlineStr">
        <is>
          <t>Ergänzung · tief</t>
        </is>
      </c>
      <c r="P36" s="23" t="inlineStr">
        <is>
          <t>Existenz: unbekannt (Hypothese: nur bei grösseren Gemeinden, z. B. Wil)</t>
        </is>
      </c>
    </row>
    <row r="37" outlineLevel="1"/>
  </sheetData>
  <autoFilter ref="A5:P36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4" r:id="rId6"/>
    <hyperlink xmlns:r="http://schemas.openxmlformats.org/officeDocument/2006/relationships" ref="M15" r:id="rId7"/>
    <hyperlink xmlns:r="http://schemas.openxmlformats.org/officeDocument/2006/relationships" ref="M16" r:id="rId8"/>
    <hyperlink xmlns:r="http://schemas.openxmlformats.org/officeDocument/2006/relationships" ref="M18" r:id="rId9"/>
    <hyperlink xmlns:r="http://schemas.openxmlformats.org/officeDocument/2006/relationships" ref="M19" r:id="rId10"/>
    <hyperlink xmlns:r="http://schemas.openxmlformats.org/officeDocument/2006/relationships" ref="M20" r:id="rId11"/>
    <hyperlink xmlns:r="http://schemas.openxmlformats.org/officeDocument/2006/relationships" ref="M22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6" r:id="rId15"/>
    <hyperlink xmlns:r="http://schemas.openxmlformats.org/officeDocument/2006/relationships" ref="M27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2" r:id="rId19"/>
    <hyperlink xmlns:r="http://schemas.openxmlformats.org/officeDocument/2006/relationships" ref="M33" r:id="rId20"/>
    <hyperlink xmlns:r="http://schemas.openxmlformats.org/officeDocument/2006/relationships" ref="M35" r:id="rId21"/>
    <hyperlink xmlns:r="http://schemas.openxmlformats.org/officeDocument/2006/relationships" ref="M36" r:id="rId22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zoomScaleNormal="100" workbookViewId="0">
      <pane xSplit="3" ySplit="4" topLeftCell="D5" activePane="bottomRight" state="frozen"/>
      <selection pane="bottomRight" activeCell="A1" sqref="A1"/>
      <selection pane="bottomLeft" activeCell="A5" sqref="A5"/>
      <selection pane="topRight" activeCell="D1" sqref="D1"/>
    </sheetView>
  </sheetViews>
  <sheetFormatPr baseColWidth="8" defaultColWidth="8.7109375" defaultRowHeight="15"/>
  <cols>
    <col width="8" customWidth="1" min="1" max="1"/>
    <col width="14" customWidth="1" min="2" max="2"/>
    <col width="50" customWidth="1" min="3" max="3"/>
    <col width="14" customWidth="1" min="4" max="4"/>
    <col width="38" customWidth="1" min="5" max="5"/>
    <col width="14" customWidth="1" min="6" max="6"/>
    <col width="16" customWidth="1" min="7" max="7"/>
    <col width="12" customWidth="1" min="8" max="8"/>
    <col width="16" customWidth="1" min="9" max="9"/>
    <col width="15" customWidth="1" min="10" max="10"/>
    <col width="13" customWidth="1" min="11" max="11"/>
    <col width="15" customWidth="1" min="12" max="12"/>
    <col width="52" customWidth="1" min="13" max="13"/>
  </cols>
  <sheetData>
    <row r="1" ht="17.45" customHeight="1">
      <c r="A1" s="19" t="inlineStr">
        <is>
          <t>7 · Überprüfung GIS-Layers – Sammlung der Layer und Links</t>
        </is>
      </c>
    </row>
    <row r="2" ht="15" customHeight="1">
      <c r="A2" s="2" t="inlineStr">
        <is>
          <t>Links öffnen map.geo.admin.ch mit aktivem Layer, zentriert auf die Gemeinde (Zoom nach Bedarf anpassen). Layer-IDs stammen aus Fachwissen (Link-Status «Muster»); bei fehlender ID bitte den Suchbegriff im Viewer verwenden. Alle Links in diesem Blatt sind ungetestet (Sandbox ohne Internetzugriff). Betroffenheit: Dropdown ja / nein / offen – wird von der GIS-Bearbeitung ausgefüllt.</t>
        </is>
      </c>
    </row>
    <row r="4" ht="31.5" customHeight="1">
      <c r="A4" s="6" t="inlineStr">
        <is>
          <t>Q</t>
        </is>
      </c>
      <c r="B4" s="6" t="inlineStr">
        <is>
          <t>Thema</t>
        </is>
      </c>
      <c r="C4" s="6" t="inlineStr">
        <is>
          <t>Layer / Datensatz</t>
        </is>
      </c>
      <c r="D4" s="6" t="inlineStr">
        <is>
          <t>Anbieter</t>
        </is>
      </c>
      <c r="E4" s="6" t="inlineStr">
        <is>
          <t>Layer-ID</t>
        </is>
      </c>
      <c r="F4" s="6" t="inlineStr">
        <is>
          <t>Link CH-weit</t>
        </is>
      </c>
      <c r="G4" s="6" t="inlineStr">
        <is>
          <t>Link Münchenstein</t>
        </is>
      </c>
      <c r="H4" s="6" t="inlineStr">
        <is>
          <t>Link Wil</t>
        </is>
      </c>
      <c r="I4" s="6" t="inlineStr">
        <is>
          <t>Link Seelisberg</t>
        </is>
      </c>
      <c r="J4" s="6" t="inlineStr">
        <is>
          <t>Betroffenheit Münchenstein</t>
        </is>
      </c>
      <c r="K4" s="6" t="inlineStr">
        <is>
          <t>Betroffenheit Wil</t>
        </is>
      </c>
      <c r="L4" s="6" t="inlineStr">
        <is>
          <t>Betroffenheit Seelisberg</t>
        </is>
      </c>
      <c r="M4" s="6" t="inlineStr">
        <is>
          <t>Hinweis / Suchbegriff</t>
        </is>
      </c>
    </row>
    <row r="5" ht="15" customHeight="1">
      <c r="A5" s="21" t="inlineStr">
        <is>
          <t>BUND – map.geo.admin.ch (gilt für alle drei Gemeinden)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22.35" customHeight="1">
      <c r="A6" s="24" t="inlineStr">
        <is>
          <t>Q2</t>
        </is>
      </c>
      <c r="B6" s="23" t="inlineStr">
        <is>
          <t>Landschaft</t>
        </is>
      </c>
      <c r="C6" s="23" t="inlineStr">
        <is>
          <t>BLN – Landschaften und Naturdenkmäler von nationaler Bedeutung</t>
        </is>
      </c>
      <c r="D6" s="23" t="inlineStr">
        <is>
          <t>BAFU</t>
        </is>
      </c>
      <c r="E6" s="23" t="inlineStr">
        <is>
          <t>ch.bafu.bundesinventare-bln</t>
        </is>
      </c>
      <c r="F6" s="47" t="inlineStr">
        <is>
          <t>CH-weit</t>
        </is>
      </c>
      <c r="G6" s="47" t="inlineStr">
        <is>
          <t>Münchenstein</t>
        </is>
      </c>
      <c r="H6" s="47" t="inlineStr">
        <is>
          <t>Wil</t>
        </is>
      </c>
      <c r="I6" s="47" t="inlineStr">
        <is>
          <t>Seelisberg</t>
        </is>
      </c>
      <c r="J6" s="35" t="inlineStr">
        <is>
          <t>offen</t>
        </is>
      </c>
      <c r="K6" s="35" t="inlineStr">
        <is>
          <t>offen</t>
        </is>
      </c>
      <c r="L6" s="35" t="inlineStr">
        <is>
          <t>offen</t>
        </is>
      </c>
      <c r="M6" s="23" t="n"/>
    </row>
    <row r="7" ht="15" customHeight="1">
      <c r="A7" s="24" t="inlineStr">
        <is>
          <t>Q2</t>
        </is>
      </c>
      <c r="B7" s="23" t="inlineStr">
        <is>
          <t>Landschaft</t>
        </is>
      </c>
      <c r="C7" s="23" t="inlineStr">
        <is>
          <t>Moorlandschaften von besonderer Schönheit</t>
        </is>
      </c>
      <c r="D7" s="23" t="inlineStr">
        <is>
          <t>BAFU</t>
        </is>
      </c>
      <c r="E7" s="23" t="inlineStr">
        <is>
          <t>ch.bafu.bundesinventare-moorlandschaften</t>
        </is>
      </c>
      <c r="F7" s="47" t="inlineStr">
        <is>
          <t>CH-weit</t>
        </is>
      </c>
      <c r="G7" s="47" t="inlineStr">
        <is>
          <t>Münchenstein</t>
        </is>
      </c>
      <c r="H7" s="47" t="inlineStr">
        <is>
          <t>Wil</t>
        </is>
      </c>
      <c r="I7" s="47" t="inlineStr">
        <is>
          <t>Seelisberg</t>
        </is>
      </c>
      <c r="J7" s="35" t="inlineStr">
        <is>
          <t>offen</t>
        </is>
      </c>
      <c r="K7" s="35" t="inlineStr">
        <is>
          <t>offen</t>
        </is>
      </c>
      <c r="L7" s="35" t="inlineStr">
        <is>
          <t>offen</t>
        </is>
      </c>
      <c r="M7" s="23" t="n"/>
    </row>
    <row r="8" ht="15" customHeight="1">
      <c r="A8" s="24" t="inlineStr">
        <is>
          <t>Q2</t>
        </is>
      </c>
      <c r="B8" s="23" t="inlineStr">
        <is>
          <t>Biodiversität</t>
        </is>
      </c>
      <c r="C8" s="23" t="inlineStr">
        <is>
          <t>Hochmoore</t>
        </is>
      </c>
      <c r="D8" s="23" t="inlineStr">
        <is>
          <t>BAFU</t>
        </is>
      </c>
      <c r="E8" s="23" t="inlineStr">
        <is>
          <t>ch.bafu.bundesinventare-hochmoore</t>
        </is>
      </c>
      <c r="F8" s="47" t="inlineStr">
        <is>
          <t>CH-weit</t>
        </is>
      </c>
      <c r="G8" s="47" t="inlineStr">
        <is>
          <t>Münchenstein</t>
        </is>
      </c>
      <c r="H8" s="47" t="inlineStr">
        <is>
          <t>Wil</t>
        </is>
      </c>
      <c r="I8" s="47" t="inlineStr">
        <is>
          <t>Seelisberg</t>
        </is>
      </c>
      <c r="J8" s="35" t="inlineStr">
        <is>
          <t>offen</t>
        </is>
      </c>
      <c r="K8" s="35" t="inlineStr">
        <is>
          <t>offen</t>
        </is>
      </c>
      <c r="L8" s="35" t="inlineStr">
        <is>
          <t>offen</t>
        </is>
      </c>
      <c r="M8" s="23" t="n"/>
    </row>
    <row r="9" ht="15" customHeight="1">
      <c r="A9" s="24" t="inlineStr">
        <is>
          <t>Q2</t>
        </is>
      </c>
      <c r="B9" s="23" t="inlineStr">
        <is>
          <t>Biodiversität</t>
        </is>
      </c>
      <c r="C9" s="23" t="inlineStr">
        <is>
          <t>Flachmoore</t>
        </is>
      </c>
      <c r="D9" s="23" t="inlineStr">
        <is>
          <t>BAFU</t>
        </is>
      </c>
      <c r="E9" s="23" t="inlineStr">
        <is>
          <t>ch.bafu.bundesinventare-flachmoore</t>
        </is>
      </c>
      <c r="F9" s="47" t="inlineStr">
        <is>
          <t>CH-weit</t>
        </is>
      </c>
      <c r="G9" s="47" t="inlineStr">
        <is>
          <t>Münchenstein</t>
        </is>
      </c>
      <c r="H9" s="47" t="inlineStr">
        <is>
          <t>Wil</t>
        </is>
      </c>
      <c r="I9" s="47" t="inlineStr">
        <is>
          <t>Seelisberg</t>
        </is>
      </c>
      <c r="J9" s="35" t="inlineStr">
        <is>
          <t>offen</t>
        </is>
      </c>
      <c r="K9" s="35" t="inlineStr">
        <is>
          <t>offen</t>
        </is>
      </c>
      <c r="L9" s="35" t="inlineStr">
        <is>
          <t>offen</t>
        </is>
      </c>
      <c r="M9" s="23" t="n"/>
    </row>
    <row r="10" ht="15" customHeight="1">
      <c r="A10" s="24" t="inlineStr">
        <is>
          <t>Q2</t>
        </is>
      </c>
      <c r="B10" s="23" t="inlineStr">
        <is>
          <t>Biodiversität</t>
        </is>
      </c>
      <c r="C10" s="23" t="inlineStr">
        <is>
          <t>Auengebiete</t>
        </is>
      </c>
      <c r="D10" s="23" t="inlineStr">
        <is>
          <t>BAFU</t>
        </is>
      </c>
      <c r="E10" s="23" t="inlineStr">
        <is>
          <t>ch.bafu.bundesinventare-auen</t>
        </is>
      </c>
      <c r="F10" s="47" t="inlineStr">
        <is>
          <t>CH-weit</t>
        </is>
      </c>
      <c r="G10" s="47" t="inlineStr">
        <is>
          <t>Münchenstein</t>
        </is>
      </c>
      <c r="H10" s="47" t="inlineStr">
        <is>
          <t>Wil</t>
        </is>
      </c>
      <c r="I10" s="47" t="inlineStr">
        <is>
          <t>Seelisberg</t>
        </is>
      </c>
      <c r="J10" s="35" t="inlineStr">
        <is>
          <t>offen</t>
        </is>
      </c>
      <c r="K10" s="35" t="inlineStr">
        <is>
          <t>offen</t>
        </is>
      </c>
      <c r="L10" s="35" t="inlineStr">
        <is>
          <t>offen</t>
        </is>
      </c>
      <c r="M10" s="23" t="n"/>
    </row>
    <row r="11" ht="15" customHeight="1">
      <c r="A11" s="24" t="inlineStr">
        <is>
          <t>Q2</t>
        </is>
      </c>
      <c r="B11" s="23" t="inlineStr">
        <is>
          <t>Biodiversität</t>
        </is>
      </c>
      <c r="C11" s="23" t="inlineStr">
        <is>
          <t>Amphibienlaichgebiete (ortsfest)</t>
        </is>
      </c>
      <c r="D11" s="23" t="inlineStr">
        <is>
          <t>BAFU</t>
        </is>
      </c>
      <c r="E11" s="23" t="inlineStr">
        <is>
          <t>ch.bafu.bundesinventare-amphibien</t>
        </is>
      </c>
      <c r="F11" s="47" t="inlineStr">
        <is>
          <t>CH-weit</t>
        </is>
      </c>
      <c r="G11" s="47" t="inlineStr">
        <is>
          <t>Münchenstein</t>
        </is>
      </c>
      <c r="H11" s="47" t="inlineStr">
        <is>
          <t>Wil</t>
        </is>
      </c>
      <c r="I11" s="47" t="inlineStr">
        <is>
          <t>Seelisberg</t>
        </is>
      </c>
      <c r="J11" s="35" t="inlineStr">
        <is>
          <t>offen</t>
        </is>
      </c>
      <c r="K11" s="35" t="inlineStr">
        <is>
          <t>offen</t>
        </is>
      </c>
      <c r="L11" s="35" t="inlineStr">
        <is>
          <t>offen</t>
        </is>
      </c>
      <c r="M11" s="23" t="n"/>
    </row>
    <row r="12" ht="22.35" customHeight="1">
      <c r="A12" s="24" t="inlineStr">
        <is>
          <t>Q2</t>
        </is>
      </c>
      <c r="B12" s="23" t="inlineStr">
        <is>
          <t>Biodiversität</t>
        </is>
      </c>
      <c r="C12" s="23" t="inlineStr">
        <is>
          <t>Trockenwiesen und -weiden (TWW)</t>
        </is>
      </c>
      <c r="D12" s="23" t="inlineStr">
        <is>
          <t>BAFU</t>
        </is>
      </c>
      <c r="E12" s="23" t="inlineStr">
        <is>
          <t>ch.bafu.bundesinventare-trockenwiesen_trockenweiden</t>
        </is>
      </c>
      <c r="F12" s="47" t="inlineStr">
        <is>
          <t>CH-weit</t>
        </is>
      </c>
      <c r="G12" s="47" t="inlineStr">
        <is>
          <t>Münchenstein</t>
        </is>
      </c>
      <c r="H12" s="47" t="inlineStr">
        <is>
          <t>Wil</t>
        </is>
      </c>
      <c r="I12" s="47" t="inlineStr">
        <is>
          <t>Seelisberg</t>
        </is>
      </c>
      <c r="J12" s="35" t="inlineStr">
        <is>
          <t>offen</t>
        </is>
      </c>
      <c r="K12" s="35" t="inlineStr">
        <is>
          <t>offen</t>
        </is>
      </c>
      <c r="L12" s="35" t="inlineStr">
        <is>
          <t>offen</t>
        </is>
      </c>
      <c r="M12" s="23" t="n"/>
    </row>
    <row r="13" ht="15" customHeight="1">
      <c r="A13" s="24" t="inlineStr">
        <is>
          <t>Q2</t>
        </is>
      </c>
      <c r="B13" s="23" t="inlineStr">
        <is>
          <t>Biodiversität</t>
        </is>
      </c>
      <c r="C13" s="23" t="inlineStr">
        <is>
          <t>Eidg. Jagdbanngebiete</t>
        </is>
      </c>
      <c r="D13" s="23" t="inlineStr">
        <is>
          <t>BAFU</t>
        </is>
      </c>
      <c r="E13" s="23" t="inlineStr">
        <is>
          <t>ch.bafu.bundesinventare-jagdbanngebiete</t>
        </is>
      </c>
      <c r="F13" s="47" t="inlineStr">
        <is>
          <t>CH-weit</t>
        </is>
      </c>
      <c r="G13" s="47" t="inlineStr">
        <is>
          <t>Münchenstein</t>
        </is>
      </c>
      <c r="H13" s="47" t="inlineStr">
        <is>
          <t>Wil</t>
        </is>
      </c>
      <c r="I13" s="47" t="inlineStr">
        <is>
          <t>Seelisberg</t>
        </is>
      </c>
      <c r="J13" s="35" t="inlineStr">
        <is>
          <t>offen</t>
        </is>
      </c>
      <c r="K13" s="35" t="inlineStr">
        <is>
          <t>offen</t>
        </is>
      </c>
      <c r="L13" s="35" t="inlineStr">
        <is>
          <t>offen</t>
        </is>
      </c>
      <c r="M13" s="23" t="n"/>
    </row>
    <row r="14" ht="15" customHeight="1">
      <c r="A14" s="24" t="inlineStr">
        <is>
          <t>Q2</t>
        </is>
      </c>
      <c r="B14" s="23" t="inlineStr">
        <is>
          <t>Biodiversität</t>
        </is>
      </c>
      <c r="C14" s="23" t="inlineStr">
        <is>
          <t>Wasser- und Zugvogelreservate</t>
        </is>
      </c>
      <c r="D14" s="23" t="inlineStr">
        <is>
          <t>BAFU</t>
        </is>
      </c>
      <c r="E14" s="45" t="inlineStr">
        <is>
          <t>ch.bafu.bundesinventare-vogelreservate</t>
        </is>
      </c>
      <c r="F14" s="47" t="inlineStr">
        <is>
          <t>CH-weit</t>
        </is>
      </c>
      <c r="G14" s="47" t="inlineStr">
        <is>
          <t>Münchenstein</t>
        </is>
      </c>
      <c r="H14" s="47" t="inlineStr">
        <is>
          <t>Wil</t>
        </is>
      </c>
      <c r="I14" s="47" t="inlineStr">
        <is>
          <t>Seelisberg</t>
        </is>
      </c>
      <c r="J14" s="35" t="inlineStr">
        <is>
          <t>offen</t>
        </is>
      </c>
      <c r="K14" s="35" t="inlineStr">
        <is>
          <t>offen</t>
        </is>
      </c>
      <c r="L14" s="35" t="inlineStr">
        <is>
          <t>offen</t>
        </is>
      </c>
      <c r="M14" s="23" t="inlineStr">
        <is>
          <t>Im Viewer suchen: «Wasser- und Zugvogelreservate»</t>
        </is>
      </c>
    </row>
    <row r="15" ht="15" customHeight="1">
      <c r="A15" s="24" t="inlineStr">
        <is>
          <t>Q2</t>
        </is>
      </c>
      <c r="B15" s="23" t="inlineStr">
        <is>
          <t>Biodiversität</t>
        </is>
      </c>
      <c r="C15" s="23" t="inlineStr">
        <is>
          <t>Wildtierkorridore (überregional)</t>
        </is>
      </c>
      <c r="D15" s="23" t="inlineStr">
        <is>
          <t>BAFU</t>
        </is>
      </c>
      <c r="E15" s="45" t="inlineStr">
        <is>
          <t>ch.bafu.fauna-wildtierkorridor_national</t>
        </is>
      </c>
      <c r="F15" s="47" t="inlineStr">
        <is>
          <t>CH-weit</t>
        </is>
      </c>
      <c r="G15" s="47" t="inlineStr">
        <is>
          <t>Münchenstein</t>
        </is>
      </c>
      <c r="H15" s="47" t="inlineStr">
        <is>
          <t>Wil</t>
        </is>
      </c>
      <c r="I15" s="47" t="inlineStr">
        <is>
          <t>Seelisberg</t>
        </is>
      </c>
      <c r="J15" s="35" t="inlineStr">
        <is>
          <t>offen</t>
        </is>
      </c>
      <c r="K15" s="35" t="inlineStr">
        <is>
          <t>offen</t>
        </is>
      </c>
      <c r="L15" s="35" t="inlineStr">
        <is>
          <t>offen</t>
        </is>
      </c>
      <c r="M15" s="23" t="n"/>
    </row>
    <row r="16" ht="15" customHeight="1">
      <c r="A16" s="24" t="inlineStr">
        <is>
          <t>Q2</t>
        </is>
      </c>
      <c r="B16" s="23" t="inlineStr">
        <is>
          <t>Wald</t>
        </is>
      </c>
      <c r="C16" s="23" t="inlineStr">
        <is>
          <t>Waldreservate</t>
        </is>
      </c>
      <c r="D16" s="23" t="inlineStr">
        <is>
          <t>BAFU</t>
        </is>
      </c>
      <c r="E16" s="23" t="inlineStr">
        <is>
          <t>ch.bafu.waldreservate</t>
        </is>
      </c>
      <c r="F16" s="47" t="inlineStr">
        <is>
          <t>CH-weit</t>
        </is>
      </c>
      <c r="G16" s="47" t="inlineStr">
        <is>
          <t>Münchenstein</t>
        </is>
      </c>
      <c r="H16" s="47" t="inlineStr">
        <is>
          <t>Wil</t>
        </is>
      </c>
      <c r="I16" s="47" t="inlineStr">
        <is>
          <t>Seelisberg</t>
        </is>
      </c>
      <c r="J16" s="35" t="inlineStr">
        <is>
          <t>offen</t>
        </is>
      </c>
      <c r="K16" s="35" t="inlineStr">
        <is>
          <t>offen</t>
        </is>
      </c>
      <c r="L16" s="35" t="inlineStr">
        <is>
          <t>offen</t>
        </is>
      </c>
      <c r="M16" s="23" t="n"/>
    </row>
    <row r="17" ht="15" customHeight="1">
      <c r="A17" s="24" t="inlineStr">
        <is>
          <t>Q2</t>
        </is>
      </c>
      <c r="B17" s="23" t="inlineStr">
        <is>
          <t>Wald</t>
        </is>
      </c>
      <c r="C17" s="23" t="inlineStr">
        <is>
          <t>Waldareal / Schutzwald</t>
        </is>
      </c>
      <c r="D17" s="23" t="inlineStr">
        <is>
          <t>BAFU</t>
        </is>
      </c>
      <c r="E17" s="23" t="inlineStr">
        <is>
          <t>—</t>
        </is>
      </c>
      <c r="F17" s="47" t="inlineStr">
        <is>
          <t>CH-weit</t>
        </is>
      </c>
      <c r="G17" s="47" t="inlineStr">
        <is>
          <t>Münchenstein</t>
        </is>
      </c>
      <c r="H17" s="47" t="inlineStr">
        <is>
          <t>Wil</t>
        </is>
      </c>
      <c r="I17" s="47" t="inlineStr">
        <is>
          <t>Seelisberg</t>
        </is>
      </c>
      <c r="J17" s="35" t="inlineStr">
        <is>
          <t>offen</t>
        </is>
      </c>
      <c r="K17" s="35" t="inlineStr">
        <is>
          <t>offen</t>
        </is>
      </c>
      <c r="L17" s="35" t="inlineStr">
        <is>
          <t>offen</t>
        </is>
      </c>
      <c r="M17" s="23" t="inlineStr">
        <is>
          <t>Im Viewer suchen: «Schutzwald», «Waldareal»</t>
        </is>
      </c>
    </row>
    <row r="18" ht="15" customHeight="1">
      <c r="A18" s="24" t="inlineStr">
        <is>
          <t>Q1/Q2</t>
        </is>
      </c>
      <c r="B18" s="23" t="inlineStr">
        <is>
          <t>Planung</t>
        </is>
      </c>
      <c r="C18" s="23" t="inlineStr">
        <is>
          <t>Bauzonen Schweiz (harmonisiert)</t>
        </is>
      </c>
      <c r="D18" s="23" t="inlineStr">
        <is>
          <t>ARE</t>
        </is>
      </c>
      <c r="E18" s="23" t="inlineStr">
        <is>
          <t>ch.are.bauzonen</t>
        </is>
      </c>
      <c r="F18" s="47" t="inlineStr">
        <is>
          <t>CH-weit</t>
        </is>
      </c>
      <c r="G18" s="47" t="inlineStr">
        <is>
          <t>Münchenstein</t>
        </is>
      </c>
      <c r="H18" s="47" t="inlineStr">
        <is>
          <t>Wil</t>
        </is>
      </c>
      <c r="I18" s="47" t="inlineStr">
        <is>
          <t>Seelisberg</t>
        </is>
      </c>
      <c r="J18" s="35" t="inlineStr">
        <is>
          <t>offen</t>
        </is>
      </c>
      <c r="K18" s="35" t="inlineStr">
        <is>
          <t>offen</t>
        </is>
      </c>
      <c r="L18" s="35" t="inlineStr">
        <is>
          <t>offen</t>
        </is>
      </c>
      <c r="M18" s="23" t="n"/>
    </row>
    <row r="19" ht="15" customHeight="1">
      <c r="A19" s="24" t="inlineStr">
        <is>
          <t>Q3</t>
        </is>
      </c>
      <c r="B19" s="23" t="inlineStr">
        <is>
          <t>Energie</t>
        </is>
      </c>
      <c r="C19" s="23" t="inlineStr">
        <is>
          <t>Solarenergie: Eignung Dächer</t>
        </is>
      </c>
      <c r="D19" s="23" t="inlineStr">
        <is>
          <t>BFE</t>
        </is>
      </c>
      <c r="E19" s="23" t="inlineStr">
        <is>
          <t>ch.bfe.solarenergie-eignung-daecher</t>
        </is>
      </c>
      <c r="F19" s="47" t="inlineStr">
        <is>
          <t>CH-weit</t>
        </is>
      </c>
      <c r="G19" s="47" t="inlineStr">
        <is>
          <t>Münchenstein</t>
        </is>
      </c>
      <c r="H19" s="47" t="inlineStr">
        <is>
          <t>Wil</t>
        </is>
      </c>
      <c r="I19" s="47" t="inlineStr">
        <is>
          <t>Seelisberg</t>
        </is>
      </c>
      <c r="J19" s="35" t="inlineStr">
        <is>
          <t>offen</t>
        </is>
      </c>
      <c r="K19" s="35" t="inlineStr">
        <is>
          <t>offen</t>
        </is>
      </c>
      <c r="L19" s="35" t="inlineStr">
        <is>
          <t>offen</t>
        </is>
      </c>
      <c r="M19" s="23" t="n"/>
    </row>
    <row r="20" ht="15" customHeight="1">
      <c r="A20" s="24" t="inlineStr">
        <is>
          <t>Q3</t>
        </is>
      </c>
      <c r="B20" s="23" t="inlineStr">
        <is>
          <t>Energie</t>
        </is>
      </c>
      <c r="C20" s="23" t="inlineStr">
        <is>
          <t>Solarenergie: Eignung Fassaden</t>
        </is>
      </c>
      <c r="D20" s="23" t="inlineStr">
        <is>
          <t>BFE</t>
        </is>
      </c>
      <c r="E20" s="23" t="inlineStr">
        <is>
          <t>ch.bfe.solarenergie-eignung-fassaden</t>
        </is>
      </c>
      <c r="F20" s="47" t="inlineStr">
        <is>
          <t>CH-weit</t>
        </is>
      </c>
      <c r="G20" s="47" t="inlineStr">
        <is>
          <t>Münchenstein</t>
        </is>
      </c>
      <c r="H20" s="47" t="inlineStr">
        <is>
          <t>Wil</t>
        </is>
      </c>
      <c r="I20" s="47" t="inlineStr">
        <is>
          <t>Seelisberg</t>
        </is>
      </c>
      <c r="J20" s="35" t="inlineStr">
        <is>
          <t>offen</t>
        </is>
      </c>
      <c r="K20" s="35" t="inlineStr">
        <is>
          <t>offen</t>
        </is>
      </c>
      <c r="L20" s="35" t="inlineStr">
        <is>
          <t>offen</t>
        </is>
      </c>
      <c r="M20" s="23" t="n"/>
    </row>
    <row r="21" ht="15" customHeight="1">
      <c r="A21" s="24" t="inlineStr">
        <is>
          <t>Q3</t>
        </is>
      </c>
      <c r="B21" s="23" t="inlineStr">
        <is>
          <t>Energie</t>
        </is>
      </c>
      <c r="C21" s="23" t="inlineStr">
        <is>
          <t>Gebäude- und Wohnungsregister (Heizung, Energieträger)</t>
        </is>
      </c>
      <c r="D21" s="23" t="inlineStr">
        <is>
          <t>BFS</t>
        </is>
      </c>
      <c r="E21" s="23" t="inlineStr">
        <is>
          <t>ch.bfs.gebaeude_wohnungs_register</t>
        </is>
      </c>
      <c r="F21" s="47" t="inlineStr">
        <is>
          <t>CH-weit</t>
        </is>
      </c>
      <c r="G21" s="47" t="inlineStr">
        <is>
          <t>Münchenstein</t>
        </is>
      </c>
      <c r="H21" s="47" t="inlineStr">
        <is>
          <t>Wil</t>
        </is>
      </c>
      <c r="I21" s="47" t="inlineStr">
        <is>
          <t>Seelisberg</t>
        </is>
      </c>
      <c r="J21" s="35" t="inlineStr">
        <is>
          <t>offen</t>
        </is>
      </c>
      <c r="K21" s="35" t="inlineStr">
        <is>
          <t>offen</t>
        </is>
      </c>
      <c r="L21" s="35" t="inlineStr">
        <is>
          <t>offen</t>
        </is>
      </c>
      <c r="M21" s="23" t="n"/>
    </row>
    <row r="22" ht="15" customHeight="1">
      <c r="A22" s="24" t="inlineStr">
        <is>
          <t>Q3</t>
        </is>
      </c>
      <c r="B22" s="23" t="inlineStr">
        <is>
          <t>Energie</t>
        </is>
      </c>
      <c r="C22" s="23" t="inlineStr">
        <is>
          <t>Windenergie / Geothermie / Wärmenetz-Potenzial</t>
        </is>
      </c>
      <c r="D22" s="23" t="inlineStr">
        <is>
          <t>BFE</t>
        </is>
      </c>
      <c r="E22" s="23" t="inlineStr">
        <is>
          <t>—</t>
        </is>
      </c>
      <c r="F22" s="47" t="inlineStr">
        <is>
          <t>CH-weit</t>
        </is>
      </c>
      <c r="G22" s="47" t="inlineStr">
        <is>
          <t>Münchenstein</t>
        </is>
      </c>
      <c r="H22" s="47" t="inlineStr">
        <is>
          <t>Wil</t>
        </is>
      </c>
      <c r="I22" s="47" t="inlineStr">
        <is>
          <t>Seelisberg</t>
        </is>
      </c>
      <c r="J22" s="35" t="inlineStr">
        <is>
          <t>offen</t>
        </is>
      </c>
      <c r="K22" s="35" t="inlineStr">
        <is>
          <t>offen</t>
        </is>
      </c>
      <c r="L22" s="35" t="inlineStr">
        <is>
          <t>offen</t>
        </is>
      </c>
      <c r="M22" s="23" t="inlineStr">
        <is>
          <t>Im Viewer suchen: «Windenergie», «Geothermie», «Fernwärme»</t>
        </is>
      </c>
    </row>
    <row r="23" ht="15" customHeight="1">
      <c r="A23" s="24" t="inlineStr">
        <is>
          <t>Q3/B3</t>
        </is>
      </c>
      <c r="B23" s="23" t="inlineStr">
        <is>
          <t>Mobilität</t>
        </is>
      </c>
      <c r="C23" s="23" t="inlineStr">
        <is>
          <t>ÖV-Güteklassen</t>
        </is>
      </c>
      <c r="D23" s="23" t="inlineStr">
        <is>
          <t>ARE</t>
        </is>
      </c>
      <c r="E23" s="23" t="inlineStr">
        <is>
          <t>ch.are.gueteklassen_oev</t>
        </is>
      </c>
      <c r="F23" s="47" t="inlineStr">
        <is>
          <t>CH-weit</t>
        </is>
      </c>
      <c r="G23" s="47" t="inlineStr">
        <is>
          <t>Münchenstein</t>
        </is>
      </c>
      <c r="H23" s="47" t="inlineStr">
        <is>
          <t>Wil</t>
        </is>
      </c>
      <c r="I23" s="47" t="inlineStr">
        <is>
          <t>Seelisberg</t>
        </is>
      </c>
      <c r="J23" s="35" t="inlineStr">
        <is>
          <t>offen</t>
        </is>
      </c>
      <c r="K23" s="35" t="inlineStr">
        <is>
          <t>offen</t>
        </is>
      </c>
      <c r="L23" s="35" t="inlineStr">
        <is>
          <t>offen</t>
        </is>
      </c>
      <c r="M23" s="23" t="n"/>
    </row>
    <row r="24" ht="22.35" customHeight="1">
      <c r="A24" s="24" t="inlineStr">
        <is>
          <t>Q4</t>
        </is>
      </c>
      <c r="B24" s="23" t="inlineStr">
        <is>
          <t>Naturgefahren</t>
        </is>
      </c>
      <c r="C24" s="23" t="inlineStr">
        <is>
          <t>Gefahrenkarten / Gefahrenhinweiskarte (Daten der Kantone)</t>
        </is>
      </c>
      <c r="D24" s="23" t="inlineStr">
        <is>
          <t>BAFU / Kantone</t>
        </is>
      </c>
      <c r="E24" s="23" t="inlineStr">
        <is>
          <t>—</t>
        </is>
      </c>
      <c r="F24" s="47" t="inlineStr">
        <is>
          <t>CH-weit</t>
        </is>
      </c>
      <c r="G24" s="47" t="inlineStr">
        <is>
          <t>Münchenstein</t>
        </is>
      </c>
      <c r="H24" s="47" t="inlineStr">
        <is>
          <t>Wil</t>
        </is>
      </c>
      <c r="I24" s="47" t="inlineStr">
        <is>
          <t>Seelisberg</t>
        </is>
      </c>
      <c r="J24" s="35" t="inlineStr">
        <is>
          <t>offen</t>
        </is>
      </c>
      <c r="K24" s="35" t="inlineStr">
        <is>
          <t>offen</t>
        </is>
      </c>
      <c r="L24" s="35" t="inlineStr">
        <is>
          <t>offen</t>
        </is>
      </c>
      <c r="M24" s="23" t="inlineStr">
        <is>
          <t>Im Viewer suchen: «Gefahrenkarte» bzw. «Naturgefahren»; massgebend sind die kantonalen Karten</t>
        </is>
      </c>
    </row>
    <row r="25" ht="15" customHeight="1">
      <c r="A25" s="24" t="inlineStr">
        <is>
          <t>Q4</t>
        </is>
      </c>
      <c r="B25" s="23" t="inlineStr">
        <is>
          <t>Starkregen</t>
        </is>
      </c>
      <c r="C25" s="23" t="inlineStr">
        <is>
          <t>Gefährdungskarte Oberflächenabfluss</t>
        </is>
      </c>
      <c r="D25" s="23" t="inlineStr">
        <is>
          <t>BAFU / VKF</t>
        </is>
      </c>
      <c r="E25" s="45" t="inlineStr">
        <is>
          <t>ch.bafu.gefaehrdungskarte-oberflaechenabfluss</t>
        </is>
      </c>
      <c r="F25" s="47" t="inlineStr">
        <is>
          <t>CH-weit</t>
        </is>
      </c>
      <c r="G25" s="47" t="inlineStr">
        <is>
          <t>Münchenstein</t>
        </is>
      </c>
      <c r="H25" s="47" t="inlineStr">
        <is>
          <t>Wil</t>
        </is>
      </c>
      <c r="I25" s="47" t="inlineStr">
        <is>
          <t>Seelisberg</t>
        </is>
      </c>
      <c r="J25" s="35" t="inlineStr">
        <is>
          <t>offen</t>
        </is>
      </c>
      <c r="K25" s="35" t="inlineStr">
        <is>
          <t>offen</t>
        </is>
      </c>
      <c r="L25" s="35" t="inlineStr">
        <is>
          <t>offen</t>
        </is>
      </c>
      <c r="M25" s="23" t="n"/>
    </row>
    <row r="26" ht="15" customHeight="1">
      <c r="A26" s="24" t="inlineStr">
        <is>
          <t>Q4</t>
        </is>
      </c>
      <c r="B26" s="23" t="inlineStr">
        <is>
          <t>Erdbeben</t>
        </is>
      </c>
      <c r="C26" s="23" t="inlineStr">
        <is>
          <t>Baugrundklassen (Erdbeben)</t>
        </is>
      </c>
      <c r="D26" s="23" t="inlineStr">
        <is>
          <t>BAFU</t>
        </is>
      </c>
      <c r="E26" s="23" t="inlineStr">
        <is>
          <t>ch.bafu.gefahren-baugrundklassen</t>
        </is>
      </c>
      <c r="F26" s="47" t="inlineStr">
        <is>
          <t>CH-weit</t>
        </is>
      </c>
      <c r="G26" s="47" t="inlineStr">
        <is>
          <t>Münchenstein</t>
        </is>
      </c>
      <c r="H26" s="47" t="inlineStr">
        <is>
          <t>Wil</t>
        </is>
      </c>
      <c r="I26" s="47" t="inlineStr">
        <is>
          <t>Seelisberg</t>
        </is>
      </c>
      <c r="J26" s="35" t="inlineStr">
        <is>
          <t>offen</t>
        </is>
      </c>
      <c r="K26" s="35" t="inlineStr">
        <is>
          <t>offen</t>
        </is>
      </c>
      <c r="L26" s="35" t="inlineStr">
        <is>
          <t>offen</t>
        </is>
      </c>
      <c r="M26" s="23" t="n"/>
    </row>
    <row r="27" ht="15" customHeight="1">
      <c r="A27" s="24" t="inlineStr">
        <is>
          <t>Q4</t>
        </is>
      </c>
      <c r="B27" s="23" t="inlineStr">
        <is>
          <t>Lärm</t>
        </is>
      </c>
      <c r="C27" s="23" t="inlineStr">
        <is>
          <t>Strassenlärm Tag</t>
        </is>
      </c>
      <c r="D27" s="23" t="inlineStr">
        <is>
          <t>BAFU</t>
        </is>
      </c>
      <c r="E27" s="23" t="inlineStr">
        <is>
          <t>ch.bafu.laerm-strassenlaerm_tag</t>
        </is>
      </c>
      <c r="F27" s="47" t="inlineStr">
        <is>
          <t>CH-weit</t>
        </is>
      </c>
      <c r="G27" s="47" t="inlineStr">
        <is>
          <t>Münchenstein</t>
        </is>
      </c>
      <c r="H27" s="47" t="inlineStr">
        <is>
          <t>Wil</t>
        </is>
      </c>
      <c r="I27" s="47" t="inlineStr">
        <is>
          <t>Seelisberg</t>
        </is>
      </c>
      <c r="J27" s="35" t="inlineStr">
        <is>
          <t>offen</t>
        </is>
      </c>
      <c r="K27" s="35" t="inlineStr">
        <is>
          <t>offen</t>
        </is>
      </c>
      <c r="L27" s="35" t="inlineStr">
        <is>
          <t>offen</t>
        </is>
      </c>
      <c r="M27" s="23" t="n"/>
    </row>
    <row r="28" ht="15" customHeight="1">
      <c r="A28" s="24" t="inlineStr">
        <is>
          <t>Q4</t>
        </is>
      </c>
      <c r="B28" s="23" t="inlineStr">
        <is>
          <t>Lärm</t>
        </is>
      </c>
      <c r="C28" s="23" t="inlineStr">
        <is>
          <t>Bahnlärm Tag</t>
        </is>
      </c>
      <c r="D28" s="23" t="inlineStr">
        <is>
          <t>BAFU</t>
        </is>
      </c>
      <c r="E28" s="23" t="inlineStr">
        <is>
          <t>ch.bafu.laerm-bahnlaerm_tag</t>
        </is>
      </c>
      <c r="F28" s="47" t="inlineStr">
        <is>
          <t>CH-weit</t>
        </is>
      </c>
      <c r="G28" s="47" t="inlineStr">
        <is>
          <t>Münchenstein</t>
        </is>
      </c>
      <c r="H28" s="47" t="inlineStr">
        <is>
          <t>Wil</t>
        </is>
      </c>
      <c r="I28" s="47" t="inlineStr">
        <is>
          <t>Seelisberg</t>
        </is>
      </c>
      <c r="J28" s="35" t="inlineStr">
        <is>
          <t>offen</t>
        </is>
      </c>
      <c r="K28" s="35" t="inlineStr">
        <is>
          <t>offen</t>
        </is>
      </c>
      <c r="L28" s="35" t="inlineStr">
        <is>
          <t>offen</t>
        </is>
      </c>
      <c r="M28" s="23" t="n"/>
    </row>
    <row r="29" ht="15" customHeight="1">
      <c r="A29" s="24" t="inlineStr">
        <is>
          <t>Q4</t>
        </is>
      </c>
      <c r="B29" s="23" t="inlineStr">
        <is>
          <t>Hitze</t>
        </is>
      </c>
      <c r="C29" s="23" t="inlineStr">
        <is>
          <t>Hitzebelastung / Klimaanalyse</t>
        </is>
      </c>
      <c r="D29" s="23" t="inlineStr">
        <is>
          <t>BAFU / Kantone</t>
        </is>
      </c>
      <c r="E29" s="23" t="inlineStr">
        <is>
          <t>—</t>
        </is>
      </c>
      <c r="F29" s="47" t="inlineStr">
        <is>
          <t>CH-weit</t>
        </is>
      </c>
      <c r="G29" s="47" t="inlineStr">
        <is>
          <t>Münchenstein</t>
        </is>
      </c>
      <c r="H29" s="47" t="inlineStr">
        <is>
          <t>Wil</t>
        </is>
      </c>
      <c r="I29" s="47" t="inlineStr">
        <is>
          <t>Seelisberg</t>
        </is>
      </c>
      <c r="J29" s="35" t="inlineStr">
        <is>
          <t>offen</t>
        </is>
      </c>
      <c r="K29" s="35" t="inlineStr">
        <is>
          <t>offen</t>
        </is>
      </c>
      <c r="L29" s="35" t="inlineStr">
        <is>
          <t>offen</t>
        </is>
      </c>
      <c r="M29" s="23" t="inlineStr">
        <is>
          <t>Im Viewer suchen: «Hitze»; Abdeckung kleiner Gemeinden unsicher</t>
        </is>
      </c>
    </row>
    <row r="30" ht="15" customHeight="1">
      <c r="A30" s="24" t="inlineStr">
        <is>
          <t>Q4</t>
        </is>
      </c>
      <c r="B30" s="23" t="inlineStr">
        <is>
          <t>Risiko</t>
        </is>
      </c>
      <c r="C30" s="23" t="inlineStr">
        <is>
          <t>Störfall-Risikokataster / belastete Standorte</t>
        </is>
      </c>
      <c r="D30" s="23" t="inlineStr">
        <is>
          <t>BAFU / Kantone</t>
        </is>
      </c>
      <c r="E30" s="23" t="inlineStr">
        <is>
          <t>—</t>
        </is>
      </c>
      <c r="F30" s="47" t="inlineStr">
        <is>
          <t>CH-weit</t>
        </is>
      </c>
      <c r="G30" s="47" t="inlineStr">
        <is>
          <t>Münchenstein</t>
        </is>
      </c>
      <c r="H30" s="47" t="inlineStr">
        <is>
          <t>Wil</t>
        </is>
      </c>
      <c r="I30" s="47" t="inlineStr">
        <is>
          <t>Seelisberg</t>
        </is>
      </c>
      <c r="J30" s="35" t="inlineStr">
        <is>
          <t>offen</t>
        </is>
      </c>
      <c r="K30" s="35" t="inlineStr">
        <is>
          <t>offen</t>
        </is>
      </c>
      <c r="L30" s="35" t="inlineStr">
        <is>
          <t>offen</t>
        </is>
      </c>
      <c r="M30" s="23" t="inlineStr">
        <is>
          <t>Im Viewer suchen: «Störfall»; Altlastenkataster ist kantonal</t>
        </is>
      </c>
    </row>
    <row r="31" ht="15" customHeight="1">
      <c r="A31" s="24" t="inlineStr">
        <is>
          <t>Q5</t>
        </is>
      </c>
      <c r="B31" s="23" t="inlineStr">
        <is>
          <t>Ortsbild</t>
        </is>
      </c>
      <c r="C31" s="23" t="inlineStr">
        <is>
          <t>ISOS – Ortsbilder von nationaler Bedeutung</t>
        </is>
      </c>
      <c r="D31" s="23" t="inlineStr">
        <is>
          <t>BAK</t>
        </is>
      </c>
      <c r="E31" s="23" t="inlineStr">
        <is>
          <t>ch.bak.bundesinventar-schuetzenswerte-ortsbilder</t>
        </is>
      </c>
      <c r="F31" s="47" t="inlineStr">
        <is>
          <t>CH-weit</t>
        </is>
      </c>
      <c r="G31" s="47" t="inlineStr">
        <is>
          <t>Münchenstein</t>
        </is>
      </c>
      <c r="H31" s="47" t="inlineStr">
        <is>
          <t>Wil</t>
        </is>
      </c>
      <c r="I31" s="47" t="inlineStr">
        <is>
          <t>Seelisberg</t>
        </is>
      </c>
      <c r="J31" s="35" t="inlineStr">
        <is>
          <t>offen</t>
        </is>
      </c>
      <c r="K31" s="35" t="inlineStr">
        <is>
          <t>offen</t>
        </is>
      </c>
      <c r="L31" s="35" t="inlineStr">
        <is>
          <t>offen</t>
        </is>
      </c>
      <c r="M31" s="23" t="n"/>
    </row>
    <row r="32" ht="15" customHeight="1">
      <c r="A32" s="24" t="inlineStr">
        <is>
          <t>Q5</t>
        </is>
      </c>
      <c r="B32" s="23" t="inlineStr">
        <is>
          <t>Verkehrswege</t>
        </is>
      </c>
      <c r="C32" s="23" t="inlineStr">
        <is>
          <t>IVS – Historische Verkehrswege (national)</t>
        </is>
      </c>
      <c r="D32" s="23" t="inlineStr">
        <is>
          <t>ASTRA</t>
        </is>
      </c>
      <c r="E32" s="23" t="inlineStr">
        <is>
          <t>ch.astra.ivs-nat</t>
        </is>
      </c>
      <c r="F32" s="47" t="inlineStr">
        <is>
          <t>CH-weit</t>
        </is>
      </c>
      <c r="G32" s="47" t="inlineStr">
        <is>
          <t>Münchenstein</t>
        </is>
      </c>
      <c r="H32" s="47" t="inlineStr">
        <is>
          <t>Wil</t>
        </is>
      </c>
      <c r="I32" s="47" t="inlineStr">
        <is>
          <t>Seelisberg</t>
        </is>
      </c>
      <c r="J32" s="35" t="inlineStr">
        <is>
          <t>offen</t>
        </is>
      </c>
      <c r="K32" s="35" t="inlineStr">
        <is>
          <t>offen</t>
        </is>
      </c>
      <c r="L32" s="35" t="inlineStr">
        <is>
          <t>offen</t>
        </is>
      </c>
      <c r="M32" s="23" t="n"/>
    </row>
    <row r="33" ht="15" customHeight="1">
      <c r="A33" s="24" t="inlineStr">
        <is>
          <t>Q5</t>
        </is>
      </c>
      <c r="B33" s="23" t="inlineStr">
        <is>
          <t>Kulturgüter</t>
        </is>
      </c>
      <c r="C33" s="23" t="inlineStr">
        <is>
          <t>KGS-Inventar (Kulturgüter von nationaler/regionaler Bedeutung)</t>
        </is>
      </c>
      <c r="D33" s="23" t="inlineStr">
        <is>
          <t>BABS</t>
        </is>
      </c>
      <c r="E33" s="23" t="inlineStr">
        <is>
          <t>ch.babs.kulturgueter</t>
        </is>
      </c>
      <c r="F33" s="47" t="inlineStr">
        <is>
          <t>CH-weit</t>
        </is>
      </c>
      <c r="G33" s="47" t="inlineStr">
        <is>
          <t>Münchenstein</t>
        </is>
      </c>
      <c r="H33" s="47" t="inlineStr">
        <is>
          <t>Wil</t>
        </is>
      </c>
      <c r="I33" s="47" t="inlineStr">
        <is>
          <t>Seelisberg</t>
        </is>
      </c>
      <c r="J33" s="35" t="inlineStr">
        <is>
          <t>offen</t>
        </is>
      </c>
      <c r="K33" s="35" t="inlineStr">
        <is>
          <t>offen</t>
        </is>
      </c>
      <c r="L33" s="35" t="inlineStr">
        <is>
          <t>offen</t>
        </is>
      </c>
      <c r="M33" s="23" t="n"/>
    </row>
    <row r="34" ht="15" customHeight="1">
      <c r="A34" s="21" t="inlineStr">
        <is>
          <t>KANTONE UND GEMEINDEN – kantonale / kommunale Geoportale (aus Kataster, Layerliste im Viewer sichten)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</row>
    <row r="35" ht="22.35" customHeight="1">
      <c r="A35" s="24" t="inlineStr">
        <is>
          <t>Q4</t>
        </is>
      </c>
      <c r="B35" s="23" t="inlineStr">
        <is>
          <t>Naturgefahren</t>
        </is>
      </c>
      <c r="C35" s="23" t="inlineStr">
        <is>
          <t>Naturgefahrenkarten BL (Überschwemmung, Murgang, Steinschlag, Rutschung)</t>
        </is>
      </c>
      <c r="D35" s="23" t="inlineStr">
        <is>
          <t>Kanton BL</t>
        </is>
      </c>
      <c r="E35" s="23" t="inlineStr">
        <is>
          <t>—</t>
        </is>
      </c>
      <c r="F35" s="24" t="n"/>
      <c r="G35" s="47" t="inlineStr">
        <is>
          <t>Münchenstein</t>
        </is>
      </c>
      <c r="H35" s="24" t="n"/>
      <c r="I35" s="24" t="n"/>
      <c r="J35" s="35" t="inlineStr">
        <is>
          <t>offen</t>
        </is>
      </c>
      <c r="K35" s="36" t="inlineStr">
        <is>
          <t>n. a.</t>
        </is>
      </c>
      <c r="L35" s="36" t="inlineStr">
        <is>
          <t>n. a.</t>
        </is>
      </c>
      <c r="M35" s="23" t="inlineStr">
        <is>
          <t>Layer-IDs aus Kataster; Stand der Karte 2005 → Aktualität in den Layer-Metadaten prüfen</t>
        </is>
      </c>
    </row>
    <row r="36" ht="22.35" customHeight="1">
      <c r="A36" s="24" t="inlineStr">
        <is>
          <t>Q2</t>
        </is>
      </c>
      <c r="B36" s="23" t="inlineStr">
        <is>
          <t>Schutzinventare / FFF</t>
        </is>
      </c>
      <c r="C36" s="23" t="inlineStr">
        <is>
          <t>Kantonale Schutzinventare und Fruchtfolgeflächen BL (ARP-Daten)</t>
        </is>
      </c>
      <c r="D36" s="23" t="inlineStr">
        <is>
          <t>Kanton BL</t>
        </is>
      </c>
      <c r="E36" s="23" t="inlineStr">
        <is>
          <t>—</t>
        </is>
      </c>
      <c r="F36" s="24" t="n"/>
      <c r="G36" s="34" t="inlineStr">
        <is>
          <t>Münchenstein</t>
        </is>
      </c>
      <c r="H36" s="24" t="n"/>
      <c r="I36" s="24" t="n"/>
      <c r="J36" s="35" t="inlineStr">
        <is>
          <t>offen</t>
        </is>
      </c>
      <c r="K36" s="36" t="inlineStr">
        <is>
          <t>n. a.</t>
        </is>
      </c>
      <c r="L36" s="36" t="inlineStr">
        <is>
          <t>n. a.</t>
        </is>
      </c>
      <c r="M36" s="23" t="inlineStr">
        <is>
          <t>Layerliste sichten; FFF und Schutzobjekte getrennt auswerten</t>
        </is>
      </c>
    </row>
    <row r="37" ht="22.35" customHeight="1">
      <c r="A37" s="24" t="inlineStr">
        <is>
          <t>Q2</t>
        </is>
      </c>
      <c r="B37" s="23" t="inlineStr">
        <is>
          <t>Naturobjekte</t>
        </is>
      </c>
      <c r="C37" s="23" t="inlineStr">
        <is>
          <t>Inventar der geschützten Naturobjekte BL / Naturschutzgebiete (Geoportal BL)</t>
        </is>
      </c>
      <c r="D37" s="23" t="inlineStr">
        <is>
          <t>Kanton BL</t>
        </is>
      </c>
      <c r="E37" s="23" t="inlineStr">
        <is>
          <t>—</t>
        </is>
      </c>
      <c r="F37" s="24" t="n"/>
      <c r="G37" s="34" t="inlineStr">
        <is>
          <t>Münchenstein</t>
        </is>
      </c>
      <c r="H37" s="24" t="n"/>
      <c r="I37" s="24" t="n"/>
      <c r="J37" s="35" t="inlineStr">
        <is>
          <t>offen</t>
        </is>
      </c>
      <c r="K37" s="36" t="inlineStr">
        <is>
          <t>n. a.</t>
        </is>
      </c>
      <c r="L37" s="36" t="inlineStr">
        <is>
          <t>n. a.</t>
        </is>
      </c>
      <c r="M37" s="23" t="inlineStr">
        <is>
          <t>Rechtsgrundlage § 12 NLG (SGS 790); Layer im Viewer unter Natur/Landschaft suchen</t>
        </is>
      </c>
    </row>
    <row r="38" ht="15" customHeight="1">
      <c r="A38" s="24" t="inlineStr">
        <is>
          <t>Q5</t>
        </is>
      </c>
      <c r="B38" s="23" t="inlineStr">
        <is>
          <t>Denkmal</t>
        </is>
      </c>
      <c r="C38" s="23" t="inlineStr">
        <is>
          <t>Inventar der Kulturdenkmäler (IKD) im Geoportal Münchenstein</t>
        </is>
      </c>
      <c r="D38" s="23" t="inlineStr">
        <is>
          <t>Kanton BL / Gde</t>
        </is>
      </c>
      <c r="E38" s="23" t="inlineStr">
        <is>
          <t>—</t>
        </is>
      </c>
      <c r="F38" s="24" t="n"/>
      <c r="G38" s="34" t="inlineStr">
        <is>
          <t>Münchenstein</t>
        </is>
      </c>
      <c r="H38" s="24" t="n"/>
      <c r="I38" s="24" t="n"/>
      <c r="J38" s="35" t="inlineStr">
        <is>
          <t>offen</t>
        </is>
      </c>
      <c r="K38" s="36" t="inlineStr">
        <is>
          <t>n. a.</t>
        </is>
      </c>
      <c r="L38" s="36" t="inlineStr">
        <is>
          <t>n. a.</t>
        </is>
      </c>
      <c r="M38" s="23" t="n"/>
    </row>
    <row r="39" ht="22.35" customHeight="1">
      <c r="A39" s="24" t="inlineStr">
        <is>
          <t>Q4</t>
        </is>
      </c>
      <c r="B39" s="23" t="inlineStr">
        <is>
          <t>Entwässerung</t>
        </is>
      </c>
      <c r="C39" s="23" t="inlineStr">
        <is>
          <t>GEP / Starkregengrundlagen im Geoportal Münchenstein</t>
        </is>
      </c>
      <c r="D39" s="23" t="inlineStr">
        <is>
          <t>Gde Münchenstein</t>
        </is>
      </c>
      <c r="E39" s="23" t="inlineStr">
        <is>
          <t>—</t>
        </is>
      </c>
      <c r="F39" s="24" t="n"/>
      <c r="G39" s="34" t="inlineStr">
        <is>
          <t>Münchenstein</t>
        </is>
      </c>
      <c r="H39" s="24" t="n"/>
      <c r="I39" s="24" t="n"/>
      <c r="J39" s="35" t="inlineStr">
        <is>
          <t>offen</t>
        </is>
      </c>
      <c r="K39" s="36" t="inlineStr">
        <is>
          <t>n. a.</t>
        </is>
      </c>
      <c r="L39" s="36" t="inlineStr">
        <is>
          <t>n. a.</t>
        </is>
      </c>
      <c r="M39" s="23" t="inlineStr">
        <is>
          <t>Einsehbar ohne Attribute, externe Legende; Datenbezug bei Baudirektion</t>
        </is>
      </c>
    </row>
    <row r="40" ht="15" customHeight="1">
      <c r="A40" s="24" t="inlineStr">
        <is>
          <t>Q1</t>
        </is>
      </c>
      <c r="B40" s="23" t="inlineStr">
        <is>
          <t>Nutzungsplanung</t>
        </is>
      </c>
      <c r="C40" s="23" t="inlineStr">
        <is>
          <t>Zonenplan Wil (Geoportal)</t>
        </is>
      </c>
      <c r="D40" s="23" t="inlineStr">
        <is>
          <t>Gde Wil</t>
        </is>
      </c>
      <c r="E40" s="23" t="inlineStr">
        <is>
          <t>—</t>
        </is>
      </c>
      <c r="F40" s="24" t="n"/>
      <c r="G40" s="24" t="n"/>
      <c r="H40" s="34" t="inlineStr">
        <is>
          <t>Wil</t>
        </is>
      </c>
      <c r="I40" s="24" t="n"/>
      <c r="J40" s="36" t="inlineStr">
        <is>
          <t>n. a.</t>
        </is>
      </c>
      <c r="K40" s="35" t="inlineStr">
        <is>
          <t>offen</t>
        </is>
      </c>
      <c r="L40" s="36" t="inlineStr">
        <is>
          <t>n. a.</t>
        </is>
      </c>
      <c r="M40" s="23" t="inlineStr">
        <is>
          <t>Weitere Wil-Layer (Schutzobjekte, Ortsbild) im Layerbaum sichten</t>
        </is>
      </c>
    </row>
    <row r="41" ht="15" customHeight="1">
      <c r="A41" s="24" t="inlineStr">
        <is>
          <t>Q4</t>
        </is>
      </c>
      <c r="B41" s="23" t="inlineStr">
        <is>
          <t>Naturgefahren</t>
        </is>
      </c>
      <c r="C41" s="23" t="inlineStr">
        <is>
          <t>Naturgefahrenkarten SG (Geoportal SG)</t>
        </is>
      </c>
      <c r="D41" s="23" t="inlineStr">
        <is>
          <t>Kanton SG</t>
        </is>
      </c>
      <c r="E41" s="23" t="inlineStr">
        <is>
          <t>—</t>
        </is>
      </c>
      <c r="F41" s="24" t="n"/>
      <c r="G41" s="24" t="n"/>
      <c r="H41" s="47" t="inlineStr">
        <is>
          <t>Wil</t>
        </is>
      </c>
      <c r="I41" s="24" t="n"/>
      <c r="J41" s="36" t="inlineStr">
        <is>
          <t>n. a.</t>
        </is>
      </c>
      <c r="K41" s="35" t="inlineStr">
        <is>
          <t>offen</t>
        </is>
      </c>
      <c r="L41" s="36" t="inlineStr">
        <is>
          <t>n. a.</t>
        </is>
      </c>
      <c r="M41" s="23" t="inlineStr">
        <is>
          <t>Karte im Katalog mit Stand 03.09.2026</t>
        </is>
      </c>
    </row>
    <row r="42" ht="15" customHeight="1">
      <c r="A42" s="24" t="inlineStr">
        <is>
          <t>Q2/Q5</t>
        </is>
      </c>
      <c r="B42" s="23" t="inlineStr">
        <is>
          <t>Natur/Denkmal</t>
        </is>
      </c>
      <c r="C42" s="23" t="inlineStr">
        <is>
          <t>Weitere kantonale Layer SG (Schutzgebiete, Inventare, FFF)</t>
        </is>
      </c>
      <c r="D42" s="23" t="inlineStr">
        <is>
          <t>Kanton SG</t>
        </is>
      </c>
      <c r="E42" s="23" t="inlineStr">
        <is>
          <t>—</t>
        </is>
      </c>
      <c r="F42" s="24" t="n"/>
      <c r="G42" s="24" t="n"/>
      <c r="H42" s="34" t="inlineStr">
        <is>
          <t>Wil</t>
        </is>
      </c>
      <c r="I42" s="24" t="n"/>
      <c r="J42" s="36" t="inlineStr">
        <is>
          <t>n. a.</t>
        </is>
      </c>
      <c r="K42" s="35" t="inlineStr">
        <is>
          <t>offen</t>
        </is>
      </c>
      <c r="L42" s="36" t="inlineStr">
        <is>
          <t>n. a.</t>
        </is>
      </c>
      <c r="M42" s="23" t="inlineStr">
        <is>
          <t>Layerliste sichten</t>
        </is>
      </c>
    </row>
    <row r="43" ht="22.35" customHeight="1">
      <c r="A43" s="24" t="inlineStr">
        <is>
          <t>Q1/Q2/Q4/Q5</t>
        </is>
      </c>
      <c r="B43" s="23" t="inlineStr">
        <is>
          <t>Geoportal UR</t>
        </is>
      </c>
      <c r="C43" s="23" t="inlineStr">
        <is>
          <t>Geoportal Uri: Nutzungsplanung, Schutzinventare, Naturgefahrenkarten (Seelisberg)</t>
        </is>
      </c>
      <c r="D43" s="23" t="inlineStr">
        <is>
          <t>Kanton UR</t>
        </is>
      </c>
      <c r="E43" s="23" t="inlineStr">
        <is>
          <t>—</t>
        </is>
      </c>
      <c r="F43" s="24" t="n"/>
      <c r="G43" s="24" t="n"/>
      <c r="H43" s="24" t="n"/>
      <c r="I43" s="47" t="inlineStr">
        <is>
          <t>Seelisberg</t>
        </is>
      </c>
      <c r="J43" s="36" t="inlineStr">
        <is>
          <t>n. a.</t>
        </is>
      </c>
      <c r="K43" s="36" t="inlineStr">
        <is>
          <t>n. a.</t>
        </is>
      </c>
      <c r="L43" s="35" t="inlineStr">
        <is>
          <t>offen</t>
        </is>
      </c>
      <c r="M43" s="23" t="inlineStr">
        <is>
          <t>Naturgefahrenkarten UR Stand 22.08.2023; Schutzinventare Stand 20.03.2026 (Kataster)</t>
        </is>
      </c>
    </row>
  </sheetData>
  <autoFilter ref="A4:M43"/>
  <dataValidations count="1">
    <dataValidation sqref="J6:L33 J35:L43" showDropDown="0" showInputMessage="0" showErrorMessage="0" allowBlank="0" type="list">
      <formula1>"offen,ja,nein,n. a."</formula1>
      <formula2>0</formula2>
    </dataValidation>
  </dataValidation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H7" r:id="rId7"/>
    <hyperlink xmlns:r="http://schemas.openxmlformats.org/officeDocument/2006/relationships" ref="I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I12" r:id="rId28"/>
    <hyperlink xmlns:r="http://schemas.openxmlformats.org/officeDocument/2006/relationships" ref="F13" r:id="rId29"/>
    <hyperlink xmlns:r="http://schemas.openxmlformats.org/officeDocument/2006/relationships" ref="G13" r:id="rId30"/>
    <hyperlink xmlns:r="http://schemas.openxmlformats.org/officeDocument/2006/relationships" ref="H13" r:id="rId31"/>
    <hyperlink xmlns:r="http://schemas.openxmlformats.org/officeDocument/2006/relationships" ref="I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H15" r:id="rId39"/>
    <hyperlink xmlns:r="http://schemas.openxmlformats.org/officeDocument/2006/relationships" ref="I15" r:id="rId40"/>
    <hyperlink xmlns:r="http://schemas.openxmlformats.org/officeDocument/2006/relationships" ref="F16" r:id="rId41"/>
    <hyperlink xmlns:r="http://schemas.openxmlformats.org/officeDocument/2006/relationships" ref="G16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I18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H19" r:id="rId55"/>
    <hyperlink xmlns:r="http://schemas.openxmlformats.org/officeDocument/2006/relationships" ref="I19" r:id="rId56"/>
    <hyperlink xmlns:r="http://schemas.openxmlformats.org/officeDocument/2006/relationships" ref="F20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F21" r:id="rId61"/>
    <hyperlink xmlns:r="http://schemas.openxmlformats.org/officeDocument/2006/relationships" ref="G21" r:id="rId62"/>
    <hyperlink xmlns:r="http://schemas.openxmlformats.org/officeDocument/2006/relationships" ref="H21" r:id="rId63"/>
    <hyperlink xmlns:r="http://schemas.openxmlformats.org/officeDocument/2006/relationships" ref="I21" r:id="rId64"/>
    <hyperlink xmlns:r="http://schemas.openxmlformats.org/officeDocument/2006/relationships" ref="F22" r:id="rId65"/>
    <hyperlink xmlns:r="http://schemas.openxmlformats.org/officeDocument/2006/relationships" ref="G22" r:id="rId66"/>
    <hyperlink xmlns:r="http://schemas.openxmlformats.org/officeDocument/2006/relationships" ref="H22" r:id="rId67"/>
    <hyperlink xmlns:r="http://schemas.openxmlformats.org/officeDocument/2006/relationships" ref="I22" r:id="rId68"/>
    <hyperlink xmlns:r="http://schemas.openxmlformats.org/officeDocument/2006/relationships" ref="F23" r:id="rId69"/>
    <hyperlink xmlns:r="http://schemas.openxmlformats.org/officeDocument/2006/relationships" ref="G23" r:id="rId70"/>
    <hyperlink xmlns:r="http://schemas.openxmlformats.org/officeDocument/2006/relationships" ref="H23" r:id="rId71"/>
    <hyperlink xmlns:r="http://schemas.openxmlformats.org/officeDocument/2006/relationships" ref="I23" r:id="rId72"/>
    <hyperlink xmlns:r="http://schemas.openxmlformats.org/officeDocument/2006/relationships" ref="F24" r:id="rId73"/>
    <hyperlink xmlns:r="http://schemas.openxmlformats.org/officeDocument/2006/relationships" ref="G24" r:id="rId74"/>
    <hyperlink xmlns:r="http://schemas.openxmlformats.org/officeDocument/2006/relationships" ref="H24" r:id="rId75"/>
    <hyperlink xmlns:r="http://schemas.openxmlformats.org/officeDocument/2006/relationships" ref="I24" r:id="rId76"/>
    <hyperlink xmlns:r="http://schemas.openxmlformats.org/officeDocument/2006/relationships" ref="F25" r:id="rId77"/>
    <hyperlink xmlns:r="http://schemas.openxmlformats.org/officeDocument/2006/relationships" ref="G25" r:id="rId78"/>
    <hyperlink xmlns:r="http://schemas.openxmlformats.org/officeDocument/2006/relationships" ref="H25" r:id="rId79"/>
    <hyperlink xmlns:r="http://schemas.openxmlformats.org/officeDocument/2006/relationships" ref="I25" r:id="rId80"/>
    <hyperlink xmlns:r="http://schemas.openxmlformats.org/officeDocument/2006/relationships" ref="F26" r:id="rId81"/>
    <hyperlink xmlns:r="http://schemas.openxmlformats.org/officeDocument/2006/relationships" ref="G26" r:id="rId82"/>
    <hyperlink xmlns:r="http://schemas.openxmlformats.org/officeDocument/2006/relationships" ref="H26" r:id="rId83"/>
    <hyperlink xmlns:r="http://schemas.openxmlformats.org/officeDocument/2006/relationships" ref="I26" r:id="rId84"/>
    <hyperlink xmlns:r="http://schemas.openxmlformats.org/officeDocument/2006/relationships" ref="F27" r:id="rId85"/>
    <hyperlink xmlns:r="http://schemas.openxmlformats.org/officeDocument/2006/relationships" ref="G27" r:id="rId86"/>
    <hyperlink xmlns:r="http://schemas.openxmlformats.org/officeDocument/2006/relationships" ref="H27" r:id="rId87"/>
    <hyperlink xmlns:r="http://schemas.openxmlformats.org/officeDocument/2006/relationships" ref="I27" r:id="rId88"/>
    <hyperlink xmlns:r="http://schemas.openxmlformats.org/officeDocument/2006/relationships" ref="F28" r:id="rId89"/>
    <hyperlink xmlns:r="http://schemas.openxmlformats.org/officeDocument/2006/relationships" ref="G28" r:id="rId90"/>
    <hyperlink xmlns:r="http://schemas.openxmlformats.org/officeDocument/2006/relationships" ref="H28" r:id="rId91"/>
    <hyperlink xmlns:r="http://schemas.openxmlformats.org/officeDocument/2006/relationships" ref="I28" r:id="rId92"/>
    <hyperlink xmlns:r="http://schemas.openxmlformats.org/officeDocument/2006/relationships" ref="F29" r:id="rId93"/>
    <hyperlink xmlns:r="http://schemas.openxmlformats.org/officeDocument/2006/relationships" ref="G29" r:id="rId94"/>
    <hyperlink xmlns:r="http://schemas.openxmlformats.org/officeDocument/2006/relationships" ref="H29" r:id="rId95"/>
    <hyperlink xmlns:r="http://schemas.openxmlformats.org/officeDocument/2006/relationships" ref="I29" r:id="rId96"/>
    <hyperlink xmlns:r="http://schemas.openxmlformats.org/officeDocument/2006/relationships" ref="F30" r:id="rId97"/>
    <hyperlink xmlns:r="http://schemas.openxmlformats.org/officeDocument/2006/relationships" ref="G30" r:id="rId98"/>
    <hyperlink xmlns:r="http://schemas.openxmlformats.org/officeDocument/2006/relationships" ref="H30" r:id="rId99"/>
    <hyperlink xmlns:r="http://schemas.openxmlformats.org/officeDocument/2006/relationships" ref="I30" r:id="rId100"/>
    <hyperlink xmlns:r="http://schemas.openxmlformats.org/officeDocument/2006/relationships" ref="F31" r:id="rId101"/>
    <hyperlink xmlns:r="http://schemas.openxmlformats.org/officeDocument/2006/relationships" ref="G31" r:id="rId102"/>
    <hyperlink xmlns:r="http://schemas.openxmlformats.org/officeDocument/2006/relationships" ref="H31" r:id="rId103"/>
    <hyperlink xmlns:r="http://schemas.openxmlformats.org/officeDocument/2006/relationships" ref="I31" r:id="rId104"/>
    <hyperlink xmlns:r="http://schemas.openxmlformats.org/officeDocument/2006/relationships" ref="F32" r:id="rId105"/>
    <hyperlink xmlns:r="http://schemas.openxmlformats.org/officeDocument/2006/relationships" ref="G32" r:id="rId106"/>
    <hyperlink xmlns:r="http://schemas.openxmlformats.org/officeDocument/2006/relationships" ref="H32" r:id="rId107"/>
    <hyperlink xmlns:r="http://schemas.openxmlformats.org/officeDocument/2006/relationships" ref="I32" r:id="rId108"/>
    <hyperlink xmlns:r="http://schemas.openxmlformats.org/officeDocument/2006/relationships" ref="F33" r:id="rId109"/>
    <hyperlink xmlns:r="http://schemas.openxmlformats.org/officeDocument/2006/relationships" ref="G33" r:id="rId110"/>
    <hyperlink xmlns:r="http://schemas.openxmlformats.org/officeDocument/2006/relationships" ref="H33" r:id="rId111"/>
    <hyperlink xmlns:r="http://schemas.openxmlformats.org/officeDocument/2006/relationships" ref="I33" r:id="rId112"/>
    <hyperlink xmlns:r="http://schemas.openxmlformats.org/officeDocument/2006/relationships" ref="G35" r:id="rId113"/>
    <hyperlink xmlns:r="http://schemas.openxmlformats.org/officeDocument/2006/relationships" ref="G36" r:id="rId114"/>
    <hyperlink xmlns:r="http://schemas.openxmlformats.org/officeDocument/2006/relationships" ref="G37" r:id="rId115"/>
    <hyperlink xmlns:r="http://schemas.openxmlformats.org/officeDocument/2006/relationships" ref="G38" r:id="rId116"/>
    <hyperlink xmlns:r="http://schemas.openxmlformats.org/officeDocument/2006/relationships" ref="G39" r:id="rId117"/>
    <hyperlink xmlns:r="http://schemas.openxmlformats.org/officeDocument/2006/relationships" ref="H40" r:id="rId118"/>
    <hyperlink xmlns:r="http://schemas.openxmlformats.org/officeDocument/2006/relationships" ref="H41" r:id="rId119"/>
    <hyperlink xmlns:r="http://schemas.openxmlformats.org/officeDocument/2006/relationships" ref="H42" r:id="rId120"/>
    <hyperlink xmlns:r="http://schemas.openxmlformats.org/officeDocument/2006/relationships" ref="I43" r:id="rId121"/>
  </hyperlink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9" customWidth="1" min="2" max="2"/>
    <col width="20" customWidth="1" min="3" max="3"/>
    <col width="62" customWidth="1" min="4" max="4"/>
    <col width="46" customWidth="1" min="5" max="5"/>
    <col width="14" customWidth="1" min="6" max="6"/>
    <col width="70" customWidth="1" min="7" max="7"/>
  </cols>
  <sheetData>
    <row r="1" ht="17.45" customHeight="1">
      <c r="A1" s="19" t="inlineStr">
        <is>
          <t>Auffälligkeiten im Q-Grundlagenkataster – Umsetzungsstand</t>
        </is>
      </c>
    </row>
    <row r="3" ht="15" customHeight="1">
      <c r="A3" s="37" t="inlineStr">
        <is>
          <t>Nr.</t>
        </is>
      </c>
      <c r="B3" s="37" t="inlineStr">
        <is>
          <t>Q</t>
        </is>
      </c>
      <c r="C3" s="37" t="inlineStr">
        <is>
          <t>Gemeinde / Ebene</t>
        </is>
      </c>
      <c r="D3" s="37" t="inlineStr">
        <is>
          <t>Befund</t>
        </is>
      </c>
      <c r="E3" s="37" t="inlineStr">
        <is>
          <t>Massnahme</t>
        </is>
      </c>
      <c r="F3" s="37" t="inlineStr">
        <is>
          <t>Stand</t>
        </is>
      </c>
      <c r="G3" s="37" t="inlineStr">
        <is>
          <t>Ergebnis / Rest</t>
        </is>
      </c>
    </row>
    <row r="4" ht="32.85" customHeight="1">
      <c r="A4" s="38" t="n">
        <v>1</v>
      </c>
      <c r="B4" s="38" t="inlineStr">
        <is>
          <t>Q6</t>
        </is>
      </c>
      <c r="C4" s="38" t="inlineStr">
        <is>
          <t>Bund / alle</t>
        </is>
      </c>
      <c r="D4" s="38" t="inlineStr">
        <is>
          <t>IVöB: Katalog nennt «Inkrafttreten 15.03.2001» (alte IVöB).</t>
        </is>
      </c>
      <c r="E4" s="38" t="inlineStr">
        <is>
          <t>IVöB 2019 verifizieren, Beitritt je Kanton ermitteln</t>
        </is>
      </c>
      <c r="F4" s="39" t="inlineStr">
        <is>
          <t>teilweise</t>
        </is>
      </c>
      <c r="G4" s="38" t="inlineStr">
        <is>
          <t>Link auf IVöB 2019 (BPUK) ersetzt. SG: Beitritt 01.06.2023 belegt (EGöB sGS 841.1, VöB sGS 841.11). UR: Landrat 15.06.2022, Inkrafttreten 01.06.2023, Submissionsverordnung RB 3.3112 aufgehoben. BL: Beitrittsdatum nicht verifiziert.</t>
        </is>
      </c>
    </row>
    <row r="5" ht="22.35" customHeight="1">
      <c r="A5" s="38" t="n">
        <v>2</v>
      </c>
      <c r="B5" s="38" t="inlineStr">
        <is>
          <t>Q1–Q6</t>
        </is>
      </c>
      <c r="C5" s="38" t="inlineStr">
        <is>
          <t>Bund / alle</t>
        </is>
      </c>
      <c r="D5" s="38" t="inlineStr">
        <is>
          <t>Stände der Bundesgesetze je Gemeinde uneinheitlich.</t>
        </is>
      </c>
      <c r="E5" s="38" t="inlineStr">
        <is>
          <t>Auf konsolidierte Fassung vereinheitlichen</t>
        </is>
      </c>
      <c r="F5" s="40" t="inlineStr">
        <is>
          <t>erledigt</t>
        </is>
      </c>
      <c r="G5" s="38" t="inlineStr">
        <is>
          <t>Spalte «Stand» = «konsolidierte Fassung (Fedlex)»; Katalogstände im Prüfhinweis erhalten. Einzelstände nur dort, wo verifiziert (ZWG 01.10.2024, GSchV 01.08.2025).</t>
        </is>
      </c>
    </row>
    <row r="6" ht="22.35" customHeight="1">
      <c r="A6" s="38" t="n">
        <v>3</v>
      </c>
      <c r="B6" s="38" t="inlineStr">
        <is>
          <t>Q1/Q2/Q3/Q5</t>
        </is>
      </c>
      <c r="C6" s="38" t="inlineStr">
        <is>
          <t>Münchenstein, Wil</t>
        </is>
      </c>
      <c r="D6" s="38" t="inlineStr">
        <is>
          <t>Mehrere Katalogzeilen verweisen auf dasselbe Dokument.</t>
        </is>
      </c>
      <c r="E6" s="38" t="inlineStr">
        <is>
          <t>–</t>
        </is>
      </c>
      <c r="F6" s="40" t="inlineStr">
        <is>
          <t>erledigt</t>
        </is>
      </c>
      <c r="G6" s="38" t="inlineStr">
        <is>
          <t>Kein Mangel: ein Dokument deckt mehrere Q-Dimensionen ab (Hinweis des Teams). Zeilen bleiben bestehen; Artikel-/Kapitelfundstellen je Q wären eine spätere Verfeinerung.</t>
        </is>
      </c>
    </row>
    <row r="7" ht="32.85" customHeight="1">
      <c r="A7" s="38" t="n">
        <v>4</v>
      </c>
      <c r="B7" s="38" t="inlineStr">
        <is>
          <t>Q2/Q5</t>
        </is>
      </c>
      <c r="C7" s="38" t="inlineStr">
        <is>
          <t>Wil</t>
        </is>
      </c>
      <c r="D7" s="38" t="inlineStr">
        <is>
          <t>Zuständigkeit «Gemeinde Wil + St. Gallen» beim Reglement zur Schutzverordnung unklar.</t>
        </is>
      </c>
      <c r="E7" s="38" t="inlineStr">
        <is>
          <t>Zuständigkeit klären</t>
        </is>
      </c>
      <c r="F7" s="39" t="inlineStr">
        <is>
          <t>erledigt</t>
        </is>
      </c>
      <c r="G7" s="38" t="inlineStr">
        <is>
          <t>Zuständigkeit liegt allein bei der Gde Wil; das Reglement enthält auch kantonale Schutzobjekte (manuell geprüft 14.10.2026).</t>
        </is>
      </c>
    </row>
    <row r="8" ht="15" customHeight="1">
      <c r="A8" s="38" t="n">
        <v>5</v>
      </c>
      <c r="B8" s="38" t="inlineStr">
        <is>
          <t>Q5</t>
        </is>
      </c>
      <c r="C8" s="38" t="inlineStr">
        <is>
          <t>Seelisberg</t>
        </is>
      </c>
      <c r="D8" s="38" t="inlineStr">
        <is>
          <t>«Kommunale Schutzverordnung» (18.02.2025) verlinkt auf BZO (2015).</t>
        </is>
      </c>
      <c r="E8" s="38" t="inlineStr">
        <is>
          <t>Separate Schutzverordnung suchen</t>
        </is>
      </c>
      <c r="F8" s="41" t="inlineStr">
        <is>
          <t>offen (Anfrage)</t>
        </is>
      </c>
      <c r="G8" s="38" t="inlineStr">
        <is>
          <t>Websuche ohne Treffer; Anfrage an Gemeinde (Datenanfrage-Liste).</t>
        </is>
      </c>
    </row>
    <row r="9" ht="15" customHeight="1">
      <c r="A9" s="38" t="n">
        <v>6</v>
      </c>
      <c r="B9" s="38" t="inlineStr">
        <is>
          <t>Q4</t>
        </is>
      </c>
      <c r="C9" s="38" t="inlineStr">
        <is>
          <t>Seelisberg</t>
        </is>
      </c>
      <c r="D9" s="38" t="inlineStr">
        <is>
          <t>Nur Wasserversorgungsverordnung; Entwässerung/Retention/GEP fehlen.</t>
        </is>
      </c>
      <c r="E9" s="38" t="inlineStr">
        <is>
          <t>Abwasserreglement/GEP beschaffen</t>
        </is>
      </c>
      <c r="F9" s="41" t="inlineStr">
        <is>
          <t>offen (Anfrage)</t>
        </is>
      </c>
      <c r="G9" s="38" t="inlineStr">
        <is>
          <t>GEP ist rechtlich vorgesehen (GSchV Art. 5) → Existenz hoch; Anfrage an Gemeinde.</t>
        </is>
      </c>
    </row>
    <row r="10" ht="22.35" customHeight="1">
      <c r="A10" s="38" t="n">
        <v>7</v>
      </c>
      <c r="B10" s="38" t="inlineStr">
        <is>
          <t>Q4</t>
        </is>
      </c>
      <c r="C10" s="38" t="inlineStr">
        <is>
          <t>Bund</t>
        </is>
      </c>
      <c r="D10" s="38" t="inlineStr">
        <is>
          <t>Gefahrenkarten auf Bundesebene geführt, obwohl kantonal.</t>
        </is>
      </c>
      <c r="E10" s="38" t="inlineStr">
        <is>
          <t>Als Portal/Hinweiskarte kennzeichnen</t>
        </is>
      </c>
      <c r="F10" s="40" t="inlineStr">
        <is>
          <t>erledigt</t>
        </is>
      </c>
      <c r="G10" s="38" t="inlineStr">
        <is>
          <t>Zeile angepasst: Bund = Portal geo.admin.ch (Daten der Kantone); massgebend sind die kantonalen Karten (Blatt 7).</t>
        </is>
      </c>
    </row>
    <row r="11" ht="15" customHeight="1">
      <c r="A11" s="38" t="n">
        <v>8</v>
      </c>
      <c r="B11" s="38" t="inlineStr">
        <is>
          <t>Q4</t>
        </is>
      </c>
      <c r="C11" s="38" t="inlineStr">
        <is>
          <t>BL</t>
        </is>
      </c>
      <c r="D11" s="38" t="inlineStr">
        <is>
          <t>Naturgefahrenkarte BL mit Stand 28.11.2005.</t>
        </is>
      </c>
      <c r="E11" s="38" t="inlineStr">
        <is>
          <t>Aktualität prüfen</t>
        </is>
      </c>
      <c r="F11" s="39" t="inlineStr">
        <is>
          <t>teilweise</t>
        </is>
      </c>
      <c r="G11" s="38" t="inlineStr">
        <is>
          <t>Aktualität nur im Geoportal BL (Layer-Metadaten) ersichtlich; in Blatt 7 mit Hinweis verlinkt.</t>
        </is>
      </c>
    </row>
    <row r="12" ht="22.35" customHeight="1">
      <c r="A12" s="38" t="n">
        <v>9</v>
      </c>
      <c r="B12" s="38" t="inlineStr">
        <is>
          <t>Q3</t>
        </is>
      </c>
      <c r="C12" s="38" t="inlineStr">
        <is>
          <t>UR</t>
        </is>
      </c>
      <c r="D12" s="38" t="inlineStr">
        <is>
          <t>Energiegesetz Uri mit Stand 01.01.2000.</t>
        </is>
      </c>
      <c r="E12" s="38" t="inlineStr">
        <is>
          <t>Aktuelle Fassung prüfen</t>
        </is>
      </c>
      <c r="F12" s="39" t="inlineStr">
        <is>
          <t>teilweise</t>
        </is>
      </c>
      <c r="G12" s="38" t="inlineStr">
        <is>
          <t>Link auf Rechtsbuch UR (Katalog) bleibt; Versionsstand nicht abgefragt → beim Öffnen der Fassung im Rechtsbuch bestätigen.</t>
        </is>
      </c>
    </row>
    <row r="13" ht="22.35" customHeight="1">
      <c r="A13" s="38" t="n">
        <v>10</v>
      </c>
      <c r="B13" s="38" t="inlineStr">
        <is>
          <t>Q2/Q5</t>
        </is>
      </c>
      <c r="C13" s="38" t="inlineStr">
        <is>
          <t>SG</t>
        </is>
      </c>
      <c r="D13" s="38" t="inlineStr">
        <is>
          <t>Keine Kantonsebene für Q2/Q5.</t>
        </is>
      </c>
      <c r="E13" s="38" t="inlineStr">
        <is>
          <t>Kantonale Erlasse und Inventare ergänzen</t>
        </is>
      </c>
      <c r="F13" s="39" t="inlineStr">
        <is>
          <t>teilweise</t>
        </is>
      </c>
      <c r="G13" s="38" t="inlineStr">
        <is>
          <t>Ergänzt: Naturschutzverordnung sGS 671.1, Verordnung Naturkörper/Altertümer sGS 271.51, Geoportal SG. Konkrete Inventar-/Layerliste noch offen (Blatt 2/5, Blatt 7).</t>
        </is>
      </c>
    </row>
    <row r="14" ht="22.35" customHeight="1">
      <c r="A14" s="38" t="n">
        <v>11</v>
      </c>
      <c r="B14" s="38" t="inlineStr">
        <is>
          <t>Q6</t>
        </is>
      </c>
      <c r="C14" s="38" t="inlineStr">
        <is>
          <t>UR / Gemeinden</t>
        </is>
      </c>
      <c r="D14" s="38" t="inlineStr">
        <is>
          <t>Kantonales Einführungsrecht Uri fehlt; kommunale Reglemente Münchenstein/Seelisberg fehlen.</t>
        </is>
      </c>
      <c r="E14" s="38" t="inlineStr">
        <is>
          <t>Beschaffen</t>
        </is>
      </c>
      <c r="F14" s="39" t="inlineStr">
        <is>
          <t>teilweise</t>
        </is>
      </c>
      <c r="G14" s="38" t="inlineStr">
        <is>
          <t>UR erledigt (Beitrittsbeschluss belegt). Kommunale Reglemente: Anfrage an Gemeinden.</t>
        </is>
      </c>
    </row>
    <row r="15" ht="15" customHeight="1">
      <c r="A15" s="38" t="n">
        <v>12</v>
      </c>
      <c r="B15" s="38" t="inlineStr">
        <is>
          <t>Q3</t>
        </is>
      </c>
      <c r="C15" s="38" t="inlineStr">
        <is>
          <t>Seelisberg</t>
        </is>
      </c>
      <c r="D15" s="38" t="inlineStr">
        <is>
          <t>Keine Gemeindeebene für Q3.</t>
        </is>
      </c>
      <c r="E15" s="38" t="inlineStr">
        <is>
          <t>Klären</t>
        </is>
      </c>
      <c r="F15" s="41" t="inlineStr">
        <is>
          <t>offen (Anfrage)</t>
        </is>
      </c>
      <c r="G15" s="38" t="inlineStr">
        <is>
          <t>Anfrage an Gemeinde, ob kommunale Energie-/Klimavorgaben bestehen.</t>
        </is>
      </c>
    </row>
    <row r="16" ht="32.85" customHeight="1">
      <c r="A16" s="38" t="n">
        <v>13</v>
      </c>
      <c r="B16" s="38" t="inlineStr">
        <is>
          <t>Q1</t>
        </is>
      </c>
      <c r="C16" s="38" t="inlineStr">
        <is>
          <t>Seelisberg</t>
        </is>
      </c>
      <c r="D16" s="38" t="inlineStr">
        <is>
          <t>Zweitwohnungsgesetz nicht geführt.</t>
        </is>
      </c>
      <c r="E16" s="38" t="inlineStr">
        <is>
          <t>Zweitwohnungsanteil prüfen</t>
        </is>
      </c>
      <c r="F16" s="40" t="inlineStr">
        <is>
          <t>erledigt</t>
        </is>
      </c>
      <c r="G16" s="38" t="inlineStr">
        <is>
          <t>ZWG + ZWV (Fedlex) ergänzt. Seelisberg ist im Anhang der ZWV (vermuteter Anteil &gt;20 %) aufgeführt; Wil nicht in der SG-Liste. Massgebend: jährliche Feststellung des Bundes (Art. 5 ZWG).</t>
        </is>
      </c>
    </row>
    <row r="17" ht="15" customHeight="1">
      <c r="A17" s="38" t="n">
        <v>14</v>
      </c>
      <c r="B17" s="38" t="inlineStr">
        <is>
          <t>Q1–Q5</t>
        </is>
      </c>
      <c r="C17" s="38" t="inlineStr">
        <is>
          <t>Alle</t>
        </is>
      </c>
      <c r="D17" s="38" t="inlineStr">
        <is>
          <t>Bundesinventare als «zu prüfen» ergänzt; Betroffenheit unbekannt.</t>
        </is>
      </c>
      <c r="E17" s="38" t="inlineStr">
        <is>
          <t>Layer-Sammlung mit Links</t>
        </is>
      </c>
      <c r="F17" s="40" t="inlineStr">
        <is>
          <t>erledigt</t>
        </is>
      </c>
      <c r="G17" s="38" t="inlineStr">
        <is>
          <t>Blatt 7 mit Layer-Links CH-weit und je Gemeinde; Betroffenheit als Dropdown zum Ausfüllen.</t>
        </is>
      </c>
    </row>
    <row r="18" ht="22.35" customHeight="1">
      <c r="A18" s="38" t="n">
        <v>15</v>
      </c>
      <c r="B18" s="38" t="inlineStr">
        <is>
          <t>Alle</t>
        </is>
      </c>
      <c r="C18" s="38" t="inlineStr">
        <is>
          <t>Alle</t>
        </is>
      </c>
      <c r="D18" s="38" t="inlineStr">
        <is>
          <t>Status «zu prüfen» und «Lücke» waren unscharf.</t>
        </is>
      </c>
      <c r="E18" s="38" t="inlineStr">
        <is>
          <t>Status-Modell präzisieren</t>
        </is>
      </c>
      <c r="F18" s="40" t="inlineStr">
        <is>
          <t>erledigt</t>
        </is>
      </c>
      <c r="G18" s="38" t="inlineStr">
        <is>
          <t>Neu: belegt / belegt – Betroffenheit offen / keine Regelung (geprüft) / nicht belegt (Recherche offen) / Datenanfrage. Spalte «Offene Prüfung (wer / wie)» am 14.10.2026 wieder entfernt.</t>
        </is>
      </c>
    </row>
    <row r="19" ht="32.85" customHeight="1">
      <c r="A19" s="38" t="n">
        <v>16</v>
      </c>
      <c r="B19" s="38" t="inlineStr">
        <is>
          <t>Alle</t>
        </is>
      </c>
      <c r="C19" s="38" t="inlineStr">
        <is>
          <t>Bund</t>
        </is>
      </c>
      <c r="D19" s="38" t="inlineStr">
        <is>
          <t>Links fehlten bei öffentlichen Erlassen.</t>
        </is>
      </c>
      <c r="E19" s="38" t="inlineStr">
        <is>
          <t>Links ergänzen</t>
        </is>
      </c>
      <c r="F19" s="39" t="inlineStr">
        <is>
          <t>teilweise</t>
        </is>
      </c>
      <c r="G19" s="38" t="inlineStr">
        <is>
          <t>Alle Erlasse mit Link. Dokument-URL nicht ermittelt (Einstiegsseite): ZWV, VBLN, VISOS, VIVS, SR 451.31–451.37, WaV, BGF, WBG, WBV, UVPV, AltlV, VVEA, Mantelerlass. BGBM jetzt mit ELI aus sg.ch (Quelle bestätigt).</t>
        </is>
      </c>
    </row>
    <row r="20" ht="43.35" customHeight="1">
      <c r="A20" s="38" t="n">
        <v>17</v>
      </c>
      <c r="B20" s="38" t="inlineStr">
        <is>
          <t>Q1–Q6</t>
        </is>
      </c>
      <c r="C20" s="38" t="inlineStr">
        <is>
          <t>Bund / UR</t>
        </is>
      </c>
      <c r="D20" s="38" t="inlineStr">
        <is>
          <t>Gesetze und Verordnungen waren teilweise in einer Zeile zusammengefasst.</t>
        </is>
      </c>
      <c r="E20" s="38" t="inlineStr">
        <is>
          <t>Trennen; KGSG entfernen</t>
        </is>
      </c>
      <c r="F20" s="40" t="inlineStr">
        <is>
          <t>erledigt</t>
        </is>
      </c>
      <c r="G20" s="38" t="inlineStr">
        <is>
          <t>Jedes Gesetz und jede Verordnung hat eine eigene Zeile (ZWG/ZWV, NHV/VBLN/VISOS/VIVS, GSchG/GSchV, WaG/WaV, JSG/BGF, EnG/EnV, CO₂-G/V, WBG/WBV, UVPV/AltlV/VVEA; UR: IVöB-Beitritt, Ausnahmengesetz, Submissionsreglement). KGSG auf Vorgabe des Teams entfernt.</t>
        </is>
      </c>
    </row>
    <row r="21" ht="43.35" customHeight="1">
      <c r="A21" s="38" t="n">
        <v>18</v>
      </c>
      <c r="B21" s="38" t="inlineStr">
        <is>
          <t>Alle</t>
        </is>
      </c>
      <c r="C21" s="38" t="inlineStr">
        <is>
          <t>Alle</t>
        </is>
      </c>
      <c r="D21" s="38" t="inlineStr">
        <is>
          <t>Linktest (14.10.2026): Sandbox ohne Internetzugriff; Abruf nur für Seiten aus der Recherche möglich. Fedlex lädt ohne JavaScript nur eine Hülle, Inhalt/Richtigkeit eines ELI ist so nicht prüfbar.</t>
        </is>
      </c>
      <c r="E21" s="38" t="inlineStr">
        <is>
          <t>Links testen</t>
        </is>
      </c>
      <c r="F21" s="39" t="inlineStr">
        <is>
          <t>teilweise</t>
        </is>
      </c>
      <c r="G21" s="38" t="inlineStr">
        <is>
          <t>Getestet OK: sg.ch Beschaffungs-Grundlagen, ur.ch Schulungsunterlage. Quelle bestätigt (Link von sg.ch): BGBM-ELI, sGS 841.51 / 841.1 / 841.11. Alle übrigen Links «ungetestet»; kein Link als defekt festgestellt. Bitte Klick-Test im Browser (Spalte «Link-Status» filtern auf «ungetestet»).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3"/>
    <col width="50" customWidth="1" min="4" max="4"/>
    <col width="18" customWidth="1" min="5" max="5"/>
    <col width="26" customWidth="1" min="6" max="6"/>
    <col width="80" customWidth="1" min="7" max="7"/>
    <col width="6" customWidth="1" min="8" max="8"/>
    <col width="50" customWidth="1" min="9" max="10"/>
  </cols>
  <sheetData>
    <row r="1">
      <c r="A1" t="inlineStr">
        <is>
          <t>Linkprüfung 14.10.2026 – GitHub-Runner «Linkprüfung Excel» (linkpruefung_excel.py)</t>
        </is>
      </c>
    </row>
    <row r="2">
      <c r="A2" t="inlineStr">
        <is>
          <t>Prüfquellen: Fedlex-SPARQL (SR-Nummer ↔ Erlass), LexWork-Titelverzeichnisse (BL, SG, UR, Wil), api3.geo.admin.ch layersConfig, HTTP-Abruf mit Titel-/Textabgleich (HTML und PDF). Nachgeführt 14.10.2026: manuelle Prüfungen Blatt 1, Zeilen 74 und 94 (alt) gelöscht, Zeilennummern Blatt 1 angepasst. Nachgeführt 14.10.2026: Blatt 3 Zeile 30 und Blatt 6 Zeile 23 (alt) gelöscht; Zonenvorschriften Siedlung in Blatt 2/3/5 manuell geprüft.</t>
        </is>
      </c>
    </row>
    <row r="4">
      <c r="A4" s="48" t="inlineStr">
        <is>
          <t>Blatt</t>
        </is>
      </c>
      <c r="B4" s="48" t="inlineStr">
        <is>
          <t>Zeile</t>
        </is>
      </c>
      <c r="C4" s="48" t="inlineStr">
        <is>
          <t>Spalte</t>
        </is>
      </c>
      <c r="D4" s="48" t="inlineStr">
        <is>
          <t>Bezeichnung</t>
        </is>
      </c>
      <c r="E4" s="48" t="inlineStr">
        <is>
          <t>Referenz</t>
        </is>
      </c>
      <c r="F4" s="48" t="inlineStr">
        <is>
          <t>Ergebnis</t>
        </is>
      </c>
      <c r="G4" s="48" t="inlineStr">
        <is>
          <t>Begründung / Hinweis</t>
        </is>
      </c>
      <c r="H4" s="48" t="inlineStr">
        <is>
          <t>HTTP</t>
        </is>
      </c>
      <c r="I4" s="48" t="inlineStr">
        <is>
          <t>Link alt</t>
        </is>
      </c>
      <c r="J4" s="48" t="inlineStr">
        <is>
          <t>Link neu</t>
        </is>
      </c>
    </row>
    <row r="5">
      <c r="A5" t="inlineStr">
        <is>
          <t>1_Q1_Rechtsordnung</t>
        </is>
      </c>
      <c r="B5" t="n">
        <v>11</v>
      </c>
      <c r="C5" t="inlineStr">
        <is>
          <t>M</t>
        </is>
      </c>
      <c r="D5" t="inlineStr">
        <is>
          <t>Zweitwohnungsverordnung (ZWV)</t>
        </is>
      </c>
      <c r="E5" t="inlineStr">
        <is>
          <t>SR 702.1</t>
        </is>
      </c>
      <c r="F5" s="52" t="inlineStr">
        <is>
          <t>geprüft · OK</t>
        </is>
      </c>
      <c r="G5" t="inlineStr">
        <is>
          <t>Link zeigte nur auf die Einstiegsseite https://www.are.admin.ch; richtig: SR 702.1 «Zweitwohnungsverordnung vom 4. Dezember 2015 (ZWV)»</t>
        </is>
      </c>
      <c r="H5" t="n">
        <v>200</v>
      </c>
      <c r="I5" t="inlineStr">
        <is>
          <t>https://www.are.admin.ch</t>
        </is>
      </c>
      <c r="J5" s="50" t="inlineStr">
        <is>
          <t>https://www.fedlex.admin.ch/eli/cc/2015/887/de</t>
        </is>
      </c>
    </row>
    <row r="6">
      <c r="A6" t="inlineStr">
        <is>
          <t>1_Q1_Rechtsordnung</t>
        </is>
      </c>
      <c r="B6" t="n">
        <v>14</v>
      </c>
      <c r="C6" t="inlineStr">
        <is>
          <t>M</t>
        </is>
      </c>
      <c r="D6" t="inlineStr">
        <is>
          <t>Verordnung über das Bundesinventar der Landschaften und Naturdenkmäler (VBLN)</t>
        </is>
      </c>
      <c r="E6" t="inlineStr">
        <is>
          <t>SR 451.11</t>
        </is>
      </c>
      <c r="F6" s="52" t="inlineStr">
        <is>
          <t>geprüft · OK</t>
        </is>
      </c>
      <c r="G6" t="inlineStr">
        <is>
          <t>Link zeigte nur auf die Einstiegsseite https://www.bafu.admin.ch; richtig: SR 451.11 «Verordnung vom 29. März 2017 über das Bundesinventar der Landschaften und Naturdenkmäler (VBLN) »</t>
        </is>
      </c>
      <c r="H6" t="n">
        <v>200</v>
      </c>
      <c r="I6" t="inlineStr">
        <is>
          <t>https://www.bafu.admin.ch</t>
        </is>
      </c>
      <c r="J6" s="50" t="inlineStr">
        <is>
          <t>https://www.fedlex.admin.ch/eli/cc/2017/290/de</t>
        </is>
      </c>
    </row>
    <row r="7">
      <c r="A7" t="inlineStr">
        <is>
          <t>1_Q1_Rechtsordnung</t>
        </is>
      </c>
      <c r="B7" t="n">
        <v>15</v>
      </c>
      <c r="C7" t="inlineStr">
        <is>
          <t>M</t>
        </is>
      </c>
      <c r="D7" t="inlineStr">
        <is>
          <t>Verordnung über das Bundesinventar der schützenswerten Ortsbilder der Schweiz (VISOS)</t>
        </is>
      </c>
      <c r="E7" t="inlineStr">
        <is>
          <t>SR 451.12</t>
        </is>
      </c>
      <c r="F7" s="52" t="inlineStr">
        <is>
          <t>geprüft · OK</t>
        </is>
      </c>
      <c r="G7" t="inlineStr">
        <is>
          <t>Link zeigte nur auf die Einstiegsseite https://www.bak.admin.ch; richtig: SR 451.12 «Verordnung vom 13. November 2019 über das Bundesinventar der schützenswerten Ortsbilder der Schweiz (VISOS)»</t>
        </is>
      </c>
      <c r="H7" t="n">
        <v>200</v>
      </c>
      <c r="I7" t="inlineStr">
        <is>
          <t>https://www.bak.admin.ch</t>
        </is>
      </c>
      <c r="J7" s="50" t="inlineStr">
        <is>
          <t>https://www.fedlex.admin.ch/eli/cc/2019/673/de</t>
        </is>
      </c>
    </row>
    <row r="8">
      <c r="A8" t="inlineStr">
        <is>
          <t>1_Q1_Rechtsordnung</t>
        </is>
      </c>
      <c r="B8" t="n">
        <v>16</v>
      </c>
      <c r="C8" t="inlineStr">
        <is>
          <t>M</t>
        </is>
      </c>
      <c r="D8" t="inlineStr">
        <is>
          <t>Verordnung über das Bundesinventar der historischen Verkehrswege der Schweiz (VIVS)</t>
        </is>
      </c>
      <c r="E8" t="inlineStr">
        <is>
          <t>SR 451.13</t>
        </is>
      </c>
      <c r="F8" s="52" t="inlineStr">
        <is>
          <t>geprüft · OK</t>
        </is>
      </c>
      <c r="G8" t="inlineStr">
        <is>
          <t>Link zeigte nur auf die Einstiegsseite https://www.astra.admin.ch; richtig: SR 451.13 «Verordnung vom 14. April 2010 über das Bundesinventar der historischen Verkehrswege der Schweiz (VIVS) »</t>
        </is>
      </c>
      <c r="H8" t="n">
        <v>200</v>
      </c>
      <c r="I8" t="inlineStr">
        <is>
          <t>https://www.astra.admin.ch</t>
        </is>
      </c>
      <c r="J8" s="50" t="inlineStr">
        <is>
          <t>https://www.fedlex.admin.ch/eli/cc/2010/227/de</t>
        </is>
      </c>
    </row>
    <row r="9">
      <c r="A9" t="inlineStr">
        <is>
          <t>1_Q1_Rechtsordnung</t>
        </is>
      </c>
      <c r="B9" t="n">
        <v>17</v>
      </c>
      <c r="C9" t="inlineStr">
        <is>
          <t>M</t>
        </is>
      </c>
      <c r="D9" t="inlineStr">
        <is>
          <t>Verordnung über den Schutz der Auengebiete von nationaler Bedeutung (Auenverordnung)</t>
        </is>
      </c>
      <c r="E9" t="inlineStr">
        <is>
          <t>SR 451.31</t>
        </is>
      </c>
      <c r="F9" s="52" t="inlineStr">
        <is>
          <t>geprüft · OK</t>
        </is>
      </c>
      <c r="G9" t="inlineStr">
        <is>
          <t>Link zeigte nur auf die Einstiegsseite https://www.bafu.admin.ch; richtig: SR 451.31 «Verordnung vom 28. Oktober 1992 über den Schutz der Auengebiete von nationaler Bedeutung (Auenverordnung) »</t>
        </is>
      </c>
      <c r="H9" t="n">
        <v>200</v>
      </c>
      <c r="I9" t="inlineStr">
        <is>
          <t>https://www.bafu.admin.ch</t>
        </is>
      </c>
      <c r="J9" s="50" t="inlineStr">
        <is>
          <t>https://www.fedlex.admin.ch/eli/cc/1992/2080_2080_2080/de</t>
        </is>
      </c>
    </row>
    <row r="10">
      <c r="A10" t="inlineStr">
        <is>
          <t>1_Q1_Rechtsordnung</t>
        </is>
      </c>
      <c r="B10" t="n">
        <v>18</v>
      </c>
      <c r="C10" t="inlineStr">
        <is>
          <t>M</t>
        </is>
      </c>
      <c r="D10" t="inlineStr">
        <is>
          <t>Verordnung über den Schutz der Hoch- und Übergangsmoore von nationaler Bedeutung (Hochmoorverordnung)</t>
        </is>
      </c>
      <c r="E10" t="inlineStr">
        <is>
          <t>SR 451.32</t>
        </is>
      </c>
      <c r="F10" s="52" t="inlineStr">
        <is>
          <t>geprüft · OK</t>
        </is>
      </c>
      <c r="G10" t="inlineStr">
        <is>
          <t>Link zeigte nur auf die Einstiegsseite https://www.bafu.admin.ch; richtig: SR 451.32 «Verordnung vom 21. Januar 1991 über den Schutz der Hoch- und Übergangsmoore von nationaler Bedeutung (Hochmoorverordnung) »</t>
        </is>
      </c>
      <c r="H10" t="n">
        <v>200</v>
      </c>
      <c r="I10" t="inlineStr">
        <is>
          <t>https://www.bafu.admin.ch</t>
        </is>
      </c>
      <c r="J10" s="50" t="inlineStr">
        <is>
          <t>https://www.fedlex.admin.ch/eli/cc/1991/270_270_270/de</t>
        </is>
      </c>
    </row>
    <row r="11">
      <c r="A11" t="inlineStr">
        <is>
          <t>1_Q1_Rechtsordnung</t>
        </is>
      </c>
      <c r="B11" t="n">
        <v>19</v>
      </c>
      <c r="C11" t="inlineStr">
        <is>
          <t>M</t>
        </is>
      </c>
      <c r="D11" t="inlineStr">
        <is>
          <t>Verordnung über den Schutz der Flachmoore von nationaler Bedeutung (Flachmoorverordnung)</t>
        </is>
      </c>
      <c r="E11" t="inlineStr">
        <is>
          <t>SR 451.33</t>
        </is>
      </c>
      <c r="F11" s="52" t="inlineStr">
        <is>
          <t>geprüft · OK</t>
        </is>
      </c>
      <c r="G11" t="inlineStr">
        <is>
          <t>Link zeigte nur auf die Einstiegsseite https://www.bafu.admin.ch; richtig: SR 451.33 «Verordnung vom 7. September 1994 über den Schutz der Flachmoore von nationaler Bedeutung (Flachmoorverordnung) »</t>
        </is>
      </c>
      <c r="H11" t="n">
        <v>200</v>
      </c>
      <c r="I11" t="inlineStr">
        <is>
          <t>https://www.bafu.admin.ch</t>
        </is>
      </c>
      <c r="J11" s="50" t="inlineStr">
        <is>
          <t>https://www.fedlex.admin.ch/eli/cc/1994/2092_2092_2092/de</t>
        </is>
      </c>
    </row>
    <row r="12">
      <c r="A12" t="inlineStr">
        <is>
          <t>1_Q1_Rechtsordnung</t>
        </is>
      </c>
      <c r="B12" t="n">
        <v>20</v>
      </c>
      <c r="C12" t="inlineStr">
        <is>
          <t>M</t>
        </is>
      </c>
      <c r="D12" t="inlineStr">
        <is>
          <t>Verordnung über den Schutz der Amphibienlaichgebiete von nationaler Bedeutung (Amphibienlaichgebiete-Verordnung; AlgV)</t>
        </is>
      </c>
      <c r="E12" t="inlineStr">
        <is>
          <t>SR 451.34</t>
        </is>
      </c>
      <c r="F12" s="52" t="inlineStr">
        <is>
          <t>geprüft · OK</t>
        </is>
      </c>
      <c r="G12" t="inlineStr">
        <is>
          <t>Link zeigte nur auf die Einstiegsseite https://www.bafu.admin.ch; richtig: SR 451.34 «Verordnung vom 15. Juni 2001 über den Schutz der Amphibienlaichgebiete von nationaler Bedeutung (Amphibienlaichgebiete-Verordnung; AlgV) »</t>
        </is>
      </c>
      <c r="H12" t="n">
        <v>200</v>
      </c>
      <c r="I12" t="inlineStr">
        <is>
          <t>https://www.bafu.admin.ch</t>
        </is>
      </c>
      <c r="J12" s="50" t="inlineStr">
        <is>
          <t>https://www.fedlex.admin.ch/eli/cc/2001/328/de</t>
        </is>
      </c>
    </row>
    <row r="13">
      <c r="A13" t="inlineStr">
        <is>
          <t>1_Q1_Rechtsordnung</t>
        </is>
      </c>
      <c r="B13" t="n">
        <v>21</v>
      </c>
      <c r="C13" t="inlineStr">
        <is>
          <t>M</t>
        </is>
      </c>
      <c r="D13" t="inlineStr">
        <is>
          <t>Verordnung über den Schutz der Moorlandschaften von besonderer Schönheit und von nationaler Bedeutung (Moorlandschaftsverordnung)</t>
        </is>
      </c>
      <c r="E13" t="inlineStr">
        <is>
          <t>SR 451.35</t>
        </is>
      </c>
      <c r="F13" s="52" t="inlineStr">
        <is>
          <t>geprüft · OK</t>
        </is>
      </c>
      <c r="G13" t="inlineStr">
        <is>
          <t>Link zeigte nur auf die Einstiegsseite https://www.bafu.admin.ch; richtig: SR 451.35 «Verordnung vom 1. Mai 1996 über den Schutz der Moorlandschaften von besonderer Schönheit und von nationaler Bedeutung (Moorlandschaftsverordnung) »</t>
        </is>
      </c>
      <c r="H13" t="n">
        <v>200</v>
      </c>
      <c r="I13" t="inlineStr">
        <is>
          <t>https://www.bafu.admin.ch</t>
        </is>
      </c>
      <c r="J13" s="50" t="inlineStr">
        <is>
          <t>https://www.fedlex.admin.ch/eli/cc/1996/1839_1839_1839/de</t>
        </is>
      </c>
    </row>
    <row r="14">
      <c r="A14" t="inlineStr">
        <is>
          <t>1_Q1_Rechtsordnung</t>
        </is>
      </c>
      <c r="B14" t="n">
        <v>22</v>
      </c>
      <c r="C14" t="inlineStr">
        <is>
          <t>M</t>
        </is>
      </c>
      <c r="D14" t="inlineStr">
        <is>
          <t>Verordnung über die Pärke von nationaler Bedeutung (Pärkeverordnung, PäV)</t>
        </is>
      </c>
      <c r="E14" t="inlineStr">
        <is>
          <t>SR 451.36</t>
        </is>
      </c>
      <c r="F14" s="52" t="inlineStr">
        <is>
          <t>geprüft · OK</t>
        </is>
      </c>
      <c r="G14" t="inlineStr">
        <is>
          <t>Link zeigte nur auf die Einstiegsseite https://www.bafu.admin.ch; richtig: SR 451.36 «Verordnung vom 7. November 2007 über die Pärke von nationaler Bedeutung (Pärkeverordnung, PäV)»</t>
        </is>
      </c>
      <c r="H14" t="n">
        <v>200</v>
      </c>
      <c r="I14" t="inlineStr">
        <is>
          <t>https://www.bafu.admin.ch</t>
        </is>
      </c>
      <c r="J14" s="50" t="inlineStr">
        <is>
          <t>https://www.fedlex.admin.ch/eli/cc/2007/743/de</t>
        </is>
      </c>
    </row>
    <row r="15">
      <c r="A15" t="inlineStr">
        <is>
          <t>1_Q1_Rechtsordnung</t>
        </is>
      </c>
      <c r="B15" t="n">
        <v>23</v>
      </c>
      <c r="C15" t="inlineStr">
        <is>
          <t>M</t>
        </is>
      </c>
      <c r="D15" t="inlineStr">
        <is>
          <t>Verordnung über den Schutz der Trockenwiesen und -weiden von nationaler Bedeutung (Trockenwiesenverordnung, TwwV)</t>
        </is>
      </c>
      <c r="E15" t="inlineStr">
        <is>
          <t>SR 451.37</t>
        </is>
      </c>
      <c r="F15" s="52" t="inlineStr">
        <is>
          <t>geprüft · OK</t>
        </is>
      </c>
      <c r="G15" t="inlineStr">
        <is>
          <t>Link zeigte nur auf die Einstiegsseite https://www.bafu.admin.ch; richtig: SR 451.37 «Verordnung vom 13. Januar 2010 über den Schutz der Trockenwiesen und -weiden von nationaler Bedeutung (Trockenwiesenverordnung, TwwV) »</t>
        </is>
      </c>
      <c r="H15" t="n">
        <v>200</v>
      </c>
      <c r="I15" t="inlineStr">
        <is>
          <t>https://www.bafu.admin.ch</t>
        </is>
      </c>
      <c r="J15" s="50" t="inlineStr">
        <is>
          <t>https://www.fedlex.admin.ch/eli/cc/2010/38/de</t>
        </is>
      </c>
    </row>
    <row r="16">
      <c r="A16" t="inlineStr">
        <is>
          <t>1_Q1_Rechtsordnung</t>
        </is>
      </c>
      <c r="B16" t="n">
        <v>27</v>
      </c>
      <c r="C16" t="inlineStr">
        <is>
          <t>M</t>
        </is>
      </c>
      <c r="D16" t="inlineStr">
        <is>
          <t>Waldverordnung (WaV)</t>
        </is>
      </c>
      <c r="E16" t="inlineStr">
        <is>
          <t>SR 921.01</t>
        </is>
      </c>
      <c r="F16" s="52" t="inlineStr">
        <is>
          <t>geprüft · OK</t>
        </is>
      </c>
      <c r="G16" t="inlineStr">
        <is>
          <t>Link zeigte nur auf die Einstiegsseite https://www.bafu.admin.ch; richtig: SR 921.01 «Verordnung vom 30. November 1992 über den Wald (Waldverordnung, WaV)»</t>
        </is>
      </c>
      <c r="H16" t="n">
        <v>200</v>
      </c>
      <c r="I16" t="inlineStr">
        <is>
          <t>https://www.bafu.admin.ch</t>
        </is>
      </c>
      <c r="J16" s="50" t="inlineStr">
        <is>
          <t>https://www.fedlex.admin.ch/eli/cc/1992/2538_2538_2538/de</t>
        </is>
      </c>
    </row>
    <row r="17">
      <c r="A17" t="inlineStr">
        <is>
          <t>1_Q1_Rechtsordnung</t>
        </is>
      </c>
      <c r="B17" t="n">
        <v>29</v>
      </c>
      <c r="C17" t="inlineStr">
        <is>
          <t>M</t>
        </is>
      </c>
      <c r="D17" t="inlineStr">
        <is>
          <t>Bundesgesetz über die Fischerei (BGF)</t>
        </is>
      </c>
      <c r="E17" t="inlineStr">
        <is>
          <t>SR 923.0</t>
        </is>
      </c>
      <c r="F17" s="52" t="inlineStr">
        <is>
          <t>geprüft · OK</t>
        </is>
      </c>
      <c r="G17" t="inlineStr">
        <is>
          <t>Link zeigte nur auf die Einstiegsseite https://www.bafu.admin.ch; richtig: SR 923.0 «Bundesgesetz vom 21. Juni 1991 über die Fischerei (BGF)»</t>
        </is>
      </c>
      <c r="H17" t="n">
        <v>200</v>
      </c>
      <c r="I17" t="inlineStr">
        <is>
          <t>https://www.bafu.admin.ch</t>
        </is>
      </c>
      <c r="J17" s="50" t="inlineStr">
        <is>
          <t>https://www.fedlex.admin.ch/eli/cc/1991/2259_2259_2259/de</t>
        </is>
      </c>
    </row>
    <row r="18">
      <c r="A18" t="inlineStr">
        <is>
          <t>1_Q1_Rechtsordnung</t>
        </is>
      </c>
      <c r="B18" t="n">
        <v>37</v>
      </c>
      <c r="C18" t="inlineStr">
        <is>
          <t>M</t>
        </is>
      </c>
      <c r="D18" t="inlineStr">
        <is>
          <t>Wasserbaugesetz (WBG)</t>
        </is>
      </c>
      <c r="E18" t="inlineStr">
        <is>
          <t>SR 721.100</t>
        </is>
      </c>
      <c r="F18" s="52" t="inlineStr">
        <is>
          <t>geprüft · OK</t>
        </is>
      </c>
      <c r="G18" t="inlineStr">
        <is>
          <t>Link zeigte nur auf die Einstiegsseite https://www.bafu.admin.ch; richtig: SR 721.100 «Bundesgesetz vom 21. Juni 1991 über den Wasserbau (Wasserbaugesetz, WBG)»</t>
        </is>
      </c>
      <c r="H18" t="n">
        <v>200</v>
      </c>
      <c r="I18" t="inlineStr">
        <is>
          <t>https://www.bafu.admin.ch</t>
        </is>
      </c>
      <c r="J18" s="50" t="inlineStr">
        <is>
          <t>https://www.fedlex.admin.ch/eli/cc/1993/234_234_234/de</t>
        </is>
      </c>
    </row>
    <row r="19">
      <c r="A19" t="inlineStr">
        <is>
          <t>1_Q1_Rechtsordnung</t>
        </is>
      </c>
      <c r="B19" t="n">
        <v>38</v>
      </c>
      <c r="C19" t="inlineStr">
        <is>
          <t>M</t>
        </is>
      </c>
      <c r="D19" t="inlineStr">
        <is>
          <t>Wasserbauverordnung (WBV)</t>
        </is>
      </c>
      <c r="E19" t="inlineStr">
        <is>
          <t>SR 721.100.1</t>
        </is>
      </c>
      <c r="F19" s="52" t="inlineStr">
        <is>
          <t>geprüft · OK</t>
        </is>
      </c>
      <c r="G19" t="inlineStr">
        <is>
          <t>Link zeigte nur auf die Einstiegsseite https://www.bafu.admin.ch; richtig: SR 721.100.1 «Verordnung vom 25. Juni 2025 über den Wasserbau (Wasserbauverordnung, WBV)»</t>
        </is>
      </c>
      <c r="H19" t="n">
        <v>200</v>
      </c>
      <c r="I19" t="inlineStr">
        <is>
          <t>https://www.bafu.admin.ch</t>
        </is>
      </c>
      <c r="J19" s="50" t="inlineStr">
        <is>
          <t>https://www.fedlex.admin.ch/eli/cc/2025/450/de</t>
        </is>
      </c>
    </row>
    <row r="20">
      <c r="A20" t="inlineStr">
        <is>
          <t>1_Q1_Rechtsordnung</t>
        </is>
      </c>
      <c r="B20" t="n">
        <v>41</v>
      </c>
      <c r="C20" t="inlineStr">
        <is>
          <t>M</t>
        </is>
      </c>
      <c r="D20" t="inlineStr">
        <is>
          <t>Lärmschutz-Verordnung (LSV)</t>
        </is>
      </c>
      <c r="E20" t="inlineStr">
        <is>
          <t>SR 814.41</t>
        </is>
      </c>
      <c r="F20" s="52" t="inlineStr">
        <is>
          <t>geprüft · OK</t>
        </is>
      </c>
      <c r="G20" t="inlineStr">
        <is>
          <t>Link zeigte auf ELI cc/1987/1_1_1 (SR keine); richtig: SR 814.41 «Lärmschutz-Verordnung vom 15. Dezember 1986 (LSV)»</t>
        </is>
      </c>
      <c r="H20" t="n">
        <v>200</v>
      </c>
      <c r="I20" t="inlineStr">
        <is>
          <t>https://www.fedlex.admin.ch/eli/cc/1987/1_1_1/de</t>
        </is>
      </c>
      <c r="J20" s="50" t="inlineStr">
        <is>
          <t>https://www.fedlex.admin.ch/eli/cc/1987/338_338_338/de</t>
        </is>
      </c>
    </row>
    <row r="21">
      <c r="A21" t="inlineStr">
        <is>
          <t>1_Q1_Rechtsordnung</t>
        </is>
      </c>
      <c r="B21" t="n">
        <v>44</v>
      </c>
      <c r="C21" t="inlineStr">
        <is>
          <t>M</t>
        </is>
      </c>
      <c r="D21" t="inlineStr">
        <is>
          <t>Verordnung über die Umweltverträglichkeitsprüfung (UVPV)</t>
        </is>
      </c>
      <c r="E21" t="inlineStr">
        <is>
          <t>SR 814.011</t>
        </is>
      </c>
      <c r="F21" s="52" t="inlineStr">
        <is>
          <t>geprüft · OK</t>
        </is>
      </c>
      <c r="G21" t="inlineStr">
        <is>
          <t>Link zeigte nur auf die Einstiegsseite https://www.bafu.admin.ch; richtig: SR 814.011 «Verordnung vom 19. Oktober 1988 über die Umweltverträglichkeitsprüfung (UVPV)»</t>
        </is>
      </c>
      <c r="H21" t="n">
        <v>200</v>
      </c>
      <c r="I21" t="inlineStr">
        <is>
          <t>https://www.bafu.admin.ch</t>
        </is>
      </c>
      <c r="J21" s="50" t="inlineStr">
        <is>
          <t>https://www.fedlex.admin.ch/eli/cc/1988/1931_1931_1931/de</t>
        </is>
      </c>
    </row>
    <row r="22">
      <c r="A22" t="inlineStr">
        <is>
          <t>1_Q1_Rechtsordnung</t>
        </is>
      </c>
      <c r="B22" t="n">
        <v>45</v>
      </c>
      <c r="C22" t="inlineStr">
        <is>
          <t>M</t>
        </is>
      </c>
      <c r="D22" t="inlineStr">
        <is>
          <t>Altlasten-Verordnung (AltlV)</t>
        </is>
      </c>
      <c r="E22" t="inlineStr">
        <is>
          <t>SR 814.680</t>
        </is>
      </c>
      <c r="F22" s="52" t="inlineStr">
        <is>
          <t>geprüft · OK</t>
        </is>
      </c>
      <c r="G22" t="inlineStr">
        <is>
          <t>Link zeigte nur auf die Einstiegsseite https://www.bafu.admin.ch; richtig: SR 814.680 «Verordnung vom 26. August 1998 über die Sanierung von belasteten Standorten (Altlasten-Verordnung, AltlV)»</t>
        </is>
      </c>
      <c r="H22" t="n">
        <v>200</v>
      </c>
      <c r="I22" t="inlineStr">
        <is>
          <t>https://www.bafu.admin.ch</t>
        </is>
      </c>
      <c r="J22" s="50" t="inlineStr">
        <is>
          <t>https://www.fedlex.admin.ch/eli/cc/1998/2261_2261_2261/de</t>
        </is>
      </c>
    </row>
    <row r="23">
      <c r="A23" t="inlineStr">
        <is>
          <t>1_Q1_Rechtsordnung</t>
        </is>
      </c>
      <c r="B23" t="n">
        <v>46</v>
      </c>
      <c r="C23" t="inlineStr">
        <is>
          <t>M</t>
        </is>
      </c>
      <c r="D23" t="inlineStr">
        <is>
          <t>Verordnung über die Vermeidung und die Entsorgung von Abfällen (VVEA)</t>
        </is>
      </c>
      <c r="E23" t="inlineStr">
        <is>
          <t>SR 814.600</t>
        </is>
      </c>
      <c r="F23" s="52" t="inlineStr">
        <is>
          <t>geprüft · OK</t>
        </is>
      </c>
      <c r="G23" t="inlineStr">
        <is>
          <t>Link zeigte nur auf die Einstiegsseite https://www.bafu.admin.ch; richtig: SR 814.600 «Verordnung vom 4. Dezember 2015 über die Vermeidung und die Entsorgung von Abfällen (Abfallverordnung, VVEA)»</t>
        </is>
      </c>
      <c r="H23" t="n">
        <v>200</v>
      </c>
      <c r="I23" t="inlineStr">
        <is>
          <t>https://www.bafu.admin.ch</t>
        </is>
      </c>
      <c r="J23" s="50" t="inlineStr">
        <is>
          <t>https://www.fedlex.admin.ch/eli/cc/2015/891/de</t>
        </is>
      </c>
    </row>
    <row r="24">
      <c r="A24" t="inlineStr">
        <is>
          <t>1_Q1_Rechtsordnung</t>
        </is>
      </c>
      <c r="B24" t="n">
        <v>55</v>
      </c>
      <c r="C24" t="inlineStr">
        <is>
          <t>M</t>
        </is>
      </c>
      <c r="D24" t="inlineStr">
        <is>
          <t>Gesetz über den Denkmal- und Heimatschutz (DHG BL)</t>
        </is>
      </c>
      <c r="E24" t="inlineStr">
        <is>
          <t>SGS 780</t>
        </is>
      </c>
      <c r="F24" s="52" t="inlineStr">
        <is>
          <t>geprüft · OK</t>
        </is>
      </c>
      <c r="G24" t="inlineStr">
        <is>
          <t>SGS 780 ist das Umweltschutzgesetz BL (USG BL); das DHG BL ist SGS 791 (Titel lt. Sammlung: «Gesetz über den Denkmal- und Heimatschutz (DHG)»)</t>
        </is>
      </c>
      <c r="H24" t="n">
        <v>200</v>
      </c>
      <c r="I24" t="inlineStr">
        <is>
          <t>https://bl.clex.ch/app/de/texts_of_law/780</t>
        </is>
      </c>
      <c r="J24" s="50" t="inlineStr">
        <is>
          <t>https://bl.clex.ch/app/de/texts_of_law/791</t>
        </is>
      </c>
    </row>
    <row r="25">
      <c r="A25" t="inlineStr">
        <is>
          <t>1_Q1_Rechtsordnung</t>
        </is>
      </c>
      <c r="B25" t="n">
        <v>58</v>
      </c>
      <c r="C25" t="inlineStr">
        <is>
          <t>M</t>
        </is>
      </c>
      <c r="D25" t="inlineStr">
        <is>
          <t>Planungs- und Baugesetz SG (PBG)</t>
        </is>
      </c>
      <c r="E25" t="inlineStr">
        <is>
          <t>sGS 731.1</t>
        </is>
      </c>
      <c r="F25" s="52" t="inlineStr">
        <is>
          <t>geprüft · OK</t>
        </is>
      </c>
      <c r="G25" t="inlineStr">
        <is>
          <t>Link auf Standardform der Sammlung vereinheitlicht (731.1 «Planungs- und Baugesetz (PBG)»)</t>
        </is>
      </c>
      <c r="H25" t="n">
        <v>200</v>
      </c>
      <c r="I25" t="inlineStr">
        <is>
          <t>https://www.gesetzessammlung.sg.ch/data/731.1/de</t>
        </is>
      </c>
      <c r="J25" s="50" t="inlineStr">
        <is>
          <t>https://www.gesetzessammlung.sg.ch/app/de/texts_of_law/731.1</t>
        </is>
      </c>
    </row>
    <row r="26">
      <c r="A26" t="inlineStr">
        <is>
          <t>1_Q1_Rechtsordnung</t>
        </is>
      </c>
      <c r="B26" t="n">
        <v>61</v>
      </c>
      <c r="C26" t="inlineStr">
        <is>
          <t>M</t>
        </is>
      </c>
      <c r="D26" t="inlineStr">
        <is>
          <t>Wasserbaugesetz SG</t>
        </is>
      </c>
      <c r="E26" t="inlineStr">
        <is>
          <t>sGS-Nr. verifizieren</t>
        </is>
      </c>
      <c r="F26" s="52" t="inlineStr">
        <is>
          <t>geprüft · OK</t>
        </is>
      </c>
      <c r="G26" t="inlineStr">
        <is>
          <t>Link zeigte auf die Startseite sg.ch; Wasserbaugesetz SG = sGS 734.1 (Titel lt. Sammlung: «Wasserbaugesetz (WBG)»)</t>
        </is>
      </c>
      <c r="H26" t="n">
        <v>200</v>
      </c>
      <c r="I26" t="inlineStr">
        <is>
          <t>https://www.sg.ch</t>
        </is>
      </c>
      <c r="J26" s="50" t="inlineStr">
        <is>
          <t>https://www.gesetzessammlung.sg.ch/app/de/texts_of_law/734.1</t>
        </is>
      </c>
    </row>
    <row r="27">
      <c r="A27" t="inlineStr">
        <is>
          <t>1_Q1_Rechtsordnung</t>
        </is>
      </c>
      <c r="B27" t="n">
        <v>64</v>
      </c>
      <c r="C27" t="inlineStr">
        <is>
          <t>M</t>
        </is>
      </c>
      <c r="D27" t="inlineStr">
        <is>
          <t>Verordnung betreffend den Schutz von Naturkörpern und Altertümern</t>
        </is>
      </c>
      <c r="E27" t="inlineStr">
        <is>
          <t>sGS 271.51</t>
        </is>
      </c>
      <c r="F27" s="52" t="inlineStr">
        <is>
          <t>geprüft · OK</t>
        </is>
      </c>
      <c r="G27" t="inlineStr">
        <is>
          <t>sGS 271.51 ist seit 31.07.2019 aufgehoben; ersetzt durch den Nachfolgeerlass sGS 271.53 (Titel lt. Sammlung: «Verordnung über die Sicherung und Überlieferung von Naturkörpern»)</t>
        </is>
      </c>
      <c r="H27" t="n">
        <v>200</v>
      </c>
      <c r="I27" t="inlineStr">
        <is>
          <t>https://www.gesetzessammlung.sg.ch/app/de/texts_of_law/271.51</t>
        </is>
      </c>
      <c r="J27" s="50" t="inlineStr">
        <is>
          <t>https://www.gesetzessammlung.sg.ch/app/de/texts_of_law/271.53</t>
        </is>
      </c>
    </row>
    <row r="28">
      <c r="A28" t="inlineStr">
        <is>
          <t>1_Q1_Rechtsordnung</t>
        </is>
      </c>
      <c r="B28" t="n">
        <v>70</v>
      </c>
      <c r="C28" t="inlineStr">
        <is>
          <t>M</t>
        </is>
      </c>
      <c r="D28" t="inlineStr">
        <is>
          <t>Natur- und Heimatschutzrecht Uri (kantonale Erlasse)</t>
        </is>
      </c>
      <c r="E28" t="inlineStr">
        <is>
          <t>RB-Nr. verifizieren</t>
        </is>
      </c>
      <c r="F28" s="52" t="inlineStr">
        <is>
          <t>geprüft · OK</t>
        </is>
      </c>
      <c r="G28" t="inlineStr">
        <is>
          <t>Link zeigte auf die Startseite ur.ch; Gesetz über den Natur- und Heimatschutz = RB 10.5101 (Titel lt. Sammlung: «Gesetz über den Natur- und Heimatschutz»)</t>
        </is>
      </c>
      <c r="H28" t="n">
        <v>200</v>
      </c>
      <c r="I28" t="inlineStr">
        <is>
          <t>https://www.ur.ch</t>
        </is>
      </c>
      <c r="J28" s="50" t="inlineStr">
        <is>
          <t>https://rechtsbuch.ur.ch/app/de/texts_of_law/10.5101</t>
        </is>
      </c>
    </row>
    <row r="29">
      <c r="A29" t="inlineStr">
        <is>
          <t>1_Q1_Rechtsordnung</t>
        </is>
      </c>
      <c r="B29" t="n">
        <v>72</v>
      </c>
      <c r="C29" t="inlineStr">
        <is>
          <t>M</t>
        </is>
      </c>
      <c r="D29" t="inlineStr">
        <is>
          <t>Wasserbau-/Naturgefahrenrecht Uri</t>
        </is>
      </c>
      <c r="E29" t="inlineStr">
        <is>
          <t>RB-Nr. verifizieren</t>
        </is>
      </c>
      <c r="F29" s="52" t="inlineStr">
        <is>
          <t>geprüft · OK</t>
        </is>
      </c>
      <c r="G29" t="inlineStr">
        <is>
          <t>Link zeigte auf die Startseite ur.ch; Wasserbaugesetz Uri (WBG) = RB 40.1211 (Titel lt. Sammlung: «Wasserbaugesetz (WBG)»)</t>
        </is>
      </c>
      <c r="H29" t="n">
        <v>200</v>
      </c>
      <c r="I29" t="inlineStr">
        <is>
          <t>https://www.ur.ch</t>
        </is>
      </c>
      <c r="J29" s="50" t="inlineStr">
        <is>
          <t>https://rechtsbuch.ur.ch/app/de/texts_of_law/40.1211</t>
        </is>
      </c>
    </row>
    <row r="30">
      <c r="A30" t="inlineStr">
        <is>
          <t>1_Q1_Rechtsordnung</t>
        </is>
      </c>
      <c r="B30" t="n">
        <v>73</v>
      </c>
      <c r="C30" t="inlineStr">
        <is>
          <t>M</t>
        </is>
      </c>
      <c r="D30" t="inlineStr">
        <is>
          <t>Beitritt Kanton Uri zur IVöB 2019 (Landratsbeschluss vom 15.06.2022)</t>
        </is>
      </c>
      <c r="E30" t="inlineStr">
        <is>
          <t>IVöB: RB 3.3111</t>
        </is>
      </c>
      <c r="F30" s="52" t="inlineStr">
        <is>
          <t>geprüft · OK</t>
        </is>
      </c>
      <c r="G30" t="inlineStr">
        <is>
          <t>Link zeigte auf https://www.ur.ch/_doc/337571 (HTTP 200, «Microsoft PowerPoint - 20230508_Schulung_IVöB_Uri final(2).p»); richtig: RB 3.3111 «Interkantonale Vereinbarung über das öffentliche Beschaffungswesen (IVöB)»</t>
        </is>
      </c>
      <c r="H30" t="n">
        <v>200</v>
      </c>
      <c r="I30" t="inlineStr">
        <is>
          <t>https://www.ur.ch/_doc/337571</t>
        </is>
      </c>
      <c r="J30" s="50" t="inlineStr">
        <is>
          <t>https://rechtsbuch.ur.ch/app/de/texts_of_law/3.3111</t>
        </is>
      </c>
    </row>
    <row r="31">
      <c r="A31" t="inlineStr">
        <is>
          <t>1_Q1_Rechtsordnung</t>
        </is>
      </c>
      <c r="B31" t="n">
        <v>74</v>
      </c>
      <c r="C31" t="inlineStr">
        <is>
          <t>M</t>
        </is>
      </c>
      <c r="D31" t="inlineStr">
        <is>
          <t>Reglement über den Vollzug der IVöB (Submissionsreglement)</t>
        </is>
      </c>
      <c r="E31" t="inlineStr">
        <is>
          <t>RB 3.3115</t>
        </is>
      </c>
      <c r="F31" s="52" t="inlineStr">
        <is>
          <t>geprüft · OK</t>
        </is>
      </c>
      <c r="G31" t="inlineStr">
        <is>
          <t>Link zeigte auf https://www.ur.ch/_doc/337571 (HTTP 200, «Microsoft PowerPoint - 20230508_Schulung_IVöB_Uri final(2).p»); richtig: RB 3.3115 «Reglement über den Vollzug der Interkantonalen Vereinbarung über das öffentliche Beschaffungswesen (Submissionsreglement)»</t>
        </is>
      </c>
      <c r="H31" t="n">
        <v>200</v>
      </c>
      <c r="I31" t="inlineStr">
        <is>
          <t>https://www.ur.ch/_doc/337571</t>
        </is>
      </c>
      <c r="J31" s="50" t="inlineStr">
        <is>
          <t>https://rechtsbuch.ur.ch/app/de/texts_of_law/3.3115</t>
        </is>
      </c>
    </row>
    <row r="32">
      <c r="A32" t="inlineStr">
        <is>
          <t>1_Q1_Rechtsordnung</t>
        </is>
      </c>
      <c r="B32" t="n">
        <v>87</v>
      </c>
      <c r="C32" t="inlineStr">
        <is>
          <t>M</t>
        </is>
      </c>
      <c r="D32" t="inlineStr">
        <is>
          <t>Abwasserreglement</t>
        </is>
      </c>
      <c r="E32" t="inlineStr">
        <is>
          <t>–</t>
        </is>
      </c>
      <c r="F32" s="52" t="inlineStr">
        <is>
          <t>geprüft · OK</t>
        </is>
      </c>
      <c r="G32" t="inlineStr">
        <is>
          <t>Manuell geprüft 14.10.2026: OK, Stand ergänzt (geltende Fassung SRS 7.4.3-6)</t>
        </is>
      </c>
      <c r="H32" t="n">
        <v>200</v>
      </c>
      <c r="I32" t="inlineStr">
        <is>
          <t>https://www.stadtwil.ch/storage/8ae27a52e6272acbe7a00ddad257f439fbae9a367f80166a75d97ea28f6771cf</t>
        </is>
      </c>
      <c r="J32" s="50" t="inlineStr">
        <is>
          <t>https://wil-sg.tlex.ch/app/de/texts_of_law/7.4.3-6</t>
        </is>
      </c>
    </row>
    <row r="33">
      <c r="A33" t="inlineStr">
        <is>
          <t>2_Q2_Landschaft</t>
        </is>
      </c>
      <c r="B33" t="n">
        <v>7</v>
      </c>
      <c r="C33" t="inlineStr">
        <is>
          <t>M</t>
        </is>
      </c>
      <c r="D33" t="inlineStr">
        <is>
          <t>BLN – Bundesinventar der Landschaften und Naturdenkmäler</t>
        </is>
      </c>
      <c r="E33" t="inlineStr">
        <is>
          <t>VBLN</t>
        </is>
      </c>
      <c r="F33" s="49" t="inlineStr">
        <is>
          <t>geprüft · korrigiert</t>
        </is>
      </c>
      <c r="G33" t="inlineStr">
        <is>
          <t>Hyperlink führte nur auf https://map.geo.admin.ch/ statt auf den angezeigten Link</t>
        </is>
      </c>
      <c r="H33" t="n">
        <v>200</v>
      </c>
      <c r="I33" t="inlineStr">
        <is>
          <t>https://map.geo.admin.ch/#/map?lang=de&amp;center=2660000,1190000&amp;z=1&amp;bgLayer=ch.swisstopo.pixelkarte-grau&amp;layers=ch.bafu.bundesinventare-bln</t>
        </is>
      </c>
      <c r="J33" s="50" t="inlineStr">
        <is>
          <t>https://map.geo.admin.ch/#/map?lang=de&amp;center=2660000,1190000&amp;z=1&amp;bgLayer=ch.swisstopo.pixelkarte-grau&amp;layers=ch.bafu.bundesinventare-bln</t>
        </is>
      </c>
    </row>
    <row r="34">
      <c r="A34" t="inlineStr">
        <is>
          <t>2_Q2_Landschaft</t>
        </is>
      </c>
      <c r="B34" t="n">
        <v>8</v>
      </c>
      <c r="C34" t="inlineStr">
        <is>
          <t>M</t>
        </is>
      </c>
      <c r="D34" t="inlineStr">
        <is>
          <t>Bundesinventare Moore, Moorlandschaften, Auen, Amphibienlaichgebiete, Trockenwiesen/-weiden (TWW)</t>
        </is>
      </c>
      <c r="E34" t="inlineStr">
        <is>
          <t>NHG / Inventarverordnungen</t>
        </is>
      </c>
      <c r="F34" s="49" t="inlineStr">
        <is>
          <t>geprüft · korrigiert</t>
        </is>
      </c>
      <c r="G34" t="inlineStr">
        <is>
          <t>Hyperlink führte nur auf https://map.geo.admin.ch/ statt auf den angezeigten Link</t>
        </is>
      </c>
      <c r="H34" t="n">
        <v>200</v>
      </c>
      <c r="I34" t="inlineStr">
        <is>
          <t>https://map.geo.admin.ch/#/map?lang=de&amp;center=2660000,1190000&amp;z=1&amp;bgLayer=ch.swisstopo.pixelkarte-grau&amp;layers=ch.bafu.bundesinventare-hochmoore</t>
        </is>
      </c>
      <c r="J34" s="50" t="inlineStr">
        <is>
          <t>https://map.geo.admin.ch/#/map?lang=de&amp;center=2660000,1190000&amp;z=1&amp;bgLayer=ch.swisstopo.pixelkarte-grau&amp;layers=ch.bafu.bundesinventare-hochmoore</t>
        </is>
      </c>
    </row>
    <row r="35">
      <c r="A35" t="inlineStr">
        <is>
          <t>2_Q2_Landschaft</t>
        </is>
      </c>
      <c r="B35" t="n">
        <v>9</v>
      </c>
      <c r="C35" t="inlineStr">
        <is>
          <t>M</t>
        </is>
      </c>
      <c r="D35" t="inlineStr">
        <is>
          <t>Jagdbanngebiete, Wasser- und Zugvogelreservate, Smaragd-Gebiete</t>
        </is>
      </c>
      <c r="E35" t="inlineStr">
        <is>
          <t>JSG</t>
        </is>
      </c>
      <c r="F35" s="49" t="inlineStr">
        <is>
          <t>geprüft · korrigiert</t>
        </is>
      </c>
      <c r="G35" t="inlineStr">
        <is>
          <t>Hyperlink führte nur auf https://map.geo.admin.ch/ statt auf den angezeigten Link</t>
        </is>
      </c>
      <c r="H35" t="n">
        <v>200</v>
      </c>
      <c r="I35" t="inlineStr">
        <is>
          <t>https://map.geo.admin.ch/#/map?lang=de&amp;center=2660000,1190000&amp;z=1&amp;bgLayer=ch.swisstopo.pixelkarte-grau&amp;layers=ch.bafu.bundesinventare-jagdbanngebiete</t>
        </is>
      </c>
      <c r="J35" s="50" t="inlineStr">
        <is>
          <t>https://map.geo.admin.ch/#/map?lang=de&amp;center=2660000,1190000&amp;z=1&amp;bgLayer=ch.swisstopo.pixelkarte-grau&amp;layers=ch.bafu.bundesinventare-jagdbanngebiete</t>
        </is>
      </c>
    </row>
    <row r="36">
      <c r="A36" t="inlineStr">
        <is>
          <t>2_Q2_Landschaft</t>
        </is>
      </c>
      <c r="B36" t="n">
        <v>10</v>
      </c>
      <c r="C36" t="inlineStr">
        <is>
          <t>M</t>
        </is>
      </c>
      <c r="D36" t="inlineStr">
        <is>
          <t>Wildtierkorridore / Landschaftsverbindungen (überregional)</t>
        </is>
      </c>
      <c r="E36" t="inlineStr">
        <is>
          <t>–</t>
        </is>
      </c>
      <c r="F36" s="49" t="inlineStr">
        <is>
          <t>geprüft · korrigiert</t>
        </is>
      </c>
      <c r="G36" t="inlineStr">
        <is>
          <t>Layer-ID ch.bafu.fauna-wildtierkorridore_national existiert nicht, richtig: ch.bafu.fauna-wildtierkorridor_national; Hyperlink führte nur auf https://map.geo.admin.ch/ statt auf den angezeigten Link</t>
        </is>
      </c>
      <c r="H36" t="n">
        <v>200</v>
      </c>
      <c r="I36" t="inlineStr">
        <is>
          <t>https://map.geo.admin.ch/#/map?lang=de&amp;center=2660000,1190000&amp;z=1&amp;bgLayer=ch.swisstopo.pixelkarte-grau&amp;layers=ch.bafu.fauna-wildtierkorridore_national</t>
        </is>
      </c>
      <c r="J36" s="50" t="inlineStr">
        <is>
          <t>https://map.geo.admin.ch/#/map?lang=de&amp;center=2660000,1190000&amp;z=1&amp;bgLayer=ch.swisstopo.pixelkarte-grau&amp;layers=ch.bafu.fauna-wildtierkorridor_national</t>
        </is>
      </c>
    </row>
    <row r="37">
      <c r="A37" t="inlineStr">
        <is>
          <t>2_Q2_Landschaft</t>
        </is>
      </c>
      <c r="B37" t="n">
        <v>11</v>
      </c>
      <c r="C37" t="inlineStr">
        <is>
          <t>M</t>
        </is>
      </c>
      <c r="D37" t="inlineStr">
        <is>
          <t>Wald: Waldareal, Waldreservate, Schutzwald (Bundesgeodaten)</t>
        </is>
      </c>
      <c r="E37" t="inlineStr">
        <is>
          <t>WaG</t>
        </is>
      </c>
      <c r="F37" s="49" t="inlineStr">
        <is>
          <t>geprüft · korrigiert</t>
        </is>
      </c>
      <c r="G37" t="inlineStr">
        <is>
          <t>Hyperlink führte nur auf https://map.geo.admin.ch/ statt auf den angezeigten Link</t>
        </is>
      </c>
      <c r="H37" t="n">
        <v>200</v>
      </c>
      <c r="I37" t="inlineStr">
        <is>
          <t>https://map.geo.admin.ch/#/map?lang=de&amp;center=2660000,1190000&amp;z=1&amp;bgLayer=ch.swisstopo.pixelkarte-grau&amp;layers=ch.bafu.waldreservate</t>
        </is>
      </c>
      <c r="J37" s="50" t="inlineStr">
        <is>
          <t>https://map.geo.admin.ch/#/map?lang=de&amp;center=2660000,1190000&amp;z=1&amp;bgLayer=ch.swisstopo.pixelkarte-grau&amp;layers=ch.bafu.waldreservate</t>
        </is>
      </c>
    </row>
    <row r="38">
      <c r="A38" t="inlineStr">
        <is>
          <t>2_Q2_Landschaft</t>
        </is>
      </c>
      <c r="B38" t="n">
        <v>14</v>
      </c>
      <c r="C38" t="inlineStr">
        <is>
          <t>M</t>
        </is>
      </c>
      <c r="D38" t="inlineStr">
        <is>
          <t>Gewässernetz, Gewässerschutzkarten, Grundwasserschutzzonen (Bundesdienste)</t>
        </is>
      </c>
      <c r="E38" t="inlineStr">
        <is>
          <t>GSchG</t>
        </is>
      </c>
      <c r="F38" s="49" t="inlineStr">
        <is>
          <t>geprüft · korrigiert</t>
        </is>
      </c>
      <c r="G38" t="inlineStr">
        <is>
          <t>Hyperlink führte nur auf https://map.geo.admin.ch/ statt auf den angezeigten Link</t>
        </is>
      </c>
      <c r="H38" t="n">
        <v>200</v>
      </c>
      <c r="I38" t="inlineStr">
        <is>
          <t>https://map.geo.admin.ch</t>
        </is>
      </c>
      <c r="J38" s="50" t="inlineStr">
        <is>
          <t>https://map.geo.admin.ch</t>
        </is>
      </c>
    </row>
    <row r="39">
      <c r="A39" t="inlineStr">
        <is>
          <t>3_Q3_Klima_Energie</t>
        </is>
      </c>
      <c r="B39" t="n">
        <v>8</v>
      </c>
      <c r="C39" t="inlineStr">
        <is>
          <t>M</t>
        </is>
      </c>
      <c r="D39" t="inlineStr">
        <is>
          <t>Sonnendach.ch / Sonnenfassade.ch (Solarpotenzial Dächer und Fassaden)</t>
        </is>
      </c>
      <c r="E39" t="inlineStr">
        <is>
          <t>–</t>
        </is>
      </c>
      <c r="F39" s="49" t="inlineStr">
        <is>
          <t>geprüft · korrigiert</t>
        </is>
      </c>
      <c r="G39" t="inlineStr">
        <is>
          <t>Hyperlink führte nur auf https://map.geo.admin.ch/ statt auf den angezeigten Link</t>
        </is>
      </c>
      <c r="H39" t="n">
        <v>200</v>
      </c>
      <c r="I39" t="inlineStr">
        <is>
          <t>https://map.geo.admin.ch/#/map?lang=de&amp;center=2660000,1190000&amp;z=1&amp;bgLayer=ch.swisstopo.pixelkarte-grau&amp;layers=ch.bfe.solarenergie-eignung-daecher</t>
        </is>
      </c>
      <c r="J39" s="50" t="inlineStr">
        <is>
          <t>https://map.geo.admin.ch/#/map?lang=de&amp;center=2660000,1190000&amp;z=1&amp;bgLayer=ch.swisstopo.pixelkarte-grau&amp;layers=ch.bfe.solarenergie-eignung-daecher</t>
        </is>
      </c>
    </row>
    <row r="40">
      <c r="A40" t="inlineStr">
        <is>
          <t>3_Q3_Klima_Energie</t>
        </is>
      </c>
      <c r="B40" t="n">
        <v>9</v>
      </c>
      <c r="C40" t="inlineStr">
        <is>
          <t>M</t>
        </is>
      </c>
      <c r="D40" t="inlineStr">
        <is>
          <t>Geothermie-/Erdwärmesonden-Eignung, Windatlas, Wärmenetz-/Fernwärme-Potenzial</t>
        </is>
      </c>
      <c r="E40" t="inlineStr">
        <is>
          <t>–</t>
        </is>
      </c>
      <c r="F40" s="49" t="inlineStr">
        <is>
          <t>geprüft · korrigiert</t>
        </is>
      </c>
      <c r="G40" t="inlineStr">
        <is>
          <t>Hyperlink führte nur auf https://map.geo.admin.ch/ statt auf den angezeigten Link</t>
        </is>
      </c>
      <c r="H40" t="n">
        <v>200</v>
      </c>
      <c r="I40" t="inlineStr">
        <is>
          <t>https://map.geo.admin.ch</t>
        </is>
      </c>
      <c r="J40" s="50" t="inlineStr">
        <is>
          <t>https://map.geo.admin.ch</t>
        </is>
      </c>
    </row>
    <row r="41">
      <c r="A41" t="inlineStr">
        <is>
          <t>3_Q3_Klima_Energie</t>
        </is>
      </c>
      <c r="B41" t="n">
        <v>10</v>
      </c>
      <c r="C41" t="inlineStr">
        <is>
          <t>M</t>
        </is>
      </c>
      <c r="D41" t="inlineStr">
        <is>
          <t>Gebäude- und Wohnungsregister (GWR): Heizungsart, Energieträger, Baujahr</t>
        </is>
      </c>
      <c r="E41" t="inlineStr">
        <is>
          <t>–</t>
        </is>
      </c>
      <c r="F41" s="49" t="inlineStr">
        <is>
          <t>geprüft · korrigiert</t>
        </is>
      </c>
      <c r="G41" t="inlineStr">
        <is>
          <t>Hyperlink führte nur auf https://map.geo.admin.ch/ statt auf den angezeigten Link</t>
        </is>
      </c>
      <c r="H41" t="n">
        <v>200</v>
      </c>
      <c r="I41" t="inlineStr">
        <is>
          <t>https://map.geo.admin.ch/#/map?lang=de&amp;center=2660000,1190000&amp;z=1&amp;bgLayer=ch.swisstopo.pixelkarte-grau&amp;layers=ch.bfs.gebaeude_wohnungs_register</t>
        </is>
      </c>
      <c r="J41" s="50" t="inlineStr">
        <is>
          <t>https://map.geo.admin.ch/#/map?lang=de&amp;center=2660000,1190000&amp;z=1&amp;bgLayer=ch.swisstopo.pixelkarte-grau&amp;layers=ch.bfs.gebaeude_wohnungs_register</t>
        </is>
      </c>
    </row>
    <row r="42">
      <c r="A42" t="inlineStr">
        <is>
          <t>4_Q4_Resilienz</t>
        </is>
      </c>
      <c r="B42" t="n">
        <v>8</v>
      </c>
      <c r="C42" t="inlineStr">
        <is>
          <t>M</t>
        </is>
      </c>
      <c r="D42" t="inlineStr">
        <is>
          <t>Gefährdungskarte Oberflächenabfluss (Starkregen)</t>
        </is>
      </c>
      <c r="E42" t="inlineStr">
        <is>
          <t>–</t>
        </is>
      </c>
      <c r="F42" s="49" t="inlineStr">
        <is>
          <t>geprüft · korrigiert</t>
        </is>
      </c>
      <c r="G42" t="inlineStr">
        <is>
          <t>Layer-ID ch.bafu.gefahren-oberflaechenabfluss existiert nicht, richtig: ch.bafu.gefaehrdungskarte-oberflaechenabfluss; Hyperlink führte nur auf https://map.geo.admin.ch/ statt auf den angezeigten Link</t>
        </is>
      </c>
      <c r="H42" t="n">
        <v>200</v>
      </c>
      <c r="I42" t="inlineStr">
        <is>
          <t>https://map.geo.admin.ch/#/map?lang=de&amp;center=2660000,1190000&amp;z=1&amp;bgLayer=ch.swisstopo.pixelkarte-grau&amp;layers=ch.bafu.gefahren-oberflaechenabfluss</t>
        </is>
      </c>
      <c r="J42" s="50" t="inlineStr">
        <is>
          <t>https://map.geo.admin.ch/#/map?lang=de&amp;center=2660000,1190000&amp;z=1&amp;bgLayer=ch.swisstopo.pixelkarte-grau&amp;layers=ch.bafu.gefaehrdungskarte-oberflaechenabfluss</t>
        </is>
      </c>
    </row>
    <row r="43">
      <c r="A43" t="inlineStr">
        <is>
          <t>4_Q4_Resilienz</t>
        </is>
      </c>
      <c r="B43" t="n">
        <v>11</v>
      </c>
      <c r="C43" t="inlineStr">
        <is>
          <t>M</t>
        </is>
      </c>
      <c r="D43" t="inlineStr">
        <is>
          <t>Erdbebengefährdung / Mikrozonierung (SED), SIA 261 Bauwerksklassen</t>
        </is>
      </c>
      <c r="E43" t="inlineStr">
        <is>
          <t>–</t>
        </is>
      </c>
      <c r="F43" s="49" t="inlineStr">
        <is>
          <t>geprüft · korrigiert</t>
        </is>
      </c>
      <c r="G43" t="inlineStr">
        <is>
          <t>Hyperlink führte nur auf https://map.geo.admin.ch/ statt auf den angezeigten Link</t>
        </is>
      </c>
      <c r="H43" t="n">
        <v>200</v>
      </c>
      <c r="I43" t="inlineStr">
        <is>
          <t>https://map.geo.admin.ch/#/map?lang=de&amp;center=2660000,1190000&amp;z=1&amp;bgLayer=ch.swisstopo.pixelkarte-grau&amp;layers=ch.bafu.gefahren-baugrundklassen</t>
        </is>
      </c>
      <c r="J43" s="50" t="inlineStr">
        <is>
          <t>https://map.geo.admin.ch/#/map?lang=de&amp;center=2660000,1190000&amp;z=1&amp;bgLayer=ch.swisstopo.pixelkarte-grau&amp;layers=ch.bafu.gefahren-baugrundklassen</t>
        </is>
      </c>
    </row>
    <row r="44">
      <c r="A44" t="inlineStr">
        <is>
          <t>4_Q4_Resilienz</t>
        </is>
      </c>
      <c r="B44" t="n">
        <v>12</v>
      </c>
      <c r="C44" t="inlineStr">
        <is>
          <t>M</t>
        </is>
      </c>
      <c r="D44" t="inlineStr">
        <is>
          <t>Lärmbelastung (sonBASE), Störfall-Risikokataster, Kataster belasteter Standorte (Bundesbezug)</t>
        </is>
      </c>
      <c r="E44" t="inlineStr">
        <is>
          <t>USG / StFV / AltlV</t>
        </is>
      </c>
      <c r="F44" s="49" t="inlineStr">
        <is>
          <t>geprüft · korrigiert</t>
        </is>
      </c>
      <c r="G44" t="inlineStr">
        <is>
          <t>Hyperlink führte nur auf https://map.geo.admin.ch/ statt auf den angezeigten Link</t>
        </is>
      </c>
      <c r="H44" t="n">
        <v>200</v>
      </c>
      <c r="I44" t="inlineStr">
        <is>
          <t>https://map.geo.admin.ch/#/map?lang=de&amp;center=2660000,1190000&amp;z=1&amp;bgLayer=ch.swisstopo.pixelkarte-grau&amp;layers=ch.bafu.laerm-strassenlaerm_tag</t>
        </is>
      </c>
      <c r="J44" s="50" t="inlineStr">
        <is>
          <t>https://map.geo.admin.ch/#/map?lang=de&amp;center=2660000,1190000&amp;z=1&amp;bgLayer=ch.swisstopo.pixelkarte-grau&amp;layers=ch.bafu.laerm-strassenlaerm_tag</t>
        </is>
      </c>
    </row>
    <row r="45">
      <c r="A45" t="inlineStr">
        <is>
          <t>4_Q4_Resilienz</t>
        </is>
      </c>
      <c r="B45" t="n">
        <v>17</v>
      </c>
      <c r="C45" t="inlineStr">
        <is>
          <t>M</t>
        </is>
      </c>
      <c r="D45" t="inlineStr">
        <is>
          <t>Kantonale Naturgefahrenkarten SG</t>
        </is>
      </c>
      <c r="E45" t="inlineStr">
        <is>
          <t>–</t>
        </is>
      </c>
      <c r="F45" s="49" t="inlineStr">
        <is>
          <t>geprüft · korrigiert</t>
        </is>
      </c>
      <c r="G45" t="inlineStr">
        <is>
          <t>Kartenzentrum lag rund 6 km südlich von Wil; auf Wil zentriert</t>
        </is>
      </c>
      <c r="H45" t="n">
        <v>200</v>
      </c>
      <c r="I45" t="inlineStr">
        <is>
          <t>https://www.geoportal.ch/ktsg/map/3502?y=2717572.22&amp;x=1252351.20&amp;scale=50000&amp;rotation=0</t>
        </is>
      </c>
      <c r="J45" s="50" t="inlineStr">
        <is>
          <t>https://www.geoportal.ch/ktsg/map/3502?y=2721138&amp;x=1258009&amp;scale=50000&amp;rotation=0</t>
        </is>
      </c>
    </row>
    <row r="46">
      <c r="A46" t="inlineStr">
        <is>
          <t>4_Q4_Resilienz</t>
        </is>
      </c>
      <c r="B46" t="n">
        <v>26</v>
      </c>
      <c r="C46" t="inlineStr">
        <is>
          <t>M</t>
        </is>
      </c>
      <c r="D46" t="inlineStr">
        <is>
          <t>Abwasserreglement</t>
        </is>
      </c>
      <c r="E46" t="inlineStr">
        <is>
          <t>–</t>
        </is>
      </c>
      <c r="F46" s="49" t="inlineStr">
        <is>
          <t>geprüft · korrigiert</t>
        </is>
      </c>
      <c r="G46" t="inlineStr">
        <is>
          <t>Link zeigte auf einen Entwurf («vom ____»); geltende Fassung = SRS 7.4.3-6 (Titel lt. Sammlung: «Abwasserreglement»)</t>
        </is>
      </c>
      <c r="H46" t="n">
        <v>200</v>
      </c>
      <c r="I46" t="inlineStr">
        <is>
          <t>https://www.stadtwil.ch/storage/8ae27a52e6272acbe7a00ddad257f439fbae9a367f80166a75d97ea28f6771cf</t>
        </is>
      </c>
      <c r="J46" s="50" t="inlineStr">
        <is>
          <t>https://wil-sg.tlex.ch/app/de/texts_of_law/7.4.3-6</t>
        </is>
      </c>
    </row>
    <row r="47">
      <c r="A47" t="inlineStr">
        <is>
          <t>5_Q5_Ortsbild</t>
        </is>
      </c>
      <c r="B47" t="n">
        <v>7</v>
      </c>
      <c r="C47" t="inlineStr">
        <is>
          <t>M</t>
        </is>
      </c>
      <c r="D47" t="inlineStr">
        <is>
          <t>ISOS – Bundesinventar schützenswerter Ortsbilder der Schweiz</t>
        </is>
      </c>
      <c r="E47" t="inlineStr">
        <is>
          <t>VISOS</t>
        </is>
      </c>
      <c r="F47" s="49" t="inlineStr">
        <is>
          <t>geprüft · korrigiert</t>
        </is>
      </c>
      <c r="G47" t="inlineStr">
        <is>
          <t>Hyperlink führte nur auf https://map.geo.admin.ch/ statt auf den angezeigten Link</t>
        </is>
      </c>
      <c r="H47" t="n">
        <v>200</v>
      </c>
      <c r="I47" t="inlineStr">
        <is>
          <t>https://map.geo.admin.ch/#/map?lang=de&amp;center=2660000,1190000&amp;z=1&amp;bgLayer=ch.swisstopo.pixelkarte-grau&amp;layers=ch.bak.bundesinventar-schuetzenswerte-ortsbilder</t>
        </is>
      </c>
      <c r="J47" s="50" t="inlineStr">
        <is>
          <t>https://map.geo.admin.ch/#/map?lang=de&amp;center=2660000,1190000&amp;z=1&amp;bgLayer=ch.swisstopo.pixelkarte-grau&amp;layers=ch.bak.bundesinventar-schuetzenswerte-ortsbilder</t>
        </is>
      </c>
    </row>
    <row r="48">
      <c r="A48" t="inlineStr">
        <is>
          <t>5_Q5_Ortsbild</t>
        </is>
      </c>
      <c r="B48" t="n">
        <v>8</v>
      </c>
      <c r="C48" t="inlineStr">
        <is>
          <t>M</t>
        </is>
      </c>
      <c r="D48" t="inlineStr">
        <is>
          <t>IVS – Inventar historischer Verkehrswege der Schweiz</t>
        </is>
      </c>
      <c r="E48" t="inlineStr">
        <is>
          <t>VIVS</t>
        </is>
      </c>
      <c r="F48" s="49" t="inlineStr">
        <is>
          <t>geprüft · korrigiert</t>
        </is>
      </c>
      <c r="G48" t="inlineStr">
        <is>
          <t>Hyperlink führte nur auf https://map.geo.admin.ch/ statt auf den angezeigten Link</t>
        </is>
      </c>
      <c r="H48" t="n">
        <v>200</v>
      </c>
      <c r="I48" t="inlineStr">
        <is>
          <t>https://map.geo.admin.ch/#/map?lang=de&amp;center=2660000,1190000&amp;z=1&amp;bgLayer=ch.swisstopo.pixelkarte-grau&amp;layers=ch.astra.ivs-nat</t>
        </is>
      </c>
      <c r="J48" s="50" t="inlineStr">
        <is>
          <t>https://map.geo.admin.ch/#/map?lang=de&amp;center=2660000,1190000&amp;z=1&amp;bgLayer=ch.swisstopo.pixelkarte-grau&amp;layers=ch.astra.ivs-nat</t>
        </is>
      </c>
    </row>
    <row r="49">
      <c r="A49" t="inlineStr">
        <is>
          <t>5_Q5_Ortsbild</t>
        </is>
      </c>
      <c r="B49" t="n">
        <v>9</v>
      </c>
      <c r="C49" t="inlineStr">
        <is>
          <t>M</t>
        </is>
      </c>
      <c r="D49" t="inlineStr">
        <is>
          <t>KGS-Inventar (Kulturgüter von nationaler/regionaler Bedeutung)</t>
        </is>
      </c>
      <c r="E49" t="inlineStr">
        <is>
          <t>–</t>
        </is>
      </c>
      <c r="F49" s="49" t="inlineStr">
        <is>
          <t>geprüft · korrigiert</t>
        </is>
      </c>
      <c r="G49" t="inlineStr">
        <is>
          <t>Hyperlink führte nur auf https://map.geo.admin.ch/ statt auf den angezeigten Link</t>
        </is>
      </c>
      <c r="H49" t="n">
        <v>200</v>
      </c>
      <c r="I49" t="inlineStr">
        <is>
          <t>https://map.geo.admin.ch/#/map?lang=de&amp;center=2660000,1190000&amp;z=1&amp;bgLayer=ch.swisstopo.pixelkarte-grau&amp;layers=ch.babs.kulturgueter</t>
        </is>
      </c>
      <c r="J49" s="50" t="inlineStr">
        <is>
          <t>https://map.geo.admin.ch/#/map?lang=de&amp;center=2660000,1190000&amp;z=1&amp;bgLayer=ch.swisstopo.pixelkarte-grau&amp;layers=ch.babs.kulturgueter</t>
        </is>
      </c>
    </row>
    <row r="50">
      <c r="A50" t="inlineStr">
        <is>
          <t>5_Q5_Ortsbild</t>
        </is>
      </c>
      <c r="B50" t="n">
        <v>10</v>
      </c>
      <c r="C50" t="inlineStr">
        <is>
          <t>M</t>
        </is>
      </c>
      <c r="D50" t="inlineStr">
        <is>
          <t>BLN (Landschaftsbild / Kulturlandschaft) – Querbezug Q2</t>
        </is>
      </c>
      <c r="E50" t="inlineStr">
        <is>
          <t>VBLN</t>
        </is>
      </c>
      <c r="F50" s="49" t="inlineStr">
        <is>
          <t>geprüft · korrigiert</t>
        </is>
      </c>
      <c r="G50" t="inlineStr">
        <is>
          <t>Hyperlink führte nur auf https://map.geo.admin.ch/ statt auf den angezeigten Link</t>
        </is>
      </c>
      <c r="H50" t="n">
        <v>200</v>
      </c>
      <c r="I50" t="inlineStr">
        <is>
          <t>https://map.geo.admin.ch/#/map?lang=de&amp;center=2660000,1190000&amp;z=1&amp;bgLayer=ch.swisstopo.pixelkarte-grau&amp;layers=ch.bafu.bundesinventare-bln</t>
        </is>
      </c>
      <c r="J50" s="50" t="inlineStr">
        <is>
          <t>https://map.geo.admin.ch/#/map?lang=de&amp;center=2660000,1190000&amp;z=1&amp;bgLayer=ch.swisstopo.pixelkarte-grau&amp;layers=ch.bafu.bundesinventare-bln</t>
        </is>
      </c>
    </row>
    <row r="51">
      <c r="A51" t="inlineStr">
        <is>
          <t>6_Q6_Bestellung</t>
        </is>
      </c>
      <c r="B51" t="n">
        <v>11</v>
      </c>
      <c r="C51" t="inlineStr">
        <is>
          <t>M</t>
        </is>
      </c>
      <c r="D51" t="inlineStr">
        <is>
          <t>IVöB 2019 inkl. Schwellenwerte</t>
        </is>
      </c>
      <c r="E51" t="inlineStr">
        <is>
          <t>–</t>
        </is>
      </c>
      <c r="F51" s="49" t="inlineStr">
        <is>
          <t>geprüft · korrigiert</t>
        </is>
      </c>
      <c r="G51" t="inlineStr">
        <is>
          <t>PDF war die alte IVöB vom 15.03.2001; ersetzt durch die IVöB-2019-Seite der BPUK</t>
        </is>
      </c>
      <c r="H51" t="n">
        <v>200</v>
      </c>
      <c r="I51" t="inlineStr">
        <is>
          <t>https://www.bpuk.ch/fileadmin/Dokumente/bpuk/public/de/konkordate/ivoeb/INTERKANTONALE%2BVEREINBARUNG%2B%25c3%259cBER%2BDAS%2B%25c3%2596FFENTLICHE%2BBESCHAFFUNGSWESEN%2B%28IV%25c3%25b6B%29.pdf</t>
        </is>
      </c>
      <c r="J51" s="50" t="inlineStr">
        <is>
          <t>https://www.bpuk.ch/bpuk/konkordate/ivoeb/ivoeb-2019</t>
        </is>
      </c>
    </row>
    <row r="52">
      <c r="A52" t="inlineStr">
        <is>
          <t>6_Q6_Bestellung</t>
        </is>
      </c>
      <c r="B52" t="n">
        <v>15</v>
      </c>
      <c r="C52" t="inlineStr">
        <is>
          <t>M</t>
        </is>
      </c>
      <c r="D52" t="inlineStr">
        <is>
          <t>EG IVöB BL (Gesetz) und kantonale Beschaffungsleitfäden</t>
        </is>
      </c>
      <c r="E52" t="inlineStr">
        <is>
          <t>–</t>
        </is>
      </c>
      <c r="F52" s="49" t="inlineStr">
        <is>
          <t>geprüft · korrigiert</t>
        </is>
      </c>
      <c r="G52" t="inlineStr">
        <is>
          <t>Link zeigte auf die Startseite baselland.ch; EG IVöB BL = SGS 420 (Titel lt. Sammlung: «Einführungsgesetz zur interkantonalen Vereinbarung über das öffentliche Beschaffungswesen (EG IVöB)»)</t>
        </is>
      </c>
      <c r="H52" t="n">
        <v>403</v>
      </c>
      <c r="I52" t="inlineStr">
        <is>
          <t>https://www.baselland.ch</t>
        </is>
      </c>
      <c r="J52" s="50" t="inlineStr">
        <is>
          <t>https://bl.clex.ch/app/de/texts_of_law/420</t>
        </is>
      </c>
    </row>
    <row r="53">
      <c r="A53" t="inlineStr">
        <is>
          <t>6_Q6_Bestellung</t>
        </is>
      </c>
      <c r="B53" t="n">
        <v>20</v>
      </c>
      <c r="C53" t="inlineStr">
        <is>
          <t>M</t>
        </is>
      </c>
      <c r="D53" t="inlineStr">
        <is>
          <t>PBG SG: Sondernutzungsplanung / Qualitätsverfahren</t>
        </is>
      </c>
      <c r="E53" t="inlineStr">
        <is>
          <t>sGS 731.1</t>
        </is>
      </c>
      <c r="F53" s="49" t="inlineStr">
        <is>
          <t>geprüft · korrigiert</t>
        </is>
      </c>
      <c r="G53" t="inlineStr">
        <is>
          <t>Link auf Standardform der Sammlung vereinheitlicht (731.1 «Planungs- und Baugesetz (PBG)»)</t>
        </is>
      </c>
      <c r="H53" t="n">
        <v>200</v>
      </c>
      <c r="I53" t="inlineStr">
        <is>
          <t>https://www.gesetzessammlung.sg.ch/data/731.1/de</t>
        </is>
      </c>
      <c r="J53" s="50" t="inlineStr">
        <is>
          <t>https://www.gesetzessammlung.sg.ch/app/de/texts_of_law/731.1</t>
        </is>
      </c>
    </row>
    <row r="54">
      <c r="A54" t="inlineStr">
        <is>
          <t>6_Q6_Bestellung</t>
        </is>
      </c>
      <c r="B54" t="n">
        <v>22</v>
      </c>
      <c r="C54" t="inlineStr">
        <is>
          <t>M</t>
        </is>
      </c>
      <c r="D54" t="inlineStr">
        <is>
          <t>Beitritt Kanton Uri zur IVöB 2019 (Landratsbeschluss vom 15.06.2022)</t>
        </is>
      </c>
      <c r="E54" t="inlineStr">
        <is>
          <t>IVöB: RB 3.3111</t>
        </is>
      </c>
      <c r="F54" s="49" t="inlineStr">
        <is>
          <t>geprüft · korrigiert</t>
        </is>
      </c>
      <c r="G54" t="inlineStr">
        <is>
          <t>Link zeigte auf https://www.ur.ch/_doc/337571 (HTTP 200, «Microsoft PowerPoint - 20230508_Schulung_IVöB_Uri final(2).p»); richtig: RB 3.3111 «Interkantonale Vereinbarung über das öffentliche Beschaffungswesen (IVöB)»</t>
        </is>
      </c>
      <c r="H54" t="n">
        <v>200</v>
      </c>
      <c r="I54" t="inlineStr">
        <is>
          <t>https://www.ur.ch/_doc/337571</t>
        </is>
      </c>
      <c r="J54" s="50" t="inlineStr">
        <is>
          <t>https://rechtsbuch.ur.ch/app/de/texts_of_law/3.3111</t>
        </is>
      </c>
    </row>
    <row r="55">
      <c r="A55" t="inlineStr">
        <is>
          <t>6_Q6_Bestellung</t>
        </is>
      </c>
      <c r="B55" t="n">
        <v>23</v>
      </c>
      <c r="C55" t="inlineStr">
        <is>
          <t>M</t>
        </is>
      </c>
      <c r="D55" t="inlineStr">
        <is>
          <t>Reglement über den Vollzug der IVöB (Submissionsreglement)</t>
        </is>
      </c>
      <c r="E55" t="inlineStr">
        <is>
          <t>RB 3.3115</t>
        </is>
      </c>
      <c r="F55" s="49" t="inlineStr">
        <is>
          <t>geprüft · korrigiert</t>
        </is>
      </c>
      <c r="G55" t="inlineStr">
        <is>
          <t>Link zeigte auf https://www.ur.ch/_doc/337571 (HTTP 200, «Microsoft PowerPoint - 20230508_Schulung_IVöB_Uri final(2).p»); richtig: RB 3.3115 «Reglement über den Vollzug der Interkantonalen Vereinbarung über das öffentliche Beschaffungswesen (Submissionsreglement)»</t>
        </is>
      </c>
      <c r="H55" t="n">
        <v>200</v>
      </c>
      <c r="I55" t="inlineStr">
        <is>
          <t>https://www.ur.ch/_doc/337571</t>
        </is>
      </c>
      <c r="J55" s="50" t="inlineStr">
        <is>
          <t>https://rechtsbuch.ur.ch/app/de/texts_of_law/3.3115</t>
        </is>
      </c>
    </row>
    <row r="56">
      <c r="A56" t="inlineStr">
        <is>
          <t>7_GIS_Layers</t>
        </is>
      </c>
      <c r="B56" t="n">
        <v>6</v>
      </c>
      <c r="C56" t="inlineStr">
        <is>
          <t>F</t>
        </is>
      </c>
      <c r="D56" t="inlineStr">
        <is>
          <t>BLN – Landschaften und Naturdenkmäler von nationaler Bedeutung</t>
        </is>
      </c>
      <c r="E56" t="inlineStr">
        <is>
          <t>ch.bafu.bundesinventare-bln</t>
        </is>
      </c>
      <c r="F56" s="49" t="inlineStr">
        <is>
          <t>geprüft · korrigiert</t>
        </is>
      </c>
      <c r="G56" t="inlineStr">
        <is>
          <t>Hyperlink führte nur auf https://map.geo.admin.ch/ (Layer und Ausschnitt fehlten)</t>
        </is>
      </c>
      <c r="H56" t="n">
        <v>200</v>
      </c>
      <c r="I56" t="inlineStr">
        <is>
          <t>https://map.geo.admin.ch/</t>
        </is>
      </c>
      <c r="J56" s="50" t="inlineStr">
        <is>
          <t>https://map.geo.admin.ch/#/map?lang=de&amp;center=2660000,1190000&amp;z=1&amp;bgLayer=ch.swisstopo.pixelkarte-grau&amp;layers=ch.bafu.bundesinventare-bln</t>
        </is>
      </c>
    </row>
    <row r="57">
      <c r="A57" t="inlineStr">
        <is>
          <t>7_GIS_Layers</t>
        </is>
      </c>
      <c r="B57" t="n">
        <v>6</v>
      </c>
      <c r="C57" t="inlineStr">
        <is>
          <t>G</t>
        </is>
      </c>
      <c r="D57" t="inlineStr">
        <is>
          <t>BLN – Landschaften und Naturdenkmäler von nationaler Bedeutung</t>
        </is>
      </c>
      <c r="E57" t="inlineStr">
        <is>
          <t>ch.bafu.bundesinventare-bln</t>
        </is>
      </c>
      <c r="F57" s="49" t="inlineStr">
        <is>
          <t>geprüft · korrigiert</t>
        </is>
      </c>
      <c r="G57" t="inlineStr">
        <is>
          <t>Hyperlink führte nur auf https://map.geo.admin.ch/ (Layer und Ausschnitt fehlten)</t>
        </is>
      </c>
      <c r="H57" t="n">
        <v>200</v>
      </c>
      <c r="I57" t="inlineStr">
        <is>
          <t>https://map.geo.admin.ch/</t>
        </is>
      </c>
      <c r="J57" s="50" t="inlineStr">
        <is>
          <t>https://map.geo.admin.ch/#/map?lang=de&amp;center=2613308,1263110&amp;z=9&amp;bgLayer=ch.swisstopo.pixelkarte-grau&amp;layers=ch.bafu.bundesinventare-bln</t>
        </is>
      </c>
    </row>
    <row r="58">
      <c r="A58" t="inlineStr">
        <is>
          <t>7_GIS_Layers</t>
        </is>
      </c>
      <c r="B58" t="n">
        <v>6</v>
      </c>
      <c r="C58" t="inlineStr">
        <is>
          <t>H</t>
        </is>
      </c>
      <c r="D58" t="inlineStr">
        <is>
          <t>BLN – Landschaften und Naturdenkmäler von nationaler Bedeutung</t>
        </is>
      </c>
      <c r="E58" t="inlineStr">
        <is>
          <t>ch.bafu.bundesinventare-bln</t>
        </is>
      </c>
      <c r="F58" s="49" t="inlineStr">
        <is>
          <t>geprüft · korrigiert</t>
        </is>
      </c>
      <c r="G58" t="inlineStr">
        <is>
          <t>Hyperlink führte nur auf https://map.geo.admin.ch/ (Layer und Ausschnitt fehlten)</t>
        </is>
      </c>
      <c r="H58" t="n">
        <v>200</v>
      </c>
      <c r="I58" t="inlineStr">
        <is>
          <t>https://map.geo.admin.ch/</t>
        </is>
      </c>
      <c r="J58" s="50" t="inlineStr">
        <is>
          <t>https://map.geo.admin.ch/#/map?lang=de&amp;center=2721138,1258009&amp;z=9&amp;bgLayer=ch.swisstopo.pixelkarte-grau&amp;layers=ch.bafu.bundesinventare-bln</t>
        </is>
      </c>
    </row>
    <row r="59">
      <c r="A59" t="inlineStr">
        <is>
          <t>7_GIS_Layers</t>
        </is>
      </c>
      <c r="B59" t="n">
        <v>6</v>
      </c>
      <c r="C59" t="inlineStr">
        <is>
          <t>I</t>
        </is>
      </c>
      <c r="D59" t="inlineStr">
        <is>
          <t>BLN – Landschaften und Naturdenkmäler von nationaler Bedeutung</t>
        </is>
      </c>
      <c r="E59" t="inlineStr">
        <is>
          <t>ch.bafu.bundesinventare-bln</t>
        </is>
      </c>
      <c r="F59" s="49" t="inlineStr">
        <is>
          <t>geprüft · korrigiert</t>
        </is>
      </c>
      <c r="G59" t="inlineStr">
        <is>
          <t>Hyperlink führte nur auf https://map.geo.admin.ch/ (Layer und Ausschnitt fehlten)</t>
        </is>
      </c>
      <c r="H59" t="n">
        <v>200</v>
      </c>
      <c r="I59" t="inlineStr">
        <is>
          <t>https://map.geo.admin.ch/</t>
        </is>
      </c>
      <c r="J59" s="50" t="inlineStr">
        <is>
          <t>https://map.geo.admin.ch/#/map?lang=de&amp;center=2687333,1203124&amp;z=9&amp;bgLayer=ch.swisstopo.pixelkarte-grau&amp;layers=ch.bafu.bundesinventare-bln</t>
        </is>
      </c>
    </row>
    <row r="60">
      <c r="A60" t="inlineStr">
        <is>
          <t>7_GIS_Layers</t>
        </is>
      </c>
      <c r="B60" t="n">
        <v>7</v>
      </c>
      <c r="C60" t="inlineStr">
        <is>
          <t>F</t>
        </is>
      </c>
      <c r="D60" t="inlineStr">
        <is>
          <t>Moorlandschaften von besonderer Schönheit</t>
        </is>
      </c>
      <c r="E60" t="inlineStr">
        <is>
          <t>ch.bafu.bundesinventare-moorlandschaften</t>
        </is>
      </c>
      <c r="F60" s="49" t="inlineStr">
        <is>
          <t>geprüft · korrigiert</t>
        </is>
      </c>
      <c r="G60" t="inlineStr">
        <is>
          <t>Hyperlink führte nur auf https://map.geo.admin.ch/ (Layer und Ausschnitt fehlten)</t>
        </is>
      </c>
      <c r="H60" t="n">
        <v>200</v>
      </c>
      <c r="I60" t="inlineStr">
        <is>
          <t>https://map.geo.admin.ch/</t>
        </is>
      </c>
      <c r="J60" s="50" t="inlineStr">
        <is>
          <t>https://map.geo.admin.ch/#/map?lang=de&amp;center=2660000,1190000&amp;z=1&amp;bgLayer=ch.swisstopo.pixelkarte-grau&amp;layers=ch.bafu.bundesinventare-moorlandschaften</t>
        </is>
      </c>
    </row>
    <row r="61">
      <c r="A61" t="inlineStr">
        <is>
          <t>7_GIS_Layers</t>
        </is>
      </c>
      <c r="B61" t="n">
        <v>7</v>
      </c>
      <c r="C61" t="inlineStr">
        <is>
          <t>G</t>
        </is>
      </c>
      <c r="D61" t="inlineStr">
        <is>
          <t>Moorlandschaften von besonderer Schönheit</t>
        </is>
      </c>
      <c r="E61" t="inlineStr">
        <is>
          <t>ch.bafu.bundesinventare-moorlandschaften</t>
        </is>
      </c>
      <c r="F61" s="49" t="inlineStr">
        <is>
          <t>geprüft · korrigiert</t>
        </is>
      </c>
      <c r="G61" t="inlineStr">
        <is>
          <t>Hyperlink führte nur auf https://map.geo.admin.ch/ (Layer und Ausschnitt fehlten)</t>
        </is>
      </c>
      <c r="H61" t="n">
        <v>200</v>
      </c>
      <c r="I61" t="inlineStr">
        <is>
          <t>https://map.geo.admin.ch/</t>
        </is>
      </c>
      <c r="J61" s="50" t="inlineStr">
        <is>
          <t>https://map.geo.admin.ch/#/map?lang=de&amp;center=2613308,1263110&amp;z=9&amp;bgLayer=ch.swisstopo.pixelkarte-grau&amp;layers=ch.bafu.bundesinventare-moorlandschaften</t>
        </is>
      </c>
    </row>
    <row r="62">
      <c r="A62" t="inlineStr">
        <is>
          <t>7_GIS_Layers</t>
        </is>
      </c>
      <c r="B62" t="n">
        <v>7</v>
      </c>
      <c r="C62" t="inlineStr">
        <is>
          <t>H</t>
        </is>
      </c>
      <c r="D62" t="inlineStr">
        <is>
          <t>Moorlandschaften von besonderer Schönheit</t>
        </is>
      </c>
      <c r="E62" t="inlineStr">
        <is>
          <t>ch.bafu.bundesinventare-moorlandschaften</t>
        </is>
      </c>
      <c r="F62" s="49" t="inlineStr">
        <is>
          <t>geprüft · korrigiert</t>
        </is>
      </c>
      <c r="G62" t="inlineStr">
        <is>
          <t>Hyperlink führte nur auf https://map.geo.admin.ch/ (Layer und Ausschnitt fehlten)</t>
        </is>
      </c>
      <c r="H62" t="n">
        <v>200</v>
      </c>
      <c r="I62" t="inlineStr">
        <is>
          <t>https://map.geo.admin.ch/</t>
        </is>
      </c>
      <c r="J62" s="50" t="inlineStr">
        <is>
          <t>https://map.geo.admin.ch/#/map?lang=de&amp;center=2721138,1258009&amp;z=9&amp;bgLayer=ch.swisstopo.pixelkarte-grau&amp;layers=ch.bafu.bundesinventare-moorlandschaften</t>
        </is>
      </c>
    </row>
    <row r="63">
      <c r="A63" t="inlineStr">
        <is>
          <t>7_GIS_Layers</t>
        </is>
      </c>
      <c r="B63" t="n">
        <v>7</v>
      </c>
      <c r="C63" t="inlineStr">
        <is>
          <t>I</t>
        </is>
      </c>
      <c r="D63" t="inlineStr">
        <is>
          <t>Moorlandschaften von besonderer Schönheit</t>
        </is>
      </c>
      <c r="E63" t="inlineStr">
        <is>
          <t>ch.bafu.bundesinventare-moorlandschaften</t>
        </is>
      </c>
      <c r="F63" s="49" t="inlineStr">
        <is>
          <t>geprüft · korrigiert</t>
        </is>
      </c>
      <c r="G63" t="inlineStr">
        <is>
          <t>Hyperlink führte nur auf https://map.geo.admin.ch/ (Layer und Ausschnitt fehlten)</t>
        </is>
      </c>
      <c r="H63" t="n">
        <v>200</v>
      </c>
      <c r="I63" t="inlineStr">
        <is>
          <t>https://map.geo.admin.ch/</t>
        </is>
      </c>
      <c r="J63" s="50" t="inlineStr">
        <is>
          <t>https://map.geo.admin.ch/#/map?lang=de&amp;center=2687333,1203124&amp;z=9&amp;bgLayer=ch.swisstopo.pixelkarte-grau&amp;layers=ch.bafu.bundesinventare-moorlandschaften</t>
        </is>
      </c>
    </row>
    <row r="64">
      <c r="A64" t="inlineStr">
        <is>
          <t>7_GIS_Layers</t>
        </is>
      </c>
      <c r="B64" t="n">
        <v>8</v>
      </c>
      <c r="C64" t="inlineStr">
        <is>
          <t>F</t>
        </is>
      </c>
      <c r="D64" t="inlineStr">
        <is>
          <t>Hochmoore</t>
        </is>
      </c>
      <c r="E64" t="inlineStr">
        <is>
          <t>ch.bafu.bundesinventare-hochmoore</t>
        </is>
      </c>
      <c r="F64" s="49" t="inlineStr">
        <is>
          <t>geprüft · korrigiert</t>
        </is>
      </c>
      <c r="G64" t="inlineStr">
        <is>
          <t>Hyperlink führte nur auf https://map.geo.admin.ch/ (Layer und Ausschnitt fehlten)</t>
        </is>
      </c>
      <c r="H64" t="n">
        <v>200</v>
      </c>
      <c r="I64" t="inlineStr">
        <is>
          <t>https://map.geo.admin.ch/</t>
        </is>
      </c>
      <c r="J64" s="50" t="inlineStr">
        <is>
          <t>https://map.geo.admin.ch/#/map?lang=de&amp;center=2660000,1190000&amp;z=1&amp;bgLayer=ch.swisstopo.pixelkarte-grau&amp;layers=ch.bafu.bundesinventare-hochmoore</t>
        </is>
      </c>
    </row>
    <row r="65">
      <c r="A65" t="inlineStr">
        <is>
          <t>7_GIS_Layers</t>
        </is>
      </c>
      <c r="B65" t="n">
        <v>8</v>
      </c>
      <c r="C65" t="inlineStr">
        <is>
          <t>G</t>
        </is>
      </c>
      <c r="D65" t="inlineStr">
        <is>
          <t>Hochmoore</t>
        </is>
      </c>
      <c r="E65" t="inlineStr">
        <is>
          <t>ch.bafu.bundesinventare-hochmoore</t>
        </is>
      </c>
      <c r="F65" s="49" t="inlineStr">
        <is>
          <t>geprüft · korrigiert</t>
        </is>
      </c>
      <c r="G65" t="inlineStr">
        <is>
          <t>Hyperlink führte nur auf https://map.geo.admin.ch/ (Layer und Ausschnitt fehlten)</t>
        </is>
      </c>
      <c r="H65" t="n">
        <v>200</v>
      </c>
      <c r="I65" t="inlineStr">
        <is>
          <t>https://map.geo.admin.ch/</t>
        </is>
      </c>
      <c r="J65" s="50" t="inlineStr">
        <is>
          <t>https://map.geo.admin.ch/#/map?lang=de&amp;center=2613308,1263110&amp;z=9&amp;bgLayer=ch.swisstopo.pixelkarte-grau&amp;layers=ch.bafu.bundesinventare-hochmoore</t>
        </is>
      </c>
    </row>
    <row r="66">
      <c r="A66" t="inlineStr">
        <is>
          <t>7_GIS_Layers</t>
        </is>
      </c>
      <c r="B66" t="n">
        <v>8</v>
      </c>
      <c r="C66" t="inlineStr">
        <is>
          <t>H</t>
        </is>
      </c>
      <c r="D66" t="inlineStr">
        <is>
          <t>Hochmoore</t>
        </is>
      </c>
      <c r="E66" t="inlineStr">
        <is>
          <t>ch.bafu.bundesinventare-hochmoore</t>
        </is>
      </c>
      <c r="F66" s="49" t="inlineStr">
        <is>
          <t>geprüft · korrigiert</t>
        </is>
      </c>
      <c r="G66" t="inlineStr">
        <is>
          <t>Hyperlink führte nur auf https://map.geo.admin.ch/ (Layer und Ausschnitt fehlten)</t>
        </is>
      </c>
      <c r="H66" t="n">
        <v>200</v>
      </c>
      <c r="I66" t="inlineStr">
        <is>
          <t>https://map.geo.admin.ch/</t>
        </is>
      </c>
      <c r="J66" s="50" t="inlineStr">
        <is>
          <t>https://map.geo.admin.ch/#/map?lang=de&amp;center=2721138,1258009&amp;z=9&amp;bgLayer=ch.swisstopo.pixelkarte-grau&amp;layers=ch.bafu.bundesinventare-hochmoore</t>
        </is>
      </c>
    </row>
    <row r="67">
      <c r="A67" t="inlineStr">
        <is>
          <t>7_GIS_Layers</t>
        </is>
      </c>
      <c r="B67" t="n">
        <v>8</v>
      </c>
      <c r="C67" t="inlineStr">
        <is>
          <t>I</t>
        </is>
      </c>
      <c r="D67" t="inlineStr">
        <is>
          <t>Hochmoore</t>
        </is>
      </c>
      <c r="E67" t="inlineStr">
        <is>
          <t>ch.bafu.bundesinventare-hochmoore</t>
        </is>
      </c>
      <c r="F67" s="49" t="inlineStr">
        <is>
          <t>geprüft · korrigiert</t>
        </is>
      </c>
      <c r="G67" t="inlineStr">
        <is>
          <t>Hyperlink führte nur auf https://map.geo.admin.ch/ (Layer und Ausschnitt fehlten)</t>
        </is>
      </c>
      <c r="H67" t="n">
        <v>200</v>
      </c>
      <c r="I67" t="inlineStr">
        <is>
          <t>https://map.geo.admin.ch/</t>
        </is>
      </c>
      <c r="J67" s="50" t="inlineStr">
        <is>
          <t>https://map.geo.admin.ch/#/map?lang=de&amp;center=2687333,1203124&amp;z=9&amp;bgLayer=ch.swisstopo.pixelkarte-grau&amp;layers=ch.bafu.bundesinventare-hochmoore</t>
        </is>
      </c>
    </row>
    <row r="68">
      <c r="A68" t="inlineStr">
        <is>
          <t>7_GIS_Layers</t>
        </is>
      </c>
      <c r="B68" t="n">
        <v>9</v>
      </c>
      <c r="C68" t="inlineStr">
        <is>
          <t>F</t>
        </is>
      </c>
      <c r="D68" t="inlineStr">
        <is>
          <t>Flachmoore</t>
        </is>
      </c>
      <c r="E68" t="inlineStr">
        <is>
          <t>ch.bafu.bundesinventare-flachmoore</t>
        </is>
      </c>
      <c r="F68" s="49" t="inlineStr">
        <is>
          <t>geprüft · korrigiert</t>
        </is>
      </c>
      <c r="G68" t="inlineStr">
        <is>
          <t>Hyperlink führte nur auf https://map.geo.admin.ch/ (Layer und Ausschnitt fehlten)</t>
        </is>
      </c>
      <c r="H68" t="n">
        <v>200</v>
      </c>
      <c r="I68" t="inlineStr">
        <is>
          <t>https://map.geo.admin.ch/</t>
        </is>
      </c>
      <c r="J68" s="50" t="inlineStr">
        <is>
          <t>https://map.geo.admin.ch/#/map?lang=de&amp;center=2660000,1190000&amp;z=1&amp;bgLayer=ch.swisstopo.pixelkarte-grau&amp;layers=ch.bafu.bundesinventare-flachmoore</t>
        </is>
      </c>
    </row>
    <row r="69">
      <c r="A69" t="inlineStr">
        <is>
          <t>7_GIS_Layers</t>
        </is>
      </c>
      <c r="B69" t="n">
        <v>9</v>
      </c>
      <c r="C69" t="inlineStr">
        <is>
          <t>G</t>
        </is>
      </c>
      <c r="D69" t="inlineStr">
        <is>
          <t>Flachmoore</t>
        </is>
      </c>
      <c r="E69" t="inlineStr">
        <is>
          <t>ch.bafu.bundesinventare-flachmoore</t>
        </is>
      </c>
      <c r="F69" s="49" t="inlineStr">
        <is>
          <t>geprüft · korrigiert</t>
        </is>
      </c>
      <c r="G69" t="inlineStr">
        <is>
          <t>Hyperlink führte nur auf https://map.geo.admin.ch/ (Layer und Ausschnitt fehlten)</t>
        </is>
      </c>
      <c r="H69" t="n">
        <v>200</v>
      </c>
      <c r="I69" t="inlineStr">
        <is>
          <t>https://map.geo.admin.ch/</t>
        </is>
      </c>
      <c r="J69" s="50" t="inlineStr">
        <is>
          <t>https://map.geo.admin.ch/#/map?lang=de&amp;center=2613308,1263110&amp;z=9&amp;bgLayer=ch.swisstopo.pixelkarte-grau&amp;layers=ch.bafu.bundesinventare-flachmoore</t>
        </is>
      </c>
    </row>
    <row r="70">
      <c r="A70" t="inlineStr">
        <is>
          <t>7_GIS_Layers</t>
        </is>
      </c>
      <c r="B70" t="n">
        <v>9</v>
      </c>
      <c r="C70" t="inlineStr">
        <is>
          <t>H</t>
        </is>
      </c>
      <c r="D70" t="inlineStr">
        <is>
          <t>Flachmoore</t>
        </is>
      </c>
      <c r="E70" t="inlineStr">
        <is>
          <t>ch.bafu.bundesinventare-flachmoore</t>
        </is>
      </c>
      <c r="F70" s="49" t="inlineStr">
        <is>
          <t>geprüft · korrigiert</t>
        </is>
      </c>
      <c r="G70" t="inlineStr">
        <is>
          <t>Hyperlink führte nur auf https://map.geo.admin.ch/ (Layer und Ausschnitt fehlten)</t>
        </is>
      </c>
      <c r="H70" t="n">
        <v>200</v>
      </c>
      <c r="I70" t="inlineStr">
        <is>
          <t>https://map.geo.admin.ch/</t>
        </is>
      </c>
      <c r="J70" s="50" t="inlineStr">
        <is>
          <t>https://map.geo.admin.ch/#/map?lang=de&amp;center=2721138,1258009&amp;z=9&amp;bgLayer=ch.swisstopo.pixelkarte-grau&amp;layers=ch.bafu.bundesinventare-flachmoore</t>
        </is>
      </c>
    </row>
    <row r="71">
      <c r="A71" t="inlineStr">
        <is>
          <t>7_GIS_Layers</t>
        </is>
      </c>
      <c r="B71" t="n">
        <v>9</v>
      </c>
      <c r="C71" t="inlineStr">
        <is>
          <t>I</t>
        </is>
      </c>
      <c r="D71" t="inlineStr">
        <is>
          <t>Flachmoore</t>
        </is>
      </c>
      <c r="E71" t="inlineStr">
        <is>
          <t>ch.bafu.bundesinventare-flachmoore</t>
        </is>
      </c>
      <c r="F71" s="49" t="inlineStr">
        <is>
          <t>geprüft · korrigiert</t>
        </is>
      </c>
      <c r="G71" t="inlineStr">
        <is>
          <t>Hyperlink führte nur auf https://map.geo.admin.ch/ (Layer und Ausschnitt fehlten)</t>
        </is>
      </c>
      <c r="H71" t="n">
        <v>200</v>
      </c>
      <c r="I71" t="inlineStr">
        <is>
          <t>https://map.geo.admin.ch/</t>
        </is>
      </c>
      <c r="J71" s="50" t="inlineStr">
        <is>
          <t>https://map.geo.admin.ch/#/map?lang=de&amp;center=2687333,1203124&amp;z=9&amp;bgLayer=ch.swisstopo.pixelkarte-grau&amp;layers=ch.bafu.bundesinventare-flachmoore</t>
        </is>
      </c>
    </row>
    <row r="72">
      <c r="A72" t="inlineStr">
        <is>
          <t>7_GIS_Layers</t>
        </is>
      </c>
      <c r="B72" t="n">
        <v>10</v>
      </c>
      <c r="C72" t="inlineStr">
        <is>
          <t>F</t>
        </is>
      </c>
      <c r="D72" t="inlineStr">
        <is>
          <t>Auengebiete</t>
        </is>
      </c>
      <c r="E72" t="inlineStr">
        <is>
          <t>ch.bafu.bundesinventare-auen</t>
        </is>
      </c>
      <c r="F72" s="49" t="inlineStr">
        <is>
          <t>geprüft · korrigiert</t>
        </is>
      </c>
      <c r="G72" t="inlineStr">
        <is>
          <t>Hyperlink führte nur auf https://map.geo.admin.ch/ (Layer und Ausschnitt fehlten)</t>
        </is>
      </c>
      <c r="H72" t="n">
        <v>200</v>
      </c>
      <c r="I72" t="inlineStr">
        <is>
          <t>https://map.geo.admin.ch/</t>
        </is>
      </c>
      <c r="J72" s="50" t="inlineStr">
        <is>
          <t>https://map.geo.admin.ch/#/map?lang=de&amp;center=2660000,1190000&amp;z=1&amp;bgLayer=ch.swisstopo.pixelkarte-grau&amp;layers=ch.bafu.bundesinventare-auen</t>
        </is>
      </c>
    </row>
    <row r="73">
      <c r="A73" t="inlineStr">
        <is>
          <t>7_GIS_Layers</t>
        </is>
      </c>
      <c r="B73" t="n">
        <v>10</v>
      </c>
      <c r="C73" t="inlineStr">
        <is>
          <t>G</t>
        </is>
      </c>
      <c r="D73" t="inlineStr">
        <is>
          <t>Auengebiete</t>
        </is>
      </c>
      <c r="E73" t="inlineStr">
        <is>
          <t>ch.bafu.bundesinventare-auen</t>
        </is>
      </c>
      <c r="F73" s="49" t="inlineStr">
        <is>
          <t>geprüft · korrigiert</t>
        </is>
      </c>
      <c r="G73" t="inlineStr">
        <is>
          <t>Hyperlink führte nur auf https://map.geo.admin.ch/ (Layer und Ausschnitt fehlten)</t>
        </is>
      </c>
      <c r="H73" t="n">
        <v>200</v>
      </c>
      <c r="I73" t="inlineStr">
        <is>
          <t>https://map.geo.admin.ch/</t>
        </is>
      </c>
      <c r="J73" s="50" t="inlineStr">
        <is>
          <t>https://map.geo.admin.ch/#/map?lang=de&amp;center=2613308,1263110&amp;z=9&amp;bgLayer=ch.swisstopo.pixelkarte-grau&amp;layers=ch.bafu.bundesinventare-auen</t>
        </is>
      </c>
    </row>
    <row r="74">
      <c r="A74" t="inlineStr">
        <is>
          <t>7_GIS_Layers</t>
        </is>
      </c>
      <c r="B74" t="n">
        <v>10</v>
      </c>
      <c r="C74" t="inlineStr">
        <is>
          <t>H</t>
        </is>
      </c>
      <c r="D74" t="inlineStr">
        <is>
          <t>Auengebiete</t>
        </is>
      </c>
      <c r="E74" t="inlineStr">
        <is>
          <t>ch.bafu.bundesinventare-auen</t>
        </is>
      </c>
      <c r="F74" s="49" t="inlineStr">
        <is>
          <t>geprüft · korrigiert</t>
        </is>
      </c>
      <c r="G74" t="inlineStr">
        <is>
          <t>Hyperlink führte nur auf https://map.geo.admin.ch/ (Layer und Ausschnitt fehlten)</t>
        </is>
      </c>
      <c r="H74" t="n">
        <v>200</v>
      </c>
      <c r="I74" t="inlineStr">
        <is>
          <t>https://map.geo.admin.ch/</t>
        </is>
      </c>
      <c r="J74" s="50" t="inlineStr">
        <is>
          <t>https://map.geo.admin.ch/#/map?lang=de&amp;center=2721138,1258009&amp;z=9&amp;bgLayer=ch.swisstopo.pixelkarte-grau&amp;layers=ch.bafu.bundesinventare-auen</t>
        </is>
      </c>
    </row>
    <row r="75">
      <c r="A75" t="inlineStr">
        <is>
          <t>7_GIS_Layers</t>
        </is>
      </c>
      <c r="B75" t="n">
        <v>10</v>
      </c>
      <c r="C75" t="inlineStr">
        <is>
          <t>I</t>
        </is>
      </c>
      <c r="D75" t="inlineStr">
        <is>
          <t>Auengebiete</t>
        </is>
      </c>
      <c r="E75" t="inlineStr">
        <is>
          <t>ch.bafu.bundesinventare-auen</t>
        </is>
      </c>
      <c r="F75" s="49" t="inlineStr">
        <is>
          <t>geprüft · korrigiert</t>
        </is>
      </c>
      <c r="G75" t="inlineStr">
        <is>
          <t>Hyperlink führte nur auf https://map.geo.admin.ch/ (Layer und Ausschnitt fehlten)</t>
        </is>
      </c>
      <c r="H75" t="n">
        <v>200</v>
      </c>
      <c r="I75" t="inlineStr">
        <is>
          <t>https://map.geo.admin.ch/</t>
        </is>
      </c>
      <c r="J75" s="50" t="inlineStr">
        <is>
          <t>https://map.geo.admin.ch/#/map?lang=de&amp;center=2687333,1203124&amp;z=9&amp;bgLayer=ch.swisstopo.pixelkarte-grau&amp;layers=ch.bafu.bundesinventare-auen</t>
        </is>
      </c>
    </row>
    <row r="76">
      <c r="A76" t="inlineStr">
        <is>
          <t>7_GIS_Layers</t>
        </is>
      </c>
      <c r="B76" t="n">
        <v>11</v>
      </c>
      <c r="C76" t="inlineStr">
        <is>
          <t>F</t>
        </is>
      </c>
      <c r="D76" t="inlineStr">
        <is>
          <t>Amphibienlaichgebiete (ortsfest)</t>
        </is>
      </c>
      <c r="E76" t="inlineStr">
        <is>
          <t>ch.bafu.bundesinventare-amphibien</t>
        </is>
      </c>
      <c r="F76" s="49" t="inlineStr">
        <is>
          <t>geprüft · korrigiert</t>
        </is>
      </c>
      <c r="G76" t="inlineStr">
        <is>
          <t>Hyperlink führte nur auf https://map.geo.admin.ch/ (Layer und Ausschnitt fehlten)</t>
        </is>
      </c>
      <c r="H76" t="n">
        <v>200</v>
      </c>
      <c r="I76" t="inlineStr">
        <is>
          <t>https://map.geo.admin.ch/</t>
        </is>
      </c>
      <c r="J76" s="50" t="inlineStr">
        <is>
          <t>https://map.geo.admin.ch/#/map?lang=de&amp;center=2660000,1190000&amp;z=1&amp;bgLayer=ch.swisstopo.pixelkarte-grau&amp;layers=ch.bafu.bundesinventare-amphibien</t>
        </is>
      </c>
    </row>
    <row r="77">
      <c r="A77" t="inlineStr">
        <is>
          <t>7_GIS_Layers</t>
        </is>
      </c>
      <c r="B77" t="n">
        <v>11</v>
      </c>
      <c r="C77" t="inlineStr">
        <is>
          <t>G</t>
        </is>
      </c>
      <c r="D77" t="inlineStr">
        <is>
          <t>Amphibienlaichgebiete (ortsfest)</t>
        </is>
      </c>
      <c r="E77" t="inlineStr">
        <is>
          <t>ch.bafu.bundesinventare-amphibien</t>
        </is>
      </c>
      <c r="F77" s="49" t="inlineStr">
        <is>
          <t>geprüft · korrigiert</t>
        </is>
      </c>
      <c r="G77" t="inlineStr">
        <is>
          <t>Hyperlink führte nur auf https://map.geo.admin.ch/ (Layer und Ausschnitt fehlten)</t>
        </is>
      </c>
      <c r="H77" t="n">
        <v>200</v>
      </c>
      <c r="I77" t="inlineStr">
        <is>
          <t>https://map.geo.admin.ch/</t>
        </is>
      </c>
      <c r="J77" s="50" t="inlineStr">
        <is>
          <t>https://map.geo.admin.ch/#/map?lang=de&amp;center=2613308,1263110&amp;z=9&amp;bgLayer=ch.swisstopo.pixelkarte-grau&amp;layers=ch.bafu.bundesinventare-amphibien</t>
        </is>
      </c>
    </row>
    <row r="78">
      <c r="A78" t="inlineStr">
        <is>
          <t>7_GIS_Layers</t>
        </is>
      </c>
      <c r="B78" t="n">
        <v>11</v>
      </c>
      <c r="C78" t="inlineStr">
        <is>
          <t>H</t>
        </is>
      </c>
      <c r="D78" t="inlineStr">
        <is>
          <t>Amphibienlaichgebiete (ortsfest)</t>
        </is>
      </c>
      <c r="E78" t="inlineStr">
        <is>
          <t>ch.bafu.bundesinventare-amphibien</t>
        </is>
      </c>
      <c r="F78" s="49" t="inlineStr">
        <is>
          <t>geprüft · korrigiert</t>
        </is>
      </c>
      <c r="G78" t="inlineStr">
        <is>
          <t>Hyperlink führte nur auf https://map.geo.admin.ch/ (Layer und Ausschnitt fehlten)</t>
        </is>
      </c>
      <c r="H78" t="n">
        <v>200</v>
      </c>
      <c r="I78" t="inlineStr">
        <is>
          <t>https://map.geo.admin.ch/</t>
        </is>
      </c>
      <c r="J78" s="50" t="inlineStr">
        <is>
          <t>https://map.geo.admin.ch/#/map?lang=de&amp;center=2721138,1258009&amp;z=9&amp;bgLayer=ch.swisstopo.pixelkarte-grau&amp;layers=ch.bafu.bundesinventare-amphibien</t>
        </is>
      </c>
    </row>
    <row r="79">
      <c r="A79" t="inlineStr">
        <is>
          <t>7_GIS_Layers</t>
        </is>
      </c>
      <c r="B79" t="n">
        <v>11</v>
      </c>
      <c r="C79" t="inlineStr">
        <is>
          <t>I</t>
        </is>
      </c>
      <c r="D79" t="inlineStr">
        <is>
          <t>Amphibienlaichgebiete (ortsfest)</t>
        </is>
      </c>
      <c r="E79" t="inlineStr">
        <is>
          <t>ch.bafu.bundesinventare-amphibien</t>
        </is>
      </c>
      <c r="F79" s="49" t="inlineStr">
        <is>
          <t>geprüft · korrigiert</t>
        </is>
      </c>
      <c r="G79" t="inlineStr">
        <is>
          <t>Hyperlink führte nur auf https://map.geo.admin.ch/ (Layer und Ausschnitt fehlten)</t>
        </is>
      </c>
      <c r="H79" t="n">
        <v>200</v>
      </c>
      <c r="I79" t="inlineStr">
        <is>
          <t>https://map.geo.admin.ch/</t>
        </is>
      </c>
      <c r="J79" s="50" t="inlineStr">
        <is>
          <t>https://map.geo.admin.ch/#/map?lang=de&amp;center=2687333,1203124&amp;z=9&amp;bgLayer=ch.swisstopo.pixelkarte-grau&amp;layers=ch.bafu.bundesinventare-amphibien</t>
        </is>
      </c>
    </row>
    <row r="80">
      <c r="A80" t="inlineStr">
        <is>
          <t>7_GIS_Layers</t>
        </is>
      </c>
      <c r="B80" t="n">
        <v>12</v>
      </c>
      <c r="C80" t="inlineStr">
        <is>
          <t>F</t>
        </is>
      </c>
      <c r="D80" t="inlineStr">
        <is>
          <t>Trockenwiesen und -weiden (TWW)</t>
        </is>
      </c>
      <c r="E80" t="inlineStr">
        <is>
          <t>ch.bafu.bundesinventare-trockenwiesen_trockenweiden</t>
        </is>
      </c>
      <c r="F80" s="49" t="inlineStr">
        <is>
          <t>geprüft · korrigiert</t>
        </is>
      </c>
      <c r="G80" t="inlineStr">
        <is>
          <t>Hyperlink führte nur auf https://map.geo.admin.ch/ (Layer und Ausschnitt fehlten)</t>
        </is>
      </c>
      <c r="H80" t="n">
        <v>200</v>
      </c>
      <c r="I80" t="inlineStr">
        <is>
          <t>https://map.geo.admin.ch/</t>
        </is>
      </c>
      <c r="J80" s="50" t="inlineStr">
        <is>
          <t>https://map.geo.admin.ch/#/map?lang=de&amp;center=2660000,1190000&amp;z=1&amp;bgLayer=ch.swisstopo.pixelkarte-grau&amp;layers=ch.bafu.bundesinventare-trockenwiesen_trockenweiden</t>
        </is>
      </c>
    </row>
    <row r="81">
      <c r="A81" t="inlineStr">
        <is>
          <t>7_GIS_Layers</t>
        </is>
      </c>
      <c r="B81" t="n">
        <v>12</v>
      </c>
      <c r="C81" t="inlineStr">
        <is>
          <t>G</t>
        </is>
      </c>
      <c r="D81" t="inlineStr">
        <is>
          <t>Trockenwiesen und -weiden (TWW)</t>
        </is>
      </c>
      <c r="E81" t="inlineStr">
        <is>
          <t>ch.bafu.bundesinventare-trockenwiesen_trockenweiden</t>
        </is>
      </c>
      <c r="F81" s="49" t="inlineStr">
        <is>
          <t>geprüft · korrigiert</t>
        </is>
      </c>
      <c r="G81" t="inlineStr">
        <is>
          <t>Hyperlink führte nur auf https://map.geo.admin.ch/ (Layer und Ausschnitt fehlten)</t>
        </is>
      </c>
      <c r="H81" t="n">
        <v>200</v>
      </c>
      <c r="I81" t="inlineStr">
        <is>
          <t>https://map.geo.admin.ch/</t>
        </is>
      </c>
      <c r="J81" s="50" t="inlineStr">
        <is>
          <t>https://map.geo.admin.ch/#/map?lang=de&amp;center=2613308,1263110&amp;z=9&amp;bgLayer=ch.swisstopo.pixelkarte-grau&amp;layers=ch.bafu.bundesinventare-trockenwiesen_trockenweiden</t>
        </is>
      </c>
    </row>
    <row r="82">
      <c r="A82" t="inlineStr">
        <is>
          <t>7_GIS_Layers</t>
        </is>
      </c>
      <c r="B82" t="n">
        <v>12</v>
      </c>
      <c r="C82" t="inlineStr">
        <is>
          <t>H</t>
        </is>
      </c>
      <c r="D82" t="inlineStr">
        <is>
          <t>Trockenwiesen und -weiden (TWW)</t>
        </is>
      </c>
      <c r="E82" t="inlineStr">
        <is>
          <t>ch.bafu.bundesinventare-trockenwiesen_trockenweiden</t>
        </is>
      </c>
      <c r="F82" s="49" t="inlineStr">
        <is>
          <t>geprüft · korrigiert</t>
        </is>
      </c>
      <c r="G82" t="inlineStr">
        <is>
          <t>Hyperlink führte nur auf https://map.geo.admin.ch/ (Layer und Ausschnitt fehlten)</t>
        </is>
      </c>
      <c r="H82" t="n">
        <v>200</v>
      </c>
      <c r="I82" t="inlineStr">
        <is>
          <t>https://map.geo.admin.ch/</t>
        </is>
      </c>
      <c r="J82" s="50" t="inlineStr">
        <is>
          <t>https://map.geo.admin.ch/#/map?lang=de&amp;center=2721138,1258009&amp;z=9&amp;bgLayer=ch.swisstopo.pixelkarte-grau&amp;layers=ch.bafu.bundesinventare-trockenwiesen_trockenweiden</t>
        </is>
      </c>
    </row>
    <row r="83">
      <c r="A83" t="inlineStr">
        <is>
          <t>7_GIS_Layers</t>
        </is>
      </c>
      <c r="B83" t="n">
        <v>12</v>
      </c>
      <c r="C83" t="inlineStr">
        <is>
          <t>I</t>
        </is>
      </c>
      <c r="D83" t="inlineStr">
        <is>
          <t>Trockenwiesen und -weiden (TWW)</t>
        </is>
      </c>
      <c r="E83" t="inlineStr">
        <is>
          <t>ch.bafu.bundesinventare-trockenwiesen_trockenweiden</t>
        </is>
      </c>
      <c r="F83" s="49" t="inlineStr">
        <is>
          <t>geprüft · korrigiert</t>
        </is>
      </c>
      <c r="G83" t="inlineStr">
        <is>
          <t>Hyperlink führte nur auf https://map.geo.admin.ch/ (Layer und Ausschnitt fehlten)</t>
        </is>
      </c>
      <c r="H83" t="n">
        <v>200</v>
      </c>
      <c r="I83" t="inlineStr">
        <is>
          <t>https://map.geo.admin.ch/</t>
        </is>
      </c>
      <c r="J83" s="50" t="inlineStr">
        <is>
          <t>https://map.geo.admin.ch/#/map?lang=de&amp;center=2687333,1203124&amp;z=9&amp;bgLayer=ch.swisstopo.pixelkarte-grau&amp;layers=ch.bafu.bundesinventare-trockenwiesen_trockenweiden</t>
        </is>
      </c>
    </row>
    <row r="84">
      <c r="A84" t="inlineStr">
        <is>
          <t>7_GIS_Layers</t>
        </is>
      </c>
      <c r="B84" t="n">
        <v>13</v>
      </c>
      <c r="C84" t="inlineStr">
        <is>
          <t>F</t>
        </is>
      </c>
      <c r="D84" t="inlineStr">
        <is>
          <t>Eidg. Jagdbanngebiete</t>
        </is>
      </c>
      <c r="E84" t="inlineStr">
        <is>
          <t>ch.bafu.bundesinventare-jagdbanngebiete</t>
        </is>
      </c>
      <c r="F84" s="49" t="inlineStr">
        <is>
          <t>geprüft · korrigiert</t>
        </is>
      </c>
      <c r="G84" t="inlineStr">
        <is>
          <t>Hyperlink führte nur auf https://map.geo.admin.ch/ (Layer und Ausschnitt fehlten)</t>
        </is>
      </c>
      <c r="H84" t="n">
        <v>200</v>
      </c>
      <c r="I84" t="inlineStr">
        <is>
          <t>https://map.geo.admin.ch/</t>
        </is>
      </c>
      <c r="J84" s="50" t="inlineStr">
        <is>
          <t>https://map.geo.admin.ch/#/map?lang=de&amp;center=2660000,1190000&amp;z=1&amp;bgLayer=ch.swisstopo.pixelkarte-grau&amp;layers=ch.bafu.bundesinventare-jagdbanngebiete</t>
        </is>
      </c>
    </row>
    <row r="85">
      <c r="A85" t="inlineStr">
        <is>
          <t>7_GIS_Layers</t>
        </is>
      </c>
      <c r="B85" t="n">
        <v>13</v>
      </c>
      <c r="C85" t="inlineStr">
        <is>
          <t>G</t>
        </is>
      </c>
      <c r="D85" t="inlineStr">
        <is>
          <t>Eidg. Jagdbanngebiete</t>
        </is>
      </c>
      <c r="E85" t="inlineStr">
        <is>
          <t>ch.bafu.bundesinventare-jagdbanngebiete</t>
        </is>
      </c>
      <c r="F85" s="49" t="inlineStr">
        <is>
          <t>geprüft · korrigiert</t>
        </is>
      </c>
      <c r="G85" t="inlineStr">
        <is>
          <t>Hyperlink führte nur auf https://map.geo.admin.ch/ (Layer und Ausschnitt fehlten)</t>
        </is>
      </c>
      <c r="H85" t="n">
        <v>200</v>
      </c>
      <c r="I85" t="inlineStr">
        <is>
          <t>https://map.geo.admin.ch/</t>
        </is>
      </c>
      <c r="J85" s="50" t="inlineStr">
        <is>
          <t>https://map.geo.admin.ch/#/map?lang=de&amp;center=2613308,1263110&amp;z=9&amp;bgLayer=ch.swisstopo.pixelkarte-grau&amp;layers=ch.bafu.bundesinventare-jagdbanngebiete</t>
        </is>
      </c>
    </row>
    <row r="86">
      <c r="A86" t="inlineStr">
        <is>
          <t>7_GIS_Layers</t>
        </is>
      </c>
      <c r="B86" t="n">
        <v>13</v>
      </c>
      <c r="C86" t="inlineStr">
        <is>
          <t>H</t>
        </is>
      </c>
      <c r="D86" t="inlineStr">
        <is>
          <t>Eidg. Jagdbanngebiete</t>
        </is>
      </c>
      <c r="E86" t="inlineStr">
        <is>
          <t>ch.bafu.bundesinventare-jagdbanngebiete</t>
        </is>
      </c>
      <c r="F86" s="49" t="inlineStr">
        <is>
          <t>geprüft · korrigiert</t>
        </is>
      </c>
      <c r="G86" t="inlineStr">
        <is>
          <t>Hyperlink führte nur auf https://map.geo.admin.ch/ (Layer und Ausschnitt fehlten)</t>
        </is>
      </c>
      <c r="H86" t="n">
        <v>200</v>
      </c>
      <c r="I86" t="inlineStr">
        <is>
          <t>https://map.geo.admin.ch/</t>
        </is>
      </c>
      <c r="J86" s="50" t="inlineStr">
        <is>
          <t>https://map.geo.admin.ch/#/map?lang=de&amp;center=2721138,1258009&amp;z=9&amp;bgLayer=ch.swisstopo.pixelkarte-grau&amp;layers=ch.bafu.bundesinventare-jagdbanngebiete</t>
        </is>
      </c>
    </row>
    <row r="87">
      <c r="A87" t="inlineStr">
        <is>
          <t>7_GIS_Layers</t>
        </is>
      </c>
      <c r="B87" t="n">
        <v>13</v>
      </c>
      <c r="C87" t="inlineStr">
        <is>
          <t>I</t>
        </is>
      </c>
      <c r="D87" t="inlineStr">
        <is>
          <t>Eidg. Jagdbanngebiete</t>
        </is>
      </c>
      <c r="E87" t="inlineStr">
        <is>
          <t>ch.bafu.bundesinventare-jagdbanngebiete</t>
        </is>
      </c>
      <c r="F87" s="49" t="inlineStr">
        <is>
          <t>geprüft · korrigiert</t>
        </is>
      </c>
      <c r="G87" t="inlineStr">
        <is>
          <t>Hyperlink führte nur auf https://map.geo.admin.ch/ (Layer und Ausschnitt fehlten)</t>
        </is>
      </c>
      <c r="H87" t="n">
        <v>200</v>
      </c>
      <c r="I87" t="inlineStr">
        <is>
          <t>https://map.geo.admin.ch/</t>
        </is>
      </c>
      <c r="J87" s="50" t="inlineStr">
        <is>
          <t>https://map.geo.admin.ch/#/map?lang=de&amp;center=2687333,1203124&amp;z=9&amp;bgLayer=ch.swisstopo.pixelkarte-grau&amp;layers=ch.bafu.bundesinventare-jagdbanngebiete</t>
        </is>
      </c>
    </row>
    <row r="88">
      <c r="A88" t="inlineStr">
        <is>
          <t>7_GIS_Layers</t>
        </is>
      </c>
      <c r="B88" t="n">
        <v>14</v>
      </c>
      <c r="C88" t="inlineStr">
        <is>
          <t>F</t>
        </is>
      </c>
      <c r="D88" t="inlineStr">
        <is>
          <t>Wasser- und Zugvogelreservate</t>
        </is>
      </c>
      <c r="E88" t="inlineStr">
        <is>
          <t>—</t>
        </is>
      </c>
      <c r="F88" s="49" t="inlineStr">
        <is>
          <t>geprüft · korrigiert</t>
        </is>
      </c>
      <c r="G88" t="inlineStr">
        <is>
          <t>Layer-ID ergänzt (ch.bafu.bundesinventare-vogelreservate, «Wasser- und Zugvogelreservate»); Hyperlink führte nur auf https://map.geo.admin.ch/ (Layer und Ausschnitt fehlten)</t>
        </is>
      </c>
      <c r="H88" t="n">
        <v>200</v>
      </c>
      <c r="I88" t="inlineStr">
        <is>
          <t>https://map.geo.admin.ch/</t>
        </is>
      </c>
      <c r="J88" s="50" t="inlineStr">
        <is>
          <t>https://map.geo.admin.ch/#/map?lang=de&amp;center=2660000,1190000&amp;z=1&amp;bgLayer=ch.swisstopo.pixelkarte-grau&amp;layers=ch.bafu.bundesinventare-vogelreservate</t>
        </is>
      </c>
    </row>
    <row r="89">
      <c r="A89" t="inlineStr">
        <is>
          <t>7_GIS_Layers</t>
        </is>
      </c>
      <c r="B89" t="n">
        <v>14</v>
      </c>
      <c r="C89" t="inlineStr">
        <is>
          <t>G</t>
        </is>
      </c>
      <c r="D89" t="inlineStr">
        <is>
          <t>Wasser- und Zugvogelreservate</t>
        </is>
      </c>
      <c r="E89" t="inlineStr">
        <is>
          <t>—</t>
        </is>
      </c>
      <c r="F89" s="49" t="inlineStr">
        <is>
          <t>geprüft · korrigiert</t>
        </is>
      </c>
      <c r="G89" t="inlineStr">
        <is>
          <t>Layer-ID ergänzt (ch.bafu.bundesinventare-vogelreservate, «Wasser- und Zugvogelreservate»); Hyperlink führte nur auf https://map.geo.admin.ch/ (Layer und Ausschnitt fehlten)</t>
        </is>
      </c>
      <c r="H89" t="n">
        <v>200</v>
      </c>
      <c r="I89" t="inlineStr">
        <is>
          <t>https://map.geo.admin.ch/</t>
        </is>
      </c>
      <c r="J89" s="50" t="inlineStr">
        <is>
          <t>https://map.geo.admin.ch/#/map?lang=de&amp;center=2613308,1263110&amp;z=9&amp;bgLayer=ch.swisstopo.pixelkarte-grau&amp;layers=ch.bafu.bundesinventare-vogelreservate</t>
        </is>
      </c>
    </row>
    <row r="90">
      <c r="A90" t="inlineStr">
        <is>
          <t>7_GIS_Layers</t>
        </is>
      </c>
      <c r="B90" t="n">
        <v>14</v>
      </c>
      <c r="C90" t="inlineStr">
        <is>
          <t>H</t>
        </is>
      </c>
      <c r="D90" t="inlineStr">
        <is>
          <t>Wasser- und Zugvogelreservate</t>
        </is>
      </c>
      <c r="E90" t="inlineStr">
        <is>
          <t>—</t>
        </is>
      </c>
      <c r="F90" s="49" t="inlineStr">
        <is>
          <t>geprüft · korrigiert</t>
        </is>
      </c>
      <c r="G90" t="inlineStr">
        <is>
          <t>Layer-ID ergänzt (ch.bafu.bundesinventare-vogelreservate, «Wasser- und Zugvogelreservate»); Hyperlink führte nur auf https://map.geo.admin.ch/ (Layer und Ausschnitt fehlten)</t>
        </is>
      </c>
      <c r="H90" t="n">
        <v>200</v>
      </c>
      <c r="I90" t="inlineStr">
        <is>
          <t>https://map.geo.admin.ch/</t>
        </is>
      </c>
      <c r="J90" s="50" t="inlineStr">
        <is>
          <t>https://map.geo.admin.ch/#/map?lang=de&amp;center=2721138,1258009&amp;z=9&amp;bgLayer=ch.swisstopo.pixelkarte-grau&amp;layers=ch.bafu.bundesinventare-vogelreservate</t>
        </is>
      </c>
    </row>
    <row r="91">
      <c r="A91" t="inlineStr">
        <is>
          <t>7_GIS_Layers</t>
        </is>
      </c>
      <c r="B91" t="n">
        <v>14</v>
      </c>
      <c r="C91" t="inlineStr">
        <is>
          <t>I</t>
        </is>
      </c>
      <c r="D91" t="inlineStr">
        <is>
          <t>Wasser- und Zugvogelreservate</t>
        </is>
      </c>
      <c r="E91" t="inlineStr">
        <is>
          <t>—</t>
        </is>
      </c>
      <c r="F91" s="49" t="inlineStr">
        <is>
          <t>geprüft · korrigiert</t>
        </is>
      </c>
      <c r="G91" t="inlineStr">
        <is>
          <t>Layer-ID ergänzt (ch.bafu.bundesinventare-vogelreservate, «Wasser- und Zugvogelreservate»); Hyperlink führte nur auf https://map.geo.admin.ch/ (Layer und Ausschnitt fehlten)</t>
        </is>
      </c>
      <c r="H91" t="n">
        <v>200</v>
      </c>
      <c r="I91" t="inlineStr">
        <is>
          <t>https://map.geo.admin.ch/</t>
        </is>
      </c>
      <c r="J91" s="50" t="inlineStr">
        <is>
          <t>https://map.geo.admin.ch/#/map?lang=de&amp;center=2687333,1203124&amp;z=9&amp;bgLayer=ch.swisstopo.pixelkarte-grau&amp;layers=ch.bafu.bundesinventare-vogelreservate</t>
        </is>
      </c>
    </row>
    <row r="92">
      <c r="A92" t="inlineStr">
        <is>
          <t>7_GIS_Layers</t>
        </is>
      </c>
      <c r="B92" t="n">
        <v>15</v>
      </c>
      <c r="C92" t="inlineStr">
        <is>
          <t>F</t>
        </is>
      </c>
      <c r="D92" t="inlineStr">
        <is>
          <t>Wildtierkorridore (überregional)</t>
        </is>
      </c>
      <c r="E92" t="inlineStr">
        <is>
          <t>ch.bafu.fauna-wildtierkorridore_national</t>
        </is>
      </c>
      <c r="F92" s="49" t="inlineStr">
        <is>
          <t>geprüft · korrigiert</t>
        </is>
      </c>
      <c r="G92" t="inlineStr">
        <is>
          <t>Layer-ID korrigiert (ch.bafu.fauna-wildtierkorridore_national existiert nicht); Hyperlink führte nur auf https://map.geo.admin.ch/ (Layer und Ausschnitt fehlten)</t>
        </is>
      </c>
      <c r="H92" t="n">
        <v>200</v>
      </c>
      <c r="I92" t="inlineStr">
        <is>
          <t>https://map.geo.admin.ch/</t>
        </is>
      </c>
      <c r="J92" s="50" t="inlineStr">
        <is>
          <t>https://map.geo.admin.ch/#/map?lang=de&amp;center=2660000,1190000&amp;z=1&amp;bgLayer=ch.swisstopo.pixelkarte-grau&amp;layers=ch.bafu.fauna-wildtierkorridor_national</t>
        </is>
      </c>
    </row>
    <row r="93">
      <c r="A93" t="inlineStr">
        <is>
          <t>7_GIS_Layers</t>
        </is>
      </c>
      <c r="B93" t="n">
        <v>15</v>
      </c>
      <c r="C93" t="inlineStr">
        <is>
          <t>G</t>
        </is>
      </c>
      <c r="D93" t="inlineStr">
        <is>
          <t>Wildtierkorridore (überregional)</t>
        </is>
      </c>
      <c r="E93" t="inlineStr">
        <is>
          <t>ch.bafu.fauna-wildtierkorridore_national</t>
        </is>
      </c>
      <c r="F93" s="49" t="inlineStr">
        <is>
          <t>geprüft · korrigiert</t>
        </is>
      </c>
      <c r="G93" t="inlineStr">
        <is>
          <t>Layer-ID korrigiert (ch.bafu.fauna-wildtierkorridore_national existiert nicht); Hyperlink führte nur auf https://map.geo.admin.ch/ (Layer und Ausschnitt fehlten)</t>
        </is>
      </c>
      <c r="H93" t="n">
        <v>200</v>
      </c>
      <c r="I93" t="inlineStr">
        <is>
          <t>https://map.geo.admin.ch/</t>
        </is>
      </c>
      <c r="J93" s="50" t="inlineStr">
        <is>
          <t>https://map.geo.admin.ch/#/map?lang=de&amp;center=2613308,1263110&amp;z=9&amp;bgLayer=ch.swisstopo.pixelkarte-grau&amp;layers=ch.bafu.fauna-wildtierkorridor_national</t>
        </is>
      </c>
    </row>
    <row r="94">
      <c r="A94" t="inlineStr">
        <is>
          <t>7_GIS_Layers</t>
        </is>
      </c>
      <c r="B94" t="n">
        <v>15</v>
      </c>
      <c r="C94" t="inlineStr">
        <is>
          <t>H</t>
        </is>
      </c>
      <c r="D94" t="inlineStr">
        <is>
          <t>Wildtierkorridore (überregional)</t>
        </is>
      </c>
      <c r="E94" t="inlineStr">
        <is>
          <t>ch.bafu.fauna-wildtierkorridore_national</t>
        </is>
      </c>
      <c r="F94" s="49" t="inlineStr">
        <is>
          <t>geprüft · korrigiert</t>
        </is>
      </c>
      <c r="G94" t="inlineStr">
        <is>
          <t>Layer-ID korrigiert (ch.bafu.fauna-wildtierkorridore_national existiert nicht); Hyperlink führte nur auf https://map.geo.admin.ch/ (Layer und Ausschnitt fehlten)</t>
        </is>
      </c>
      <c r="H94" t="n">
        <v>200</v>
      </c>
      <c r="I94" t="inlineStr">
        <is>
          <t>https://map.geo.admin.ch/</t>
        </is>
      </c>
      <c r="J94" s="50" t="inlineStr">
        <is>
          <t>https://map.geo.admin.ch/#/map?lang=de&amp;center=2721138,1258009&amp;z=9&amp;bgLayer=ch.swisstopo.pixelkarte-grau&amp;layers=ch.bafu.fauna-wildtierkorridor_national</t>
        </is>
      </c>
    </row>
    <row r="95">
      <c r="A95" t="inlineStr">
        <is>
          <t>7_GIS_Layers</t>
        </is>
      </c>
      <c r="B95" t="n">
        <v>15</v>
      </c>
      <c r="C95" t="inlineStr">
        <is>
          <t>I</t>
        </is>
      </c>
      <c r="D95" t="inlineStr">
        <is>
          <t>Wildtierkorridore (überregional)</t>
        </is>
      </c>
      <c r="E95" t="inlineStr">
        <is>
          <t>ch.bafu.fauna-wildtierkorridore_national</t>
        </is>
      </c>
      <c r="F95" s="49" t="inlineStr">
        <is>
          <t>geprüft · korrigiert</t>
        </is>
      </c>
      <c r="G95" t="inlineStr">
        <is>
          <t>Layer-ID korrigiert (ch.bafu.fauna-wildtierkorridore_national existiert nicht); Hyperlink führte nur auf https://map.geo.admin.ch/ (Layer und Ausschnitt fehlten)</t>
        </is>
      </c>
      <c r="H95" t="n">
        <v>200</v>
      </c>
      <c r="I95" t="inlineStr">
        <is>
          <t>https://map.geo.admin.ch/</t>
        </is>
      </c>
      <c r="J95" s="50" t="inlineStr">
        <is>
          <t>https://map.geo.admin.ch/#/map?lang=de&amp;center=2687333,1203124&amp;z=9&amp;bgLayer=ch.swisstopo.pixelkarte-grau&amp;layers=ch.bafu.fauna-wildtierkorridor_national</t>
        </is>
      </c>
    </row>
    <row r="96">
      <c r="A96" t="inlineStr">
        <is>
          <t>7_GIS_Layers</t>
        </is>
      </c>
      <c r="B96" t="n">
        <v>16</v>
      </c>
      <c r="C96" t="inlineStr">
        <is>
          <t>F</t>
        </is>
      </c>
      <c r="D96" t="inlineStr">
        <is>
          <t>Waldreservate</t>
        </is>
      </c>
      <c r="E96" t="inlineStr">
        <is>
          <t>ch.bafu.waldreservate</t>
        </is>
      </c>
      <c r="F96" s="49" t="inlineStr">
        <is>
          <t>geprüft · korrigiert</t>
        </is>
      </c>
      <c r="G96" t="inlineStr">
        <is>
          <t>Hyperlink führte nur auf https://map.geo.admin.ch/ (Layer und Ausschnitt fehlten)</t>
        </is>
      </c>
      <c r="H96" t="n">
        <v>200</v>
      </c>
      <c r="I96" t="inlineStr">
        <is>
          <t>https://map.geo.admin.ch/</t>
        </is>
      </c>
      <c r="J96" s="50" t="inlineStr">
        <is>
          <t>https://map.geo.admin.ch/#/map?lang=de&amp;center=2660000,1190000&amp;z=1&amp;bgLayer=ch.swisstopo.pixelkarte-grau&amp;layers=ch.bafu.waldreservate</t>
        </is>
      </c>
    </row>
    <row r="97">
      <c r="A97" t="inlineStr">
        <is>
          <t>7_GIS_Layers</t>
        </is>
      </c>
      <c r="B97" t="n">
        <v>16</v>
      </c>
      <c r="C97" t="inlineStr">
        <is>
          <t>G</t>
        </is>
      </c>
      <c r="D97" t="inlineStr">
        <is>
          <t>Waldreservate</t>
        </is>
      </c>
      <c r="E97" t="inlineStr">
        <is>
          <t>ch.bafu.waldreservate</t>
        </is>
      </c>
      <c r="F97" s="49" t="inlineStr">
        <is>
          <t>geprüft · korrigiert</t>
        </is>
      </c>
      <c r="G97" t="inlineStr">
        <is>
          <t>Hyperlink führte nur auf https://map.geo.admin.ch/ (Layer und Ausschnitt fehlten)</t>
        </is>
      </c>
      <c r="H97" t="n">
        <v>200</v>
      </c>
      <c r="I97" t="inlineStr">
        <is>
          <t>https://map.geo.admin.ch/</t>
        </is>
      </c>
      <c r="J97" s="50" t="inlineStr">
        <is>
          <t>https://map.geo.admin.ch/#/map?lang=de&amp;center=2613308,1263110&amp;z=9&amp;bgLayer=ch.swisstopo.pixelkarte-grau&amp;layers=ch.bafu.waldreservate</t>
        </is>
      </c>
    </row>
    <row r="98">
      <c r="A98" t="inlineStr">
        <is>
          <t>7_GIS_Layers</t>
        </is>
      </c>
      <c r="B98" t="n">
        <v>16</v>
      </c>
      <c r="C98" t="inlineStr">
        <is>
          <t>H</t>
        </is>
      </c>
      <c r="D98" t="inlineStr">
        <is>
          <t>Waldreservate</t>
        </is>
      </c>
      <c r="E98" t="inlineStr">
        <is>
          <t>ch.bafu.waldreservate</t>
        </is>
      </c>
      <c r="F98" s="49" t="inlineStr">
        <is>
          <t>geprüft · korrigiert</t>
        </is>
      </c>
      <c r="G98" t="inlineStr">
        <is>
          <t>Hyperlink führte nur auf https://map.geo.admin.ch/ (Layer und Ausschnitt fehlten)</t>
        </is>
      </c>
      <c r="H98" t="n">
        <v>200</v>
      </c>
      <c r="I98" t="inlineStr">
        <is>
          <t>https://map.geo.admin.ch/</t>
        </is>
      </c>
      <c r="J98" s="50" t="inlineStr">
        <is>
          <t>https://map.geo.admin.ch/#/map?lang=de&amp;center=2721138,1258009&amp;z=9&amp;bgLayer=ch.swisstopo.pixelkarte-grau&amp;layers=ch.bafu.waldreservate</t>
        </is>
      </c>
    </row>
    <row r="99">
      <c r="A99" t="inlineStr">
        <is>
          <t>7_GIS_Layers</t>
        </is>
      </c>
      <c r="B99" t="n">
        <v>16</v>
      </c>
      <c r="C99" t="inlineStr">
        <is>
          <t>I</t>
        </is>
      </c>
      <c r="D99" t="inlineStr">
        <is>
          <t>Waldreservate</t>
        </is>
      </c>
      <c r="E99" t="inlineStr">
        <is>
          <t>ch.bafu.waldreservate</t>
        </is>
      </c>
      <c r="F99" s="49" t="inlineStr">
        <is>
          <t>geprüft · korrigiert</t>
        </is>
      </c>
      <c r="G99" t="inlineStr">
        <is>
          <t>Hyperlink führte nur auf https://map.geo.admin.ch/ (Layer und Ausschnitt fehlten)</t>
        </is>
      </c>
      <c r="H99" t="n">
        <v>200</v>
      </c>
      <c r="I99" t="inlineStr">
        <is>
          <t>https://map.geo.admin.ch/</t>
        </is>
      </c>
      <c r="J99" s="50" t="inlineStr">
        <is>
          <t>https://map.geo.admin.ch/#/map?lang=de&amp;center=2687333,1203124&amp;z=9&amp;bgLayer=ch.swisstopo.pixelkarte-grau&amp;layers=ch.bafu.waldreservate</t>
        </is>
      </c>
    </row>
    <row r="100">
      <c r="A100" t="inlineStr">
        <is>
          <t>7_GIS_Layers</t>
        </is>
      </c>
      <c r="B100" t="n">
        <v>17</v>
      </c>
      <c r="C100" t="inlineStr">
        <is>
          <t>F</t>
        </is>
      </c>
      <c r="D100" t="inlineStr">
        <is>
          <t>Waldareal / Schutzwald</t>
        </is>
      </c>
      <c r="E100" t="inlineStr">
        <is>
          <t>—</t>
        </is>
      </c>
      <c r="F100" s="49" t="inlineStr">
        <is>
          <t>geprüft · korrigiert</t>
        </is>
      </c>
      <c r="G100" t="inlineStr">
        <is>
          <t>Hyperlink führte nur auf https://map.geo.admin.ch/ (Layer und Ausschnitt fehlten); keine eindeutige Layer-ID; Link zeigt die Gemeinde ohne Layer</t>
        </is>
      </c>
      <c r="H100" t="n">
        <v>200</v>
      </c>
      <c r="I100" t="inlineStr">
        <is>
          <t>https://map.geo.admin.ch/</t>
        </is>
      </c>
      <c r="J100" s="50" t="inlineStr">
        <is>
          <t>https://map.geo.admin.ch/#/map?lang=de&amp;center=2660000,1190000&amp;z=1&amp;bgLayer=ch.swisstopo.pixelkarte-grau</t>
        </is>
      </c>
    </row>
    <row r="101">
      <c r="A101" t="inlineStr">
        <is>
          <t>7_GIS_Layers</t>
        </is>
      </c>
      <c r="B101" t="n">
        <v>17</v>
      </c>
      <c r="C101" t="inlineStr">
        <is>
          <t>G</t>
        </is>
      </c>
      <c r="D101" t="inlineStr">
        <is>
          <t>Waldareal / Schutzwald</t>
        </is>
      </c>
      <c r="E101" t="inlineStr">
        <is>
          <t>—</t>
        </is>
      </c>
      <c r="F101" s="49" t="inlineStr">
        <is>
          <t>geprüft · korrigiert</t>
        </is>
      </c>
      <c r="G101" t="inlineStr">
        <is>
          <t>Hyperlink führte nur auf https://map.geo.admin.ch/ (Layer und Ausschnitt fehlten); keine eindeutige Layer-ID; Link zeigt die Gemeinde ohne Layer</t>
        </is>
      </c>
      <c r="H101" t="n">
        <v>200</v>
      </c>
      <c r="I101" t="inlineStr">
        <is>
          <t>https://map.geo.admin.ch/</t>
        </is>
      </c>
      <c r="J101" s="50" t="inlineStr">
        <is>
          <t>https://map.geo.admin.ch/#/map?lang=de&amp;center=2613308,1263110&amp;z=9&amp;bgLayer=ch.swisstopo.pixelkarte-grau</t>
        </is>
      </c>
    </row>
    <row r="102">
      <c r="A102" t="inlineStr">
        <is>
          <t>7_GIS_Layers</t>
        </is>
      </c>
      <c r="B102" t="n">
        <v>17</v>
      </c>
      <c r="C102" t="inlineStr">
        <is>
          <t>H</t>
        </is>
      </c>
      <c r="D102" t="inlineStr">
        <is>
          <t>Waldareal / Schutzwald</t>
        </is>
      </c>
      <c r="E102" t="inlineStr">
        <is>
          <t>—</t>
        </is>
      </c>
      <c r="F102" s="49" t="inlineStr">
        <is>
          <t>geprüft · korrigiert</t>
        </is>
      </c>
      <c r="G102" t="inlineStr">
        <is>
          <t>Hyperlink führte nur auf https://map.geo.admin.ch/ (Layer und Ausschnitt fehlten); keine eindeutige Layer-ID; Link zeigt die Gemeinde ohne Layer</t>
        </is>
      </c>
      <c r="H102" t="n">
        <v>200</v>
      </c>
      <c r="I102" t="inlineStr">
        <is>
          <t>https://map.geo.admin.ch/</t>
        </is>
      </c>
      <c r="J102" s="50" t="inlineStr">
        <is>
          <t>https://map.geo.admin.ch/#/map?lang=de&amp;center=2721138,1258009&amp;z=9&amp;bgLayer=ch.swisstopo.pixelkarte-grau</t>
        </is>
      </c>
    </row>
    <row r="103">
      <c r="A103" t="inlineStr">
        <is>
          <t>7_GIS_Layers</t>
        </is>
      </c>
      <c r="B103" t="n">
        <v>17</v>
      </c>
      <c r="C103" t="inlineStr">
        <is>
          <t>I</t>
        </is>
      </c>
      <c r="D103" t="inlineStr">
        <is>
          <t>Waldareal / Schutzwald</t>
        </is>
      </c>
      <c r="E103" t="inlineStr">
        <is>
          <t>—</t>
        </is>
      </c>
      <c r="F103" s="49" t="inlineStr">
        <is>
          <t>geprüft · korrigiert</t>
        </is>
      </c>
      <c r="G103" t="inlineStr">
        <is>
          <t>Hyperlink führte nur auf https://map.geo.admin.ch/ (Layer und Ausschnitt fehlten); keine eindeutige Layer-ID; Link zeigt die Gemeinde ohne Layer</t>
        </is>
      </c>
      <c r="H103" t="n">
        <v>200</v>
      </c>
      <c r="I103" t="inlineStr">
        <is>
          <t>https://map.geo.admin.ch/</t>
        </is>
      </c>
      <c r="J103" s="50" t="inlineStr">
        <is>
          <t>https://map.geo.admin.ch/#/map?lang=de&amp;center=2687333,1203124&amp;z=9&amp;bgLayer=ch.swisstopo.pixelkarte-grau</t>
        </is>
      </c>
    </row>
    <row r="104">
      <c r="A104" t="inlineStr">
        <is>
          <t>7_GIS_Layers</t>
        </is>
      </c>
      <c r="B104" t="n">
        <v>18</v>
      </c>
      <c r="C104" t="inlineStr">
        <is>
          <t>F</t>
        </is>
      </c>
      <c r="D104" t="inlineStr">
        <is>
          <t>Bauzonen Schweiz (harmonisiert)</t>
        </is>
      </c>
      <c r="E104" t="inlineStr">
        <is>
          <t>ch.are.bauzonen</t>
        </is>
      </c>
      <c r="F104" s="49" t="inlineStr">
        <is>
          <t>geprüft · korrigiert</t>
        </is>
      </c>
      <c r="G104" t="inlineStr">
        <is>
          <t>Hyperlink führte nur auf https://map.geo.admin.ch/ (Layer und Ausschnitt fehlten)</t>
        </is>
      </c>
      <c r="H104" t="n">
        <v>200</v>
      </c>
      <c r="I104" t="inlineStr">
        <is>
          <t>https://map.geo.admin.ch/</t>
        </is>
      </c>
      <c r="J104" s="50" t="inlineStr">
        <is>
          <t>https://map.geo.admin.ch/#/map?lang=de&amp;center=2660000,1190000&amp;z=1&amp;bgLayer=ch.swisstopo.pixelkarte-grau&amp;layers=ch.are.bauzonen</t>
        </is>
      </c>
    </row>
    <row r="105">
      <c r="A105" t="inlineStr">
        <is>
          <t>7_GIS_Layers</t>
        </is>
      </c>
      <c r="B105" t="n">
        <v>18</v>
      </c>
      <c r="C105" t="inlineStr">
        <is>
          <t>G</t>
        </is>
      </c>
      <c r="D105" t="inlineStr">
        <is>
          <t>Bauzonen Schweiz (harmonisiert)</t>
        </is>
      </c>
      <c r="E105" t="inlineStr">
        <is>
          <t>ch.are.bauzonen</t>
        </is>
      </c>
      <c r="F105" s="49" t="inlineStr">
        <is>
          <t>geprüft · korrigiert</t>
        </is>
      </c>
      <c r="G105" t="inlineStr">
        <is>
          <t>Hyperlink führte nur auf https://map.geo.admin.ch/ (Layer und Ausschnitt fehlten)</t>
        </is>
      </c>
      <c r="H105" t="n">
        <v>200</v>
      </c>
      <c r="I105" t="inlineStr">
        <is>
          <t>https://map.geo.admin.ch/</t>
        </is>
      </c>
      <c r="J105" s="50" t="inlineStr">
        <is>
          <t>https://map.geo.admin.ch/#/map?lang=de&amp;center=2613308,1263110&amp;z=9&amp;bgLayer=ch.swisstopo.pixelkarte-grau&amp;layers=ch.are.bauzonen</t>
        </is>
      </c>
    </row>
    <row r="106">
      <c r="A106" t="inlineStr">
        <is>
          <t>7_GIS_Layers</t>
        </is>
      </c>
      <c r="B106" t="n">
        <v>18</v>
      </c>
      <c r="C106" t="inlineStr">
        <is>
          <t>H</t>
        </is>
      </c>
      <c r="D106" t="inlineStr">
        <is>
          <t>Bauzonen Schweiz (harmonisiert)</t>
        </is>
      </c>
      <c r="E106" t="inlineStr">
        <is>
          <t>ch.are.bauzonen</t>
        </is>
      </c>
      <c r="F106" s="49" t="inlineStr">
        <is>
          <t>geprüft · korrigiert</t>
        </is>
      </c>
      <c r="G106" t="inlineStr">
        <is>
          <t>Hyperlink führte nur auf https://map.geo.admin.ch/ (Layer und Ausschnitt fehlten)</t>
        </is>
      </c>
      <c r="H106" t="n">
        <v>200</v>
      </c>
      <c r="I106" t="inlineStr">
        <is>
          <t>https://map.geo.admin.ch/</t>
        </is>
      </c>
      <c r="J106" s="50" t="inlineStr">
        <is>
          <t>https://map.geo.admin.ch/#/map?lang=de&amp;center=2721138,1258009&amp;z=9&amp;bgLayer=ch.swisstopo.pixelkarte-grau&amp;layers=ch.are.bauzonen</t>
        </is>
      </c>
    </row>
    <row r="107">
      <c r="A107" t="inlineStr">
        <is>
          <t>7_GIS_Layers</t>
        </is>
      </c>
      <c r="B107" t="n">
        <v>18</v>
      </c>
      <c r="C107" t="inlineStr">
        <is>
          <t>I</t>
        </is>
      </c>
      <c r="D107" t="inlineStr">
        <is>
          <t>Bauzonen Schweiz (harmonisiert)</t>
        </is>
      </c>
      <c r="E107" t="inlineStr">
        <is>
          <t>ch.are.bauzonen</t>
        </is>
      </c>
      <c r="F107" s="49" t="inlineStr">
        <is>
          <t>geprüft · korrigiert</t>
        </is>
      </c>
      <c r="G107" t="inlineStr">
        <is>
          <t>Hyperlink führte nur auf https://map.geo.admin.ch/ (Layer und Ausschnitt fehlten)</t>
        </is>
      </c>
      <c r="H107" t="n">
        <v>200</v>
      </c>
      <c r="I107" t="inlineStr">
        <is>
          <t>https://map.geo.admin.ch/</t>
        </is>
      </c>
      <c r="J107" s="50" t="inlineStr">
        <is>
          <t>https://map.geo.admin.ch/#/map?lang=de&amp;center=2687333,1203124&amp;z=9&amp;bgLayer=ch.swisstopo.pixelkarte-grau&amp;layers=ch.are.bauzonen</t>
        </is>
      </c>
    </row>
    <row r="108">
      <c r="A108" t="inlineStr">
        <is>
          <t>7_GIS_Layers</t>
        </is>
      </c>
      <c r="B108" t="n">
        <v>19</v>
      </c>
      <c r="C108" t="inlineStr">
        <is>
          <t>F</t>
        </is>
      </c>
      <c r="D108" t="inlineStr">
        <is>
          <t>Solarenergie: Eignung Dächer</t>
        </is>
      </c>
      <c r="E108" t="inlineStr">
        <is>
          <t>ch.bfe.solarenergie-eignung-daecher</t>
        </is>
      </c>
      <c r="F108" s="49" t="inlineStr">
        <is>
          <t>geprüft · korrigiert</t>
        </is>
      </c>
      <c r="G108" t="inlineStr">
        <is>
          <t>Hyperlink führte nur auf https://map.geo.admin.ch/ (Layer und Ausschnitt fehlten)</t>
        </is>
      </c>
      <c r="H108" t="n">
        <v>200</v>
      </c>
      <c r="I108" t="inlineStr">
        <is>
          <t>https://map.geo.admin.ch/</t>
        </is>
      </c>
      <c r="J108" s="50" t="inlineStr">
        <is>
          <t>https://map.geo.admin.ch/#/map?lang=de&amp;center=2660000,1190000&amp;z=1&amp;bgLayer=ch.swisstopo.pixelkarte-grau&amp;layers=ch.bfe.solarenergie-eignung-daecher</t>
        </is>
      </c>
    </row>
    <row r="109">
      <c r="A109" t="inlineStr">
        <is>
          <t>7_GIS_Layers</t>
        </is>
      </c>
      <c r="B109" t="n">
        <v>19</v>
      </c>
      <c r="C109" t="inlineStr">
        <is>
          <t>G</t>
        </is>
      </c>
      <c r="D109" t="inlineStr">
        <is>
          <t>Solarenergie: Eignung Dächer</t>
        </is>
      </c>
      <c r="E109" t="inlineStr">
        <is>
          <t>ch.bfe.solarenergie-eignung-daecher</t>
        </is>
      </c>
      <c r="F109" s="49" t="inlineStr">
        <is>
          <t>geprüft · korrigiert</t>
        </is>
      </c>
      <c r="G109" t="inlineStr">
        <is>
          <t>Hyperlink führte nur auf https://map.geo.admin.ch/ (Layer und Ausschnitt fehlten)</t>
        </is>
      </c>
      <c r="H109" t="n">
        <v>200</v>
      </c>
      <c r="I109" t="inlineStr">
        <is>
          <t>https://map.geo.admin.ch/</t>
        </is>
      </c>
      <c r="J109" s="50" t="inlineStr">
        <is>
          <t>https://map.geo.admin.ch/#/map?lang=de&amp;center=2613308,1263110&amp;z=9&amp;bgLayer=ch.swisstopo.pixelkarte-grau&amp;layers=ch.bfe.solarenergie-eignung-daecher</t>
        </is>
      </c>
    </row>
    <row r="110">
      <c r="A110" t="inlineStr">
        <is>
          <t>7_GIS_Layers</t>
        </is>
      </c>
      <c r="B110" t="n">
        <v>19</v>
      </c>
      <c r="C110" t="inlineStr">
        <is>
          <t>H</t>
        </is>
      </c>
      <c r="D110" t="inlineStr">
        <is>
          <t>Solarenergie: Eignung Dächer</t>
        </is>
      </c>
      <c r="E110" t="inlineStr">
        <is>
          <t>ch.bfe.solarenergie-eignung-daecher</t>
        </is>
      </c>
      <c r="F110" s="49" t="inlineStr">
        <is>
          <t>geprüft · korrigiert</t>
        </is>
      </c>
      <c r="G110" t="inlineStr">
        <is>
          <t>Hyperlink führte nur auf https://map.geo.admin.ch/ (Layer und Ausschnitt fehlten)</t>
        </is>
      </c>
      <c r="H110" t="n">
        <v>200</v>
      </c>
      <c r="I110" t="inlineStr">
        <is>
          <t>https://map.geo.admin.ch/</t>
        </is>
      </c>
      <c r="J110" s="50" t="inlineStr">
        <is>
          <t>https://map.geo.admin.ch/#/map?lang=de&amp;center=2721138,1258009&amp;z=9&amp;bgLayer=ch.swisstopo.pixelkarte-grau&amp;layers=ch.bfe.solarenergie-eignung-daecher</t>
        </is>
      </c>
    </row>
    <row r="111">
      <c r="A111" t="inlineStr">
        <is>
          <t>7_GIS_Layers</t>
        </is>
      </c>
      <c r="B111" t="n">
        <v>19</v>
      </c>
      <c r="C111" t="inlineStr">
        <is>
          <t>I</t>
        </is>
      </c>
      <c r="D111" t="inlineStr">
        <is>
          <t>Solarenergie: Eignung Dächer</t>
        </is>
      </c>
      <c r="E111" t="inlineStr">
        <is>
          <t>ch.bfe.solarenergie-eignung-daecher</t>
        </is>
      </c>
      <c r="F111" s="49" t="inlineStr">
        <is>
          <t>geprüft · korrigiert</t>
        </is>
      </c>
      <c r="G111" t="inlineStr">
        <is>
          <t>Hyperlink führte nur auf https://map.geo.admin.ch/ (Layer und Ausschnitt fehlten)</t>
        </is>
      </c>
      <c r="H111" t="n">
        <v>200</v>
      </c>
      <c r="I111" t="inlineStr">
        <is>
          <t>https://map.geo.admin.ch/</t>
        </is>
      </c>
      <c r="J111" s="50" t="inlineStr">
        <is>
          <t>https://map.geo.admin.ch/#/map?lang=de&amp;center=2687333,1203124&amp;z=9&amp;bgLayer=ch.swisstopo.pixelkarte-grau&amp;layers=ch.bfe.solarenergie-eignung-daecher</t>
        </is>
      </c>
    </row>
    <row r="112">
      <c r="A112" t="inlineStr">
        <is>
          <t>7_GIS_Layers</t>
        </is>
      </c>
      <c r="B112" t="n">
        <v>20</v>
      </c>
      <c r="C112" t="inlineStr">
        <is>
          <t>F</t>
        </is>
      </c>
      <c r="D112" t="inlineStr">
        <is>
          <t>Solarenergie: Eignung Fassaden</t>
        </is>
      </c>
      <c r="E112" t="inlineStr">
        <is>
          <t>ch.bfe.solarenergie-eignung-fassaden</t>
        </is>
      </c>
      <c r="F112" s="49" t="inlineStr">
        <is>
          <t>geprüft · korrigiert</t>
        </is>
      </c>
      <c r="G112" t="inlineStr">
        <is>
          <t>Hyperlink führte nur auf https://map.geo.admin.ch/ (Layer und Ausschnitt fehlten)</t>
        </is>
      </c>
      <c r="H112" t="n">
        <v>200</v>
      </c>
      <c r="I112" t="inlineStr">
        <is>
          <t>https://map.geo.admin.ch/</t>
        </is>
      </c>
      <c r="J112" s="50" t="inlineStr">
        <is>
          <t>https://map.geo.admin.ch/#/map?lang=de&amp;center=2660000,1190000&amp;z=1&amp;bgLayer=ch.swisstopo.pixelkarte-grau&amp;layers=ch.bfe.solarenergie-eignung-fassaden</t>
        </is>
      </c>
    </row>
    <row r="113">
      <c r="A113" t="inlineStr">
        <is>
          <t>7_GIS_Layers</t>
        </is>
      </c>
      <c r="B113" t="n">
        <v>20</v>
      </c>
      <c r="C113" t="inlineStr">
        <is>
          <t>G</t>
        </is>
      </c>
      <c r="D113" t="inlineStr">
        <is>
          <t>Solarenergie: Eignung Fassaden</t>
        </is>
      </c>
      <c r="E113" t="inlineStr">
        <is>
          <t>ch.bfe.solarenergie-eignung-fassaden</t>
        </is>
      </c>
      <c r="F113" s="49" t="inlineStr">
        <is>
          <t>geprüft · korrigiert</t>
        </is>
      </c>
      <c r="G113" t="inlineStr">
        <is>
          <t>Hyperlink führte nur auf https://map.geo.admin.ch/ (Layer und Ausschnitt fehlten)</t>
        </is>
      </c>
      <c r="H113" t="n">
        <v>200</v>
      </c>
      <c r="I113" t="inlineStr">
        <is>
          <t>https://map.geo.admin.ch/</t>
        </is>
      </c>
      <c r="J113" s="50" t="inlineStr">
        <is>
          <t>https://map.geo.admin.ch/#/map?lang=de&amp;center=2613308,1263110&amp;z=9&amp;bgLayer=ch.swisstopo.pixelkarte-grau&amp;layers=ch.bfe.solarenergie-eignung-fassaden</t>
        </is>
      </c>
    </row>
    <row r="114">
      <c r="A114" t="inlineStr">
        <is>
          <t>7_GIS_Layers</t>
        </is>
      </c>
      <c r="B114" t="n">
        <v>20</v>
      </c>
      <c r="C114" t="inlineStr">
        <is>
          <t>H</t>
        </is>
      </c>
      <c r="D114" t="inlineStr">
        <is>
          <t>Solarenergie: Eignung Fassaden</t>
        </is>
      </c>
      <c r="E114" t="inlineStr">
        <is>
          <t>ch.bfe.solarenergie-eignung-fassaden</t>
        </is>
      </c>
      <c r="F114" s="49" t="inlineStr">
        <is>
          <t>geprüft · korrigiert</t>
        </is>
      </c>
      <c r="G114" t="inlineStr">
        <is>
          <t>Hyperlink führte nur auf https://map.geo.admin.ch/ (Layer und Ausschnitt fehlten)</t>
        </is>
      </c>
      <c r="H114" t="n">
        <v>200</v>
      </c>
      <c r="I114" t="inlineStr">
        <is>
          <t>https://map.geo.admin.ch/</t>
        </is>
      </c>
      <c r="J114" s="50" t="inlineStr">
        <is>
          <t>https://map.geo.admin.ch/#/map?lang=de&amp;center=2721138,1258009&amp;z=9&amp;bgLayer=ch.swisstopo.pixelkarte-grau&amp;layers=ch.bfe.solarenergie-eignung-fassaden</t>
        </is>
      </c>
    </row>
    <row r="115">
      <c r="A115" t="inlineStr">
        <is>
          <t>7_GIS_Layers</t>
        </is>
      </c>
      <c r="B115" t="n">
        <v>20</v>
      </c>
      <c r="C115" t="inlineStr">
        <is>
          <t>I</t>
        </is>
      </c>
      <c r="D115" t="inlineStr">
        <is>
          <t>Solarenergie: Eignung Fassaden</t>
        </is>
      </c>
      <c r="E115" t="inlineStr">
        <is>
          <t>ch.bfe.solarenergie-eignung-fassaden</t>
        </is>
      </c>
      <c r="F115" s="49" t="inlineStr">
        <is>
          <t>geprüft · korrigiert</t>
        </is>
      </c>
      <c r="G115" t="inlineStr">
        <is>
          <t>Hyperlink führte nur auf https://map.geo.admin.ch/ (Layer und Ausschnitt fehlten)</t>
        </is>
      </c>
      <c r="H115" t="n">
        <v>200</v>
      </c>
      <c r="I115" t="inlineStr">
        <is>
          <t>https://map.geo.admin.ch/</t>
        </is>
      </c>
      <c r="J115" s="50" t="inlineStr">
        <is>
          <t>https://map.geo.admin.ch/#/map?lang=de&amp;center=2687333,1203124&amp;z=9&amp;bgLayer=ch.swisstopo.pixelkarte-grau&amp;layers=ch.bfe.solarenergie-eignung-fassaden</t>
        </is>
      </c>
    </row>
    <row r="116">
      <c r="A116" t="inlineStr">
        <is>
          <t>7_GIS_Layers</t>
        </is>
      </c>
      <c r="B116" t="n">
        <v>21</v>
      </c>
      <c r="C116" t="inlineStr">
        <is>
          <t>F</t>
        </is>
      </c>
      <c r="D116" t="inlineStr">
        <is>
          <t>Gebäude- und Wohnungsregister (Heizung, Energieträger)</t>
        </is>
      </c>
      <c r="E116" t="inlineStr">
        <is>
          <t>ch.bfs.gebaeude_wohnungs_register</t>
        </is>
      </c>
      <c r="F116" s="49" t="inlineStr">
        <is>
          <t>geprüft · korrigiert</t>
        </is>
      </c>
      <c r="G116" t="inlineStr">
        <is>
          <t>Hyperlink führte nur auf https://map.geo.admin.ch/ (Layer und Ausschnitt fehlten)</t>
        </is>
      </c>
      <c r="H116" t="n">
        <v>200</v>
      </c>
      <c r="I116" t="inlineStr">
        <is>
          <t>https://map.geo.admin.ch/</t>
        </is>
      </c>
      <c r="J116" s="50" t="inlineStr">
        <is>
          <t>https://map.geo.admin.ch/#/map?lang=de&amp;center=2660000,1190000&amp;z=1&amp;bgLayer=ch.swisstopo.pixelkarte-grau&amp;layers=ch.bfs.gebaeude_wohnungs_register</t>
        </is>
      </c>
    </row>
    <row r="117">
      <c r="A117" t="inlineStr">
        <is>
          <t>7_GIS_Layers</t>
        </is>
      </c>
      <c r="B117" t="n">
        <v>21</v>
      </c>
      <c r="C117" t="inlineStr">
        <is>
          <t>G</t>
        </is>
      </c>
      <c r="D117" t="inlineStr">
        <is>
          <t>Gebäude- und Wohnungsregister (Heizung, Energieträger)</t>
        </is>
      </c>
      <c r="E117" t="inlineStr">
        <is>
          <t>ch.bfs.gebaeude_wohnungs_register</t>
        </is>
      </c>
      <c r="F117" s="49" t="inlineStr">
        <is>
          <t>geprüft · korrigiert</t>
        </is>
      </c>
      <c r="G117" t="inlineStr">
        <is>
          <t>Hyperlink führte nur auf https://map.geo.admin.ch/ (Layer und Ausschnitt fehlten)</t>
        </is>
      </c>
      <c r="H117" t="n">
        <v>200</v>
      </c>
      <c r="I117" t="inlineStr">
        <is>
          <t>https://map.geo.admin.ch/</t>
        </is>
      </c>
      <c r="J117" s="50" t="inlineStr">
        <is>
          <t>https://map.geo.admin.ch/#/map?lang=de&amp;center=2613308,1263110&amp;z=9&amp;bgLayer=ch.swisstopo.pixelkarte-grau&amp;layers=ch.bfs.gebaeude_wohnungs_register</t>
        </is>
      </c>
    </row>
    <row r="118">
      <c r="A118" t="inlineStr">
        <is>
          <t>7_GIS_Layers</t>
        </is>
      </c>
      <c r="B118" t="n">
        <v>21</v>
      </c>
      <c r="C118" t="inlineStr">
        <is>
          <t>H</t>
        </is>
      </c>
      <c r="D118" t="inlineStr">
        <is>
          <t>Gebäude- und Wohnungsregister (Heizung, Energieträger)</t>
        </is>
      </c>
      <c r="E118" t="inlineStr">
        <is>
          <t>ch.bfs.gebaeude_wohnungs_register</t>
        </is>
      </c>
      <c r="F118" s="49" t="inlineStr">
        <is>
          <t>geprüft · korrigiert</t>
        </is>
      </c>
      <c r="G118" t="inlineStr">
        <is>
          <t>Hyperlink führte nur auf https://map.geo.admin.ch/ (Layer und Ausschnitt fehlten)</t>
        </is>
      </c>
      <c r="H118" t="n">
        <v>200</v>
      </c>
      <c r="I118" t="inlineStr">
        <is>
          <t>https://map.geo.admin.ch/</t>
        </is>
      </c>
      <c r="J118" s="50" t="inlineStr">
        <is>
          <t>https://map.geo.admin.ch/#/map?lang=de&amp;center=2721138,1258009&amp;z=9&amp;bgLayer=ch.swisstopo.pixelkarte-grau&amp;layers=ch.bfs.gebaeude_wohnungs_register</t>
        </is>
      </c>
    </row>
    <row r="119">
      <c r="A119" t="inlineStr">
        <is>
          <t>7_GIS_Layers</t>
        </is>
      </c>
      <c r="B119" t="n">
        <v>21</v>
      </c>
      <c r="C119" t="inlineStr">
        <is>
          <t>I</t>
        </is>
      </c>
      <c r="D119" t="inlineStr">
        <is>
          <t>Gebäude- und Wohnungsregister (Heizung, Energieträger)</t>
        </is>
      </c>
      <c r="E119" t="inlineStr">
        <is>
          <t>ch.bfs.gebaeude_wohnungs_register</t>
        </is>
      </c>
      <c r="F119" s="49" t="inlineStr">
        <is>
          <t>geprüft · korrigiert</t>
        </is>
      </c>
      <c r="G119" t="inlineStr">
        <is>
          <t>Hyperlink führte nur auf https://map.geo.admin.ch/ (Layer und Ausschnitt fehlten)</t>
        </is>
      </c>
      <c r="H119" t="n">
        <v>200</v>
      </c>
      <c r="I119" t="inlineStr">
        <is>
          <t>https://map.geo.admin.ch/</t>
        </is>
      </c>
      <c r="J119" s="50" t="inlineStr">
        <is>
          <t>https://map.geo.admin.ch/#/map?lang=de&amp;center=2687333,1203124&amp;z=9&amp;bgLayer=ch.swisstopo.pixelkarte-grau&amp;layers=ch.bfs.gebaeude_wohnungs_register</t>
        </is>
      </c>
    </row>
    <row r="120">
      <c r="A120" t="inlineStr">
        <is>
          <t>7_GIS_Layers</t>
        </is>
      </c>
      <c r="B120" t="n">
        <v>22</v>
      </c>
      <c r="C120" t="inlineStr">
        <is>
          <t>F</t>
        </is>
      </c>
      <c r="D120" t="inlineStr">
        <is>
          <t>Windenergie / Geothermie / Wärmenetz-Potenzial</t>
        </is>
      </c>
      <c r="E120" t="inlineStr">
        <is>
          <t>—</t>
        </is>
      </c>
      <c r="F120" s="49" t="inlineStr">
        <is>
          <t>geprüft · korrigiert</t>
        </is>
      </c>
      <c r="G120" t="inlineStr">
        <is>
          <t>Hyperlink führte nur auf https://map.geo.admin.ch/ (Layer und Ausschnitt fehlten); keine eindeutige Layer-ID; Link zeigt die Gemeinde ohne Layer</t>
        </is>
      </c>
      <c r="H120" t="n">
        <v>200</v>
      </c>
      <c r="I120" t="inlineStr">
        <is>
          <t>https://map.geo.admin.ch/</t>
        </is>
      </c>
      <c r="J120" s="50" t="inlineStr">
        <is>
          <t>https://map.geo.admin.ch/#/map?lang=de&amp;center=2660000,1190000&amp;z=1&amp;bgLayer=ch.swisstopo.pixelkarte-grau</t>
        </is>
      </c>
    </row>
    <row r="121">
      <c r="A121" t="inlineStr">
        <is>
          <t>7_GIS_Layers</t>
        </is>
      </c>
      <c r="B121" t="n">
        <v>22</v>
      </c>
      <c r="C121" t="inlineStr">
        <is>
          <t>G</t>
        </is>
      </c>
      <c r="D121" t="inlineStr">
        <is>
          <t>Windenergie / Geothermie / Wärmenetz-Potenzial</t>
        </is>
      </c>
      <c r="E121" t="inlineStr">
        <is>
          <t>—</t>
        </is>
      </c>
      <c r="F121" s="49" t="inlineStr">
        <is>
          <t>geprüft · korrigiert</t>
        </is>
      </c>
      <c r="G121" t="inlineStr">
        <is>
          <t>Hyperlink führte nur auf https://map.geo.admin.ch/ (Layer und Ausschnitt fehlten); keine eindeutige Layer-ID; Link zeigt die Gemeinde ohne Layer</t>
        </is>
      </c>
      <c r="H121" t="n">
        <v>200</v>
      </c>
      <c r="I121" t="inlineStr">
        <is>
          <t>https://map.geo.admin.ch/</t>
        </is>
      </c>
      <c r="J121" s="50" t="inlineStr">
        <is>
          <t>https://map.geo.admin.ch/#/map?lang=de&amp;center=2613308,1263110&amp;z=9&amp;bgLayer=ch.swisstopo.pixelkarte-grau</t>
        </is>
      </c>
    </row>
    <row r="122">
      <c r="A122" t="inlineStr">
        <is>
          <t>7_GIS_Layers</t>
        </is>
      </c>
      <c r="B122" t="n">
        <v>22</v>
      </c>
      <c r="C122" t="inlineStr">
        <is>
          <t>H</t>
        </is>
      </c>
      <c r="D122" t="inlineStr">
        <is>
          <t>Windenergie / Geothermie / Wärmenetz-Potenzial</t>
        </is>
      </c>
      <c r="E122" t="inlineStr">
        <is>
          <t>—</t>
        </is>
      </c>
      <c r="F122" s="49" t="inlineStr">
        <is>
          <t>geprüft · korrigiert</t>
        </is>
      </c>
      <c r="G122" t="inlineStr">
        <is>
          <t>Hyperlink führte nur auf https://map.geo.admin.ch/ (Layer und Ausschnitt fehlten); keine eindeutige Layer-ID; Link zeigt die Gemeinde ohne Layer</t>
        </is>
      </c>
      <c r="H122" t="n">
        <v>200</v>
      </c>
      <c r="I122" t="inlineStr">
        <is>
          <t>https://map.geo.admin.ch/</t>
        </is>
      </c>
      <c r="J122" s="50" t="inlineStr">
        <is>
          <t>https://map.geo.admin.ch/#/map?lang=de&amp;center=2721138,1258009&amp;z=9&amp;bgLayer=ch.swisstopo.pixelkarte-grau</t>
        </is>
      </c>
    </row>
    <row r="123">
      <c r="A123" t="inlineStr">
        <is>
          <t>7_GIS_Layers</t>
        </is>
      </c>
      <c r="B123" t="n">
        <v>22</v>
      </c>
      <c r="C123" t="inlineStr">
        <is>
          <t>I</t>
        </is>
      </c>
      <c r="D123" t="inlineStr">
        <is>
          <t>Windenergie / Geothermie / Wärmenetz-Potenzial</t>
        </is>
      </c>
      <c r="E123" t="inlineStr">
        <is>
          <t>—</t>
        </is>
      </c>
      <c r="F123" s="49" t="inlineStr">
        <is>
          <t>geprüft · korrigiert</t>
        </is>
      </c>
      <c r="G123" t="inlineStr">
        <is>
          <t>Hyperlink führte nur auf https://map.geo.admin.ch/ (Layer und Ausschnitt fehlten); keine eindeutige Layer-ID; Link zeigt die Gemeinde ohne Layer</t>
        </is>
      </c>
      <c r="H123" t="n">
        <v>200</v>
      </c>
      <c r="I123" t="inlineStr">
        <is>
          <t>https://map.geo.admin.ch/</t>
        </is>
      </c>
      <c r="J123" s="50" t="inlineStr">
        <is>
          <t>https://map.geo.admin.ch/#/map?lang=de&amp;center=2687333,1203124&amp;z=9&amp;bgLayer=ch.swisstopo.pixelkarte-grau</t>
        </is>
      </c>
    </row>
    <row r="124">
      <c r="A124" t="inlineStr">
        <is>
          <t>7_GIS_Layers</t>
        </is>
      </c>
      <c r="B124" t="n">
        <v>23</v>
      </c>
      <c r="C124" t="inlineStr">
        <is>
          <t>F</t>
        </is>
      </c>
      <c r="D124" t="inlineStr">
        <is>
          <t>ÖV-Güteklassen</t>
        </is>
      </c>
      <c r="E124" t="inlineStr">
        <is>
          <t>ch.are.gueteklassen_oev</t>
        </is>
      </c>
      <c r="F124" s="49" t="inlineStr">
        <is>
          <t>geprüft · korrigiert</t>
        </is>
      </c>
      <c r="G124" t="inlineStr">
        <is>
          <t>Hyperlink führte nur auf https://map.geo.admin.ch/ (Layer und Ausschnitt fehlten)</t>
        </is>
      </c>
      <c r="H124" t="n">
        <v>200</v>
      </c>
      <c r="I124" t="inlineStr">
        <is>
          <t>https://map.geo.admin.ch/</t>
        </is>
      </c>
      <c r="J124" s="50" t="inlineStr">
        <is>
          <t>https://map.geo.admin.ch/#/map?lang=de&amp;center=2660000,1190000&amp;z=1&amp;bgLayer=ch.swisstopo.pixelkarte-grau&amp;layers=ch.are.gueteklassen_oev</t>
        </is>
      </c>
    </row>
    <row r="125">
      <c r="A125" t="inlineStr">
        <is>
          <t>7_GIS_Layers</t>
        </is>
      </c>
      <c r="B125" t="n">
        <v>23</v>
      </c>
      <c r="C125" t="inlineStr">
        <is>
          <t>G</t>
        </is>
      </c>
      <c r="D125" t="inlineStr">
        <is>
          <t>ÖV-Güteklassen</t>
        </is>
      </c>
      <c r="E125" t="inlineStr">
        <is>
          <t>ch.are.gueteklassen_oev</t>
        </is>
      </c>
      <c r="F125" s="49" t="inlineStr">
        <is>
          <t>geprüft · korrigiert</t>
        </is>
      </c>
      <c r="G125" t="inlineStr">
        <is>
          <t>Hyperlink führte nur auf https://map.geo.admin.ch/ (Layer und Ausschnitt fehlten)</t>
        </is>
      </c>
      <c r="H125" t="n">
        <v>200</v>
      </c>
      <c r="I125" t="inlineStr">
        <is>
          <t>https://map.geo.admin.ch/</t>
        </is>
      </c>
      <c r="J125" s="50" t="inlineStr">
        <is>
          <t>https://map.geo.admin.ch/#/map?lang=de&amp;center=2613308,1263110&amp;z=9&amp;bgLayer=ch.swisstopo.pixelkarte-grau&amp;layers=ch.are.gueteklassen_oev</t>
        </is>
      </c>
    </row>
    <row r="126">
      <c r="A126" t="inlineStr">
        <is>
          <t>7_GIS_Layers</t>
        </is>
      </c>
      <c r="B126" t="n">
        <v>23</v>
      </c>
      <c r="C126" t="inlineStr">
        <is>
          <t>H</t>
        </is>
      </c>
      <c r="D126" t="inlineStr">
        <is>
          <t>ÖV-Güteklassen</t>
        </is>
      </c>
      <c r="E126" t="inlineStr">
        <is>
          <t>ch.are.gueteklassen_oev</t>
        </is>
      </c>
      <c r="F126" s="49" t="inlineStr">
        <is>
          <t>geprüft · korrigiert</t>
        </is>
      </c>
      <c r="G126" t="inlineStr">
        <is>
          <t>Hyperlink führte nur auf https://map.geo.admin.ch/ (Layer und Ausschnitt fehlten)</t>
        </is>
      </c>
      <c r="H126" t="n">
        <v>200</v>
      </c>
      <c r="I126" t="inlineStr">
        <is>
          <t>https://map.geo.admin.ch/</t>
        </is>
      </c>
      <c r="J126" s="50" t="inlineStr">
        <is>
          <t>https://map.geo.admin.ch/#/map?lang=de&amp;center=2721138,1258009&amp;z=9&amp;bgLayer=ch.swisstopo.pixelkarte-grau&amp;layers=ch.are.gueteklassen_oev</t>
        </is>
      </c>
    </row>
    <row r="127">
      <c r="A127" t="inlineStr">
        <is>
          <t>7_GIS_Layers</t>
        </is>
      </c>
      <c r="B127" t="n">
        <v>23</v>
      </c>
      <c r="C127" t="inlineStr">
        <is>
          <t>I</t>
        </is>
      </c>
      <c r="D127" t="inlineStr">
        <is>
          <t>ÖV-Güteklassen</t>
        </is>
      </c>
      <c r="E127" t="inlineStr">
        <is>
          <t>ch.are.gueteklassen_oev</t>
        </is>
      </c>
      <c r="F127" s="49" t="inlineStr">
        <is>
          <t>geprüft · korrigiert</t>
        </is>
      </c>
      <c r="G127" t="inlineStr">
        <is>
          <t>Hyperlink führte nur auf https://map.geo.admin.ch/ (Layer und Ausschnitt fehlten)</t>
        </is>
      </c>
      <c r="H127" t="n">
        <v>200</v>
      </c>
      <c r="I127" t="inlineStr">
        <is>
          <t>https://map.geo.admin.ch/</t>
        </is>
      </c>
      <c r="J127" s="50" t="inlineStr">
        <is>
          <t>https://map.geo.admin.ch/#/map?lang=de&amp;center=2687333,1203124&amp;z=9&amp;bgLayer=ch.swisstopo.pixelkarte-grau&amp;layers=ch.are.gueteklassen_oev</t>
        </is>
      </c>
    </row>
    <row r="128">
      <c r="A128" t="inlineStr">
        <is>
          <t>7_GIS_Layers</t>
        </is>
      </c>
      <c r="B128" t="n">
        <v>24</v>
      </c>
      <c r="C128" t="inlineStr">
        <is>
          <t>F</t>
        </is>
      </c>
      <c r="D128" t="inlineStr">
        <is>
          <t>Gefahrenkarten / Gefahrenhinweiskarte (Daten der Kantone)</t>
        </is>
      </c>
      <c r="E128" t="inlineStr">
        <is>
          <t>—</t>
        </is>
      </c>
      <c r="F128" s="49" t="inlineStr">
        <is>
          <t>geprüft · korrigiert</t>
        </is>
      </c>
      <c r="G128" t="inlineStr">
        <is>
          <t>Hyperlink führte nur auf https://map.geo.admin.ch/ (Layer und Ausschnitt fehlten); keine eindeutige Layer-ID; Link zeigt die Gemeinde ohne Layer</t>
        </is>
      </c>
      <c r="H128" t="n">
        <v>200</v>
      </c>
      <c r="I128" t="inlineStr">
        <is>
          <t>https://map.geo.admin.ch/</t>
        </is>
      </c>
      <c r="J128" s="50" t="inlineStr">
        <is>
          <t>https://map.geo.admin.ch/#/map?lang=de&amp;center=2660000,1190000&amp;z=1&amp;bgLayer=ch.swisstopo.pixelkarte-grau</t>
        </is>
      </c>
    </row>
    <row r="129">
      <c r="A129" t="inlineStr">
        <is>
          <t>7_GIS_Layers</t>
        </is>
      </c>
      <c r="B129" t="n">
        <v>24</v>
      </c>
      <c r="C129" t="inlineStr">
        <is>
          <t>G</t>
        </is>
      </c>
      <c r="D129" t="inlineStr">
        <is>
          <t>Gefahrenkarten / Gefahrenhinweiskarte (Daten der Kantone)</t>
        </is>
      </c>
      <c r="E129" t="inlineStr">
        <is>
          <t>—</t>
        </is>
      </c>
      <c r="F129" s="49" t="inlineStr">
        <is>
          <t>geprüft · korrigiert</t>
        </is>
      </c>
      <c r="G129" t="inlineStr">
        <is>
          <t>Hyperlink führte nur auf https://map.geo.admin.ch/ (Layer und Ausschnitt fehlten); keine eindeutige Layer-ID; Link zeigt die Gemeinde ohne Layer</t>
        </is>
      </c>
      <c r="H129" t="n">
        <v>200</v>
      </c>
      <c r="I129" t="inlineStr">
        <is>
          <t>https://map.geo.admin.ch/</t>
        </is>
      </c>
      <c r="J129" s="50" t="inlineStr">
        <is>
          <t>https://map.geo.admin.ch/#/map?lang=de&amp;center=2613308,1263110&amp;z=9&amp;bgLayer=ch.swisstopo.pixelkarte-grau</t>
        </is>
      </c>
    </row>
    <row r="130">
      <c r="A130" t="inlineStr">
        <is>
          <t>7_GIS_Layers</t>
        </is>
      </c>
      <c r="B130" t="n">
        <v>24</v>
      </c>
      <c r="C130" t="inlineStr">
        <is>
          <t>H</t>
        </is>
      </c>
      <c r="D130" t="inlineStr">
        <is>
          <t>Gefahrenkarten / Gefahrenhinweiskarte (Daten der Kantone)</t>
        </is>
      </c>
      <c r="E130" t="inlineStr">
        <is>
          <t>—</t>
        </is>
      </c>
      <c r="F130" s="49" t="inlineStr">
        <is>
          <t>geprüft · korrigiert</t>
        </is>
      </c>
      <c r="G130" t="inlineStr">
        <is>
          <t>Hyperlink führte nur auf https://map.geo.admin.ch/ (Layer und Ausschnitt fehlten); keine eindeutige Layer-ID; Link zeigt die Gemeinde ohne Layer</t>
        </is>
      </c>
      <c r="H130" t="n">
        <v>200</v>
      </c>
      <c r="I130" t="inlineStr">
        <is>
          <t>https://map.geo.admin.ch/</t>
        </is>
      </c>
      <c r="J130" s="50" t="inlineStr">
        <is>
          <t>https://map.geo.admin.ch/#/map?lang=de&amp;center=2721138,1258009&amp;z=9&amp;bgLayer=ch.swisstopo.pixelkarte-grau</t>
        </is>
      </c>
    </row>
    <row r="131">
      <c r="A131" t="inlineStr">
        <is>
          <t>7_GIS_Layers</t>
        </is>
      </c>
      <c r="B131" t="n">
        <v>24</v>
      </c>
      <c r="C131" t="inlineStr">
        <is>
          <t>I</t>
        </is>
      </c>
      <c r="D131" t="inlineStr">
        <is>
          <t>Gefahrenkarten / Gefahrenhinweiskarte (Daten der Kantone)</t>
        </is>
      </c>
      <c r="E131" t="inlineStr">
        <is>
          <t>—</t>
        </is>
      </c>
      <c r="F131" s="49" t="inlineStr">
        <is>
          <t>geprüft · korrigiert</t>
        </is>
      </c>
      <c r="G131" t="inlineStr">
        <is>
          <t>Hyperlink führte nur auf https://map.geo.admin.ch/ (Layer und Ausschnitt fehlten); keine eindeutige Layer-ID; Link zeigt die Gemeinde ohne Layer</t>
        </is>
      </c>
      <c r="H131" t="n">
        <v>200</v>
      </c>
      <c r="I131" t="inlineStr">
        <is>
          <t>https://map.geo.admin.ch/</t>
        </is>
      </c>
      <c r="J131" s="50" t="inlineStr">
        <is>
          <t>https://map.geo.admin.ch/#/map?lang=de&amp;center=2687333,1203124&amp;z=9&amp;bgLayer=ch.swisstopo.pixelkarte-grau</t>
        </is>
      </c>
    </row>
    <row r="132">
      <c r="A132" t="inlineStr">
        <is>
          <t>7_GIS_Layers</t>
        </is>
      </c>
      <c r="B132" t="n">
        <v>25</v>
      </c>
      <c r="C132" t="inlineStr">
        <is>
          <t>F</t>
        </is>
      </c>
      <c r="D132" t="inlineStr">
        <is>
          <t>Gefährdungskarte Oberflächenabfluss</t>
        </is>
      </c>
      <c r="E132" t="inlineStr">
        <is>
          <t>ch.bafu.gefahren-oberflaechenabfluss</t>
        </is>
      </c>
      <c r="F132" s="49" t="inlineStr">
        <is>
          <t>geprüft · korrigiert</t>
        </is>
      </c>
      <c r="G132" t="inlineStr">
        <is>
          <t>Layer-ID korrigiert (ch.bafu.gefahren-oberflaechenabfluss existiert nicht); Hyperlink führte nur auf https://map.geo.admin.ch/ (Layer und Ausschnitt fehlten)</t>
        </is>
      </c>
      <c r="H132" t="n">
        <v>200</v>
      </c>
      <c r="I132" t="inlineStr">
        <is>
          <t>https://map.geo.admin.ch/</t>
        </is>
      </c>
      <c r="J132" s="50" t="inlineStr">
        <is>
          <t>https://map.geo.admin.ch/#/map?lang=de&amp;center=2660000,1190000&amp;z=1&amp;bgLayer=ch.swisstopo.pixelkarte-grau&amp;layers=ch.bafu.gefaehrdungskarte-oberflaechenabfluss</t>
        </is>
      </c>
    </row>
    <row r="133">
      <c r="A133" t="inlineStr">
        <is>
          <t>7_GIS_Layers</t>
        </is>
      </c>
      <c r="B133" t="n">
        <v>25</v>
      </c>
      <c r="C133" t="inlineStr">
        <is>
          <t>G</t>
        </is>
      </c>
      <c r="D133" t="inlineStr">
        <is>
          <t>Gefährdungskarte Oberflächenabfluss</t>
        </is>
      </c>
      <c r="E133" t="inlineStr">
        <is>
          <t>ch.bafu.gefahren-oberflaechenabfluss</t>
        </is>
      </c>
      <c r="F133" s="49" t="inlineStr">
        <is>
          <t>geprüft · korrigiert</t>
        </is>
      </c>
      <c r="G133" t="inlineStr">
        <is>
          <t>Layer-ID korrigiert (ch.bafu.gefahren-oberflaechenabfluss existiert nicht); Hyperlink führte nur auf https://map.geo.admin.ch/ (Layer und Ausschnitt fehlten)</t>
        </is>
      </c>
      <c r="H133" t="n">
        <v>200</v>
      </c>
      <c r="I133" t="inlineStr">
        <is>
          <t>https://map.geo.admin.ch/</t>
        </is>
      </c>
      <c r="J133" s="50" t="inlineStr">
        <is>
          <t>https://map.geo.admin.ch/#/map?lang=de&amp;center=2613308,1263110&amp;z=9&amp;bgLayer=ch.swisstopo.pixelkarte-grau&amp;layers=ch.bafu.gefaehrdungskarte-oberflaechenabfluss</t>
        </is>
      </c>
    </row>
    <row r="134">
      <c r="A134" t="inlineStr">
        <is>
          <t>7_GIS_Layers</t>
        </is>
      </c>
      <c r="B134" t="n">
        <v>25</v>
      </c>
      <c r="C134" t="inlineStr">
        <is>
          <t>H</t>
        </is>
      </c>
      <c r="D134" t="inlineStr">
        <is>
          <t>Gefährdungskarte Oberflächenabfluss</t>
        </is>
      </c>
      <c r="E134" t="inlineStr">
        <is>
          <t>ch.bafu.gefahren-oberflaechenabfluss</t>
        </is>
      </c>
      <c r="F134" s="49" t="inlineStr">
        <is>
          <t>geprüft · korrigiert</t>
        </is>
      </c>
      <c r="G134" t="inlineStr">
        <is>
          <t>Layer-ID korrigiert (ch.bafu.gefahren-oberflaechenabfluss existiert nicht); Hyperlink führte nur auf https://map.geo.admin.ch/ (Layer und Ausschnitt fehlten)</t>
        </is>
      </c>
      <c r="H134" t="n">
        <v>200</v>
      </c>
      <c r="I134" t="inlineStr">
        <is>
          <t>https://map.geo.admin.ch/</t>
        </is>
      </c>
      <c r="J134" s="50" t="inlineStr">
        <is>
          <t>https://map.geo.admin.ch/#/map?lang=de&amp;center=2721138,1258009&amp;z=9&amp;bgLayer=ch.swisstopo.pixelkarte-grau&amp;layers=ch.bafu.gefaehrdungskarte-oberflaechenabfluss</t>
        </is>
      </c>
    </row>
    <row r="135">
      <c r="A135" t="inlineStr">
        <is>
          <t>7_GIS_Layers</t>
        </is>
      </c>
      <c r="B135" t="n">
        <v>25</v>
      </c>
      <c r="C135" t="inlineStr">
        <is>
          <t>I</t>
        </is>
      </c>
      <c r="D135" t="inlineStr">
        <is>
          <t>Gefährdungskarte Oberflächenabfluss</t>
        </is>
      </c>
      <c r="E135" t="inlineStr">
        <is>
          <t>ch.bafu.gefahren-oberflaechenabfluss</t>
        </is>
      </c>
      <c r="F135" s="49" t="inlineStr">
        <is>
          <t>geprüft · korrigiert</t>
        </is>
      </c>
      <c r="G135" t="inlineStr">
        <is>
          <t>Layer-ID korrigiert (ch.bafu.gefahren-oberflaechenabfluss existiert nicht); Hyperlink führte nur auf https://map.geo.admin.ch/ (Layer und Ausschnitt fehlten)</t>
        </is>
      </c>
      <c r="H135" t="n">
        <v>200</v>
      </c>
      <c r="I135" t="inlineStr">
        <is>
          <t>https://map.geo.admin.ch/</t>
        </is>
      </c>
      <c r="J135" s="50" t="inlineStr">
        <is>
          <t>https://map.geo.admin.ch/#/map?lang=de&amp;center=2687333,1203124&amp;z=9&amp;bgLayer=ch.swisstopo.pixelkarte-grau&amp;layers=ch.bafu.gefaehrdungskarte-oberflaechenabfluss</t>
        </is>
      </c>
    </row>
    <row r="136">
      <c r="A136" t="inlineStr">
        <is>
          <t>7_GIS_Layers</t>
        </is>
      </c>
      <c r="B136" t="n">
        <v>26</v>
      </c>
      <c r="C136" t="inlineStr">
        <is>
          <t>F</t>
        </is>
      </c>
      <c r="D136" t="inlineStr">
        <is>
          <t>Baugrundklassen (Erdbeben)</t>
        </is>
      </c>
      <c r="E136" t="inlineStr">
        <is>
          <t>ch.bafu.gefahren-baugrundklassen</t>
        </is>
      </c>
      <c r="F136" s="49" t="inlineStr">
        <is>
          <t>geprüft · korrigiert</t>
        </is>
      </c>
      <c r="G136" t="inlineStr">
        <is>
          <t>Hyperlink führte nur auf https://map.geo.admin.ch/ (Layer und Ausschnitt fehlten)</t>
        </is>
      </c>
      <c r="H136" t="n">
        <v>200</v>
      </c>
      <c r="I136" t="inlineStr">
        <is>
          <t>https://map.geo.admin.ch/</t>
        </is>
      </c>
      <c r="J136" s="50" t="inlineStr">
        <is>
          <t>https://map.geo.admin.ch/#/map?lang=de&amp;center=2660000,1190000&amp;z=1&amp;bgLayer=ch.swisstopo.pixelkarte-grau&amp;layers=ch.bafu.gefahren-baugrundklassen</t>
        </is>
      </c>
    </row>
    <row r="137">
      <c r="A137" t="inlineStr">
        <is>
          <t>7_GIS_Layers</t>
        </is>
      </c>
      <c r="B137" t="n">
        <v>26</v>
      </c>
      <c r="C137" t="inlineStr">
        <is>
          <t>G</t>
        </is>
      </c>
      <c r="D137" t="inlineStr">
        <is>
          <t>Baugrundklassen (Erdbeben)</t>
        </is>
      </c>
      <c r="E137" t="inlineStr">
        <is>
          <t>ch.bafu.gefahren-baugrundklassen</t>
        </is>
      </c>
      <c r="F137" s="49" t="inlineStr">
        <is>
          <t>geprüft · korrigiert</t>
        </is>
      </c>
      <c r="G137" t="inlineStr">
        <is>
          <t>Hyperlink führte nur auf https://map.geo.admin.ch/ (Layer und Ausschnitt fehlten)</t>
        </is>
      </c>
      <c r="H137" t="n">
        <v>200</v>
      </c>
      <c r="I137" t="inlineStr">
        <is>
          <t>https://map.geo.admin.ch/</t>
        </is>
      </c>
      <c r="J137" s="50" t="inlineStr">
        <is>
          <t>https://map.geo.admin.ch/#/map?lang=de&amp;center=2613308,1263110&amp;z=9&amp;bgLayer=ch.swisstopo.pixelkarte-grau&amp;layers=ch.bafu.gefahren-baugrundklassen</t>
        </is>
      </c>
    </row>
    <row r="138">
      <c r="A138" t="inlineStr">
        <is>
          <t>7_GIS_Layers</t>
        </is>
      </c>
      <c r="B138" t="n">
        <v>26</v>
      </c>
      <c r="C138" t="inlineStr">
        <is>
          <t>H</t>
        </is>
      </c>
      <c r="D138" t="inlineStr">
        <is>
          <t>Baugrundklassen (Erdbeben)</t>
        </is>
      </c>
      <c r="E138" t="inlineStr">
        <is>
          <t>ch.bafu.gefahren-baugrundklassen</t>
        </is>
      </c>
      <c r="F138" s="49" t="inlineStr">
        <is>
          <t>geprüft · korrigiert</t>
        </is>
      </c>
      <c r="G138" t="inlineStr">
        <is>
          <t>Hyperlink führte nur auf https://map.geo.admin.ch/ (Layer und Ausschnitt fehlten)</t>
        </is>
      </c>
      <c r="H138" t="n">
        <v>200</v>
      </c>
      <c r="I138" t="inlineStr">
        <is>
          <t>https://map.geo.admin.ch/</t>
        </is>
      </c>
      <c r="J138" s="50" t="inlineStr">
        <is>
          <t>https://map.geo.admin.ch/#/map?lang=de&amp;center=2721138,1258009&amp;z=9&amp;bgLayer=ch.swisstopo.pixelkarte-grau&amp;layers=ch.bafu.gefahren-baugrundklassen</t>
        </is>
      </c>
    </row>
    <row r="139">
      <c r="A139" t="inlineStr">
        <is>
          <t>7_GIS_Layers</t>
        </is>
      </c>
      <c r="B139" t="n">
        <v>26</v>
      </c>
      <c r="C139" t="inlineStr">
        <is>
          <t>I</t>
        </is>
      </c>
      <c r="D139" t="inlineStr">
        <is>
          <t>Baugrundklassen (Erdbeben)</t>
        </is>
      </c>
      <c r="E139" t="inlineStr">
        <is>
          <t>ch.bafu.gefahren-baugrundklassen</t>
        </is>
      </c>
      <c r="F139" s="49" t="inlineStr">
        <is>
          <t>geprüft · korrigiert</t>
        </is>
      </c>
      <c r="G139" t="inlineStr">
        <is>
          <t>Hyperlink führte nur auf https://map.geo.admin.ch/ (Layer und Ausschnitt fehlten)</t>
        </is>
      </c>
      <c r="H139" t="n">
        <v>200</v>
      </c>
      <c r="I139" t="inlineStr">
        <is>
          <t>https://map.geo.admin.ch/</t>
        </is>
      </c>
      <c r="J139" s="50" t="inlineStr">
        <is>
          <t>https://map.geo.admin.ch/#/map?lang=de&amp;center=2687333,1203124&amp;z=9&amp;bgLayer=ch.swisstopo.pixelkarte-grau&amp;layers=ch.bafu.gefahren-baugrundklassen</t>
        </is>
      </c>
    </row>
    <row r="140">
      <c r="A140" t="inlineStr">
        <is>
          <t>7_GIS_Layers</t>
        </is>
      </c>
      <c r="B140" t="n">
        <v>27</v>
      </c>
      <c r="C140" t="inlineStr">
        <is>
          <t>F</t>
        </is>
      </c>
      <c r="D140" t="inlineStr">
        <is>
          <t>Strassenlärm Tag</t>
        </is>
      </c>
      <c r="E140" t="inlineStr">
        <is>
          <t>ch.bafu.laerm-strassenlaerm_tag</t>
        </is>
      </c>
      <c r="F140" s="49" t="inlineStr">
        <is>
          <t>geprüft · korrigiert</t>
        </is>
      </c>
      <c r="G140" t="inlineStr">
        <is>
          <t>Hyperlink führte nur auf https://map.geo.admin.ch/ (Layer und Ausschnitt fehlten)</t>
        </is>
      </c>
      <c r="H140" t="n">
        <v>200</v>
      </c>
      <c r="I140" t="inlineStr">
        <is>
          <t>https://map.geo.admin.ch/</t>
        </is>
      </c>
      <c r="J140" s="50" t="inlineStr">
        <is>
          <t>https://map.geo.admin.ch/#/map?lang=de&amp;center=2660000,1190000&amp;z=1&amp;bgLayer=ch.swisstopo.pixelkarte-grau&amp;layers=ch.bafu.laerm-strassenlaerm_tag</t>
        </is>
      </c>
    </row>
    <row r="141">
      <c r="A141" t="inlineStr">
        <is>
          <t>7_GIS_Layers</t>
        </is>
      </c>
      <c r="B141" t="n">
        <v>27</v>
      </c>
      <c r="C141" t="inlineStr">
        <is>
          <t>G</t>
        </is>
      </c>
      <c r="D141" t="inlineStr">
        <is>
          <t>Strassenlärm Tag</t>
        </is>
      </c>
      <c r="E141" t="inlineStr">
        <is>
          <t>ch.bafu.laerm-strassenlaerm_tag</t>
        </is>
      </c>
      <c r="F141" s="49" t="inlineStr">
        <is>
          <t>geprüft · korrigiert</t>
        </is>
      </c>
      <c r="G141" t="inlineStr">
        <is>
          <t>Hyperlink führte nur auf https://map.geo.admin.ch/ (Layer und Ausschnitt fehlten)</t>
        </is>
      </c>
      <c r="H141" t="n">
        <v>200</v>
      </c>
      <c r="I141" t="inlineStr">
        <is>
          <t>https://map.geo.admin.ch/</t>
        </is>
      </c>
      <c r="J141" s="50" t="inlineStr">
        <is>
          <t>https://map.geo.admin.ch/#/map?lang=de&amp;center=2613308,1263110&amp;z=9&amp;bgLayer=ch.swisstopo.pixelkarte-grau&amp;layers=ch.bafu.laerm-strassenlaerm_tag</t>
        </is>
      </c>
    </row>
    <row r="142">
      <c r="A142" t="inlineStr">
        <is>
          <t>7_GIS_Layers</t>
        </is>
      </c>
      <c r="B142" t="n">
        <v>27</v>
      </c>
      <c r="C142" t="inlineStr">
        <is>
          <t>H</t>
        </is>
      </c>
      <c r="D142" t="inlineStr">
        <is>
          <t>Strassenlärm Tag</t>
        </is>
      </c>
      <c r="E142" t="inlineStr">
        <is>
          <t>ch.bafu.laerm-strassenlaerm_tag</t>
        </is>
      </c>
      <c r="F142" s="49" t="inlineStr">
        <is>
          <t>geprüft · korrigiert</t>
        </is>
      </c>
      <c r="G142" t="inlineStr">
        <is>
          <t>Hyperlink führte nur auf https://map.geo.admin.ch/ (Layer und Ausschnitt fehlten)</t>
        </is>
      </c>
      <c r="H142" t="n">
        <v>200</v>
      </c>
      <c r="I142" t="inlineStr">
        <is>
          <t>https://map.geo.admin.ch/</t>
        </is>
      </c>
      <c r="J142" s="50" t="inlineStr">
        <is>
          <t>https://map.geo.admin.ch/#/map?lang=de&amp;center=2721138,1258009&amp;z=9&amp;bgLayer=ch.swisstopo.pixelkarte-grau&amp;layers=ch.bafu.laerm-strassenlaerm_tag</t>
        </is>
      </c>
    </row>
    <row r="143">
      <c r="A143" t="inlineStr">
        <is>
          <t>7_GIS_Layers</t>
        </is>
      </c>
      <c r="B143" t="n">
        <v>27</v>
      </c>
      <c r="C143" t="inlineStr">
        <is>
          <t>I</t>
        </is>
      </c>
      <c r="D143" t="inlineStr">
        <is>
          <t>Strassenlärm Tag</t>
        </is>
      </c>
      <c r="E143" t="inlineStr">
        <is>
          <t>ch.bafu.laerm-strassenlaerm_tag</t>
        </is>
      </c>
      <c r="F143" s="49" t="inlineStr">
        <is>
          <t>geprüft · korrigiert</t>
        </is>
      </c>
      <c r="G143" t="inlineStr">
        <is>
          <t>Hyperlink führte nur auf https://map.geo.admin.ch/ (Layer und Ausschnitt fehlten)</t>
        </is>
      </c>
      <c r="H143" t="n">
        <v>200</v>
      </c>
      <c r="I143" t="inlineStr">
        <is>
          <t>https://map.geo.admin.ch/</t>
        </is>
      </c>
      <c r="J143" s="50" t="inlineStr">
        <is>
          <t>https://map.geo.admin.ch/#/map?lang=de&amp;center=2687333,1203124&amp;z=9&amp;bgLayer=ch.swisstopo.pixelkarte-grau&amp;layers=ch.bafu.laerm-strassenlaerm_tag</t>
        </is>
      </c>
    </row>
    <row r="144">
      <c r="A144" t="inlineStr">
        <is>
          <t>7_GIS_Layers</t>
        </is>
      </c>
      <c r="B144" t="n">
        <v>28</v>
      </c>
      <c r="C144" t="inlineStr">
        <is>
          <t>F</t>
        </is>
      </c>
      <c r="D144" t="inlineStr">
        <is>
          <t>Bahnlärm Tag</t>
        </is>
      </c>
      <c r="E144" t="inlineStr">
        <is>
          <t>ch.bafu.laerm-bahnlaerm_tag</t>
        </is>
      </c>
      <c r="F144" s="49" t="inlineStr">
        <is>
          <t>geprüft · korrigiert</t>
        </is>
      </c>
      <c r="G144" t="inlineStr">
        <is>
          <t>Hyperlink führte nur auf https://map.geo.admin.ch/ (Layer und Ausschnitt fehlten)</t>
        </is>
      </c>
      <c r="H144" t="n">
        <v>200</v>
      </c>
      <c r="I144" t="inlineStr">
        <is>
          <t>https://map.geo.admin.ch/</t>
        </is>
      </c>
      <c r="J144" s="50" t="inlineStr">
        <is>
          <t>https://map.geo.admin.ch/#/map?lang=de&amp;center=2660000,1190000&amp;z=1&amp;bgLayer=ch.swisstopo.pixelkarte-grau&amp;layers=ch.bafu.laerm-bahnlaerm_tag</t>
        </is>
      </c>
    </row>
    <row r="145">
      <c r="A145" t="inlineStr">
        <is>
          <t>7_GIS_Layers</t>
        </is>
      </c>
      <c r="B145" t="n">
        <v>28</v>
      </c>
      <c r="C145" t="inlineStr">
        <is>
          <t>G</t>
        </is>
      </c>
      <c r="D145" t="inlineStr">
        <is>
          <t>Bahnlärm Tag</t>
        </is>
      </c>
      <c r="E145" t="inlineStr">
        <is>
          <t>ch.bafu.laerm-bahnlaerm_tag</t>
        </is>
      </c>
      <c r="F145" s="49" t="inlineStr">
        <is>
          <t>geprüft · korrigiert</t>
        </is>
      </c>
      <c r="G145" t="inlineStr">
        <is>
          <t>Hyperlink führte nur auf https://map.geo.admin.ch/ (Layer und Ausschnitt fehlten)</t>
        </is>
      </c>
      <c r="H145" t="n">
        <v>200</v>
      </c>
      <c r="I145" t="inlineStr">
        <is>
          <t>https://map.geo.admin.ch/</t>
        </is>
      </c>
      <c r="J145" s="50" t="inlineStr">
        <is>
          <t>https://map.geo.admin.ch/#/map?lang=de&amp;center=2613308,1263110&amp;z=9&amp;bgLayer=ch.swisstopo.pixelkarte-grau&amp;layers=ch.bafu.laerm-bahnlaerm_tag</t>
        </is>
      </c>
    </row>
    <row r="146">
      <c r="A146" t="inlineStr">
        <is>
          <t>7_GIS_Layers</t>
        </is>
      </c>
      <c r="B146" t="n">
        <v>28</v>
      </c>
      <c r="C146" t="inlineStr">
        <is>
          <t>H</t>
        </is>
      </c>
      <c r="D146" t="inlineStr">
        <is>
          <t>Bahnlärm Tag</t>
        </is>
      </c>
      <c r="E146" t="inlineStr">
        <is>
          <t>ch.bafu.laerm-bahnlaerm_tag</t>
        </is>
      </c>
      <c r="F146" s="49" t="inlineStr">
        <is>
          <t>geprüft · korrigiert</t>
        </is>
      </c>
      <c r="G146" t="inlineStr">
        <is>
          <t>Hyperlink führte nur auf https://map.geo.admin.ch/ (Layer und Ausschnitt fehlten)</t>
        </is>
      </c>
      <c r="H146" t="n">
        <v>200</v>
      </c>
      <c r="I146" t="inlineStr">
        <is>
          <t>https://map.geo.admin.ch/</t>
        </is>
      </c>
      <c r="J146" s="50" t="inlineStr">
        <is>
          <t>https://map.geo.admin.ch/#/map?lang=de&amp;center=2721138,1258009&amp;z=9&amp;bgLayer=ch.swisstopo.pixelkarte-grau&amp;layers=ch.bafu.laerm-bahnlaerm_tag</t>
        </is>
      </c>
    </row>
    <row r="147">
      <c r="A147" t="inlineStr">
        <is>
          <t>7_GIS_Layers</t>
        </is>
      </c>
      <c r="B147" t="n">
        <v>28</v>
      </c>
      <c r="C147" t="inlineStr">
        <is>
          <t>I</t>
        </is>
      </c>
      <c r="D147" t="inlineStr">
        <is>
          <t>Bahnlärm Tag</t>
        </is>
      </c>
      <c r="E147" t="inlineStr">
        <is>
          <t>ch.bafu.laerm-bahnlaerm_tag</t>
        </is>
      </c>
      <c r="F147" s="49" t="inlineStr">
        <is>
          <t>geprüft · korrigiert</t>
        </is>
      </c>
      <c r="G147" t="inlineStr">
        <is>
          <t>Hyperlink führte nur auf https://map.geo.admin.ch/ (Layer und Ausschnitt fehlten)</t>
        </is>
      </c>
      <c r="H147" t="n">
        <v>200</v>
      </c>
      <c r="I147" t="inlineStr">
        <is>
          <t>https://map.geo.admin.ch/</t>
        </is>
      </c>
      <c r="J147" s="50" t="inlineStr">
        <is>
          <t>https://map.geo.admin.ch/#/map?lang=de&amp;center=2687333,1203124&amp;z=9&amp;bgLayer=ch.swisstopo.pixelkarte-grau&amp;layers=ch.bafu.laerm-bahnlaerm_tag</t>
        </is>
      </c>
    </row>
    <row r="148">
      <c r="A148" t="inlineStr">
        <is>
          <t>7_GIS_Layers</t>
        </is>
      </c>
      <c r="B148" t="n">
        <v>29</v>
      </c>
      <c r="C148" t="inlineStr">
        <is>
          <t>F</t>
        </is>
      </c>
      <c r="D148" t="inlineStr">
        <is>
          <t>Hitzebelastung / Klimaanalyse</t>
        </is>
      </c>
      <c r="E148" t="inlineStr">
        <is>
          <t>—</t>
        </is>
      </c>
      <c r="F148" s="49" t="inlineStr">
        <is>
          <t>geprüft · korrigiert</t>
        </is>
      </c>
      <c r="G148" t="inlineStr">
        <is>
          <t>Hyperlink führte nur auf https://map.geo.admin.ch/ (Layer und Ausschnitt fehlten); keine eindeutige Layer-ID; Link zeigt die Gemeinde ohne Layer</t>
        </is>
      </c>
      <c r="H148" t="n">
        <v>200</v>
      </c>
      <c r="I148" t="inlineStr">
        <is>
          <t>https://map.geo.admin.ch/</t>
        </is>
      </c>
      <c r="J148" s="50" t="inlineStr">
        <is>
          <t>https://map.geo.admin.ch/#/map?lang=de&amp;center=2660000,1190000&amp;z=1&amp;bgLayer=ch.swisstopo.pixelkarte-grau</t>
        </is>
      </c>
    </row>
    <row r="149">
      <c r="A149" t="inlineStr">
        <is>
          <t>7_GIS_Layers</t>
        </is>
      </c>
      <c r="B149" t="n">
        <v>29</v>
      </c>
      <c r="C149" t="inlineStr">
        <is>
          <t>G</t>
        </is>
      </c>
      <c r="D149" t="inlineStr">
        <is>
          <t>Hitzebelastung / Klimaanalyse</t>
        </is>
      </c>
      <c r="E149" t="inlineStr">
        <is>
          <t>—</t>
        </is>
      </c>
      <c r="F149" s="49" t="inlineStr">
        <is>
          <t>geprüft · korrigiert</t>
        </is>
      </c>
      <c r="G149" t="inlineStr">
        <is>
          <t>Hyperlink führte nur auf https://map.geo.admin.ch/ (Layer und Ausschnitt fehlten); keine eindeutige Layer-ID; Link zeigt die Gemeinde ohne Layer</t>
        </is>
      </c>
      <c r="H149" t="n">
        <v>200</v>
      </c>
      <c r="I149" t="inlineStr">
        <is>
          <t>https://map.geo.admin.ch/</t>
        </is>
      </c>
      <c r="J149" s="50" t="inlineStr">
        <is>
          <t>https://map.geo.admin.ch/#/map?lang=de&amp;center=2613308,1263110&amp;z=9&amp;bgLayer=ch.swisstopo.pixelkarte-grau</t>
        </is>
      </c>
    </row>
    <row r="150">
      <c r="A150" t="inlineStr">
        <is>
          <t>7_GIS_Layers</t>
        </is>
      </c>
      <c r="B150" t="n">
        <v>29</v>
      </c>
      <c r="C150" t="inlineStr">
        <is>
          <t>H</t>
        </is>
      </c>
      <c r="D150" t="inlineStr">
        <is>
          <t>Hitzebelastung / Klimaanalyse</t>
        </is>
      </c>
      <c r="E150" t="inlineStr">
        <is>
          <t>—</t>
        </is>
      </c>
      <c r="F150" s="49" t="inlineStr">
        <is>
          <t>geprüft · korrigiert</t>
        </is>
      </c>
      <c r="G150" t="inlineStr">
        <is>
          <t>Hyperlink führte nur auf https://map.geo.admin.ch/ (Layer und Ausschnitt fehlten); keine eindeutige Layer-ID; Link zeigt die Gemeinde ohne Layer</t>
        </is>
      </c>
      <c r="H150" t="n">
        <v>200</v>
      </c>
      <c r="I150" t="inlineStr">
        <is>
          <t>https://map.geo.admin.ch/</t>
        </is>
      </c>
      <c r="J150" s="50" t="inlineStr">
        <is>
          <t>https://map.geo.admin.ch/#/map?lang=de&amp;center=2721138,1258009&amp;z=9&amp;bgLayer=ch.swisstopo.pixelkarte-grau</t>
        </is>
      </c>
    </row>
    <row r="151">
      <c r="A151" t="inlineStr">
        <is>
          <t>7_GIS_Layers</t>
        </is>
      </c>
      <c r="B151" t="n">
        <v>29</v>
      </c>
      <c r="C151" t="inlineStr">
        <is>
          <t>I</t>
        </is>
      </c>
      <c r="D151" t="inlineStr">
        <is>
          <t>Hitzebelastung / Klimaanalyse</t>
        </is>
      </c>
      <c r="E151" t="inlineStr">
        <is>
          <t>—</t>
        </is>
      </c>
      <c r="F151" s="49" t="inlineStr">
        <is>
          <t>geprüft · korrigiert</t>
        </is>
      </c>
      <c r="G151" t="inlineStr">
        <is>
          <t>Hyperlink führte nur auf https://map.geo.admin.ch/ (Layer und Ausschnitt fehlten); keine eindeutige Layer-ID; Link zeigt die Gemeinde ohne Layer</t>
        </is>
      </c>
      <c r="H151" t="n">
        <v>200</v>
      </c>
      <c r="I151" t="inlineStr">
        <is>
          <t>https://map.geo.admin.ch/</t>
        </is>
      </c>
      <c r="J151" s="50" t="inlineStr">
        <is>
          <t>https://map.geo.admin.ch/#/map?lang=de&amp;center=2687333,1203124&amp;z=9&amp;bgLayer=ch.swisstopo.pixelkarte-grau</t>
        </is>
      </c>
    </row>
    <row r="152">
      <c r="A152" t="inlineStr">
        <is>
          <t>7_GIS_Layers</t>
        </is>
      </c>
      <c r="B152" t="n">
        <v>30</v>
      </c>
      <c r="C152" t="inlineStr">
        <is>
          <t>F</t>
        </is>
      </c>
      <c r="D152" t="inlineStr">
        <is>
          <t>Störfall-Risikokataster / belastete Standorte</t>
        </is>
      </c>
      <c r="E152" t="inlineStr">
        <is>
          <t>—</t>
        </is>
      </c>
      <c r="F152" s="49" t="inlineStr">
        <is>
          <t>geprüft · korrigiert</t>
        </is>
      </c>
      <c r="G152" t="inlineStr">
        <is>
          <t>Hyperlink führte nur auf https://map.geo.admin.ch/ (Layer und Ausschnitt fehlten); keine eindeutige Layer-ID; Link zeigt die Gemeinde ohne Layer</t>
        </is>
      </c>
      <c r="H152" t="n">
        <v>200</v>
      </c>
      <c r="I152" t="inlineStr">
        <is>
          <t>https://map.geo.admin.ch/</t>
        </is>
      </c>
      <c r="J152" s="50" t="inlineStr">
        <is>
          <t>https://map.geo.admin.ch/#/map?lang=de&amp;center=2660000,1190000&amp;z=1&amp;bgLayer=ch.swisstopo.pixelkarte-grau</t>
        </is>
      </c>
    </row>
    <row r="153">
      <c r="A153" t="inlineStr">
        <is>
          <t>7_GIS_Layers</t>
        </is>
      </c>
      <c r="B153" t="n">
        <v>30</v>
      </c>
      <c r="C153" t="inlineStr">
        <is>
          <t>G</t>
        </is>
      </c>
      <c r="D153" t="inlineStr">
        <is>
          <t>Störfall-Risikokataster / belastete Standorte</t>
        </is>
      </c>
      <c r="E153" t="inlineStr">
        <is>
          <t>—</t>
        </is>
      </c>
      <c r="F153" s="49" t="inlineStr">
        <is>
          <t>geprüft · korrigiert</t>
        </is>
      </c>
      <c r="G153" t="inlineStr">
        <is>
          <t>Hyperlink führte nur auf https://map.geo.admin.ch/ (Layer und Ausschnitt fehlten); keine eindeutige Layer-ID; Link zeigt die Gemeinde ohne Layer</t>
        </is>
      </c>
      <c r="H153" t="n">
        <v>200</v>
      </c>
      <c r="I153" t="inlineStr">
        <is>
          <t>https://map.geo.admin.ch/</t>
        </is>
      </c>
      <c r="J153" s="50" t="inlineStr">
        <is>
          <t>https://map.geo.admin.ch/#/map?lang=de&amp;center=2613308,1263110&amp;z=9&amp;bgLayer=ch.swisstopo.pixelkarte-grau</t>
        </is>
      </c>
    </row>
    <row r="154">
      <c r="A154" t="inlineStr">
        <is>
          <t>7_GIS_Layers</t>
        </is>
      </c>
      <c r="B154" t="n">
        <v>30</v>
      </c>
      <c r="C154" t="inlineStr">
        <is>
          <t>H</t>
        </is>
      </c>
      <c r="D154" t="inlineStr">
        <is>
          <t>Störfall-Risikokataster / belastete Standorte</t>
        </is>
      </c>
      <c r="E154" t="inlineStr">
        <is>
          <t>—</t>
        </is>
      </c>
      <c r="F154" s="49" t="inlineStr">
        <is>
          <t>geprüft · korrigiert</t>
        </is>
      </c>
      <c r="G154" t="inlineStr">
        <is>
          <t>Hyperlink führte nur auf https://map.geo.admin.ch/ (Layer und Ausschnitt fehlten); keine eindeutige Layer-ID; Link zeigt die Gemeinde ohne Layer</t>
        </is>
      </c>
      <c r="H154" t="n">
        <v>200</v>
      </c>
      <c r="I154" t="inlineStr">
        <is>
          <t>https://map.geo.admin.ch/</t>
        </is>
      </c>
      <c r="J154" s="50" t="inlineStr">
        <is>
          <t>https://map.geo.admin.ch/#/map?lang=de&amp;center=2721138,1258009&amp;z=9&amp;bgLayer=ch.swisstopo.pixelkarte-grau</t>
        </is>
      </c>
    </row>
    <row r="155">
      <c r="A155" t="inlineStr">
        <is>
          <t>7_GIS_Layers</t>
        </is>
      </c>
      <c r="B155" t="n">
        <v>30</v>
      </c>
      <c r="C155" t="inlineStr">
        <is>
          <t>I</t>
        </is>
      </c>
      <c r="D155" t="inlineStr">
        <is>
          <t>Störfall-Risikokataster / belastete Standorte</t>
        </is>
      </c>
      <c r="E155" t="inlineStr">
        <is>
          <t>—</t>
        </is>
      </c>
      <c r="F155" s="49" t="inlineStr">
        <is>
          <t>geprüft · korrigiert</t>
        </is>
      </c>
      <c r="G155" t="inlineStr">
        <is>
          <t>Hyperlink führte nur auf https://map.geo.admin.ch/ (Layer und Ausschnitt fehlten); keine eindeutige Layer-ID; Link zeigt die Gemeinde ohne Layer</t>
        </is>
      </c>
      <c r="H155" t="n">
        <v>200</v>
      </c>
      <c r="I155" t="inlineStr">
        <is>
          <t>https://map.geo.admin.ch/</t>
        </is>
      </c>
      <c r="J155" s="50" t="inlineStr">
        <is>
          <t>https://map.geo.admin.ch/#/map?lang=de&amp;center=2687333,1203124&amp;z=9&amp;bgLayer=ch.swisstopo.pixelkarte-grau</t>
        </is>
      </c>
    </row>
    <row r="156">
      <c r="A156" t="inlineStr">
        <is>
          <t>7_GIS_Layers</t>
        </is>
      </c>
      <c r="B156" t="n">
        <v>31</v>
      </c>
      <c r="C156" t="inlineStr">
        <is>
          <t>F</t>
        </is>
      </c>
      <c r="D156" t="inlineStr">
        <is>
          <t>ISOS – Ortsbilder von nationaler Bedeutung</t>
        </is>
      </c>
      <c r="E156" t="inlineStr">
        <is>
          <t>ch.bak.bundesinventar-schuetzenswerte-ortsbilder</t>
        </is>
      </c>
      <c r="F156" s="49" t="inlineStr">
        <is>
          <t>geprüft · korrigiert</t>
        </is>
      </c>
      <c r="G156" t="inlineStr">
        <is>
          <t>Hyperlink führte nur auf https://map.geo.admin.ch/ (Layer und Ausschnitt fehlten)</t>
        </is>
      </c>
      <c r="H156" t="n">
        <v>200</v>
      </c>
      <c r="I156" t="inlineStr">
        <is>
          <t>https://map.geo.admin.ch/</t>
        </is>
      </c>
      <c r="J156" s="50" t="inlineStr">
        <is>
          <t>https://map.geo.admin.ch/#/map?lang=de&amp;center=2660000,1190000&amp;z=1&amp;bgLayer=ch.swisstopo.pixelkarte-grau&amp;layers=ch.bak.bundesinventar-schuetzenswerte-ortsbilder</t>
        </is>
      </c>
    </row>
    <row r="157">
      <c r="A157" t="inlineStr">
        <is>
          <t>7_GIS_Layers</t>
        </is>
      </c>
      <c r="B157" t="n">
        <v>31</v>
      </c>
      <c r="C157" t="inlineStr">
        <is>
          <t>G</t>
        </is>
      </c>
      <c r="D157" t="inlineStr">
        <is>
          <t>ISOS – Ortsbilder von nationaler Bedeutung</t>
        </is>
      </c>
      <c r="E157" t="inlineStr">
        <is>
          <t>ch.bak.bundesinventar-schuetzenswerte-ortsbilder</t>
        </is>
      </c>
      <c r="F157" s="49" t="inlineStr">
        <is>
          <t>geprüft · korrigiert</t>
        </is>
      </c>
      <c r="G157" t="inlineStr">
        <is>
          <t>Hyperlink führte nur auf https://map.geo.admin.ch/ (Layer und Ausschnitt fehlten)</t>
        </is>
      </c>
      <c r="H157" t="n">
        <v>200</v>
      </c>
      <c r="I157" t="inlineStr">
        <is>
          <t>https://map.geo.admin.ch/</t>
        </is>
      </c>
      <c r="J157" s="50" t="inlineStr">
        <is>
          <t>https://map.geo.admin.ch/#/map?lang=de&amp;center=2613308,1263110&amp;z=9&amp;bgLayer=ch.swisstopo.pixelkarte-grau&amp;layers=ch.bak.bundesinventar-schuetzenswerte-ortsbilder</t>
        </is>
      </c>
    </row>
    <row r="158">
      <c r="A158" t="inlineStr">
        <is>
          <t>7_GIS_Layers</t>
        </is>
      </c>
      <c r="B158" t="n">
        <v>31</v>
      </c>
      <c r="C158" t="inlineStr">
        <is>
          <t>H</t>
        </is>
      </c>
      <c r="D158" t="inlineStr">
        <is>
          <t>ISOS – Ortsbilder von nationaler Bedeutung</t>
        </is>
      </c>
      <c r="E158" t="inlineStr">
        <is>
          <t>ch.bak.bundesinventar-schuetzenswerte-ortsbilder</t>
        </is>
      </c>
      <c r="F158" s="49" t="inlineStr">
        <is>
          <t>geprüft · korrigiert</t>
        </is>
      </c>
      <c r="G158" t="inlineStr">
        <is>
          <t>Hyperlink führte nur auf https://map.geo.admin.ch/ (Layer und Ausschnitt fehlten)</t>
        </is>
      </c>
      <c r="H158" t="n">
        <v>200</v>
      </c>
      <c r="I158" t="inlineStr">
        <is>
          <t>https://map.geo.admin.ch/</t>
        </is>
      </c>
      <c r="J158" s="50" t="inlineStr">
        <is>
          <t>https://map.geo.admin.ch/#/map?lang=de&amp;center=2721138,1258009&amp;z=9&amp;bgLayer=ch.swisstopo.pixelkarte-grau&amp;layers=ch.bak.bundesinventar-schuetzenswerte-ortsbilder</t>
        </is>
      </c>
    </row>
    <row r="159">
      <c r="A159" t="inlineStr">
        <is>
          <t>7_GIS_Layers</t>
        </is>
      </c>
      <c r="B159" t="n">
        <v>31</v>
      </c>
      <c r="C159" t="inlineStr">
        <is>
          <t>I</t>
        </is>
      </c>
      <c r="D159" t="inlineStr">
        <is>
          <t>ISOS – Ortsbilder von nationaler Bedeutung</t>
        </is>
      </c>
      <c r="E159" t="inlineStr">
        <is>
          <t>ch.bak.bundesinventar-schuetzenswerte-ortsbilder</t>
        </is>
      </c>
      <c r="F159" s="49" t="inlineStr">
        <is>
          <t>geprüft · korrigiert</t>
        </is>
      </c>
      <c r="G159" t="inlineStr">
        <is>
          <t>Hyperlink führte nur auf https://map.geo.admin.ch/ (Layer und Ausschnitt fehlten)</t>
        </is>
      </c>
      <c r="H159" t="n">
        <v>200</v>
      </c>
      <c r="I159" t="inlineStr">
        <is>
          <t>https://map.geo.admin.ch/</t>
        </is>
      </c>
      <c r="J159" s="50" t="inlineStr">
        <is>
          <t>https://map.geo.admin.ch/#/map?lang=de&amp;center=2687333,1203124&amp;z=9&amp;bgLayer=ch.swisstopo.pixelkarte-grau&amp;layers=ch.bak.bundesinventar-schuetzenswerte-ortsbilder</t>
        </is>
      </c>
    </row>
    <row r="160">
      <c r="A160" t="inlineStr">
        <is>
          <t>7_GIS_Layers</t>
        </is>
      </c>
      <c r="B160" t="n">
        <v>32</v>
      </c>
      <c r="C160" t="inlineStr">
        <is>
          <t>F</t>
        </is>
      </c>
      <c r="D160" t="inlineStr">
        <is>
          <t>IVS – Historische Verkehrswege (national)</t>
        </is>
      </c>
      <c r="E160" t="inlineStr">
        <is>
          <t>ch.astra.ivs-nat</t>
        </is>
      </c>
      <c r="F160" s="49" t="inlineStr">
        <is>
          <t>geprüft · korrigiert</t>
        </is>
      </c>
      <c r="G160" t="inlineStr">
        <is>
          <t>Hyperlink führte nur auf https://map.geo.admin.ch/ (Layer und Ausschnitt fehlten)</t>
        </is>
      </c>
      <c r="H160" t="n">
        <v>200</v>
      </c>
      <c r="I160" t="inlineStr">
        <is>
          <t>https://map.geo.admin.ch/</t>
        </is>
      </c>
      <c r="J160" s="50" t="inlineStr">
        <is>
          <t>https://map.geo.admin.ch/#/map?lang=de&amp;center=2660000,1190000&amp;z=1&amp;bgLayer=ch.swisstopo.pixelkarte-grau&amp;layers=ch.astra.ivs-nat</t>
        </is>
      </c>
    </row>
    <row r="161">
      <c r="A161" t="inlineStr">
        <is>
          <t>7_GIS_Layers</t>
        </is>
      </c>
      <c r="B161" t="n">
        <v>32</v>
      </c>
      <c r="C161" t="inlineStr">
        <is>
          <t>G</t>
        </is>
      </c>
      <c r="D161" t="inlineStr">
        <is>
          <t>IVS – Historische Verkehrswege (national)</t>
        </is>
      </c>
      <c r="E161" t="inlineStr">
        <is>
          <t>ch.astra.ivs-nat</t>
        </is>
      </c>
      <c r="F161" s="49" t="inlineStr">
        <is>
          <t>geprüft · korrigiert</t>
        </is>
      </c>
      <c r="G161" t="inlineStr">
        <is>
          <t>Hyperlink führte nur auf https://map.geo.admin.ch/ (Layer und Ausschnitt fehlten)</t>
        </is>
      </c>
      <c r="H161" t="n">
        <v>200</v>
      </c>
      <c r="I161" t="inlineStr">
        <is>
          <t>https://map.geo.admin.ch/</t>
        </is>
      </c>
      <c r="J161" s="50" t="inlineStr">
        <is>
          <t>https://map.geo.admin.ch/#/map?lang=de&amp;center=2613308,1263110&amp;z=9&amp;bgLayer=ch.swisstopo.pixelkarte-grau&amp;layers=ch.astra.ivs-nat</t>
        </is>
      </c>
    </row>
    <row r="162">
      <c r="A162" t="inlineStr">
        <is>
          <t>7_GIS_Layers</t>
        </is>
      </c>
      <c r="B162" t="n">
        <v>32</v>
      </c>
      <c r="C162" t="inlineStr">
        <is>
          <t>H</t>
        </is>
      </c>
      <c r="D162" t="inlineStr">
        <is>
          <t>IVS – Historische Verkehrswege (national)</t>
        </is>
      </c>
      <c r="E162" t="inlineStr">
        <is>
          <t>ch.astra.ivs-nat</t>
        </is>
      </c>
      <c r="F162" s="49" t="inlineStr">
        <is>
          <t>geprüft · korrigiert</t>
        </is>
      </c>
      <c r="G162" t="inlineStr">
        <is>
          <t>Hyperlink führte nur auf https://map.geo.admin.ch/ (Layer und Ausschnitt fehlten)</t>
        </is>
      </c>
      <c r="H162" t="n">
        <v>200</v>
      </c>
      <c r="I162" t="inlineStr">
        <is>
          <t>https://map.geo.admin.ch/</t>
        </is>
      </c>
      <c r="J162" s="50" t="inlineStr">
        <is>
          <t>https://map.geo.admin.ch/#/map?lang=de&amp;center=2721138,1258009&amp;z=9&amp;bgLayer=ch.swisstopo.pixelkarte-grau&amp;layers=ch.astra.ivs-nat</t>
        </is>
      </c>
    </row>
    <row r="163">
      <c r="A163" t="inlineStr">
        <is>
          <t>7_GIS_Layers</t>
        </is>
      </c>
      <c r="B163" t="n">
        <v>32</v>
      </c>
      <c r="C163" t="inlineStr">
        <is>
          <t>I</t>
        </is>
      </c>
      <c r="D163" t="inlineStr">
        <is>
          <t>IVS – Historische Verkehrswege (national)</t>
        </is>
      </c>
      <c r="E163" t="inlineStr">
        <is>
          <t>ch.astra.ivs-nat</t>
        </is>
      </c>
      <c r="F163" s="49" t="inlineStr">
        <is>
          <t>geprüft · korrigiert</t>
        </is>
      </c>
      <c r="G163" t="inlineStr">
        <is>
          <t>Hyperlink führte nur auf https://map.geo.admin.ch/ (Layer und Ausschnitt fehlten)</t>
        </is>
      </c>
      <c r="H163" t="n">
        <v>200</v>
      </c>
      <c r="I163" t="inlineStr">
        <is>
          <t>https://map.geo.admin.ch/</t>
        </is>
      </c>
      <c r="J163" s="50" t="inlineStr">
        <is>
          <t>https://map.geo.admin.ch/#/map?lang=de&amp;center=2687333,1203124&amp;z=9&amp;bgLayer=ch.swisstopo.pixelkarte-grau&amp;layers=ch.astra.ivs-nat</t>
        </is>
      </c>
    </row>
    <row r="164">
      <c r="A164" t="inlineStr">
        <is>
          <t>7_GIS_Layers</t>
        </is>
      </c>
      <c r="B164" t="n">
        <v>33</v>
      </c>
      <c r="C164" t="inlineStr">
        <is>
          <t>F</t>
        </is>
      </c>
      <c r="D164" t="inlineStr">
        <is>
          <t>KGS-Inventar (Kulturgüter von nationaler/regionaler Bedeutung)</t>
        </is>
      </c>
      <c r="E164" t="inlineStr">
        <is>
          <t>ch.babs.kulturgueter</t>
        </is>
      </c>
      <c r="F164" s="49" t="inlineStr">
        <is>
          <t>geprüft · korrigiert</t>
        </is>
      </c>
      <c r="G164" t="inlineStr">
        <is>
          <t>Hyperlink führte nur auf https://map.geo.admin.ch/ (Layer und Ausschnitt fehlten)</t>
        </is>
      </c>
      <c r="H164" t="n">
        <v>200</v>
      </c>
      <c r="I164" t="inlineStr">
        <is>
          <t>https://map.geo.admin.ch/</t>
        </is>
      </c>
      <c r="J164" s="50" t="inlineStr">
        <is>
          <t>https://map.geo.admin.ch/#/map?lang=de&amp;center=2660000,1190000&amp;z=1&amp;bgLayer=ch.swisstopo.pixelkarte-grau&amp;layers=ch.babs.kulturgueter</t>
        </is>
      </c>
    </row>
    <row r="165">
      <c r="A165" t="inlineStr">
        <is>
          <t>7_GIS_Layers</t>
        </is>
      </c>
      <c r="B165" t="n">
        <v>33</v>
      </c>
      <c r="C165" t="inlineStr">
        <is>
          <t>G</t>
        </is>
      </c>
      <c r="D165" t="inlineStr">
        <is>
          <t>KGS-Inventar (Kulturgüter von nationaler/regionaler Bedeutung)</t>
        </is>
      </c>
      <c r="E165" t="inlineStr">
        <is>
          <t>ch.babs.kulturgueter</t>
        </is>
      </c>
      <c r="F165" s="49" t="inlineStr">
        <is>
          <t>geprüft · korrigiert</t>
        </is>
      </c>
      <c r="G165" t="inlineStr">
        <is>
          <t>Hyperlink führte nur auf https://map.geo.admin.ch/ (Layer und Ausschnitt fehlten)</t>
        </is>
      </c>
      <c r="H165" t="n">
        <v>200</v>
      </c>
      <c r="I165" t="inlineStr">
        <is>
          <t>https://map.geo.admin.ch/</t>
        </is>
      </c>
      <c r="J165" s="50" t="inlineStr">
        <is>
          <t>https://map.geo.admin.ch/#/map?lang=de&amp;center=2613308,1263110&amp;z=9&amp;bgLayer=ch.swisstopo.pixelkarte-grau&amp;layers=ch.babs.kulturgueter</t>
        </is>
      </c>
    </row>
    <row r="166">
      <c r="A166" t="inlineStr">
        <is>
          <t>7_GIS_Layers</t>
        </is>
      </c>
      <c r="B166" t="n">
        <v>33</v>
      </c>
      <c r="C166" t="inlineStr">
        <is>
          <t>H</t>
        </is>
      </c>
      <c r="D166" t="inlineStr">
        <is>
          <t>KGS-Inventar (Kulturgüter von nationaler/regionaler Bedeutung)</t>
        </is>
      </c>
      <c r="E166" t="inlineStr">
        <is>
          <t>ch.babs.kulturgueter</t>
        </is>
      </c>
      <c r="F166" s="49" t="inlineStr">
        <is>
          <t>geprüft · korrigiert</t>
        </is>
      </c>
      <c r="G166" t="inlineStr">
        <is>
          <t>Hyperlink führte nur auf https://map.geo.admin.ch/ (Layer und Ausschnitt fehlten)</t>
        </is>
      </c>
      <c r="H166" t="n">
        <v>200</v>
      </c>
      <c r="I166" t="inlineStr">
        <is>
          <t>https://map.geo.admin.ch/</t>
        </is>
      </c>
      <c r="J166" s="50" t="inlineStr">
        <is>
          <t>https://map.geo.admin.ch/#/map?lang=de&amp;center=2721138,1258009&amp;z=9&amp;bgLayer=ch.swisstopo.pixelkarte-grau&amp;layers=ch.babs.kulturgueter</t>
        </is>
      </c>
    </row>
    <row r="167">
      <c r="A167" t="inlineStr">
        <is>
          <t>7_GIS_Layers</t>
        </is>
      </c>
      <c r="B167" t="n">
        <v>33</v>
      </c>
      <c r="C167" t="inlineStr">
        <is>
          <t>I</t>
        </is>
      </c>
      <c r="D167" t="inlineStr">
        <is>
          <t>KGS-Inventar (Kulturgüter von nationaler/regionaler Bedeutung)</t>
        </is>
      </c>
      <c r="E167" t="inlineStr">
        <is>
          <t>ch.babs.kulturgueter</t>
        </is>
      </c>
      <c r="F167" s="49" t="inlineStr">
        <is>
          <t>geprüft · korrigiert</t>
        </is>
      </c>
      <c r="G167" t="inlineStr">
        <is>
          <t>Hyperlink führte nur auf https://map.geo.admin.ch/ (Layer und Ausschnitt fehlten)</t>
        </is>
      </c>
      <c r="H167" t="n">
        <v>200</v>
      </c>
      <c r="I167" t="inlineStr">
        <is>
          <t>https://map.geo.admin.ch/</t>
        </is>
      </c>
      <c r="J167" s="50" t="inlineStr">
        <is>
          <t>https://map.geo.admin.ch/#/map?lang=de&amp;center=2687333,1203124&amp;z=9&amp;bgLayer=ch.swisstopo.pixelkarte-grau&amp;layers=ch.babs.kulturgueter</t>
        </is>
      </c>
    </row>
    <row r="168">
      <c r="A168" t="inlineStr">
        <is>
          <t>7_GIS_Layers</t>
        </is>
      </c>
      <c r="B168" t="n">
        <v>35</v>
      </c>
      <c r="C168" t="inlineStr">
        <is>
          <t>G</t>
        </is>
      </c>
      <c r="D168" t="inlineStr">
        <is>
          <t>Naturgefahrenkarten BL (Überschwemmung, Murgang, Steinschlag, Rutschung)</t>
        </is>
      </c>
      <c r="E168" t="inlineStr">
        <is>
          <t>—</t>
        </is>
      </c>
      <c r="F168" s="49" t="inlineStr">
        <is>
          <t>geprüft · korrigiert</t>
        </is>
      </c>
      <c r="G168" t="inlineStr">
        <is>
          <t>Koordinaten lagen bei Liestal; auf Münchenstein gesetzt</t>
        </is>
      </c>
      <c r="H168" t="n">
        <v>200</v>
      </c>
      <c r="I168" t="inlineStr">
        <is>
          <t>https://geoview.bl.ch/?map_x=2621744.3974429&amp;map_y=1259205.5204744&amp;map_zoom=4&amp;baselayer_opacity=100&amp;baselayer_ref=grundkarte_farbig&amp;tree_group_layers_Naturgefahren=ghk_wassergefahren_ueberschwemmung_wildbach%2Cghk_wassergefahren_ueberschwemmung_talfluesse</t>
        </is>
      </c>
      <c r="J168" s="50" t="inlineStr">
        <is>
          <t>https://geoview.bl.ch/?map_x=2613308&amp;map_y=1263110&amp;map_zoom=4&amp;baselayer_opacity=100&amp;baselayer_ref=grundkarte_farbig&amp;tree_group_layers_Naturgefahren=ghk_wassergefahren_ueberschwemmung_wildbach%2Cghk_wassergefahren_ueberschwemmung_talfluesse</t>
        </is>
      </c>
    </row>
    <row r="169">
      <c r="A169" t="inlineStr">
        <is>
          <t>7_GIS_Layers</t>
        </is>
      </c>
      <c r="B169" t="n">
        <v>41</v>
      </c>
      <c r="C169" t="inlineStr">
        <is>
          <t>H</t>
        </is>
      </c>
      <c r="D169" t="inlineStr">
        <is>
          <t>Naturgefahrenkarten SG (Geoportal SG)</t>
        </is>
      </c>
      <c r="E169" t="inlineStr">
        <is>
          <t>—</t>
        </is>
      </c>
      <c r="F169" s="49" t="inlineStr">
        <is>
          <t>geprüft · korrigiert</t>
        </is>
      </c>
      <c r="G169" t="inlineStr">
        <is>
          <t>Kartenzentrum lag rund 6 km südlich von Wil; auf Wil zentriert</t>
        </is>
      </c>
      <c r="H169" t="n">
        <v>200</v>
      </c>
      <c r="I169" t="inlineStr">
        <is>
          <t>https://www.geoportal.ch/ktsg/map/3502?y=2717572.22&amp;x=1252351.20&amp;scale=50000&amp;rotation=0</t>
        </is>
      </c>
      <c r="J169" s="50" t="inlineStr">
        <is>
          <t>https://www.geoportal.ch/ktsg/map/3502?y=2721138&amp;x=1258009&amp;scale=50000&amp;rotation=0</t>
        </is>
      </c>
    </row>
    <row r="170">
      <c r="A170" t="inlineStr">
        <is>
          <t>7_GIS_Layers</t>
        </is>
      </c>
      <c r="B170" t="n">
        <v>43</v>
      </c>
      <c r="C170" t="inlineStr">
        <is>
          <t>I</t>
        </is>
      </c>
      <c r="D170" t="inlineStr">
        <is>
          <t>Geoportal Uri: Nutzungsplanung, Schutzinventare, Naturgefahrenkarten (Seelisberg)</t>
        </is>
      </c>
      <c r="E170" t="inlineStr">
        <is>
          <t>—</t>
        </is>
      </c>
      <c r="F170" s="49" t="inlineStr">
        <is>
          <t>geprüft · korrigiert</t>
        </is>
      </c>
      <c r="G170" t="inlineStr">
        <is>
          <t>URL war beschädigt («¢er», abgeschnittener Parameter) und Lat/Lng lag bei Altdorf; auf Seelisberg gesetzt</t>
        </is>
      </c>
      <c r="H170" t="n">
        <v>200</v>
      </c>
      <c r="I170" t="inlineStr">
        <is>
          <t>https://geo.ur.ch/?Lat=46.85717868779396&amp;Layers=Nutzungsplanung%2CLiegenschaften%2CBaulanddatenbank&amp;Lng=8.660831451416016&amp;Opacity=0%2C0.4%2C1&amp;Visibility=1%2C1%2C1&amp;Zoom=13¢er%3D955909%2C5937458&amp;center=955830%2C5937741&amp;layers=Nutzungsplanung%20%28Planproduk</t>
        </is>
      </c>
      <c r="J170" s="50" t="inlineStr">
        <is>
          <t>https://geo.ur.ch/?Lat=46.9735&amp;Layers=Nutzungsplanung%2CLiegenschaften%2CBaulanddatenbank&amp;Lng=8.5868&amp;Opacity=0%2C0.4%2C1&amp;Visibility=1%2C1%2C1&amp;Zoom=14</t>
        </is>
      </c>
    </row>
    <row r="171">
      <c r="A171" t="inlineStr">
        <is>
          <t>1_Q1_Rechtsordnung</t>
        </is>
      </c>
      <c r="B171" t="n">
        <v>77</v>
      </c>
      <c r="C171" t="inlineStr">
        <is>
          <t>M</t>
        </is>
      </c>
      <c r="D171" t="inlineStr">
        <is>
          <t>Zonenvorschriften Siedlung</t>
        </is>
      </c>
      <c r="E171" t="inlineStr">
        <is>
          <t>–</t>
        </is>
      </c>
      <c r="F171" s="52" t="inlineStr">
        <is>
          <t>geprüft · OK</t>
        </is>
      </c>
      <c r="G171" t="inlineStr">
        <is>
          <t>Manuell geprüft 14.10.2026: Link (oereblex 22718) = Zonenvorschriften Siedlung, OK. Mehrfach gelistet, weil das Dokument mehrere Q-Dimensionen abdeckt (bisherige Bezeichnung: «Kommunale Natur- und Landschaftsschutzfestlegungen»)</t>
        </is>
      </c>
      <c r="H171" t="n">
        <v>200</v>
      </c>
      <c r="I171" t="inlineStr">
        <is>
          <t>https://oereblex.bl.ch/api/attachments/22718</t>
        </is>
      </c>
      <c r="J171" t="inlineStr">
        <is>
          <t>https://geo.ur.ch/?Lat=46.9735&amp;Layers=Nutzungsplanung%2CLiegenschaften%2CBaulanddatenbank&amp;Lng=8.5868&amp;Opacity=0%2C0.4%2C1&amp;Visibility=1%2C1%2C1&amp;Zoom=14</t>
        </is>
      </c>
    </row>
    <row r="172">
      <c r="A172" t="inlineStr">
        <is>
          <t>1_Q1_Rechtsordnung</t>
        </is>
      </c>
      <c r="B172" t="n">
        <v>78</v>
      </c>
      <c r="C172" t="inlineStr">
        <is>
          <t>M</t>
        </is>
      </c>
      <c r="D172" t="inlineStr">
        <is>
          <t>Zonenvorschriften Siedlung</t>
        </is>
      </c>
      <c r="E172" t="inlineStr">
        <is>
          <t>–</t>
        </is>
      </c>
      <c r="F172" s="52" t="inlineStr">
        <is>
          <t>geprüft · OK</t>
        </is>
      </c>
      <c r="G172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  <c r="H172" t="n">
        <v>200</v>
      </c>
      <c r="I172" t="inlineStr">
        <is>
          <t>https://oereblex.bl.ch/api/attachments/22718</t>
        </is>
      </c>
      <c r="J172" t="inlineStr">
        <is>
          <t>https://geo.ur.ch/?Lat=46.9735&amp;Layers=Nutzungsplanung%2CLiegenschaften%2CBaulanddatenbank&amp;Lng=8.5868&amp;Opacity=0%2C0.4%2C1&amp;Visibility=1%2C1%2C1&amp;Zoom=14</t>
        </is>
      </c>
    </row>
    <row r="173">
      <c r="A173" t="inlineStr">
        <is>
          <t>1_Q1_Rechtsordnung</t>
        </is>
      </c>
      <c r="B173" t="n">
        <v>80</v>
      </c>
      <c r="C173" t="inlineStr">
        <is>
          <t>M</t>
        </is>
      </c>
      <c r="D173" t="inlineStr">
        <is>
          <t>Zonenvorschriften Siedlung</t>
        </is>
      </c>
      <c r="E173" t="inlineStr">
        <is>
          <t>–</t>
        </is>
      </c>
      <c r="F173" s="52" t="inlineStr">
        <is>
          <t>geprüft · OK</t>
        </is>
      </c>
      <c r="G173" t="inlineStr">
        <is>
          <t>Manuell geprüft 14.10.2026: Link (oereblex 22718) = Zonenvorschriften Siedlung, OK. Mehrfach gelistet, weil das Dokument mehrere Q-Dimensionen abdeckt (bisherige Bezeichnung: «Kommunale Schutzverordnung / Ortsbildvorgaben»)</t>
        </is>
      </c>
      <c r="H173" t="n">
        <v>200</v>
      </c>
      <c r="I173" t="inlineStr">
        <is>
          <t>https://oereblex.bl.ch/api/attachments/22718</t>
        </is>
      </c>
    </row>
    <row r="174">
      <c r="A174" t="inlineStr">
        <is>
          <t>1_Q1_Rechtsordnung</t>
        </is>
      </c>
      <c r="B174" t="n">
        <v>83</v>
      </c>
      <c r="C174" t="inlineStr">
        <is>
          <t>M</t>
        </is>
      </c>
      <c r="D174" t="inlineStr">
        <is>
          <t>Zonenplan</t>
        </is>
      </c>
      <c r="E174" t="inlineStr">
        <is>
          <t>–</t>
        </is>
      </c>
      <c r="F174" s="52" t="inlineStr">
        <is>
          <t>geprüft · OK</t>
        </is>
      </c>
      <c r="G174" t="inlineStr">
        <is>
          <t>Manuell geprüft 14.10.2026: OK, Stand ergänzt</t>
        </is>
      </c>
      <c r="H174" t="n">
        <v>200</v>
      </c>
      <c r="I174" t="inlineStr">
        <is>
          <t>https://www.geoportal.ch/wil_sg/map/101?y=2719905.16&amp;x=1258486.88&amp;scale=25000&amp;rotation=0</t>
        </is>
      </c>
    </row>
    <row r="175">
      <c r="A175" t="inlineStr">
        <is>
          <t>1_Q1_Rechtsordnung</t>
        </is>
      </c>
      <c r="B175" t="n">
        <v>94</v>
      </c>
      <c r="C175" t="inlineStr">
        <is>
          <t>M</t>
        </is>
      </c>
      <c r="D175" t="inlineStr">
        <is>
          <t>Bau- und Zonenordnung (BZO) Seelisberg</t>
        </is>
      </c>
      <c r="E175" t="inlineStr">
        <is>
          <t>–</t>
        </is>
      </c>
      <c r="F175" s="52" t="inlineStr">
        <is>
          <t>geprüft · OK</t>
        </is>
      </c>
      <c r="G175" t="inlineStr">
        <is>
          <t>Manuell geprüft 14.10.2026: OK (BZO vom 01.01.2015, rev. 18.02.2025)</t>
        </is>
      </c>
      <c r="H175" t="n">
        <v>200</v>
      </c>
      <c r="I175" t="inlineStr">
        <is>
          <t>https://www.seelisberg.ch/files/pdf/Bau-und-Zonenordnung-Seelisberg.pdf</t>
        </is>
      </c>
    </row>
    <row r="176">
      <c r="A176" t="inlineStr">
        <is>
          <t>2_Q2_Landschaft</t>
        </is>
      </c>
      <c r="B176" t="n">
        <v>20</v>
      </c>
      <c r="C176" t="inlineStr">
        <is>
          <t>M</t>
        </is>
      </c>
      <c r="D176" t="inlineStr">
        <is>
          <t>Kantonale Natur-/Landschaftsschutzgebiete, Biotope, Vernetzung SG</t>
        </is>
      </c>
      <c r="E176" t="inlineStr">
        <is>
          <t>–</t>
        </is>
      </c>
      <c r="F176" s="51" t="inlineStr">
        <is>
          <t>geprüft · manuell prüfen</t>
        </is>
      </c>
      <c r="G176" t="inlineStr">
        <is>
          <t>erreichbar, Bezeichnung im Dokument nicht gefunden («Geoportal»)</t>
        </is>
      </c>
      <c r="H176" t="n">
        <v>200</v>
      </c>
      <c r="I176" t="inlineStr">
        <is>
          <t>https://www.geoportal.ch/ktsg</t>
        </is>
      </c>
    </row>
    <row r="177">
      <c r="A177" t="inlineStr">
        <is>
          <t>2_Q2_Landschaft</t>
        </is>
      </c>
      <c r="B177" t="n">
        <v>21</v>
      </c>
      <c r="C177" t="inlineStr">
        <is>
          <t>M</t>
        </is>
      </c>
      <c r="D177" t="inlineStr">
        <is>
          <t>Fruchtfolgeflächen (FFF) SG</t>
        </is>
      </c>
      <c r="E177" t="inlineStr">
        <is>
          <t>–</t>
        </is>
      </c>
      <c r="F177" s="51" t="inlineStr">
        <is>
          <t>geprüft · manuell prüfen</t>
        </is>
      </c>
      <c r="G177" t="inlineStr">
        <is>
          <t>erreichbar, Bezeichnung im Dokument nicht gefunden («Geoportal»)</t>
        </is>
      </c>
      <c r="H177" t="n">
        <v>200</v>
      </c>
      <c r="I177" t="inlineStr">
        <is>
          <t>https://www.geoportal.ch/ktsg</t>
        </is>
      </c>
    </row>
    <row r="178">
      <c r="A178" t="inlineStr">
        <is>
          <t>3_Q3_Klima_Energie</t>
        </is>
      </c>
      <c r="B178" t="n">
        <v>23</v>
      </c>
      <c r="C178" t="inlineStr">
        <is>
          <t>M</t>
        </is>
      </c>
      <c r="D178" t="inlineStr">
        <is>
          <t>Zonenvorschriften Siedlung</t>
        </is>
      </c>
      <c r="E178" t="inlineStr">
        <is>
          <t>–</t>
        </is>
      </c>
      <c r="F178" s="52" t="inlineStr">
        <is>
          <t>manuell geprüft · OK</t>
        </is>
      </c>
      <c r="G178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  <c r="H178" t="n">
        <v>200</v>
      </c>
      <c r="I178" t="inlineStr">
        <is>
          <t>https://oereblex.bl.ch/api/attachments/22718</t>
        </is>
      </c>
    </row>
    <row r="179">
      <c r="A179" t="inlineStr">
        <is>
          <t>4_Q4_Resilienz</t>
        </is>
      </c>
      <c r="B179" t="n">
        <v>18</v>
      </c>
      <c r="C179" t="inlineStr">
        <is>
          <t>M</t>
        </is>
      </c>
      <c r="D179" t="inlineStr">
        <is>
          <t>Hitze-/Klimaanalyse, Oberflächenabfluss, Lärm- und Altlastenkataster SG</t>
        </is>
      </c>
      <c r="E179" t="inlineStr">
        <is>
          <t>–</t>
        </is>
      </c>
      <c r="F179" s="51" t="inlineStr">
        <is>
          <t>geprüft · manuell prüfen</t>
        </is>
      </c>
      <c r="G179" t="inlineStr">
        <is>
          <t>erreichbar, Bezeichnung im Dokument nicht gefunden («Geoportal»)</t>
        </is>
      </c>
      <c r="H179" t="n">
        <v>200</v>
      </c>
      <c r="I179" t="inlineStr">
        <is>
          <t>https://www.geoportal.ch/ktsg</t>
        </is>
      </c>
    </row>
    <row r="180">
      <c r="A180" t="inlineStr">
        <is>
          <t>5_Q5_Ortsbild</t>
        </is>
      </c>
      <c r="B180" t="n">
        <v>13</v>
      </c>
      <c r="C180" t="inlineStr">
        <is>
          <t>M</t>
        </is>
      </c>
      <c r="D180" t="inlineStr">
        <is>
          <t>Inventar der Kulturdenkmäler (IKD) BL</t>
        </is>
      </c>
      <c r="E180" t="inlineStr">
        <is>
          <t>–</t>
        </is>
      </c>
      <c r="F180" s="51" t="inlineStr">
        <is>
          <t>geprüft · manuell prüfen</t>
        </is>
      </c>
      <c r="G180" t="inlineStr">
        <is>
          <t>erreichbar, Bezeichnung im Dokument nicht gefunden («Geoportal»)</t>
        </is>
      </c>
      <c r="H180" t="n">
        <v>200</v>
      </c>
      <c r="I180" t="inlineStr">
        <is>
          <t>https://www.geoportal.ch/muenchenstein/map/912?y=2611965.69&amp;x=1263213.43&amp;scale=17500&amp;rotation=0</t>
        </is>
      </c>
    </row>
    <row r="181">
      <c r="A181" t="inlineStr">
        <is>
          <t>5_Q5_Ortsbild</t>
        </is>
      </c>
      <c r="B181" t="n">
        <v>14</v>
      </c>
      <c r="C181" t="inlineStr">
        <is>
          <t>M</t>
        </is>
      </c>
      <c r="D181" t="inlineStr">
        <is>
          <t>Kantonales Bauinventar BL (BIB) / Denkmalverzeichnis</t>
        </is>
      </c>
      <c r="E181" t="inlineStr">
        <is>
          <t>–</t>
        </is>
      </c>
      <c r="F181" s="51" t="inlineStr">
        <is>
          <t>geprüft · manuell prüfen</t>
        </is>
      </c>
      <c r="G181" t="inlineStr">
        <is>
          <t>Server blockiert automatische Abfragen (HTTP 403); im Browser prüfen</t>
        </is>
      </c>
      <c r="H181" t="n">
        <v>403</v>
      </c>
      <c r="I181" t="inlineStr">
        <is>
          <t>https://www.baselland.ch</t>
        </is>
      </c>
    </row>
    <row r="182">
      <c r="A182" t="inlineStr">
        <is>
          <t>5_Q5_Ortsbild</t>
        </is>
      </c>
      <c r="B182" t="n">
        <v>16</v>
      </c>
      <c r="C182" t="inlineStr">
        <is>
          <t>M</t>
        </is>
      </c>
      <c r="D182" t="inlineStr">
        <is>
          <t>Kantonales Denkmalverzeichnis / Hinweisinventar SG</t>
        </is>
      </c>
      <c r="E182" t="inlineStr">
        <is>
          <t>–</t>
        </is>
      </c>
      <c r="F182" s="51" t="inlineStr">
        <is>
          <t>geprüft · manuell prüfen</t>
        </is>
      </c>
      <c r="G182" t="inlineStr">
        <is>
          <t>erreichbar, Bezeichnung im Dokument nicht gefunden («Geoportal»)</t>
        </is>
      </c>
      <c r="H182" t="n">
        <v>200</v>
      </c>
      <c r="I182" t="inlineStr">
        <is>
          <t>https://www.geoportal.ch/ktsg</t>
        </is>
      </c>
    </row>
    <row r="183">
      <c r="A183" t="inlineStr">
        <is>
          <t>5_Q5_Ortsbild</t>
        </is>
      </c>
      <c r="B183" t="n">
        <v>27</v>
      </c>
      <c r="C183" t="inlineStr">
        <is>
          <t>M</t>
        </is>
      </c>
      <c r="D183" t="inlineStr">
        <is>
          <t>Kommunale Schutzverordnung / Ortsbildvorgaben</t>
        </is>
      </c>
      <c r="E183" t="inlineStr">
        <is>
          <t>–</t>
        </is>
      </c>
      <c r="F183" s="51" t="inlineStr">
        <is>
          <t>geprüft · manuell prüfen</t>
        </is>
      </c>
      <c r="G183" t="inlineStr">
        <is>
          <t>erreichbar, Bezeichnung im Dokument nicht gefunden («»)</t>
        </is>
      </c>
      <c r="H183" t="n">
        <v>200</v>
      </c>
      <c r="I183" t="inlineStr">
        <is>
          <t>https://www.seelisberg.ch/files/pdf/Bau-und-Zonenordnung-Seelisberg.pdf</t>
        </is>
      </c>
    </row>
    <row r="184">
      <c r="A184" t="inlineStr">
        <is>
          <t>7_GIS_Layers</t>
        </is>
      </c>
      <c r="B184" t="n">
        <v>42</v>
      </c>
      <c r="C184" t="inlineStr">
        <is>
          <t>H</t>
        </is>
      </c>
      <c r="D184" t="inlineStr">
        <is>
          <t>Weitere kantonale Layer SG (Schutzgebiete, Inventare, FFF)</t>
        </is>
      </c>
      <c r="E184" t="inlineStr">
        <is>
          <t>—</t>
        </is>
      </c>
      <c r="F184" s="51" t="inlineStr">
        <is>
          <t>geprüft · manuell prüfen</t>
        </is>
      </c>
      <c r="G184" t="inlineStr">
        <is>
          <t>erreichbar, Bezeichnung im Dokument nicht gefunden («Geoportal»)</t>
        </is>
      </c>
      <c r="H184" t="n">
        <v>200</v>
      </c>
      <c r="I184" t="inlineStr">
        <is>
          <t>https://www.geoportal.ch/ktsg</t>
        </is>
      </c>
    </row>
    <row r="185">
      <c r="A185" t="inlineStr">
        <is>
          <t>1_Q1_Rechtsordnung</t>
        </is>
      </c>
      <c r="B185" t="n">
        <v>85</v>
      </c>
      <c r="C185" t="inlineStr">
        <is>
          <t>M</t>
        </is>
      </c>
      <c r="D185" t="inlineStr">
        <is>
          <t>Reglement zur Schutzverordnung</t>
        </is>
      </c>
      <c r="E185" t="inlineStr">
        <is>
          <t>–</t>
        </is>
      </c>
      <c r="F185" s="52" t="inlineStr">
        <is>
          <t>geprüft · OK</t>
        </is>
      </c>
      <c r="G185" t="inlineStr">
        <is>
          <t>Manuell geprüft 14.10.2026: Reglement zur Schutzverordnung enthält auch kantonale Schutzobjekte; Zuständigkeit liegt allein bei der Gde Wil. | Hinweis Linkprüfung: PDF ist der Entwurf zur öffentlichen Auflage (13.10.2022), nicht die erlassene Fassung</t>
        </is>
      </c>
      <c r="H185" t="n">
        <v>200</v>
      </c>
      <c r="I185" t="inlineStr">
        <is>
          <t>https://cms.e-mitwirkung.ch/media/wil/Reglement_221013.pdf</t>
        </is>
      </c>
    </row>
    <row r="186">
      <c r="A186" t="inlineStr">
        <is>
          <t>2_Q2_Landschaft</t>
        </is>
      </c>
      <c r="B186" t="n">
        <v>29</v>
      </c>
      <c r="C186" t="inlineStr">
        <is>
          <t>M</t>
        </is>
      </c>
      <c r="D186" t="inlineStr">
        <is>
          <t>Reglement zur Schutzverordnung und Schutzplan</t>
        </is>
      </c>
      <c r="E186" t="inlineStr">
        <is>
          <t>–</t>
        </is>
      </c>
      <c r="F186" s="51" t="inlineStr">
        <is>
          <t>geprüft · Hinweis</t>
        </is>
      </c>
      <c r="G186" t="inlineStr">
        <is>
          <t>Inhalt passt (Treffer: Schutzverordnung); PDF ist der Entwurf zur öffentlichen Auflage (13.10.2022), nicht die erlassene Fassung; in der Rechtssammlung Wil (tlex) nicht vorhanden</t>
        </is>
      </c>
      <c r="H186" t="n">
        <v>200</v>
      </c>
      <c r="I186" t="inlineStr">
        <is>
          <t>https://cms.e-mitwirkung.ch/media/wil/Reglement_221013.pdf</t>
        </is>
      </c>
    </row>
    <row r="187">
      <c r="A187" t="inlineStr">
        <is>
          <t>5_Q5_Ortsbild</t>
        </is>
      </c>
      <c r="B187" t="n">
        <v>24</v>
      </c>
      <c r="C187" t="inlineStr">
        <is>
          <t>M</t>
        </is>
      </c>
      <c r="D187" t="inlineStr">
        <is>
          <t>Reglement zur Schutzverordnung (Schutzobjekte, Gestaltungsauflagen)</t>
        </is>
      </c>
      <c r="E187" t="inlineStr">
        <is>
          <t>–</t>
        </is>
      </c>
      <c r="F187" s="51" t="inlineStr">
        <is>
          <t>geprüft · Hinweis</t>
        </is>
      </c>
      <c r="G187" t="inlineStr">
        <is>
          <t>Inhalt passt (Treffer: Schutzverordnung); PDF ist der Entwurf zur öffentlichen Auflage (13.10.2022), nicht die erlassene Fassung; in der Rechtssammlung Wil (tlex) nicht vorhanden</t>
        </is>
      </c>
      <c r="H187" t="n">
        <v>200</v>
      </c>
      <c r="I187" t="inlineStr">
        <is>
          <t>https://cms.e-mitwirkung.ch/media/wil/Reglement_221013.pdf</t>
        </is>
      </c>
    </row>
    <row r="188">
      <c r="A188" t="inlineStr">
        <is>
          <t>1_Q1_Rechtsordnung</t>
        </is>
      </c>
      <c r="B188" t="n">
        <v>36</v>
      </c>
      <c r="C188" t="inlineStr">
        <is>
          <t>M</t>
        </is>
      </c>
      <c r="D188" t="inlineStr">
        <is>
          <t>Bundesgesetz über sichere Stromversorgung mit erneuerbaren Energien (Mantelerlass; Änderung EnG/StromVG)</t>
        </is>
      </c>
      <c r="E188" t="inlineStr">
        <is>
          <t>–</t>
        </is>
      </c>
      <c r="F188" s="52" t="inlineStr">
        <is>
          <t>geprüft · OK</t>
        </is>
      </c>
      <c r="G188" t="inlineStr">
        <is>
          <t>Manuell geprüft 14.10.2026: Link auf Fedlex-Erlass (AS 2024 679) ersetzt und geprüft, OK</t>
        </is>
      </c>
      <c r="H188" t="n">
        <v>200</v>
      </c>
      <c r="I188" t="inlineStr">
        <is>
          <t>https://www.bfe.admin.ch</t>
        </is>
      </c>
      <c r="J188" t="inlineStr">
        <is>
          <t>https://www.fedlex.admin.ch/eli/oc/2024/679/de</t>
        </is>
      </c>
    </row>
    <row r="189">
      <c r="A189" t="inlineStr">
        <is>
          <t>1_Q1_Rechtsordnung</t>
        </is>
      </c>
      <c r="B189" t="n">
        <v>81</v>
      </c>
      <c r="C189" t="inlineStr">
        <is>
          <t>M</t>
        </is>
      </c>
      <c r="D189" t="inlineStr">
        <is>
          <t>Gemeindeordnung / Finanzhaushalt- und Beschaffungsreglement</t>
        </is>
      </c>
      <c r="E189" t="inlineStr">
        <is>
          <t>–</t>
        </is>
      </c>
      <c r="F189" s="52" t="inlineStr">
        <is>
          <t>geprüft · OK</t>
        </is>
      </c>
      <c r="G189" t="inlineStr">
        <is>
          <t>Manuell geprüft 14.10.2026: Link auf Gemeindeordnung ergänzt</t>
        </is>
      </c>
      <c r="H189" t="n">
        <v>200</v>
      </c>
      <c r="I189" t="inlineStr">
        <is>
          <t>https://www.muenchenstein.ch</t>
        </is>
      </c>
      <c r="J189" t="inlineStr">
        <is>
          <t>https://www.muenchenstein.ch/_docn/2430218/20180713_Gemeindeordnung_Stand_01.01.2013_publiziert_sw.pdf</t>
        </is>
      </c>
    </row>
    <row r="190">
      <c r="A190" t="inlineStr">
        <is>
          <t>1_Q1_Rechtsordnung</t>
        </is>
      </c>
      <c r="B190" t="n">
        <v>91</v>
      </c>
      <c r="C190" t="inlineStr">
        <is>
          <t>M</t>
        </is>
      </c>
      <c r="D190" t="inlineStr">
        <is>
          <t>Rechtskräftiger Zonenplan / Nutzungsplanung</t>
        </is>
      </c>
      <c r="E190" t="inlineStr">
        <is>
          <t>–</t>
        </is>
      </c>
      <c r="F190" s="52" t="inlineStr">
        <is>
          <t>geprüft · OK</t>
        </is>
      </c>
      <c r="G190" t="inlineStr">
        <is>
          <t>nur Einstiegsseite «geo.ur»</t>
        </is>
      </c>
      <c r="H190" t="n">
        <v>200</v>
      </c>
      <c r="I190" t="inlineStr">
        <is>
          <t>https://geo.ur.ch/</t>
        </is>
      </c>
      <c r="J190" t="inlineStr">
        <is>
          <t>https://www.muenchenstein.ch/_docn/2430218/20180713_Gemeindeordnung_Stand_01.01.2013_publiziert_sw.pdf</t>
        </is>
      </c>
    </row>
    <row r="191">
      <c r="A191" t="inlineStr">
        <is>
          <t>1_Q1_Rechtsordnung</t>
        </is>
      </c>
      <c r="B191" t="n">
        <v>95</v>
      </c>
      <c r="C191" t="inlineStr">
        <is>
          <t>M</t>
        </is>
      </c>
      <c r="D191" t="inlineStr">
        <is>
          <t>Gemeindeordnung / Finanzhaushalt- und Beschaffungsreglement</t>
        </is>
      </c>
      <c r="E191" t="inlineStr">
        <is>
          <t>–</t>
        </is>
      </c>
      <c r="F191" s="52" t="inlineStr">
        <is>
          <t>geprüft · OK</t>
        </is>
      </c>
      <c r="G191" t="inlineStr">
        <is>
          <t>Manuell geprüft 14.10.2026: Link auf Gemeindeordnung ergänzt, OK</t>
        </is>
      </c>
      <c r="H191" t="n">
        <v>200</v>
      </c>
      <c r="I191" t="inlineStr">
        <is>
          <t>https://www.seelisberg.ch</t>
        </is>
      </c>
      <c r="J191" t="inlineStr">
        <is>
          <t>https://www.seelisberg.ch/files/pdf/Gemeindeordnung.pdf</t>
        </is>
      </c>
    </row>
    <row r="192">
      <c r="A192" t="inlineStr">
        <is>
          <t>2_Q2_Landschaft</t>
        </is>
      </c>
      <c r="B192" t="n">
        <v>12</v>
      </c>
      <c r="C192" t="inlineStr">
        <is>
          <t>M</t>
        </is>
      </c>
      <c r="D192" t="inlineStr">
        <is>
          <t>Sachplan Fruchtfolgeflächen (SP FFF, 2020) und kantonale Mindestkontingente</t>
        </is>
      </c>
      <c r="E192" t="inlineStr">
        <is>
          <t>RPV Art. 26–30</t>
        </is>
      </c>
      <c r="F192" t="inlineStr">
        <is>
          <t>geprüft · nur Einstiegsseite</t>
        </is>
      </c>
      <c r="G192" t="inlineStr">
        <is>
          <t>nur Einstiegsseite «Bundesamt für Raumentwicklung ARE»</t>
        </is>
      </c>
      <c r="H192" t="n">
        <v>200</v>
      </c>
      <c r="I192" t="inlineStr">
        <is>
          <t>https://www.are.admin.ch</t>
        </is>
      </c>
    </row>
    <row r="193">
      <c r="A193" t="inlineStr">
        <is>
          <t>2_Q2_Landschaft</t>
        </is>
      </c>
      <c r="B193" t="n">
        <v>13</v>
      </c>
      <c r="C193" t="inlineStr">
        <is>
          <t>M</t>
        </is>
      </c>
      <c r="D193" t="inlineStr">
        <is>
          <t>Landschaftskonzept Schweiz / Strategie Biodiversität Schweiz / Aktionsplan</t>
        </is>
      </c>
      <c r="E193" t="inlineStr">
        <is>
          <t>–</t>
        </is>
      </c>
      <c r="F193" t="inlineStr">
        <is>
          <t>geprüft · nur Einstiegsseite</t>
        </is>
      </c>
      <c r="G193" t="inlineStr">
        <is>
          <t>nur Einstiegsseite «Bundesamt für Umwelt - Startseite»</t>
        </is>
      </c>
      <c r="H193" t="n">
        <v>200</v>
      </c>
      <c r="I193" t="inlineStr">
        <is>
          <t>https://www.bafu.admin.ch</t>
        </is>
      </c>
      <c r="J193" t="inlineStr">
        <is>
          <t>https://www.seelisberg.ch/files/pdf/Gemeindeordnung.pdf</t>
        </is>
      </c>
    </row>
    <row r="194">
      <c r="A194" t="inlineStr">
        <is>
          <t>2_Q2_Landschaft</t>
        </is>
      </c>
      <c r="B194" t="n">
        <v>15</v>
      </c>
      <c r="C194" t="inlineStr">
        <is>
          <t>M</t>
        </is>
      </c>
      <c r="D194" t="inlineStr">
        <is>
          <t>Arealstatistik / Bodenbedeckung / Landschaftstypologie</t>
        </is>
      </c>
      <c r="E194" t="inlineStr">
        <is>
          <t>–</t>
        </is>
      </c>
      <c r="F194" t="inlineStr">
        <is>
          <t>geprüft · nur Einstiegsseite</t>
        </is>
      </c>
      <c r="G194" t="inlineStr">
        <is>
          <t>nur Einstiegsseite «Bundesamt für Raumentwicklung ARE»</t>
        </is>
      </c>
      <c r="H194" t="n">
        <v>200</v>
      </c>
      <c r="I194" t="inlineStr">
        <is>
          <t>https://www.are.admin.ch</t>
        </is>
      </c>
      <c r="J194" t="inlineStr">
        <is>
          <t>https://www.seelisberg.ch/files/pdf/Gemeindeordnung.pdf</t>
        </is>
      </c>
    </row>
    <row r="195">
      <c r="A195" t="inlineStr">
        <is>
          <t>2_Q2_Landschaft</t>
        </is>
      </c>
      <c r="B195" t="n">
        <v>17</v>
      </c>
      <c r="C195" t="inlineStr">
        <is>
          <t>M</t>
        </is>
      </c>
      <c r="D195" t="inlineStr">
        <is>
          <t>Kantonale Schutzinventare / Fruchtfolgeflächen BL</t>
        </is>
      </c>
      <c r="E195" t="inlineStr">
        <is>
          <t>–</t>
        </is>
      </c>
      <c r="F195" t="inlineStr">
        <is>
          <t>geprüft · nur Einstiegsseite</t>
        </is>
      </c>
      <c r="G195" t="inlineStr">
        <is>
          <t>nur Einstiegsseite «Daten-Homepage ARP»</t>
        </is>
      </c>
      <c r="H195" t="n">
        <v>200</v>
      </c>
      <c r="I195" t="inlineStr">
        <is>
          <t>https://arp-daten.bl.ch/</t>
        </is>
      </c>
    </row>
    <row r="196">
      <c r="A196" t="inlineStr">
        <is>
          <t>2_Q2_Landschaft</t>
        </is>
      </c>
      <c r="B196" t="n">
        <v>18</v>
      </c>
      <c r="C196" t="inlineStr">
        <is>
          <t>M</t>
        </is>
      </c>
      <c r="D196" t="inlineStr">
        <is>
          <t>Inventar der geschützten Naturobjekte und Natur- und Landschaftsschutzkonzept BL</t>
        </is>
      </c>
      <c r="E196" t="inlineStr">
        <is>
          <t>–</t>
        </is>
      </c>
      <c r="F196" t="inlineStr">
        <is>
          <t>geprüft · nur Einstiegsseite</t>
        </is>
      </c>
      <c r="G196" t="inlineStr">
        <is>
          <t>nur Einstiegsseite «GeoView BL»</t>
        </is>
      </c>
      <c r="H196" t="n">
        <v>200</v>
      </c>
      <c r="I196" t="inlineStr">
        <is>
          <t>https://geoview.bl.ch</t>
        </is>
      </c>
    </row>
    <row r="197">
      <c r="A197" t="inlineStr">
        <is>
          <t>2_Q2_Landschaft</t>
        </is>
      </c>
      <c r="B197" t="n">
        <v>23</v>
      </c>
      <c r="C197" t="inlineStr">
        <is>
          <t>M</t>
        </is>
      </c>
      <c r="D197" t="inlineStr">
        <is>
          <t>Schutzinventare Uri (Schutzobjekte, Kulturlandrestriktionen)</t>
        </is>
      </c>
      <c r="E197" t="inlineStr">
        <is>
          <t>–</t>
        </is>
      </c>
      <c r="F197" t="inlineStr">
        <is>
          <t>geprüft · nur Einstiegsseite</t>
        </is>
      </c>
      <c r="G197" t="inlineStr">
        <is>
          <t>nur Einstiegsseite «geo.ur»</t>
        </is>
      </c>
      <c r="H197" t="n">
        <v>200</v>
      </c>
      <c r="I197" t="inlineStr">
        <is>
          <t>https://geo.ur.ch</t>
        </is>
      </c>
    </row>
    <row r="198">
      <c r="A198" t="inlineStr">
        <is>
          <t>2_Q2_Landschaft</t>
        </is>
      </c>
      <c r="B198" t="n">
        <v>24</v>
      </c>
      <c r="C198" t="inlineStr">
        <is>
          <t>M</t>
        </is>
      </c>
      <c r="D198" t="inlineStr">
        <is>
          <t>Fruchtfolgeflächen, Natur-/Landschaftsinventare Uri</t>
        </is>
      </c>
      <c r="E198" t="inlineStr">
        <is>
          <t>–</t>
        </is>
      </c>
      <c r="F198" t="inlineStr">
        <is>
          <t>geprüft · nur Einstiegsseite</t>
        </is>
      </c>
      <c r="G198" t="inlineStr">
        <is>
          <t>nur Einstiegsseite «geo.ur»</t>
        </is>
      </c>
      <c r="H198" t="n">
        <v>200</v>
      </c>
      <c r="I198" t="inlineStr">
        <is>
          <t>https://geo.ur.ch</t>
        </is>
      </c>
    </row>
    <row r="199">
      <c r="A199" t="inlineStr">
        <is>
          <t>2_Q2_Landschaft</t>
        </is>
      </c>
      <c r="B199" t="n">
        <v>35</v>
      </c>
      <c r="C199" t="inlineStr">
        <is>
          <t>M</t>
        </is>
      </c>
      <c r="D199" t="inlineStr">
        <is>
          <t>Detaillierte Biotop-/Artenfunddaten (z. B. Info Species), Naturschutzverträge, BFF-Bewirtschaftungsverträge</t>
        </is>
      </c>
      <c r="E199" t="inlineStr">
        <is>
          <t>–</t>
        </is>
      </c>
      <c r="F199" t="inlineStr">
        <is>
          <t>geprüft · nur Einstiegsseite</t>
        </is>
      </c>
      <c r="G199" t="inlineStr">
        <is>
          <t>nur Einstiegsseite «Fedlex»</t>
        </is>
      </c>
      <c r="H199" t="n">
        <v>200</v>
      </c>
      <c r="I199" t="inlineStr">
        <is>
          <t>https://www.fedlex.admin.ch</t>
        </is>
      </c>
    </row>
    <row r="200">
      <c r="A200" t="inlineStr">
        <is>
          <t>2_Q2_Landschaft</t>
        </is>
      </c>
      <c r="B200" t="n">
        <v>36</v>
      </c>
      <c r="C200" t="inlineStr">
        <is>
          <t>M</t>
        </is>
      </c>
      <c r="D200" t="inlineStr">
        <is>
          <t>Kommunale Pflege-/Unterhaltskonzepte Grünräume, Baumkataster</t>
        </is>
      </c>
      <c r="E200" t="inlineStr">
        <is>
          <t>–</t>
        </is>
      </c>
      <c r="F200" t="inlineStr">
        <is>
          <t>geprüft · nur Einstiegsseite</t>
        </is>
      </c>
      <c r="G200" t="inlineStr">
        <is>
          <t>nur Einstiegsseite «Fedlex»</t>
        </is>
      </c>
      <c r="H200" t="n">
        <v>200</v>
      </c>
      <c r="I200" t="inlineStr">
        <is>
          <t>https://www.fedlex.admin.ch</t>
        </is>
      </c>
    </row>
    <row r="201">
      <c r="A201" t="inlineStr">
        <is>
          <t>3_Q3_Klima_Energie</t>
        </is>
      </c>
      <c r="B201" t="n">
        <v>7</v>
      </c>
      <c r="C201" t="inlineStr">
        <is>
          <t>M</t>
        </is>
      </c>
      <c r="D201" t="inlineStr">
        <is>
          <t>Langfristige Klimastrategie der Schweiz 2050; Energieperspektiven 2050+</t>
        </is>
      </c>
      <c r="E201" t="inlineStr">
        <is>
          <t>–</t>
        </is>
      </c>
      <c r="F201" t="inlineStr">
        <is>
          <t>geprüft · nur Einstiegsseite</t>
        </is>
      </c>
      <c r="G201" t="inlineStr">
        <is>
          <t>nur Einstiegsseite «Bundesamt für Umwelt - Startseite»</t>
        </is>
      </c>
      <c r="H201" t="n">
        <v>200</v>
      </c>
      <c r="I201" t="inlineStr">
        <is>
          <t>https://www.bafu.admin.ch</t>
        </is>
      </c>
    </row>
    <row r="202">
      <c r="A202" t="inlineStr">
        <is>
          <t>3_Q3_Klima_Energie</t>
        </is>
      </c>
      <c r="B202" t="n">
        <v>11</v>
      </c>
      <c r="C202" t="inlineStr">
        <is>
          <t>M</t>
        </is>
      </c>
      <c r="D202" t="inlineStr">
        <is>
          <t>Treibhausgasinventar / Gemeinde-Energie- und CO₂-Bilanzen</t>
        </is>
      </c>
      <c r="E202" t="inlineStr">
        <is>
          <t>–</t>
        </is>
      </c>
      <c r="F202" t="inlineStr">
        <is>
          <t>geprüft · nur Einstiegsseite</t>
        </is>
      </c>
      <c r="G202" t="inlineStr">
        <is>
          <t>nur Einstiegsseite «Bundesamt für Umwelt - Startseite»</t>
        </is>
      </c>
      <c r="H202" t="n">
        <v>200</v>
      </c>
      <c r="I202" t="inlineStr">
        <is>
          <t>https://www.bafu.admin.ch</t>
        </is>
      </c>
    </row>
    <row r="203">
      <c r="A203" t="inlineStr">
        <is>
          <t>3_Q3_Klima_Energie</t>
        </is>
      </c>
      <c r="B203" t="n">
        <v>12</v>
      </c>
      <c r="C203" t="inlineStr">
        <is>
          <t>M</t>
        </is>
      </c>
      <c r="D203" t="inlineStr">
        <is>
          <t>MuKEn 2014 (Mustervorschriften der Kantone), SIA 2040, SIA 2032 (Graue Energie), SNBS Hochbau, Minergie</t>
        </is>
      </c>
      <c r="E203" t="inlineStr">
        <is>
          <t>–</t>
        </is>
      </c>
      <c r="F203" t="inlineStr">
        <is>
          <t>geprüft · nur Einstiegsseite</t>
        </is>
      </c>
      <c r="G203" t="inlineStr">
        <is>
          <t>nur Einstiegsseite «SIA Webplatform»</t>
        </is>
      </c>
      <c r="H203" t="n">
        <v>200</v>
      </c>
      <c r="I203" t="inlineStr">
        <is>
          <t>https://www.sia.ch</t>
        </is>
      </c>
    </row>
    <row r="204">
      <c r="A204" t="inlineStr">
        <is>
          <t>3_Q3_Klima_Energie</t>
        </is>
      </c>
      <c r="B204" t="n">
        <v>15</v>
      </c>
      <c r="C204" t="inlineStr">
        <is>
          <t>M</t>
        </is>
      </c>
      <c r="D204" t="inlineStr">
        <is>
          <t>Kantonale Energieplanung BL, Energie-/Klimastrategie, Solar-/Wärmepotenzial im Geoportal</t>
        </is>
      </c>
      <c r="E204" t="inlineStr">
        <is>
          <t>–</t>
        </is>
      </c>
      <c r="F204" t="inlineStr">
        <is>
          <t>geprüft · nur Einstiegsseite</t>
        </is>
      </c>
      <c r="G204" t="inlineStr">
        <is>
          <t>nur Einstiegsseite «GeoView BL»</t>
        </is>
      </c>
      <c r="H204" t="n">
        <v>200</v>
      </c>
      <c r="I204" t="inlineStr">
        <is>
          <t>https://geoview.bl.ch</t>
        </is>
      </c>
    </row>
    <row r="205">
      <c r="A205" t="inlineStr">
        <is>
          <t>3_Q3_Klima_Energie</t>
        </is>
      </c>
      <c r="B205" t="n">
        <v>21</v>
      </c>
      <c r="C205" t="inlineStr">
        <is>
          <t>M</t>
        </is>
      </c>
      <c r="D205" t="inlineStr">
        <is>
          <t>Energie-/Klimastrategie Uri, kantonale Energieplanung</t>
        </is>
      </c>
      <c r="E205" t="inlineStr">
        <is>
          <t>–</t>
        </is>
      </c>
      <c r="F205" t="inlineStr">
        <is>
          <t>geprüft · nur Einstiegsseite</t>
        </is>
      </c>
      <c r="G205" t="inlineStr">
        <is>
          <t>nur Einstiegsseite «Kanton Uri»</t>
        </is>
      </c>
      <c r="H205" t="n">
        <v>200</v>
      </c>
      <c r="I205" t="inlineStr">
        <is>
          <t>https://www.ur.ch</t>
        </is>
      </c>
    </row>
    <row r="206">
      <c r="A206" t="inlineStr">
        <is>
          <t>3_Q3_Klima_Energie</t>
        </is>
      </c>
      <c r="B206" t="n">
        <v>24</v>
      </c>
      <c r="C206" t="inlineStr">
        <is>
          <t>M</t>
        </is>
      </c>
      <c r="D206" t="inlineStr">
        <is>
          <t>Energiestadt-Label / kommunale Klimaziele</t>
        </is>
      </c>
      <c r="E206" t="inlineStr">
        <is>
          <t>–</t>
        </is>
      </c>
      <c r="F206" t="inlineStr">
        <is>
          <t>geprüft · nur Einstiegsseite</t>
        </is>
      </c>
      <c r="G206" t="inlineStr">
        <is>
          <t>nur Einstiegsseite «Münchenstein»</t>
        </is>
      </c>
      <c r="H206" t="n">
        <v>200</v>
      </c>
      <c r="I206" t="inlineStr">
        <is>
          <t>https://www.muenchenstein.ch</t>
        </is>
      </c>
    </row>
    <row r="207">
      <c r="A207" t="inlineStr">
        <is>
          <t>3_Q3_Klima_Energie</t>
        </is>
      </c>
      <c r="B207" t="n">
        <v>28</v>
      </c>
      <c r="C207" t="inlineStr">
        <is>
          <t>M</t>
        </is>
      </c>
      <c r="D207" t="inlineStr">
        <is>
          <t>Energiestadt-Label Wil</t>
        </is>
      </c>
      <c r="E207" t="inlineStr">
        <is>
          <t>–</t>
        </is>
      </c>
      <c r="F207" t="inlineStr">
        <is>
          <t>geprüft · nur Einstiegsseite</t>
        </is>
      </c>
      <c r="G207" t="inlineStr">
        <is>
          <t>nur Einstiegsseite «Stadt Wil»</t>
        </is>
      </c>
      <c r="H207" t="n">
        <v>200</v>
      </c>
      <c r="I207" t="inlineStr">
        <is>
          <t>https://www.stadtwil.ch</t>
        </is>
      </c>
    </row>
    <row r="208">
      <c r="A208" t="inlineStr">
        <is>
          <t>3_Q3_Klima_Energie</t>
        </is>
      </c>
      <c r="B208" t="n">
        <v>31</v>
      </c>
      <c r="C208" t="inlineStr">
        <is>
          <t>M</t>
        </is>
      </c>
      <c r="D208" t="inlineStr">
        <is>
          <t>Energieversorger-Daten (Verbrauch, Netzgebiete, Wärmenetze, Anschlussdichte)</t>
        </is>
      </c>
      <c r="E208" t="inlineStr">
        <is>
          <t>–</t>
        </is>
      </c>
      <c r="F208" t="inlineStr">
        <is>
          <t>geprüft · nur Einstiegsseite</t>
        </is>
      </c>
      <c r="G208" t="inlineStr">
        <is>
          <t>nur Einstiegsseite «Fedlex»</t>
        </is>
      </c>
      <c r="H208" t="n">
        <v>200</v>
      </c>
      <c r="I208" t="inlineStr">
        <is>
          <t>https://www.fedlex.admin.ch</t>
        </is>
      </c>
    </row>
    <row r="209">
      <c r="A209" t="inlineStr">
        <is>
          <t>3_Q3_Klima_Energie</t>
        </is>
      </c>
      <c r="B209" t="n">
        <v>32</v>
      </c>
      <c r="C209" t="inlineStr">
        <is>
          <t>M</t>
        </is>
      </c>
      <c r="D209" t="inlineStr">
        <is>
          <t>Gebäudebezogener Sanierungsstand, Heizungsregister, kommunale Gebäude-Energiebuchhaltung</t>
        </is>
      </c>
      <c r="E209" t="inlineStr">
        <is>
          <t>–</t>
        </is>
      </c>
      <c r="F209" t="inlineStr">
        <is>
          <t>geprüft · nur Einstiegsseite</t>
        </is>
      </c>
      <c r="G209" t="inlineStr">
        <is>
          <t>nur Einstiegsseite «Fedlex»</t>
        </is>
      </c>
      <c r="H209" t="n">
        <v>200</v>
      </c>
      <c r="I209" t="inlineStr">
        <is>
          <t>https://www.fedlex.admin.ch</t>
        </is>
      </c>
    </row>
    <row r="210">
      <c r="A210" t="inlineStr">
        <is>
          <t>4_Q4_Resilienz</t>
        </is>
      </c>
      <c r="B210" t="n">
        <v>7</v>
      </c>
      <c r="C210" t="inlineStr">
        <is>
          <t>M</t>
        </is>
      </c>
      <c r="D210" t="inlineStr">
        <is>
          <t>Naturgefahren: Gefahrenhinweiskarte / Portal (Daten der Kantone, via geo.admin.ch)</t>
        </is>
      </c>
      <c r="E210" t="inlineStr">
        <is>
          <t>–</t>
        </is>
      </c>
      <c r="F210" t="inlineStr">
        <is>
          <t>geprüft · nur Einstiegsseite</t>
        </is>
      </c>
      <c r="G210" t="inlineStr">
        <is>
          <t>nur Einstiegsseite «geo.admin.ch - das Geoportal des Bundes»</t>
        </is>
      </c>
      <c r="H210" t="n">
        <v>200</v>
      </c>
      <c r="I210" t="inlineStr">
        <is>
          <t>https://www.geo.admin.ch/</t>
        </is>
      </c>
    </row>
    <row r="211">
      <c r="A211" t="inlineStr">
        <is>
          <t>4_Q4_Resilienz</t>
        </is>
      </c>
      <c r="B211" t="n">
        <v>9</v>
      </c>
      <c r="C211" t="inlineStr">
        <is>
          <t>M</t>
        </is>
      </c>
      <c r="D211" t="inlineStr">
        <is>
          <t>Klimaszenarien CH2018 / Hydro-CH2018 / Klimaszenarien 2025; Strategie Anpassung an den Klimawandel</t>
        </is>
      </c>
      <c r="E211" t="inlineStr">
        <is>
          <t>–</t>
        </is>
      </c>
      <c r="F211" t="inlineStr">
        <is>
          <t>geprüft · nur Einstiegsseite</t>
        </is>
      </c>
      <c r="G211" t="inlineStr">
        <is>
          <t>nur Einstiegsseite «Bundesamt für Umwelt - Startseite»</t>
        </is>
      </c>
      <c r="H211" t="n">
        <v>200</v>
      </c>
      <c r="I211" t="inlineStr">
        <is>
          <t>https://www.bafu.admin.ch</t>
        </is>
      </c>
    </row>
    <row r="212">
      <c r="A212" t="inlineStr">
        <is>
          <t>4_Q4_Resilienz</t>
        </is>
      </c>
      <c r="B212" t="n">
        <v>10</v>
      </c>
      <c r="C212" t="inlineStr">
        <is>
          <t>M</t>
        </is>
      </c>
      <c r="D212" t="inlineStr">
        <is>
          <t>Hitzebelastung / Klimaanalyse (urbane Wärmeinseln, Bundesdaten)</t>
        </is>
      </c>
      <c r="E212" t="inlineStr">
        <is>
          <t>–</t>
        </is>
      </c>
      <c r="F212" t="inlineStr">
        <is>
          <t>geprüft · nur Einstiegsseite</t>
        </is>
      </c>
      <c r="G212" t="inlineStr">
        <is>
          <t>nur Einstiegsseite «Bundesamt für Umwelt - Startseite»</t>
        </is>
      </c>
      <c r="H212" t="n">
        <v>200</v>
      </c>
      <c r="I212" t="inlineStr">
        <is>
          <t>https://www.bafu.admin.ch</t>
        </is>
      </c>
    </row>
    <row r="213">
      <c r="A213" t="inlineStr">
        <is>
          <t>4_Q4_Resilienz</t>
        </is>
      </c>
      <c r="B213" t="n">
        <v>14</v>
      </c>
      <c r="C213" t="inlineStr">
        <is>
          <t>M</t>
        </is>
      </c>
      <c r="D213" t="inlineStr">
        <is>
          <t>Kantonale Naturgefahrenkarten BL (Wasser-, Sturz-, Rutschgefahren)</t>
        </is>
      </c>
      <c r="E213" t="inlineStr">
        <is>
          <t>–</t>
        </is>
      </c>
      <c r="F213" t="inlineStr">
        <is>
          <t>geprüft · nur Einstiegsseite</t>
        </is>
      </c>
      <c r="G213" t="inlineStr">
        <is>
          <t>nur Einstiegsseite «GeoView BL»</t>
        </is>
      </c>
      <c r="H213" t="n">
        <v>200</v>
      </c>
      <c r="I213" t="inlineStr">
        <is>
          <t>https://geoview.bl.ch/</t>
        </is>
      </c>
    </row>
    <row r="214">
      <c r="A214" t="inlineStr">
        <is>
          <t>4_Q4_Resilienz</t>
        </is>
      </c>
      <c r="B214" t="n">
        <v>15</v>
      </c>
      <c r="C214" t="inlineStr">
        <is>
          <t>M</t>
        </is>
      </c>
      <c r="D214" t="inlineStr">
        <is>
          <t>Kantonale Hitze-/Klimaanalyse, Oberflächenabfluss, Lärm- und Altlastenkataster BL</t>
        </is>
      </c>
      <c r="E214" t="inlineStr">
        <is>
          <t>–</t>
        </is>
      </c>
      <c r="F214" t="inlineStr">
        <is>
          <t>geprüft · nur Einstiegsseite</t>
        </is>
      </c>
      <c r="G214" t="inlineStr">
        <is>
          <t>nur Einstiegsseite «GeoView BL»</t>
        </is>
      </c>
      <c r="H214" t="n">
        <v>200</v>
      </c>
      <c r="I214" t="inlineStr">
        <is>
          <t>https://geoview.bl.ch</t>
        </is>
      </c>
    </row>
    <row r="215">
      <c r="A215" t="inlineStr">
        <is>
          <t>4_Q4_Resilienz</t>
        </is>
      </c>
      <c r="B215" t="n">
        <v>20</v>
      </c>
      <c r="C215" t="inlineStr">
        <is>
          <t>M</t>
        </is>
      </c>
      <c r="D215" t="inlineStr">
        <is>
          <t>Kantonale Naturgefahrenkarten Uri</t>
        </is>
      </c>
      <c r="E215" t="inlineStr">
        <is>
          <t>–</t>
        </is>
      </c>
      <c r="F215" t="inlineStr">
        <is>
          <t>geprüft · nur Einstiegsseite</t>
        </is>
      </c>
      <c r="G215" t="inlineStr">
        <is>
          <t>nur Einstiegsseite «geo.ur»</t>
        </is>
      </c>
      <c r="H215" t="n">
        <v>200</v>
      </c>
      <c r="I215" t="inlineStr">
        <is>
          <t>https://geo.ur.ch/</t>
        </is>
      </c>
    </row>
    <row r="216">
      <c r="A216" t="inlineStr">
        <is>
          <t>4_Q4_Resilienz</t>
        </is>
      </c>
      <c r="B216" t="n">
        <v>21</v>
      </c>
      <c r="C216" t="inlineStr">
        <is>
          <t>M</t>
        </is>
      </c>
      <c r="D216" t="inlineStr">
        <is>
          <t>Schutzwald, Lawinen-/Steinschlagschutz, Lärm-/Altlastenkataster Uri</t>
        </is>
      </c>
      <c r="E216" t="inlineStr">
        <is>
          <t>–</t>
        </is>
      </c>
      <c r="F216" t="inlineStr">
        <is>
          <t>geprüft · nur Einstiegsseite</t>
        </is>
      </c>
      <c r="G216" t="inlineStr">
        <is>
          <t>nur Einstiegsseite «geo.ur»</t>
        </is>
      </c>
      <c r="H216" t="n">
        <v>200</v>
      </c>
      <c r="I216" t="inlineStr">
        <is>
          <t>https://geo.ur.ch/</t>
        </is>
      </c>
    </row>
    <row r="217">
      <c r="A217" t="inlineStr">
        <is>
          <t>4_Q4_Resilienz</t>
        </is>
      </c>
      <c r="B217" t="n">
        <v>27</v>
      </c>
      <c r="C217" t="inlineStr">
        <is>
          <t>M</t>
        </is>
      </c>
      <c r="D217" t="inlineStr">
        <is>
          <t>GEP / Starkregenkarte Wil</t>
        </is>
      </c>
      <c r="E217" t="inlineStr">
        <is>
          <t>–</t>
        </is>
      </c>
      <c r="F217" t="inlineStr">
        <is>
          <t>geprüft · nur Einstiegsseite</t>
        </is>
      </c>
      <c r="G217" t="inlineStr">
        <is>
          <t>nur Einstiegsseite «Stadt Wil»</t>
        </is>
      </c>
      <c r="H217" t="n">
        <v>200</v>
      </c>
      <c r="I217" t="inlineStr">
        <is>
          <t>https://www.stadtwil.ch</t>
        </is>
      </c>
    </row>
    <row r="218">
      <c r="A218" t="inlineStr">
        <is>
          <t>4_Q4_Resilienz</t>
        </is>
      </c>
      <c r="B218" t="n">
        <v>31</v>
      </c>
      <c r="C218" t="inlineStr">
        <is>
          <t>M</t>
        </is>
      </c>
      <c r="D218" t="inlineStr">
        <is>
          <t>Abwasserreglement / GEP Seelisberg</t>
        </is>
      </c>
      <c r="E218" t="inlineStr">
        <is>
          <t>–</t>
        </is>
      </c>
      <c r="F218" t="inlineStr">
        <is>
          <t>geprüft · nur Einstiegsseite</t>
        </is>
      </c>
      <c r="G218" t="inlineStr">
        <is>
          <t>nur Einstiegsseite «Gemeinde Seelisberg | Einwohner-Service»</t>
        </is>
      </c>
      <c r="H218" t="n">
        <v>200</v>
      </c>
      <c r="I218" t="inlineStr">
        <is>
          <t>https://www.seelisberg.ch</t>
        </is>
      </c>
    </row>
    <row r="219">
      <c r="A219" t="inlineStr">
        <is>
          <t>4_Q4_Resilienz</t>
        </is>
      </c>
      <c r="B219" t="n">
        <v>33</v>
      </c>
      <c r="C219" t="inlineStr">
        <is>
          <t>M</t>
        </is>
      </c>
      <c r="D219" t="inlineStr">
        <is>
          <t>GEP-Sachdaten, Notfall-/Katastrophenkonzepte, Gefährdungsanalysen (KATAPLAN), Hochwasser-Einsatzplanung</t>
        </is>
      </c>
      <c r="E219" t="inlineStr">
        <is>
          <t>–</t>
        </is>
      </c>
      <c r="F219" t="inlineStr">
        <is>
          <t>geprüft · nur Einstiegsseite</t>
        </is>
      </c>
      <c r="G219" t="inlineStr">
        <is>
          <t>nur Einstiegsseite «Fedlex»</t>
        </is>
      </c>
      <c r="H219" t="n">
        <v>200</v>
      </c>
      <c r="I219" t="inlineStr">
        <is>
          <t>https://www.fedlex.admin.ch</t>
        </is>
      </c>
    </row>
    <row r="220">
      <c r="A220" t="inlineStr">
        <is>
          <t>4_Q4_Resilienz</t>
        </is>
      </c>
      <c r="B220" t="n">
        <v>34</v>
      </c>
      <c r="C220" t="inlineStr">
        <is>
          <t>M</t>
        </is>
      </c>
      <c r="D220" t="inlineStr">
        <is>
          <t>Gebäudeversicherung: Elementarschaden-Daten, Objektschutz-Nachweise</t>
        </is>
      </c>
      <c r="E220" t="inlineStr">
        <is>
          <t>–</t>
        </is>
      </c>
      <c r="F220" t="inlineStr">
        <is>
          <t>geprüft · nur Einstiegsseite</t>
        </is>
      </c>
      <c r="G220" t="inlineStr">
        <is>
          <t>nur Einstiegsseite «Fedlex»</t>
        </is>
      </c>
      <c r="H220" t="n">
        <v>200</v>
      </c>
      <c r="I220" t="inlineStr">
        <is>
          <t>https://www.fedlex.admin.ch</t>
        </is>
      </c>
    </row>
    <row r="221">
      <c r="A221" t="inlineStr">
        <is>
          <t>5_Q5_Ortsbild</t>
        </is>
      </c>
      <c r="B221" t="n">
        <v>11</v>
      </c>
      <c r="C221" t="inlineStr">
        <is>
          <t>M</t>
        </is>
      </c>
      <c r="D221" t="inlineStr">
        <is>
          <t>Strategie Baukultur des Bundes; Davos Qualitätssystem; Leitfäden BAK</t>
        </is>
      </c>
      <c r="E221" t="inlineStr">
        <is>
          <t>–</t>
        </is>
      </c>
      <c r="F221" t="inlineStr">
        <is>
          <t>geprüft · nur Einstiegsseite</t>
        </is>
      </c>
      <c r="G221" t="inlineStr">
        <is>
          <t>nur Einstiegsseite «Kultur fördern. Vielfalt stärken.»</t>
        </is>
      </c>
      <c r="H221" t="n">
        <v>200</v>
      </c>
      <c r="I221" t="inlineStr">
        <is>
          <t>https://www.bak.admin.ch</t>
        </is>
      </c>
    </row>
    <row r="222">
      <c r="A222" t="inlineStr">
        <is>
          <t>5_Q5_Ortsbild</t>
        </is>
      </c>
      <c r="B222" t="n">
        <v>18</v>
      </c>
      <c r="C222" t="inlineStr">
        <is>
          <t>M</t>
        </is>
      </c>
      <c r="D222" t="inlineStr">
        <is>
          <t>Kantonale Denkmal- und Ortsbildinventare Uri</t>
        </is>
      </c>
      <c r="E222" t="inlineStr">
        <is>
          <t>–</t>
        </is>
      </c>
      <c r="F222" t="inlineStr">
        <is>
          <t>geprüft · nur Einstiegsseite</t>
        </is>
      </c>
      <c r="G222" t="inlineStr">
        <is>
          <t>nur Einstiegsseite «geo.ur»</t>
        </is>
      </c>
      <c r="H222" t="n">
        <v>200</v>
      </c>
      <c r="I222" t="inlineStr">
        <is>
          <t>https://geo.ur.ch</t>
        </is>
      </c>
    </row>
    <row r="223">
      <c r="A223" t="inlineStr">
        <is>
          <t>5_Q5_Ortsbild</t>
        </is>
      </c>
      <c r="B223" t="n">
        <v>19</v>
      </c>
      <c r="C223" t="inlineStr">
        <is>
          <t>M</t>
        </is>
      </c>
      <c r="D223" t="inlineStr">
        <is>
          <t>Kantonales Schutzinventar Seelisberg</t>
        </is>
      </c>
      <c r="E223" t="inlineStr">
        <is>
          <t>–</t>
        </is>
      </c>
      <c r="F223" t="inlineStr">
        <is>
          <t>geprüft · nur Einstiegsseite</t>
        </is>
      </c>
      <c r="G223" t="inlineStr">
        <is>
          <t>nur Einstiegsseite «geo.ur»</t>
        </is>
      </c>
      <c r="H223" t="n">
        <v>200</v>
      </c>
      <c r="I223" t="inlineStr">
        <is>
          <t>https://geo.ur.ch</t>
        </is>
      </c>
    </row>
    <row r="224">
      <c r="A224" t="inlineStr">
        <is>
          <t>5_Q5_Ortsbild</t>
        </is>
      </c>
      <c r="B224" t="n">
        <v>30</v>
      </c>
      <c r="C224" t="inlineStr">
        <is>
          <t>M</t>
        </is>
      </c>
      <c r="D224" t="inlineStr">
        <is>
          <t>Archäologische Fundstellen / Verdachtsflächen</t>
        </is>
      </c>
      <c r="E224" t="inlineStr">
        <is>
          <t>–</t>
        </is>
      </c>
      <c r="F224" t="inlineStr">
        <is>
          <t>geprüft · nur Einstiegsseite</t>
        </is>
      </c>
      <c r="G224" t="inlineStr">
        <is>
          <t>nur Einstiegsseite «Fedlex»</t>
        </is>
      </c>
      <c r="H224" t="n">
        <v>200</v>
      </c>
      <c r="I224" t="inlineStr">
        <is>
          <t>https://www.fedlex.admin.ch</t>
        </is>
      </c>
    </row>
    <row r="225">
      <c r="A225" t="inlineStr">
        <is>
          <t>5_Q5_Ortsbild</t>
        </is>
      </c>
      <c r="B225" t="n">
        <v>31</v>
      </c>
      <c r="C225" t="inlineStr">
        <is>
          <t>M</t>
        </is>
      </c>
      <c r="D225" t="inlineStr">
        <is>
          <t>Denkmalpflegerische Gutachten, Einzelobjekt-Inventarblätter, Bauberatungs-Protokolle, Gestaltungsbeirat</t>
        </is>
      </c>
      <c r="E225" t="inlineStr">
        <is>
          <t>–</t>
        </is>
      </c>
      <c r="F225" t="inlineStr">
        <is>
          <t>geprüft · nur Einstiegsseite</t>
        </is>
      </c>
      <c r="G225" t="inlineStr">
        <is>
          <t>nur Einstiegsseite «Fedlex»</t>
        </is>
      </c>
      <c r="H225" t="n">
        <v>200</v>
      </c>
      <c r="I225" t="inlineStr">
        <is>
          <t>https://www.fedlex.admin.ch</t>
        </is>
      </c>
    </row>
    <row r="226">
      <c r="A226" t="inlineStr">
        <is>
          <t>6_Q6_Bestellung</t>
        </is>
      </c>
      <c r="B226" t="n">
        <v>7</v>
      </c>
      <c r="C226" t="inlineStr">
        <is>
          <t>M</t>
        </is>
      </c>
      <c r="D226" t="inlineStr">
        <is>
          <t>simap.ch – Beschaffungsplattform (Ausschreibungen, Zuschläge)</t>
        </is>
      </c>
      <c r="E226" t="inlineStr">
        <is>
          <t>–</t>
        </is>
      </c>
      <c r="F226" t="inlineStr">
        <is>
          <t>geprüft · nur Einstiegsseite</t>
        </is>
      </c>
      <c r="G226" t="inlineStr">
        <is>
          <t>nur Einstiegsseite «Veröffentlichungen suchen»</t>
        </is>
      </c>
      <c r="H226" t="n">
        <v>200</v>
      </c>
      <c r="I226" t="inlineStr">
        <is>
          <t>https://www.simap.ch</t>
        </is>
      </c>
    </row>
    <row r="227">
      <c r="A227" t="inlineStr">
        <is>
          <t>6_Q6_Bestellung</t>
        </is>
      </c>
      <c r="B227" t="n">
        <v>8</v>
      </c>
      <c r="C227" t="inlineStr">
        <is>
          <t>M</t>
        </is>
      </c>
      <c r="D227" t="inlineStr">
        <is>
          <t>KBOB-Empfehlungen (Beschaffung, Lebenszykluskosten, Nachhaltigkeit); Leitfaden Nachhaltige Beschaffung</t>
        </is>
      </c>
      <c r="E227" t="inlineStr">
        <is>
          <t>–</t>
        </is>
      </c>
      <c r="F227" t="inlineStr">
        <is>
          <t>geprüft · nur Einstiegsseite</t>
        </is>
      </c>
      <c r="G227" t="inlineStr">
        <is>
          <t>nur Einstiegsseite «Koordinationskonferenz der Bau- und Liegenschaftsorgane der »</t>
        </is>
      </c>
      <c r="H227" t="n">
        <v>200</v>
      </c>
      <c r="I227" t="inlineStr">
        <is>
          <t>https://www.kbob.admin.ch</t>
        </is>
      </c>
    </row>
    <row r="228">
      <c r="A228" t="inlineStr">
        <is>
          <t>6_Q6_Bestellung</t>
        </is>
      </c>
      <c r="B228" t="n">
        <v>9</v>
      </c>
      <c r="C228" t="inlineStr">
        <is>
          <t>M</t>
        </is>
      </c>
      <c r="D228" t="inlineStr">
        <is>
          <t>SIA 142 (Wettbewerbe), SIA 143 (Studienaufträge), SIA 112 (Leistungsmodell), SIA 118, SIA 480 (Wirtschaftlichkeit)</t>
        </is>
      </c>
      <c r="E228" t="inlineStr">
        <is>
          <t>–</t>
        </is>
      </c>
      <c r="F228" t="inlineStr">
        <is>
          <t>geprüft · nur Einstiegsseite</t>
        </is>
      </c>
      <c r="G228" t="inlineStr">
        <is>
          <t>nur Einstiegsseite «SIA Webplatform»</t>
        </is>
      </c>
      <c r="H228" t="n">
        <v>200</v>
      </c>
      <c r="I228" t="inlineStr">
        <is>
          <t>https://www.sia.ch</t>
        </is>
      </c>
    </row>
    <row r="229">
      <c r="A229" t="inlineStr">
        <is>
          <t>6_Q6_Bestellung</t>
        </is>
      </c>
      <c r="B229" t="n">
        <v>12</v>
      </c>
      <c r="C229" t="inlineStr">
        <is>
          <t>M</t>
        </is>
      </c>
      <c r="D229" t="inlineStr">
        <is>
          <t>Leitfaden/Kommentar zur IVöB 2019 (BPUK / Beschaffungskonferenz)</t>
        </is>
      </c>
      <c r="E229" t="inlineStr">
        <is>
          <t>–</t>
        </is>
      </c>
      <c r="F229" t="inlineStr">
        <is>
          <t>geprüft · nur Einstiegsseite</t>
        </is>
      </c>
      <c r="G229" t="inlineStr">
        <is>
          <t>nur Einstiegsseite «BPUK»</t>
        </is>
      </c>
      <c r="H229" t="n">
        <v>200</v>
      </c>
      <c r="I229" t="inlineStr">
        <is>
          <t>https://www.bpuk.ch</t>
        </is>
      </c>
    </row>
    <row r="230">
      <c r="A230" t="inlineStr">
        <is>
          <t>6_Q6_Bestellung</t>
        </is>
      </c>
      <c r="B230" t="n">
        <v>26</v>
      </c>
      <c r="C230" t="inlineStr">
        <is>
          <t>M</t>
        </is>
      </c>
      <c r="D230" t="inlineStr">
        <is>
          <t>Gemeindeordnung, Finanzhaushalt- und Beschaffungsreglement</t>
        </is>
      </c>
      <c r="E230" t="inlineStr">
        <is>
          <t>–</t>
        </is>
      </c>
      <c r="F230" t="inlineStr">
        <is>
          <t>geprüft · nur Einstiegsseite</t>
        </is>
      </c>
      <c r="G230" t="inlineStr">
        <is>
          <t>nur Einstiegsseite «Münchenstein»</t>
        </is>
      </c>
      <c r="H230" t="n">
        <v>200</v>
      </c>
      <c r="I230" t="inlineStr">
        <is>
          <t>https://www.muenchenstein.ch</t>
        </is>
      </c>
    </row>
    <row r="231">
      <c r="A231" t="inlineStr">
        <is>
          <t>6_Q6_Bestellung</t>
        </is>
      </c>
      <c r="B231" t="n">
        <v>27</v>
      </c>
      <c r="C231" t="inlineStr">
        <is>
          <t>M</t>
        </is>
      </c>
      <c r="D231" t="inlineStr">
        <is>
          <t>Vergaben Münchenstein auf simap.ch</t>
        </is>
      </c>
      <c r="E231" t="inlineStr">
        <is>
          <t>–</t>
        </is>
      </c>
      <c r="F231" t="inlineStr">
        <is>
          <t>geprüft · nur Einstiegsseite</t>
        </is>
      </c>
      <c r="G231" t="inlineStr">
        <is>
          <t>nur Einstiegsseite «Veröffentlichungen suchen»</t>
        </is>
      </c>
      <c r="H231" t="n">
        <v>200</v>
      </c>
      <c r="I231" t="inlineStr">
        <is>
          <t>https://www.simap.ch</t>
        </is>
      </c>
    </row>
    <row r="232">
      <c r="A232" t="inlineStr">
        <is>
          <t>6_Q6_Bestellung</t>
        </is>
      </c>
      <c r="B232" t="n">
        <v>30</v>
      </c>
      <c r="C232" t="inlineStr">
        <is>
          <t>M</t>
        </is>
      </c>
      <c r="D232" t="inlineStr">
        <is>
          <t>Vergaben Wil auf simap.ch</t>
        </is>
      </c>
      <c r="E232" t="inlineStr">
        <is>
          <t>–</t>
        </is>
      </c>
      <c r="F232" t="inlineStr">
        <is>
          <t>geprüft · nur Einstiegsseite</t>
        </is>
      </c>
      <c r="G232" t="inlineStr">
        <is>
          <t>nur Einstiegsseite «Veröffentlichungen suchen»</t>
        </is>
      </c>
      <c r="H232" t="n">
        <v>200</v>
      </c>
      <c r="I232" t="inlineStr">
        <is>
          <t>https://www.simap.ch</t>
        </is>
      </c>
    </row>
    <row r="233">
      <c r="A233" t="inlineStr">
        <is>
          <t>6_Q6_Bestellung</t>
        </is>
      </c>
      <c r="B233" t="n">
        <v>32</v>
      </c>
      <c r="C233" t="inlineStr">
        <is>
          <t>M</t>
        </is>
      </c>
      <c r="D233" t="inlineStr">
        <is>
          <t>Gemeindeordnung, Finanzhaushalt- und Beschaffungsreglement</t>
        </is>
      </c>
      <c r="E233" t="inlineStr">
        <is>
          <t>–</t>
        </is>
      </c>
      <c r="F233" t="inlineStr">
        <is>
          <t>geprüft · nur Einstiegsseite</t>
        </is>
      </c>
      <c r="G233" t="inlineStr">
        <is>
          <t>nur Einstiegsseite «Gemeinde Seelisberg | Einwohner-Service»</t>
        </is>
      </c>
      <c r="H233" t="n">
        <v>200</v>
      </c>
      <c r="I233" t="inlineStr">
        <is>
          <t>https://www.seelisberg.ch</t>
        </is>
      </c>
    </row>
    <row r="234">
      <c r="A234" t="inlineStr">
        <is>
          <t>6_Q6_Bestellung</t>
        </is>
      </c>
      <c r="B234" t="n">
        <v>33</v>
      </c>
      <c r="C234" t="inlineStr">
        <is>
          <t>M</t>
        </is>
      </c>
      <c r="D234" t="inlineStr">
        <is>
          <t>Vergaben Seelisberg auf simap.ch</t>
        </is>
      </c>
      <c r="E234" t="inlineStr">
        <is>
          <t>–</t>
        </is>
      </c>
      <c r="F234" t="inlineStr">
        <is>
          <t>geprüft · nur Einstiegsseite</t>
        </is>
      </c>
      <c r="G234" t="inlineStr">
        <is>
          <t>nur Einstiegsseite «Veröffentlichungen suchen»</t>
        </is>
      </c>
      <c r="H234" t="n">
        <v>200</v>
      </c>
      <c r="I234" t="inlineStr">
        <is>
          <t>https://www.simap.ch</t>
        </is>
      </c>
    </row>
    <row r="235">
      <c r="A235" t="inlineStr">
        <is>
          <t>6_Q6_Bestellung</t>
        </is>
      </c>
      <c r="B235" t="n">
        <v>35</v>
      </c>
      <c r="C235" t="inlineStr">
        <is>
          <t>M</t>
        </is>
      </c>
      <c r="D235" t="inlineStr">
        <is>
          <t>Laufende Vergaben, Verträge, Bestellorganisation, Projektabläufe, Beschaffungsstatistik</t>
        </is>
      </c>
      <c r="E235" t="inlineStr">
        <is>
          <t>–</t>
        </is>
      </c>
      <c r="F235" t="inlineStr">
        <is>
          <t>geprüft · nur Einstiegsseite</t>
        </is>
      </c>
      <c r="G235" t="inlineStr">
        <is>
          <t>nur Einstiegsseite «Fedlex»</t>
        </is>
      </c>
      <c r="H235" t="n">
        <v>200</v>
      </c>
      <c r="I235" t="inlineStr">
        <is>
          <t>https://www.fedlex.admin.ch</t>
        </is>
      </c>
    </row>
    <row r="236">
      <c r="A236" t="inlineStr">
        <is>
          <t>6_Q6_Bestellung</t>
        </is>
      </c>
      <c r="B236" t="n">
        <v>36</v>
      </c>
      <c r="C236" t="inlineStr">
        <is>
          <t>M</t>
        </is>
      </c>
      <c r="D236" t="inlineStr">
        <is>
          <t>Lebenszykluskosten-Vorgaben, Bestellerhandbücher, Projektleitungs-Standards der Gemeinde</t>
        </is>
      </c>
      <c r="E236" t="inlineStr">
        <is>
          <t>–</t>
        </is>
      </c>
      <c r="F236" t="inlineStr">
        <is>
          <t>geprüft · nur Einstiegsseite</t>
        </is>
      </c>
      <c r="G236" t="inlineStr">
        <is>
          <t>nur Einstiegsseite «Fedlex»</t>
        </is>
      </c>
      <c r="H236" t="n">
        <v>200</v>
      </c>
      <c r="I236" t="inlineStr">
        <is>
          <t>https://www.fedlex.admin.ch</t>
        </is>
      </c>
    </row>
    <row r="237">
      <c r="A237" t="inlineStr">
        <is>
          <t>7_GIS_Layers</t>
        </is>
      </c>
      <c r="B237" t="n">
        <v>36</v>
      </c>
      <c r="C237" t="inlineStr">
        <is>
          <t>G</t>
        </is>
      </c>
      <c r="D237" t="inlineStr">
        <is>
          <t>Kantonale Schutzinventare und Fruchtfolgeflächen BL (ARP-Daten)</t>
        </is>
      </c>
      <c r="E237" t="inlineStr">
        <is>
          <t>—</t>
        </is>
      </c>
      <c r="F237" t="inlineStr">
        <is>
          <t>geprüft · nur Einstiegsseite</t>
        </is>
      </c>
      <c r="G237" t="inlineStr">
        <is>
          <t>nur Einstiegsseite «Daten-Homepage ARP»</t>
        </is>
      </c>
      <c r="H237" t="n">
        <v>200</v>
      </c>
      <c r="I237" t="inlineStr">
        <is>
          <t>https://arp-daten.bl.ch/</t>
        </is>
      </c>
    </row>
    <row r="238">
      <c r="A238" t="inlineStr">
        <is>
          <t>7_GIS_Layers</t>
        </is>
      </c>
      <c r="B238" t="n">
        <v>37</v>
      </c>
      <c r="C238" t="inlineStr">
        <is>
          <t>G</t>
        </is>
      </c>
      <c r="D238" t="inlineStr">
        <is>
          <t>Inventar der geschützten Naturobjekte BL / Naturschutzgebiete (Geoportal BL)</t>
        </is>
      </c>
      <c r="E238" t="inlineStr">
        <is>
          <t>—</t>
        </is>
      </c>
      <c r="F238" t="inlineStr">
        <is>
          <t>geprüft · nur Einstiegsseite</t>
        </is>
      </c>
      <c r="G238" t="inlineStr">
        <is>
          <t>nur Einstiegsseite «GeoView BL»</t>
        </is>
      </c>
      <c r="H238" t="n">
        <v>200</v>
      </c>
      <c r="I238" t="inlineStr">
        <is>
          <t>https://geoview.bl.ch/</t>
        </is>
      </c>
    </row>
    <row r="239">
      <c r="A239" t="inlineStr">
        <is>
          <t>1_Q1_Rechtsordnung</t>
        </is>
      </c>
      <c r="B239" t="n">
        <v>7</v>
      </c>
      <c r="C239" t="inlineStr">
        <is>
          <t>M</t>
        </is>
      </c>
      <c r="D239" t="inlineStr">
        <is>
          <t>Bundesverfassung (Art. 73 Nachhaltigkeit, 75 Raumplanung, 75b Zweitwohnungen, 78 Natur-/Heimatschutz, 89 Energie)</t>
        </is>
      </c>
      <c r="E239" t="inlineStr">
        <is>
          <t>SR 101</t>
        </is>
      </c>
      <c r="F239" s="52" t="inlineStr">
        <is>
          <t>geprüft · OK</t>
        </is>
      </c>
      <c r="G239" t="inlineStr">
        <is>
          <t>Fedlex-Link = SR 101 «Bundesverfassung der Schweizerischen Eidgenossenschaft vom 18. April 1999»</t>
        </is>
      </c>
      <c r="H239" t="n">
        <v>200</v>
      </c>
      <c r="I239" t="inlineStr">
        <is>
          <t>https://www.fedlex.admin.ch/eli/cc/1999/404/de</t>
        </is>
      </c>
    </row>
    <row r="240">
      <c r="A240" t="inlineStr">
        <is>
          <t>1_Q1_Rechtsordnung</t>
        </is>
      </c>
      <c r="B240" t="n">
        <v>8</v>
      </c>
      <c r="C240" t="inlineStr">
        <is>
          <t>M</t>
        </is>
      </c>
      <c r="D240" t="inlineStr">
        <is>
          <t>Raumplanungsgesetz (RPG)</t>
        </is>
      </c>
      <c r="E240" t="inlineStr">
        <is>
          <t>SR 700</t>
        </is>
      </c>
      <c r="F240" s="52" t="inlineStr">
        <is>
          <t>geprüft · OK</t>
        </is>
      </c>
      <c r="G240" t="inlineStr">
        <is>
          <t>Fedlex-Link = SR 700 «Bundesgesetz vom 22. Juni 1979 über die Raumplanung (Raumplanungsgesetz, RPG)»</t>
        </is>
      </c>
      <c r="H240" t="n">
        <v>200</v>
      </c>
      <c r="I240" t="inlineStr">
        <is>
          <t>https://www.fedlex.admin.ch/eli/cc/1979/1573_1573_1573/de</t>
        </is>
      </c>
    </row>
    <row r="241">
      <c r="A241" t="inlineStr">
        <is>
          <t>1_Q1_Rechtsordnung</t>
        </is>
      </c>
      <c r="B241" t="n">
        <v>9</v>
      </c>
      <c r="C241" t="inlineStr">
        <is>
          <t>M</t>
        </is>
      </c>
      <c r="D241" t="inlineStr">
        <is>
          <t>Raumplanungsverordnung (RPV)</t>
        </is>
      </c>
      <c r="E241" t="inlineStr">
        <is>
          <t>SR 700.1</t>
        </is>
      </c>
      <c r="F241" s="52" t="inlineStr">
        <is>
          <t>geprüft · OK</t>
        </is>
      </c>
      <c r="G241" t="inlineStr">
        <is>
          <t>Fedlex-Link = SR 700.1 «Raumplanungsverordnung vom 28. Juni 2000 (RPV)»</t>
        </is>
      </c>
      <c r="H241" t="n">
        <v>200</v>
      </c>
      <c r="I241" t="inlineStr">
        <is>
          <t>https://www.fedlex.admin.ch/eli/cc/2000/310/de</t>
        </is>
      </c>
    </row>
    <row r="242">
      <c r="A242" t="inlineStr">
        <is>
          <t>1_Q1_Rechtsordnung</t>
        </is>
      </c>
      <c r="B242" t="n">
        <v>10</v>
      </c>
      <c r="C242" t="inlineStr">
        <is>
          <t>M</t>
        </is>
      </c>
      <c r="D242" t="inlineStr">
        <is>
          <t>Zweitwohnungsgesetz (ZWG)</t>
        </is>
      </c>
      <c r="E242" t="inlineStr">
        <is>
          <t>SR 702</t>
        </is>
      </c>
      <c r="F242" s="52" t="inlineStr">
        <is>
          <t>geprüft · OK</t>
        </is>
      </c>
      <c r="G242" t="inlineStr">
        <is>
          <t>Fedlex-Link = SR 702 «Bundesgesetz vom 20. März 2015 über Zweitwohnungen (Zweitwohnungsgesetz, ZWG)»</t>
        </is>
      </c>
      <c r="H242" t="n">
        <v>200</v>
      </c>
      <c r="I242" t="inlineStr">
        <is>
          <t>https://www.fedlex.admin.ch/eli/cc/2015/886/de</t>
        </is>
      </c>
    </row>
    <row r="243">
      <c r="A243" t="inlineStr">
        <is>
          <t>1_Q1_Rechtsordnung</t>
        </is>
      </c>
      <c r="B243" t="n">
        <v>12</v>
      </c>
      <c r="C243" t="inlineStr">
        <is>
          <t>M</t>
        </is>
      </c>
      <c r="D243" t="inlineStr">
        <is>
          <t>Natur- und Heimatschutzgesetz (NHG)</t>
        </is>
      </c>
      <c r="E243" t="inlineStr">
        <is>
          <t>SR 451</t>
        </is>
      </c>
      <c r="F243" s="52" t="inlineStr">
        <is>
          <t>geprüft · OK</t>
        </is>
      </c>
      <c r="G243" t="inlineStr">
        <is>
          <t>Fedlex-Link = SR 451 «Bundesgesetz vom 1. Juli 1966 über den Natur- und Heimatschutz (NHG)»</t>
        </is>
      </c>
      <c r="H243" t="n">
        <v>200</v>
      </c>
      <c r="I243" t="inlineStr">
        <is>
          <t>https://www.fedlex.admin.ch/eli/cc/1966/1637_1694_1679/de</t>
        </is>
      </c>
    </row>
    <row r="244">
      <c r="A244" t="inlineStr">
        <is>
          <t>1_Q1_Rechtsordnung</t>
        </is>
      </c>
      <c r="B244" t="n">
        <v>13</v>
      </c>
      <c r="C244" t="inlineStr">
        <is>
          <t>M</t>
        </is>
      </c>
      <c r="D244" t="inlineStr">
        <is>
          <t>Natur- und Heimatschutzverordnung (NHV)</t>
        </is>
      </c>
      <c r="E244" t="inlineStr">
        <is>
          <t>SR 451.1</t>
        </is>
      </c>
      <c r="F244" s="52" t="inlineStr">
        <is>
          <t>geprüft · OK</t>
        </is>
      </c>
      <c r="G244" t="inlineStr">
        <is>
          <t>Fedlex-Link = SR 451.1 «Verordnung vom 16. Januar 1991 über den Natur- und Heimatschutz (NHV)»</t>
        </is>
      </c>
      <c r="H244" t="n">
        <v>200</v>
      </c>
      <c r="I244" t="inlineStr">
        <is>
          <t>https://www.fedlex.admin.ch/eli/cc/1991/249_249_249/de</t>
        </is>
      </c>
    </row>
    <row r="245">
      <c r="A245" t="inlineStr">
        <is>
          <t>1_Q1_Rechtsordnung</t>
        </is>
      </c>
      <c r="B245" t="n">
        <v>24</v>
      </c>
      <c r="C245" t="inlineStr">
        <is>
          <t>M</t>
        </is>
      </c>
      <c r="D245" t="inlineStr">
        <is>
          <t>Gewässerschutzgesetz (GSchG)</t>
        </is>
      </c>
      <c r="E245" t="inlineStr">
        <is>
          <t>SR 814.20</t>
        </is>
      </c>
      <c r="F245" s="52" t="inlineStr">
        <is>
          <t>geprüft · OK</t>
        </is>
      </c>
      <c r="G245" t="inlineStr">
        <is>
          <t>Fedlex-Link = SR 814.20 «Bundesgesetz vom 24. Januar 1991 über den Schutz der Gewässer (Gewässerschutzgesetz, GSchG)»</t>
        </is>
      </c>
      <c r="H245" t="n">
        <v>200</v>
      </c>
      <c r="I245" t="inlineStr">
        <is>
          <t>https://www.fedlex.admin.ch/eli/cc/1992/1860_1860_1860/de</t>
        </is>
      </c>
    </row>
    <row r="246">
      <c r="A246" t="inlineStr">
        <is>
          <t>1_Q1_Rechtsordnung</t>
        </is>
      </c>
      <c r="B246" t="n">
        <v>25</v>
      </c>
      <c r="C246" t="inlineStr">
        <is>
          <t>M</t>
        </is>
      </c>
      <c r="D246" t="inlineStr">
        <is>
          <t>Gewässerschutzverordnung (GSchV)</t>
        </is>
      </c>
      <c r="E246" t="inlineStr">
        <is>
          <t>SR 814.201</t>
        </is>
      </c>
      <c r="F246" s="52" t="inlineStr">
        <is>
          <t>geprüft · OK</t>
        </is>
      </c>
      <c r="G246" t="inlineStr">
        <is>
          <t>Fedlex-Link = SR 814.201 «Gewässerschutzverordnung vom 28. Oktober 1998 (GSchV)»</t>
        </is>
      </c>
      <c r="H246" t="n">
        <v>200</v>
      </c>
      <c r="I246" t="inlineStr">
        <is>
          <t>https://www.fedlex.admin.ch/eli/cc/1998/2863_2863_2863/de</t>
        </is>
      </c>
    </row>
    <row r="247">
      <c r="A247" t="inlineStr">
        <is>
          <t>1_Q1_Rechtsordnung</t>
        </is>
      </c>
      <c r="B247" t="n">
        <v>26</v>
      </c>
      <c r="C247" t="inlineStr">
        <is>
          <t>M</t>
        </is>
      </c>
      <c r="D247" t="inlineStr">
        <is>
          <t>Waldgesetz (WaG)</t>
        </is>
      </c>
      <c r="E247" t="inlineStr">
        <is>
          <t>SR 921.0</t>
        </is>
      </c>
      <c r="F247" s="52" t="inlineStr">
        <is>
          <t>geprüft · OK</t>
        </is>
      </c>
      <c r="G247" t="inlineStr">
        <is>
          <t>Fedlex-Link = SR 921.0 «Bundesgesetz vom 4. Oktober 1991 über den Wald (Waldgesetz, WaG)»</t>
        </is>
      </c>
      <c r="H247" t="n">
        <v>200</v>
      </c>
      <c r="I247" t="inlineStr">
        <is>
          <t>https://www.fedlex.admin.ch/eli/cc/1992/2521_2521_2521/de</t>
        </is>
      </c>
    </row>
    <row r="248">
      <c r="A248" t="inlineStr">
        <is>
          <t>1_Q1_Rechtsordnung</t>
        </is>
      </c>
      <c r="B248" t="n">
        <v>28</v>
      </c>
      <c r="C248" t="inlineStr">
        <is>
          <t>M</t>
        </is>
      </c>
      <c r="D248" t="inlineStr">
        <is>
          <t>Jagdgesetz (JSG)</t>
        </is>
      </c>
      <c r="E248" t="inlineStr">
        <is>
          <t>SR 922.0</t>
        </is>
      </c>
      <c r="F248" s="52" t="inlineStr">
        <is>
          <t>geprüft · OK</t>
        </is>
      </c>
      <c r="G248" t="inlineStr">
        <is>
          <t>Fedlex-Link = SR 922.0 «Bundesgesetz vom 20. Juni 1986 über die Jagd und den Schutz wildlebender Säugetiere und Vögel (Jagdgesetz, JSG)»</t>
        </is>
      </c>
      <c r="H248" t="n">
        <v>200</v>
      </c>
      <c r="I248" t="inlineStr">
        <is>
          <t>https://www.fedlex.admin.ch/eli/cc/1988/506_506_506/de</t>
        </is>
      </c>
    </row>
    <row r="249">
      <c r="A249" t="inlineStr">
        <is>
          <t>1_Q1_Rechtsordnung</t>
        </is>
      </c>
      <c r="B249" t="n">
        <v>30</v>
      </c>
      <c r="C249" t="inlineStr">
        <is>
          <t>M</t>
        </is>
      </c>
      <c r="D249" t="inlineStr">
        <is>
          <t>Umweltschutzgesetz (USG)</t>
        </is>
      </c>
      <c r="E249" t="inlineStr">
        <is>
          <t>SR 814.01</t>
        </is>
      </c>
      <c r="F249" s="52" t="inlineStr">
        <is>
          <t>geprüft · OK</t>
        </is>
      </c>
      <c r="G249" t="inlineStr">
        <is>
          <t>Fedlex-Link = SR 814.01 «Bundesgesetz vom 7. Oktober 1983 über den Umweltschutz (Umweltschutzgesetz, USG)»</t>
        </is>
      </c>
      <c r="H249" t="n">
        <v>200</v>
      </c>
      <c r="I249" t="inlineStr">
        <is>
          <t>https://www.fedlex.admin.ch/eli/cc/1984/1122_1122_1122/de</t>
        </is>
      </c>
    </row>
    <row r="250">
      <c r="A250" t="inlineStr">
        <is>
          <t>1_Q1_Rechtsordnung</t>
        </is>
      </c>
      <c r="B250" t="n">
        <v>31</v>
      </c>
      <c r="C250" t="inlineStr">
        <is>
          <t>M</t>
        </is>
      </c>
      <c r="D250" t="inlineStr">
        <is>
          <t>Energiegesetz (EnG)</t>
        </is>
      </c>
      <c r="E250" t="inlineStr">
        <is>
          <t>SR 730.0</t>
        </is>
      </c>
      <c r="F250" s="52" t="inlineStr">
        <is>
          <t>geprüft · OK</t>
        </is>
      </c>
      <c r="G250" t="inlineStr">
        <is>
          <t>Fedlex-Link = SR 730.0 «Energiegesetz vom 30. September 2016 (EnG)»</t>
        </is>
      </c>
      <c r="H250" t="n">
        <v>200</v>
      </c>
      <c r="I250" t="inlineStr">
        <is>
          <t>https://www.fedlex.admin.ch/eli/cc/2017/762/de</t>
        </is>
      </c>
    </row>
    <row r="251">
      <c r="A251" t="inlineStr">
        <is>
          <t>1_Q1_Rechtsordnung</t>
        </is>
      </c>
      <c r="B251" t="n">
        <v>32</v>
      </c>
      <c r="C251" t="inlineStr">
        <is>
          <t>M</t>
        </is>
      </c>
      <c r="D251" t="inlineStr">
        <is>
          <t>Energieverordnung (EnV)</t>
        </is>
      </c>
      <c r="E251" t="inlineStr">
        <is>
          <t>SR 730.01</t>
        </is>
      </c>
      <c r="F251" s="52" t="inlineStr">
        <is>
          <t>geprüft · OK</t>
        </is>
      </c>
      <c r="G251" t="inlineStr">
        <is>
          <t>Fedlex-Link = SR 730.01 «Energieverordnung vom 1. November 2017 (EnV)»</t>
        </is>
      </c>
      <c r="H251" t="n">
        <v>200</v>
      </c>
      <c r="I251" t="inlineStr">
        <is>
          <t>https://www.fedlex.admin.ch/eli/cc/2017/763/de</t>
        </is>
      </c>
    </row>
    <row r="252">
      <c r="A252" t="inlineStr">
        <is>
          <t>1_Q1_Rechtsordnung</t>
        </is>
      </c>
      <c r="B252" t="n">
        <v>33</v>
      </c>
      <c r="C252" t="inlineStr">
        <is>
          <t>M</t>
        </is>
      </c>
      <c r="D252" t="inlineStr">
        <is>
          <t>CO₂-Gesetz</t>
        </is>
      </c>
      <c r="E252" t="inlineStr">
        <is>
          <t>SR 641.71</t>
        </is>
      </c>
      <c r="F252" s="52" t="inlineStr">
        <is>
          <t>geprüft · OK</t>
        </is>
      </c>
      <c r="G252" t="inlineStr">
        <is>
          <t>Fedlex-Link = SR 641.71 «Bundesgesetz vom 23. Dezember 2011 über die Reduktion der CO&lt;sub&gt;2&lt;/sub&gt;-Emissionen (CO&lt;sub&gt;2&lt;/sub&gt;-Gesetz)»</t>
        </is>
      </c>
      <c r="H252" t="n">
        <v>200</v>
      </c>
      <c r="I252" t="inlineStr">
        <is>
          <t>https://www.fedlex.admin.ch/eli/cc/2012/855/de</t>
        </is>
      </c>
    </row>
    <row r="253">
      <c r="A253" t="inlineStr">
        <is>
          <t>1_Q1_Rechtsordnung</t>
        </is>
      </c>
      <c r="B253" t="n">
        <v>34</v>
      </c>
      <c r="C253" t="inlineStr">
        <is>
          <t>M</t>
        </is>
      </c>
      <c r="D253" t="inlineStr">
        <is>
          <t>CO₂-Verordnung</t>
        </is>
      </c>
      <c r="E253" t="inlineStr">
        <is>
          <t>SR 641.711</t>
        </is>
      </c>
      <c r="F253" s="52" t="inlineStr">
        <is>
          <t>geprüft · OK</t>
        </is>
      </c>
      <c r="G253" t="inlineStr">
        <is>
          <t>Fedlex-Link = SR 641.711 «Verordnung vom 30. November 2012 über die Reduktion der CO&lt;sub&gt;2&lt;/sub&gt;-Emissionen (CO&lt;sub&gt;2&lt;/sub&gt;-Verordnung)»</t>
        </is>
      </c>
      <c r="H253" t="n">
        <v>200</v>
      </c>
      <c r="I253" t="inlineStr">
        <is>
          <t>https://www.fedlex.admin.ch/eli/cc/2012/856/de</t>
        </is>
      </c>
    </row>
    <row r="254">
      <c r="A254" t="inlineStr">
        <is>
          <t>1_Q1_Rechtsordnung</t>
        </is>
      </c>
      <c r="B254" t="n">
        <v>35</v>
      </c>
      <c r="C254" t="inlineStr">
        <is>
          <t>M</t>
        </is>
      </c>
      <c r="D254" t="inlineStr">
        <is>
          <t>Klima- und Innovationsgesetz (KlG)</t>
        </is>
      </c>
      <c r="E254" t="inlineStr">
        <is>
          <t>SR 814.310</t>
        </is>
      </c>
      <c r="F254" s="52" t="inlineStr">
        <is>
          <t>geprüft · OK</t>
        </is>
      </c>
      <c r="G254" t="inlineStr">
        <is>
          <t>Fedlex-Link = SR 814.310 «Bundesgesetz vom 30. September 2022 über die Ziele im Klimaschutz, die Innovation und die Stärkung der Energiesicherheit (KlG)»</t>
        </is>
      </c>
      <c r="H254" t="n">
        <v>200</v>
      </c>
      <c r="I254" t="inlineStr">
        <is>
          <t>https://www.fedlex.admin.ch/eli/cc/2023/655/de</t>
        </is>
      </c>
    </row>
    <row r="255">
      <c r="A255" t="inlineStr">
        <is>
          <t>1_Q1_Rechtsordnung</t>
        </is>
      </c>
      <c r="B255" t="n">
        <v>39</v>
      </c>
      <c r="C255" t="inlineStr">
        <is>
          <t>M</t>
        </is>
      </c>
      <c r="D255" t="inlineStr">
        <is>
          <t>Binnenmarktgesetz (BGBM)</t>
        </is>
      </c>
      <c r="E255" t="inlineStr">
        <is>
          <t>SR 943.02</t>
        </is>
      </c>
      <c r="F255" s="52" t="inlineStr">
        <is>
          <t>geprüft · OK</t>
        </is>
      </c>
      <c r="G255" t="inlineStr">
        <is>
          <t>Fedlex-Link = SR 943.02 «Bundesgesetz vom 6. Oktober 1995 über den Binnenmarkt (Binnenmarktgesetz, BGBM)»</t>
        </is>
      </c>
      <c r="H255" t="n">
        <v>200</v>
      </c>
      <c r="I255" t="inlineStr">
        <is>
          <t>https://www.fedlex.admin.ch/eli/cc/1996/1738_1738_1738/de</t>
        </is>
      </c>
    </row>
    <row r="256">
      <c r="A256" t="inlineStr">
        <is>
          <t>1_Q1_Rechtsordnung</t>
        </is>
      </c>
      <c r="B256" t="n">
        <v>40</v>
      </c>
      <c r="C256" t="inlineStr">
        <is>
          <t>M</t>
        </is>
      </c>
      <c r="D256" t="inlineStr">
        <is>
          <t>Bundesgesetz über das öffentliche Beschaffungswesen (BöB)</t>
        </is>
      </c>
      <c r="E256" t="inlineStr">
        <is>
          <t>SR 172.056.1</t>
        </is>
      </c>
      <c r="F256" s="52" t="inlineStr">
        <is>
          <t>geprüft · OK</t>
        </is>
      </c>
      <c r="G256" t="inlineStr">
        <is>
          <t>Fedlex-Link = SR 172.056.1 «Bundesgesetz vom 21. Juni 2019 über das öffentliche Beschaffungswesen (BöB)»</t>
        </is>
      </c>
      <c r="H256" t="n">
        <v>200</v>
      </c>
      <c r="I256" t="inlineStr">
        <is>
          <t>https://www.fedlex.admin.ch/eli/cc/2020/126/de</t>
        </is>
      </c>
    </row>
    <row r="257">
      <c r="A257" t="inlineStr">
        <is>
          <t>1_Q1_Rechtsordnung</t>
        </is>
      </c>
      <c r="B257" t="n">
        <v>42</v>
      </c>
      <c r="C257" t="inlineStr">
        <is>
          <t>M</t>
        </is>
      </c>
      <c r="D257" t="inlineStr">
        <is>
          <t>Luftreinhalte-Verordnung (LRV)</t>
        </is>
      </c>
      <c r="E257" t="inlineStr">
        <is>
          <t>SR 814.318.142.1</t>
        </is>
      </c>
      <c r="F257" s="52" t="inlineStr">
        <is>
          <t>geprüft · OK</t>
        </is>
      </c>
      <c r="G257" t="inlineStr">
        <is>
          <t>Fedlex-Link = SR 814.318.142.1 «Luftreinhalte-Verordnung vom 16. Dezember 1985 (LRV)»</t>
        </is>
      </c>
      <c r="H257" t="n">
        <v>200</v>
      </c>
      <c r="I257" t="inlineStr">
        <is>
          <t>https://www.fedlex.admin.ch/eli/cc/1986/208_208_208/de</t>
        </is>
      </c>
    </row>
    <row r="258">
      <c r="A258" t="inlineStr">
        <is>
          <t>1_Q1_Rechtsordnung</t>
        </is>
      </c>
      <c r="B258" t="n">
        <v>43</v>
      </c>
      <c r="C258" t="inlineStr">
        <is>
          <t>M</t>
        </is>
      </c>
      <c r="D258" t="inlineStr">
        <is>
          <t>Störfallverordnung (StFV)</t>
        </is>
      </c>
      <c r="E258" t="inlineStr">
        <is>
          <t>SR 814.012</t>
        </is>
      </c>
      <c r="F258" s="52" t="inlineStr">
        <is>
          <t>geprüft · OK</t>
        </is>
      </c>
      <c r="G258" t="inlineStr">
        <is>
          <t>Fedlex-Link = SR 814.012 «Verordnung vom 27. Februar 1991 über den Schutz vor Störfällen (Störfallverordnung, StFV)»</t>
        </is>
      </c>
      <c r="H258" t="n">
        <v>200</v>
      </c>
      <c r="I258" t="inlineStr">
        <is>
          <t>https://www.fedlex.admin.ch/eli/cc/1991/748_748_748/de</t>
        </is>
      </c>
    </row>
    <row r="259">
      <c r="A259" t="inlineStr">
        <is>
          <t>1_Q1_Rechtsordnung</t>
        </is>
      </c>
      <c r="B259" t="n">
        <v>48</v>
      </c>
      <c r="C259" t="inlineStr">
        <is>
          <t>M</t>
        </is>
      </c>
      <c r="D259" t="inlineStr">
        <is>
          <t>Interkantonale Vereinbarung über das öffentliche Beschaffungswesen (IVöB 2019)</t>
        </is>
      </c>
      <c r="E259" t="inlineStr">
        <is>
          <t>–</t>
        </is>
      </c>
      <c r="F259" s="52" t="inlineStr">
        <is>
          <t>geprüft · OK</t>
        </is>
      </c>
      <c r="G259" t="inlineStr">
        <is>
          <t>Inhalt passt (Treffer: Interkantonale, Vereinbarung, öffentliche, Beschaffungswesen)</t>
        </is>
      </c>
      <c r="H259" t="n">
        <v>200</v>
      </c>
      <c r="I259" t="inlineStr">
        <is>
          <t>https://www.bpuk.ch/bpuk/konkordate/ivoeb/ivoeb-2019</t>
        </is>
      </c>
    </row>
    <row r="260">
      <c r="A260" t="inlineStr">
        <is>
          <t>1_Q1_Rechtsordnung</t>
        </is>
      </c>
      <c r="B260" t="n">
        <v>50</v>
      </c>
      <c r="C260" t="inlineStr">
        <is>
          <t>M</t>
        </is>
      </c>
      <c r="D260" t="inlineStr">
        <is>
          <t>Raumplanungs- und Baugesetz BL (RBG)</t>
        </is>
      </c>
      <c r="E260" t="inlineStr">
        <is>
          <t>SGS 400</t>
        </is>
      </c>
      <c r="F260" s="52" t="inlineStr">
        <is>
          <t>geprüft · OK</t>
        </is>
      </c>
      <c r="G260" t="inlineStr">
        <is>
          <t>400 «Raumplanungs- und Baugesetz (RBG)»</t>
        </is>
      </c>
      <c r="H260" t="n">
        <v>200</v>
      </c>
      <c r="I260" t="inlineStr">
        <is>
          <t>https://bl.clex.ch/app/de/texts_of_law/400</t>
        </is>
      </c>
    </row>
    <row r="261">
      <c r="A261" t="inlineStr">
        <is>
          <t>1_Q1_Rechtsordnung</t>
        </is>
      </c>
      <c r="B261" t="n">
        <v>51</v>
      </c>
      <c r="C261" t="inlineStr">
        <is>
          <t>M</t>
        </is>
      </c>
      <c r="D261" t="inlineStr">
        <is>
          <t>Kantonaler Richtplan BL (KRIP, Objektblätter)</t>
        </is>
      </c>
      <c r="E261" t="inlineStr">
        <is>
          <t>–</t>
        </is>
      </c>
      <c r="F261" s="52" t="inlineStr">
        <is>
          <t>geprüft · OK</t>
        </is>
      </c>
      <c r="G261" t="inlineStr">
        <is>
          <t>Inhalt passt (Treffer: Richtplan, Objektblätter, KRIP)</t>
        </is>
      </c>
      <c r="H261" t="n">
        <v>200</v>
      </c>
      <c r="I261" t="inlineStr">
        <is>
          <t>https://bl-api.webcloud7.ch/politik-und-behorden/direktionen/bau-und-umweltschutzdirektion/raumplanung/raumplanung/richtplanung/downloads-richtplanung/objektblatter.pdf?_t=1786003350618</t>
        </is>
      </c>
    </row>
    <row r="262">
      <c r="A262" t="inlineStr">
        <is>
          <t>1_Q1_Rechtsordnung</t>
        </is>
      </c>
      <c r="B262" t="n">
        <v>52</v>
      </c>
      <c r="C262" t="inlineStr">
        <is>
          <t>M</t>
        </is>
      </c>
      <c r="D262" t="inlineStr">
        <is>
          <t>Energiegesetz BL (EnG BL)</t>
        </is>
      </c>
      <c r="E262" t="inlineStr">
        <is>
          <t>SGS 490</t>
        </is>
      </c>
      <c r="F262" s="52" t="inlineStr">
        <is>
          <t>geprüft · OK</t>
        </is>
      </c>
      <c r="G262" t="inlineStr">
        <is>
          <t>490 «Energiegesetz (EnG BL)»</t>
        </is>
      </c>
      <c r="H262" t="n">
        <v>200</v>
      </c>
      <c r="I262" t="inlineStr">
        <is>
          <t>https://bl.clex.ch/app/de/texts_of_law/490</t>
        </is>
      </c>
    </row>
    <row r="263">
      <c r="A263" t="inlineStr">
        <is>
          <t>1_Q1_Rechtsordnung</t>
        </is>
      </c>
      <c r="B263" t="n">
        <v>53</v>
      </c>
      <c r="C263" t="inlineStr">
        <is>
          <t>M</t>
        </is>
      </c>
      <c r="D263" t="inlineStr">
        <is>
          <t>Verordnung zum Einführungsgesetz IVöB (Vo EG IVöB)</t>
        </is>
      </c>
      <c r="E263" t="inlineStr">
        <is>
          <t>SGS 420.11</t>
        </is>
      </c>
      <c r="F263" s="52" t="inlineStr">
        <is>
          <t>geprüft · OK</t>
        </is>
      </c>
      <c r="G263" t="inlineStr">
        <is>
          <t>420.11 «Verordnung zum Einführungsgesetz zur Interkantonalen Vereinbarung über das öffentliche Beschaffungswesen (Vo EG IVöB)»</t>
        </is>
      </c>
      <c r="H263" t="n">
        <v>200</v>
      </c>
      <c r="I263" t="inlineStr">
        <is>
          <t>https://bl.clex.ch/app/de/texts_of_law/420.11</t>
        </is>
      </c>
    </row>
    <row r="264">
      <c r="A264" t="inlineStr">
        <is>
          <t>1_Q1_Rechtsordnung</t>
        </is>
      </c>
      <c r="B264" t="n">
        <v>54</v>
      </c>
      <c r="C264" t="inlineStr">
        <is>
          <t>M</t>
        </is>
      </c>
      <c r="D264" t="inlineStr">
        <is>
          <t>Gesetz über den Natur- und Landschaftsschutz (NLG BL)</t>
        </is>
      </c>
      <c r="E264" t="inlineStr">
        <is>
          <t>SGS 790</t>
        </is>
      </c>
      <c r="F264" s="52" t="inlineStr">
        <is>
          <t>geprüft · OK</t>
        </is>
      </c>
      <c r="G264" t="inlineStr">
        <is>
          <t>790 «Gesetz über den Natur- und Landschaftsschutz»</t>
        </is>
      </c>
      <c r="H264" t="n">
        <v>200</v>
      </c>
      <c r="I264" t="inlineStr">
        <is>
          <t>https://bl.clex.ch/app/de/texts_of_law/790</t>
        </is>
      </c>
    </row>
    <row r="265">
      <c r="A265" t="inlineStr">
        <is>
          <t>1_Q1_Rechtsordnung</t>
        </is>
      </c>
      <c r="B265" t="n">
        <v>56</v>
      </c>
      <c r="C265" t="inlineStr">
        <is>
          <t>M</t>
        </is>
      </c>
      <c r="D265" t="inlineStr">
        <is>
          <t>Wasserbaugesetz BL</t>
        </is>
      </c>
      <c r="E265" t="inlineStr">
        <is>
          <t>SGS 445</t>
        </is>
      </c>
      <c r="F265" s="52" t="inlineStr">
        <is>
          <t>geprüft · OK</t>
        </is>
      </c>
      <c r="G265" t="inlineStr">
        <is>
          <t>445 «Gesetz über den Wasserbau und die Nutzung der Gewässer (Wasserbaugesetz, WBauG)»</t>
        </is>
      </c>
      <c r="H265" t="n">
        <v>200</v>
      </c>
      <c r="I265" t="inlineStr">
        <is>
          <t>https://bl.clex.ch/app/de/texts_of_law/445</t>
        </is>
      </c>
    </row>
    <row r="266">
      <c r="A266" t="inlineStr">
        <is>
          <t>1_Q1_Rechtsordnung</t>
        </is>
      </c>
      <c r="B266" t="n">
        <v>59</v>
      </c>
      <c r="C266" t="inlineStr">
        <is>
          <t>M</t>
        </is>
      </c>
      <c r="D266" t="inlineStr">
        <is>
          <t>Kantonaler Richtplan SG</t>
        </is>
      </c>
      <c r="E266" t="inlineStr">
        <is>
          <t>–</t>
        </is>
      </c>
      <c r="F266" s="52" t="inlineStr">
        <is>
          <t>geprüft · OK</t>
        </is>
      </c>
      <c r="G266" t="inlineStr">
        <is>
          <t>Inhalt passt (Treffer: Richtplan)</t>
        </is>
      </c>
      <c r="H266" t="n">
        <v>200</v>
      </c>
      <c r="I266" t="inlineStr">
        <is>
          <t>https://www.sg.ch/bauen/raumentwicklung/kantonaleplanung/richtplanung.html</t>
        </is>
      </c>
    </row>
    <row r="267">
      <c r="A267" t="inlineStr">
        <is>
          <t>1_Q1_Rechtsordnung</t>
        </is>
      </c>
      <c r="B267" t="n">
        <v>60</v>
      </c>
      <c r="C267" t="inlineStr">
        <is>
          <t>M</t>
        </is>
      </c>
      <c r="D267" t="inlineStr">
        <is>
          <t>Energiegesetz SG</t>
        </is>
      </c>
      <c r="E267" t="inlineStr">
        <is>
          <t>sGS 741.1</t>
        </is>
      </c>
      <c r="F267" s="52" t="inlineStr">
        <is>
          <t>geprüft · OK</t>
        </is>
      </c>
      <c r="G267" t="inlineStr">
        <is>
          <t>741.1 «Energiegesetz (EnG)»</t>
        </is>
      </c>
      <c r="H267" t="n">
        <v>200</v>
      </c>
      <c r="I267" t="inlineStr">
        <is>
          <t>https://www.gesetzessammlung.sg.ch/app/de/texts_of_law/741.1</t>
        </is>
      </c>
    </row>
    <row r="268">
      <c r="A268" t="inlineStr">
        <is>
          <t>1_Q1_Rechtsordnung</t>
        </is>
      </c>
      <c r="B268" t="n">
        <v>62</v>
      </c>
      <c r="C268" t="inlineStr">
        <is>
          <t>M</t>
        </is>
      </c>
      <c r="D268" t="inlineStr">
        <is>
          <t>Einführungsgesetz zur IVöB 2019 vom 15.11.2022 (EGöB)</t>
        </is>
      </c>
      <c r="E268" t="inlineStr">
        <is>
          <t>sGS 841.1</t>
        </is>
      </c>
      <c r="F268" s="52" t="inlineStr">
        <is>
          <t>geprüft · OK</t>
        </is>
      </c>
      <c r="G268" t="inlineStr">
        <is>
          <t>841.1 «Einführungsgesetz zur Interkantonalen Vereinbarung über das öffentliche Beschaffungswesen aus dem Jahr 2019 (EGöB)»</t>
        </is>
      </c>
      <c r="H268" t="n">
        <v>200</v>
      </c>
      <c r="I268" t="inlineStr">
        <is>
          <t>https://www.gesetzessammlung.sg.ch/app/de/texts_of_law/841.1</t>
        </is>
      </c>
    </row>
    <row r="269">
      <c r="A269" t="inlineStr">
        <is>
          <t>1_Q1_Rechtsordnung</t>
        </is>
      </c>
      <c r="B269" t="n">
        <v>63</v>
      </c>
      <c r="C269" t="inlineStr">
        <is>
          <t>M</t>
        </is>
      </c>
      <c r="D269" t="inlineStr">
        <is>
          <t>Naturschutzverordnung SG</t>
        </is>
      </c>
      <c r="E269" t="inlineStr">
        <is>
          <t>sGS 671.1</t>
        </is>
      </c>
      <c r="F269" s="52" t="inlineStr">
        <is>
          <t>geprüft · OK</t>
        </is>
      </c>
      <c r="G269" t="inlineStr">
        <is>
          <t>671.1 «Verordnung über den Schutz wildwachsender Pflanzen und freilebender Tiere (Naturschutzverordnung) (NSV)»</t>
        </is>
      </c>
      <c r="H269" t="n">
        <v>200</v>
      </c>
      <c r="I269" t="inlineStr">
        <is>
          <t>https://www.gesetzessammlung.sg.ch/app/de/texts_of_law/671.1</t>
        </is>
      </c>
    </row>
    <row r="270">
      <c r="A270" t="inlineStr">
        <is>
          <t>1_Q1_Rechtsordnung</t>
        </is>
      </c>
      <c r="B270" t="n">
        <v>65</v>
      </c>
      <c r="C270" t="inlineStr">
        <is>
          <t>M</t>
        </is>
      </c>
      <c r="D270" t="inlineStr">
        <is>
          <t>IVöB 2019 (Beitritt SG per 01.06.2023)</t>
        </is>
      </c>
      <c r="E270" t="inlineStr">
        <is>
          <t>sGS 841.51</t>
        </is>
      </c>
      <c r="F270" s="52" t="inlineStr">
        <is>
          <t>geprüft · OK</t>
        </is>
      </c>
      <c r="G270" t="inlineStr">
        <is>
          <t>841.51 «Interkantonale Vereinbarung über das öffentliche Beschaffungswesen (IVöB)»</t>
        </is>
      </c>
      <c r="H270" t="n">
        <v>200</v>
      </c>
      <c r="I270" t="inlineStr">
        <is>
          <t>https://www.gesetzessammlung.sg.ch/app/de/texts_of_law/841.51</t>
        </is>
      </c>
    </row>
    <row r="271">
      <c r="A271" t="inlineStr">
        <is>
          <t>1_Q1_Rechtsordnung</t>
        </is>
      </c>
      <c r="B271" t="n">
        <v>66</v>
      </c>
      <c r="C271" t="inlineStr">
        <is>
          <t>M</t>
        </is>
      </c>
      <c r="D271" t="inlineStr">
        <is>
          <t>Einführungsgesetz zur IVöB 2019 vom 15.11.2022 (EGöB)</t>
        </is>
      </c>
      <c r="E271" t="inlineStr">
        <is>
          <t>sGS 841.1</t>
        </is>
      </c>
      <c r="F271" s="52" t="inlineStr">
        <is>
          <t>geprüft · OK</t>
        </is>
      </c>
      <c r="G271" t="inlineStr">
        <is>
          <t>841.1 «Einführungsgesetz zur Interkantonalen Vereinbarung über das öffentliche Beschaffungswesen aus dem Jahr 2019 (EGöB)»</t>
        </is>
      </c>
      <c r="H271" t="n">
        <v>200</v>
      </c>
      <c r="I271" t="inlineStr">
        <is>
          <t>https://www.gesetzessammlung.sg.ch/app/de/texts_of_law/841.1</t>
        </is>
      </c>
    </row>
    <row r="272">
      <c r="A272" t="inlineStr">
        <is>
          <t>1_Q1_Rechtsordnung</t>
        </is>
      </c>
      <c r="B272" t="n">
        <v>68</v>
      </c>
      <c r="C272" t="inlineStr">
        <is>
          <t>M</t>
        </is>
      </c>
      <c r="D272" t="inlineStr">
        <is>
          <t>Planungs- und Baugesetz Uri (PBG)</t>
        </is>
      </c>
      <c r="E272" t="inlineStr">
        <is>
          <t>RB 40.1111</t>
        </is>
      </c>
      <c r="F272" s="52" t="inlineStr">
        <is>
          <t>geprüft · OK</t>
        </is>
      </c>
      <c r="G272" t="inlineStr">
        <is>
          <t>40.1111 «Planungs- und Baugesetz (PBG)»</t>
        </is>
      </c>
      <c r="H272" t="n">
        <v>200</v>
      </c>
      <c r="I272" t="inlineStr">
        <is>
          <t>https://rechtsbuch.ur.ch/app/de/texts_of_law/40.1111</t>
        </is>
      </c>
    </row>
    <row r="273">
      <c r="A273" t="inlineStr">
        <is>
          <t>1_Q1_Rechtsordnung</t>
        </is>
      </c>
      <c r="B273" t="n">
        <v>69</v>
      </c>
      <c r="C273" t="inlineStr">
        <is>
          <t>M</t>
        </is>
      </c>
      <c r="D273" t="inlineStr">
        <is>
          <t>Kantonaler Richtplan Uri</t>
        </is>
      </c>
      <c r="E273" t="inlineStr">
        <is>
          <t>–</t>
        </is>
      </c>
      <c r="F273" s="52" t="inlineStr">
        <is>
          <t>geprüft · OK</t>
        </is>
      </c>
      <c r="G273" t="inlineStr">
        <is>
          <t>Inhalt passt (Treffer: Richtplan)</t>
        </is>
      </c>
      <c r="H273" t="n">
        <v>200</v>
      </c>
      <c r="I273" t="inlineStr">
        <is>
          <t>https://www.ur.ch/_docn/375874/Richtplantext_240122.pdf</t>
        </is>
      </c>
    </row>
    <row r="274">
      <c r="A274" t="inlineStr">
        <is>
          <t>1_Q1_Rechtsordnung</t>
        </is>
      </c>
      <c r="B274" t="n">
        <v>71</v>
      </c>
      <c r="C274" t="inlineStr">
        <is>
          <t>M</t>
        </is>
      </c>
      <c r="D274" t="inlineStr">
        <is>
          <t>Kantonale Energiegesetzgebung Uri</t>
        </is>
      </c>
      <c r="E274" t="inlineStr">
        <is>
          <t>RB 40.7211</t>
        </is>
      </c>
      <c r="F274" s="52" t="inlineStr">
        <is>
          <t>geprüft · OK</t>
        </is>
      </c>
      <c r="G274" t="inlineStr">
        <is>
          <t>40.7211 «Energiegesetz des Kantons Uri (EnG)»; verlinkte Nummer 40.7211 ist «Energiegesetz des Kantons Uri (EnG)»; Bezeichnung lautet anders</t>
        </is>
      </c>
      <c r="H274" t="n">
        <v>200</v>
      </c>
      <c r="I274" t="inlineStr">
        <is>
          <t>https://rechtsbuch.ur.ch/app/de/texts_of_law/40.7211</t>
        </is>
      </c>
    </row>
    <row r="275">
      <c r="A275" t="inlineStr">
        <is>
          <t>1_Q1_Rechtsordnung</t>
        </is>
      </c>
      <c r="B275" t="n">
        <v>76</v>
      </c>
      <c r="C275" t="inlineStr">
        <is>
          <t>M</t>
        </is>
      </c>
      <c r="D275" t="inlineStr">
        <is>
          <t>Zonenvorschriften Siedlung</t>
        </is>
      </c>
      <c r="E275" t="inlineStr">
        <is>
          <t>–</t>
        </is>
      </c>
      <c r="F275" s="52" t="inlineStr">
        <is>
          <t>geprüft · OK</t>
        </is>
      </c>
      <c r="G275" t="inlineStr">
        <is>
          <t>Inhalt passt (Treffer: Zonenvorschriften, Siedlung)</t>
        </is>
      </c>
      <c r="H275" t="n">
        <v>200</v>
      </c>
      <c r="I275" t="inlineStr">
        <is>
          <t>https://oereblex.bl.ch/api/attachments/22718</t>
        </is>
      </c>
    </row>
    <row r="276">
      <c r="A276" t="inlineStr">
        <is>
          <t>1_Q1_Rechtsordnung</t>
        </is>
      </c>
      <c r="B276" t="n">
        <v>79</v>
      </c>
      <c r="C276" t="inlineStr">
        <is>
          <t>M</t>
        </is>
      </c>
      <c r="D276" t="inlineStr">
        <is>
          <t>Abwasserreglement (vom 28.10.2020)</t>
        </is>
      </c>
      <c r="E276" t="inlineStr">
        <is>
          <t>TR 5.4</t>
        </is>
      </c>
      <c r="F276" s="52" t="inlineStr">
        <is>
          <t>geprüft · OK</t>
        </is>
      </c>
      <c r="G276" t="inlineStr">
        <is>
          <t>Inhalt passt (Treffer: Abwasserreglement)</t>
        </is>
      </c>
      <c r="H276" t="n">
        <v>200</v>
      </c>
      <c r="I276" t="inlineStr">
        <is>
          <t>https://www.muenchenstein.ch/_docn/5130739/TR_5.4_Abwasserreglement_vom_28._Oktober_2020_-_Stand_07.01.2021.pdf</t>
        </is>
      </c>
    </row>
    <row r="277">
      <c r="A277" t="inlineStr">
        <is>
          <t>1_Q1_Rechtsordnung</t>
        </is>
      </c>
      <c r="B277" t="n">
        <v>84</v>
      </c>
      <c r="C277" t="inlineStr">
        <is>
          <t>M</t>
        </is>
      </c>
      <c r="D277" t="inlineStr">
        <is>
          <t>Baureglement Stadt Wil</t>
        </is>
      </c>
      <c r="E277" t="inlineStr">
        <is>
          <t>SRS 7.1-1</t>
        </is>
      </c>
      <c r="F277" s="52" t="inlineStr">
        <is>
          <t>geprüft · OK</t>
        </is>
      </c>
      <c r="G277" t="inlineStr">
        <is>
          <t>7.1-1 «Baureglement»</t>
        </is>
      </c>
      <c r="H277" t="n">
        <v>200</v>
      </c>
      <c r="I277" t="inlineStr">
        <is>
          <t>https://wil-sg.tlex.ch/app/de/texts_of_law/7.1-1</t>
        </is>
      </c>
    </row>
    <row r="278">
      <c r="A278" t="inlineStr">
        <is>
          <t>1_Q1_Rechtsordnung</t>
        </is>
      </c>
      <c r="B278" t="n">
        <v>86</v>
      </c>
      <c r="C278" t="inlineStr">
        <is>
          <t>M</t>
        </is>
      </c>
      <c r="D278" t="inlineStr">
        <is>
          <t>Kommunale Energieplanung / Wärmeversorgung</t>
        </is>
      </c>
      <c r="E278" t="inlineStr">
        <is>
          <t>SRS 7.1-1</t>
        </is>
      </c>
      <c r="F278" s="52" t="inlineStr">
        <is>
          <t>geprüft · OK</t>
        </is>
      </c>
      <c r="G278" t="inlineStr">
        <is>
          <t>7.1-1 «Baureglement»; Referenz SRS 7.1-1 ist das Baureglement; eine eigene Energieplanung ist in der Rechtssammlung Wil nicht vorhanden</t>
        </is>
      </c>
      <c r="H278" t="n">
        <v>200</v>
      </c>
      <c r="I278" t="inlineStr">
        <is>
          <t>https://wil-sg.tlex.ch/app/de/texts_of_law/7.1-1</t>
        </is>
      </c>
    </row>
    <row r="279">
      <c r="A279" t="inlineStr">
        <is>
          <t>1_Q1_Rechtsordnung</t>
        </is>
      </c>
      <c r="B279" t="n">
        <v>88</v>
      </c>
      <c r="C279" t="inlineStr">
        <is>
          <t>M</t>
        </is>
      </c>
      <c r="D279" t="inlineStr">
        <is>
          <t>Reglement über die Ausgaben- und Vertragskompetenzen der Departemente und Dienststellen</t>
        </is>
      </c>
      <c r="E279" t="inlineStr">
        <is>
          <t>SRS 1.6-4</t>
        </is>
      </c>
      <c r="F279" s="52" t="inlineStr">
        <is>
          <t>geprüft · OK</t>
        </is>
      </c>
      <c r="G279" t="inlineStr">
        <is>
          <t>1.6-4 «Reglement über die Ausgaben- und Vertragskompetenzen der Departemente und Dienststellen»</t>
        </is>
      </c>
      <c r="H279" t="n">
        <v>200</v>
      </c>
      <c r="I279" t="inlineStr">
        <is>
          <t>https://wil-sg.tlex.ch/app/de/texts_of_law/1.6-4</t>
        </is>
      </c>
    </row>
    <row r="280">
      <c r="A280" t="inlineStr">
        <is>
          <t>1_Q1_Rechtsordnung</t>
        </is>
      </c>
      <c r="B280" t="n">
        <v>90</v>
      </c>
      <c r="C280" t="inlineStr">
        <is>
          <t>M</t>
        </is>
      </c>
      <c r="D280" t="inlineStr">
        <is>
          <t>Bau- und Zonenordnung (BZO) Seelisberg</t>
        </is>
      </c>
      <c r="E280" t="inlineStr">
        <is>
          <t>–</t>
        </is>
      </c>
      <c r="F280" s="52" t="inlineStr">
        <is>
          <t>geprüft · OK</t>
        </is>
      </c>
      <c r="G280" t="inlineStr">
        <is>
          <t>Inhalt passt (Treffer: Zonenordnung, Seelisberg, BZO, BZO)</t>
        </is>
      </c>
      <c r="H280" t="n">
        <v>200</v>
      </c>
      <c r="I280" t="inlineStr">
        <is>
          <t>https://www.seelisberg.ch/files/pdf/Bau-und-Zonenordnung-Seelisberg.pdf</t>
        </is>
      </c>
    </row>
    <row r="281">
      <c r="A281" t="inlineStr">
        <is>
          <t>1_Q1_Rechtsordnung</t>
        </is>
      </c>
      <c r="B281" t="n">
        <v>92</v>
      </c>
      <c r="C281" t="inlineStr">
        <is>
          <t>M</t>
        </is>
      </c>
      <c r="D281" t="inlineStr">
        <is>
          <t>Kommunales Schutzinventar (Inventarliste Seelisberg)</t>
        </is>
      </c>
      <c r="E281" t="inlineStr">
        <is>
          <t>–</t>
        </is>
      </c>
      <c r="F281" s="52" t="inlineStr">
        <is>
          <t>geprüft · OK</t>
        </is>
      </c>
      <c r="G281" t="inlineStr">
        <is>
          <t>Inhalt passt (Treffer: Schutzinventar, Seelisberg)</t>
        </is>
      </c>
      <c r="H281" t="n">
        <v>200</v>
      </c>
      <c r="I281" t="inlineStr">
        <is>
          <t>https://www.ur.ch/_docn/385540/Inventarliste_Seelisberg_Website.pdf</t>
        </is>
      </c>
    </row>
    <row r="282">
      <c r="A282" t="inlineStr">
        <is>
          <t>1_Q1_Rechtsordnung</t>
        </is>
      </c>
      <c r="B282" t="n">
        <v>93</v>
      </c>
      <c r="C282" t="inlineStr">
        <is>
          <t>M</t>
        </is>
      </c>
      <c r="D282" t="inlineStr">
        <is>
          <t>Verordnung über die Wasserversorgung</t>
        </is>
      </c>
      <c r="E282" t="inlineStr">
        <is>
          <t>–</t>
        </is>
      </c>
      <c r="F282" s="52" t="inlineStr">
        <is>
          <t>geprüft · OK</t>
        </is>
      </c>
      <c r="G282" t="inlineStr">
        <is>
          <t>Inhalt passt (Treffer: Wasserversorgung)</t>
        </is>
      </c>
      <c r="H282" t="n">
        <v>200</v>
      </c>
      <c r="I282" t="inlineStr">
        <is>
          <t>https://www.seelisberg.ch/files/pdf/Verordnung_%C3%BCber_die_Wasserversorgung.pdf</t>
        </is>
      </c>
    </row>
    <row r="283">
      <c r="A283" t="inlineStr">
        <is>
          <t>2_Q2_Landschaft</t>
        </is>
      </c>
      <c r="B283" t="n">
        <v>26</v>
      </c>
      <c r="C283" t="inlineStr">
        <is>
          <t>M</t>
        </is>
      </c>
      <c r="D283" t="inlineStr">
        <is>
          <t>Zonenvorschriften Siedlung</t>
        </is>
      </c>
      <c r="E283" t="inlineStr">
        <is>
          <t>–</t>
        </is>
      </c>
      <c r="F283" s="52" t="inlineStr">
        <is>
          <t>manuell geprüft · OK</t>
        </is>
      </c>
      <c r="G283" t="inlineStr">
        <is>
          <t>Manuell geprüft 14.10.2026: Link (oereblex 22718) = Zonenvorschriften Siedlung, OK. Mehrfach gelistet, weil das Dokument mehrere Q-Dimensionen abdeckt (bisherige Bezeichnung: «Natur- und Landschaftsschutzfestlegungen (Zonenvorschriften)»)</t>
        </is>
      </c>
      <c r="H283" t="n">
        <v>200</v>
      </c>
      <c r="I283" t="inlineStr">
        <is>
          <t>https://oereblex.bl.ch/api/attachments/22718</t>
        </is>
      </c>
    </row>
    <row r="284">
      <c r="A284" t="inlineStr">
        <is>
          <t>2_Q2_Landschaft</t>
        </is>
      </c>
      <c r="B284" t="n">
        <v>27</v>
      </c>
      <c r="C284" t="inlineStr">
        <is>
          <t>M</t>
        </is>
      </c>
      <c r="D284" t="inlineStr">
        <is>
          <t>Geoportal Münchenstein (Nutzungsplanung, Grünstrukturen)</t>
        </is>
      </c>
      <c r="E284" t="inlineStr">
        <is>
          <t>–</t>
        </is>
      </c>
      <c r="F284" s="52" t="inlineStr">
        <is>
          <t>geprüft · OK</t>
        </is>
      </c>
      <c r="G284" t="inlineStr">
        <is>
          <t>Inhalt passt (Treffer: Geoportal)</t>
        </is>
      </c>
      <c r="H284" t="n">
        <v>200</v>
      </c>
      <c r="I284" t="inlineStr">
        <is>
          <t>https://www.geoportal.ch/muenchenstein</t>
        </is>
      </c>
    </row>
    <row r="285">
      <c r="A285" t="inlineStr">
        <is>
          <t>2_Q2_Landschaft</t>
        </is>
      </c>
      <c r="B285" t="n">
        <v>30</v>
      </c>
      <c r="C285" t="inlineStr">
        <is>
          <t>M</t>
        </is>
      </c>
      <c r="D285" t="inlineStr">
        <is>
          <t>Geoportal Wil (Nutzungsplanung, Schutzzonen)</t>
        </is>
      </c>
      <c r="E285" t="inlineStr">
        <is>
          <t>–</t>
        </is>
      </c>
      <c r="F285" s="52" t="inlineStr">
        <is>
          <t>geprüft · OK</t>
        </is>
      </c>
      <c r="G285" t="inlineStr">
        <is>
          <t>Inhalt passt (Treffer: Geoportal)</t>
        </is>
      </c>
      <c r="H285" t="n">
        <v>200</v>
      </c>
      <c r="I285" t="inlineStr">
        <is>
          <t>https://www.geoportal.ch/wil_sg</t>
        </is>
      </c>
    </row>
    <row r="286">
      <c r="A286" t="inlineStr">
        <is>
          <t>2_Q2_Landschaft</t>
        </is>
      </c>
      <c r="B286" t="n">
        <v>32</v>
      </c>
      <c r="C286" t="inlineStr">
        <is>
          <t>M</t>
        </is>
      </c>
      <c r="D286" t="inlineStr">
        <is>
          <t>Kommunales Schutzinventar Seelisberg (Inventarliste)</t>
        </is>
      </c>
      <c r="E286" t="inlineStr">
        <is>
          <t>–</t>
        </is>
      </c>
      <c r="F286" s="52" t="inlineStr">
        <is>
          <t>geprüft · OK</t>
        </is>
      </c>
      <c r="G286" t="inlineStr">
        <is>
          <t>Inhalt passt (Treffer: Schutzinventar, Seelisberg)</t>
        </is>
      </c>
      <c r="H286" t="n">
        <v>200</v>
      </c>
      <c r="I286" t="inlineStr">
        <is>
          <t>https://www.ur.ch/_docn/385540/Inventarliste_Seelisberg_Website.pdf</t>
        </is>
      </c>
    </row>
    <row r="287">
      <c r="A287" t="inlineStr">
        <is>
          <t>2_Q2_Landschaft</t>
        </is>
      </c>
      <c r="B287" t="n">
        <v>33</v>
      </c>
      <c r="C287" t="inlineStr">
        <is>
          <t>M</t>
        </is>
      </c>
      <c r="D287" t="inlineStr">
        <is>
          <t>BZO Art. 20–23 Schutzbestimmungen</t>
        </is>
      </c>
      <c r="E287" t="inlineStr">
        <is>
          <t>–</t>
        </is>
      </c>
      <c r="F287" s="52" t="inlineStr">
        <is>
          <t>geprüft · OK</t>
        </is>
      </c>
      <c r="G287" t="inlineStr">
        <is>
          <t>Inhalt passt (Treffer: BZO)</t>
        </is>
      </c>
      <c r="H287" t="n">
        <v>200</v>
      </c>
      <c r="I287" t="inlineStr">
        <is>
          <t>https://www.seelisberg.ch/files/pdf/Bau-und-Zonenordnung-Seelisberg.pdf</t>
        </is>
      </c>
    </row>
    <row r="288">
      <c r="A288" t="inlineStr">
        <is>
          <t>3_Q3_Klima_Energie</t>
        </is>
      </c>
      <c r="B288" t="n">
        <v>14</v>
      </c>
      <c r="C288" t="inlineStr">
        <is>
          <t>M</t>
        </is>
      </c>
      <c r="D288" t="inlineStr">
        <is>
          <t>Energiegesetz BL (EnG BL)</t>
        </is>
      </c>
      <c r="E288" t="inlineStr">
        <is>
          <t>SGS 490</t>
        </is>
      </c>
      <c r="F288" s="52" t="inlineStr">
        <is>
          <t>geprüft · OK</t>
        </is>
      </c>
      <c r="G288" t="inlineStr">
        <is>
          <t>490 «Energiegesetz (EnG BL)»</t>
        </is>
      </c>
      <c r="H288" t="n">
        <v>200</v>
      </c>
      <c r="I288" t="inlineStr">
        <is>
          <t>https://bl.clex.ch/app/de/texts_of_law/490</t>
        </is>
      </c>
    </row>
    <row r="289">
      <c r="A289" t="inlineStr">
        <is>
          <t>3_Q3_Klima_Energie</t>
        </is>
      </c>
      <c r="B289" t="n">
        <v>17</v>
      </c>
      <c r="C289" t="inlineStr">
        <is>
          <t>M</t>
        </is>
      </c>
      <c r="D289" t="inlineStr">
        <is>
          <t>Energiegesetz SG</t>
        </is>
      </c>
      <c r="E289" t="inlineStr">
        <is>
          <t>sGS 741.1</t>
        </is>
      </c>
      <c r="F289" s="52" t="inlineStr">
        <is>
          <t>geprüft · OK</t>
        </is>
      </c>
      <c r="G289" t="inlineStr">
        <is>
          <t>741.1 «Energiegesetz (EnG)»</t>
        </is>
      </c>
      <c r="H289" t="n">
        <v>200</v>
      </c>
      <c r="I289" t="inlineStr">
        <is>
          <t>https://www.gesetzessammlung.sg.ch/app/de/texts_of_law/741.1</t>
        </is>
      </c>
    </row>
    <row r="290">
      <c r="A290" t="inlineStr">
        <is>
          <t>3_Q3_Klima_Energie</t>
        </is>
      </c>
      <c r="B290" t="n">
        <v>18</v>
      </c>
      <c r="C290" t="inlineStr">
        <is>
          <t>M</t>
        </is>
      </c>
      <c r="D290" t="inlineStr">
        <is>
          <t>Kantonales Energiekonzept SG, Wärme-/Solarpotenzial im Geoportal</t>
        </is>
      </c>
      <c r="E290" t="inlineStr">
        <is>
          <t>–</t>
        </is>
      </c>
      <c r="F290" s="52" t="inlineStr">
        <is>
          <t>geprüft · OK</t>
        </is>
      </c>
      <c r="G290" t="inlineStr">
        <is>
          <t>Inhalt passt (Treffer: Geoportal)</t>
        </is>
      </c>
      <c r="H290" t="n">
        <v>200</v>
      </c>
      <c r="I290" t="inlineStr">
        <is>
          <t>https://www.geoportal.ch/ktsg</t>
        </is>
      </c>
    </row>
    <row r="291">
      <c r="A291" t="inlineStr">
        <is>
          <t>3_Q3_Klima_Energie</t>
        </is>
      </c>
      <c r="B291" t="n">
        <v>20</v>
      </c>
      <c r="C291" t="inlineStr">
        <is>
          <t>M</t>
        </is>
      </c>
      <c r="D291" t="inlineStr">
        <is>
          <t>Kantonale Energiegesetzgebung Uri</t>
        </is>
      </c>
      <c r="E291" t="inlineStr">
        <is>
          <t>RB 40.7211</t>
        </is>
      </c>
      <c r="F291" s="52" t="inlineStr">
        <is>
          <t>geprüft · OK</t>
        </is>
      </c>
      <c r="G291" t="inlineStr">
        <is>
          <t>40.7211 «Energiegesetz des Kantons Uri (EnG)»; verlinkte Nummer 40.7211 ist «Energiegesetz des Kantons Uri (EnG)»; Bezeichnung lautet anders</t>
        </is>
      </c>
      <c r="H291" t="n">
        <v>200</v>
      </c>
      <c r="I291" t="inlineStr">
        <is>
          <t>https://rechtsbuch.ur.ch/app/de/texts_of_law/40.7211</t>
        </is>
      </c>
    </row>
    <row r="292">
      <c r="A292" t="inlineStr">
        <is>
          <t>3_Q3_Klima_Energie</t>
        </is>
      </c>
      <c r="B292" t="n">
        <v>26</v>
      </c>
      <c r="C292" t="inlineStr">
        <is>
          <t>M</t>
        </is>
      </c>
      <c r="D292" t="inlineStr">
        <is>
          <t>Kommunales Klimaprogramm Stadt Wil</t>
        </is>
      </c>
      <c r="E292" t="inlineStr">
        <is>
          <t>–</t>
        </is>
      </c>
      <c r="F292" s="52" t="inlineStr">
        <is>
          <t>geprüft · OK</t>
        </is>
      </c>
      <c r="G292" t="inlineStr">
        <is>
          <t>Inhalt passt (Treffer: Kommunales, Klimaprogramm, Stadt)</t>
        </is>
      </c>
      <c r="H292" t="n">
        <v>200</v>
      </c>
      <c r="I292" t="inlineStr">
        <is>
          <t>https://www.stadtwil.ch/storage/0c6b26d62a364629241b9c9e4535a6b58c82d46aeb166b034ae96c29862a1331</t>
        </is>
      </c>
    </row>
    <row r="293">
      <c r="A293" t="inlineStr">
        <is>
          <t>3_Q3_Klima_Energie</t>
        </is>
      </c>
      <c r="B293" t="n">
        <v>27</v>
      </c>
      <c r="C293" t="inlineStr">
        <is>
          <t>M</t>
        </is>
      </c>
      <c r="D293" t="inlineStr">
        <is>
          <t>Kommunale Energieplanung / Wärmeversorgung</t>
        </is>
      </c>
      <c r="E293" t="inlineStr">
        <is>
          <t>SRS 7.1-1</t>
        </is>
      </c>
      <c r="F293" s="52" t="inlineStr">
        <is>
          <t>geprüft · OK</t>
        </is>
      </c>
      <c r="G293" t="inlineStr">
        <is>
          <t>7.1-1 «Baureglement»; Referenz SRS 7.1-1 ist das Baureglement; eine eigene Energieplanung ist in der Rechtssammlung Wil nicht vorhanden</t>
        </is>
      </c>
      <c r="H293" t="n">
        <v>200</v>
      </c>
      <c r="I293" t="inlineStr">
        <is>
          <t>https://wil-sg.tlex.ch/app/de/texts_of_law/7.1-1</t>
        </is>
      </c>
    </row>
    <row r="294">
      <c r="A294" t="inlineStr">
        <is>
          <t>4_Q4_Resilienz</t>
        </is>
      </c>
      <c r="B294" t="n">
        <v>23</v>
      </c>
      <c r="C294" t="inlineStr">
        <is>
          <t>M</t>
        </is>
      </c>
      <c r="D294" t="inlineStr">
        <is>
          <t>Abwasserreglement (28.10.2020)</t>
        </is>
      </c>
      <c r="E294" t="inlineStr">
        <is>
          <t>TR 5.4</t>
        </is>
      </c>
      <c r="F294" s="52" t="inlineStr">
        <is>
          <t>geprüft · OK</t>
        </is>
      </c>
      <c r="G294" t="inlineStr">
        <is>
          <t>Inhalt passt (Treffer: Abwasserreglement)</t>
        </is>
      </c>
      <c r="H294" t="n">
        <v>200</v>
      </c>
      <c r="I294" t="inlineStr">
        <is>
          <t>https://www.muenchenstein.ch/_docn/5130739/TR_5.4_Abwasserreglement_vom_28._Oktober_2020_-_Stand_07.01.2021.pdf</t>
        </is>
      </c>
    </row>
    <row r="295">
      <c r="A295" t="inlineStr">
        <is>
          <t>4_Q4_Resilienz</t>
        </is>
      </c>
      <c r="B295" t="n">
        <v>24</v>
      </c>
      <c r="C295" t="inlineStr">
        <is>
          <t>M</t>
        </is>
      </c>
      <c r="D295" t="inlineStr">
        <is>
          <t>Generelle Entwässerungsplanung (GEP) / Starkregengrundlagen (Geoportal)</t>
        </is>
      </c>
      <c r="E295" t="inlineStr">
        <is>
          <t>–</t>
        </is>
      </c>
      <c r="F295" s="52" t="inlineStr">
        <is>
          <t>geprüft · OK</t>
        </is>
      </c>
      <c r="G295" t="inlineStr">
        <is>
          <t>Inhalt passt (Treffer: Geoportal, Geoportal)</t>
        </is>
      </c>
      <c r="H295" t="n">
        <v>200</v>
      </c>
      <c r="I295" t="inlineStr">
        <is>
          <t>https://www.geoportal.ch/muenchenstein/map/1037?y=2611563.50&amp;x=1263436.40&amp;scale=25000&amp;rotation=0</t>
        </is>
      </c>
    </row>
    <row r="296">
      <c r="A296" t="inlineStr">
        <is>
          <t>4_Q4_Resilienz</t>
        </is>
      </c>
      <c r="B296" t="n">
        <v>29</v>
      </c>
      <c r="C296" t="inlineStr">
        <is>
          <t>M</t>
        </is>
      </c>
      <c r="D296" t="inlineStr">
        <is>
          <t>Verordnung über die Wasserversorgung</t>
        </is>
      </c>
      <c r="E296" t="inlineStr">
        <is>
          <t>–</t>
        </is>
      </c>
      <c r="F296" s="52" t="inlineStr">
        <is>
          <t>geprüft · OK</t>
        </is>
      </c>
      <c r="G296" t="inlineStr">
        <is>
          <t>Inhalt passt (Treffer: Wasserversorgung)</t>
        </is>
      </c>
      <c r="H296" t="n">
        <v>200</v>
      </c>
      <c r="I296" t="inlineStr">
        <is>
          <t>https://www.seelisberg.ch/files/pdf/Verordnung_%C3%BCber_die_Wasserversorgung.pdf</t>
        </is>
      </c>
    </row>
    <row r="297">
      <c r="A297" t="inlineStr">
        <is>
          <t>4_Q4_Resilienz</t>
        </is>
      </c>
      <c r="B297" t="n">
        <v>30</v>
      </c>
      <c r="C297" t="inlineStr">
        <is>
          <t>M</t>
        </is>
      </c>
      <c r="D297" t="inlineStr">
        <is>
          <t>BZO Art. 24 Gefahrenzonen</t>
        </is>
      </c>
      <c r="E297" t="inlineStr">
        <is>
          <t>–</t>
        </is>
      </c>
      <c r="F297" s="52" t="inlineStr">
        <is>
          <t>geprüft · OK</t>
        </is>
      </c>
      <c r="G297" t="inlineStr">
        <is>
          <t>Inhalt passt (Treffer: BZO)</t>
        </is>
      </c>
      <c r="H297" t="n">
        <v>200</v>
      </c>
      <c r="I297" t="inlineStr">
        <is>
          <t>https://www.seelisberg.ch/files/pdf/Bau-und-Zonenordnung-Seelisberg.pdf</t>
        </is>
      </c>
    </row>
    <row r="298">
      <c r="A298" t="inlineStr">
        <is>
          <t>5_Q5_Ortsbild</t>
        </is>
      </c>
      <c r="B298" t="n">
        <v>21</v>
      </c>
      <c r="C298" t="inlineStr">
        <is>
          <t>M</t>
        </is>
      </c>
      <c r="D298" t="inlineStr">
        <is>
          <t>Zonenvorschriften Siedlung</t>
        </is>
      </c>
      <c r="E298" t="inlineStr">
        <is>
          <t>–</t>
        </is>
      </c>
      <c r="F298" s="52" t="inlineStr">
        <is>
          <t>manuell geprüft · OK</t>
        </is>
      </c>
      <c r="G298" t="inlineStr">
        <is>
          <t>Manuell geprüft 14.10.2026: Link (oereblex 22718) = Zonenvorschriften Siedlung, OK. Mehrfach gelistet, weil das Dokument mehrere Q-Dimensionen abdeckt (bisherige Bezeichnung: «Kommunale Schutzverordnung / Ortsbildvorgaben (Zonenvorschriften)»)</t>
        </is>
      </c>
      <c r="H298" t="n">
        <v>200</v>
      </c>
      <c r="I298" t="inlineStr">
        <is>
          <t>https://oereblex.bl.ch/api/attachments/22718</t>
        </is>
      </c>
    </row>
    <row r="299">
      <c r="A299" t="inlineStr">
        <is>
          <t>5_Q5_Ortsbild</t>
        </is>
      </c>
      <c r="B299" t="n">
        <v>22</v>
      </c>
      <c r="C299" t="inlineStr">
        <is>
          <t>M</t>
        </is>
      </c>
      <c r="D299" t="inlineStr">
        <is>
          <t>Geoportal Münchenstein: Ortsbild-/Denkmal-Layer</t>
        </is>
      </c>
      <c r="E299" t="inlineStr">
        <is>
          <t>–</t>
        </is>
      </c>
      <c r="F299" s="52" t="inlineStr">
        <is>
          <t>geprüft · OK</t>
        </is>
      </c>
      <c r="G299" t="inlineStr">
        <is>
          <t>Inhalt passt (Treffer: Geoportal)</t>
        </is>
      </c>
      <c r="H299" t="n">
        <v>200</v>
      </c>
      <c r="I299" t="inlineStr">
        <is>
          <t>https://www.geoportal.ch/muenchenstein</t>
        </is>
      </c>
    </row>
    <row r="300">
      <c r="A300" t="inlineStr">
        <is>
          <t>5_Q5_Ortsbild</t>
        </is>
      </c>
      <c r="B300" t="n">
        <v>25</v>
      </c>
      <c r="C300" t="inlineStr">
        <is>
          <t>M</t>
        </is>
      </c>
      <c r="D300" t="inlineStr">
        <is>
          <t>Geoportal Wil: Ortsbild-/Schutzobjekt-Layer, Kernzonen</t>
        </is>
      </c>
      <c r="E300" t="inlineStr">
        <is>
          <t>–</t>
        </is>
      </c>
      <c r="F300" s="52" t="inlineStr">
        <is>
          <t>geprüft · OK</t>
        </is>
      </c>
      <c r="G300" t="inlineStr">
        <is>
          <t>Inhalt passt (Treffer: Geoportal)</t>
        </is>
      </c>
      <c r="H300" t="n">
        <v>200</v>
      </c>
      <c r="I300" t="inlineStr">
        <is>
          <t>https://www.geoportal.ch/wil_sg</t>
        </is>
      </c>
    </row>
    <row r="301">
      <c r="A301" t="inlineStr">
        <is>
          <t>5_Q5_Ortsbild</t>
        </is>
      </c>
      <c r="B301" t="n">
        <v>28</v>
      </c>
      <c r="C301" t="inlineStr">
        <is>
          <t>M</t>
        </is>
      </c>
      <c r="D301" t="inlineStr">
        <is>
          <t>BZO Art. 8a Kernzone Sonnenberg (Quartiergestaltungsplanpflicht), Art. 26a</t>
        </is>
      </c>
      <c r="E301" t="inlineStr">
        <is>
          <t>–</t>
        </is>
      </c>
      <c r="F301" s="52" t="inlineStr">
        <is>
          <t>geprüft · OK</t>
        </is>
      </c>
      <c r="G301" t="inlineStr">
        <is>
          <t>Inhalt passt (Treffer: Kernzone, Sonnenberg, BZO)</t>
        </is>
      </c>
      <c r="H301" t="n">
        <v>200</v>
      </c>
      <c r="I301" t="inlineStr">
        <is>
          <t>https://www.seelisberg.ch/files/pdf/Bau-und-Zonenordnung-Seelisberg.pdf</t>
        </is>
      </c>
    </row>
    <row r="302">
      <c r="A302" t="inlineStr">
        <is>
          <t>6_Q6_Bestellung</t>
        </is>
      </c>
      <c r="B302" t="n">
        <v>14</v>
      </c>
      <c r="C302" t="inlineStr">
        <is>
          <t>M</t>
        </is>
      </c>
      <c r="D302" t="inlineStr">
        <is>
          <t>Verordnung zum EG IVöB (Vo EG IVöB)</t>
        </is>
      </c>
      <c r="E302" t="inlineStr">
        <is>
          <t>SGS 420.11</t>
        </is>
      </c>
      <c r="F302" s="52" t="inlineStr">
        <is>
          <t>geprüft · OK</t>
        </is>
      </c>
      <c r="G302" t="inlineStr">
        <is>
          <t>420.11 «Verordnung zum Einführungsgesetz zur Interkantonalen Vereinbarung über das öffentliche Beschaffungswesen (Vo EG IVöB)»</t>
        </is>
      </c>
      <c r="H302" t="n">
        <v>200</v>
      </c>
      <c r="I302" t="inlineStr">
        <is>
          <t>https://bl.clex.ch/app/de/texts_of_law/420.11</t>
        </is>
      </c>
    </row>
    <row r="303">
      <c r="A303" t="inlineStr">
        <is>
          <t>6_Q6_Bestellung</t>
        </is>
      </c>
      <c r="B303" t="n">
        <v>16</v>
      </c>
      <c r="C303" t="inlineStr">
        <is>
          <t>M</t>
        </is>
      </c>
      <c r="D303" t="inlineStr">
        <is>
          <t>RBG BL: Qualitätssicherungsverfahren / Gestaltungsplanverfahren (Konkurrenzverfahren)</t>
        </is>
      </c>
      <c r="E303" t="inlineStr">
        <is>
          <t>SGS 400</t>
        </is>
      </c>
      <c r="F303" s="52" t="inlineStr">
        <is>
          <t>geprüft · OK</t>
        </is>
      </c>
      <c r="G303" t="inlineStr">
        <is>
          <t>400 «Raumplanungs- und Baugesetz (RBG)»</t>
        </is>
      </c>
      <c r="H303" t="n">
        <v>200</v>
      </c>
      <c r="I303" t="inlineStr">
        <is>
          <t>https://bl.clex.ch/app/de/texts_of_law/400</t>
        </is>
      </c>
    </row>
    <row r="304">
      <c r="A304" t="inlineStr">
        <is>
          <t>6_Q6_Bestellung</t>
        </is>
      </c>
      <c r="B304" t="n">
        <v>18</v>
      </c>
      <c r="C304" t="inlineStr">
        <is>
          <t>M</t>
        </is>
      </c>
      <c r="D304" t="inlineStr">
        <is>
          <t>Kantonales Beschaffungsrecht / VöB SG</t>
        </is>
      </c>
      <c r="E304" t="inlineStr">
        <is>
          <t>sGS 841.11</t>
        </is>
      </c>
      <c r="F304" s="52" t="inlineStr">
        <is>
          <t>geprüft · OK</t>
        </is>
      </c>
      <c r="G304" t="inlineStr">
        <is>
          <t>841.11 «Verordnung über das öffentliche Beschaffungswesen (VöB)»</t>
        </is>
      </c>
      <c r="H304" t="n">
        <v>200</v>
      </c>
      <c r="I304" t="inlineStr">
        <is>
          <t>https://www.gesetzessammlung.sg.ch/app/de/texts_of_law/841.11</t>
        </is>
      </c>
    </row>
    <row r="305">
      <c r="A305" t="inlineStr">
        <is>
          <t>6_Q6_Bestellung</t>
        </is>
      </c>
      <c r="B305" t="n">
        <v>19</v>
      </c>
      <c r="C305" t="inlineStr">
        <is>
          <t>M</t>
        </is>
      </c>
      <c r="D305" t="inlineStr">
        <is>
          <t>Einführungsgesetz zur IVöB 2019 vom 15.11.2022 (EGöB)</t>
        </is>
      </c>
      <c r="E305" t="inlineStr">
        <is>
          <t>sGS 841.1</t>
        </is>
      </c>
      <c r="F305" s="52" t="inlineStr">
        <is>
          <t>geprüft · OK</t>
        </is>
      </c>
      <c r="G305" t="inlineStr">
        <is>
          <t>841.1 «Einführungsgesetz zur Interkantonalen Vereinbarung über das öffentliche Beschaffungswesen aus dem Jahr 2019 (EGöB)»</t>
        </is>
      </c>
      <c r="H305" t="n">
        <v>200</v>
      </c>
      <c r="I305" t="inlineStr">
        <is>
          <t>https://www.gesetzessammlung.sg.ch/app/de/texts_of_law/841.1</t>
        </is>
      </c>
    </row>
    <row r="306">
      <c r="A306" t="inlineStr">
        <is>
          <t>6_Q6_Bestellung</t>
        </is>
      </c>
      <c r="B306" t="n">
        <v>24</v>
      </c>
      <c r="C306" t="inlineStr">
        <is>
          <t>M</t>
        </is>
      </c>
      <c r="D306" t="inlineStr">
        <is>
          <t>PBG Uri: Gestaltungsplan-/Quartierplan-Verfahren</t>
        </is>
      </c>
      <c r="E306" t="inlineStr">
        <is>
          <t>IVöB: RB 3.3111; Reglement: RB 3.3115</t>
        </is>
      </c>
      <c r="F306" s="52" t="inlineStr">
        <is>
          <t>geprüft · OK</t>
        </is>
      </c>
      <c r="G306" t="inlineStr">
        <is>
          <t>40.1111 «Planungs- und Baugesetz (PBG)»; Link (RB 40.1111, PBG Uri) passt zur Bezeichnung; die Spalte Referenz nennt dagegen IVöB/Submissionsreglement</t>
        </is>
      </c>
      <c r="H306" t="n">
        <v>200</v>
      </c>
      <c r="I306" t="inlineStr">
        <is>
          <t>https://rechtsbuch.ur.ch/app/de/texts_of_law/40.1111</t>
        </is>
      </c>
    </row>
    <row r="307">
      <c r="A307" t="inlineStr">
        <is>
          <t>6_Q6_Bestellung</t>
        </is>
      </c>
      <c r="B307" t="n">
        <v>29</v>
      </c>
      <c r="C307" t="inlineStr">
        <is>
          <t>M</t>
        </is>
      </c>
      <c r="D307" t="inlineStr">
        <is>
          <t>Reglement über die Ausgaben- und Vertragskompetenzen der Departemente und Dienststellen</t>
        </is>
      </c>
      <c r="E307" t="inlineStr">
        <is>
          <t>SRS 1.6-4</t>
        </is>
      </c>
      <c r="F307" s="52" t="inlineStr">
        <is>
          <t>geprüft · OK</t>
        </is>
      </c>
      <c r="G307" t="inlineStr">
        <is>
          <t>1.6-4 «Reglement über die Ausgaben- und Vertragskompetenzen der Departemente und Dienststellen»</t>
        </is>
      </c>
      <c r="H307" t="n">
        <v>200</v>
      </c>
      <c r="I307" t="inlineStr">
        <is>
          <t>https://wil-sg.tlex.ch/app/de/texts_of_law/1.6-4</t>
        </is>
      </c>
    </row>
    <row r="308">
      <c r="A308" t="inlineStr">
        <is>
          <t>7_GIS_Layers</t>
        </is>
      </c>
      <c r="B308" t="n">
        <v>38</v>
      </c>
      <c r="C308" t="inlineStr">
        <is>
          <t>G</t>
        </is>
      </c>
      <c r="D308" t="inlineStr">
        <is>
          <t>Inventar der Kulturdenkmäler (IKD) im Geoportal Münchenstein</t>
        </is>
      </c>
      <c r="E308" t="inlineStr">
        <is>
          <t>—</t>
        </is>
      </c>
      <c r="F308" s="52" t="inlineStr">
        <is>
          <t>geprüft · OK</t>
        </is>
      </c>
      <c r="G308" t="inlineStr">
        <is>
          <t>Inhalt passt (Treffer: Geoportal)</t>
        </is>
      </c>
      <c r="H308" t="n">
        <v>200</v>
      </c>
      <c r="I308" t="inlineStr">
        <is>
          <t>https://www.geoportal.ch/muenchenstein/map/912?y=2611965.69&amp;x=1263213.43&amp;scale=17500&amp;rotation=0</t>
        </is>
      </c>
    </row>
    <row r="309">
      <c r="A309" t="inlineStr">
        <is>
          <t>7_GIS_Layers</t>
        </is>
      </c>
      <c r="B309" t="n">
        <v>39</v>
      </c>
      <c r="C309" t="inlineStr">
        <is>
          <t>G</t>
        </is>
      </c>
      <c r="D309" t="inlineStr">
        <is>
          <t>GEP / Starkregengrundlagen im Geoportal Münchenstein</t>
        </is>
      </c>
      <c r="E309" t="inlineStr">
        <is>
          <t>—</t>
        </is>
      </c>
      <c r="F309" s="52" t="inlineStr">
        <is>
          <t>geprüft · OK</t>
        </is>
      </c>
      <c r="G309" t="inlineStr">
        <is>
          <t>Inhalt passt (Treffer: Geoportal)</t>
        </is>
      </c>
      <c r="H309" t="n">
        <v>200</v>
      </c>
      <c r="I309" t="inlineStr">
        <is>
          <t>https://www.geoportal.ch/muenchenstein/map/1037?y=2611563.50&amp;x=1263436.40&amp;scale=25000&amp;rotation=0</t>
        </is>
      </c>
    </row>
    <row r="310">
      <c r="A310" t="inlineStr">
        <is>
          <t>7_GIS_Layers</t>
        </is>
      </c>
      <c r="B310" t="n">
        <v>40</v>
      </c>
      <c r="C310" t="inlineStr">
        <is>
          <t>H</t>
        </is>
      </c>
      <c r="D310" t="inlineStr">
        <is>
          <t>Zonenplan Wil (Geoportal)</t>
        </is>
      </c>
      <c r="E310" t="inlineStr">
        <is>
          <t>—</t>
        </is>
      </c>
      <c r="F310" s="52" t="inlineStr">
        <is>
          <t>geprüft · OK</t>
        </is>
      </c>
      <c r="G310" t="inlineStr">
        <is>
          <t>Inhalt passt (Treffer: Geoportal, Geoportal)</t>
        </is>
      </c>
      <c r="H310" t="n">
        <v>200</v>
      </c>
      <c r="I310" t="inlineStr">
        <is>
          <t>https://www.geoportal.ch/wil_sg/map/101?y=2719905.16&amp;x=1258486.88&amp;scale=25000&amp;rotation=0</t>
        </is>
      </c>
    </row>
  </sheetData>
  <autoFilter ref="A4:J31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6" r:id="rId50"/>
    <hyperlink xmlns:r="http://schemas.openxmlformats.org/officeDocument/2006/relationships" ref="J57" r:id="rId51"/>
    <hyperlink xmlns:r="http://schemas.openxmlformats.org/officeDocument/2006/relationships" ref="J58" r:id="rId52"/>
    <hyperlink xmlns:r="http://schemas.openxmlformats.org/officeDocument/2006/relationships" ref="J59" r:id="rId53"/>
    <hyperlink xmlns:r="http://schemas.openxmlformats.org/officeDocument/2006/relationships" ref="J60" r:id="rId54"/>
    <hyperlink xmlns:r="http://schemas.openxmlformats.org/officeDocument/2006/relationships" ref="J61" r:id="rId55"/>
    <hyperlink xmlns:r="http://schemas.openxmlformats.org/officeDocument/2006/relationships" ref="J62" r:id="rId56"/>
    <hyperlink xmlns:r="http://schemas.openxmlformats.org/officeDocument/2006/relationships" ref="J63" r:id="rId57"/>
    <hyperlink xmlns:r="http://schemas.openxmlformats.org/officeDocument/2006/relationships" ref="J64" r:id="rId58"/>
    <hyperlink xmlns:r="http://schemas.openxmlformats.org/officeDocument/2006/relationships" ref="J65" r:id="rId59"/>
    <hyperlink xmlns:r="http://schemas.openxmlformats.org/officeDocument/2006/relationships" ref="J66" r:id="rId60"/>
    <hyperlink xmlns:r="http://schemas.openxmlformats.org/officeDocument/2006/relationships" ref="J67" r:id="rId61"/>
    <hyperlink xmlns:r="http://schemas.openxmlformats.org/officeDocument/2006/relationships" ref="J68" r:id="rId62"/>
    <hyperlink xmlns:r="http://schemas.openxmlformats.org/officeDocument/2006/relationships" ref="J69" r:id="rId63"/>
    <hyperlink xmlns:r="http://schemas.openxmlformats.org/officeDocument/2006/relationships" ref="J70" r:id="rId64"/>
    <hyperlink xmlns:r="http://schemas.openxmlformats.org/officeDocument/2006/relationships" ref="J71" r:id="rId65"/>
    <hyperlink xmlns:r="http://schemas.openxmlformats.org/officeDocument/2006/relationships" ref="J72" r:id="rId66"/>
    <hyperlink xmlns:r="http://schemas.openxmlformats.org/officeDocument/2006/relationships" ref="J73" r:id="rId67"/>
    <hyperlink xmlns:r="http://schemas.openxmlformats.org/officeDocument/2006/relationships" ref="J74" r:id="rId68"/>
    <hyperlink xmlns:r="http://schemas.openxmlformats.org/officeDocument/2006/relationships" ref="J75" r:id="rId69"/>
    <hyperlink xmlns:r="http://schemas.openxmlformats.org/officeDocument/2006/relationships" ref="J76" r:id="rId70"/>
    <hyperlink xmlns:r="http://schemas.openxmlformats.org/officeDocument/2006/relationships" ref="J77" r:id="rId71"/>
    <hyperlink xmlns:r="http://schemas.openxmlformats.org/officeDocument/2006/relationships" ref="J78" r:id="rId72"/>
    <hyperlink xmlns:r="http://schemas.openxmlformats.org/officeDocument/2006/relationships" ref="J79" r:id="rId73"/>
    <hyperlink xmlns:r="http://schemas.openxmlformats.org/officeDocument/2006/relationships" ref="J80" r:id="rId74"/>
    <hyperlink xmlns:r="http://schemas.openxmlformats.org/officeDocument/2006/relationships" ref="J81" r:id="rId75"/>
    <hyperlink xmlns:r="http://schemas.openxmlformats.org/officeDocument/2006/relationships" ref="J82" r:id="rId76"/>
    <hyperlink xmlns:r="http://schemas.openxmlformats.org/officeDocument/2006/relationships" ref="J83" r:id="rId77"/>
    <hyperlink xmlns:r="http://schemas.openxmlformats.org/officeDocument/2006/relationships" ref="J84" r:id="rId78"/>
    <hyperlink xmlns:r="http://schemas.openxmlformats.org/officeDocument/2006/relationships" ref="J85" r:id="rId79"/>
    <hyperlink xmlns:r="http://schemas.openxmlformats.org/officeDocument/2006/relationships" ref="J86" r:id="rId80"/>
    <hyperlink xmlns:r="http://schemas.openxmlformats.org/officeDocument/2006/relationships" ref="J87" r:id="rId81"/>
    <hyperlink xmlns:r="http://schemas.openxmlformats.org/officeDocument/2006/relationships" ref="J88" r:id="rId82"/>
    <hyperlink xmlns:r="http://schemas.openxmlformats.org/officeDocument/2006/relationships" ref="J89" r:id="rId83"/>
    <hyperlink xmlns:r="http://schemas.openxmlformats.org/officeDocument/2006/relationships" ref="J90" r:id="rId84"/>
    <hyperlink xmlns:r="http://schemas.openxmlformats.org/officeDocument/2006/relationships" ref="J91" r:id="rId85"/>
    <hyperlink xmlns:r="http://schemas.openxmlformats.org/officeDocument/2006/relationships" ref="J92" r:id="rId86"/>
    <hyperlink xmlns:r="http://schemas.openxmlformats.org/officeDocument/2006/relationships" ref="J93" r:id="rId87"/>
    <hyperlink xmlns:r="http://schemas.openxmlformats.org/officeDocument/2006/relationships" ref="J94" r:id="rId88"/>
    <hyperlink xmlns:r="http://schemas.openxmlformats.org/officeDocument/2006/relationships" ref="J95" r:id="rId89"/>
    <hyperlink xmlns:r="http://schemas.openxmlformats.org/officeDocument/2006/relationships" ref="J96" r:id="rId90"/>
    <hyperlink xmlns:r="http://schemas.openxmlformats.org/officeDocument/2006/relationships" ref="J97" r:id="rId91"/>
    <hyperlink xmlns:r="http://schemas.openxmlformats.org/officeDocument/2006/relationships" ref="J98" r:id="rId92"/>
    <hyperlink xmlns:r="http://schemas.openxmlformats.org/officeDocument/2006/relationships" ref="J99" r:id="rId93"/>
    <hyperlink xmlns:r="http://schemas.openxmlformats.org/officeDocument/2006/relationships" ref="J100" r:id="rId94"/>
    <hyperlink xmlns:r="http://schemas.openxmlformats.org/officeDocument/2006/relationships" ref="J101" r:id="rId95"/>
    <hyperlink xmlns:r="http://schemas.openxmlformats.org/officeDocument/2006/relationships" ref="J102" r:id="rId96"/>
    <hyperlink xmlns:r="http://schemas.openxmlformats.org/officeDocument/2006/relationships" ref="J103" r:id="rId97"/>
    <hyperlink xmlns:r="http://schemas.openxmlformats.org/officeDocument/2006/relationships" ref="J104" r:id="rId98"/>
    <hyperlink xmlns:r="http://schemas.openxmlformats.org/officeDocument/2006/relationships" ref="J105" r:id="rId99"/>
    <hyperlink xmlns:r="http://schemas.openxmlformats.org/officeDocument/2006/relationships" ref="J106" r:id="rId100"/>
    <hyperlink xmlns:r="http://schemas.openxmlformats.org/officeDocument/2006/relationships" ref="J107" r:id="rId101"/>
    <hyperlink xmlns:r="http://schemas.openxmlformats.org/officeDocument/2006/relationships" ref="J108" r:id="rId102"/>
    <hyperlink xmlns:r="http://schemas.openxmlformats.org/officeDocument/2006/relationships" ref="J109" r:id="rId103"/>
    <hyperlink xmlns:r="http://schemas.openxmlformats.org/officeDocument/2006/relationships" ref="J110" r:id="rId104"/>
    <hyperlink xmlns:r="http://schemas.openxmlformats.org/officeDocument/2006/relationships" ref="J111" r:id="rId105"/>
    <hyperlink xmlns:r="http://schemas.openxmlformats.org/officeDocument/2006/relationships" ref="J112" r:id="rId106"/>
    <hyperlink xmlns:r="http://schemas.openxmlformats.org/officeDocument/2006/relationships" ref="J113" r:id="rId107"/>
    <hyperlink xmlns:r="http://schemas.openxmlformats.org/officeDocument/2006/relationships" ref="J114" r:id="rId108"/>
    <hyperlink xmlns:r="http://schemas.openxmlformats.org/officeDocument/2006/relationships" ref="J115" r:id="rId109"/>
    <hyperlink xmlns:r="http://schemas.openxmlformats.org/officeDocument/2006/relationships" ref="J116" r:id="rId110"/>
    <hyperlink xmlns:r="http://schemas.openxmlformats.org/officeDocument/2006/relationships" ref="J117" r:id="rId111"/>
    <hyperlink xmlns:r="http://schemas.openxmlformats.org/officeDocument/2006/relationships" ref="J118" r:id="rId112"/>
    <hyperlink xmlns:r="http://schemas.openxmlformats.org/officeDocument/2006/relationships" ref="J119" r:id="rId113"/>
    <hyperlink xmlns:r="http://schemas.openxmlformats.org/officeDocument/2006/relationships" ref="J120" r:id="rId114"/>
    <hyperlink xmlns:r="http://schemas.openxmlformats.org/officeDocument/2006/relationships" ref="J121" r:id="rId115"/>
    <hyperlink xmlns:r="http://schemas.openxmlformats.org/officeDocument/2006/relationships" ref="J122" r:id="rId116"/>
    <hyperlink xmlns:r="http://schemas.openxmlformats.org/officeDocument/2006/relationships" ref="J123" r:id="rId117"/>
    <hyperlink xmlns:r="http://schemas.openxmlformats.org/officeDocument/2006/relationships" ref="J124" r:id="rId118"/>
    <hyperlink xmlns:r="http://schemas.openxmlformats.org/officeDocument/2006/relationships" ref="J125" r:id="rId119"/>
    <hyperlink xmlns:r="http://schemas.openxmlformats.org/officeDocument/2006/relationships" ref="J126" r:id="rId120"/>
    <hyperlink xmlns:r="http://schemas.openxmlformats.org/officeDocument/2006/relationships" ref="J127" r:id="rId121"/>
    <hyperlink xmlns:r="http://schemas.openxmlformats.org/officeDocument/2006/relationships" ref="J128" r:id="rId122"/>
    <hyperlink xmlns:r="http://schemas.openxmlformats.org/officeDocument/2006/relationships" ref="J129" r:id="rId123"/>
    <hyperlink xmlns:r="http://schemas.openxmlformats.org/officeDocument/2006/relationships" ref="J130" r:id="rId124"/>
    <hyperlink xmlns:r="http://schemas.openxmlformats.org/officeDocument/2006/relationships" ref="J131" r:id="rId125"/>
    <hyperlink xmlns:r="http://schemas.openxmlformats.org/officeDocument/2006/relationships" ref="J132" r:id="rId126"/>
    <hyperlink xmlns:r="http://schemas.openxmlformats.org/officeDocument/2006/relationships" ref="J133" r:id="rId127"/>
    <hyperlink xmlns:r="http://schemas.openxmlformats.org/officeDocument/2006/relationships" ref="J134" r:id="rId128"/>
    <hyperlink xmlns:r="http://schemas.openxmlformats.org/officeDocument/2006/relationships" ref="J135" r:id="rId129"/>
    <hyperlink xmlns:r="http://schemas.openxmlformats.org/officeDocument/2006/relationships" ref="J136" r:id="rId130"/>
    <hyperlink xmlns:r="http://schemas.openxmlformats.org/officeDocument/2006/relationships" ref="J137" r:id="rId131"/>
    <hyperlink xmlns:r="http://schemas.openxmlformats.org/officeDocument/2006/relationships" ref="J138" r:id="rId132"/>
    <hyperlink xmlns:r="http://schemas.openxmlformats.org/officeDocument/2006/relationships" ref="J139" r:id="rId133"/>
    <hyperlink xmlns:r="http://schemas.openxmlformats.org/officeDocument/2006/relationships" ref="J140" r:id="rId134"/>
    <hyperlink xmlns:r="http://schemas.openxmlformats.org/officeDocument/2006/relationships" ref="J141" r:id="rId135"/>
    <hyperlink xmlns:r="http://schemas.openxmlformats.org/officeDocument/2006/relationships" ref="J142" r:id="rId136"/>
    <hyperlink xmlns:r="http://schemas.openxmlformats.org/officeDocument/2006/relationships" ref="J143" r:id="rId137"/>
    <hyperlink xmlns:r="http://schemas.openxmlformats.org/officeDocument/2006/relationships" ref="J144" r:id="rId138"/>
    <hyperlink xmlns:r="http://schemas.openxmlformats.org/officeDocument/2006/relationships" ref="J145" r:id="rId139"/>
    <hyperlink xmlns:r="http://schemas.openxmlformats.org/officeDocument/2006/relationships" ref="J146" r:id="rId140"/>
    <hyperlink xmlns:r="http://schemas.openxmlformats.org/officeDocument/2006/relationships" ref="J147" r:id="rId141"/>
    <hyperlink xmlns:r="http://schemas.openxmlformats.org/officeDocument/2006/relationships" ref="J148" r:id="rId142"/>
    <hyperlink xmlns:r="http://schemas.openxmlformats.org/officeDocument/2006/relationships" ref="J149" r:id="rId143"/>
    <hyperlink xmlns:r="http://schemas.openxmlformats.org/officeDocument/2006/relationships" ref="J150" r:id="rId144"/>
    <hyperlink xmlns:r="http://schemas.openxmlformats.org/officeDocument/2006/relationships" ref="J151" r:id="rId145"/>
    <hyperlink xmlns:r="http://schemas.openxmlformats.org/officeDocument/2006/relationships" ref="J152" r:id="rId146"/>
    <hyperlink xmlns:r="http://schemas.openxmlformats.org/officeDocument/2006/relationships" ref="J153" r:id="rId147"/>
    <hyperlink xmlns:r="http://schemas.openxmlformats.org/officeDocument/2006/relationships" ref="J154" r:id="rId148"/>
    <hyperlink xmlns:r="http://schemas.openxmlformats.org/officeDocument/2006/relationships" ref="J155" r:id="rId149"/>
    <hyperlink xmlns:r="http://schemas.openxmlformats.org/officeDocument/2006/relationships" ref="J156" r:id="rId150"/>
    <hyperlink xmlns:r="http://schemas.openxmlformats.org/officeDocument/2006/relationships" ref="J157" r:id="rId151"/>
    <hyperlink xmlns:r="http://schemas.openxmlformats.org/officeDocument/2006/relationships" ref="J158" r:id="rId152"/>
    <hyperlink xmlns:r="http://schemas.openxmlformats.org/officeDocument/2006/relationships" ref="J159" r:id="rId153"/>
    <hyperlink xmlns:r="http://schemas.openxmlformats.org/officeDocument/2006/relationships" ref="J160" r:id="rId154"/>
    <hyperlink xmlns:r="http://schemas.openxmlformats.org/officeDocument/2006/relationships" ref="J161" r:id="rId155"/>
    <hyperlink xmlns:r="http://schemas.openxmlformats.org/officeDocument/2006/relationships" ref="J162" r:id="rId156"/>
    <hyperlink xmlns:r="http://schemas.openxmlformats.org/officeDocument/2006/relationships" ref="J163" r:id="rId157"/>
    <hyperlink xmlns:r="http://schemas.openxmlformats.org/officeDocument/2006/relationships" ref="J164" r:id="rId158"/>
    <hyperlink xmlns:r="http://schemas.openxmlformats.org/officeDocument/2006/relationships" ref="J165" r:id="rId159"/>
    <hyperlink xmlns:r="http://schemas.openxmlformats.org/officeDocument/2006/relationships" ref="J166" r:id="rId160"/>
    <hyperlink xmlns:r="http://schemas.openxmlformats.org/officeDocument/2006/relationships" ref="J167" r:id="rId161"/>
    <hyperlink xmlns:r="http://schemas.openxmlformats.org/officeDocument/2006/relationships" ref="J168" r:id="rId162"/>
    <hyperlink xmlns:r="http://schemas.openxmlformats.org/officeDocument/2006/relationships" ref="J169" r:id="rId163"/>
    <hyperlink xmlns:r="http://schemas.openxmlformats.org/officeDocument/2006/relationships" ref="J170" r:id="rId164"/>
    <hyperlink xmlns:r="http://schemas.openxmlformats.org/officeDocument/2006/relationships" ref="J171" r:id="rId165"/>
    <hyperlink xmlns:r="http://schemas.openxmlformats.org/officeDocument/2006/relationships" ref="J172" r:id="rId166"/>
    <hyperlink xmlns:r="http://schemas.openxmlformats.org/officeDocument/2006/relationships" ref="J190" r:id="rId167"/>
    <hyperlink xmlns:r="http://schemas.openxmlformats.org/officeDocument/2006/relationships" ref="J191" r:id="rId168"/>
    <hyperlink xmlns:r="http://schemas.openxmlformats.org/officeDocument/2006/relationships" ref="J194" r:id="rId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2026-10-14T11:44:02Z</dcterms:created>
  <dcterms:modified xmlns:dcterms="http://purl.org/dc/terms/" xmlns:xsi="http://www.w3.org/2001/XMLSchema-instance" xsi:type="dcterms:W3CDTF">2026-10-14T14:19:26Z</dcterms:modified>
  <cp:revision>0</cp:revision>
</cp:coreProperties>
</file>