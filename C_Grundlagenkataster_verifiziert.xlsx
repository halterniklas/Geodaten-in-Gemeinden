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inweise" sheetId="1" state="visible" r:id="rId1"/>
    <sheet xmlns:r="http://schemas.openxmlformats.org/officeDocument/2006/relationships" name="Gesamtübersicht" sheetId="2" state="visible" r:id="rId2"/>
    <sheet xmlns:r="http://schemas.openxmlformats.org/officeDocument/2006/relationships" name="Seelisberg" sheetId="3" state="visible" r:id="rId3"/>
    <sheet xmlns:r="http://schemas.openxmlformats.org/officeDocument/2006/relationships" name="Münchenstein" sheetId="4" state="visible" r:id="rId4"/>
    <sheet xmlns:r="http://schemas.openxmlformats.org/officeDocument/2006/relationships" name="Wil" sheetId="5" state="visible" r:id="rId5"/>
    <sheet xmlns:r="http://schemas.openxmlformats.org/officeDocument/2006/relationships" name="Gemeindeanfragen" sheetId="6" state="visible" r:id="rId6"/>
    <sheet xmlns:r="http://schemas.openxmlformats.org/officeDocument/2006/relationships" name="Recherche-Kandidaten" sheetId="7" state="visible" r:id="rId7"/>
    <sheet xmlns:r="http://schemas.openxmlformats.org/officeDocument/2006/relationships" name="Bewertungslogik" sheetId="8" state="visible" r:id="rId8"/>
    <sheet xmlns:r="http://schemas.openxmlformats.org/officeDocument/2006/relationships" name="Legende" sheetId="9" state="visible" r:id="rId9"/>
  </sheets>
  <definedNames>
    <definedName name="_xlnm._FilterDatabase" localSheetId="5" hidden="1">'Gemeindeanfragen'!$A$1:$L$28</definedName>
    <definedName name="_xlnm._FilterDatabase" localSheetId="6" hidden="1">'Recherche-Kandidaten'!$A$1:$J$828</definedName>
    <definedName name="_xlnm._FilterDatabase" localSheetId="7" hidden="1">'Bewertungslogik'!$A$1:$H$6</definedName>
    <definedName name="_xlnm._FilterDatabase" localSheetId="8" hidden="1">'Legende'!$A$1:$C$18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526171"/>
      <sz val="10"/>
    </font>
    <font>
      <b val="1"/>
      <color rgb="00087E8B"/>
    </font>
    <font>
      <color rgb="001F62A6"/>
      <sz val="10"/>
    </font>
    <font>
      <color rgb="00087E8B"/>
      <sz val="10"/>
      <u val="single"/>
    </font>
    <font>
      <name val="Aptos"/>
      <b val="1"/>
      <color rgb="00526171"/>
      <sz val="10"/>
    </font>
    <font>
      <name val="Aptos"/>
      <color rgb="FF087E8B"/>
      <sz val="10"/>
      <u val="single"/>
    </font>
  </fonts>
  <fills count="10">
    <fill>
      <patternFill/>
    </fill>
    <fill>
      <patternFill patternType="gray125"/>
    </fill>
    <fill>
      <patternFill patternType="solid">
        <fgColor rgb="0018324C"/>
      </patternFill>
    </fill>
    <fill>
      <patternFill patternType="solid">
        <fgColor rgb="00F4F8FA"/>
      </patternFill>
    </fill>
    <fill>
      <patternFill patternType="solid">
        <fgColor rgb="00E8F3F4"/>
      </patternFill>
    </fill>
    <fill>
      <patternFill patternType="solid">
        <fgColor rgb="00FFF0D8"/>
      </patternFill>
    </fill>
    <fill>
      <patternFill patternType="solid">
        <fgColor rgb="FFDCE6F0"/>
      </patternFill>
    </fill>
    <fill>
      <patternFill patternType="solid">
        <fgColor rgb="FFE2F0EC"/>
      </patternFill>
    </fill>
    <fill>
      <patternFill patternType="solid">
        <fgColor rgb="FFFBF0DC"/>
      </patternFill>
    </fill>
    <fill>
      <patternFill patternType="solid">
        <fgColor rgb="FFF4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6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FFE2EFDA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KatasterGesamt" displayName="KatasterGesamt" ref="A1:AW110" headerRowCount="1">
  <autoFilter ref="A1:AW110"/>
  <tableColumns count="49">
    <tableColumn id="1" name="ID"/>
    <tableColumn id="2" name="Ebene"/>
    <tableColumn id="3" name="Schweiz"/>
    <tableColumn id="4" name="Kanton"/>
    <tableColumn id="5" name="Gemeinde"/>
    <tableColumn id="6" name="C-Dimension"/>
    <tableColumn id="7" name="Themenfeld"/>
    <tableColumn id="8" name="Dokument / Datengrundlage"/>
    <tableColumn id="9" name="Dokumenttyp"/>
    <tableColumn id="10" name="Dokumentstatus"/>
    <tableColumn id="11" name="Rechts- / Verbindlichkeitsstatus"/>
    <tableColumn id="12" name="Herausgeber / Zuständigkeit"/>
    <tableColumn id="13" name="Link / Quelle"/>
    <tableColumn id="14" name="Bezugsjahr / Stand"/>
    <tableColumn id="15" name="Aktualität geprüft am"/>
    <tableColumn id="16" name="Konkrete Aussage / Relevanz"/>
    <tableColumn id="17" name="Kennzahl / Prüfkriterium"/>
    <tableColumn id="18" name="Erhebungs- / Bewertungsmethode"/>
    <tableColumn id="19" name="Vergleichsmassstab"/>
    <tableColumn id="20" name="Reifegrad / Tragfähigkeit"/>
    <tableColumn id="21" name="Confidence"/>
    <tableColumn id="22" name="Datenlücke / Gemeindeanfrage"/>
    <tableColumn id="23" name="Verbindung A / B / Q"/>
    <tableColumn id="24" name="Sprint-2-Verwendung"/>
    <tableColumn id="25" name="Prüfstatus / nächste Aktion"/>
    <tableColumn id="26" name="Herkunft / Nachweis"/>
    <tableColumn id="27" name="Weitere C-Dimensionen"/>
    <tableColumn id="28" name="Veröffentlichungsdatum"/>
    <tableColumn id="29" name="Offizielle Fundstelle"/>
    <tableColumn id="30" name="Linkstatus"/>
    <tableColumn id="31" name="HTTP-Status"/>
    <tableColumn id="32" name="Finale URL (nach Weiterleitung)"/>
    <tableColumn id="33" name="Dateityp"/>
    <tableColumn id="34" name="Inhaltsprüfung"/>
    <tableColumn id="35" name="Inhaltsprüfung – Nachweis"/>
    <tableColumn id="36" name="Erkannter Dokumenttitel"/>
    <tableColumn id="37" name="Erkannte Jahresangaben"/>
    <tableColumn id="38" name="Linkstabilität"/>
    <tableColumn id="39" name="Letzte Linkprüfung"/>
    <tableColumn id="40" name="Quellenverfügbarkeit"/>
    <tableColumn id="41" name="Einheit / Bezugsjahr"/>
    <tableColumn id="42" name="Prüfnachweis (belegbare Aussage)"/>
    <tableColumn id="43" name="Bewertungsbegründung"/>
    <tableColumn id="44" name="Gemeindeanfrage erforderlich"/>
    <tableColumn id="45" name="Zuständige Stelle"/>
    <tableColumn id="46" name="Bearbeitungsstatus"/>
    <tableColumn id="47" name="Recherchehinweis"/>
    <tableColumn id="48" name="Gleiche Quelle wie (ID)"/>
    <tableColumn id="49" name="Änderungsprotokol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KatasterSeelisberg" displayName="KatasterSeelisberg" ref="A1:AX49" headerRowCount="1">
  <autoFilter ref="A1:AX49"/>
  <tableColumns count="50">
    <tableColumn id="1" name="ID"/>
    <tableColumn id="2" name="Ebene"/>
    <tableColumn id="3" name="Schweiz"/>
    <tableColumn id="4" name="Kanton"/>
    <tableColumn id="5" name="Gemeinde"/>
    <tableColumn id="6" name="C-Dimension"/>
    <tableColumn id="7" name="Themenfeld"/>
    <tableColumn id="8" name="Dokument / Datengrundlage"/>
    <tableColumn id="9" name="Dokumenttyp"/>
    <tableColumn id="10" name="Dokumentstatus"/>
    <tableColumn id="11" name="Rechts- / Verbindlichkeitsstatus"/>
    <tableColumn id="12" name="Herausgeber / Zuständigkeit"/>
    <tableColumn id="13" name="Link / Quelle"/>
    <tableColumn id="14" name="Bezugsjahr / Stand"/>
    <tableColumn id="15" name="Aktualität geprüft am"/>
    <tableColumn id="16" name="Konkrete Aussage / Relevanz"/>
    <tableColumn id="17" name="Kennzahl / Prüfkriterium"/>
    <tableColumn id="18" name="Erhebungs- / Bewertungsmethode"/>
    <tableColumn id="19" name="Vergleichsmassstab"/>
    <tableColumn id="20" name="Reifegrad / Tragfähigkeit"/>
    <tableColumn id="21" name="Confidence"/>
    <tableColumn id="22" name="Datenlücke / Gemeindeanfrage"/>
    <tableColumn id="23" name="Verbindung A / B / Q"/>
    <tableColumn id="24" name="Sprint-2-Verwendung"/>
    <tableColumn id="25" name="Prüfstatus / nächste Aktion"/>
    <tableColumn id="26" name="Herkunft / Nachweis"/>
    <tableColumn id="27" name="Weitere C-Dimensionen"/>
    <tableColumn id="28" name="Veröffentlichungsdatum"/>
    <tableColumn id="29" name="Offizielle Fundstelle"/>
    <tableColumn id="30" name="Linkstatus"/>
    <tableColumn id="31" name="HTTP-Status"/>
    <tableColumn id="32" name="Finale URL (nach Weiterleitung)"/>
    <tableColumn id="33" name="Dateityp"/>
    <tableColumn id="34" name="Inhaltsprüfung"/>
    <tableColumn id="35" name="Inhaltsprüfung – Nachweis"/>
    <tableColumn id="36" name="Erkannter Dokumenttitel"/>
    <tableColumn id="37" name="Erkannte Jahresangaben"/>
    <tableColumn id="38" name="Linkstabilität"/>
    <tableColumn id="39" name="Letzte Linkprüfung"/>
    <tableColumn id="40" name="Quellenverfügbarkeit"/>
    <tableColumn id="41" name="Einheit / Bezugsjahr"/>
    <tableColumn id="42" name="Prüfnachweis (belegbare Aussage)"/>
    <tableColumn id="43" name="Bewertungsbegründung"/>
    <tableColumn id="44" name="Gemeindeanfrage erforderlich"/>
    <tableColumn id="45" name="Zuständige Stelle"/>
    <tableColumn id="46" name="Bearbeitungsstatus"/>
    <tableColumn id="47" name="Recherchehinweis"/>
    <tableColumn id="48" name="Gleiche Quelle wie (ID)"/>
    <tableColumn id="49" name="Änderungsprotokoll"/>
    <tableColumn id="50" name="Abgleich mit Gesamtübersich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KatasterMuenchenstein" displayName="KatasterMuenchenstein" ref="A1:AX42" headerRowCount="1">
  <autoFilter ref="A1:AX42"/>
  <tableColumns count="50">
    <tableColumn id="1" name="ID"/>
    <tableColumn id="2" name="Ebene"/>
    <tableColumn id="3" name="Schweiz"/>
    <tableColumn id="4" name="Kanton"/>
    <tableColumn id="5" name="Gemeinde"/>
    <tableColumn id="6" name="C-Dimension"/>
    <tableColumn id="7" name="Themenfeld"/>
    <tableColumn id="8" name="Dokument / Datengrundlage"/>
    <tableColumn id="9" name="Dokumenttyp"/>
    <tableColumn id="10" name="Dokumentstatus"/>
    <tableColumn id="11" name="Rechts- / Verbindlichkeitsstatus"/>
    <tableColumn id="12" name="Herausgeber / Zuständigkeit"/>
    <tableColumn id="13" name="Link / Quelle"/>
    <tableColumn id="14" name="Bezugsjahr / Stand"/>
    <tableColumn id="15" name="Aktualität geprüft am"/>
    <tableColumn id="16" name="Konkrete Aussage / Relevanz"/>
    <tableColumn id="17" name="Kennzahl / Prüfkriterium"/>
    <tableColumn id="18" name="Erhebungs- / Bewertungsmethode"/>
    <tableColumn id="19" name="Vergleichsmassstab"/>
    <tableColumn id="20" name="Reifegrad / Tragfähigkeit"/>
    <tableColumn id="21" name="Confidence"/>
    <tableColumn id="22" name="Datenlücke / Gemeindeanfrage"/>
    <tableColumn id="23" name="Verbindung A / B / Q"/>
    <tableColumn id="24" name="Sprint-2-Verwendung"/>
    <tableColumn id="25" name="Prüfstatus / nächste Aktion"/>
    <tableColumn id="26" name="Herkunft / Nachweis"/>
    <tableColumn id="27" name="Weitere C-Dimensionen"/>
    <tableColumn id="28" name="Veröffentlichungsdatum"/>
    <tableColumn id="29" name="Offizielle Fundstelle"/>
    <tableColumn id="30" name="Linkstatus"/>
    <tableColumn id="31" name="HTTP-Status"/>
    <tableColumn id="32" name="Finale URL (nach Weiterleitung)"/>
    <tableColumn id="33" name="Dateityp"/>
    <tableColumn id="34" name="Inhaltsprüfung"/>
    <tableColumn id="35" name="Inhaltsprüfung – Nachweis"/>
    <tableColumn id="36" name="Erkannter Dokumenttitel"/>
    <tableColumn id="37" name="Erkannte Jahresangaben"/>
    <tableColumn id="38" name="Linkstabilität"/>
    <tableColumn id="39" name="Letzte Linkprüfung"/>
    <tableColumn id="40" name="Quellenverfügbarkeit"/>
    <tableColumn id="41" name="Einheit / Bezugsjahr"/>
    <tableColumn id="42" name="Prüfnachweis (belegbare Aussage)"/>
    <tableColumn id="43" name="Bewertungsbegründung"/>
    <tableColumn id="44" name="Gemeindeanfrage erforderlich"/>
    <tableColumn id="45" name="Zuständige Stelle"/>
    <tableColumn id="46" name="Bearbeitungsstatus"/>
    <tableColumn id="47" name="Recherchehinweis"/>
    <tableColumn id="48" name="Gleiche Quelle wie (ID)"/>
    <tableColumn id="49" name="Änderungsprotokoll"/>
    <tableColumn id="50" name="Abgleich mit Gesamtübersicht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KatasterWil" displayName="KatasterWil" ref="A1:AX41" headerRowCount="1">
  <autoFilter ref="A1:AX41"/>
  <tableColumns count="50">
    <tableColumn id="1" name="ID"/>
    <tableColumn id="2" name="Ebene"/>
    <tableColumn id="3" name="Schweiz"/>
    <tableColumn id="4" name="Kanton"/>
    <tableColumn id="5" name="Gemeinde"/>
    <tableColumn id="6" name="C-Dimension"/>
    <tableColumn id="7" name="Themenfeld"/>
    <tableColumn id="8" name="Dokument / Datengrundlage"/>
    <tableColumn id="9" name="Dokumenttyp"/>
    <tableColumn id="10" name="Dokumentstatus"/>
    <tableColumn id="11" name="Rechts- / Verbindlichkeitsstatus"/>
    <tableColumn id="12" name="Herausgeber / Zuständigkeit"/>
    <tableColumn id="13" name="Link / Quelle"/>
    <tableColumn id="14" name="Bezugsjahr / Stand"/>
    <tableColumn id="15" name="Aktualität geprüft am"/>
    <tableColumn id="16" name="Konkrete Aussage / Relevanz"/>
    <tableColumn id="17" name="Kennzahl / Prüfkriterium"/>
    <tableColumn id="18" name="Erhebungs- / Bewertungsmethode"/>
    <tableColumn id="19" name="Vergleichsmassstab"/>
    <tableColumn id="20" name="Reifegrad / Tragfähigkeit"/>
    <tableColumn id="21" name="Confidence"/>
    <tableColumn id="22" name="Datenlücke / Gemeindeanfrage"/>
    <tableColumn id="23" name="Verbindung A / B / Q"/>
    <tableColumn id="24" name="Sprint-2-Verwendung"/>
    <tableColumn id="25" name="Prüfstatus / nächste Aktion"/>
    <tableColumn id="26" name="Herkunft / Nachweis"/>
    <tableColumn id="27" name="Weitere C-Dimensionen"/>
    <tableColumn id="28" name="Veröffentlichungsdatum"/>
    <tableColumn id="29" name="Offizielle Fundstelle"/>
    <tableColumn id="30" name="Linkstatus"/>
    <tableColumn id="31" name="HTTP-Status"/>
    <tableColumn id="32" name="Finale URL (nach Weiterleitung)"/>
    <tableColumn id="33" name="Dateityp"/>
    <tableColumn id="34" name="Inhaltsprüfung"/>
    <tableColumn id="35" name="Inhaltsprüfung – Nachweis"/>
    <tableColumn id="36" name="Erkannter Dokumenttitel"/>
    <tableColumn id="37" name="Erkannte Jahresangaben"/>
    <tableColumn id="38" name="Linkstabilität"/>
    <tableColumn id="39" name="Letzte Linkprüfung"/>
    <tableColumn id="40" name="Quellenverfügbarkeit"/>
    <tableColumn id="41" name="Einheit / Bezugsjahr"/>
    <tableColumn id="42" name="Prüfnachweis (belegbare Aussage)"/>
    <tableColumn id="43" name="Bewertungsbegründung"/>
    <tableColumn id="44" name="Gemeindeanfrage erforderlich"/>
    <tableColumn id="45" name="Zuständige Stelle"/>
    <tableColumn id="46" name="Bearbeitungsstatus"/>
    <tableColumn id="47" name="Recherchehinweis"/>
    <tableColumn id="48" name="Gleiche Quelle wie (ID)"/>
    <tableColumn id="49" name="Änderungsprotokoll"/>
    <tableColumn id="50" name="Abgleich mit Gesamtübersich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" TargetMode="External" Id="rId2"/><Relationship Type="http://schemas.openxmlformats.org/officeDocument/2006/relationships/hyperlink" Target="https://www.efv.admin.ch/de/was-ist-die-finanzstatistik" TargetMode="External" Id="rId3"/><Relationship Type="http://schemas.openxmlformats.org/officeDocument/2006/relationships/hyperlink" Target="https://www.efv.admin.ch/de/methoden-finanzstatistik" TargetMode="External" Id="rId4"/><Relationship Type="http://schemas.openxmlformats.org/officeDocument/2006/relationships/hyperlink" Target="https://www.efv.admin.ch/de/finanzstatistik-daten" TargetMode="External" Id="rId5"/><Relationship Type="http://schemas.openxmlformats.org/officeDocument/2006/relationships/hyperlink" Target="https://opendata.swiss/en/dataset/detaillierte-daten-fs-und-gfs-modell-standardauswertungen" TargetMode="External" Id="rId6"/><Relationship Type="http://schemas.openxmlformats.org/officeDocument/2006/relationships/hyperlink" Target="https://www.fedlex.admin.ch/eli/cc/24/233_245_233/de" TargetMode="External" Id="rId7"/><Relationship Type="http://schemas.openxmlformats.org/officeDocument/2006/relationships/hyperlink" Target="https://www.fedlex.admin.ch/eli/cc/1979/1573_1573_1573/de" TargetMode="External" Id="rId8"/><Relationship Type="http://schemas.openxmlformats.org/officeDocument/2006/relationships/hyperlink" Target="https://www.fedlex.admin.ch/eli/cc/1999/404/de" TargetMode="External" Id="rId9"/><Relationship Type="http://schemas.openxmlformats.org/officeDocument/2006/relationships/hyperlink" Target="https://www.fedlex.admin.ch/eli/cc/2020/126/de" TargetMode="External" Id="rId10"/><Relationship Type="http://schemas.openxmlformats.org/officeDocument/2006/relationships/hyperlink" Target="https://ckan.opendata.swiss/dataset/regionalportrats-2021-kennzahlen-aller-gemeinden" TargetMode="External" Id="rId11"/><Relationship Type="http://schemas.openxmlformats.org/officeDocument/2006/relationships/hyperlink" Target="https://www.fedlex.admin.ch/eli/cc/1999/404/de" TargetMode="External" Id="rId12"/><Relationship Type="http://schemas.openxmlformats.org/officeDocument/2006/relationships/hyperlink" Target="https://www.ur.ch/publikationen/6680" TargetMode="External" Id="rId13"/><Relationship Type="http://schemas.openxmlformats.org/officeDocument/2006/relationships/hyperlink" Target="https://www.ur.ch/finanzen/1588" TargetMode="External" Id="rId14"/><Relationship Type="http://schemas.openxmlformats.org/officeDocument/2006/relationships/hyperlink" Target="https://www.ur.ch/_doc/451636" TargetMode="External" Id="rId15"/><Relationship Type="http://schemas.openxmlformats.org/officeDocument/2006/relationships/hyperlink" Target="https://www.ur.ch/publikationen/6680" TargetMode="External" Id="rId16"/><Relationship Type="http://schemas.openxmlformats.org/officeDocument/2006/relationships/hyperlink" Target="https://www.ur.ch/_docn/451636/Gemeindekennzahlen_2025_signiert.pdf" TargetMode="External" Id="rId17"/><Relationship Type="http://schemas.openxmlformats.org/officeDocument/2006/relationships/hyperlink" Target="https://www.ur.ch/_doc/420775" TargetMode="External" Id="rId18"/><Relationship Type="http://schemas.openxmlformats.org/officeDocument/2006/relationships/hyperlink" Target="https://www.ur.ch/publikationen/6680" TargetMode="External" Id="rId19"/><Relationship Type="http://schemas.openxmlformats.org/officeDocument/2006/relationships/hyperlink" Target="https://www.ur.ch/_docn/420775/Gemeindekennzahlen_2024_signiert.pdf" TargetMode="External" Id="rId20"/><Relationship Type="http://schemas.openxmlformats.org/officeDocument/2006/relationships/hyperlink" Target="https://rechtsbuch.ur.ch/api/de/versions/776/pdf_file" TargetMode="External" Id="rId21"/><Relationship Type="http://schemas.openxmlformats.org/officeDocument/2006/relationships/hyperlink" Target="https://www.ur.ch/dienstleistungen/3150" TargetMode="External" Id="rId22"/><Relationship Type="http://schemas.openxmlformats.org/officeDocument/2006/relationships/hyperlink" Target="https://rechtsbuch.ur.ch/app/de/texts_of_law/3.2131" TargetMode="External" Id="rId23"/><Relationship Type="http://schemas.openxmlformats.org/officeDocument/2006/relationships/hyperlink" Target="https://www.ur.ch/_docn/426685/Berechnung_FiLa_2025.pdf" TargetMode="External" Id="rId24"/><Relationship Type="http://schemas.openxmlformats.org/officeDocument/2006/relationships/hyperlink" Target="https://geo.ur.ch/" TargetMode="External" Id="rId25"/><Relationship Type="http://schemas.openxmlformats.org/officeDocument/2006/relationships/hyperlink" Target="https://rechtsbuch.ur.ch/app/de/texts_of_law/40.1111" TargetMode="External" Id="rId26"/><Relationship Type="http://schemas.openxmlformats.org/officeDocument/2006/relationships/hyperlink" Target="https://www.ur.ch/dienstleistungen/4297" TargetMode="External" Id="rId27"/><Relationship Type="http://schemas.openxmlformats.org/officeDocument/2006/relationships/hyperlink" Target="https://rechtsbuch.ur.ch/app/de/texts_of_law/1.1111" TargetMode="External" Id="rId28"/><Relationship Type="http://schemas.openxmlformats.org/officeDocument/2006/relationships/hyperlink" Target="https://rechtsbuch.ur.ch/app/de/texts_of_law/1.1101" TargetMode="External" Id="rId29"/><Relationship Type="http://schemas.openxmlformats.org/officeDocument/2006/relationships/hyperlink" Target="https://www.ur.ch/dienstleistungen/8444" TargetMode="External" Id="rId30"/><Relationship Type="http://schemas.openxmlformats.org/officeDocument/2006/relationships/hyperlink" Target="https://rechtsbuch.ur.ch/app/de/texts_of_law/3.3111" TargetMode="External" Id="rId31"/><Relationship Type="http://schemas.openxmlformats.org/officeDocument/2006/relationships/hyperlink" Target="https://rechtsbuch.ur.ch/app/de/texts_of_law/2.1201" TargetMode="External" Id="rId32"/><Relationship Type="http://schemas.openxmlformats.org/officeDocument/2006/relationships/hyperlink" Target="https://statistik.bl.ch/web_portal/18_5" TargetMode="External" Id="rId33"/><Relationship Type="http://schemas.openxmlformats.org/officeDocument/2006/relationships/hyperlink" Target="https://www.baselland.ch/politik-und-behorden/gemeinden/gemeindefinanzen/rechnungslegung-einwohnergemeinden/excel-vorlagen" TargetMode="External" Id="rId34"/><Relationship Type="http://schemas.openxmlformats.org/officeDocument/2006/relationships/hyperlink" Target="https://www.baselland.ch/politik-und-behorden/gemeinden/gemeindefinanzen" TargetMode="External" Id="rId35"/><Relationship Type="http://schemas.openxmlformats.org/officeDocument/2006/relationships/hyperlink" Target="https://www.baselland.ch/politik-und-behorden/direktionen/finanz-und-kirchendirektion/daten-statistik/abteilung-statistik/publikationen-und-statistiken/finanzen-und-steuern/webartikel-vom-18-09-2024-gemeindefinanzen-2023" TargetMode="External" Id="rId36"/><Relationship Type="http://schemas.openxmlformats.org/officeDocument/2006/relationships/hyperlink" Target="https://bl.clex.ch/app/de/texts_of_law/185" TargetMode="External" Id="rId37"/><Relationship Type="http://schemas.openxmlformats.org/officeDocument/2006/relationships/hyperlink" Target="https://geoview.bl.ch/" TargetMode="External" Id="rId38"/><Relationship Type="http://schemas.openxmlformats.org/officeDocument/2006/relationships/hyperlink" Target="https://bl.clex.ch/app/de/texts_of_law/400" TargetMode="External" Id="rId39"/><Relationship Type="http://schemas.openxmlformats.org/officeDocument/2006/relationships/hyperlink" Target="https://bl.clex.ch/app/de/texts_of_law/180" TargetMode="External" Id="rId40"/><Relationship Type="http://schemas.openxmlformats.org/officeDocument/2006/relationships/hyperlink" Target="https://www.baselland.ch/politik-und-behorden/direktionen/bau-und-umweltschutzdirektion/medienmitteilungen/ausgezeichnete-agglomeration-birsstadt-erhaelt-den-wakkerpreis" TargetMode="External" Id="rId41"/><Relationship Type="http://schemas.openxmlformats.org/officeDocument/2006/relationships/hyperlink" Target="https://www.baselland.ch/politik-und-behorden/gemeinden" TargetMode="External" Id="rId42"/><Relationship Type="http://schemas.openxmlformats.org/officeDocument/2006/relationships/hyperlink" Target="https://bl.clex.ch/app/de/texts_of_law/420.11" TargetMode="External" Id="rId43"/><Relationship Type="http://schemas.openxmlformats.org/officeDocument/2006/relationships/hyperlink" Target="https://bl.clex.ch/app/de/texts_of_law/120" TargetMode="External" Id="rId44"/><Relationship Type="http://schemas.openxmlformats.org/officeDocument/2006/relationships/hyperlink" Target="https://www.sg.ch/politik-verwaltung/gemeinden/gemeindefinanzen/rechnungslegung--rmsg-.html" TargetMode="External" Id="rId45"/><Relationship Type="http://schemas.openxmlformats.org/officeDocument/2006/relationships/hyperlink" Target="https://www.gesetzessammlung.sg.ch/app/de/texts_of_law/813.1" TargetMode="External" Id="rId46"/><Relationship Type="http://schemas.openxmlformats.org/officeDocument/2006/relationships/hyperlink" Target="https://www.gesetzessammlung.sg.ch/app/de/texts_of_law/151.53" TargetMode="External" Id="rId47"/><Relationship Type="http://schemas.openxmlformats.org/officeDocument/2006/relationships/hyperlink" Target="https://www.geoportal.ch/" TargetMode="External" Id="rId48"/><Relationship Type="http://schemas.openxmlformats.org/officeDocument/2006/relationships/hyperlink" Target="https://www.ratsinfo.sg.ch//media/documents/published/signed/8b158b37-2fff-4d5d-b018-ef035f08732e.pdf" TargetMode="External" Id="rId49"/><Relationship Type="http://schemas.openxmlformats.org/officeDocument/2006/relationships/hyperlink" Target="https://www.gesetzessammlung.sg.ch/app/de/texts_of_law/731.1" TargetMode="External" Id="rId50"/><Relationship Type="http://schemas.openxmlformats.org/officeDocument/2006/relationships/hyperlink" Target="https://www.gesetzessammlung.sg.ch/app/de/texts_of_law/151.2" TargetMode="External" Id="rId51"/><Relationship Type="http://schemas.openxmlformats.org/officeDocument/2006/relationships/hyperlink" Target="https://www.sg.ch/" TargetMode="External" Id="rId52"/><Relationship Type="http://schemas.openxmlformats.org/officeDocument/2006/relationships/hyperlink" Target="https://www.gesetzessammlung.sg.ch/app/de/texts_of_law/841.1" TargetMode="External" Id="rId53"/><Relationship Type="http://schemas.openxmlformats.org/officeDocument/2006/relationships/hyperlink" Target="https://www.sg.ch/recht/beschaffungswesen/neues_beschaffungsrecht_2023/" TargetMode="External" Id="rId54"/><Relationship Type="http://schemas.openxmlformats.org/officeDocument/2006/relationships/hyperlink" Target="https://www.gesetzessammlung.sg.ch/app/de/texts_of_law/125.1" TargetMode="External" Id="rId55"/><Relationship Type="http://schemas.openxmlformats.org/officeDocument/2006/relationships/hyperlink" Target="https://www.seelisberg.ch/politik/gemeindeversammlung" TargetMode="External" Id="rId56"/><Relationship Type="http://schemas.openxmlformats.org/officeDocument/2006/relationships/hyperlink" Target="https://www.seelisberg.ch/" TargetMode="External" Id="rId57"/><Relationship Type="http://schemas.openxmlformats.org/officeDocument/2006/relationships/hyperlink" Target="https://www.seelisberg.ch/files/pdf/Druckvorlage2_Original_Versammlung-Nov2025_Traktanden-und-Botschaften-gesamt.pdf" TargetMode="External" Id="rId58"/><Relationship Type="http://schemas.openxmlformats.org/officeDocument/2006/relationships/hyperlink" Target="https://www.seelisberg.ch/politik/gemeindeversammlung" TargetMode="External" Id="rId59"/><Relationship Type="http://schemas.openxmlformats.org/officeDocument/2006/relationships/hyperlink" Target="https://www.seelisberg.ch/files/pdf/JR2024_Gde-Seelisberg.pdf" TargetMode="External" Id="rId60"/><Relationship Type="http://schemas.openxmlformats.org/officeDocument/2006/relationships/hyperlink" Target="https://www.seelisberg.ch/politik/budget-rechnung" TargetMode="External" Id="rId61"/><Relationship Type="http://schemas.openxmlformats.org/officeDocument/2006/relationships/hyperlink" Target="https://www.seelisberg.ch/files/pdf/Jahresrechnung_Gde-Seelisberg_2023.pdf" TargetMode="External" Id="rId62"/><Relationship Type="http://schemas.openxmlformats.org/officeDocument/2006/relationships/hyperlink" Target="https://www.seelisberg.ch/politik/budget-rechnung" TargetMode="External" Id="rId63"/><Relationship Type="http://schemas.openxmlformats.org/officeDocument/2006/relationships/hyperlink" Target="https://www.seelisberg.ch/files/pdf/Budget-ER-2026_Gesamtauflage_ohne-Bemerkungen_%C3%B6ffentlich.pdf" TargetMode="External" Id="rId64"/><Relationship Type="http://schemas.openxmlformats.org/officeDocument/2006/relationships/hyperlink" Target="https://www.seelisberg.ch/politik/budget-rechnung" TargetMode="External" Id="rId65"/><Relationship Type="http://schemas.openxmlformats.org/officeDocument/2006/relationships/hyperlink" Target="https://www.seelisberg.ch/files/pdf/ERLUTE1.PDF" TargetMode="External" Id="rId66"/><Relationship Type="http://schemas.openxmlformats.org/officeDocument/2006/relationships/hyperlink" Target="https://www.seelisberg.ch/" TargetMode="External" Id="rId67"/><Relationship Type="http://schemas.openxmlformats.org/officeDocument/2006/relationships/hyperlink" Target="https://www.seelisberg.ch/files/pdf/Bau-und-Zonenordnung-Seelisberg.pdf" TargetMode="External" Id="rId68"/><Relationship Type="http://schemas.openxmlformats.org/officeDocument/2006/relationships/hyperlink" Target="https://www.seelisberg.ch/files/pdf/8_20221005_Bericht_Siedlungsleitbild_Genehmigungsexemplar.pdf" TargetMode="External" Id="rId69"/><Relationship Type="http://schemas.openxmlformats.org/officeDocument/2006/relationships/hyperlink" Target="https://www.seelisberg.ch/files/pdf/20230526_Erl%C3%A4uterungsbericht.pdf" TargetMode="External" Id="rId70"/><Relationship Type="http://schemas.openxmlformats.org/officeDocument/2006/relationships/hyperlink" Target="https://www.seelisberg.ch/politik/beh%C3%B6rden-kommissionen" TargetMode="External" Id="rId71"/><Relationship Type="http://schemas.openxmlformats.org/officeDocument/2006/relationships/hyperlink" Target="https://www.seelisberg.ch/files/pdf/Gemeindeordnung.pdf" TargetMode="External" Id="rId72"/><Relationship Type="http://schemas.openxmlformats.org/officeDocument/2006/relationships/hyperlink" Target="https://www.seelisberg.ch/politik/rechtssammlung" TargetMode="External" Id="rId73"/><Relationship Type="http://schemas.openxmlformats.org/officeDocument/2006/relationships/hyperlink" Target="https://www.seelisberg.ch/politik/beh%C3%B6rden-kommissionen" TargetMode="External" Id="rId74"/><Relationship Type="http://schemas.openxmlformats.org/officeDocument/2006/relationships/hyperlink" Target="https://www.seelisberg.ch/personal" TargetMode="External" Id="rId75"/><Relationship Type="http://schemas.openxmlformats.org/officeDocument/2006/relationships/hyperlink" Target="https://www.seelisberg.ch/files/pdf/Verordnung_%C3%BCber_das_Personal.pdf" TargetMode="External" Id="rId76"/><Relationship Type="http://schemas.openxmlformats.org/officeDocument/2006/relationships/hyperlink" Target="https://www.seelisberg.ch/politik/rechtssammlung" TargetMode="External" Id="rId77"/><Relationship Type="http://schemas.openxmlformats.org/officeDocument/2006/relationships/hyperlink" Target="https://www.seelisberg.ch/files/pdf/Verordnung_%C3%BCber_das_Verfahren_in_den_Beh%C3%B6rden.pdf" TargetMode="External" Id="rId78"/><Relationship Type="http://schemas.openxmlformats.org/officeDocument/2006/relationships/hyperlink" Target="https://www.seelisberg.ch/politik/rechtssammlung" TargetMode="External" Id="rId79"/><Relationship Type="http://schemas.openxmlformats.org/officeDocument/2006/relationships/hyperlink" Target="https://www.seelisberg.ch/politik/gemeindeversammlung" TargetMode="External" Id="rId80"/><Relationship Type="http://schemas.openxmlformats.org/officeDocument/2006/relationships/hyperlink" Target="https://www.seelisberg.ch/news/neues-leitbild-der-gemeinde-seelisberg" TargetMode="External" Id="rId81"/><Relationship Type="http://schemas.openxmlformats.org/officeDocument/2006/relationships/hyperlink" Target="https://www.seelisberg.ch/ueber-seelisberg/leitbild" TargetMode="External" Id="rId82"/><Relationship Type="http://schemas.openxmlformats.org/officeDocument/2006/relationships/hyperlink" Target="https://www.seelisberg.ch/files/pdf/Beschlussprotokoll_GV_24.11.2023.pdf" TargetMode="External" Id="rId83"/><Relationship Type="http://schemas.openxmlformats.org/officeDocument/2006/relationships/hyperlink" Target="https://www.seelisberg.ch/politik/gemeindeversammlung" TargetMode="External" Id="rId84"/><Relationship Type="http://schemas.openxmlformats.org/officeDocument/2006/relationships/hyperlink" Target="https://www.seelisberg.ch/files/pdf/Beschlussprotokoll_GV_28.11.2025.pdf" TargetMode="External" Id="rId85"/><Relationship Type="http://schemas.openxmlformats.org/officeDocument/2006/relationships/hyperlink" Target="https://www.seelisberg.ch/politik/gemeindeversammlung" TargetMode="External" Id="rId86"/><Relationship Type="http://schemas.openxmlformats.org/officeDocument/2006/relationships/hyperlink" Target="https://www.seelisberg.ch/files/pdf/Beschlussprotokoll-GV-Mai-2025.pdf" TargetMode="External" Id="rId87"/><Relationship Type="http://schemas.openxmlformats.org/officeDocument/2006/relationships/hyperlink" Target="https://www.seelisberg.ch/politik/gemeindeversammlung" TargetMode="External" Id="rId88"/><Relationship Type="http://schemas.openxmlformats.org/officeDocument/2006/relationships/hyperlink" Target="https://www.seelisberg.ch/files/pdf/ORIGINAL-Leitbild-Seelisberg-2025-f%C3%BCr-Webseite.pdf" TargetMode="External" Id="rId89"/><Relationship Type="http://schemas.openxmlformats.org/officeDocument/2006/relationships/hyperlink" Target="https://www.seelisberg.ch/ueber-seelisberg/leitbild" TargetMode="External" Id="rId90"/><Relationship Type="http://schemas.openxmlformats.org/officeDocument/2006/relationships/hyperlink" Target="https://www.seelisberg.ch/files/pdf/kommunale-Abstimmung-Seelisberg_260308.pdf" TargetMode="External" Id="rId91"/><Relationship Type="http://schemas.openxmlformats.org/officeDocument/2006/relationships/hyperlink" Target="https://www.seelisberg.ch/politik/abstimmungen-wahlen" TargetMode="External" Id="rId92"/><Relationship Type="http://schemas.openxmlformats.org/officeDocument/2006/relationships/hyperlink" Target="https://www.seelisberg.ch/files/pdf/Verordnung_%C3%BCber_das_Verfahren_an_der_Gemeindeversammlung.pdf" TargetMode="External" Id="rId93"/><Relationship Type="http://schemas.openxmlformats.org/officeDocument/2006/relationships/hyperlink" Target="https://www.seelisberg.ch/politik/rechtssammlung" TargetMode="External" Id="rId94"/><Relationship Type="http://schemas.openxmlformats.org/officeDocument/2006/relationships/hyperlink" Target="https://www.muenchenstein.ch/publikationen/523378" TargetMode="External" Id="rId95"/><Relationship Type="http://schemas.openxmlformats.org/officeDocument/2006/relationships/hyperlink" Target="https://www.muenchenstein.ch/publikationen/621658" TargetMode="External" Id="rId96"/><Relationship Type="http://schemas.openxmlformats.org/officeDocument/2006/relationships/hyperlink" Target="https://www.muenchenstein.ch/publikationen/556069" TargetMode="External" Id="rId97"/><Relationship Type="http://schemas.openxmlformats.org/officeDocument/2006/relationships/hyperlink" Target="https://www.muenchenstein.ch/publikationen/523381" TargetMode="External" Id="rId98"/><Relationship Type="http://schemas.openxmlformats.org/officeDocument/2006/relationships/hyperlink" Target="https://www.muenchenstein.ch/sitzung/5729137" TargetMode="External" Id="rId99"/><Relationship Type="http://schemas.openxmlformats.org/officeDocument/2006/relationships/hyperlink" Target="https://www.muenchenstein.ch/_docn/4130681/Bericht_Aufgaben__Finanzplan_2023-2027_publiziert.pdf" TargetMode="External" Id="rId100"/><Relationship Type="http://schemas.openxmlformats.org/officeDocument/2006/relationships/hyperlink" Target="https://www.muenchenstein.ch/_docn/1059619/2015.03.16_Ratschlag_Homepage.pdf" TargetMode="External" Id="rId101"/><Relationship Type="http://schemas.openxmlformats.org/officeDocument/2006/relationships/hyperlink" Target="https://www.muenchenstein.ch/_docn/1199675/Zonenreglement_Siedlung.pdf" TargetMode="External" Id="rId102"/><Relationship Type="http://schemas.openxmlformats.org/officeDocument/2006/relationships/hyperlink" Target="https://www.muenchenstein.ch/reglemente/10743" TargetMode="External" Id="rId103"/><Relationship Type="http://schemas.openxmlformats.org/officeDocument/2006/relationships/hyperlink" Target="https://www.muenchenstein.ch/_docn/1591897/2018.03.12_Ratschlag_GzD.pdf" TargetMode="External" Id="rId104"/><Relationship Type="http://schemas.openxmlformats.org/officeDocument/2006/relationships/hyperlink" Target="https://www.muenchenstein.ch/_docn/2430218/20180713_Gemeindeordnung_Stand_01.01.2013_publiziert_sw.pdf" TargetMode="External" Id="rId105"/><Relationship Type="http://schemas.openxmlformats.org/officeDocument/2006/relationships/hyperlink" Target="https://www.muenchenstein.ch/reglemente/7140" TargetMode="External" Id="rId106"/><Relationship Type="http://schemas.openxmlformats.org/officeDocument/2006/relationships/hyperlink" Target="https://www.muenchenstein.ch/_docn/6998503/Ratschlag_Gemeindeversammlung_Montag,_15._Juni_2026.pdf" TargetMode="External" Id="rId107"/><Relationship Type="http://schemas.openxmlformats.org/officeDocument/2006/relationships/hyperlink" Target="https://www.muenchenstein.ch/organisationuorganigramm" TargetMode="External" Id="rId108"/><Relationship Type="http://schemas.openxmlformats.org/officeDocument/2006/relationships/hyperlink" Target="https://www.muenchenstein.ch/_docn/3794018/Bereinigtes_Personalreglement_Genehmigungsfassung_per_23._Juni_2022.pdf" TargetMode="External" Id="rId109"/><Relationship Type="http://schemas.openxmlformats.org/officeDocument/2006/relationships/hyperlink" Target="https://www.muenchenstein.ch/reglemente/402889" TargetMode="External" Id="rId110"/><Relationship Type="http://schemas.openxmlformats.org/officeDocument/2006/relationships/hyperlink" Target="https://www.muenchenstein.ch/reglemente/7208" TargetMode="External" Id="rId111"/><Relationship Type="http://schemas.openxmlformats.org/officeDocument/2006/relationships/hyperlink" Target="https://www.muenchenstein.ch/legislaturziele" TargetMode="External" Id="rId112"/><Relationship Type="http://schemas.openxmlformats.org/officeDocument/2006/relationships/hyperlink" Target="https://www.muenchenstein.ch/_docn/5478214/Protokoll_Gemeindeversammlung_13._Juni_2024_definitiv.pdf" TargetMode="External" Id="rId113"/><Relationship Type="http://schemas.openxmlformats.org/officeDocument/2006/relationships/hyperlink" Target="https://www.muenchenstein.ch/politikinformationen/2666993" TargetMode="External" Id="rId114"/><Relationship Type="http://schemas.openxmlformats.org/officeDocument/2006/relationships/hyperlink" Target="https://www.muenchenstein.ch/_docn/2359339/43037_Ber05_Mitwirkungsbericht_VerabschiedungGR_Unterschrieben_20190924_korr.pdf" TargetMode="External" Id="rId115"/><Relationship Type="http://schemas.openxmlformats.org/officeDocument/2006/relationships/hyperlink" Target="https://www.muenchenstein.ch/behoerden/2838" TargetMode="External" Id="rId116"/><Relationship Type="http://schemas.openxmlformats.org/officeDocument/2006/relationships/hyperlink" Target="https://www.stadtwil.ch/topics/stadt-politik-und-recht/finanzen" TargetMode="External" Id="rId117"/><Relationship Type="http://schemas.openxmlformats.org/officeDocument/2006/relationships/hyperlink" Target="https://www.stadtwil.ch/political-business/28da2d58a16b4b85b0504eeaa7e396dc" TargetMode="External" Id="rId118"/><Relationship Type="http://schemas.openxmlformats.org/officeDocument/2006/relationships/hyperlink" Target="https://www.stadtwil.ch/storage/46c11db85e782dc122cd9a61cc291529509f659681277125f8b019bce5a31b9c" TargetMode="External" Id="rId119"/><Relationship Type="http://schemas.openxmlformats.org/officeDocument/2006/relationships/hyperlink" Target="https://www.stadtwil.ch/topics/stadt-politik-und-recht/finanzen" TargetMode="External" Id="rId120"/><Relationship Type="http://schemas.openxmlformats.org/officeDocument/2006/relationships/hyperlink" Target="https://www.stadtwil.ch/storage/0f0d7ad95464bf91a72506e63d2aae1d5c18327f9bff4bf34b8400c36999b277" TargetMode="External" Id="rId121"/><Relationship Type="http://schemas.openxmlformats.org/officeDocument/2006/relationships/hyperlink" Target="https://www.stadtwil.ch/topics/stadt-politik-und-recht/finanzen" TargetMode="External" Id="rId122"/><Relationship Type="http://schemas.openxmlformats.org/officeDocument/2006/relationships/hyperlink" Target="https://www.stadtwil.ch/storage/08902ff399818ccc0d53949607b2d0f6f8bf702c334e295d493c2fd842ba4079" TargetMode="External" Id="rId123"/><Relationship Type="http://schemas.openxmlformats.org/officeDocument/2006/relationships/hyperlink" Target="https://www.stadtwil.ch/storage/875d422378d72386aae96efa76356fbfa05e9a0e1e03f208fbbe599dea21021c" TargetMode="External" Id="rId124"/><Relationship Type="http://schemas.openxmlformats.org/officeDocument/2006/relationships/hyperlink" Target="https://www.stadtwil.ch/topics/stadt-politik-und-recht/finanzen" TargetMode="External" Id="rId125"/><Relationship Type="http://schemas.openxmlformats.org/officeDocument/2006/relationships/hyperlink" Target="https://www.stadtwil.ch/storage/c6097b5ae815fb81f14b4db7630b14d9452e3be1ae3cbddd9f8e28d9d0777c7f" TargetMode="External" Id="rId126"/><Relationship Type="http://schemas.openxmlformats.org/officeDocument/2006/relationships/hyperlink" Target="https://www.stadtwil.ch/topics/stadt-politik-und-recht/finanzen" TargetMode="External" Id="rId127"/><Relationship Type="http://schemas.openxmlformats.org/officeDocument/2006/relationships/hyperlink" Target="https://www.stadtwil.ch/storage/2ecd9e697734cc2262543c9da23828c2b6ad0129cf1654fcfa47f21ba113bf8a" TargetMode="External" Id="rId128"/><Relationship Type="http://schemas.openxmlformats.org/officeDocument/2006/relationships/hyperlink" Target="https://www.stadtwil.ch/topics/stadt-politik-und-recht/finanzen" TargetMode="External" Id="rId129"/><Relationship Type="http://schemas.openxmlformats.org/officeDocument/2006/relationships/hyperlink" Target="https://www.stadtwil.ch/storage/9bf65acd52bfa75c91cc42760759e0ffc3a76d501e7d174c010444c290801cc2" TargetMode="External" Id="rId130"/><Relationship Type="http://schemas.openxmlformats.org/officeDocument/2006/relationships/hyperlink" Target="https://www.stadtwil.ch/storage/86c954451190b5683f4cea602b5746ce096ff6338c9f35fbea68172b58f684d1" TargetMode="External" Id="rId131"/><Relationship Type="http://schemas.openxmlformats.org/officeDocument/2006/relationships/hyperlink" Target="https://www.stadtwil.ch/topics/stadt-politik-und-recht/finanzen" TargetMode="External" Id="rId132"/><Relationship Type="http://schemas.openxmlformats.org/officeDocument/2006/relationships/hyperlink" Target="https://www.stadtwil.ch/storage/c7e05a885ee1a6860975358848101c3f21fe558650ccfc5ba12339d34d3232e9" TargetMode="External" Id="rId133"/><Relationship Type="http://schemas.openxmlformats.org/officeDocument/2006/relationships/hyperlink" Target="https://www.stadtwil.ch/topics/stadt-politik-und-recht/finanzen" TargetMode="External" Id="rId134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nachtrag-iv-zur-gemeindeordnung" TargetMode="External" Id="rId135"/><Relationship Type="http://schemas.openxmlformats.org/officeDocument/2006/relationships/hyperlink" Target="https://www.stadtwil.ch/topics/stadt-politik-und-recht/abstimmungen-und-wahlen/vorlagen/kommunale-vorlagen/22-11-2024-nachtrag-iv-zur-gemeindeordnung" TargetMode="External" Id="rId136"/><Relationship Type="http://schemas.openxmlformats.org/officeDocument/2006/relationships/hyperlink" Target="https://www.stadtwil.ch/storage/1e396670eed23bbd41611d92ceaa476797bc97e16fde09c29197453c3b3bc320" TargetMode="External" Id="rId137"/><Relationship Type="http://schemas.openxmlformats.org/officeDocument/2006/relationships/hyperlink" Target="https://www.stadtwil.ch/topics/stadt-politik-und-recht/rechtssammlung-1" TargetMode="External" Id="rId138"/><Relationship Type="http://schemas.openxmlformats.org/officeDocument/2006/relationships/hyperlink" Target="https://www.are.admin.ch/dam/de/sd-web/1LGAXN34JMxU/Pr%C3%BCfbericht%20Wil4G.pdf" TargetMode="External" Id="rId139"/><Relationship Type="http://schemas.openxmlformats.org/officeDocument/2006/relationships/hyperlink" Target="https://www.sg.ch/content/dam/sgch/bauen/raumentwicklung/agglomerationsprogramme/Wil%20Flyer%205G.pdf" TargetMode="External" Id="rId140"/><Relationship Type="http://schemas.openxmlformats.org/officeDocument/2006/relationships/hyperlink" Target="https://www.stadtwil.ch/storage/ee8bae2cd080dda0bc77e69f99046109dc3e161b3498b17df7581cfe441bc612" TargetMode="External" Id="rId141"/><Relationship Type="http://schemas.openxmlformats.org/officeDocument/2006/relationships/hyperlink" Target="https://www.stadtwil.ch/topics/stadt-politik-und-recht/geschaeftsberichte" TargetMode="External" Id="rId142"/><Relationship Type="http://schemas.openxmlformats.org/officeDocument/2006/relationships/hyperlink" Target="https://www.stadtwil.ch/storage/55dcd744fbd978ce5601e42dc48a7b53cdfe1082b7fecb9c647e6dadc8abf9c7" TargetMode="External" Id="rId143"/><Relationship Type="http://schemas.openxmlformats.org/officeDocument/2006/relationships/hyperlink" Target="https://www.stadtwil.ch/storage/533b0557b4e4988a6a4f9af13c0b789fec39837eef83d1e66cd1d3814dbe0acb" TargetMode="External" Id="rId144"/><Relationship Type="http://schemas.openxmlformats.org/officeDocument/2006/relationships/hyperlink" Target="https://www.stadtwil.ch/storage/5d895f1e33cc1b2c352d7bdeb9d93dd5b2333fbff6a1793cd419f387dd4e1e28" TargetMode="External" Id="rId145"/><Relationship Type="http://schemas.openxmlformats.org/officeDocument/2006/relationships/table" Target="/xl/tables/table1.xml" Id="rId14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" TargetMode="External" Id="rId2"/><Relationship Type="http://schemas.openxmlformats.org/officeDocument/2006/relationships/hyperlink" Target="https://www.efv.admin.ch/de/was-ist-die-finanzstatistik" TargetMode="External" Id="rId3"/><Relationship Type="http://schemas.openxmlformats.org/officeDocument/2006/relationships/hyperlink" Target="https://www.efv.admin.ch/de/methoden-finanzstatistik" TargetMode="External" Id="rId4"/><Relationship Type="http://schemas.openxmlformats.org/officeDocument/2006/relationships/hyperlink" Target="https://www.efv.admin.ch/de/finanzstatistik-daten" TargetMode="External" Id="rId5"/><Relationship Type="http://schemas.openxmlformats.org/officeDocument/2006/relationships/hyperlink" Target="https://opendata.swiss/en/dataset/detaillierte-daten-fs-und-gfs-modell-standardauswertungen" TargetMode="External" Id="rId6"/><Relationship Type="http://schemas.openxmlformats.org/officeDocument/2006/relationships/hyperlink" Target="https://www.fedlex.admin.ch/eli/cc/24/233_245_233/de" TargetMode="External" Id="rId7"/><Relationship Type="http://schemas.openxmlformats.org/officeDocument/2006/relationships/hyperlink" Target="https://www.fedlex.admin.ch/eli/cc/1979/1573_1573_1573/de" TargetMode="External" Id="rId8"/><Relationship Type="http://schemas.openxmlformats.org/officeDocument/2006/relationships/hyperlink" Target="https://www.fedlex.admin.ch/eli/cc/1999/404/de" TargetMode="External" Id="rId9"/><Relationship Type="http://schemas.openxmlformats.org/officeDocument/2006/relationships/hyperlink" Target="https://www.fedlex.admin.ch/eli/cc/2020/126/de" TargetMode="External" Id="rId10"/><Relationship Type="http://schemas.openxmlformats.org/officeDocument/2006/relationships/hyperlink" Target="https://ckan.opendata.swiss/dataset/regionalportrats-2021-kennzahlen-aller-gemeinden" TargetMode="External" Id="rId11"/><Relationship Type="http://schemas.openxmlformats.org/officeDocument/2006/relationships/hyperlink" Target="https://www.fedlex.admin.ch/eli/cc/1999/404/de" TargetMode="External" Id="rId12"/><Relationship Type="http://schemas.openxmlformats.org/officeDocument/2006/relationships/hyperlink" Target="https://www.ur.ch/publikationen/6680" TargetMode="External" Id="rId13"/><Relationship Type="http://schemas.openxmlformats.org/officeDocument/2006/relationships/hyperlink" Target="https://www.ur.ch/finanzen/1588" TargetMode="External" Id="rId14"/><Relationship Type="http://schemas.openxmlformats.org/officeDocument/2006/relationships/hyperlink" Target="https://www.ur.ch/_doc/451636" TargetMode="External" Id="rId15"/><Relationship Type="http://schemas.openxmlformats.org/officeDocument/2006/relationships/hyperlink" Target="https://www.ur.ch/publikationen/6680" TargetMode="External" Id="rId16"/><Relationship Type="http://schemas.openxmlformats.org/officeDocument/2006/relationships/hyperlink" Target="https://www.ur.ch/_docn/451636/Gemeindekennzahlen_2025_signiert.pdf" TargetMode="External" Id="rId17"/><Relationship Type="http://schemas.openxmlformats.org/officeDocument/2006/relationships/hyperlink" Target="https://www.ur.ch/_doc/420775" TargetMode="External" Id="rId18"/><Relationship Type="http://schemas.openxmlformats.org/officeDocument/2006/relationships/hyperlink" Target="https://www.ur.ch/publikationen/6680" TargetMode="External" Id="rId19"/><Relationship Type="http://schemas.openxmlformats.org/officeDocument/2006/relationships/hyperlink" Target="https://www.ur.ch/_docn/420775/Gemeindekennzahlen_2024_signiert.pdf" TargetMode="External" Id="rId20"/><Relationship Type="http://schemas.openxmlformats.org/officeDocument/2006/relationships/hyperlink" Target="https://rechtsbuch.ur.ch/api/de/versions/776/pdf_file" TargetMode="External" Id="rId21"/><Relationship Type="http://schemas.openxmlformats.org/officeDocument/2006/relationships/hyperlink" Target="https://www.ur.ch/dienstleistungen/3150" TargetMode="External" Id="rId22"/><Relationship Type="http://schemas.openxmlformats.org/officeDocument/2006/relationships/hyperlink" Target="https://rechtsbuch.ur.ch/app/de/texts_of_law/3.2131" TargetMode="External" Id="rId23"/><Relationship Type="http://schemas.openxmlformats.org/officeDocument/2006/relationships/hyperlink" Target="https://www.ur.ch/_docn/426685/Berechnung_FiLa_2025.pdf" TargetMode="External" Id="rId24"/><Relationship Type="http://schemas.openxmlformats.org/officeDocument/2006/relationships/hyperlink" Target="https://geo.ur.ch/" TargetMode="External" Id="rId25"/><Relationship Type="http://schemas.openxmlformats.org/officeDocument/2006/relationships/hyperlink" Target="https://rechtsbuch.ur.ch/app/de/texts_of_law/40.1111" TargetMode="External" Id="rId26"/><Relationship Type="http://schemas.openxmlformats.org/officeDocument/2006/relationships/hyperlink" Target="https://www.ur.ch/dienstleistungen/4297" TargetMode="External" Id="rId27"/><Relationship Type="http://schemas.openxmlformats.org/officeDocument/2006/relationships/hyperlink" Target="https://rechtsbuch.ur.ch/app/de/texts_of_law/1.1111" TargetMode="External" Id="rId28"/><Relationship Type="http://schemas.openxmlformats.org/officeDocument/2006/relationships/hyperlink" Target="https://rechtsbuch.ur.ch/app/de/texts_of_law/1.1101" TargetMode="External" Id="rId29"/><Relationship Type="http://schemas.openxmlformats.org/officeDocument/2006/relationships/hyperlink" Target="https://www.ur.ch/dienstleistungen/8444" TargetMode="External" Id="rId30"/><Relationship Type="http://schemas.openxmlformats.org/officeDocument/2006/relationships/hyperlink" Target="https://rechtsbuch.ur.ch/app/de/texts_of_law/3.3111" TargetMode="External" Id="rId31"/><Relationship Type="http://schemas.openxmlformats.org/officeDocument/2006/relationships/hyperlink" Target="https://rechtsbuch.ur.ch/app/de/texts_of_law/2.1201" TargetMode="External" Id="rId32"/><Relationship Type="http://schemas.openxmlformats.org/officeDocument/2006/relationships/hyperlink" Target="https://www.seelisberg.ch/politik/gemeindeversammlung" TargetMode="External" Id="rId33"/><Relationship Type="http://schemas.openxmlformats.org/officeDocument/2006/relationships/hyperlink" Target="https://www.seelisberg.ch/" TargetMode="External" Id="rId34"/><Relationship Type="http://schemas.openxmlformats.org/officeDocument/2006/relationships/hyperlink" Target="https://www.seelisberg.ch/files/pdf/Druckvorlage2_Original_Versammlung-Nov2025_Traktanden-und-Botschaften-gesamt.pdf" TargetMode="External" Id="rId35"/><Relationship Type="http://schemas.openxmlformats.org/officeDocument/2006/relationships/hyperlink" Target="https://www.seelisberg.ch/politik/gemeindeversammlung" TargetMode="External" Id="rId36"/><Relationship Type="http://schemas.openxmlformats.org/officeDocument/2006/relationships/hyperlink" Target="https://www.seelisberg.ch/files/pdf/JR2024_Gde-Seelisberg.pdf" TargetMode="External" Id="rId37"/><Relationship Type="http://schemas.openxmlformats.org/officeDocument/2006/relationships/hyperlink" Target="https://www.seelisberg.ch/politik/budget-rechnung" TargetMode="External" Id="rId38"/><Relationship Type="http://schemas.openxmlformats.org/officeDocument/2006/relationships/hyperlink" Target="https://www.seelisberg.ch/files/pdf/Jahresrechnung_Gde-Seelisberg_2023.pdf" TargetMode="External" Id="rId39"/><Relationship Type="http://schemas.openxmlformats.org/officeDocument/2006/relationships/hyperlink" Target="https://www.seelisberg.ch/politik/budget-rechnung" TargetMode="External" Id="rId40"/><Relationship Type="http://schemas.openxmlformats.org/officeDocument/2006/relationships/hyperlink" Target="https://www.seelisberg.ch/files/pdf/Budget-ER-2026_Gesamtauflage_ohne-Bemerkungen_%C3%B6ffentlich.pdf" TargetMode="External" Id="rId41"/><Relationship Type="http://schemas.openxmlformats.org/officeDocument/2006/relationships/hyperlink" Target="https://www.seelisberg.ch/politik/budget-rechnung" TargetMode="External" Id="rId42"/><Relationship Type="http://schemas.openxmlformats.org/officeDocument/2006/relationships/hyperlink" Target="https://www.seelisberg.ch/files/pdf/ERLUTE1.PDF" TargetMode="External" Id="rId43"/><Relationship Type="http://schemas.openxmlformats.org/officeDocument/2006/relationships/hyperlink" Target="https://www.seelisberg.ch/" TargetMode="External" Id="rId44"/><Relationship Type="http://schemas.openxmlformats.org/officeDocument/2006/relationships/hyperlink" Target="https://www.seelisberg.ch/files/pdf/Bau-und-Zonenordnung-Seelisberg.pdf" TargetMode="External" Id="rId45"/><Relationship Type="http://schemas.openxmlformats.org/officeDocument/2006/relationships/hyperlink" Target="https://www.seelisberg.ch/files/pdf/8_20221005_Bericht_Siedlungsleitbild_Genehmigungsexemplar.pdf" TargetMode="External" Id="rId46"/><Relationship Type="http://schemas.openxmlformats.org/officeDocument/2006/relationships/hyperlink" Target="https://www.seelisberg.ch/files/pdf/20230526_Erl%C3%A4uterungsbericht.pdf" TargetMode="External" Id="rId47"/><Relationship Type="http://schemas.openxmlformats.org/officeDocument/2006/relationships/hyperlink" Target="https://www.seelisberg.ch/politik/beh%C3%B6rden-kommissionen" TargetMode="External" Id="rId48"/><Relationship Type="http://schemas.openxmlformats.org/officeDocument/2006/relationships/hyperlink" Target="https://www.seelisberg.ch/files/pdf/Gemeindeordnung.pdf" TargetMode="External" Id="rId49"/><Relationship Type="http://schemas.openxmlformats.org/officeDocument/2006/relationships/hyperlink" Target="https://www.seelisberg.ch/politik/rechtssammlung" TargetMode="External" Id="rId50"/><Relationship Type="http://schemas.openxmlformats.org/officeDocument/2006/relationships/hyperlink" Target="https://www.seelisberg.ch/politik/beh%C3%B6rden-kommissionen" TargetMode="External" Id="rId51"/><Relationship Type="http://schemas.openxmlformats.org/officeDocument/2006/relationships/hyperlink" Target="https://www.seelisberg.ch/personal" TargetMode="External" Id="rId52"/><Relationship Type="http://schemas.openxmlformats.org/officeDocument/2006/relationships/hyperlink" Target="https://www.seelisberg.ch/files/pdf/Verordnung_%C3%BCber_das_Personal.pdf" TargetMode="External" Id="rId53"/><Relationship Type="http://schemas.openxmlformats.org/officeDocument/2006/relationships/hyperlink" Target="https://www.seelisberg.ch/politik/rechtssammlung" TargetMode="External" Id="rId54"/><Relationship Type="http://schemas.openxmlformats.org/officeDocument/2006/relationships/hyperlink" Target="https://www.seelisberg.ch/files/pdf/Verordnung_%C3%BCber_das_Verfahren_in_den_Beh%C3%B6rden.pdf" TargetMode="External" Id="rId55"/><Relationship Type="http://schemas.openxmlformats.org/officeDocument/2006/relationships/hyperlink" Target="https://www.seelisberg.ch/politik/rechtssammlung" TargetMode="External" Id="rId56"/><Relationship Type="http://schemas.openxmlformats.org/officeDocument/2006/relationships/hyperlink" Target="https://www.seelisberg.ch/politik/gemeindeversammlung" TargetMode="External" Id="rId57"/><Relationship Type="http://schemas.openxmlformats.org/officeDocument/2006/relationships/hyperlink" Target="https://www.seelisberg.ch/news/neues-leitbild-der-gemeinde-seelisberg" TargetMode="External" Id="rId58"/><Relationship Type="http://schemas.openxmlformats.org/officeDocument/2006/relationships/hyperlink" Target="https://www.seelisberg.ch/ueber-seelisberg/leitbild" TargetMode="External" Id="rId59"/><Relationship Type="http://schemas.openxmlformats.org/officeDocument/2006/relationships/hyperlink" Target="https://www.seelisberg.ch/files/pdf/Beschlussprotokoll_GV_24.11.2023.pdf" TargetMode="External" Id="rId60"/><Relationship Type="http://schemas.openxmlformats.org/officeDocument/2006/relationships/hyperlink" Target="https://www.seelisberg.ch/politik/gemeindeversammlung" TargetMode="External" Id="rId61"/><Relationship Type="http://schemas.openxmlformats.org/officeDocument/2006/relationships/hyperlink" Target="https://www.seelisberg.ch/files/pdf/Beschlussprotokoll_GV_28.11.2025.pdf" TargetMode="External" Id="rId62"/><Relationship Type="http://schemas.openxmlformats.org/officeDocument/2006/relationships/hyperlink" Target="https://www.seelisberg.ch/politik/gemeindeversammlung" TargetMode="External" Id="rId63"/><Relationship Type="http://schemas.openxmlformats.org/officeDocument/2006/relationships/hyperlink" Target="https://www.seelisberg.ch/files/pdf/Beschlussprotokoll-GV-Mai-2025.pdf" TargetMode="External" Id="rId64"/><Relationship Type="http://schemas.openxmlformats.org/officeDocument/2006/relationships/hyperlink" Target="https://www.seelisberg.ch/politik/gemeindeversammlung" TargetMode="External" Id="rId65"/><Relationship Type="http://schemas.openxmlformats.org/officeDocument/2006/relationships/hyperlink" Target="https://www.seelisberg.ch/files/pdf/ORIGINAL-Leitbild-Seelisberg-2025-f%C3%BCr-Webseite.pdf" TargetMode="External" Id="rId66"/><Relationship Type="http://schemas.openxmlformats.org/officeDocument/2006/relationships/hyperlink" Target="https://www.seelisberg.ch/ueber-seelisberg/leitbild" TargetMode="External" Id="rId67"/><Relationship Type="http://schemas.openxmlformats.org/officeDocument/2006/relationships/hyperlink" Target="https://www.seelisberg.ch/files/pdf/kommunale-Abstimmung-Seelisberg_260308.pdf" TargetMode="External" Id="rId68"/><Relationship Type="http://schemas.openxmlformats.org/officeDocument/2006/relationships/hyperlink" Target="https://www.seelisberg.ch/politik/abstimmungen-wahlen" TargetMode="External" Id="rId69"/><Relationship Type="http://schemas.openxmlformats.org/officeDocument/2006/relationships/hyperlink" Target="https://www.seelisberg.ch/files/pdf/Verordnung_%C3%BCber_das_Verfahren_an_der_Gemeindeversammlung.pdf" TargetMode="External" Id="rId70"/><Relationship Type="http://schemas.openxmlformats.org/officeDocument/2006/relationships/hyperlink" Target="https://www.seelisberg.ch/politik/rechtssammlung" TargetMode="External" Id="rId71"/><Relationship Type="http://schemas.openxmlformats.org/officeDocument/2006/relationships/table" Target="/xl/tables/table2.xml" Id="rId7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" TargetMode="External" Id="rId2"/><Relationship Type="http://schemas.openxmlformats.org/officeDocument/2006/relationships/hyperlink" Target="https://www.efv.admin.ch/de/was-ist-die-finanzstatistik" TargetMode="External" Id="rId3"/><Relationship Type="http://schemas.openxmlformats.org/officeDocument/2006/relationships/hyperlink" Target="https://www.efv.admin.ch/de/methoden-finanzstatistik" TargetMode="External" Id="rId4"/><Relationship Type="http://schemas.openxmlformats.org/officeDocument/2006/relationships/hyperlink" Target="https://www.efv.admin.ch/de/finanzstatistik-daten" TargetMode="External" Id="rId5"/><Relationship Type="http://schemas.openxmlformats.org/officeDocument/2006/relationships/hyperlink" Target="https://opendata.swiss/en/dataset/detaillierte-daten-fs-und-gfs-modell-standardauswertungen" TargetMode="External" Id="rId6"/><Relationship Type="http://schemas.openxmlformats.org/officeDocument/2006/relationships/hyperlink" Target="https://www.fedlex.admin.ch/eli/cc/24/233_245_233/de" TargetMode="External" Id="rId7"/><Relationship Type="http://schemas.openxmlformats.org/officeDocument/2006/relationships/hyperlink" Target="https://www.fedlex.admin.ch/eli/cc/1979/1573_1573_1573/de" TargetMode="External" Id="rId8"/><Relationship Type="http://schemas.openxmlformats.org/officeDocument/2006/relationships/hyperlink" Target="https://www.fedlex.admin.ch/eli/cc/1999/404/de" TargetMode="External" Id="rId9"/><Relationship Type="http://schemas.openxmlformats.org/officeDocument/2006/relationships/hyperlink" Target="https://www.fedlex.admin.ch/eli/cc/2020/126/de" TargetMode="External" Id="rId10"/><Relationship Type="http://schemas.openxmlformats.org/officeDocument/2006/relationships/hyperlink" Target="https://ckan.opendata.swiss/dataset/regionalportrats-2021-kennzahlen-aller-gemeinden" TargetMode="External" Id="rId11"/><Relationship Type="http://schemas.openxmlformats.org/officeDocument/2006/relationships/hyperlink" Target="https://www.fedlex.admin.ch/eli/cc/1999/404/de" TargetMode="External" Id="rId12"/><Relationship Type="http://schemas.openxmlformats.org/officeDocument/2006/relationships/hyperlink" Target="https://statistik.bl.ch/web_portal/18_5" TargetMode="External" Id="rId13"/><Relationship Type="http://schemas.openxmlformats.org/officeDocument/2006/relationships/hyperlink" Target="https://www.baselland.ch/politik-und-behorden/gemeinden/gemeindefinanzen/rechnungslegung-einwohnergemeinden/excel-vorlagen" TargetMode="External" Id="rId14"/><Relationship Type="http://schemas.openxmlformats.org/officeDocument/2006/relationships/hyperlink" Target="https://www.baselland.ch/politik-und-behorden/gemeinden/gemeindefinanzen" TargetMode="External" Id="rId15"/><Relationship Type="http://schemas.openxmlformats.org/officeDocument/2006/relationships/hyperlink" Target="https://www.baselland.ch/politik-und-behorden/direktionen/finanz-und-kirchendirektion/daten-statistik/abteilung-statistik/publikationen-und-statistiken/finanzen-und-steuern/webartikel-vom-18-09-2024-gemeindefinanzen-2023" TargetMode="External" Id="rId16"/><Relationship Type="http://schemas.openxmlformats.org/officeDocument/2006/relationships/hyperlink" Target="https://bl.clex.ch/app/de/texts_of_law/185" TargetMode="External" Id="rId17"/><Relationship Type="http://schemas.openxmlformats.org/officeDocument/2006/relationships/hyperlink" Target="https://geoview.bl.ch/" TargetMode="External" Id="rId18"/><Relationship Type="http://schemas.openxmlformats.org/officeDocument/2006/relationships/hyperlink" Target="https://bl.clex.ch/app/de/texts_of_law/400" TargetMode="External" Id="rId19"/><Relationship Type="http://schemas.openxmlformats.org/officeDocument/2006/relationships/hyperlink" Target="https://bl.clex.ch/app/de/texts_of_law/180" TargetMode="External" Id="rId20"/><Relationship Type="http://schemas.openxmlformats.org/officeDocument/2006/relationships/hyperlink" Target="https://www.baselland.ch/politik-und-behorden/direktionen/bau-und-umweltschutzdirektion/medienmitteilungen/ausgezeichnete-agglomeration-birsstadt-erhaelt-den-wakkerpreis" TargetMode="External" Id="rId21"/><Relationship Type="http://schemas.openxmlformats.org/officeDocument/2006/relationships/hyperlink" Target="https://www.baselland.ch/politik-und-behorden/gemeinden" TargetMode="External" Id="rId22"/><Relationship Type="http://schemas.openxmlformats.org/officeDocument/2006/relationships/hyperlink" Target="https://bl.clex.ch/app/de/texts_of_law/420.11" TargetMode="External" Id="rId23"/><Relationship Type="http://schemas.openxmlformats.org/officeDocument/2006/relationships/hyperlink" Target="https://bl.clex.ch/app/de/texts_of_law/120" TargetMode="External" Id="rId24"/><Relationship Type="http://schemas.openxmlformats.org/officeDocument/2006/relationships/hyperlink" Target="https://www.muenchenstein.ch/publikationen/523378" TargetMode="External" Id="rId25"/><Relationship Type="http://schemas.openxmlformats.org/officeDocument/2006/relationships/hyperlink" Target="https://www.muenchenstein.ch/publikationen/621658" TargetMode="External" Id="rId26"/><Relationship Type="http://schemas.openxmlformats.org/officeDocument/2006/relationships/hyperlink" Target="https://www.muenchenstein.ch/publikationen/556069" TargetMode="External" Id="rId27"/><Relationship Type="http://schemas.openxmlformats.org/officeDocument/2006/relationships/hyperlink" Target="https://www.muenchenstein.ch/publikationen/523381" TargetMode="External" Id="rId28"/><Relationship Type="http://schemas.openxmlformats.org/officeDocument/2006/relationships/hyperlink" Target="https://www.muenchenstein.ch/sitzung/5729137" TargetMode="External" Id="rId29"/><Relationship Type="http://schemas.openxmlformats.org/officeDocument/2006/relationships/hyperlink" Target="https://www.muenchenstein.ch/_docn/4130681/Bericht_Aufgaben__Finanzplan_2023-2027_publiziert.pdf" TargetMode="External" Id="rId30"/><Relationship Type="http://schemas.openxmlformats.org/officeDocument/2006/relationships/hyperlink" Target="https://www.muenchenstein.ch/_docn/1059619/2015.03.16_Ratschlag_Homepage.pdf" TargetMode="External" Id="rId31"/><Relationship Type="http://schemas.openxmlformats.org/officeDocument/2006/relationships/hyperlink" Target="https://www.muenchenstein.ch/_docn/1199675/Zonenreglement_Siedlung.pdf" TargetMode="External" Id="rId32"/><Relationship Type="http://schemas.openxmlformats.org/officeDocument/2006/relationships/hyperlink" Target="https://www.muenchenstein.ch/reglemente/10743" TargetMode="External" Id="rId33"/><Relationship Type="http://schemas.openxmlformats.org/officeDocument/2006/relationships/hyperlink" Target="https://www.muenchenstein.ch/_docn/1591897/2018.03.12_Ratschlag_GzD.pdf" TargetMode="External" Id="rId34"/><Relationship Type="http://schemas.openxmlformats.org/officeDocument/2006/relationships/hyperlink" Target="https://www.muenchenstein.ch/_docn/2430218/20180713_Gemeindeordnung_Stand_01.01.2013_publiziert_sw.pdf" TargetMode="External" Id="rId35"/><Relationship Type="http://schemas.openxmlformats.org/officeDocument/2006/relationships/hyperlink" Target="https://www.muenchenstein.ch/reglemente/7140" TargetMode="External" Id="rId36"/><Relationship Type="http://schemas.openxmlformats.org/officeDocument/2006/relationships/hyperlink" Target="https://www.muenchenstein.ch/_docn/6998503/Ratschlag_Gemeindeversammlung_Montag,_15._Juni_2026.pdf" TargetMode="External" Id="rId37"/><Relationship Type="http://schemas.openxmlformats.org/officeDocument/2006/relationships/hyperlink" Target="https://www.muenchenstein.ch/organisationuorganigramm" TargetMode="External" Id="rId38"/><Relationship Type="http://schemas.openxmlformats.org/officeDocument/2006/relationships/hyperlink" Target="https://www.muenchenstein.ch/_docn/3794018/Bereinigtes_Personalreglement_Genehmigungsfassung_per_23._Juni_2022.pdf" TargetMode="External" Id="rId39"/><Relationship Type="http://schemas.openxmlformats.org/officeDocument/2006/relationships/hyperlink" Target="https://www.muenchenstein.ch/reglemente/402889" TargetMode="External" Id="rId40"/><Relationship Type="http://schemas.openxmlformats.org/officeDocument/2006/relationships/hyperlink" Target="https://www.muenchenstein.ch/reglemente/7208" TargetMode="External" Id="rId41"/><Relationship Type="http://schemas.openxmlformats.org/officeDocument/2006/relationships/hyperlink" Target="https://www.muenchenstein.ch/legislaturziele" TargetMode="External" Id="rId42"/><Relationship Type="http://schemas.openxmlformats.org/officeDocument/2006/relationships/hyperlink" Target="https://www.muenchenstein.ch/_docn/5478214/Protokoll_Gemeindeversammlung_13._Juni_2024_definitiv.pdf" TargetMode="External" Id="rId43"/><Relationship Type="http://schemas.openxmlformats.org/officeDocument/2006/relationships/hyperlink" Target="https://www.muenchenstein.ch/politikinformationen/2666993" TargetMode="External" Id="rId44"/><Relationship Type="http://schemas.openxmlformats.org/officeDocument/2006/relationships/hyperlink" Target="https://www.muenchenstein.ch/_docn/2359339/43037_Ber05_Mitwirkungsbericht_VerabschiedungGR_Unterschrieben_20190924_korr.pdf" TargetMode="External" Id="rId45"/><Relationship Type="http://schemas.openxmlformats.org/officeDocument/2006/relationships/hyperlink" Target="https://www.muenchenstein.ch/behoerden/2838" TargetMode="External" Id="rId46"/><Relationship Type="http://schemas.openxmlformats.org/officeDocument/2006/relationships/table" Target="/xl/tables/table3.xml" Id="rId47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fv.admin.ch/de/finanzstatistik-daten" TargetMode="External" Id="rId1"/><Relationship Type="http://schemas.openxmlformats.org/officeDocument/2006/relationships/hyperlink" Target="https://www.efv.admin.ch/" TargetMode="External" Id="rId2"/><Relationship Type="http://schemas.openxmlformats.org/officeDocument/2006/relationships/hyperlink" Target="https://www.efv.admin.ch/de/was-ist-die-finanzstatistik" TargetMode="External" Id="rId3"/><Relationship Type="http://schemas.openxmlformats.org/officeDocument/2006/relationships/hyperlink" Target="https://www.efv.admin.ch/de/methoden-finanzstatistik" TargetMode="External" Id="rId4"/><Relationship Type="http://schemas.openxmlformats.org/officeDocument/2006/relationships/hyperlink" Target="https://www.efv.admin.ch/de/finanzstatistik-daten" TargetMode="External" Id="rId5"/><Relationship Type="http://schemas.openxmlformats.org/officeDocument/2006/relationships/hyperlink" Target="https://opendata.swiss/en/dataset/detaillierte-daten-fs-und-gfs-modell-standardauswertungen" TargetMode="External" Id="rId6"/><Relationship Type="http://schemas.openxmlformats.org/officeDocument/2006/relationships/hyperlink" Target="https://www.fedlex.admin.ch/eli/cc/24/233_245_233/de" TargetMode="External" Id="rId7"/><Relationship Type="http://schemas.openxmlformats.org/officeDocument/2006/relationships/hyperlink" Target="https://www.fedlex.admin.ch/eli/cc/1979/1573_1573_1573/de" TargetMode="External" Id="rId8"/><Relationship Type="http://schemas.openxmlformats.org/officeDocument/2006/relationships/hyperlink" Target="https://www.fedlex.admin.ch/eli/cc/1999/404/de" TargetMode="External" Id="rId9"/><Relationship Type="http://schemas.openxmlformats.org/officeDocument/2006/relationships/hyperlink" Target="https://www.fedlex.admin.ch/eli/cc/2020/126/de" TargetMode="External" Id="rId10"/><Relationship Type="http://schemas.openxmlformats.org/officeDocument/2006/relationships/hyperlink" Target="https://ckan.opendata.swiss/dataset/regionalportrats-2021-kennzahlen-aller-gemeinden" TargetMode="External" Id="rId11"/><Relationship Type="http://schemas.openxmlformats.org/officeDocument/2006/relationships/hyperlink" Target="https://www.fedlex.admin.ch/eli/cc/1999/404/de" TargetMode="External" Id="rId12"/><Relationship Type="http://schemas.openxmlformats.org/officeDocument/2006/relationships/hyperlink" Target="https://www.sg.ch/politik-verwaltung/gemeinden/gemeindefinanzen/rechnungslegung--rmsg-.html" TargetMode="External" Id="rId13"/><Relationship Type="http://schemas.openxmlformats.org/officeDocument/2006/relationships/hyperlink" Target="https://www.gesetzessammlung.sg.ch/app/de/texts_of_law/813.1" TargetMode="External" Id="rId14"/><Relationship Type="http://schemas.openxmlformats.org/officeDocument/2006/relationships/hyperlink" Target="https://www.gesetzessammlung.sg.ch/app/de/texts_of_law/151.53" TargetMode="External" Id="rId15"/><Relationship Type="http://schemas.openxmlformats.org/officeDocument/2006/relationships/hyperlink" Target="https://www.geoportal.ch/" TargetMode="External" Id="rId16"/><Relationship Type="http://schemas.openxmlformats.org/officeDocument/2006/relationships/hyperlink" Target="https://www.ratsinfo.sg.ch//media/documents/published/signed/8b158b37-2fff-4d5d-b018-ef035f08732e.pdf" TargetMode="External" Id="rId17"/><Relationship Type="http://schemas.openxmlformats.org/officeDocument/2006/relationships/hyperlink" Target="https://www.gesetzessammlung.sg.ch/app/de/texts_of_law/731.1" TargetMode="External" Id="rId18"/><Relationship Type="http://schemas.openxmlformats.org/officeDocument/2006/relationships/hyperlink" Target="https://www.gesetzessammlung.sg.ch/app/de/texts_of_law/151.2" TargetMode="External" Id="rId19"/><Relationship Type="http://schemas.openxmlformats.org/officeDocument/2006/relationships/hyperlink" Target="https://www.sg.ch/" TargetMode="External" Id="rId20"/><Relationship Type="http://schemas.openxmlformats.org/officeDocument/2006/relationships/hyperlink" Target="https://www.gesetzessammlung.sg.ch/app/de/texts_of_law/841.1" TargetMode="External" Id="rId21"/><Relationship Type="http://schemas.openxmlformats.org/officeDocument/2006/relationships/hyperlink" Target="https://www.sg.ch/recht/beschaffungswesen/neues_beschaffungsrecht_2023/" TargetMode="External" Id="rId22"/><Relationship Type="http://schemas.openxmlformats.org/officeDocument/2006/relationships/hyperlink" Target="https://www.gesetzessammlung.sg.ch/app/de/texts_of_law/125.1" TargetMode="External" Id="rId23"/><Relationship Type="http://schemas.openxmlformats.org/officeDocument/2006/relationships/hyperlink" Target="https://www.stadtwil.ch/topics/stadt-politik-und-recht/finanzen" TargetMode="External" Id="rId24"/><Relationship Type="http://schemas.openxmlformats.org/officeDocument/2006/relationships/hyperlink" Target="https://www.stadtwil.ch/political-business/28da2d58a16b4b85b0504eeaa7e396dc" TargetMode="External" Id="rId25"/><Relationship Type="http://schemas.openxmlformats.org/officeDocument/2006/relationships/hyperlink" Target="https://www.stadtwil.ch/storage/46c11db85e782dc122cd9a61cc291529509f659681277125f8b019bce5a31b9c" TargetMode="External" Id="rId26"/><Relationship Type="http://schemas.openxmlformats.org/officeDocument/2006/relationships/hyperlink" Target="https://www.stadtwil.ch/topics/stadt-politik-und-recht/finanzen" TargetMode="External" Id="rId27"/><Relationship Type="http://schemas.openxmlformats.org/officeDocument/2006/relationships/hyperlink" Target="https://www.stadtwil.ch/storage/0f0d7ad95464bf91a72506e63d2aae1d5c18327f9bff4bf34b8400c36999b277" TargetMode="External" Id="rId28"/><Relationship Type="http://schemas.openxmlformats.org/officeDocument/2006/relationships/hyperlink" Target="https://www.stadtwil.ch/topics/stadt-politik-und-recht/finanzen" TargetMode="External" Id="rId29"/><Relationship Type="http://schemas.openxmlformats.org/officeDocument/2006/relationships/hyperlink" Target="https://www.stadtwil.ch/storage/08902ff399818ccc0d53949607b2d0f6f8bf702c334e295d493c2fd842ba4079" TargetMode="External" Id="rId30"/><Relationship Type="http://schemas.openxmlformats.org/officeDocument/2006/relationships/hyperlink" Target="https://www.stadtwil.ch/storage/875d422378d72386aae96efa76356fbfa05e9a0e1e03f208fbbe599dea21021c" TargetMode="External" Id="rId31"/><Relationship Type="http://schemas.openxmlformats.org/officeDocument/2006/relationships/hyperlink" Target="https://www.stadtwil.ch/topics/stadt-politik-und-recht/finanzen" TargetMode="External" Id="rId32"/><Relationship Type="http://schemas.openxmlformats.org/officeDocument/2006/relationships/hyperlink" Target="https://www.stadtwil.ch/storage/c6097b5ae815fb81f14b4db7630b14d9452e3be1ae3cbddd9f8e28d9d0777c7f" TargetMode="External" Id="rId33"/><Relationship Type="http://schemas.openxmlformats.org/officeDocument/2006/relationships/hyperlink" Target="https://www.stadtwil.ch/topics/stadt-politik-und-recht/finanzen" TargetMode="External" Id="rId34"/><Relationship Type="http://schemas.openxmlformats.org/officeDocument/2006/relationships/hyperlink" Target="https://www.stadtwil.ch/storage/2ecd9e697734cc2262543c9da23828c2b6ad0129cf1654fcfa47f21ba113bf8a" TargetMode="External" Id="rId35"/><Relationship Type="http://schemas.openxmlformats.org/officeDocument/2006/relationships/hyperlink" Target="https://www.stadtwil.ch/topics/stadt-politik-und-recht/finanzen" TargetMode="External" Id="rId36"/><Relationship Type="http://schemas.openxmlformats.org/officeDocument/2006/relationships/hyperlink" Target="https://www.stadtwil.ch/storage/9bf65acd52bfa75c91cc42760759e0ffc3a76d501e7d174c010444c290801cc2" TargetMode="External" Id="rId37"/><Relationship Type="http://schemas.openxmlformats.org/officeDocument/2006/relationships/hyperlink" Target="https://www.stadtwil.ch/storage/86c954451190b5683f4cea602b5746ce096ff6338c9f35fbea68172b58f684d1" TargetMode="External" Id="rId38"/><Relationship Type="http://schemas.openxmlformats.org/officeDocument/2006/relationships/hyperlink" Target="https://www.stadtwil.ch/topics/stadt-politik-und-recht/finanzen" TargetMode="External" Id="rId39"/><Relationship Type="http://schemas.openxmlformats.org/officeDocument/2006/relationships/hyperlink" Target="https://www.stadtwil.ch/storage/c7e05a885ee1a6860975358848101c3f21fe558650ccfc5ba12339d34d3232e9" TargetMode="External" Id="rId40"/><Relationship Type="http://schemas.openxmlformats.org/officeDocument/2006/relationships/hyperlink" Target="https://www.stadtwil.ch/topics/stadt-politik-und-recht/finanzen" TargetMode="External" Id="rId41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nachtrag-iv-zur-gemeindeordnung" TargetMode="External" Id="rId42"/><Relationship Type="http://schemas.openxmlformats.org/officeDocument/2006/relationships/hyperlink" Target="https://www.stadtwil.ch/topics/stadt-politik-und-recht/abstimmungen-und-wahlen/vorlagen/kommunale-vorlagen/22-11-2024-nachtrag-iv-zur-gemeindeordnung" TargetMode="External" Id="rId43"/><Relationship Type="http://schemas.openxmlformats.org/officeDocument/2006/relationships/hyperlink" Target="https://www.stadtwil.ch/storage/1e396670eed23bbd41611d92ceaa476797bc97e16fde09c29197453c3b3bc320" TargetMode="External" Id="rId44"/><Relationship Type="http://schemas.openxmlformats.org/officeDocument/2006/relationships/hyperlink" Target="https://www.stadtwil.ch/topics/stadt-politik-und-recht/rechtssammlung-1" TargetMode="External" Id="rId45"/><Relationship Type="http://schemas.openxmlformats.org/officeDocument/2006/relationships/hyperlink" Target="https://www.are.admin.ch/dam/de/sd-web/1LGAXN34JMxU/Pr%C3%BCfbericht%20Wil4G.pdf" TargetMode="External" Id="rId46"/><Relationship Type="http://schemas.openxmlformats.org/officeDocument/2006/relationships/hyperlink" Target="https://www.sg.ch/content/dam/sgch/bauen/raumentwicklung/agglomerationsprogramme/Wil%20Flyer%205G.pdf" TargetMode="External" Id="rId47"/><Relationship Type="http://schemas.openxmlformats.org/officeDocument/2006/relationships/hyperlink" Target="https://www.stadtwil.ch/storage/ee8bae2cd080dda0bc77e69f99046109dc3e161b3498b17df7581cfe441bc612" TargetMode="External" Id="rId48"/><Relationship Type="http://schemas.openxmlformats.org/officeDocument/2006/relationships/hyperlink" Target="https://www.stadtwil.ch/topics/stadt-politik-und-recht/geschaeftsberichte" TargetMode="External" Id="rId49"/><Relationship Type="http://schemas.openxmlformats.org/officeDocument/2006/relationships/hyperlink" Target="https://www.stadtwil.ch/storage/55dcd744fbd978ce5601e42dc48a7b53cdfe1082b7fecb9c647e6dadc8abf9c7" TargetMode="External" Id="rId50"/><Relationship Type="http://schemas.openxmlformats.org/officeDocument/2006/relationships/hyperlink" Target="https://www.stadtwil.ch/storage/533b0557b4e4988a6a4f9af13c0b789fec39837eef83d1e66cd1d3814dbe0acb" TargetMode="External" Id="rId51"/><Relationship Type="http://schemas.openxmlformats.org/officeDocument/2006/relationships/hyperlink" Target="https://www.stadtwil.ch/storage/5d895f1e33cc1b2c352d7bdeb9d93dd5b2333fbff6a1793cd419f387dd4e1e28" TargetMode="External" Id="rId52"/><Relationship Type="http://schemas.openxmlformats.org/officeDocument/2006/relationships/table" Target="/xl/tables/table4.xml" Id="rId5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data.finance.admin.ch/static/assets/datasets/fs_dashboard/finanzkennz-d.xlsx" TargetMode="External" Id="rId1"/><Relationship Type="http://schemas.openxmlformats.org/officeDocument/2006/relationships/hyperlink" Target="https://www.data.finance.admin.ch/static/assets/datasets/fs_dashboard/web_arten_funk_dfie.xlsx" TargetMode="External" Id="rId2"/><Relationship Type="http://schemas.openxmlformats.org/officeDocument/2006/relationships/hyperlink" Target="https://www.data.finance.admin.ch/static/assets/datasets/gfs_dashboard/monatsdaten-d.xlsx" TargetMode="External" Id="rId3"/><Relationship Type="http://schemas.openxmlformats.org/officeDocument/2006/relationships/hyperlink" Target="https://www.data.finance.admin.ch/superset/dashboard/finanzstatistik_international/" TargetMode="External" Id="rId4"/><Relationship Type="http://schemas.openxmlformats.org/officeDocument/2006/relationships/hyperlink" Target="https://www.data.finance.admin.ch/superset/dashboard/finanzstatistik_national/" TargetMode="External" Id="rId5"/><Relationship Type="http://schemas.openxmlformats.org/officeDocument/2006/relationships/hyperlink" Target="https://www.efv.admin.ch/de/finanzstatistik-daten" TargetMode="External" Id="rId6"/><Relationship Type="http://schemas.openxmlformats.org/officeDocument/2006/relationships/hyperlink" Target="https://www.efv.admin.ch/de/methoden-finanzstatistik" TargetMode="External" Id="rId7"/><Relationship Type="http://schemas.openxmlformats.org/officeDocument/2006/relationships/hyperlink" Target="https://www.efv.admin.ch/de/sonderauswertungen-der-finanzstatistik" TargetMode="External" Id="rId8"/><Relationship Type="http://schemas.openxmlformats.org/officeDocument/2006/relationships/hyperlink" Target="https://www.efv.admin.ch/de/was-ist-die-finanzstatistik" TargetMode="External" Id="rId9"/><Relationship Type="http://schemas.openxmlformats.org/officeDocument/2006/relationships/hyperlink" Target="https://www.data.finance.admin.ch/static/assets/datasets/fs_dashboard/sv_ahv-d.xlsx" TargetMode="External" Id="rId10"/><Relationship Type="http://schemas.openxmlformats.org/officeDocument/2006/relationships/hyperlink" Target="https://www.muenchenstein.ch/_doc/5399737" TargetMode="External" Id="rId11"/><Relationship Type="http://schemas.openxmlformats.org/officeDocument/2006/relationships/hyperlink" Target="https://www.muenchenstein.ch/_doc/5400772" TargetMode="External" Id="rId12"/><Relationship Type="http://schemas.openxmlformats.org/officeDocument/2006/relationships/hyperlink" Target="https://www.muenchenstein.ch/_doc/5400775" TargetMode="External" Id="rId13"/><Relationship Type="http://schemas.openxmlformats.org/officeDocument/2006/relationships/hyperlink" Target="https://www.muenchenstein.ch/_doc/5409079" TargetMode="External" Id="rId14"/><Relationship Type="http://schemas.openxmlformats.org/officeDocument/2006/relationships/hyperlink" Target="https://www.muenchenstein.ch/_doc/5680231" TargetMode="External" Id="rId15"/><Relationship Type="http://schemas.openxmlformats.org/officeDocument/2006/relationships/hyperlink" Target="https://www.muenchenstein.ch/_doc/6311410" TargetMode="External" Id="rId16"/><Relationship Type="http://schemas.openxmlformats.org/officeDocument/2006/relationships/hyperlink" Target="https://www.muenchenstein.ch/_doc/6311416" TargetMode="External" Id="rId17"/><Relationship Type="http://schemas.openxmlformats.org/officeDocument/2006/relationships/hyperlink" Target="https://www.muenchenstein.ch/_doc/6432413" TargetMode="External" Id="rId18"/><Relationship Type="http://schemas.openxmlformats.org/officeDocument/2006/relationships/hyperlink" Target="https://www.muenchenstein.ch/_doc/6432422" TargetMode="External" Id="rId19"/><Relationship Type="http://schemas.openxmlformats.org/officeDocument/2006/relationships/hyperlink" Target="https://www.muenchenstein.ch/_doc/6990775" TargetMode="External" Id="rId20"/><Relationship Type="http://schemas.openxmlformats.org/officeDocument/2006/relationships/hyperlink" Target="https://www.muenchenstein.ch/_doc/7035142" TargetMode="External" Id="rId21"/><Relationship Type="http://schemas.openxmlformats.org/officeDocument/2006/relationships/hyperlink" Target="https://www.muenchenstein.ch/_rtr/publikation_523378" TargetMode="External" Id="rId22"/><Relationship Type="http://schemas.openxmlformats.org/officeDocument/2006/relationships/hyperlink" Target="https://www.muenchenstein.ch/_rtr/publikation_596027" TargetMode="External" Id="rId23"/><Relationship Type="http://schemas.openxmlformats.org/officeDocument/2006/relationships/hyperlink" Target="https://www.muenchenstein.ch/_rtr/publikation_596033" TargetMode="External" Id="rId24"/><Relationship Type="http://schemas.openxmlformats.org/officeDocument/2006/relationships/hyperlink" Target="https://www.muenchenstein.ch/finanzensteuern" TargetMode="External" Id="rId25"/><Relationship Type="http://schemas.openxmlformats.org/officeDocument/2006/relationships/hyperlink" Target="https://www.muenchenstein.ch/_rte/abstimmung/101977" TargetMode="External" Id="rId26"/><Relationship Type="http://schemas.openxmlformats.org/officeDocument/2006/relationships/hyperlink" Target="https://www.muenchenstein.ch/_rte/abstimmung/79355" TargetMode="External" Id="rId27"/><Relationship Type="http://schemas.openxmlformats.org/officeDocument/2006/relationships/hyperlink" Target="https://www.areale.mstein.ch/" TargetMode="External" Id="rId28"/><Relationship Type="http://schemas.openxmlformats.org/officeDocument/2006/relationships/hyperlink" Target="https://www.muenchenstein.ch/areale" TargetMode="External" Id="rId29"/><Relationship Type="http://schemas.openxmlformats.org/officeDocument/2006/relationships/hyperlink" Target="https://www.muenchenstein.ch/_rte/abstimmung/251057" TargetMode="External" Id="rId30"/><Relationship Type="http://schemas.openxmlformats.org/officeDocument/2006/relationships/hyperlink" Target="https://www.muenchenstein.ch/_rte/abstimmung/301591" TargetMode="External" Id="rId31"/><Relationship Type="http://schemas.openxmlformats.org/officeDocument/2006/relationships/hyperlink" Target="https://www.muenchenstein.ch/_doc/1758235" TargetMode="External" Id="rId32"/><Relationship Type="http://schemas.openxmlformats.org/officeDocument/2006/relationships/hyperlink" Target="https://www.muenchenstein.ch/reglemente" TargetMode="External" Id="rId33"/><Relationship Type="http://schemas.openxmlformats.org/officeDocument/2006/relationships/hyperlink" Target="https://www.muenchenstein.ch/reglemente/7208" TargetMode="External" Id="rId34"/><Relationship Type="http://schemas.openxmlformats.org/officeDocument/2006/relationships/hyperlink" Target="https://www.muenchenstein.ch/_rte/abstimmung/115863" TargetMode="External" Id="rId35"/><Relationship Type="http://schemas.openxmlformats.org/officeDocument/2006/relationships/hyperlink" Target="https://www.muenchenstein.ch/_rte/abstimmung/132800" TargetMode="External" Id="rId36"/><Relationship Type="http://schemas.openxmlformats.org/officeDocument/2006/relationships/hyperlink" Target="https://www.muenchenstein.ch/_rte/abstimmung/158200" TargetMode="External" Id="rId37"/><Relationship Type="http://schemas.openxmlformats.org/officeDocument/2006/relationships/hyperlink" Target="https://www.muenchenstein.ch/_rte/abstimmung/160332" TargetMode="External" Id="rId38"/><Relationship Type="http://schemas.openxmlformats.org/officeDocument/2006/relationships/hyperlink" Target="https://www.muenchenstein.ch/_rte/abstimmung/195028" TargetMode="External" Id="rId39"/><Relationship Type="http://schemas.openxmlformats.org/officeDocument/2006/relationships/hyperlink" Target="https://www.muenchenstein.ch/_rte/abstimmung/251048" TargetMode="External" Id="rId40"/><Relationship Type="http://schemas.openxmlformats.org/officeDocument/2006/relationships/hyperlink" Target="https://www.muenchenstein.ch/_rte/abstimmung/25247" TargetMode="External" Id="rId41"/><Relationship Type="http://schemas.openxmlformats.org/officeDocument/2006/relationships/hyperlink" Target="https://www.muenchenstein.ch/_rte/abstimmung/261658" TargetMode="External" Id="rId42"/><Relationship Type="http://schemas.openxmlformats.org/officeDocument/2006/relationships/hyperlink" Target="https://www.muenchenstein.ch/_rte/abstimmung/270905" TargetMode="External" Id="rId43"/><Relationship Type="http://schemas.openxmlformats.org/officeDocument/2006/relationships/hyperlink" Target="https://www.muenchenstein.ch/_rte/abstimmung/278258" TargetMode="External" Id="rId44"/><Relationship Type="http://schemas.openxmlformats.org/officeDocument/2006/relationships/hyperlink" Target="https://www.muenchenstein.ch/_rte/abstimmung/285623" TargetMode="External" Id="rId45"/><Relationship Type="http://schemas.openxmlformats.org/officeDocument/2006/relationships/hyperlink" Target="https://www.muenchenstein.ch/_rte/abstimmung/289912" TargetMode="External" Id="rId46"/><Relationship Type="http://schemas.openxmlformats.org/officeDocument/2006/relationships/hyperlink" Target="https://www.muenchenstein.ch/_rte/abstimmung/289927" TargetMode="External" Id="rId47"/><Relationship Type="http://schemas.openxmlformats.org/officeDocument/2006/relationships/hyperlink" Target="https://www.muenchenstein.ch/_rte/abstimmung/289930" TargetMode="External" Id="rId48"/><Relationship Type="http://schemas.openxmlformats.org/officeDocument/2006/relationships/hyperlink" Target="https://www.muenchenstein.ch/_rte/abstimmung/29591" TargetMode="External" Id="rId49"/><Relationship Type="http://schemas.openxmlformats.org/officeDocument/2006/relationships/hyperlink" Target="https://www.muenchenstein.ch/_rte/abstimmung/299275" TargetMode="External" Id="rId50"/><Relationship Type="http://schemas.openxmlformats.org/officeDocument/2006/relationships/hyperlink" Target="https://www.muenchenstein.ch/_rte/abstimmung/36733" TargetMode="External" Id="rId51"/><Relationship Type="http://schemas.openxmlformats.org/officeDocument/2006/relationships/hyperlink" Target="https://www.muenchenstein.ch/_rte/abstimmung/68453" TargetMode="External" Id="rId52"/><Relationship Type="http://schemas.openxmlformats.org/officeDocument/2006/relationships/hyperlink" Target="https://www.muenchenstein.ch/_rte/abstimmung/89372" TargetMode="External" Id="rId53"/><Relationship Type="http://schemas.openxmlformats.org/officeDocument/2006/relationships/hyperlink" Target="https://www.muenchenstein.ch/_rtr/publikation_91123" TargetMode="External" Id="rId54"/><Relationship Type="http://schemas.openxmlformats.org/officeDocument/2006/relationships/hyperlink" Target="https://www.muenchenstein.ch/organisationuorganigramm" TargetMode="External" Id="rId55"/><Relationship Type="http://schemas.openxmlformats.org/officeDocument/2006/relationships/hyperlink" Target="https://www.muenchenstein.ch/_rte/abstimmung/129347" TargetMode="External" Id="rId56"/><Relationship Type="http://schemas.openxmlformats.org/officeDocument/2006/relationships/hyperlink" Target="https://www.muenchenstein.ch/_rte/abstimmung/145284" TargetMode="External" Id="rId57"/><Relationship Type="http://schemas.openxmlformats.org/officeDocument/2006/relationships/hyperlink" Target="https://www.muenchenstein.ch/_rte/abstimmung/225950" TargetMode="External" Id="rId58"/><Relationship Type="http://schemas.openxmlformats.org/officeDocument/2006/relationships/hyperlink" Target="https://www.muenchenstein.ch/_rte/abstimmung/27787" TargetMode="External" Id="rId59"/><Relationship Type="http://schemas.openxmlformats.org/officeDocument/2006/relationships/hyperlink" Target="http://www.gemeinden-web.ch/gemeinden/muenchensteinneu/dl.php/de/0d1e8-225dl6/GV_protokolle_1980_comp.pdf" TargetMode="External" Id="rId60"/><Relationship Type="http://schemas.openxmlformats.org/officeDocument/2006/relationships/hyperlink" Target="http://www.gemeinden-web.ch/gemeinden/muenchensteinneu/dl.php/de/0d1e8-4szbws/GV_protokolle_1981_comp.pdf" TargetMode="External" Id="rId61"/><Relationship Type="http://schemas.openxmlformats.org/officeDocument/2006/relationships/hyperlink" Target="http://www.gemeinden-web.ch/gemeinden/muenchensteinneu/dl.php/de/0d1e8-71hwhu/GV_protokolle_1982_comp.pdf" TargetMode="External" Id="rId62"/><Relationship Type="http://schemas.openxmlformats.org/officeDocument/2006/relationships/hyperlink" Target="http://www.gemeinden-web.ch/gemeinden/muenchensteinneu/dl.php/de/0d1e8-8jl6d1/GV_protokolle_1983_comp.pdf" TargetMode="External" Id="rId63"/><Relationship Type="http://schemas.openxmlformats.org/officeDocument/2006/relationships/hyperlink" Target="http://www.gemeinden-web.ch/gemeinden/muenchensteinneu/dl.php/de/0d1e8-9v1kex/GV_protokolle_1984_comp.pdf" TargetMode="External" Id="rId64"/><Relationship Type="http://schemas.openxmlformats.org/officeDocument/2006/relationships/hyperlink" Target="http://www.gemeinden-web.ch/gemeinden/muenchensteinneu/dl.php/de/0d1e8-b5p2nm/GV_protokolle_1985_comp.pdf" TargetMode="External" Id="rId65"/><Relationship Type="http://schemas.openxmlformats.org/officeDocument/2006/relationships/hyperlink" Target="http://www.gemeinden-web.ch/gemeinden/muenchensteinneu/dl.php/de/0d1e8-cjnxsf/GV_protokolle_1986_comp.pdf" TargetMode="External" Id="rId66"/><Relationship Type="http://schemas.openxmlformats.org/officeDocument/2006/relationships/hyperlink" Target="http://www.gemeinden-web.ch/gemeinden/muenchensteinneu/dl.php/de/0d1e8-df6qce/GV_protokolle_1987_comp.pdf" TargetMode="External" Id="rId67"/><Relationship Type="http://schemas.openxmlformats.org/officeDocument/2006/relationships/hyperlink" Target="http://www.gemeinden-web.ch/gemeinden/muenchensteinneu/dl.php/de/0d1e8-eyr1rh/GV_protokolle_1988_comp.pdf" TargetMode="External" Id="rId68"/><Relationship Type="http://schemas.openxmlformats.org/officeDocument/2006/relationships/hyperlink" Target="http://www.gemeinden-web.ch/gemeinden/muenchensteinneu/dl.php/de/0d1e8-gd1589/GV_protokolle_1989_comp.pdf" TargetMode="External" Id="rId69"/><Relationship Type="http://schemas.openxmlformats.org/officeDocument/2006/relationships/hyperlink" Target="http://www.gemeinden-web.ch/gemeinden/muenchensteinneu/dl.php/de/0d1e8-hdohhc/GV_protokolle_1990_comp.pdf" TargetMode="External" Id="rId70"/><Relationship Type="http://schemas.openxmlformats.org/officeDocument/2006/relationships/hyperlink" Target="http://www.gemeinden-web.ch/gemeinden/muenchensteinneu/dl.php/de/0d1e8-j9jdyb/GV_protokolle_1991_comp.pdf" TargetMode="External" Id="rId71"/><Relationship Type="http://schemas.openxmlformats.org/officeDocument/2006/relationships/hyperlink" Target="http://www.gemeinden-web.ch/gemeinden/muenchensteinneu/dl.php/de/0d1e8-lc0dq8/GV_protokolle_1992_comp.pdf" TargetMode="External" Id="rId72"/><Relationship Type="http://schemas.openxmlformats.org/officeDocument/2006/relationships/hyperlink" Target="http://www.gemeinden-web.ch/gemeinden/muenchensteinneu/dl.php/de/0d1e8-myocr7/GV_protokolle_1993_comp.pdf" TargetMode="External" Id="rId73"/><Relationship Type="http://schemas.openxmlformats.org/officeDocument/2006/relationships/hyperlink" Target="http://www.gemeinden-web.ch/gemeinden/muenchensteinneu/dl.php/de/0d1e8-o7boti/GV_protokolle_1994_comp.pdf" TargetMode="External" Id="rId74"/><Relationship Type="http://schemas.openxmlformats.org/officeDocument/2006/relationships/hyperlink" Target="http://www.gemeinden-web.ch/gemeinden/muenchensteinneu/dl.php/de/0d1e8-pbuec4/GV_protokolle_1995_comp.pdf" TargetMode="External" Id="rId75"/><Relationship Type="http://schemas.openxmlformats.org/officeDocument/2006/relationships/hyperlink" Target="http://www.gemeinden-web.ch/gemeinden/muenchensteinneu/dl.php/de/0d1e8-qy63zu/GV_protokolle_1996_comp.pdf" TargetMode="External" Id="rId76"/><Relationship Type="http://schemas.openxmlformats.org/officeDocument/2006/relationships/hyperlink" Target="http://www.gemeinden-web.ch/gemeinden/muenchensteinneu/dl.php/de/0d1e8-sf3v42/GV_protokolle_1997_comp.pdf" TargetMode="External" Id="rId77"/><Relationship Type="http://schemas.openxmlformats.org/officeDocument/2006/relationships/hyperlink" Target="https://www.muenchenstein.ch/_doc/5399731" TargetMode="External" Id="rId78"/><Relationship Type="http://schemas.openxmlformats.org/officeDocument/2006/relationships/hyperlink" Target="https://www.muenchenstein.ch/_doc/6049465" TargetMode="External" Id="rId79"/><Relationship Type="http://schemas.openxmlformats.org/officeDocument/2006/relationships/hyperlink" Target="https://www.muenchenstein.ch/_doc/6311407" TargetMode="External" Id="rId80"/><Relationship Type="http://schemas.openxmlformats.org/officeDocument/2006/relationships/hyperlink" Target="https://www.muenchenstein.ch/_rte/abstimmung/101974" TargetMode="External" Id="rId81"/><Relationship Type="http://schemas.openxmlformats.org/officeDocument/2006/relationships/hyperlink" Target="https://www.muenchenstein.ch/_rte/abstimmung/101975" TargetMode="External" Id="rId82"/><Relationship Type="http://schemas.openxmlformats.org/officeDocument/2006/relationships/hyperlink" Target="https://www.muenchenstein.ch/_rte/abstimmung/101976" TargetMode="External" Id="rId83"/><Relationship Type="http://schemas.openxmlformats.org/officeDocument/2006/relationships/hyperlink" Target="https://www.muenchenstein.ch/_rte/abstimmung/101978" TargetMode="External" Id="rId84"/><Relationship Type="http://schemas.openxmlformats.org/officeDocument/2006/relationships/hyperlink" Target="https://www.muenchenstein.ch/_rte/abstimmung/101979" TargetMode="External" Id="rId85"/><Relationship Type="http://schemas.openxmlformats.org/officeDocument/2006/relationships/hyperlink" Target="https://www.muenchenstein.ch/_rte/abstimmung/101980" TargetMode="External" Id="rId86"/><Relationship Type="http://schemas.openxmlformats.org/officeDocument/2006/relationships/hyperlink" Target="https://www.muenchenstein.ch/_rte/abstimmung/105466" TargetMode="External" Id="rId87"/><Relationship Type="http://schemas.openxmlformats.org/officeDocument/2006/relationships/hyperlink" Target="https://www.muenchenstein.ch/_rte/abstimmung/105467" TargetMode="External" Id="rId88"/><Relationship Type="http://schemas.openxmlformats.org/officeDocument/2006/relationships/hyperlink" Target="https://www.muenchenstein.ch/_rte/abstimmung/105468" TargetMode="External" Id="rId89"/><Relationship Type="http://schemas.openxmlformats.org/officeDocument/2006/relationships/hyperlink" Target="https://www.muenchenstein.ch/_rte/abstimmung/105469" TargetMode="External" Id="rId90"/><Relationship Type="http://schemas.openxmlformats.org/officeDocument/2006/relationships/hyperlink" Target="https://www.muenchenstein.ch/_rte/abstimmung/108518" TargetMode="External" Id="rId91"/><Relationship Type="http://schemas.openxmlformats.org/officeDocument/2006/relationships/hyperlink" Target="https://www.muenchenstein.ch/_rte/abstimmung/108519" TargetMode="External" Id="rId92"/><Relationship Type="http://schemas.openxmlformats.org/officeDocument/2006/relationships/hyperlink" Target="https://www.muenchenstein.ch/_rte/abstimmung/108520" TargetMode="External" Id="rId93"/><Relationship Type="http://schemas.openxmlformats.org/officeDocument/2006/relationships/hyperlink" Target="https://www.muenchenstein.ch/_rte/abstimmung/108521" TargetMode="External" Id="rId94"/><Relationship Type="http://schemas.openxmlformats.org/officeDocument/2006/relationships/hyperlink" Target="https://www.muenchenstein.ch/_rte/abstimmung/112311" TargetMode="External" Id="rId95"/><Relationship Type="http://schemas.openxmlformats.org/officeDocument/2006/relationships/hyperlink" Target="https://www.muenchenstein.ch/_rte/abstimmung/112312" TargetMode="External" Id="rId96"/><Relationship Type="http://schemas.openxmlformats.org/officeDocument/2006/relationships/hyperlink" Target="https://www.muenchenstein.ch/_rte/abstimmung/112313" TargetMode="External" Id="rId97"/><Relationship Type="http://schemas.openxmlformats.org/officeDocument/2006/relationships/hyperlink" Target="https://www.muenchenstein.ch/_rte/abstimmung/112314" TargetMode="External" Id="rId98"/><Relationship Type="http://schemas.openxmlformats.org/officeDocument/2006/relationships/hyperlink" Target="https://www.muenchenstein.ch/_rte/abstimmung/112315" TargetMode="External" Id="rId99"/><Relationship Type="http://schemas.openxmlformats.org/officeDocument/2006/relationships/hyperlink" Target="https://www.muenchenstein.ch/_rte/abstimmung/115857" TargetMode="External" Id="rId100"/><Relationship Type="http://schemas.openxmlformats.org/officeDocument/2006/relationships/hyperlink" Target="https://www.muenchenstein.ch/_rte/abstimmung/115858" TargetMode="External" Id="rId101"/><Relationship Type="http://schemas.openxmlformats.org/officeDocument/2006/relationships/hyperlink" Target="https://www.muenchenstein.ch/_rte/abstimmung/115859" TargetMode="External" Id="rId102"/><Relationship Type="http://schemas.openxmlformats.org/officeDocument/2006/relationships/hyperlink" Target="https://www.muenchenstein.ch/_rte/abstimmung/115860" TargetMode="External" Id="rId103"/><Relationship Type="http://schemas.openxmlformats.org/officeDocument/2006/relationships/hyperlink" Target="https://www.muenchenstein.ch/_rte/abstimmung/115861" TargetMode="External" Id="rId104"/><Relationship Type="http://schemas.openxmlformats.org/officeDocument/2006/relationships/hyperlink" Target="https://www.muenchenstein.ch/_rte/abstimmung/115862" TargetMode="External" Id="rId105"/><Relationship Type="http://schemas.openxmlformats.org/officeDocument/2006/relationships/hyperlink" Target="https://www.muenchenstein.ch/_rte/abstimmung/119063" TargetMode="External" Id="rId106"/><Relationship Type="http://schemas.openxmlformats.org/officeDocument/2006/relationships/hyperlink" Target="https://www.muenchenstein.ch/_rte/abstimmung/119064" TargetMode="External" Id="rId107"/><Relationship Type="http://schemas.openxmlformats.org/officeDocument/2006/relationships/hyperlink" Target="https://www.muenchenstein.ch/_rte/abstimmung/119065" TargetMode="External" Id="rId108"/><Relationship Type="http://schemas.openxmlformats.org/officeDocument/2006/relationships/hyperlink" Target="https://www.muenchenstein.ch/_rte/abstimmung/119066" TargetMode="External" Id="rId109"/><Relationship Type="http://schemas.openxmlformats.org/officeDocument/2006/relationships/hyperlink" Target="https://www.muenchenstein.ch/_rte/abstimmung/122217" TargetMode="External" Id="rId110"/><Relationship Type="http://schemas.openxmlformats.org/officeDocument/2006/relationships/hyperlink" Target="https://www.muenchenstein.ch/_rte/abstimmung/122218" TargetMode="External" Id="rId111"/><Relationship Type="http://schemas.openxmlformats.org/officeDocument/2006/relationships/hyperlink" Target="https://www.muenchenstein.ch/_rte/abstimmung/122219" TargetMode="External" Id="rId112"/><Relationship Type="http://schemas.openxmlformats.org/officeDocument/2006/relationships/hyperlink" Target="https://www.muenchenstein.ch/_rte/abstimmung/125157" TargetMode="External" Id="rId113"/><Relationship Type="http://schemas.openxmlformats.org/officeDocument/2006/relationships/hyperlink" Target="https://www.muenchenstein.ch/_rte/abstimmung/125158" TargetMode="External" Id="rId114"/><Relationship Type="http://schemas.openxmlformats.org/officeDocument/2006/relationships/hyperlink" Target="https://www.muenchenstein.ch/_rte/abstimmung/125159" TargetMode="External" Id="rId115"/><Relationship Type="http://schemas.openxmlformats.org/officeDocument/2006/relationships/hyperlink" Target="https://www.muenchenstein.ch/_rte/abstimmung/125160" TargetMode="External" Id="rId116"/><Relationship Type="http://schemas.openxmlformats.org/officeDocument/2006/relationships/hyperlink" Target="https://www.muenchenstein.ch/_rte/abstimmung/129344" TargetMode="External" Id="rId117"/><Relationship Type="http://schemas.openxmlformats.org/officeDocument/2006/relationships/hyperlink" Target="https://www.muenchenstein.ch/_rte/abstimmung/129345" TargetMode="External" Id="rId118"/><Relationship Type="http://schemas.openxmlformats.org/officeDocument/2006/relationships/hyperlink" Target="https://www.muenchenstein.ch/_rte/abstimmung/129346" TargetMode="External" Id="rId119"/><Relationship Type="http://schemas.openxmlformats.org/officeDocument/2006/relationships/hyperlink" Target="https://www.muenchenstein.ch/_rte/abstimmung/129348" TargetMode="External" Id="rId120"/><Relationship Type="http://schemas.openxmlformats.org/officeDocument/2006/relationships/hyperlink" Target="https://www.muenchenstein.ch/_rte/abstimmung/129349" TargetMode="External" Id="rId121"/><Relationship Type="http://schemas.openxmlformats.org/officeDocument/2006/relationships/hyperlink" Target="https://www.muenchenstein.ch/_rte/abstimmung/132796" TargetMode="External" Id="rId122"/><Relationship Type="http://schemas.openxmlformats.org/officeDocument/2006/relationships/hyperlink" Target="https://www.muenchenstein.ch/_rte/abstimmung/132797" TargetMode="External" Id="rId123"/><Relationship Type="http://schemas.openxmlformats.org/officeDocument/2006/relationships/hyperlink" Target="https://www.muenchenstein.ch/_rte/abstimmung/132798" TargetMode="External" Id="rId124"/><Relationship Type="http://schemas.openxmlformats.org/officeDocument/2006/relationships/hyperlink" Target="https://www.muenchenstein.ch/_rte/abstimmung/132799" TargetMode="External" Id="rId125"/><Relationship Type="http://schemas.openxmlformats.org/officeDocument/2006/relationships/hyperlink" Target="https://www.muenchenstein.ch/_rte/abstimmung/132801" TargetMode="External" Id="rId126"/><Relationship Type="http://schemas.openxmlformats.org/officeDocument/2006/relationships/hyperlink" Target="https://www.muenchenstein.ch/_rte/abstimmung/132802" TargetMode="External" Id="rId127"/><Relationship Type="http://schemas.openxmlformats.org/officeDocument/2006/relationships/hyperlink" Target="https://www.muenchenstein.ch/_rte/abstimmung/136667" TargetMode="External" Id="rId128"/><Relationship Type="http://schemas.openxmlformats.org/officeDocument/2006/relationships/hyperlink" Target="https://www.muenchenstein.ch/_rte/abstimmung/136668" TargetMode="External" Id="rId129"/><Relationship Type="http://schemas.openxmlformats.org/officeDocument/2006/relationships/hyperlink" Target="https://www.muenchenstein.ch/_rte/abstimmung/136669" TargetMode="External" Id="rId130"/><Relationship Type="http://schemas.openxmlformats.org/officeDocument/2006/relationships/hyperlink" Target="https://www.muenchenstein.ch/_rte/abstimmung/138173" TargetMode="External" Id="rId131"/><Relationship Type="http://schemas.openxmlformats.org/officeDocument/2006/relationships/hyperlink" Target="https://www.muenchenstein.ch/_rte/abstimmung/139485" TargetMode="External" Id="rId132"/><Relationship Type="http://schemas.openxmlformats.org/officeDocument/2006/relationships/hyperlink" Target="https://www.muenchenstein.ch/_rte/abstimmung/139486" TargetMode="External" Id="rId133"/><Relationship Type="http://schemas.openxmlformats.org/officeDocument/2006/relationships/hyperlink" Target="https://www.muenchenstein.ch/_rte/abstimmung/139487" TargetMode="External" Id="rId134"/><Relationship Type="http://schemas.openxmlformats.org/officeDocument/2006/relationships/hyperlink" Target="https://www.muenchenstein.ch/_rte/abstimmung/139488" TargetMode="External" Id="rId135"/><Relationship Type="http://schemas.openxmlformats.org/officeDocument/2006/relationships/hyperlink" Target="https://www.muenchenstein.ch/_rte/abstimmung/139489" TargetMode="External" Id="rId136"/><Relationship Type="http://schemas.openxmlformats.org/officeDocument/2006/relationships/hyperlink" Target="https://www.muenchenstein.ch/_rte/abstimmung/139490" TargetMode="External" Id="rId137"/><Relationship Type="http://schemas.openxmlformats.org/officeDocument/2006/relationships/hyperlink" Target="https://www.muenchenstein.ch/_rte/abstimmung/143041" TargetMode="External" Id="rId138"/><Relationship Type="http://schemas.openxmlformats.org/officeDocument/2006/relationships/hyperlink" Target="https://www.muenchenstein.ch/_rte/abstimmung/143042" TargetMode="External" Id="rId139"/><Relationship Type="http://schemas.openxmlformats.org/officeDocument/2006/relationships/hyperlink" Target="https://www.muenchenstein.ch/_rte/abstimmung/143043" TargetMode="External" Id="rId140"/><Relationship Type="http://schemas.openxmlformats.org/officeDocument/2006/relationships/hyperlink" Target="https://www.muenchenstein.ch/_rte/abstimmung/143044" TargetMode="External" Id="rId141"/><Relationship Type="http://schemas.openxmlformats.org/officeDocument/2006/relationships/hyperlink" Target="https://www.muenchenstein.ch/_rte/abstimmung/143045" TargetMode="External" Id="rId142"/><Relationship Type="http://schemas.openxmlformats.org/officeDocument/2006/relationships/hyperlink" Target="https://www.muenchenstein.ch/_rte/abstimmung/143046" TargetMode="External" Id="rId143"/><Relationship Type="http://schemas.openxmlformats.org/officeDocument/2006/relationships/hyperlink" Target="https://www.muenchenstein.ch/_rte/abstimmung/145283" TargetMode="External" Id="rId144"/><Relationship Type="http://schemas.openxmlformats.org/officeDocument/2006/relationships/hyperlink" Target="https://www.muenchenstein.ch/_rte/abstimmung/145285" TargetMode="External" Id="rId145"/><Relationship Type="http://schemas.openxmlformats.org/officeDocument/2006/relationships/hyperlink" Target="https://www.muenchenstein.ch/_rte/abstimmung/147755" TargetMode="External" Id="rId146"/><Relationship Type="http://schemas.openxmlformats.org/officeDocument/2006/relationships/hyperlink" Target="https://www.muenchenstein.ch/_rte/abstimmung/147756" TargetMode="External" Id="rId147"/><Relationship Type="http://schemas.openxmlformats.org/officeDocument/2006/relationships/hyperlink" Target="https://www.muenchenstein.ch/_rte/abstimmung/147757" TargetMode="External" Id="rId148"/><Relationship Type="http://schemas.openxmlformats.org/officeDocument/2006/relationships/hyperlink" Target="https://www.muenchenstein.ch/_rte/abstimmung/147758" TargetMode="External" Id="rId149"/><Relationship Type="http://schemas.openxmlformats.org/officeDocument/2006/relationships/hyperlink" Target="https://www.muenchenstein.ch/_rte/abstimmung/151673" TargetMode="External" Id="rId150"/><Relationship Type="http://schemas.openxmlformats.org/officeDocument/2006/relationships/hyperlink" Target="https://www.muenchenstein.ch/_rte/abstimmung/151681" TargetMode="External" Id="rId151"/><Relationship Type="http://schemas.openxmlformats.org/officeDocument/2006/relationships/hyperlink" Target="https://www.muenchenstein.ch/_rte/abstimmung/151682" TargetMode="External" Id="rId152"/><Relationship Type="http://schemas.openxmlformats.org/officeDocument/2006/relationships/hyperlink" Target="https://www.muenchenstein.ch/_rte/abstimmung/151683" TargetMode="External" Id="rId153"/><Relationship Type="http://schemas.openxmlformats.org/officeDocument/2006/relationships/hyperlink" Target="https://www.muenchenstein.ch/_rte/abstimmung/151684" TargetMode="External" Id="rId154"/><Relationship Type="http://schemas.openxmlformats.org/officeDocument/2006/relationships/hyperlink" Target="https://www.muenchenstein.ch/_rte/abstimmung/151685" TargetMode="External" Id="rId155"/><Relationship Type="http://schemas.openxmlformats.org/officeDocument/2006/relationships/hyperlink" Target="https://www.muenchenstein.ch/_rte/abstimmung/151686" TargetMode="External" Id="rId156"/><Relationship Type="http://schemas.openxmlformats.org/officeDocument/2006/relationships/hyperlink" Target="https://www.muenchenstein.ch/_rte/abstimmung/151687" TargetMode="External" Id="rId157"/><Relationship Type="http://schemas.openxmlformats.org/officeDocument/2006/relationships/hyperlink" Target="https://www.muenchenstein.ch/_rte/abstimmung/151688" TargetMode="External" Id="rId158"/><Relationship Type="http://schemas.openxmlformats.org/officeDocument/2006/relationships/hyperlink" Target="https://www.muenchenstein.ch/_rte/abstimmung/151689" TargetMode="External" Id="rId159"/><Relationship Type="http://schemas.openxmlformats.org/officeDocument/2006/relationships/hyperlink" Target="https://www.muenchenstein.ch/_rte/abstimmung/151690" TargetMode="External" Id="rId160"/><Relationship Type="http://schemas.openxmlformats.org/officeDocument/2006/relationships/hyperlink" Target="https://www.muenchenstein.ch/_rte/abstimmung/154765" TargetMode="External" Id="rId161"/><Relationship Type="http://schemas.openxmlformats.org/officeDocument/2006/relationships/hyperlink" Target="https://www.muenchenstein.ch/_rte/abstimmung/154766" TargetMode="External" Id="rId162"/><Relationship Type="http://schemas.openxmlformats.org/officeDocument/2006/relationships/hyperlink" Target="https://www.muenchenstein.ch/_rte/abstimmung/154767" TargetMode="External" Id="rId163"/><Relationship Type="http://schemas.openxmlformats.org/officeDocument/2006/relationships/hyperlink" Target="https://www.muenchenstein.ch/_rte/abstimmung/156436" TargetMode="External" Id="rId164"/><Relationship Type="http://schemas.openxmlformats.org/officeDocument/2006/relationships/hyperlink" Target="https://www.muenchenstein.ch/_rte/abstimmung/156437" TargetMode="External" Id="rId165"/><Relationship Type="http://schemas.openxmlformats.org/officeDocument/2006/relationships/hyperlink" Target="https://www.muenchenstein.ch/_rte/abstimmung/156438" TargetMode="External" Id="rId166"/><Relationship Type="http://schemas.openxmlformats.org/officeDocument/2006/relationships/hyperlink" Target="https://www.muenchenstein.ch/_rte/abstimmung/156443" TargetMode="External" Id="rId167"/><Relationship Type="http://schemas.openxmlformats.org/officeDocument/2006/relationships/hyperlink" Target="https://www.muenchenstein.ch/_rte/abstimmung/156444" TargetMode="External" Id="rId168"/><Relationship Type="http://schemas.openxmlformats.org/officeDocument/2006/relationships/hyperlink" Target="https://www.muenchenstein.ch/_rte/abstimmung/156445" TargetMode="External" Id="rId169"/><Relationship Type="http://schemas.openxmlformats.org/officeDocument/2006/relationships/hyperlink" Target="https://www.muenchenstein.ch/_rte/abstimmung/158199" TargetMode="External" Id="rId170"/><Relationship Type="http://schemas.openxmlformats.org/officeDocument/2006/relationships/hyperlink" Target="https://www.muenchenstein.ch/_rte/abstimmung/158204" TargetMode="External" Id="rId171"/><Relationship Type="http://schemas.openxmlformats.org/officeDocument/2006/relationships/hyperlink" Target="https://www.muenchenstein.ch/_rte/abstimmung/160328" TargetMode="External" Id="rId172"/><Relationship Type="http://schemas.openxmlformats.org/officeDocument/2006/relationships/hyperlink" Target="https://www.muenchenstein.ch/_rte/abstimmung/160329" TargetMode="External" Id="rId173"/><Relationship Type="http://schemas.openxmlformats.org/officeDocument/2006/relationships/hyperlink" Target="https://www.muenchenstein.ch/_rte/abstimmung/160330" TargetMode="External" Id="rId174"/><Relationship Type="http://schemas.openxmlformats.org/officeDocument/2006/relationships/hyperlink" Target="https://www.muenchenstein.ch/_rte/abstimmung/160331" TargetMode="External" Id="rId175"/><Relationship Type="http://schemas.openxmlformats.org/officeDocument/2006/relationships/hyperlink" Target="https://www.muenchenstein.ch/_rte/abstimmung/161702" TargetMode="External" Id="rId176"/><Relationship Type="http://schemas.openxmlformats.org/officeDocument/2006/relationships/hyperlink" Target="https://www.muenchenstein.ch/_rte/abstimmung/161706" TargetMode="External" Id="rId177"/><Relationship Type="http://schemas.openxmlformats.org/officeDocument/2006/relationships/hyperlink" Target="https://www.muenchenstein.ch/_rte/abstimmung/161710" TargetMode="External" Id="rId178"/><Relationship Type="http://schemas.openxmlformats.org/officeDocument/2006/relationships/hyperlink" Target="https://www.muenchenstein.ch/_rte/abstimmung/161711" TargetMode="External" Id="rId179"/><Relationship Type="http://schemas.openxmlformats.org/officeDocument/2006/relationships/hyperlink" Target="https://www.muenchenstein.ch/_rte/abstimmung/161712" TargetMode="External" Id="rId180"/><Relationship Type="http://schemas.openxmlformats.org/officeDocument/2006/relationships/hyperlink" Target="https://www.muenchenstein.ch/_rte/abstimmung/161713" TargetMode="External" Id="rId181"/><Relationship Type="http://schemas.openxmlformats.org/officeDocument/2006/relationships/hyperlink" Target="https://www.muenchenstein.ch/_rte/abstimmung/161715" TargetMode="External" Id="rId182"/><Relationship Type="http://schemas.openxmlformats.org/officeDocument/2006/relationships/hyperlink" Target="https://www.muenchenstein.ch/_rte/abstimmung/167558" TargetMode="External" Id="rId183"/><Relationship Type="http://schemas.openxmlformats.org/officeDocument/2006/relationships/hyperlink" Target="https://www.muenchenstein.ch/_rte/abstimmung/167561" TargetMode="External" Id="rId184"/><Relationship Type="http://schemas.openxmlformats.org/officeDocument/2006/relationships/hyperlink" Target="https://www.muenchenstein.ch/_rte/abstimmung/169715" TargetMode="External" Id="rId185"/><Relationship Type="http://schemas.openxmlformats.org/officeDocument/2006/relationships/hyperlink" Target="https://www.muenchenstein.ch/_rte/abstimmung/169718" TargetMode="External" Id="rId186"/><Relationship Type="http://schemas.openxmlformats.org/officeDocument/2006/relationships/hyperlink" Target="https://www.muenchenstein.ch/_rte/abstimmung/169721" TargetMode="External" Id="rId187"/><Relationship Type="http://schemas.openxmlformats.org/officeDocument/2006/relationships/hyperlink" Target="https://www.muenchenstein.ch/_rte/abstimmung/169724" TargetMode="External" Id="rId188"/><Relationship Type="http://schemas.openxmlformats.org/officeDocument/2006/relationships/hyperlink" Target="https://www.muenchenstein.ch/_rte/abstimmung/169727" TargetMode="External" Id="rId189"/><Relationship Type="http://schemas.openxmlformats.org/officeDocument/2006/relationships/hyperlink" Target="https://www.muenchenstein.ch/_rte/abstimmung/169730" TargetMode="External" Id="rId190"/><Relationship Type="http://schemas.openxmlformats.org/officeDocument/2006/relationships/hyperlink" Target="https://www.muenchenstein.ch/_rte/abstimmung/176305" TargetMode="External" Id="rId191"/><Relationship Type="http://schemas.openxmlformats.org/officeDocument/2006/relationships/hyperlink" Target="https://www.muenchenstein.ch/_rte/abstimmung/176308" TargetMode="External" Id="rId192"/><Relationship Type="http://schemas.openxmlformats.org/officeDocument/2006/relationships/hyperlink" Target="https://www.muenchenstein.ch/_rte/abstimmung/176311" TargetMode="External" Id="rId193"/><Relationship Type="http://schemas.openxmlformats.org/officeDocument/2006/relationships/hyperlink" Target="https://www.muenchenstein.ch/_rte/abstimmung/176314" TargetMode="External" Id="rId194"/><Relationship Type="http://schemas.openxmlformats.org/officeDocument/2006/relationships/hyperlink" Target="https://www.muenchenstein.ch/_rte/abstimmung/176317" TargetMode="External" Id="rId195"/><Relationship Type="http://schemas.openxmlformats.org/officeDocument/2006/relationships/hyperlink" Target="https://www.muenchenstein.ch/_rte/abstimmung/176320" TargetMode="External" Id="rId196"/><Relationship Type="http://schemas.openxmlformats.org/officeDocument/2006/relationships/hyperlink" Target="https://www.muenchenstein.ch/_rte/abstimmung/184292" TargetMode="External" Id="rId197"/><Relationship Type="http://schemas.openxmlformats.org/officeDocument/2006/relationships/hyperlink" Target="https://www.muenchenstein.ch/_rte/abstimmung/184295" TargetMode="External" Id="rId198"/><Relationship Type="http://schemas.openxmlformats.org/officeDocument/2006/relationships/hyperlink" Target="https://www.muenchenstein.ch/_rte/abstimmung/184298" TargetMode="External" Id="rId199"/><Relationship Type="http://schemas.openxmlformats.org/officeDocument/2006/relationships/hyperlink" Target="https://www.muenchenstein.ch/_rte/abstimmung/188476" TargetMode="External" Id="rId200"/><Relationship Type="http://schemas.openxmlformats.org/officeDocument/2006/relationships/hyperlink" Target="https://www.muenchenstein.ch/_rte/abstimmung/188482" TargetMode="External" Id="rId201"/><Relationship Type="http://schemas.openxmlformats.org/officeDocument/2006/relationships/hyperlink" Target="https://www.muenchenstein.ch/_rte/abstimmung/188488" TargetMode="External" Id="rId202"/><Relationship Type="http://schemas.openxmlformats.org/officeDocument/2006/relationships/hyperlink" Target="https://www.muenchenstein.ch/_rte/abstimmung/188491" TargetMode="External" Id="rId203"/><Relationship Type="http://schemas.openxmlformats.org/officeDocument/2006/relationships/hyperlink" Target="https://www.muenchenstein.ch/_rte/abstimmung/188494" TargetMode="External" Id="rId204"/><Relationship Type="http://schemas.openxmlformats.org/officeDocument/2006/relationships/hyperlink" Target="https://www.muenchenstein.ch/_rte/abstimmung/188497" TargetMode="External" Id="rId205"/><Relationship Type="http://schemas.openxmlformats.org/officeDocument/2006/relationships/hyperlink" Target="https://www.muenchenstein.ch/_rte/abstimmung/195019" TargetMode="External" Id="rId206"/><Relationship Type="http://schemas.openxmlformats.org/officeDocument/2006/relationships/hyperlink" Target="https://www.muenchenstein.ch/_rte/abstimmung/195022" TargetMode="External" Id="rId207"/><Relationship Type="http://schemas.openxmlformats.org/officeDocument/2006/relationships/hyperlink" Target="https://www.muenchenstein.ch/_rte/abstimmung/195025" TargetMode="External" Id="rId208"/><Relationship Type="http://schemas.openxmlformats.org/officeDocument/2006/relationships/hyperlink" Target="https://www.muenchenstein.ch/_rte/abstimmung/195031" TargetMode="External" Id="rId209"/><Relationship Type="http://schemas.openxmlformats.org/officeDocument/2006/relationships/hyperlink" Target="https://www.muenchenstein.ch/_rte/abstimmung/195034" TargetMode="External" Id="rId210"/><Relationship Type="http://schemas.openxmlformats.org/officeDocument/2006/relationships/hyperlink" Target="https://www.muenchenstein.ch/_rte/abstimmung/202925" TargetMode="External" Id="rId211"/><Relationship Type="http://schemas.openxmlformats.org/officeDocument/2006/relationships/hyperlink" Target="https://www.muenchenstein.ch/_rte/abstimmung/202928" TargetMode="External" Id="rId212"/><Relationship Type="http://schemas.openxmlformats.org/officeDocument/2006/relationships/hyperlink" Target="https://www.muenchenstein.ch/_rte/abstimmung/202931" TargetMode="External" Id="rId213"/><Relationship Type="http://schemas.openxmlformats.org/officeDocument/2006/relationships/hyperlink" Target="https://www.muenchenstein.ch/_rte/abstimmung/202937" TargetMode="External" Id="rId214"/><Relationship Type="http://schemas.openxmlformats.org/officeDocument/2006/relationships/hyperlink" Target="https://www.muenchenstein.ch/_rte/abstimmung/209285" TargetMode="External" Id="rId215"/><Relationship Type="http://schemas.openxmlformats.org/officeDocument/2006/relationships/hyperlink" Target="https://www.muenchenstein.ch/_rte/abstimmung/209288" TargetMode="External" Id="rId216"/><Relationship Type="http://schemas.openxmlformats.org/officeDocument/2006/relationships/hyperlink" Target="https://www.muenchenstein.ch/_rte/abstimmung/209291" TargetMode="External" Id="rId217"/><Relationship Type="http://schemas.openxmlformats.org/officeDocument/2006/relationships/hyperlink" Target="https://www.muenchenstein.ch/_rte/abstimmung/209294" TargetMode="External" Id="rId218"/><Relationship Type="http://schemas.openxmlformats.org/officeDocument/2006/relationships/hyperlink" Target="https://www.muenchenstein.ch/_rte/abstimmung/209297" TargetMode="External" Id="rId219"/><Relationship Type="http://schemas.openxmlformats.org/officeDocument/2006/relationships/hyperlink" Target="https://www.muenchenstein.ch/_rte/abstimmung/209300" TargetMode="External" Id="rId220"/><Relationship Type="http://schemas.openxmlformats.org/officeDocument/2006/relationships/hyperlink" Target="https://www.muenchenstein.ch/_rte/abstimmung/214885" TargetMode="External" Id="rId221"/><Relationship Type="http://schemas.openxmlformats.org/officeDocument/2006/relationships/hyperlink" Target="https://www.muenchenstein.ch/_rte/abstimmung/214894" TargetMode="External" Id="rId222"/><Relationship Type="http://schemas.openxmlformats.org/officeDocument/2006/relationships/hyperlink" Target="https://www.muenchenstein.ch/_rte/abstimmung/221600" TargetMode="External" Id="rId223"/><Relationship Type="http://schemas.openxmlformats.org/officeDocument/2006/relationships/hyperlink" Target="https://www.muenchenstein.ch/_rte/abstimmung/225932" TargetMode="External" Id="rId224"/><Relationship Type="http://schemas.openxmlformats.org/officeDocument/2006/relationships/hyperlink" Target="https://www.muenchenstein.ch/_rte/abstimmung/225938" TargetMode="External" Id="rId225"/><Relationship Type="http://schemas.openxmlformats.org/officeDocument/2006/relationships/hyperlink" Target="https://www.muenchenstein.ch/_rte/abstimmung/225941" TargetMode="External" Id="rId226"/><Relationship Type="http://schemas.openxmlformats.org/officeDocument/2006/relationships/hyperlink" Target="https://www.muenchenstein.ch/_rte/abstimmung/225944" TargetMode="External" Id="rId227"/><Relationship Type="http://schemas.openxmlformats.org/officeDocument/2006/relationships/hyperlink" Target="https://www.muenchenstein.ch/_rte/abstimmung/225956" TargetMode="External" Id="rId228"/><Relationship Type="http://schemas.openxmlformats.org/officeDocument/2006/relationships/hyperlink" Target="https://www.muenchenstein.ch/_rte/abstimmung/234037" TargetMode="External" Id="rId229"/><Relationship Type="http://schemas.openxmlformats.org/officeDocument/2006/relationships/hyperlink" Target="https://www.muenchenstein.ch/_rte/abstimmung/234040" TargetMode="External" Id="rId230"/><Relationship Type="http://schemas.openxmlformats.org/officeDocument/2006/relationships/hyperlink" Target="https://www.muenchenstein.ch/_rte/abstimmung/234049" TargetMode="External" Id="rId231"/><Relationship Type="http://schemas.openxmlformats.org/officeDocument/2006/relationships/hyperlink" Target="https://www.muenchenstein.ch/_rte/abstimmung/241226" TargetMode="External" Id="rId232"/><Relationship Type="http://schemas.openxmlformats.org/officeDocument/2006/relationships/hyperlink" Target="https://www.muenchenstein.ch/_rte/abstimmung/241229" TargetMode="External" Id="rId233"/><Relationship Type="http://schemas.openxmlformats.org/officeDocument/2006/relationships/hyperlink" Target="https://www.muenchenstein.ch/_rte/abstimmung/241232" TargetMode="External" Id="rId234"/><Relationship Type="http://schemas.openxmlformats.org/officeDocument/2006/relationships/hyperlink" Target="https://www.muenchenstein.ch/_rte/abstimmung/241235" TargetMode="External" Id="rId235"/><Relationship Type="http://schemas.openxmlformats.org/officeDocument/2006/relationships/hyperlink" Target="https://www.muenchenstein.ch/_rte/abstimmung/241238" TargetMode="External" Id="rId236"/><Relationship Type="http://schemas.openxmlformats.org/officeDocument/2006/relationships/hyperlink" Target="https://www.muenchenstein.ch/_rte/abstimmung/241244" TargetMode="External" Id="rId237"/><Relationship Type="http://schemas.openxmlformats.org/officeDocument/2006/relationships/hyperlink" Target="https://www.muenchenstein.ch/_rte/abstimmung/251042" TargetMode="External" Id="rId238"/><Relationship Type="http://schemas.openxmlformats.org/officeDocument/2006/relationships/hyperlink" Target="https://www.muenchenstein.ch/_rte/abstimmung/251045" TargetMode="External" Id="rId239"/><Relationship Type="http://schemas.openxmlformats.org/officeDocument/2006/relationships/hyperlink" Target="https://www.muenchenstein.ch/_rte/abstimmung/251051" TargetMode="External" Id="rId240"/><Relationship Type="http://schemas.openxmlformats.org/officeDocument/2006/relationships/hyperlink" Target="https://www.muenchenstein.ch/_rte/abstimmung/251054" TargetMode="External" Id="rId241"/><Relationship Type="http://schemas.openxmlformats.org/officeDocument/2006/relationships/hyperlink" Target="https://www.muenchenstein.ch/_rte/abstimmung/25246" TargetMode="External" Id="rId242"/><Relationship Type="http://schemas.openxmlformats.org/officeDocument/2006/relationships/hyperlink" Target="https://www.muenchenstein.ch/_rte/abstimmung/258893" TargetMode="External" Id="rId243"/><Relationship Type="http://schemas.openxmlformats.org/officeDocument/2006/relationships/hyperlink" Target="https://www.muenchenstein.ch/_rte/abstimmung/258896" TargetMode="External" Id="rId244"/><Relationship Type="http://schemas.openxmlformats.org/officeDocument/2006/relationships/hyperlink" Target="https://www.muenchenstein.ch/_rte/abstimmung/259906" TargetMode="External" Id="rId245"/><Relationship Type="http://schemas.openxmlformats.org/officeDocument/2006/relationships/hyperlink" Target="https://www.muenchenstein.ch/_rte/abstimmung/261652" TargetMode="External" Id="rId246"/><Relationship Type="http://schemas.openxmlformats.org/officeDocument/2006/relationships/hyperlink" Target="https://www.muenchenstein.ch/_rte/abstimmung/261655" TargetMode="External" Id="rId247"/><Relationship Type="http://schemas.openxmlformats.org/officeDocument/2006/relationships/hyperlink" Target="https://www.muenchenstein.ch/_rte/abstimmung/261664" TargetMode="External" Id="rId248"/><Relationship Type="http://schemas.openxmlformats.org/officeDocument/2006/relationships/hyperlink" Target="https://www.muenchenstein.ch/_rte/abstimmung/265018" TargetMode="External" Id="rId249"/><Relationship Type="http://schemas.openxmlformats.org/officeDocument/2006/relationships/hyperlink" Target="https://www.muenchenstein.ch/_rte/abstimmung/265021" TargetMode="External" Id="rId250"/><Relationship Type="http://schemas.openxmlformats.org/officeDocument/2006/relationships/hyperlink" Target="https://www.muenchenstein.ch/_rte/abstimmung/265027" TargetMode="External" Id="rId251"/><Relationship Type="http://schemas.openxmlformats.org/officeDocument/2006/relationships/hyperlink" Target="https://www.muenchenstein.ch/_rte/abstimmung/265030" TargetMode="External" Id="rId252"/><Relationship Type="http://schemas.openxmlformats.org/officeDocument/2006/relationships/hyperlink" Target="https://www.muenchenstein.ch/_rte/abstimmung/265033" TargetMode="External" Id="rId253"/><Relationship Type="http://schemas.openxmlformats.org/officeDocument/2006/relationships/hyperlink" Target="https://www.muenchenstein.ch/_rte/abstimmung/265036" TargetMode="External" Id="rId254"/><Relationship Type="http://schemas.openxmlformats.org/officeDocument/2006/relationships/hyperlink" Target="https://www.muenchenstein.ch/_rte/abstimmung/270899" TargetMode="External" Id="rId255"/><Relationship Type="http://schemas.openxmlformats.org/officeDocument/2006/relationships/hyperlink" Target="https://www.muenchenstein.ch/_rte/abstimmung/270902" TargetMode="External" Id="rId256"/><Relationship Type="http://schemas.openxmlformats.org/officeDocument/2006/relationships/hyperlink" Target="https://www.muenchenstein.ch/_rte/abstimmung/270908" TargetMode="External" Id="rId257"/><Relationship Type="http://schemas.openxmlformats.org/officeDocument/2006/relationships/hyperlink" Target="https://www.muenchenstein.ch/_rte/abstimmung/270911" TargetMode="External" Id="rId258"/><Relationship Type="http://schemas.openxmlformats.org/officeDocument/2006/relationships/hyperlink" Target="https://www.muenchenstein.ch/_rte/abstimmung/27784" TargetMode="External" Id="rId259"/><Relationship Type="http://schemas.openxmlformats.org/officeDocument/2006/relationships/hyperlink" Target="https://www.muenchenstein.ch/_rte/abstimmung/27785" TargetMode="External" Id="rId260"/><Relationship Type="http://schemas.openxmlformats.org/officeDocument/2006/relationships/hyperlink" Target="https://www.muenchenstein.ch/_rte/abstimmung/27786" TargetMode="External" Id="rId261"/><Relationship Type="http://schemas.openxmlformats.org/officeDocument/2006/relationships/hyperlink" Target="https://www.muenchenstein.ch/_rte/abstimmung/27788" TargetMode="External" Id="rId262"/><Relationship Type="http://schemas.openxmlformats.org/officeDocument/2006/relationships/hyperlink" Target="https://www.muenchenstein.ch/_rte/abstimmung/27789" TargetMode="External" Id="rId263"/><Relationship Type="http://schemas.openxmlformats.org/officeDocument/2006/relationships/hyperlink" Target="https://www.muenchenstein.ch/_rte/abstimmung/278252" TargetMode="External" Id="rId264"/><Relationship Type="http://schemas.openxmlformats.org/officeDocument/2006/relationships/hyperlink" Target="https://www.muenchenstein.ch/_rte/abstimmung/278255" TargetMode="External" Id="rId265"/><Relationship Type="http://schemas.openxmlformats.org/officeDocument/2006/relationships/hyperlink" Target="https://www.muenchenstein.ch/_rte/abstimmung/278261" TargetMode="External" Id="rId266"/><Relationship Type="http://schemas.openxmlformats.org/officeDocument/2006/relationships/hyperlink" Target="https://www.muenchenstein.ch/_rte/abstimmung/283459" TargetMode="External" Id="rId267"/><Relationship Type="http://schemas.openxmlformats.org/officeDocument/2006/relationships/hyperlink" Target="https://www.muenchenstein.ch/_rte/abstimmung/285614" TargetMode="External" Id="rId268"/><Relationship Type="http://schemas.openxmlformats.org/officeDocument/2006/relationships/hyperlink" Target="https://www.muenchenstein.ch/_rte/abstimmung/285620" TargetMode="External" Id="rId269"/><Relationship Type="http://schemas.openxmlformats.org/officeDocument/2006/relationships/hyperlink" Target="https://www.muenchenstein.ch/_rte/abstimmung/292657" TargetMode="External" Id="rId270"/><Relationship Type="http://schemas.openxmlformats.org/officeDocument/2006/relationships/hyperlink" Target="https://www.muenchenstein.ch/_rte/abstimmung/292663" TargetMode="External" Id="rId271"/><Relationship Type="http://schemas.openxmlformats.org/officeDocument/2006/relationships/hyperlink" Target="https://www.muenchenstein.ch/_rte/abstimmung/294841" TargetMode="External" Id="rId272"/><Relationship Type="http://schemas.openxmlformats.org/officeDocument/2006/relationships/hyperlink" Target="https://www.muenchenstein.ch/_rte/abstimmung/294847" TargetMode="External" Id="rId273"/><Relationship Type="http://schemas.openxmlformats.org/officeDocument/2006/relationships/hyperlink" Target="https://www.muenchenstein.ch/_rte/abstimmung/294850" TargetMode="External" Id="rId274"/><Relationship Type="http://schemas.openxmlformats.org/officeDocument/2006/relationships/hyperlink" Target="https://www.muenchenstein.ch/_rte/abstimmung/294853" TargetMode="External" Id="rId275"/><Relationship Type="http://schemas.openxmlformats.org/officeDocument/2006/relationships/hyperlink" Target="https://www.muenchenstein.ch/_rte/abstimmung/294856" TargetMode="External" Id="rId276"/><Relationship Type="http://schemas.openxmlformats.org/officeDocument/2006/relationships/hyperlink" Target="https://www.muenchenstein.ch/_rte/abstimmung/29592" TargetMode="External" Id="rId277"/><Relationship Type="http://schemas.openxmlformats.org/officeDocument/2006/relationships/hyperlink" Target="https://www.muenchenstein.ch/_rte/abstimmung/29593" TargetMode="External" Id="rId278"/><Relationship Type="http://schemas.openxmlformats.org/officeDocument/2006/relationships/hyperlink" Target="https://www.muenchenstein.ch/_rte/abstimmung/29594" TargetMode="External" Id="rId279"/><Relationship Type="http://schemas.openxmlformats.org/officeDocument/2006/relationships/hyperlink" Target="https://www.muenchenstein.ch/_rte/abstimmung/299251" TargetMode="External" Id="rId280"/><Relationship Type="http://schemas.openxmlformats.org/officeDocument/2006/relationships/hyperlink" Target="https://www.muenchenstein.ch/_rte/abstimmung/299281" TargetMode="External" Id="rId281"/><Relationship Type="http://schemas.openxmlformats.org/officeDocument/2006/relationships/hyperlink" Target="https://www.muenchenstein.ch/_rte/abstimmung/301597" TargetMode="External" Id="rId282"/><Relationship Type="http://schemas.openxmlformats.org/officeDocument/2006/relationships/hyperlink" Target="https://www.muenchenstein.ch/_rte/abstimmung/301600" TargetMode="External" Id="rId283"/><Relationship Type="http://schemas.openxmlformats.org/officeDocument/2006/relationships/hyperlink" Target="https://www.muenchenstein.ch/_rte/abstimmung/301603" TargetMode="External" Id="rId284"/><Relationship Type="http://schemas.openxmlformats.org/officeDocument/2006/relationships/hyperlink" Target="https://www.muenchenstein.ch/_rte/abstimmung/305794" TargetMode="External" Id="rId285"/><Relationship Type="http://schemas.openxmlformats.org/officeDocument/2006/relationships/hyperlink" Target="https://www.muenchenstein.ch/_rte/abstimmung/305797" TargetMode="External" Id="rId286"/><Relationship Type="http://schemas.openxmlformats.org/officeDocument/2006/relationships/hyperlink" Target="https://www.muenchenstein.ch/_rte/abstimmung/305800" TargetMode="External" Id="rId287"/><Relationship Type="http://schemas.openxmlformats.org/officeDocument/2006/relationships/hyperlink" Target="https://www.muenchenstein.ch/_rte/abstimmung/30611" TargetMode="External" Id="rId288"/><Relationship Type="http://schemas.openxmlformats.org/officeDocument/2006/relationships/hyperlink" Target="https://www.muenchenstein.ch/_rte/abstimmung/312730" TargetMode="External" Id="rId289"/><Relationship Type="http://schemas.openxmlformats.org/officeDocument/2006/relationships/hyperlink" Target="https://www.muenchenstein.ch/_rte/abstimmung/312733" TargetMode="External" Id="rId290"/><Relationship Type="http://schemas.openxmlformats.org/officeDocument/2006/relationships/hyperlink" Target="https://www.muenchenstein.ch/_rte/abstimmung/312736" TargetMode="External" Id="rId291"/><Relationship Type="http://schemas.openxmlformats.org/officeDocument/2006/relationships/hyperlink" Target="https://www.muenchenstein.ch/_rte/abstimmung/312742" TargetMode="External" Id="rId292"/><Relationship Type="http://schemas.openxmlformats.org/officeDocument/2006/relationships/hyperlink" Target="https://www.muenchenstein.ch/_rte/abstimmung/31319" TargetMode="External" Id="rId293"/><Relationship Type="http://schemas.openxmlformats.org/officeDocument/2006/relationships/hyperlink" Target="https://www.muenchenstein.ch/_rte/abstimmung/31320" TargetMode="External" Id="rId294"/><Relationship Type="http://schemas.openxmlformats.org/officeDocument/2006/relationships/hyperlink" Target="https://www.muenchenstein.ch/_rte/abstimmung/31321" TargetMode="External" Id="rId295"/><Relationship Type="http://schemas.openxmlformats.org/officeDocument/2006/relationships/hyperlink" Target="https://www.muenchenstein.ch/_rte/abstimmung/31322" TargetMode="External" Id="rId296"/><Relationship Type="http://schemas.openxmlformats.org/officeDocument/2006/relationships/hyperlink" Target="https://www.muenchenstein.ch/_rte/abstimmung/318743" TargetMode="External" Id="rId297"/><Relationship Type="http://schemas.openxmlformats.org/officeDocument/2006/relationships/hyperlink" Target="https://www.muenchenstein.ch/_rte/abstimmung/318746" TargetMode="External" Id="rId298"/><Relationship Type="http://schemas.openxmlformats.org/officeDocument/2006/relationships/hyperlink" Target="https://www.muenchenstein.ch/_rte/abstimmung/318749" TargetMode="External" Id="rId299"/><Relationship Type="http://schemas.openxmlformats.org/officeDocument/2006/relationships/hyperlink" Target="https://www.muenchenstein.ch/_rte/abstimmung/318752" TargetMode="External" Id="rId300"/><Relationship Type="http://schemas.openxmlformats.org/officeDocument/2006/relationships/hyperlink" Target="https://www.muenchenstein.ch/_rte/abstimmung/318758" TargetMode="External" Id="rId301"/><Relationship Type="http://schemas.openxmlformats.org/officeDocument/2006/relationships/hyperlink" Target="https://www.muenchenstein.ch/_rte/abstimmung/318761" TargetMode="External" Id="rId302"/><Relationship Type="http://schemas.openxmlformats.org/officeDocument/2006/relationships/hyperlink" Target="https://www.muenchenstein.ch/_rte/abstimmung/318764" TargetMode="External" Id="rId303"/><Relationship Type="http://schemas.openxmlformats.org/officeDocument/2006/relationships/hyperlink" Target="https://www.muenchenstein.ch/_rte/abstimmung/318770" TargetMode="External" Id="rId304"/><Relationship Type="http://schemas.openxmlformats.org/officeDocument/2006/relationships/hyperlink" Target="https://www.muenchenstein.ch/_rte/abstimmung/318773" TargetMode="External" Id="rId305"/><Relationship Type="http://schemas.openxmlformats.org/officeDocument/2006/relationships/hyperlink" Target="https://www.muenchenstein.ch/_rte/abstimmung/322384" TargetMode="External" Id="rId306"/><Relationship Type="http://schemas.openxmlformats.org/officeDocument/2006/relationships/hyperlink" Target="https://www.muenchenstein.ch/_rte/abstimmung/322387" TargetMode="External" Id="rId307"/><Relationship Type="http://schemas.openxmlformats.org/officeDocument/2006/relationships/hyperlink" Target="https://www.muenchenstein.ch/_rte/abstimmung/322390" TargetMode="External" Id="rId308"/><Relationship Type="http://schemas.openxmlformats.org/officeDocument/2006/relationships/hyperlink" Target="https://www.muenchenstein.ch/_rte/abstimmung/322393" TargetMode="External" Id="rId309"/><Relationship Type="http://schemas.openxmlformats.org/officeDocument/2006/relationships/hyperlink" Target="https://www.muenchenstein.ch/_rte/abstimmung/322399" TargetMode="External" Id="rId310"/><Relationship Type="http://schemas.openxmlformats.org/officeDocument/2006/relationships/hyperlink" Target="https://www.muenchenstein.ch/_rte/abstimmung/327079" TargetMode="External" Id="rId311"/><Relationship Type="http://schemas.openxmlformats.org/officeDocument/2006/relationships/hyperlink" Target="https://www.muenchenstein.ch/_rte/abstimmung/327082" TargetMode="External" Id="rId312"/><Relationship Type="http://schemas.openxmlformats.org/officeDocument/2006/relationships/hyperlink" Target="https://www.muenchenstein.ch/_rte/abstimmung/327088" TargetMode="External" Id="rId313"/><Relationship Type="http://schemas.openxmlformats.org/officeDocument/2006/relationships/hyperlink" Target="https://www.muenchenstein.ch/_rte/abstimmung/328972" TargetMode="External" Id="rId314"/><Relationship Type="http://schemas.openxmlformats.org/officeDocument/2006/relationships/hyperlink" Target="https://www.muenchenstein.ch/_rte/abstimmung/328975" TargetMode="External" Id="rId315"/><Relationship Type="http://schemas.openxmlformats.org/officeDocument/2006/relationships/hyperlink" Target="https://www.muenchenstein.ch/_rte/abstimmung/328981" TargetMode="External" Id="rId316"/><Relationship Type="http://schemas.openxmlformats.org/officeDocument/2006/relationships/hyperlink" Target="https://www.muenchenstein.ch/_rte/abstimmung/328984" TargetMode="External" Id="rId317"/><Relationship Type="http://schemas.openxmlformats.org/officeDocument/2006/relationships/hyperlink" Target="https://www.muenchenstein.ch/_rte/abstimmung/328987" TargetMode="External" Id="rId318"/><Relationship Type="http://schemas.openxmlformats.org/officeDocument/2006/relationships/hyperlink" Target="https://www.muenchenstein.ch/_rte/abstimmung/328990" TargetMode="External" Id="rId319"/><Relationship Type="http://schemas.openxmlformats.org/officeDocument/2006/relationships/hyperlink" Target="https://www.muenchenstein.ch/_rte/abstimmung/33944" TargetMode="External" Id="rId320"/><Relationship Type="http://schemas.openxmlformats.org/officeDocument/2006/relationships/hyperlink" Target="https://www.muenchenstein.ch/_rte/abstimmung/33945" TargetMode="External" Id="rId321"/><Relationship Type="http://schemas.openxmlformats.org/officeDocument/2006/relationships/hyperlink" Target="https://www.muenchenstein.ch/_rte/abstimmung/35594" TargetMode="External" Id="rId322"/><Relationship Type="http://schemas.openxmlformats.org/officeDocument/2006/relationships/hyperlink" Target="https://www.muenchenstein.ch/_rte/abstimmung/36734" TargetMode="External" Id="rId323"/><Relationship Type="http://schemas.openxmlformats.org/officeDocument/2006/relationships/hyperlink" Target="https://www.muenchenstein.ch/_rte/abstimmung/36735" TargetMode="External" Id="rId324"/><Relationship Type="http://schemas.openxmlformats.org/officeDocument/2006/relationships/hyperlink" Target="https://www.muenchenstein.ch/_rte/abstimmung/42061" TargetMode="External" Id="rId325"/><Relationship Type="http://schemas.openxmlformats.org/officeDocument/2006/relationships/hyperlink" Target="https://www.muenchenstein.ch/_rte/abstimmung/42062" TargetMode="External" Id="rId326"/><Relationship Type="http://schemas.openxmlformats.org/officeDocument/2006/relationships/hyperlink" Target="https://www.muenchenstein.ch/_rte/abstimmung/42063" TargetMode="External" Id="rId327"/><Relationship Type="http://schemas.openxmlformats.org/officeDocument/2006/relationships/hyperlink" Target="https://www.muenchenstein.ch/_rte/abstimmung/42064" TargetMode="External" Id="rId328"/><Relationship Type="http://schemas.openxmlformats.org/officeDocument/2006/relationships/hyperlink" Target="https://www.muenchenstein.ch/_rte/abstimmung/42065" TargetMode="External" Id="rId329"/><Relationship Type="http://schemas.openxmlformats.org/officeDocument/2006/relationships/hyperlink" Target="https://www.muenchenstein.ch/_rte/abstimmung/43114" TargetMode="External" Id="rId330"/><Relationship Type="http://schemas.openxmlformats.org/officeDocument/2006/relationships/hyperlink" Target="https://www.muenchenstein.ch/_rte/abstimmung/43115" TargetMode="External" Id="rId331"/><Relationship Type="http://schemas.openxmlformats.org/officeDocument/2006/relationships/hyperlink" Target="https://www.muenchenstein.ch/_rte/abstimmung/43116" TargetMode="External" Id="rId332"/><Relationship Type="http://schemas.openxmlformats.org/officeDocument/2006/relationships/hyperlink" Target="https://www.muenchenstein.ch/_rte/abstimmung/44753" TargetMode="External" Id="rId333"/><Relationship Type="http://schemas.openxmlformats.org/officeDocument/2006/relationships/hyperlink" Target="https://www.muenchenstein.ch/_rte/abstimmung/44754" TargetMode="External" Id="rId334"/><Relationship Type="http://schemas.openxmlformats.org/officeDocument/2006/relationships/hyperlink" Target="https://www.muenchenstein.ch/_rte/abstimmung/50341" TargetMode="External" Id="rId335"/><Relationship Type="http://schemas.openxmlformats.org/officeDocument/2006/relationships/hyperlink" Target="https://www.muenchenstein.ch/_rte/abstimmung/50342" TargetMode="External" Id="rId336"/><Relationship Type="http://schemas.openxmlformats.org/officeDocument/2006/relationships/hyperlink" Target="https://www.muenchenstein.ch/_rte/abstimmung/50343" TargetMode="External" Id="rId337"/><Relationship Type="http://schemas.openxmlformats.org/officeDocument/2006/relationships/hyperlink" Target="https://www.muenchenstein.ch/_rte/abstimmung/50344" TargetMode="External" Id="rId338"/><Relationship Type="http://schemas.openxmlformats.org/officeDocument/2006/relationships/hyperlink" Target="https://www.muenchenstein.ch/_rte/abstimmung/50345" TargetMode="External" Id="rId339"/><Relationship Type="http://schemas.openxmlformats.org/officeDocument/2006/relationships/hyperlink" Target="https://www.muenchenstein.ch/_rte/abstimmung/50346" TargetMode="External" Id="rId340"/><Relationship Type="http://schemas.openxmlformats.org/officeDocument/2006/relationships/hyperlink" Target="https://www.muenchenstein.ch/_rte/abstimmung/52386" TargetMode="External" Id="rId341"/><Relationship Type="http://schemas.openxmlformats.org/officeDocument/2006/relationships/hyperlink" Target="https://www.muenchenstein.ch/_rte/abstimmung/63663" TargetMode="External" Id="rId342"/><Relationship Type="http://schemas.openxmlformats.org/officeDocument/2006/relationships/hyperlink" Target="https://www.muenchenstein.ch/_rte/abstimmung/63664" TargetMode="External" Id="rId343"/><Relationship Type="http://schemas.openxmlformats.org/officeDocument/2006/relationships/hyperlink" Target="https://www.muenchenstein.ch/_rte/abstimmung/63665" TargetMode="External" Id="rId344"/><Relationship Type="http://schemas.openxmlformats.org/officeDocument/2006/relationships/hyperlink" Target="https://www.muenchenstein.ch/_rte/abstimmung/63666" TargetMode="External" Id="rId345"/><Relationship Type="http://schemas.openxmlformats.org/officeDocument/2006/relationships/hyperlink" Target="https://www.muenchenstein.ch/_rte/abstimmung/63667" TargetMode="External" Id="rId346"/><Relationship Type="http://schemas.openxmlformats.org/officeDocument/2006/relationships/hyperlink" Target="https://www.muenchenstein.ch/_rte/abstimmung/64992" TargetMode="External" Id="rId347"/><Relationship Type="http://schemas.openxmlformats.org/officeDocument/2006/relationships/hyperlink" Target="https://www.muenchenstein.ch/_rte/abstimmung/64993" TargetMode="External" Id="rId348"/><Relationship Type="http://schemas.openxmlformats.org/officeDocument/2006/relationships/hyperlink" Target="https://www.muenchenstein.ch/_rte/abstimmung/64994" TargetMode="External" Id="rId349"/><Relationship Type="http://schemas.openxmlformats.org/officeDocument/2006/relationships/hyperlink" Target="https://www.muenchenstein.ch/_rte/abstimmung/64995" TargetMode="External" Id="rId350"/><Relationship Type="http://schemas.openxmlformats.org/officeDocument/2006/relationships/hyperlink" Target="https://www.muenchenstein.ch/_rte/abstimmung/64996" TargetMode="External" Id="rId351"/><Relationship Type="http://schemas.openxmlformats.org/officeDocument/2006/relationships/hyperlink" Target="https://www.muenchenstein.ch/_rte/abstimmung/64997" TargetMode="External" Id="rId352"/><Relationship Type="http://schemas.openxmlformats.org/officeDocument/2006/relationships/hyperlink" Target="https://www.muenchenstein.ch/_rte/abstimmung/68451" TargetMode="External" Id="rId353"/><Relationship Type="http://schemas.openxmlformats.org/officeDocument/2006/relationships/hyperlink" Target="https://www.muenchenstein.ch/_rte/abstimmung/68452" TargetMode="External" Id="rId354"/><Relationship Type="http://schemas.openxmlformats.org/officeDocument/2006/relationships/hyperlink" Target="https://www.muenchenstein.ch/_rte/abstimmung/68454" TargetMode="External" Id="rId355"/><Relationship Type="http://schemas.openxmlformats.org/officeDocument/2006/relationships/hyperlink" Target="https://www.muenchenstein.ch/_rte/abstimmung/71582" TargetMode="External" Id="rId356"/><Relationship Type="http://schemas.openxmlformats.org/officeDocument/2006/relationships/hyperlink" Target="https://www.muenchenstein.ch/_rte/abstimmung/71583" TargetMode="External" Id="rId357"/><Relationship Type="http://schemas.openxmlformats.org/officeDocument/2006/relationships/hyperlink" Target="https://www.muenchenstein.ch/_rte/abstimmung/74434" TargetMode="External" Id="rId358"/><Relationship Type="http://schemas.openxmlformats.org/officeDocument/2006/relationships/hyperlink" Target="https://www.muenchenstein.ch/_rte/abstimmung/76970" TargetMode="External" Id="rId359"/><Relationship Type="http://schemas.openxmlformats.org/officeDocument/2006/relationships/hyperlink" Target="https://www.muenchenstein.ch/_rte/abstimmung/76971" TargetMode="External" Id="rId360"/><Relationship Type="http://schemas.openxmlformats.org/officeDocument/2006/relationships/hyperlink" Target="https://www.muenchenstein.ch/_rte/abstimmung/76972" TargetMode="External" Id="rId361"/><Relationship Type="http://schemas.openxmlformats.org/officeDocument/2006/relationships/hyperlink" Target="https://www.muenchenstein.ch/_rte/abstimmung/79353" TargetMode="External" Id="rId362"/><Relationship Type="http://schemas.openxmlformats.org/officeDocument/2006/relationships/hyperlink" Target="https://www.muenchenstein.ch/_rte/abstimmung/79354" TargetMode="External" Id="rId363"/><Relationship Type="http://schemas.openxmlformats.org/officeDocument/2006/relationships/hyperlink" Target="https://www.muenchenstein.ch/_rte/abstimmung/80793" TargetMode="External" Id="rId364"/><Relationship Type="http://schemas.openxmlformats.org/officeDocument/2006/relationships/hyperlink" Target="https://www.muenchenstein.ch/_rte/abstimmung/87351" TargetMode="External" Id="rId365"/><Relationship Type="http://schemas.openxmlformats.org/officeDocument/2006/relationships/hyperlink" Target="https://www.muenchenstein.ch/_rte/abstimmung/89368" TargetMode="External" Id="rId366"/><Relationship Type="http://schemas.openxmlformats.org/officeDocument/2006/relationships/hyperlink" Target="https://www.muenchenstein.ch/_rte/abstimmung/89369" TargetMode="External" Id="rId367"/><Relationship Type="http://schemas.openxmlformats.org/officeDocument/2006/relationships/hyperlink" Target="https://www.muenchenstein.ch/_rte/abstimmung/89370" TargetMode="External" Id="rId368"/><Relationship Type="http://schemas.openxmlformats.org/officeDocument/2006/relationships/hyperlink" Target="https://www.muenchenstein.ch/_rte/abstimmung/89371" TargetMode="External" Id="rId369"/><Relationship Type="http://schemas.openxmlformats.org/officeDocument/2006/relationships/hyperlink" Target="https://www.muenchenstein.ch/_rte/abstimmung/95007" TargetMode="External" Id="rId370"/><Relationship Type="http://schemas.openxmlformats.org/officeDocument/2006/relationships/hyperlink" Target="https://www.muenchenstein.ch/_rte/abstimmung/95008" TargetMode="External" Id="rId371"/><Relationship Type="http://schemas.openxmlformats.org/officeDocument/2006/relationships/hyperlink" Target="https://www.muenchenstein.ch/_rte/abstimmung/95009" TargetMode="External" Id="rId372"/><Relationship Type="http://schemas.openxmlformats.org/officeDocument/2006/relationships/hyperlink" Target="https://www.muenchenstein.ch/_rte/abstimmung/95010" TargetMode="External" Id="rId373"/><Relationship Type="http://schemas.openxmlformats.org/officeDocument/2006/relationships/hyperlink" Target="https://www.muenchenstein.ch/_rte/abstimmung/95011" TargetMode="External" Id="rId374"/><Relationship Type="http://schemas.openxmlformats.org/officeDocument/2006/relationships/hyperlink" Target="https://www.muenchenstein.ch/_rte/abstimmung/97018" TargetMode="External" Id="rId375"/><Relationship Type="http://schemas.openxmlformats.org/officeDocument/2006/relationships/hyperlink" Target="https://www.muenchenstein.ch/_rte/abstimmung/97019" TargetMode="External" Id="rId376"/><Relationship Type="http://schemas.openxmlformats.org/officeDocument/2006/relationships/hyperlink" Target="https://www.muenchenstein.ch/_rte/abstimmung/97020" TargetMode="External" Id="rId377"/><Relationship Type="http://schemas.openxmlformats.org/officeDocument/2006/relationships/hyperlink" Target="https://www.muenchenstein.ch/_rte/abstimmung/97021" TargetMode="External" Id="rId378"/><Relationship Type="http://schemas.openxmlformats.org/officeDocument/2006/relationships/hyperlink" Target="https://www.muenchenstein.ch/_rte/abstimmung/97022" TargetMode="External" Id="rId379"/><Relationship Type="http://schemas.openxmlformats.org/officeDocument/2006/relationships/hyperlink" Target="https://www.muenchenstein.ch/_rte/abstimmung/97023" TargetMode="External" Id="rId380"/><Relationship Type="http://schemas.openxmlformats.org/officeDocument/2006/relationships/hyperlink" Target="https://www.muenchenstein.ch/_rte/abstimmung/97024" TargetMode="External" Id="rId381"/><Relationship Type="http://schemas.openxmlformats.org/officeDocument/2006/relationships/hyperlink" Target="https://www.muenchenstein.ch/_rte/wahl/15979" TargetMode="External" Id="rId382"/><Relationship Type="http://schemas.openxmlformats.org/officeDocument/2006/relationships/hyperlink" Target="https://www.muenchenstein.ch/_rte/wahl/6628" TargetMode="External" Id="rId383"/><Relationship Type="http://schemas.openxmlformats.org/officeDocument/2006/relationships/hyperlink" Target="https://www.muenchenstein.ch/_rte/wahl/916" TargetMode="External" Id="rId384"/><Relationship Type="http://schemas.openxmlformats.org/officeDocument/2006/relationships/hyperlink" Target="https://www.muenchenstein.ch/_rtr/publikation_524374" TargetMode="External" Id="rId385"/><Relationship Type="http://schemas.openxmlformats.org/officeDocument/2006/relationships/hyperlink" Target="https://www.muenchenstein.ch/_rtr/sitzung.list" TargetMode="External" Id="rId386"/><Relationship Type="http://schemas.openxmlformats.org/officeDocument/2006/relationships/hyperlink" Target="https://www.muenchenstein.ch/abstimmungen" TargetMode="External" Id="rId387"/><Relationship Type="http://schemas.openxmlformats.org/officeDocument/2006/relationships/hyperlink" Target="https://www.muenchenstein.ch/abstimmungen/vorlagen" TargetMode="External" Id="rId388"/><Relationship Type="http://schemas.openxmlformats.org/officeDocument/2006/relationships/hyperlink" Target="https://www.muenchenstein.ch/archivgemeindeversammlung" TargetMode="External" Id="rId389"/><Relationship Type="http://schemas.openxmlformats.org/officeDocument/2006/relationships/hyperlink" Target="https://www.muenchenstein.ch/legislaturziele" TargetMode="External" Id="rId390"/><Relationship Type="http://schemas.openxmlformats.org/officeDocument/2006/relationships/hyperlink" Target="https://www.muenchenstein.ch/sitzung" TargetMode="External" Id="rId391"/><Relationship Type="http://schemas.openxmlformats.org/officeDocument/2006/relationships/hyperlink" Target="https://www.muenchenstein.ch/sitzung/5729125" TargetMode="External" Id="rId392"/><Relationship Type="http://schemas.openxmlformats.org/officeDocument/2006/relationships/hyperlink" Target="https://www.muenchenstein.ch/sitzung/5729137" TargetMode="External" Id="rId393"/><Relationship Type="http://schemas.openxmlformats.org/officeDocument/2006/relationships/hyperlink" Target="https://www.seelisberg.ch/files/bilder/JR2023_Gde-Seelisberg.pdf" TargetMode="External" Id="rId394"/><Relationship Type="http://schemas.openxmlformats.org/officeDocument/2006/relationships/hyperlink" Target="https://www.seelisberg.ch/files/pdf/BUDGET2024_extern-ohne-Text.pdf" TargetMode="External" Id="rId395"/><Relationship Type="http://schemas.openxmlformats.org/officeDocument/2006/relationships/hyperlink" Target="https://www.seelisberg.ch/files/pdf/Budget-ER-2025_Gesamtauflage_ohne-Bemerkungen_&#246;ffentlich.pdf" TargetMode="External" Id="rId396"/><Relationship Type="http://schemas.openxmlformats.org/officeDocument/2006/relationships/hyperlink" Target="https://www.seelisberg.ch/files/pdf/Budget-ER-2026_Gesamtauflage_ohne-Bemerkungen_&#246;ffentlich.pdf" TargetMode="External" Id="rId397"/><Relationship Type="http://schemas.openxmlformats.org/officeDocument/2006/relationships/hyperlink" Target="https://www.seelisberg.ch/files/pdf/Budget_2021.pdf" TargetMode="External" Id="rId398"/><Relationship Type="http://schemas.openxmlformats.org/officeDocument/2006/relationships/hyperlink" Target="https://www.seelisberg.ch/files/pdf/Budgetweb-2020.pdf" TargetMode="External" Id="rId399"/><Relationship Type="http://schemas.openxmlformats.org/officeDocument/2006/relationships/hyperlink" Target="https://www.seelisberg.ch/files/pdf/Gesamt-Budget_2022_extern-ohne-Text.pdf" TargetMode="External" Id="rId400"/><Relationship Type="http://schemas.openxmlformats.org/officeDocument/2006/relationships/hyperlink" Target="https://www.seelisberg.ch/files/pdf/Gesamtbudget_2023_ohne-Text_Auflage-Bev&#246;lkerung-und-Webseite.pdf" TargetMode="External" Id="rId401"/><Relationship Type="http://schemas.openxmlformats.org/officeDocument/2006/relationships/hyperlink" Target="https://www.seelisberg.ch/files/pdf/JR2024_Gde-Seelisberg.pdf" TargetMode="External" Id="rId402"/><Relationship Type="http://schemas.openxmlformats.org/officeDocument/2006/relationships/hyperlink" Target="https://www.seelisberg.ch/files/pdf/Jahresrechnung_2020_end.pdf" TargetMode="External" Id="rId403"/><Relationship Type="http://schemas.openxmlformats.org/officeDocument/2006/relationships/hyperlink" Target="https://www.seelisberg.ch/files/pdf/Jahresrechnung_Gde-Seelisberg_2022.pdf" TargetMode="External" Id="rId404"/><Relationship Type="http://schemas.openxmlformats.org/officeDocument/2006/relationships/hyperlink" Target="https://www.seelisberg.ch/files/pdf/Jahresrechnung_Gde-Seelisberg_2023.pdf" TargetMode="External" Id="rId405"/><Relationship Type="http://schemas.openxmlformats.org/officeDocument/2006/relationships/hyperlink" Target="https://www.seelisberg.ch/files/pdf/Original_DruckWebseite_RG2021.pdf" TargetMode="External" Id="rId406"/><Relationship Type="http://schemas.openxmlformats.org/officeDocument/2006/relationships/hyperlink" Target="https://www.seelisberg.ch/politik/budget-rechnung" TargetMode="External" Id="rId407"/><Relationship Type="http://schemas.openxmlformats.org/officeDocument/2006/relationships/hyperlink" Target="https://www.ur.ch/finanzen/1579" TargetMode="External" Id="rId408"/><Relationship Type="http://schemas.openxmlformats.org/officeDocument/2006/relationships/hyperlink" Target="https://www.ur.ch/finanzen/1585" TargetMode="External" Id="rId409"/><Relationship Type="http://schemas.openxmlformats.org/officeDocument/2006/relationships/hyperlink" Target="https://www.ur.ch/wirtschaft/6658" TargetMode="External" Id="rId410"/><Relationship Type="http://schemas.openxmlformats.org/officeDocument/2006/relationships/hyperlink" Target="https://www.seelisberg.ch/einwohner-service/rechtssammlung" TargetMode="External" Id="rId411"/><Relationship Type="http://schemas.openxmlformats.org/officeDocument/2006/relationships/hyperlink" Target="https://www.seelisberg.ch/files/pdf/Gemeindeordnung.pdf" TargetMode="External" Id="rId412"/><Relationship Type="http://schemas.openxmlformats.org/officeDocument/2006/relationships/hyperlink" Target="https://www.seelisberg.ch/files/pdf/Parkplatzreglement-PPR_NEUab2026.pdf" TargetMode="External" Id="rId413"/><Relationship Type="http://schemas.openxmlformats.org/officeDocument/2006/relationships/hyperlink" Target="https://www.seelisberg.ch/files/pdf/Parkplatzverordnung-PPV_Anpassung2026.pdf" TargetMode="External" Id="rId414"/><Relationship Type="http://schemas.openxmlformats.org/officeDocument/2006/relationships/hyperlink" Target="https://www.seelisberg.ch/files/pdf/Reglement-Tarife-Friedhof_2025.pdf" TargetMode="External" Id="rId415"/><Relationship Type="http://schemas.openxmlformats.org/officeDocument/2006/relationships/hyperlink" Target="https://www.seelisberg.ch/files/pdf/Reglement_Wissigstrasse.pdf" TargetMode="External" Id="rId416"/><Relationship Type="http://schemas.openxmlformats.org/officeDocument/2006/relationships/hyperlink" Target="https://www.seelisberg.ch/files/pdf/Verordnung-&#252;ber-die-Hundehaltung-und-die-Hundetaxe-HHV.pdf" TargetMode="External" Id="rId417"/><Relationship Type="http://schemas.openxmlformats.org/officeDocument/2006/relationships/hyperlink" Target="https://www.seelisberg.ch/files/pdf/Verordnung_u&#776;ber_das_Personal.pdf" TargetMode="External" Id="rId418"/><Relationship Type="http://schemas.openxmlformats.org/officeDocument/2006/relationships/hyperlink" Target="https://www.seelisberg.ch/files/pdf/Verordnung_u&#776;ber_das_Verfahren_in_den_Beho&#776;rden.pdf" TargetMode="External" Id="rId419"/><Relationship Type="http://schemas.openxmlformats.org/officeDocument/2006/relationships/hyperlink" Target="https://www.seelisberg.ch/files/pdf/Verordnung_u&#776;ber_den_Feuerschutz.pdf" TargetMode="External" Id="rId420"/><Relationship Type="http://schemas.openxmlformats.org/officeDocument/2006/relationships/hyperlink" Target="https://www.seelisberg.ch/files/pdf/Verordnung_u&#776;ber_die_Entscha&#776;digung.pdf" TargetMode="External" Id="rId421"/><Relationship Type="http://schemas.openxmlformats.org/officeDocument/2006/relationships/hyperlink" Target="https://www.seelisberg.ch/files/pdf/Verordnung_&#252;ber_die_G&#228;stetaxen.pdf" TargetMode="External" Id="rId422"/><Relationship Type="http://schemas.openxmlformats.org/officeDocument/2006/relationships/hyperlink" Target="https://www.seelisberg.ch/files/pdf/Verordnung_&#252;ber_die_Tarife_der_Wasserversorgung.pdf" TargetMode="External" Id="rId423"/><Relationship Type="http://schemas.openxmlformats.org/officeDocument/2006/relationships/hyperlink" Target="https://www.seelisberg.ch/files/pdf/Verordnung_&#252;ber_die_Wasserversorgung.pdf" TargetMode="External" Id="rId424"/><Relationship Type="http://schemas.openxmlformats.org/officeDocument/2006/relationships/hyperlink" Target="https://www.seelisberg.ch/politik/rechtssammlung" TargetMode="External" Id="rId425"/><Relationship Type="http://schemas.openxmlformats.org/officeDocument/2006/relationships/hyperlink" Target="https://www.ur.ch/raumumwelt/4181" TargetMode="External" Id="rId426"/><Relationship Type="http://schemas.openxmlformats.org/officeDocument/2006/relationships/hyperlink" Target="https://www.seelisberg.ch/files/pdf/Verordnung_&#252;ber_das_Verfahren_an_der_Gemeindeversammlung.pdf" TargetMode="External" Id="rId427"/><Relationship Type="http://schemas.openxmlformats.org/officeDocument/2006/relationships/hyperlink" Target="https://www.ur.ch/staatrecht/1486" TargetMode="External" Id="rId428"/><Relationship Type="http://schemas.openxmlformats.org/officeDocument/2006/relationships/hyperlink" Target="https://www.ur.ch/staatrecht/5828" TargetMode="External" Id="rId429"/><Relationship Type="http://schemas.openxmlformats.org/officeDocument/2006/relationships/hyperlink" Target="https://www.ur.ch/uebersichtverwaltung" TargetMode="External" Id="rId430"/><Relationship Type="http://schemas.openxmlformats.org/officeDocument/2006/relationships/hyperlink" Target="https://www.admin.ch/de/volksabstimmung-vom-27-september-2026" TargetMode="External" Id="rId431"/><Relationship Type="http://schemas.openxmlformats.org/officeDocument/2006/relationships/hyperlink" Target="https://www.bk.admin.ch/de/volksabstimmung/?date=2024-09-22" TargetMode="External" Id="rId432"/><Relationship Type="http://schemas.openxmlformats.org/officeDocument/2006/relationships/hyperlink" Target="https://www.bk.admin.ch/de/volksabstimmung/?date=2024-11-24" TargetMode="External" Id="rId433"/><Relationship Type="http://schemas.openxmlformats.org/officeDocument/2006/relationships/hyperlink" Target="https://www.bk.admin.ch/de/volksabstimmung/?date=2025-02-09" TargetMode="External" Id="rId434"/><Relationship Type="http://schemas.openxmlformats.org/officeDocument/2006/relationships/hyperlink" Target="https://www.bk.admin.ch/de/volksabstimmung/?date=2025-09-28" TargetMode="External" Id="rId435"/><Relationship Type="http://schemas.openxmlformats.org/officeDocument/2006/relationships/hyperlink" Target="https://www.bk.admin.ch/de/volksabstimmung/?date=2025-11-30" TargetMode="External" Id="rId436"/><Relationship Type="http://schemas.openxmlformats.org/officeDocument/2006/relationships/hyperlink" Target="https://www.bk.admin.ch/de/volksabstimmung/?date=2026-03-08" TargetMode="External" Id="rId437"/><Relationship Type="http://schemas.openxmlformats.org/officeDocument/2006/relationships/hyperlink" Target="https://www.bk.admin.ch/de/volksabstimmung/?date=2026-06-14" TargetMode="External" Id="rId438"/><Relationship Type="http://schemas.openxmlformats.org/officeDocument/2006/relationships/hyperlink" Target="https://www.seelisberg.ch/files/bilder/Protokoll-Beschl&#252;sse_24052024.pdf" TargetMode="External" Id="rId439"/><Relationship Type="http://schemas.openxmlformats.org/officeDocument/2006/relationships/hyperlink" Target="https://www.seelisberg.ch/files/pdf/20052022_Protokoll-Beschl&#252;sse.pdf" TargetMode="External" Id="rId440"/><Relationship Type="http://schemas.openxmlformats.org/officeDocument/2006/relationships/hyperlink" Target="https://www.seelisberg.ch/files/pdf/26112021_Protokoll-Beschl&#252;sse.pdf" TargetMode="External" Id="rId441"/><Relationship Type="http://schemas.openxmlformats.org/officeDocument/2006/relationships/hyperlink" Target="https://www.seelisberg.ch/files/pdf/Abstimmung_GdeSeelisberg_220924.pdf" TargetMode="External" Id="rId442"/><Relationship Type="http://schemas.openxmlformats.org/officeDocument/2006/relationships/hyperlink" Target="https://www.seelisberg.ch/files/pdf/BP_GV_25.11.22.pdf" TargetMode="External" Id="rId443"/><Relationship Type="http://schemas.openxmlformats.org/officeDocument/2006/relationships/hyperlink" Target="https://www.seelisberg.ch/files/pdf/Beschluss_Protokoll_260523.pdf" TargetMode="External" Id="rId444"/><Relationship Type="http://schemas.openxmlformats.org/officeDocument/2006/relationships/hyperlink" Target="https://www.seelisberg.ch/files/pdf/Beschlussprotokoll-GV-Mai-2025.pdf" TargetMode="External" Id="rId445"/><Relationship Type="http://schemas.openxmlformats.org/officeDocument/2006/relationships/hyperlink" Target="https://www.seelisberg.ch/files/pdf/Beschlussprotokoll-GV_29.11.2024.pdf" TargetMode="External" Id="rId446"/><Relationship Type="http://schemas.openxmlformats.org/officeDocument/2006/relationships/hyperlink" Target="https://www.seelisberg.ch/files/pdf/Beschlussprotokoll_GV_24.11.2023.pdf" TargetMode="External" Id="rId447"/><Relationship Type="http://schemas.openxmlformats.org/officeDocument/2006/relationships/hyperlink" Target="https://www.seelisberg.ch/files/pdf/Beschlussprotokoll_GV_28.11.2025.pdf" TargetMode="External" Id="rId448"/><Relationship Type="http://schemas.openxmlformats.org/officeDocument/2006/relationships/hyperlink" Target="https://www.seelisberg.ch/files/pdf/ORIGINAL-Leitbild-Seelisberg-2025-f&#252;r-Webseite.pdf" TargetMode="External" Id="rId449"/><Relationship Type="http://schemas.openxmlformats.org/officeDocument/2006/relationships/hyperlink" Target="https://www.seelisberg.ch/files/pdf/Webseite_Medienmitteilung_nach_GV_Leitbild_DEF.pdf" TargetMode="External" Id="rId450"/><Relationship Type="http://schemas.openxmlformats.org/officeDocument/2006/relationships/hyperlink" Target="https://www.seelisberg.ch/files/pdf/kommunale-Abstimmung-Seelisberg_260308.pdf" TargetMode="External" Id="rId451"/><Relationship Type="http://schemas.openxmlformats.org/officeDocument/2006/relationships/hyperlink" Target="https://www.seelisberg.ch/politik/abstimmungen-wahlen" TargetMode="External" Id="rId452"/><Relationship Type="http://schemas.openxmlformats.org/officeDocument/2006/relationships/hyperlink" Target="https://www.seelisberg.ch/politik/gemeindeversammlung" TargetMode="External" Id="rId453"/><Relationship Type="http://schemas.openxmlformats.org/officeDocument/2006/relationships/hyperlink" Target="https://www.seelisberg.ch/ueber-seelisberg/leitbild" TargetMode="External" Id="rId454"/><Relationship Type="http://schemas.openxmlformats.org/officeDocument/2006/relationships/hyperlink" Target="https://www.ur.ch/abstimmungen" TargetMode="External" Id="rId455"/><Relationship Type="http://schemas.openxmlformats.org/officeDocument/2006/relationships/hyperlink" Target="https://www.ur.ch/abstimmungen/termine/25418" TargetMode="External" Id="rId456"/><Relationship Type="http://schemas.openxmlformats.org/officeDocument/2006/relationships/hyperlink" Target="https://www.ur.ch/abstimmungen/termine/39667" TargetMode="External" Id="rId457"/><Relationship Type="http://schemas.openxmlformats.org/officeDocument/2006/relationships/hyperlink" Target="https://www.ur.ch/abstimmungen/termine/65818" TargetMode="External" Id="rId458"/><Relationship Type="http://schemas.openxmlformats.org/officeDocument/2006/relationships/hyperlink" Target="https://www.ur.ch/abstimmungen/termine/65830" TargetMode="External" Id="rId459"/><Relationship Type="http://schemas.openxmlformats.org/officeDocument/2006/relationships/hyperlink" Target="https://www.ur.ch/abstimmungen/termine/78493" TargetMode="External" Id="rId460"/><Relationship Type="http://schemas.openxmlformats.org/officeDocument/2006/relationships/hyperlink" Target="https://www.ur.ch/abstimmungen/vorlagen" TargetMode="External" Id="rId461"/><Relationship Type="http://schemas.openxmlformats.org/officeDocument/2006/relationships/hyperlink" Target="https://www.ur.ch/exekutivgeschaefte" TargetMode="External" Id="rId462"/><Relationship Type="http://schemas.openxmlformats.org/officeDocument/2006/relationships/hyperlink" Target="https://www.ur.ch/wahlenundabstimmungen" TargetMode="External" Id="rId463"/><Relationship Type="http://schemas.openxmlformats.org/officeDocument/2006/relationships/hyperlink" Target="https://www.ur.ch/wirtschaft/6172" TargetMode="External" Id="rId464"/><Relationship Type="http://schemas.openxmlformats.org/officeDocument/2006/relationships/hyperlink" Target="https://www.sg.ch/content/dam/sgch/politik-verwaltung/gemeinden/gemeindenfinanzen/rechnungslegung-rmsg/berichterstattung/Beispiel%20Bericht%20zum%20Budget%20Spezialgemeinde.docx" TargetMode="External" Id="rId465"/><Relationship Type="http://schemas.openxmlformats.org/officeDocument/2006/relationships/hyperlink" Target="https://www.sg.ch/content/dam/sgch/politik-verwaltung/gemeinden/gemeindenfinanzen/rechnungslegung-rmsg/berichterstattung/Beispiel%20Bericht%20zum%20Budget%20politische%20Gemeinde.docx" TargetMode="External" Id="rId466"/><Relationship Type="http://schemas.openxmlformats.org/officeDocument/2006/relationships/hyperlink" Target="https://www.sg.ch/content/dam/sgch/politik-verwaltung/gemeinden/gemeindenfinanzen/rechnungslegung-rmsg/berichterstattung/Beispiel%20Finanzbericht%20Spezialgemeinde.docx" TargetMode="External" Id="rId467"/><Relationship Type="http://schemas.openxmlformats.org/officeDocument/2006/relationships/hyperlink" Target="https://www.sg.ch/content/dam/sgch/politik-verwaltung/gemeinden/gemeindenfinanzen/rechnungslegung-rmsg/berichterstattung/Beispiel%20Finanzbericht%20politische%20Gemeinde.docx" TargetMode="External" Id="rId468"/><Relationship Type="http://schemas.openxmlformats.org/officeDocument/2006/relationships/hyperlink" Target="https://www.sg.ch/content/dam/sgch/politik-verwaltung/gemeinden/gemeindenfinanzen/rechnungslegung-rmsg/berichterstattung/Muster%20Anhang%20der%20Jahresrechnung%20(Version%201.3).docx" TargetMode="External" Id="rId469"/><Relationship Type="http://schemas.openxmlformats.org/officeDocument/2006/relationships/hyperlink" Target="https://www.sg.ch/content/dam/sgch/politik-verwaltung/gemeinden/gemeindenfinanzen/rechnungslegung-rmsg/berichterstattung/Muster%20Anhang%20der%20Jahresrechnung%20kleine%20Spezialgemeinden%20(Version%201.3).docx" TargetMode="External" Id="rId470"/><Relationship Type="http://schemas.openxmlformats.org/officeDocument/2006/relationships/hyperlink" Target="https://www.sg.ch/content/dam/sgch/politik-verwaltung/gemeinden/gemeindenfinanzen/rechnungslegung-rmsg/hilfsmittel-und-vorlagen/Finanzplanungstool%20f%C3%BCr%20Spezialgemeinden.xlsx" TargetMode="External" Id="rId471"/><Relationship Type="http://schemas.openxmlformats.org/officeDocument/2006/relationships/hyperlink" Target="https://www.sg.ch/content/dam/sgch/politik-verwaltung/gemeinden/gemeindenfinanzen/rmsg-handbuch/05%20Investitionsrechnung.pdf" TargetMode="External" Id="rId472"/><Relationship Type="http://schemas.openxmlformats.org/officeDocument/2006/relationships/hyperlink" Target="https://www.sg.ch/content/dam/sgch/politik-verwaltung/gemeinden/gemeindenfinanzen/rmsg-handbuch/08%20Anhang%20Jahresrechnung.pdf" TargetMode="External" Id="rId473"/><Relationship Type="http://schemas.openxmlformats.org/officeDocument/2006/relationships/hyperlink" Target="https://www.sg.ch/content/dam/sgch/politik-verwaltung/gemeinden/gemeindenfinanzen/rmsg-handbuch/16%20Finanzberichterstattung.pdf" TargetMode="External" Id="rId474"/><Relationship Type="http://schemas.openxmlformats.org/officeDocument/2006/relationships/hyperlink" Target="https://www.sg.ch/steuern-finanzen/steuern/steuerkalkulator/steuerfuss-uebersicht-aller-sg-gemeinden.initialLetter__Wil.html" TargetMode="External" Id="rId475"/><Relationship Type="http://schemas.openxmlformats.org/officeDocument/2006/relationships/hyperlink" Target="https://www.stadtwil.ch/_docn/3339526/Stadt_Wil_Investitionsplan_2022_-_2026.pdf" TargetMode="External" Id="rId476"/><Relationship Type="http://schemas.openxmlformats.org/officeDocument/2006/relationships/hyperlink" Target="https://www.stadtwil.ch/_docn/4363013/004_Beilage_Details_zur_Jahresrechnung_2022.pdf" TargetMode="External" Id="rId477"/><Relationship Type="http://schemas.openxmlformats.org/officeDocument/2006/relationships/hyperlink" Target="https://www.stadtwil.ch/_docn/4510712/Kurzfassung_zur_Jahresrechnung_2022.pdf" TargetMode="External" Id="rId478"/><Relationship Type="http://schemas.openxmlformats.org/officeDocument/2006/relationships/hyperlink" Target="https://www.stadtwil.ch/political-business/28da2d58a16b4b85b0504eeaa7e396dc" TargetMode="External" Id="rId479"/><Relationship Type="http://schemas.openxmlformats.org/officeDocument/2006/relationships/hyperlink" Target="https://www.stadtwil.ch/storage/00d786594258b2cfb99d6fa189b3ef62aa32d331ad569520e84a05600afecd48" TargetMode="External" Id="rId480"/><Relationship Type="http://schemas.openxmlformats.org/officeDocument/2006/relationships/hyperlink" Target="https://www.stadtwil.ch/storage/0279b67c0c75a1a9b93aee7a4fec6c852443ea304ec204ad040905643a7075ac" TargetMode="External" Id="rId481"/><Relationship Type="http://schemas.openxmlformats.org/officeDocument/2006/relationships/hyperlink" Target="https://www.stadtwil.ch/storage/03f5d61667f9d47a687cfd0f6e9bfc88857fc052c44cec8a7bd99d527a224938" TargetMode="External" Id="rId482"/><Relationship Type="http://schemas.openxmlformats.org/officeDocument/2006/relationships/hyperlink" Target="https://www.stadtwil.ch/storage/0a41b0f55fb3f0e7c1072cdfb72a5a3674d2854d2b41565090e104b85e8dbdc0" TargetMode="External" Id="rId483"/><Relationship Type="http://schemas.openxmlformats.org/officeDocument/2006/relationships/hyperlink" Target="https://www.stadtwil.ch/storage/0f0d7ad95464bf91a72506e63d2aae1d5c18327f9bff4bf34b8400c36999b277" TargetMode="External" Id="rId484"/><Relationship Type="http://schemas.openxmlformats.org/officeDocument/2006/relationships/hyperlink" Target="https://www.stadtwil.ch/storage/197a35d219836653f6b15e7e92afca47253da6a8f398262e5767db635043decd" TargetMode="External" Id="rId485"/><Relationship Type="http://schemas.openxmlformats.org/officeDocument/2006/relationships/hyperlink" Target="https://www.stadtwil.ch/storage/204cfb504af6defbd8e383feff026c2e9b98eb4864ea01a90d5ddd5759da7129" TargetMode="External" Id="rId486"/><Relationship Type="http://schemas.openxmlformats.org/officeDocument/2006/relationships/hyperlink" Target="https://www.stadtwil.ch/storage/2c4305c8237790be04c1d9e3757331ab7ebaed4ee3d518b89827edd1c8fef611" TargetMode="External" Id="rId487"/><Relationship Type="http://schemas.openxmlformats.org/officeDocument/2006/relationships/hyperlink" Target="https://www.stadtwil.ch/storage/2d0ebf4e24c5b08a5138fd5e812f0fd5619a5ee31a30e222c83992d81aa62876" TargetMode="External" Id="rId488"/><Relationship Type="http://schemas.openxmlformats.org/officeDocument/2006/relationships/hyperlink" Target="https://www.stadtwil.ch/storage/2d73b525635182a0188b65eaff90bf5a1ac12049d362a321d7c1b13631e11d1e" TargetMode="External" Id="rId489"/><Relationship Type="http://schemas.openxmlformats.org/officeDocument/2006/relationships/hyperlink" Target="https://www.stadtwil.ch/storage/2ecd9e697734cc2262543c9da23828c2b6ad0129cf1654fcfa47f21ba113bf8a" TargetMode="External" Id="rId490"/><Relationship Type="http://schemas.openxmlformats.org/officeDocument/2006/relationships/hyperlink" Target="https://www.stadtwil.ch/storage/356e8846d2f4bf3596af93ee31e7f436d1672e86221637431d0a5d3e772db643" TargetMode="External" Id="rId491"/><Relationship Type="http://schemas.openxmlformats.org/officeDocument/2006/relationships/hyperlink" Target="https://www.stadtwil.ch/storage/39e2da726959f1aebbd8de80d3c4e5cef24ca537c69c7bc0ddad4756830dd400" TargetMode="External" Id="rId492"/><Relationship Type="http://schemas.openxmlformats.org/officeDocument/2006/relationships/hyperlink" Target="https://www.stadtwil.ch/storage/3eedf5399f7a4cdf58e325351954838cac425d01156db4562cefc13a1b796b21" TargetMode="External" Id="rId493"/><Relationship Type="http://schemas.openxmlformats.org/officeDocument/2006/relationships/hyperlink" Target="https://www.stadtwil.ch/storage/40c39c8fc0dfef1db64e95bbcc57cbcd2982873ebbd6b70e1064fe31786f6f75" TargetMode="External" Id="rId494"/><Relationship Type="http://schemas.openxmlformats.org/officeDocument/2006/relationships/hyperlink" Target="https://www.stadtwil.ch/storage/42d72d8b75f4551ef31e1bf56c19bb941441a9b66f14f5b3acb209f4021e729b" TargetMode="External" Id="rId495"/><Relationship Type="http://schemas.openxmlformats.org/officeDocument/2006/relationships/hyperlink" Target="https://www.stadtwil.ch/storage/46c11db85e782dc122cd9a61cc291529509f659681277125f8b019bce5a31b9c" TargetMode="External" Id="rId496"/><Relationship Type="http://schemas.openxmlformats.org/officeDocument/2006/relationships/hyperlink" Target="https://www.stadtwil.ch/storage/4a0a82111e8a55ab573cafb35e0d1ac286837e9573fc981685d2576b96b5a0ed" TargetMode="External" Id="rId497"/><Relationship Type="http://schemas.openxmlformats.org/officeDocument/2006/relationships/hyperlink" Target="https://www.stadtwil.ch/storage/4c38defa65317565cc56097db8e1c95352a57abe9c101d1df3f6646b3aeeb048" TargetMode="External" Id="rId498"/><Relationship Type="http://schemas.openxmlformats.org/officeDocument/2006/relationships/hyperlink" Target="https://www.stadtwil.ch/storage/4fb8e4ddcabaf660fd11996f1a55d976088369d5656270e836392fa18e4b11d1" TargetMode="External" Id="rId499"/><Relationship Type="http://schemas.openxmlformats.org/officeDocument/2006/relationships/hyperlink" Target="https://www.stadtwil.ch/storage/5a29d6b9cdaf623457dcd17cd5c2b5314dbcf07469b1765575c887a6b398aaad" TargetMode="External" Id="rId500"/><Relationship Type="http://schemas.openxmlformats.org/officeDocument/2006/relationships/hyperlink" Target="https://www.stadtwil.ch/storage/5b157eed47c9c8d58206c7f00a29347dffd41ec7d250787056c8ec6177beb8eb" TargetMode="External" Id="rId501"/><Relationship Type="http://schemas.openxmlformats.org/officeDocument/2006/relationships/hyperlink" Target="https://www.stadtwil.ch/storage/5cb00d7f9aeff9ba44244c064ce31fd19d469fc3a66f632832ae5bfb29385c2c" TargetMode="External" Id="rId502"/><Relationship Type="http://schemas.openxmlformats.org/officeDocument/2006/relationships/hyperlink" Target="https://www.stadtwil.ch/storage/6d5b005537c160414488cccbf31bcaf9bf78c6739f29071102deaaccde73a2e6" TargetMode="External" Id="rId503"/><Relationship Type="http://schemas.openxmlformats.org/officeDocument/2006/relationships/hyperlink" Target="https://www.stadtwil.ch/storage/6e02479eb8654b404e3eeb9bd65987c1e41c82b2323556284836c616510568c6" TargetMode="External" Id="rId504"/><Relationship Type="http://schemas.openxmlformats.org/officeDocument/2006/relationships/hyperlink" Target="https://www.stadtwil.ch/storage/6ea6b4489bbef7799a32e0edc1e5cce4fd2a4e5e778b129aa2c419aa235a94ed" TargetMode="External" Id="rId505"/><Relationship Type="http://schemas.openxmlformats.org/officeDocument/2006/relationships/hyperlink" Target="https://www.stadtwil.ch/storage/759d2f265e269ce8f5234f782a6828f5b4ff7aebe66417956d2f3eb3605f1f64" TargetMode="External" Id="rId506"/><Relationship Type="http://schemas.openxmlformats.org/officeDocument/2006/relationships/hyperlink" Target="https://www.stadtwil.ch/storage/7bdf3cf3bc6fbe1586e1b1535d10b86be6d22895e39bf623b35dd6f392849ead" TargetMode="External" Id="rId507"/><Relationship Type="http://schemas.openxmlformats.org/officeDocument/2006/relationships/hyperlink" Target="https://www.stadtwil.ch/storage/7d4a85f5922095a07eeaee7457ca1babed8908385d93d833be82af43298b18f6" TargetMode="External" Id="rId508"/><Relationship Type="http://schemas.openxmlformats.org/officeDocument/2006/relationships/hyperlink" Target="https://www.stadtwil.ch/storage/8577e1164c4d536edeec4b8e0318e0339a79eb5b436493c1b5f5e427addb139d" TargetMode="External" Id="rId509"/><Relationship Type="http://schemas.openxmlformats.org/officeDocument/2006/relationships/hyperlink" Target="https://www.stadtwil.ch/storage/86c954451190b5683f4cea602b5746ce096ff6338c9f35fbea68172b58f684d1" TargetMode="External" Id="rId510"/><Relationship Type="http://schemas.openxmlformats.org/officeDocument/2006/relationships/hyperlink" Target="https://www.stadtwil.ch/storage/875d422378d72386aae96efa76356fbfa05e9a0e1e03f208fbbe599dea21021c" TargetMode="External" Id="rId511"/><Relationship Type="http://schemas.openxmlformats.org/officeDocument/2006/relationships/hyperlink" Target="https://www.stadtwil.ch/storage/8af13c3aa622166e4f3f58f05540340ab4be9f11d1ad3d638bc88055963ca6b1" TargetMode="External" Id="rId512"/><Relationship Type="http://schemas.openxmlformats.org/officeDocument/2006/relationships/hyperlink" Target="https://www.stadtwil.ch/storage/94e86a376773e81cb93ed169653e0496eb46d77418be4b8a72d41ff7e6e22884" TargetMode="External" Id="rId513"/><Relationship Type="http://schemas.openxmlformats.org/officeDocument/2006/relationships/hyperlink" Target="https://www.stadtwil.ch/storage/99172bc54b50f4ed3a9d5ca84fbefb64712f971674a34f7aa65b1237a0444c47" TargetMode="External" Id="rId514"/><Relationship Type="http://schemas.openxmlformats.org/officeDocument/2006/relationships/hyperlink" Target="https://www.stadtwil.ch/storage/a53d14e43381dcba8be88edcba28536ce9c34222a88bf8093fe1897d508ee5a9" TargetMode="External" Id="rId515"/><Relationship Type="http://schemas.openxmlformats.org/officeDocument/2006/relationships/hyperlink" Target="https://www.stadtwil.ch/storage/a5932de8419506bf56d4910acd4662ed2ff77b4f123214fb41e56d85938aafb7" TargetMode="External" Id="rId516"/><Relationship Type="http://schemas.openxmlformats.org/officeDocument/2006/relationships/hyperlink" Target="https://www.stadtwil.ch/storage/aa4410dab8a7d70c48ab1e5dbdf30735f3f604c1175100db3f2ae05ccbe37316" TargetMode="External" Id="rId517"/><Relationship Type="http://schemas.openxmlformats.org/officeDocument/2006/relationships/hyperlink" Target="https://www.stadtwil.ch/storage/af262256d670e42b38e29b3778421d715ef05070895c92d8768e99512c911da5" TargetMode="External" Id="rId518"/><Relationship Type="http://schemas.openxmlformats.org/officeDocument/2006/relationships/hyperlink" Target="https://www.stadtwil.ch/storage/b3e745abec838919a0d3512ab05ab817b75f2910b864625c5abe1b4aa0304157" TargetMode="External" Id="rId519"/><Relationship Type="http://schemas.openxmlformats.org/officeDocument/2006/relationships/hyperlink" Target="https://www.stadtwil.ch/storage/bda848a1c8c0099d7fa141d2ce4b72de3cd99bf41fbadf83f7d4ed51f0748f90" TargetMode="External" Id="rId520"/><Relationship Type="http://schemas.openxmlformats.org/officeDocument/2006/relationships/hyperlink" Target="https://www.stadtwil.ch/storage/c6097b5ae815fb81f14b4db7630b14d9452e3be1ae3cbddd9f8e28d9d0777c7f" TargetMode="External" Id="rId521"/><Relationship Type="http://schemas.openxmlformats.org/officeDocument/2006/relationships/hyperlink" Target="https://www.stadtwil.ch/storage/c7e05a885ee1a6860975358848101c3f21fe558650ccfc5ba12339d34d3232e9" TargetMode="External" Id="rId522"/><Relationship Type="http://schemas.openxmlformats.org/officeDocument/2006/relationships/hyperlink" Target="https://www.stadtwil.ch/storage/cbd766fe3fd1038fca54c289885daa4a6d26dc377f5bacb650abf735e8370f7c" TargetMode="External" Id="rId523"/><Relationship Type="http://schemas.openxmlformats.org/officeDocument/2006/relationships/hyperlink" Target="https://www.stadtwil.ch/storage/d628d6f81fdc76bc3955ba748092dbc74e3eb55fba1186bc0a551d48bb67d902" TargetMode="External" Id="rId524"/><Relationship Type="http://schemas.openxmlformats.org/officeDocument/2006/relationships/hyperlink" Target="https://www.stadtwil.ch/storage/d9c02697aa4a2bf1cb1185338aa8c4455c0625e752a48c9f9188654ff4b1c29e" TargetMode="External" Id="rId525"/><Relationship Type="http://schemas.openxmlformats.org/officeDocument/2006/relationships/hyperlink" Target="https://www.stadtwil.ch/storage/ddeac884afc78b2938e796f1428750d12aa86aecb33c94eea593cc6cab1b312b" TargetMode="External" Id="rId526"/><Relationship Type="http://schemas.openxmlformats.org/officeDocument/2006/relationships/hyperlink" Target="https://www.stadtwil.ch/storage/e068dbaa9fded889bfe861fbff297036691451b5ac887565ba087a4d424a1dbb" TargetMode="External" Id="rId527"/><Relationship Type="http://schemas.openxmlformats.org/officeDocument/2006/relationships/hyperlink" Target="https://www.stadtwil.ch/storage/e0f88b7e95fa8922956f75f20b7d25a8df06e52d5c19f687aa8b236830592835" TargetMode="External" Id="rId528"/><Relationship Type="http://schemas.openxmlformats.org/officeDocument/2006/relationships/hyperlink" Target="https://www.stadtwil.ch/storage/e85e215076ce8aba4c1370d0a77a6b96fc4cba8d5f2ab5821c01f989ca208947" TargetMode="External" Id="rId529"/><Relationship Type="http://schemas.openxmlformats.org/officeDocument/2006/relationships/hyperlink" Target="https://www.stadtwil.ch/storage/f7491b91662ef70522e65b7274a5dc0caae60a57fbe5bf763d0e499763ecc62f" TargetMode="External" Id="rId530"/><Relationship Type="http://schemas.openxmlformats.org/officeDocument/2006/relationships/hyperlink" Target="https://www.stadtwil.ch/storage/f803e67775f3c070290c11030ec10b22728ee55edbbdf5eebd0bf86b0b1385a8" TargetMode="External" Id="rId531"/><Relationship Type="http://schemas.openxmlformats.org/officeDocument/2006/relationships/hyperlink" Target="https://www.stadtwil.ch/storage/ffd718635b7c2a94e0f145b0c480c805c782b69056ac86e1ebbcec20de229793" TargetMode="External" Id="rId532"/><Relationship Type="http://schemas.openxmlformats.org/officeDocument/2006/relationships/hyperlink" Target="https://www.gesetzessammlung.sg.ch/app/de/texts_of_law/151.53" TargetMode="External" Id="rId533"/><Relationship Type="http://schemas.openxmlformats.org/officeDocument/2006/relationships/hyperlink" Target="https://www.sg.ch/news/sgch_aussenbeziehungen/2026/09/verordnung-ueber-die-pruefung-auslaendischer-investitionen--inve.html" TargetMode="External" Id="rId534"/><Relationship Type="http://schemas.openxmlformats.org/officeDocument/2006/relationships/hyperlink" Target="https://www.stadtwil.ch/_docn/5199082/Details_zur_Jahresrechnung_2023_nach_Genehmigung_Parlament.pdf" TargetMode="External" Id="rId535"/><Relationship Type="http://schemas.openxmlformats.org/officeDocument/2006/relationships/hyperlink" Target="https://www.stadtwil.ch/news/abstimmung-zum-steuerfuss-2026-der-stadt-wil-stimmberechtigte-entscheiden-sich-fuer-115" TargetMode="External" Id="rId536"/><Relationship Type="http://schemas.openxmlformats.org/officeDocument/2006/relationships/hyperlink" Target="https://www.stadtwil.ch/storage/29c5f20fab1dac2f0bb20acb4fcea87395ead1bf5f83c33e3d690cd2a2f695c7" TargetMode="External" Id="rId537"/><Relationship Type="http://schemas.openxmlformats.org/officeDocument/2006/relationships/hyperlink" Target="https://www.stadtwil.ch/storage/36e01fa373b8b4452a123dda5eb4e2c97823382f52e80e05fa53611f526b1d73" TargetMode="External" Id="rId538"/><Relationship Type="http://schemas.openxmlformats.org/officeDocument/2006/relationships/hyperlink" Target="https://www.stadtwil.ch/storage/3b8e93a0d261c1692cb8772c28b1c33b2db0bd708893a7f4793df26afb153620" TargetMode="External" Id="rId539"/><Relationship Type="http://schemas.openxmlformats.org/officeDocument/2006/relationships/hyperlink" Target="https://www.stadtwil.ch/storage/431f232a4601281ffda55c76f7ee5d95185e84eaa2c96b087984242856f46900" TargetMode="External" Id="rId540"/><Relationship Type="http://schemas.openxmlformats.org/officeDocument/2006/relationships/hyperlink" Target="https://www.stadtwil.ch/topics/stadt-politik-und-recht/abstimmungen-und-wahlen/vergangene-abstimmungen/2024-vergangene-abstimmungen-und-wahlen/14-04-2024-kommunale-abstimmung-und-2-wahlgang-regierung/steuerfuss-2024-der-stadt-wil" TargetMode="External" Id="rId541"/><Relationship Type="http://schemas.openxmlformats.org/officeDocument/2006/relationships/hyperlink" Target="https://www.stadtwil.ch/topics/stadt-politik-und-recht/abstimmungen-und-wahlen/vergangene-abstimmungen/2025-vergangene-abstimmungen-und-wahlen-1/18-05-2025-eidgenoessisches-blankodatum/v-nachtrag-zum-finanzausgleichsgesetz" TargetMode="External" Id="rId542"/><Relationship Type="http://schemas.openxmlformats.org/officeDocument/2006/relationships/hyperlink" Target="https://www.stadtwil.ch/topics/stadt-politik-und-recht/abstimmungen-und-wahlen/vorlagen/kantonale-vorlagen/18-05-2025-v-nachtrag-zum-finanzausgleichsgesetz" TargetMode="External" Id="rId543"/><Relationship Type="http://schemas.openxmlformats.org/officeDocument/2006/relationships/hyperlink" Target="https://www.stadtwil.ch/topics/stadt-politik-und-recht/abstimmungen-und-wahlen/vorlagen/kommunale-vorlagen/14-04-2024-steuerfuss-2024-der-stadt-wil" TargetMode="External" Id="rId544"/><Relationship Type="http://schemas.openxmlformats.org/officeDocument/2006/relationships/hyperlink" Target="http://www.kindlimann-areal.ch" TargetMode="External" Id="rId545"/><Relationship Type="http://schemas.openxmlformats.org/officeDocument/2006/relationships/hyperlink" Target="http://www.kindlimann-areal.ch/" TargetMode="External" Id="rId546"/><Relationship Type="http://schemas.openxmlformats.org/officeDocument/2006/relationships/hyperlink" Target="https://app-eu.readspeaker.com/cgi-bin/rsent?customerid=11974&amp;lang=de_de&amp;readid=maincontent&amp;url=https%3A%2F%2Fwww.sg.ch%2Fpolitik-verwaltung%2Fgemeinden%2Fgrundstueckerwerb-durch-personen-im-ausland.html" TargetMode="External" Id="rId547"/><Relationship Type="http://schemas.openxmlformats.org/officeDocument/2006/relationships/hyperlink" Target="https://www.admin.ch/opc/de/classified-compilation/19830373/index.html" TargetMode="External" Id="rId548"/><Relationship Type="http://schemas.openxmlformats.org/officeDocument/2006/relationships/hyperlink" Target="https://www.bj.admin.ch/de/fragen-und-antworten" TargetMode="External" Id="rId549"/><Relationship Type="http://schemas.openxmlformats.org/officeDocument/2006/relationships/hyperlink" Target="https://www.bj.admin.ch/de/grundstueckerwerb-durch-personen-im-ausland" TargetMode="External" Id="rId550"/><Relationship Type="http://schemas.openxmlformats.org/officeDocument/2006/relationships/hyperlink" Target="https://www.gesetzessammlung.sg.ch/app/de/texts_of_law/914.1" TargetMode="External" Id="rId551"/><Relationship Type="http://schemas.openxmlformats.org/officeDocument/2006/relationships/hyperlink" Target="https://www.sg.ch/content/sgch/politik-verwaltung/gemeinden/grundstueckerwerb-durch-personen-im-ausland/verfahren.html" TargetMode="External" Id="rId552"/><Relationship Type="http://schemas.openxmlformats.org/officeDocument/2006/relationships/hyperlink" Target="https://www.sg.ch/politik-verwaltung/gemeinden/grundstueckerwerb-durch-personen-im-ausland.html" TargetMode="External" Id="rId553"/><Relationship Type="http://schemas.openxmlformats.org/officeDocument/2006/relationships/hyperlink" Target="https://www.sg.ch/politik-verwaltung/gemeinden/grundstueckerwerb-durch-personen-im-ausland/betriebsstaette.html" TargetMode="External" Id="rId554"/><Relationship Type="http://schemas.openxmlformats.org/officeDocument/2006/relationships/hyperlink" Target="https://www.sg.ch/politik-verwaltung/gemeinden/grundstueckerwerb-durch-personen-im-ausland/ferienwohnung--haus.html" TargetMode="External" Id="rId555"/><Relationship Type="http://schemas.openxmlformats.org/officeDocument/2006/relationships/hyperlink" Target="https://www.sg.ch/politik-verwaltung/gemeinden/grundstueckerwerb-durch-personen-im-ausland/hauptwohnung.html" TargetMode="External" Id="rId556"/><Relationship Type="http://schemas.openxmlformats.org/officeDocument/2006/relationships/hyperlink" Target="https://www.sg.ch/politik-verwaltung/gemeinden/grundstueckerwerb-durch-personen-im-ausland/juristische-personen-und-vermoegensfaehige-gesellschaften.html" TargetMode="External" Id="rId557"/><Relationship Type="http://schemas.openxmlformats.org/officeDocument/2006/relationships/hyperlink" Target="https://www.sg.ch/politik-verwaltung/gemeinden/grundstueckerwerb-durch-personen-im-ausland/natuerliche-personen.html" TargetMode="External" Id="rId558"/><Relationship Type="http://schemas.openxmlformats.org/officeDocument/2006/relationships/hyperlink" Target="https://www.sg.ch/politik-verwaltung/gemeinden/grundstueckerwerb-durch-personen-im-ausland/verfahren.html" TargetMode="External" Id="rId559"/><Relationship Type="http://schemas.openxmlformats.org/officeDocument/2006/relationships/hyperlink" Target="https://www.stadtwil.ch/auth/login?skip=0&amp;to=%2Ftopics%2Fbauen-und-planen%2Fwil-vivendo%2Fortsplanungsrevision%2Fnews%2Frichtprojekt-kindlimann-areal%2Feditorial" TargetMode="External" Id="rId560"/><Relationship Type="http://schemas.openxmlformats.org/officeDocument/2006/relationships/hyperlink" Target="https://www.stadtwil.ch/auth/login?skip=0&amp;to=%2Ftopics%2Fbauen-und-planen%2Fwil-vivendo%2Fortsplanungsrevision%2Fnews%2Frichtprojekt-kindlimann-areal%2Fein-neues-stuecl-stadt-fuer-wil" TargetMode="External" Id="rId561"/><Relationship Type="http://schemas.openxmlformats.org/officeDocument/2006/relationships/hyperlink" Target="https://www.stadtwil.ch/auth/login?skip=0&amp;to=%2Ftopics%2Fbauen-und-planen%2Fwil-vivendo%2Fortsplanungsrevision%2Fnews%2Frichtprojekt-kindlimann-areal%2Fkindlimann-areal-naechste-schritte-in-der-ortsplanungsrevision" TargetMode="External" Id="rId562"/><Relationship Type="http://schemas.openxmlformats.org/officeDocument/2006/relationships/hyperlink" Target="https://www.stadtwil.ch/auth/login?skip=0&amp;to=%2Ftopics%2Fbauen-und-planen%2Fwil-vivendo%2Fortsplanungsrevision%2Fnews%2Frichtprojekt-kindlimann-areal%2Fwie-gut-kennen-sie-die-stadt-wil" TargetMode="External" Id="rId563"/><Relationship Type="http://schemas.openxmlformats.org/officeDocument/2006/relationships/hyperlink" Target="https://www.stadtwil.ch/auth/login?skip=0&amp;to=%2Ftopics%2Fbauen-und-planen%2Fwil-vivendo%2Fortsplanungsrevision%2Fnews%2Frichtprojekt-kindlimann-areal%2Fzeitplan" TargetMode="External" Id="rId564"/><Relationship Type="http://schemas.openxmlformats.org/officeDocument/2006/relationships/hyperlink" Target="https://www.stadtwil.ch/auth/login?skip=0&amp;to=%2Ftopics%2Fbauen-und-planen%2Fwil-vivendo%2Fortsplanungsrevision%2Fnews%2Fwichtige-meilensteine-erreicht%2Fgrosser-schritt-fuer-das-kindlimann-areal" TargetMode="External" Id="rId565"/><Relationship Type="http://schemas.openxmlformats.org/officeDocument/2006/relationships/hyperlink" Target="https://www.stadtwil.ch/auth/login?skip=0&amp;to=%2Ftopics%2Fbauen-und-planen%2Fwil-vivendo%2Fsiedlung%2Farealentwicklung-kindlimann" TargetMode="External" Id="rId566"/><Relationship Type="http://schemas.openxmlformats.org/officeDocument/2006/relationships/hyperlink" Target="https://www.stadtwil.ch/topics/bauen-und-planen/wil-vivendo/ortsplanungsrevision/news/richtprojekt-kindlimann-areal" TargetMode="External" Id="rId567"/><Relationship Type="http://schemas.openxmlformats.org/officeDocument/2006/relationships/hyperlink" Target="https://www.stadtwil.ch/topics/bauen-und-planen/wil-vivendo/ortsplanungsrevision/news/richtprojekt-kindlimann-areal/editorial" TargetMode="External" Id="rId568"/><Relationship Type="http://schemas.openxmlformats.org/officeDocument/2006/relationships/hyperlink" Target="https://www.stadtwil.ch/topics/bauen-und-planen/wil-vivendo/ortsplanungsrevision/news/richtprojekt-kindlimann-areal/ein-neues-stuecl-stadt-fuer-wil" TargetMode="External" Id="rId569"/><Relationship Type="http://schemas.openxmlformats.org/officeDocument/2006/relationships/hyperlink" Target="https://www.stadtwil.ch/topics/bauen-und-planen/wil-vivendo/ortsplanungsrevision/news/richtprojekt-kindlimann-areal/kindlimann-areal-naechste-schritte-in-der-ortsplanungsrevision" TargetMode="External" Id="rId570"/><Relationship Type="http://schemas.openxmlformats.org/officeDocument/2006/relationships/hyperlink" Target="https://www.stadtwil.ch/topics/bauen-und-planen/wil-vivendo/ortsplanungsrevision/news/richtprojekt-kindlimann-areal/wie-gut-kennen-sie-die-stadt-wil" TargetMode="External" Id="rId571"/><Relationship Type="http://schemas.openxmlformats.org/officeDocument/2006/relationships/hyperlink" Target="https://www.stadtwil.ch/topics/bauen-und-planen/wil-vivendo/ortsplanungsrevision/news/richtprojekt-kindlimann-areal/zeitplan" TargetMode="External" Id="rId572"/><Relationship Type="http://schemas.openxmlformats.org/officeDocument/2006/relationships/hyperlink" Target="https://www.stadtwil.ch/topics/bauen-und-planen/wil-vivendo/ortsplanungsrevision/news/wichtige-meilensteine-erreicht/grosser-schritt-fuer-das-kindlimann-areal" TargetMode="External" Id="rId573"/><Relationship Type="http://schemas.openxmlformats.org/officeDocument/2006/relationships/hyperlink" Target="https://www.stadtwil.ch/topics/bauen-und-planen/wil-vivendo/siedlung/arealentwicklung-kindlimann" TargetMode="External" Id="rId574"/><Relationship Type="http://schemas.openxmlformats.org/officeDocument/2006/relationships/hyperlink" Target="https://www.admin.ch/opc/de/classified-compilation/19840201/index.html" TargetMode="External" Id="rId575"/><Relationship Type="http://schemas.openxmlformats.org/officeDocument/2006/relationships/hyperlink" Target="https://www.gesetzessammlung.sg.ch/app/de/texts_of_law/914.11" TargetMode="External" Id="rId576"/><Relationship Type="http://schemas.openxmlformats.org/officeDocument/2006/relationships/hyperlink" Target="https://www.stadtwil.ch/auth/login?skip=0&amp;to=%2Ftopics%2Fbauen-und-planen%2Fwil-vivendo%2Fortsplanungsrevision%2Fnews%2Fgute-planung-ist-teamarbeit%2Fe-mitwirkung-zu-arealentwicklungen" TargetMode="External" Id="rId577"/><Relationship Type="http://schemas.openxmlformats.org/officeDocument/2006/relationships/hyperlink" Target="https://www.stadtwil.ch/auth/login?skip=0&amp;to=%2Ftopics%2Fbauen-und-planen%2Fwil-vivendo%2Fortsplanungsrevision%2Fnews%2Fhalbzeit-mitwirkung%2Fvom-areal-zum-lebensraum" TargetMode="External" Id="rId578"/><Relationship Type="http://schemas.openxmlformats.org/officeDocument/2006/relationships/hyperlink" Target="https://www.stadtwil.ch/auth/login?skip=0&amp;to=%2Ftopics%2Fbauen-und-planen%2Fwil-vivendo%2Fortsplanungsrevision%2Fnews%2Fortsplanungsrevision-newsletter-nr-19-langfristige-entwicklung-im-zusammenspiel-vieler-prozesse%2Fmitwirkung-arealentwicklungen-kindlimann-areal-und-allmend" TargetMode="External" Id="rId579"/><Relationship Type="http://schemas.openxmlformats.org/officeDocument/2006/relationships/hyperlink" Target="https://www.stadtwil.ch/auth/login?skip=0&amp;to=%2Ftopics%2Fbauen-und-planen%2Fwil-vivendo%2Fortsplanungsrevision%2Fveranstaltungen-und-mitwirkung%2Fmitwirkungen%2Fmitwirkung-kindlimann-areal-und-allmend" TargetMode="External" Id="rId580"/><Relationship Type="http://schemas.openxmlformats.org/officeDocument/2006/relationships/hyperlink" Target="https://www.stadtwil.ch/topics/bauen-und-planen/wil-vivendo/ortsplanungsrevision/news/gute-planung-ist-teamarbeit/e-mitwirkung-zu-arealentwicklungen" TargetMode="External" Id="rId581"/><Relationship Type="http://schemas.openxmlformats.org/officeDocument/2006/relationships/hyperlink" Target="https://www.stadtwil.ch/topics/bauen-und-planen/wil-vivendo/ortsplanungsrevision/news/halbzeit-mitwirkung/vom-areal-zum-lebensraum" TargetMode="External" Id="rId582"/><Relationship Type="http://schemas.openxmlformats.org/officeDocument/2006/relationships/hyperlink" Target="https://www.stadtwil.ch/topics/bauen-und-planen/wil-vivendo/ortsplanungsrevision/news/ortsplanungsrevision-newsletter-nr-19-langfristige-entwicklung-im-zusammenspiel-vieler-prozesse/mitwirkung-arealentwicklungen-kindlimann-areal-und-allmend" TargetMode="External" Id="rId583"/><Relationship Type="http://schemas.openxmlformats.org/officeDocument/2006/relationships/hyperlink" Target="https://www.stadtwil.ch/topics/bauen-und-planen/wil-vivendo/ortsplanungsrevision/veranstaltungen-und-mitwirkung/mitwirkungen/mitwirkung-kindlimann-areal-und-allmend" TargetMode="External" Id="rId584"/><Relationship Type="http://schemas.openxmlformats.org/officeDocument/2006/relationships/hyperlink" Target="https://www.stadtwil.ch/topics/stadt-politik-und-recht/abstimmungen-und-wahlen/vergangene-abstimmungen/2025-vergangene-abstimmungen-und-wahlen-1/28-09-2025-eidgenoessische-abstimmung/bundesbeschluss-vom-20-dezember-2024-ueber-die-kantonalen-liegenschaftssteuern-auf-zweitliegenschaften" TargetMode="External" Id="rId585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kantonale-abstimmungen/kantonsratsbeschluss-ueber-den-verkauf-der-grundstuecke-wilwest-und-die-kompensation-von-fruchtfolgeflaechen" TargetMode="External" Id="rId586"/><Relationship Type="http://schemas.openxmlformats.org/officeDocument/2006/relationships/hyperlink" Target="https://www.stadtwil.ch/topics/stadt-politik-und-recht/abstimmungen-und-wahlen/vorlagen/eidgenoessische-vorlagen/bundesbeschluss-vom-20-dezember-2024-ueber-die-kantonalen-liegenschaftssteuern-auf-zweitliegenschaften" TargetMode="External" Id="rId587"/><Relationship Type="http://schemas.openxmlformats.org/officeDocument/2006/relationships/hyperlink" Target="https://wil-sg.tlex.ch/api/annex_document_dictionaries/23" TargetMode="External" Id="rId588"/><Relationship Type="http://schemas.openxmlformats.org/officeDocument/2006/relationships/hyperlink" Target="https://wil-sg.tlex.ch/app/de/quick_search/systematic/direct/21/0d0a08bd59c0071627c3b4bdf3b4a43f" TargetMode="External" Id="rId589"/><Relationship Type="http://schemas.openxmlformats.org/officeDocument/2006/relationships/hyperlink" Target="https://wil-sg.tlex.ch/app/de/systematic/texts_of_law" TargetMode="External" Id="rId590"/><Relationship Type="http://schemas.openxmlformats.org/officeDocument/2006/relationships/hyperlink" Target="https://wil-sg.tlex.ch/app/de/texts_of_law/7.4.3-6" TargetMode="External" Id="rId591"/><Relationship Type="http://schemas.openxmlformats.org/officeDocument/2006/relationships/hyperlink" Target="https://wil-sg.tlex.ch/app/de/texts_of_law/7.4.3-6.1" TargetMode="External" Id="rId592"/><Relationship Type="http://schemas.openxmlformats.org/officeDocument/2006/relationships/hyperlink" Target="https://wil-sg.tlex.ch/app/de/texts_of_law/7.4.3-6.2" TargetMode="External" Id="rId593"/><Relationship Type="http://schemas.openxmlformats.org/officeDocument/2006/relationships/hyperlink" Target="https://wil-sg.tlex.ch/app/de/texts_of_law/8.2-1" TargetMode="External" Id="rId594"/><Relationship Type="http://schemas.openxmlformats.org/officeDocument/2006/relationships/hyperlink" Target="https://wil-sg.tlex.ch/app/de/texts_of_law/8.2-1.1" TargetMode="External" Id="rId595"/><Relationship Type="http://schemas.openxmlformats.org/officeDocument/2006/relationships/hyperlink" Target="https://www.sg.ch/content/dam/sgch/politik-verwaltung/gemeinden/gemeindenfinanzen/rechnungslegung-rmsg/hilfsmittel-und-vorlagen/Tool%20Bewertung%20Beteiligungen%20im%20Verwaltungsverm%C3%B6gen.xlsx" TargetMode="External" Id="rId596"/><Relationship Type="http://schemas.openxmlformats.org/officeDocument/2006/relationships/hyperlink" Target="https://www.sg.ch/content/dam/sgch/politik-verwaltung/gemeinden/gemeindenfinanzen/rechnungslegung-rmsg/hilfsmittel-und-vorlagen/Vorlage%20Reglement%20Werterhalt%20Finanzverm%C3%B6gen.docx" TargetMode="External" Id="rId597"/><Relationship Type="http://schemas.openxmlformats.org/officeDocument/2006/relationships/hyperlink" Target="https://www.sg.ch/content/dam/sgch/politik-verwaltung/gemeinden/gemeindenfinanzen/rechnungslegung-rmsg/merkbl%C3%A4tter-und-weisungen/Merkblatt%20Beteiligungen.pdf" TargetMode="External" Id="rId598"/><Relationship Type="http://schemas.openxmlformats.org/officeDocument/2006/relationships/hyperlink" Target="https://www.sg.ch/kultur/denkmalpflege/Subventionen/beitragsgesuch.html" TargetMode="External" Id="rId599"/><Relationship Type="http://schemas.openxmlformats.org/officeDocument/2006/relationships/hyperlink" Target="https://www.sg.ch/news/sgch_allgemein/2025/11/ii--nachtrag-zur-verordnung-zum-gesetz-ueber-die-abgeltung-oekol.html" TargetMode="External" Id="rId600"/><Relationship Type="http://schemas.openxmlformats.org/officeDocument/2006/relationships/hyperlink" Target="https://www.sg.ch/news/sgch_allgemein/2026/09/ii--nachtrag-zur-verordnung-zum-gesetz-ueber-die-abgeltung-oekol.html" TargetMode="External" Id="rId601"/><Relationship Type="http://schemas.openxmlformats.org/officeDocument/2006/relationships/hyperlink" Target="https://www.sg.ch/news/sgch_allgemein/2026/10/verordnung-familien--und-schulergaenzende-kinderbetreuung.html" TargetMode="External" Id="rId602"/><Relationship Type="http://schemas.openxmlformats.org/officeDocument/2006/relationships/hyperlink" Target="https://www.stadtwil.ch/auth/login?skip=0&amp;to=%2Ftopics%2Fbauen-und-planen%2Fprivate-bauprojekte%2Frechtsgrundlagen-bauen-und-planen%2Fbaureglement" TargetMode="External" Id="rId603"/><Relationship Type="http://schemas.openxmlformats.org/officeDocument/2006/relationships/hyperlink" Target="https://www.stadtwil.ch/auth/login?skip=0&amp;to=%2Ftopics%2Fbauen-und-planen%2Fprivate-bauprojekte%2Frechtsgrundlagen-bauen-und-planen%2Fkommunale-schutzverordnung%2Fbeitragsreglement-fuer-kommunale-schutzobjekte" TargetMode="External" Id="rId604"/><Relationship Type="http://schemas.openxmlformats.org/officeDocument/2006/relationships/hyperlink" Target="https://www.stadtwil.ch/auth/login?skip=0&amp;to=%2Ftopics%2Fbauen-und-planen%2Fprivate-bauprojekte%2Frechtsgrundlagen-bauen-und-planen%2Fkommunale-schutzverordnung%2Fschutzinventar-der-bau-und-gartendenkmaeler" TargetMode="External" Id="rId605"/><Relationship Type="http://schemas.openxmlformats.org/officeDocument/2006/relationships/hyperlink" Target="https://www.stadtwil.ch/auth/login?skip=0&amp;to=%2Ftopics%2Fpersoenliches%2Ftodesfall%2Ffriedhoefe%2Ffriedhof-und-bestattungsreglemente" TargetMode="External" Id="rId606"/><Relationship Type="http://schemas.openxmlformats.org/officeDocument/2006/relationships/hyperlink" Target="https://www.stadtwil.ch/auth/login?skip=0&amp;to=%2Ftopics%2Fstadt-politik-und-recht%2Frechtssammlung-1" TargetMode="External" Id="rId607"/><Relationship Type="http://schemas.openxmlformats.org/officeDocument/2006/relationships/hyperlink" Target="https://www.stadtwil.ch/topics/bauen-und-planen/private-bauprojekte/rechtsgrundlagen-bauen-und-planen/abwasserreglement" TargetMode="External" Id="rId608"/><Relationship Type="http://schemas.openxmlformats.org/officeDocument/2006/relationships/hyperlink" Target="https://www.stadtwil.ch/topics/bauen-und-planen/private-bauprojekte/rechtsgrundlagen-bauen-und-planen/baureglement" TargetMode="External" Id="rId609"/><Relationship Type="http://schemas.openxmlformats.org/officeDocument/2006/relationships/hyperlink" Target="https://www.stadtwil.ch/topics/bauen-und-planen/private-bauprojekte/rechtsgrundlagen-bauen-und-planen/kommunale-schutzverordnung" TargetMode="External" Id="rId610"/><Relationship Type="http://schemas.openxmlformats.org/officeDocument/2006/relationships/hyperlink" Target="https://www.stadtwil.ch/topics/bauen-und-planen/private-bauprojekte/rechtsgrundlagen-bauen-und-planen/kommunale-schutzverordnung/beitragsreglement-fuer-kommunale-schutzobjekte" TargetMode="External" Id="rId611"/><Relationship Type="http://schemas.openxmlformats.org/officeDocument/2006/relationships/hyperlink" Target="https://www.stadtwil.ch/topics/bauen-und-planen/private-bauprojekte/rechtsgrundlagen-bauen-und-planen/kommunale-schutzverordnung/schutzinventar-der-bau-und-gartendenkmaeler" TargetMode="External" Id="rId612"/><Relationship Type="http://schemas.openxmlformats.org/officeDocument/2006/relationships/hyperlink" Target="https://www.stadtwil.ch/topics/persoenliches/todesfall/friedhoefe/friedhof-und-bestattungsreglemente" TargetMode="External" Id="rId613"/><Relationship Type="http://schemas.openxmlformats.org/officeDocument/2006/relationships/hyperlink" Target="https://www.stadtwil.ch/topics/stadt-politik-und-recht/kommissionen-und-delegationen/regionale-und-wirtschaftliche-organisationen/regio-wil" TargetMode="External" Id="rId614"/><Relationship Type="http://schemas.openxmlformats.org/officeDocument/2006/relationships/hyperlink" Target="https://www.stadtwil.ch/topics/stadt-politik-und-recht/kommissionen-und-delegationen/regionale-und-wirtschaftliche-organisationen/regio-wil-fachgruppe-mobilitaet-miv-ov-langsamverkehr" TargetMode="External" Id="rId615"/><Relationship Type="http://schemas.openxmlformats.org/officeDocument/2006/relationships/hyperlink" Target="https://www.stadtwil.ch/topics/stadt-politik-und-recht/kommissionen-und-delegationen/regionale-und-wirtschaftliche-organisationen/regio-wil-fachgruppe-siedlung-landschaft-und-umwelt" TargetMode="External" Id="rId616"/><Relationship Type="http://schemas.openxmlformats.org/officeDocument/2006/relationships/hyperlink" Target="https://www.stadtwil.ch/topics/stadt-politik-und-recht/kommissionen-und-delegationen/zweckverbaende/zweckverband-abfallverwertung-bazenheid-zab" TargetMode="External" Id="rId617"/><Relationship Type="http://schemas.openxmlformats.org/officeDocument/2006/relationships/hyperlink" Target="https://www.stadtwil.ch/topics/stadt-politik-und-recht/kommissionen-und-delegationen/zweckverbaende/zweckverband-regionalwasserversorgung-mittelthurgau-sued" TargetMode="External" Id="rId618"/><Relationship Type="http://schemas.openxmlformats.org/officeDocument/2006/relationships/hyperlink" Target="https://www.stadtwil.ch/topics/stadt-politik-und-recht/kommissionen-und-delegationen/zweckverbaende/zweckverband-sicherheitsverbund-region-wil" TargetMode="External" Id="rId619"/><Relationship Type="http://schemas.openxmlformats.org/officeDocument/2006/relationships/hyperlink" Target="https://www.stadtwil.ch/topics/stadt-politik-und-recht/rechtssammlung-1" TargetMode="External" Id="rId620"/><Relationship Type="http://schemas.openxmlformats.org/officeDocument/2006/relationships/hyperlink" Target="https://www.stadtwil.ch/topics/umwelt-und-energie/immissionsschutz/erteilte-ausnahmebewilligungen-gemaess-immissionsschutzreglement" TargetMode="External" Id="rId621"/><Relationship Type="http://schemas.openxmlformats.org/officeDocument/2006/relationships/hyperlink" Target="https://www.stadtwil.ch/topics/wohnen/kanalisation-siedlungsentwaesserung/gebuehren-und-gebaeudebeitrag" TargetMode="External" Id="rId622"/><Relationship Type="http://schemas.openxmlformats.org/officeDocument/2006/relationships/hyperlink" Target="https://www.sg.ch/news/sgch_aussenbeziehungen/2026/09/aenderung-der-verordnung-ueber-die-schweizerische-nationalbiblio.html" TargetMode="External" Id="rId623"/><Relationship Type="http://schemas.openxmlformats.org/officeDocument/2006/relationships/hyperlink" Target="https://www.sg.ch/news/sgch_aussenbeziehungen/2026/09/aenderung-der-verordnungen-ueber-die-verrechnungssteuer--ueber-d.html" TargetMode="External" Id="rId624"/><Relationship Type="http://schemas.openxmlformats.org/officeDocument/2006/relationships/hyperlink" Target="https://www.sg.ch/news/sgch_aussenbeziehungen/2026/09/aenderung-der-waffenverordnung.html" TargetMode="External" Id="rId625"/><Relationship Type="http://schemas.openxmlformats.org/officeDocument/2006/relationships/hyperlink" Target="https://www.sg.ch/news/sgch_aussenbeziehungen/2026/09/revision-der-verordnung-ueber-die-gebuehren-im-zivilstandswesen.html" TargetMode="External" Id="rId626"/><Relationship Type="http://schemas.openxmlformats.org/officeDocument/2006/relationships/hyperlink" Target="https://www.stadtwil.ch/directories/rechtssammlung/323-1-reglement-ueber-das-jugendparlament" TargetMode="External" Id="rId627"/><Relationship Type="http://schemas.openxmlformats.org/officeDocument/2006/relationships/hyperlink" Target="https://www.stadtwil.ch/topics/stadt-politik-und-recht/abstimmungen-und-wahlen/vergangene-abstimmungen/2024-vergangene-abstimmungen-und-wahlen/22-09-2024-eidgenoessische-und-kommunale-abstimmungen-sowie-kommunale-erneuerungswahlen/anderung-vom-17-maerz-2023-des-bundesgesetzes-ueber-die-berufliche-alters-hinterlassenen-und-invalidenvorsorge-bvg-reform-der-beruflichen-vorsorge" TargetMode="External" Id="rId628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nachtrag-iv-zur-gemeindeordnung" TargetMode="External" Id="rId629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kantonale-abstimmungen/kantonsratsbeschluss-ueber-den-bau-der-kantonsstrasse-zum-see-inklusive-kostenbeteiligung-am-anschluss-witen-mit-zubringer" TargetMode="External" Id="rId630"/><Relationship Type="http://schemas.openxmlformats.org/officeDocument/2006/relationships/hyperlink" Target="https://www.stadtwil.ch/topics/stadt-politik-und-recht/abstimmungen-und-wahlen/vorlagen/eidgenoessische-vorlagen/02-09-2024-anderung-vom-17-maerz-2023-des-bundesgesetzes-ueber-die-berufliche-alters-hinterlassenen-und-invalidenvorsorge-bvg-reform-der-beruflichen-vorsorge" TargetMode="External" Id="rId631"/><Relationship Type="http://schemas.openxmlformats.org/officeDocument/2006/relationships/hyperlink" Target="https://www.stadtwil.ch/topics/stadt-politik-und-recht/abstimmungen-und-wahlen/vorlagen/kommunale-vorlagen/22-11-2024-nachtrag-iv-zur-gemeindeordnung" TargetMode="External" Id="rId632"/><Relationship Type="http://schemas.openxmlformats.org/officeDocument/2006/relationships/hyperlink" Target="https://www.stadtwil.ch/auth/login?skip=0&amp;to=%2Ftopics%2Fstadt-politik-und-recht%2Fgeschaeftsberichte" TargetMode="External" Id="rId633"/><Relationship Type="http://schemas.openxmlformats.org/officeDocument/2006/relationships/hyperlink" Target="https://www.stadtwil.ch/storage/0365b801e4a6979a9deedfdb1e4474f6218fc0f46dc651c6573af4f3dbbcb1b0" TargetMode="External" Id="rId634"/><Relationship Type="http://schemas.openxmlformats.org/officeDocument/2006/relationships/hyperlink" Target="https://www.stadtwil.ch/storage/0b5116215dd91160edb9d31e91f4c82e0ca99fc3b5a0b928237570842495f61b" TargetMode="External" Id="rId635"/><Relationship Type="http://schemas.openxmlformats.org/officeDocument/2006/relationships/hyperlink" Target="https://www.stadtwil.ch/storage/1fb848ed1d368dffceead9ee6f9d435d50e46b801aff2ee5412c10be82bbe25a" TargetMode="External" Id="rId636"/><Relationship Type="http://schemas.openxmlformats.org/officeDocument/2006/relationships/hyperlink" Target="https://www.stadtwil.ch/storage/248ab3893e7533b52b7e554517f010462be4194a23b8c4829801dba7e866b46a" TargetMode="External" Id="rId637"/><Relationship Type="http://schemas.openxmlformats.org/officeDocument/2006/relationships/hyperlink" Target="https://www.stadtwil.ch/storage/25210da970ea0f16696f6ddd4348a820c2e59eb2be1d668424eb39932fa993f5" TargetMode="External" Id="rId638"/><Relationship Type="http://schemas.openxmlformats.org/officeDocument/2006/relationships/hyperlink" Target="https://www.stadtwil.ch/storage/3d03332182e433d65a5340498b35b0517ac0c0c27c654861110fec8600308334" TargetMode="External" Id="rId639"/><Relationship Type="http://schemas.openxmlformats.org/officeDocument/2006/relationships/hyperlink" Target="https://www.stadtwil.ch/storage/53bd2727bc94617c323ce1fdbd7e5a48bfbcb9aab2a5463450aab414a81545b4" TargetMode="External" Id="rId640"/><Relationship Type="http://schemas.openxmlformats.org/officeDocument/2006/relationships/hyperlink" Target="https://www.stadtwil.ch/storage/56214d9002f99bb64434783cd8498f6b2a989f4cd19bf77ad3b1f0011730e0fc" TargetMode="External" Id="rId641"/><Relationship Type="http://schemas.openxmlformats.org/officeDocument/2006/relationships/hyperlink" Target="https://www.stadtwil.ch/storage/5f9c4578f72cb2fcdd0c9b8549a359fde555af1b3bff71552a51fd1ab0a34ce1" TargetMode="External" Id="rId642"/><Relationship Type="http://schemas.openxmlformats.org/officeDocument/2006/relationships/hyperlink" Target="https://www.stadtwil.ch/storage/6ad37fbf71a6783177e53d62242d53eea1eb8724d27919198ec26ccb4eb6f39b" TargetMode="External" Id="rId643"/><Relationship Type="http://schemas.openxmlformats.org/officeDocument/2006/relationships/hyperlink" Target="https://www.stadtwil.ch/storage/6e22361e6f21baf10f8b6c6f1059865c02d08c351c68c7a04847b93eea03c4f0" TargetMode="External" Id="rId644"/><Relationship Type="http://schemas.openxmlformats.org/officeDocument/2006/relationships/hyperlink" Target="https://www.stadtwil.ch/storage/714f9723c151af4778e93aa518f6d7c4e10da1d6bb6bee87f769115c2a52c5bf" TargetMode="External" Id="rId645"/><Relationship Type="http://schemas.openxmlformats.org/officeDocument/2006/relationships/hyperlink" Target="https://www.stadtwil.ch/storage/737121b648fd5d744522b0ee38f7d4467ce550219554db3d6197f1ae0feeb623" TargetMode="External" Id="rId646"/><Relationship Type="http://schemas.openxmlformats.org/officeDocument/2006/relationships/hyperlink" Target="https://www.stadtwil.ch/storage/8633ae9158140c04ff9f207328b47896a256e5505af8d0981a72ac65d8543cb3" TargetMode="External" Id="rId647"/><Relationship Type="http://schemas.openxmlformats.org/officeDocument/2006/relationships/hyperlink" Target="https://www.stadtwil.ch/storage/8eedf72c0fffec0e8192e6fc00a728c5891c83e7b8b7d3488c2f314a11582972" TargetMode="External" Id="rId648"/><Relationship Type="http://schemas.openxmlformats.org/officeDocument/2006/relationships/hyperlink" Target="https://www.stadtwil.ch/storage/df75667555ec04aaf5ca7c5df3b6993ef5db02b42fe25717d28391d56220d623" TargetMode="External" Id="rId649"/><Relationship Type="http://schemas.openxmlformats.org/officeDocument/2006/relationships/hyperlink" Target="https://www.stadtwil.ch/storage/ee8bae2cd080dda0bc77e69f99046109dc3e161b3498b17df7581cfe441bc612" TargetMode="External" Id="rId650"/><Relationship Type="http://schemas.openxmlformats.org/officeDocument/2006/relationships/hyperlink" Target="https://www.stadtwil.ch/storage/f6ec46b7be5614e3c273b611df314ff57a7d0368d0b9e43fa30220497eef5590" TargetMode="External" Id="rId651"/><Relationship Type="http://schemas.openxmlformats.org/officeDocument/2006/relationships/hyperlink" Target="https://www.stadtwil.ch/topics/stadt-politik-und-recht/geschaeftsberichte" TargetMode="External" Id="rId652"/><Relationship Type="http://schemas.openxmlformats.org/officeDocument/2006/relationships/hyperlink" Target="http://wab.sg.ch" TargetMode="External" Id="rId653"/><Relationship Type="http://schemas.openxmlformats.org/officeDocument/2006/relationships/hyperlink" Target="https://mitwirken.stadtwil.ch/de/" TargetMode="External" Id="rId654"/><Relationship Type="http://schemas.openxmlformats.org/officeDocument/2006/relationships/hyperlink" Target="https://www.jupawil.com/" TargetMode="External" Id="rId655"/><Relationship Type="http://schemas.openxmlformats.org/officeDocument/2006/relationships/hyperlink" Target="https://www.sg.ch/content/dam/sgch/politik-verwaltung/gemeinden/gemeindenfinanzen/rechnungslegung-rmsg/Nachtrag%20zum%20Gemeindegesetz%20Botschaft%20und%20Entwurf%20der%20Regierung.pdf" TargetMode="External" Id="rId656"/><Relationship Type="http://schemas.openxmlformats.org/officeDocument/2006/relationships/hyperlink" Target="https://www.sg.ch/news/sgch_allgemein/2022/04/uebersicht-vernehmlassungen.html" TargetMode="External" Id="rId657"/><Relationship Type="http://schemas.openxmlformats.org/officeDocument/2006/relationships/hyperlink" Target="https://www.sg.ch/news/sgch_allgemein/2025/12/gesetz-ueber-die-stattlichen-stipendien-und-studiendarlehen--sti.html" TargetMode="External" Id="rId658"/><Relationship Type="http://schemas.openxmlformats.org/officeDocument/2006/relationships/hyperlink" Target="https://www.sg.ch/news/sgch_allgemein/2025/12/x--nachtrag-zum-strassengesetz.html" TargetMode="External" Id="rId659"/><Relationship Type="http://schemas.openxmlformats.org/officeDocument/2006/relationships/hyperlink" Target="https://www.sg.ch/news/sgch_allgemein/2026/08/vi--nachtrag-zum-planungs--und-baugesetz.html" TargetMode="External" Id="rId660"/><Relationship Type="http://schemas.openxmlformats.org/officeDocument/2006/relationships/hyperlink" Target="https://www.sg.ch/news/sgch_allgemein/2026/09/bewegungs--und-sportfoerderungsgesetz.html" TargetMode="External" Id="rId661"/><Relationship Type="http://schemas.openxmlformats.org/officeDocument/2006/relationships/hyperlink" Target="https://www.sg.ch/news/sgch_aussenbeziehungen/2026/09/23-443-n-pa--iv--addor--ausweisung-krimineller-auslaenderinnen-u.html" TargetMode="External" Id="rId662"/><Relationship Type="http://schemas.openxmlformats.org/officeDocument/2006/relationships/hyperlink" Target="https://www.sg.ch/news/sgch_aussenbeziehungen/2026/09/aenderung-des-bundesgesetzes-gegen-die-schwarzarbeit.html" TargetMode="External" Id="rId663"/><Relationship Type="http://schemas.openxmlformats.org/officeDocument/2006/relationships/hyperlink" Target="https://www.sg.ch/news/sgch_aussenbeziehungen/2026/09/aenderung-des-mehrwertsteuergesetzes-und-des-bundesgesetzes-uebe.html" TargetMode="External" Id="rId664"/><Relationship Type="http://schemas.openxmlformats.org/officeDocument/2006/relationships/hyperlink" Target="https://www.sg.ch/news/sgch_aussenbeziehungen/2026/09/aenderung-des-sprachengesetzes.html" TargetMode="External" Id="rId665"/><Relationship Type="http://schemas.openxmlformats.org/officeDocument/2006/relationships/hyperlink" Target="https://www.sg.ch/news/sgch_aussenbeziehungen/2026/09/bundesgesetz-zur-reform-der-bundesanwaltschaft-und-ihrer-aufsich.html" TargetMode="External" Id="rId666"/><Relationship Type="http://schemas.openxmlformats.org/officeDocument/2006/relationships/hyperlink" Target="https://www.sg.ch/news/sgch_aussenbeziehungen/2026/09/kommission-fuer-rechtsfragen-des-nationalrates--rk-n---18-434-n-.html" TargetMode="External" Id="rId667"/><Relationship Type="http://schemas.openxmlformats.org/officeDocument/2006/relationships/hyperlink" Target="https://www.sg.ch/news/sgch_aussenbeziehungen/2026/09/ratifikation-und-umsetzung-des-internationalen-uebereinkommens-i.html" TargetMode="External" Id="rId668"/><Relationship Type="http://schemas.openxmlformats.org/officeDocument/2006/relationships/hyperlink" Target="https://www.sg.ch/news/sgch_aussenbeziehungen/2026/09/teilrevision-des-bundesgesetzes-ueber-arzneimittel-und-medizinpr.html" TargetMode="External" Id="rId669"/><Relationship Type="http://schemas.openxmlformats.org/officeDocument/2006/relationships/hyperlink" Target="https://www.sg.ch/news/sgch_aussenbeziehungen/2026/09/teilrevision-des-bundesgesetzes-ueber-die-produktesicherheit.html" TargetMode="External" Id="rId670"/><Relationship Type="http://schemas.openxmlformats.org/officeDocument/2006/relationships/hyperlink" Target="https://www.sg.ch/news/sgch_aussenbeziehungen/2026/09/vorlage-zur-verkehrstraegeruebergreifenden-bewaeltigung-der-mobi.html" TargetMode="External" Id="rId671"/><Relationship Type="http://schemas.openxmlformats.org/officeDocument/2006/relationships/hyperlink" Target="https://www.sg.ch/politik-verwaltung/abstimmungen-wahlen.html" TargetMode="External" Id="rId672"/><Relationship Type="http://schemas.openxmlformats.org/officeDocument/2006/relationships/hyperlink" Target="https://www.sg.ch/politik-verwaltung/abstimmungen-wahlen/aktuelle-abstimmungen.html" TargetMode="External" Id="rId673"/><Relationship Type="http://schemas.openxmlformats.org/officeDocument/2006/relationships/hyperlink" Target="https://www.sg.ch/politik-verwaltung/abstimmungen-wahlen/auslandschweizer--innen.html" TargetMode="External" Id="rId674"/><Relationship Type="http://schemas.openxmlformats.org/officeDocument/2006/relationships/hyperlink" Target="https://www.sg.ch/politik-verwaltung/abstimmungen-wahlen/e-collecting.html" TargetMode="External" Id="rId675"/><Relationship Type="http://schemas.openxmlformats.org/officeDocument/2006/relationships/hyperlink" Target="https://www.sg.ch/politik-verwaltung/abstimmungen-wahlen/e-voting.html" TargetMode="External" Id="rId676"/><Relationship Type="http://schemas.openxmlformats.org/officeDocument/2006/relationships/hyperlink" Target="https://www.sg.ch/politik-verwaltung/abstimmungen-wahlen/initiativen---referenden.html" TargetMode="External" Id="rId677"/><Relationship Type="http://schemas.openxmlformats.org/officeDocument/2006/relationships/hyperlink" Target="https://www.sg.ch/politik-verwaltung/abstimmungen-wahlen/wahlen.html" TargetMode="External" Id="rId678"/><Relationship Type="http://schemas.openxmlformats.org/officeDocument/2006/relationships/hyperlink" Target="https://www.sg.ch/politik-verwaltung/eidgenoessische-vernehmlassungen.html" TargetMode="External" Id="rId679"/><Relationship Type="http://schemas.openxmlformats.org/officeDocument/2006/relationships/hyperlink" Target="https://www.sg.ch/politik-verwaltung/eidgenoessische-vernehmlassungen.viewpage__1.html" TargetMode="External" Id="rId680"/><Relationship Type="http://schemas.openxmlformats.org/officeDocument/2006/relationships/hyperlink" Target="https://www.sg.ch/politik-verwaltung/eidgenoessische-vernehmlassungen.viewpage__41.html" TargetMode="External" Id="rId681"/><Relationship Type="http://schemas.openxmlformats.org/officeDocument/2006/relationships/hyperlink" Target="https://www.sg.ch/politik-verwaltung/kantonale-vernehmlassungen.html" TargetMode="External" Id="rId682"/><Relationship Type="http://schemas.openxmlformats.org/officeDocument/2006/relationships/hyperlink" Target="https://www.sg.ch/politik-verwaltung/kantonale-vernehmlassungen.viewpage__1.html" TargetMode="External" Id="rId683"/><Relationship Type="http://schemas.openxmlformats.org/officeDocument/2006/relationships/hyperlink" Target="https://www.sg.ch/politik-verwaltung/kantonale-vernehmlassungen.viewpage__5.html" TargetMode="External" Id="rId684"/><Relationship Type="http://schemas.openxmlformats.org/officeDocument/2006/relationships/hyperlink" Target="https://www.stadtwil.ch/auth/login?skip=0&amp;to=%2Ftopics%2Falter%2Faktivitaet-und-mitwirkung" TargetMode="External" Id="rId685"/><Relationship Type="http://schemas.openxmlformats.org/officeDocument/2006/relationships/hyperlink" Target="https://www.stadtwil.ch/auth/login?skip=0&amp;to=%2Ftopics%2Fbauen-und-planen%2Fmitwirkungen" TargetMode="External" Id="rId686"/><Relationship Type="http://schemas.openxmlformats.org/officeDocument/2006/relationships/hyperlink" Target="https://www.stadtwil.ch/auth/login?skip=0&amp;to=%2Ftopics%2Fbauen-und-planen%2Fwil-vivendo%2Fmobilitaet%2Fnetzergaenzung-ost-neo%2Fveranstaltungen%2Fmitwirkungen" TargetMode="External" Id="rId687"/><Relationship Type="http://schemas.openxmlformats.org/officeDocument/2006/relationships/hyperlink" Target="https://www.stadtwil.ch/auth/login?skip=0&amp;to=%2Ftopics%2Fbauen-und-planen%2Fwil-vivendo%2Fortsplanungsrevision%2Fnews%2Fbisherige-uberlegungen-wurden-breit-gespiegelt%2Fe-mitwirkung-mitmachen-ist-angesagt" TargetMode="External" Id="rId688"/><Relationship Type="http://schemas.openxmlformats.org/officeDocument/2006/relationships/hyperlink" Target="https://www.stadtwil.ch/auth/login?skip=0&amp;to=%2Ftopics%2Fbauen-und-planen%2Fwil-vivendo%2Fortsplanungsrevision%2Fnews%2Fhalbzeit-mitwirkung%2Faufloesung-der-frage" TargetMode="External" Id="rId689"/><Relationship Type="http://schemas.openxmlformats.org/officeDocument/2006/relationships/hyperlink" Target="https://www.stadtwil.ch/auth/login?skip=0&amp;to=%2Ftopics%2Fbauen-und-planen%2Fwil-vivendo%2Fortsplanungsrevision%2Fnews%2Fhalbzeit-mitwirkung%2Feditorial" TargetMode="External" Id="rId690"/><Relationship Type="http://schemas.openxmlformats.org/officeDocument/2006/relationships/hyperlink" Target="https://www.stadtwil.ch/auth/login?skip=0&amp;to=%2Ftopics%2Fbauen-und-planen%2Fwil-vivendo%2Fortsplanungsrevision%2Fnews%2Fstart-offentliche-mitwirkung" TargetMode="External" Id="rId691"/><Relationship Type="http://schemas.openxmlformats.org/officeDocument/2006/relationships/hyperlink" Target="https://www.stadtwil.ch/auth/login?skip=0&amp;to=%2Ftopics%2Fbauen-und-planen%2Fwil-vivendo%2Fortsplanungsrevision%2Fveranstaltungen-und-mitwirkung%2Fmitwirkungen%2Fmitwirkung-zum-richtplan-siedlung-sowie-gruen-freiraeume" TargetMode="External" Id="rId692"/><Relationship Type="http://schemas.openxmlformats.org/officeDocument/2006/relationships/hyperlink" Target="https://www.stadtwil.ch/auth/login?skip=0&amp;to=%2Ftopics%2Fbauen-und-planen%2Fwil-vivendo%2Fortsplanungsrevision%2Fveranstaltungen-und-mitwirkung%2Fstrategiekonferenzen%2F2-strategiekonferenz" TargetMode="External" Id="rId693"/><Relationship Type="http://schemas.openxmlformats.org/officeDocument/2006/relationships/hyperlink" Target="https://www.stadtwil.ch/auth/login?skip=0&amp;to=%2Ftopics%2Fbauen-und-planen%2Fwil-vivendo%2Fortsplanungsrevision%2Fveranstaltungen-und-mitwirkung%2Fstrategiekonferenzen%2F3-strategiekonferenz" TargetMode="External" Id="rId694"/><Relationship Type="http://schemas.openxmlformats.org/officeDocument/2006/relationships/hyperlink" Target="https://www.stadtwil.ch/auth/login?skip=0&amp;to=%2Ftopics%2Fbauen-und-planen%2Fwil-vivendo%2Fortsplanungsrevision%2Fveranstaltungen-und-mitwirkung%2Fstrategiekonferenzen%2F4-ortsplanungskonferenze" TargetMode="External" Id="rId695"/><Relationship Type="http://schemas.openxmlformats.org/officeDocument/2006/relationships/hyperlink" Target="https://www.stadtwil.ch/auth/login?skip=0&amp;to=%2Ftopics%2Fbauen-und-planen%2Fwil-vivendo%2Fortsplanungsrevision%2Fveranstaltungen-und-mitwirkung%2Fstrategiekonferenzen%2Fstrategiekonferenz-1-am-30-august-2024" TargetMode="External" Id="rId696"/><Relationship Type="http://schemas.openxmlformats.org/officeDocument/2006/relationships/hyperlink" Target="https://www.stadtwil.ch/auth/login?skip=0&amp;to=%2Ftopics%2Fbauen-und-planen%2Fwil-vivendo%2Fortsplanungsrevision%2Fveranstaltungen-und-mitwirkung%2Fveranstaltungen" TargetMode="External" Id="rId697"/><Relationship Type="http://schemas.openxmlformats.org/officeDocument/2006/relationships/hyperlink" Target="https://www.stadtwil.ch/auth/login?skip=0&amp;to=%2Ftopics%2Fbauen-und-planen%2Fwil-vivendo%2Fsiedlung%2Fschulraumplanung%2Frueckblick-mitwirkung" TargetMode="External" Id="rId698"/><Relationship Type="http://schemas.openxmlformats.org/officeDocument/2006/relationships/hyperlink" Target="https://www.stadtwil.ch/auth/login?skip=0&amp;to=%2Ftopics%2Fbildung%2Felternmitwirkung" TargetMode="External" Id="rId699"/><Relationship Type="http://schemas.openxmlformats.org/officeDocument/2006/relationships/hyperlink" Target="https://www.stadtwil.ch/auth/login?skip=0&amp;to=%2Ftopics%2Fkinder-jugendliche-und-familie%2Fjugendliche%2Fjugendparlament" TargetMode="External" Id="rId700"/><Relationship Type="http://schemas.openxmlformats.org/officeDocument/2006/relationships/hyperlink" Target="https://www.stadtwil.ch/auth/login?skip=0&amp;to=%2Ftopics%2Fsport%2Fsportfoerderung%2Fleitbild-sport" TargetMode="External" Id="rId701"/><Relationship Type="http://schemas.openxmlformats.org/officeDocument/2006/relationships/hyperlink" Target="https://www.stadtwil.ch/auth/login?skip=0&amp;to=%2Ftopics%2Fstadt-politik-und-recht%2Fabstimmungen-und-wahlen%2F2026-kommende-abstimmungen%2F2026-kommende-abstimmungen-und-wahlen%2F27-09-2026-eidgenoessisches-blankodatum" TargetMode="External" Id="rId702"/><Relationship Type="http://schemas.openxmlformats.org/officeDocument/2006/relationships/hyperlink" Target="https://www.stadtwil.ch/auth/login?skip=0&amp;to=%2Ftopics%2Fstadt-politik-und-recht%2Fabstimmungen-und-wahlen%2F2026-kommende-abstimmungen%2F2026-kommende-abstimmungen-und-wahlen%2F29-11-2026-eidgenoessisches-blankodatum" TargetMode="External" Id="rId703"/><Relationship Type="http://schemas.openxmlformats.org/officeDocument/2006/relationships/hyperlink" Target="https://www.stadtwil.ch/auth/login?skip=0&amp;to=%2Ftopics%2Fstadt-politik-und-recht%2Fabstimmungen-und-wahlen%2F2026-kommende-abstimmungen%2F2027-kommende-abstimmungen-und-wahlen%2F06-06-2027-eidgenoessisches-blankodatum" TargetMode="External" Id="rId704"/><Relationship Type="http://schemas.openxmlformats.org/officeDocument/2006/relationships/hyperlink" Target="https://www.stadtwil.ch/auth/login?skip=0&amp;to=%2Ftopics%2Fstadt-politik-und-recht%2Fabstimmungen-und-wahlen%2F2026-kommende-abstimmungen%2F2027-kommende-abstimmungen-und-wahlen%2F24-10-2027-eidgenoessisches-blankodatum" TargetMode="External" Id="rId705"/><Relationship Type="http://schemas.openxmlformats.org/officeDocument/2006/relationships/hyperlink" Target="https://www.stadtwil.ch/auth/login?skip=0&amp;to=%2Ftopics%2Fstadt-politik-und-recht%2Fabstimmungen-und-wahlen%2F2026-kommende-abstimmungen%2F2027-kommende-abstimmungen-und-wahlen%2F28-02-2027-eidgenoessisches-blankodatum" TargetMode="External" Id="rId706"/><Relationship Type="http://schemas.openxmlformats.org/officeDocument/2006/relationships/hyperlink" Target="https://www.stadtwil.ch/auth/login?skip=0&amp;to=%2Ftopics%2Fstadt-politik-und-recht%2Fabstimmungen-und-wahlen%2F2026-kommende-abstimmungen%2F2027-kommende-abstimmungen-und-wahlen%2F28-11-2027-eidgenoessisches-blankodatum" TargetMode="External" Id="rId707"/><Relationship Type="http://schemas.openxmlformats.org/officeDocument/2006/relationships/hyperlink" Target="https://www.stadtwil.ch/auth/login?skip=0&amp;to=%2Ftopics%2Fstadt-politik-und-recht%2Fabstimmungen-und-wahlen%2Faktuelle-ergebnisse" TargetMode="External" Id="rId708"/><Relationship Type="http://schemas.openxmlformats.org/officeDocument/2006/relationships/hyperlink" Target="https://www.stadtwil.ch/meeting/444e7874c34f40a7b7b575c6cb99dec6" TargetMode="External" Id="rId709"/><Relationship Type="http://schemas.openxmlformats.org/officeDocument/2006/relationships/hyperlink" Target="https://www.stadtwil.ch/storage/088a20259e10bb81e5a5cfd8124c13374ad9b4896295230c069067cd32d4ce5d" TargetMode="External" Id="rId710"/><Relationship Type="http://schemas.openxmlformats.org/officeDocument/2006/relationships/hyperlink" Target="https://www.stadtwil.ch/storage/1b4765efbafbefc15fc64cf1bfc688afb0e9e90ed7497a5c73733856005bd031" TargetMode="External" Id="rId711"/><Relationship Type="http://schemas.openxmlformats.org/officeDocument/2006/relationships/hyperlink" Target="https://www.stadtwil.ch/storage/8e977f4e9cada5e8fe9140b3b89dd2d65730a957f233c5ea828624ee6ce7a67c" TargetMode="External" Id="rId712"/><Relationship Type="http://schemas.openxmlformats.org/officeDocument/2006/relationships/hyperlink" Target="https://www.stadtwil.ch/storage/bb298f2c3ce9bfb1480c586dfa9c66a9b99f4a775a9d65ea869a8adddb3b9693" TargetMode="External" Id="rId713"/><Relationship Type="http://schemas.openxmlformats.org/officeDocument/2006/relationships/hyperlink" Target="https://www.stadtwil.ch/storage/d88eb4851dead2a157160e532c982b8753bf002afa0cb8d9ae834fb998c4c6ba" TargetMode="External" Id="rId714"/><Relationship Type="http://schemas.openxmlformats.org/officeDocument/2006/relationships/hyperlink" Target="https://www.stadtwil.ch/storage/dd90ae19a11187fb8b4e58db16f7d39b8ae467612d9a6aabc1bf979d5ea98da0" TargetMode="External" Id="rId715"/><Relationship Type="http://schemas.openxmlformats.org/officeDocument/2006/relationships/hyperlink" Target="https://www.stadtwil.ch/topics/alter/aktivitaet-und-mitwirkung" TargetMode="External" Id="rId716"/><Relationship Type="http://schemas.openxmlformats.org/officeDocument/2006/relationships/hyperlink" Target="https://www.stadtwil.ch/topics/bauen-und-planen/mitwirkungen" TargetMode="External" Id="rId717"/><Relationship Type="http://schemas.openxmlformats.org/officeDocument/2006/relationships/hyperlink" Target="https://www.stadtwil.ch/topics/bauen-und-planen/wil-vivendo/mobilitaet/netzergaenzung-ost-neo/veranstaltungen" TargetMode="External" Id="rId718"/><Relationship Type="http://schemas.openxmlformats.org/officeDocument/2006/relationships/hyperlink" Target="https://www.stadtwil.ch/topics/bauen-und-planen/wil-vivendo/mobilitaet/netzergaenzung-ost-neo/veranstaltungen/mitwirkungen" TargetMode="External" Id="rId719"/><Relationship Type="http://schemas.openxmlformats.org/officeDocument/2006/relationships/hyperlink" Target="https://www.stadtwil.ch/topics/bauen-und-planen/wil-vivendo/ortsplanungsrevision/news/bisherige-uberlegungen-wurden-breit-gespiegelt/e-mitwirkung-mitmachen-ist-angesagt" TargetMode="External" Id="rId720"/><Relationship Type="http://schemas.openxmlformats.org/officeDocument/2006/relationships/hyperlink" Target="https://www.stadtwil.ch/topics/bauen-und-planen/wil-vivendo/ortsplanungsrevision/news/halbzeit-mitwirkung" TargetMode="External" Id="rId721"/><Relationship Type="http://schemas.openxmlformats.org/officeDocument/2006/relationships/hyperlink" Target="https://www.stadtwil.ch/topics/bauen-und-planen/wil-vivendo/ortsplanungsrevision/news/halbzeit-mitwirkung/aufloesung-der-frage" TargetMode="External" Id="rId722"/><Relationship Type="http://schemas.openxmlformats.org/officeDocument/2006/relationships/hyperlink" Target="https://www.stadtwil.ch/topics/bauen-und-planen/wil-vivendo/ortsplanungsrevision/news/halbzeit-mitwirkung/editorial" TargetMode="External" Id="rId723"/><Relationship Type="http://schemas.openxmlformats.org/officeDocument/2006/relationships/hyperlink" Target="https://www.stadtwil.ch/topics/bauen-und-planen/wil-vivendo/ortsplanungsrevision/news/start-offentliche-mitwirkung" TargetMode="External" Id="rId724"/><Relationship Type="http://schemas.openxmlformats.org/officeDocument/2006/relationships/hyperlink" Target="https://www.stadtwil.ch/topics/bauen-und-planen/wil-vivendo/ortsplanungsrevision/veranstaltungen-und-mitwirkung" TargetMode="External" Id="rId725"/><Relationship Type="http://schemas.openxmlformats.org/officeDocument/2006/relationships/hyperlink" Target="https://www.stadtwil.ch/topics/bauen-und-planen/wil-vivendo/ortsplanungsrevision/veranstaltungen-und-mitwirkung/mitwirkungen" TargetMode="External" Id="rId726"/><Relationship Type="http://schemas.openxmlformats.org/officeDocument/2006/relationships/hyperlink" Target="https://www.stadtwil.ch/topics/bauen-und-planen/wil-vivendo/ortsplanungsrevision/veranstaltungen-und-mitwirkung/mitwirkungen/mitwirkung-zum-richtplan-siedlung-sowie-gruen-freiraeume" TargetMode="External" Id="rId727"/><Relationship Type="http://schemas.openxmlformats.org/officeDocument/2006/relationships/hyperlink" Target="https://www.stadtwil.ch/topics/bauen-und-planen/wil-vivendo/ortsplanungsrevision/veranstaltungen-und-mitwirkung/strategiekonferenzen" TargetMode="External" Id="rId728"/><Relationship Type="http://schemas.openxmlformats.org/officeDocument/2006/relationships/hyperlink" Target="https://www.stadtwil.ch/topics/bauen-und-planen/wil-vivendo/ortsplanungsrevision/veranstaltungen-und-mitwirkung/strategiekonferenzen/2-strategiekonferenz" TargetMode="External" Id="rId729"/><Relationship Type="http://schemas.openxmlformats.org/officeDocument/2006/relationships/hyperlink" Target="https://www.stadtwil.ch/topics/bauen-und-planen/wil-vivendo/ortsplanungsrevision/veranstaltungen-und-mitwirkung/strategiekonferenzen/3-strategiekonferenz" TargetMode="External" Id="rId730"/><Relationship Type="http://schemas.openxmlformats.org/officeDocument/2006/relationships/hyperlink" Target="https://www.stadtwil.ch/topics/bauen-und-planen/wil-vivendo/ortsplanungsrevision/veranstaltungen-und-mitwirkung/strategiekonferenzen/4-ortsplanungskonferenze" TargetMode="External" Id="rId731"/><Relationship Type="http://schemas.openxmlformats.org/officeDocument/2006/relationships/hyperlink" Target="https://www.stadtwil.ch/topics/bauen-und-planen/wil-vivendo/ortsplanungsrevision/veranstaltungen-und-mitwirkung/strategiekonferenzen/strategiekonferenz-1-am-30-august-2024" TargetMode="External" Id="rId732"/><Relationship Type="http://schemas.openxmlformats.org/officeDocument/2006/relationships/hyperlink" Target="https://www.stadtwil.ch/topics/bauen-und-planen/wil-vivendo/ortsplanungsrevision/veranstaltungen-und-mitwirkung/veranstaltungen" TargetMode="External" Id="rId733"/><Relationship Type="http://schemas.openxmlformats.org/officeDocument/2006/relationships/hyperlink" Target="https://www.stadtwil.ch/topics/bauen-und-planen/wil-vivendo/siedlung/schulraumplanung/rueckblick-mitwirkung" TargetMode="External" Id="rId734"/><Relationship Type="http://schemas.openxmlformats.org/officeDocument/2006/relationships/hyperlink" Target="https://www.stadtwil.ch/topics/bildung/elternmitwirkung" TargetMode="External" Id="rId735"/><Relationship Type="http://schemas.openxmlformats.org/officeDocument/2006/relationships/hyperlink" Target="https://www.stadtwil.ch/topics/kinder-jugendliche-und-familie/jugendliche/jugendparlament" TargetMode="External" Id="rId736"/><Relationship Type="http://schemas.openxmlformats.org/officeDocument/2006/relationships/hyperlink" Target="https://www.stadtwil.ch/topics/sport/sportfoerderung/leitbild-sport" TargetMode="External" Id="rId737"/><Relationship Type="http://schemas.openxmlformats.org/officeDocument/2006/relationships/hyperlink" Target="https://www.stadtwil.ch/topics/stadt-politik-und-recht/abstimmungen-und-wahlen" TargetMode="External" Id="rId738"/><Relationship Type="http://schemas.openxmlformats.org/officeDocument/2006/relationships/hyperlink" Target="https://www.stadtwil.ch/topics/stadt-politik-und-recht/abstimmungen-und-wahlen/2026-kommende-abstimmungen" TargetMode="External" Id="rId739"/><Relationship Type="http://schemas.openxmlformats.org/officeDocument/2006/relationships/hyperlink" Target="https://www.stadtwil.ch/topics/stadt-politik-und-recht/abstimmungen-und-wahlen/2026-kommende-abstimmungen/2026-kommende-abstimmungen-und-wahlen" TargetMode="External" Id="rId740"/><Relationship Type="http://schemas.openxmlformats.org/officeDocument/2006/relationships/hyperlink" Target="https://www.stadtwil.ch/topics/stadt-politik-und-recht/abstimmungen-und-wahlen/2026-kommende-abstimmungen/2026-kommende-abstimmungen-und-wahlen/27-09-2026-eidgenoessisches-blankodatum" TargetMode="External" Id="rId741"/><Relationship Type="http://schemas.openxmlformats.org/officeDocument/2006/relationships/hyperlink" Target="https://www.stadtwil.ch/topics/stadt-politik-und-recht/abstimmungen-und-wahlen/2026-kommende-abstimmungen/2026-kommende-abstimmungen-und-wahlen/29-11-2026-eidgenoessisches-blankodatum" TargetMode="External" Id="rId742"/><Relationship Type="http://schemas.openxmlformats.org/officeDocument/2006/relationships/hyperlink" Target="https://www.stadtwil.ch/topics/stadt-politik-und-recht/abstimmungen-und-wahlen/2026-kommende-abstimmungen/2027-kommende-abstimmungen-und-wahlen" TargetMode="External" Id="rId743"/><Relationship Type="http://schemas.openxmlformats.org/officeDocument/2006/relationships/hyperlink" Target="https://www.stadtwil.ch/topics/stadt-politik-und-recht/abstimmungen-und-wahlen/2026-kommende-abstimmungen/2027-kommende-abstimmungen-und-wahlen/06-06-2027-eidgenoessisches-blankodatum" TargetMode="External" Id="rId744"/><Relationship Type="http://schemas.openxmlformats.org/officeDocument/2006/relationships/hyperlink" Target="https://www.stadtwil.ch/topics/stadt-politik-und-recht/abstimmungen-und-wahlen/2026-kommende-abstimmungen/2027-kommende-abstimmungen-und-wahlen/24-10-2027-eidgenoessisches-blankodatum" TargetMode="External" Id="rId745"/><Relationship Type="http://schemas.openxmlformats.org/officeDocument/2006/relationships/hyperlink" Target="https://www.stadtwil.ch/topics/stadt-politik-und-recht/abstimmungen-und-wahlen/2026-kommende-abstimmungen/2027-kommende-abstimmungen-und-wahlen/28-02-2027-eidgenoessisches-blankodatum" TargetMode="External" Id="rId746"/><Relationship Type="http://schemas.openxmlformats.org/officeDocument/2006/relationships/hyperlink" Target="https://www.stadtwil.ch/topics/stadt-politik-und-recht/abstimmungen-und-wahlen/2026-kommende-abstimmungen/2027-kommende-abstimmungen-und-wahlen/28-11-2027-eidgenoessisches-blankodatum" TargetMode="External" Id="rId747"/><Relationship Type="http://schemas.openxmlformats.org/officeDocument/2006/relationships/hyperlink" Target="https://www.stadtwil.ch/topics/stadt-politik-und-recht/abstimmungen-und-wahlen/aktuelle-ergebnisse" TargetMode="External" Id="rId748"/><Relationship Type="http://schemas.openxmlformats.org/officeDocument/2006/relationships/hyperlink" Target="https://www.stadtwil.ch/topics/stadt-politik-und-recht/abstimmungen-und-wahlen/politische-rechte" TargetMode="External" Id="rId749"/><Relationship Type="http://schemas.openxmlformats.org/officeDocument/2006/relationships/hyperlink" Target="https://www.stadtwil.ch/topics/stadt-politik-und-recht/abstimmungen-und-wahlen/vergangene-abstimmungen/2024-vergangene-abstimmungen-und-wahlen/03-03-2024-eidgenoessische-abstimmungen-kantonale-wahlen/erneuerungswahlen-der-mitglieder-der-regierung" TargetMode="External" Id="rId750"/><Relationship Type="http://schemas.openxmlformats.org/officeDocument/2006/relationships/hyperlink" Target="https://www.stadtwil.ch/topics/stadt-politik-und-recht/abstimmungen-und-wahlen/vergangene-abstimmungen/2024-vergangene-abstimmungen-und-wahlen/03-03-2024-eidgenoessische-abstimmungen-kantonale-wahlen/erneuerungswahlen-des-kantonsrates" TargetMode="External" Id="rId751"/><Relationship Type="http://schemas.openxmlformats.org/officeDocument/2006/relationships/hyperlink" Target="https://www.stadtwil.ch/topics/stadt-politik-und-recht/abstimmungen-und-wahlen/vergangene-abstimmungen/2024-vergangene-abstimmungen-und-wahlen/03-03-2024-eidgenoessische-abstimmungen-kantonale-wahlen/volksinitiative-vom-16-juli-2021-fuer-eine-sichere-und-nachhaltige-altersvorsorge" TargetMode="External" Id="rId752"/><Relationship Type="http://schemas.openxmlformats.org/officeDocument/2006/relationships/hyperlink" Target="https://www.stadtwil.ch/topics/stadt-politik-und-recht/abstimmungen-und-wahlen/vergangene-abstimmungen/2024-vergangene-abstimmungen-und-wahlen/03-03-2024-eidgenoessische-abstimmungen-kantonale-wahlen/volksinitiative-vom-28-mai-2021-fuer-ein-besseres-leben-im-alter" TargetMode="External" Id="rId753"/><Relationship Type="http://schemas.openxmlformats.org/officeDocument/2006/relationships/hyperlink" Target="https://www.stadtwil.ch/topics/stadt-politik-und-recht/abstimmungen-und-wahlen/vergangene-abstimmungen/2024-vergangene-abstimmungen-und-wahlen/09-juni-2024-eidgenoessische-volksabstimmung/bundesgesetz-vom-29-september-2023-ueber-eine-sichere-stromversorgung-mit-erneuerbaren-energien" TargetMode="External" Id="rId754"/><Relationship Type="http://schemas.openxmlformats.org/officeDocument/2006/relationships/hyperlink" Target="https://www.stadtwil.ch/topics/stadt-politik-und-recht/abstimmungen-und-wahlen/vergangene-abstimmungen/2024-vergangene-abstimmungen-und-wahlen/09-juni-2024-eidgenoessische-volksabstimmung/fuer-freiheit-und-koerperliche-unversehrtheit" TargetMode="External" Id="rId755"/><Relationship Type="http://schemas.openxmlformats.org/officeDocument/2006/relationships/hyperlink" Target="https://www.stadtwil.ch/topics/stadt-politik-und-recht/abstimmungen-und-wahlen/vergangene-abstimmungen/2024-vergangene-abstimmungen-und-wahlen/09-juni-2024-eidgenoessische-volksabstimmung/maximal-10-des-einkommens-fuer-die-krankenkassenpraemien-praemien-entlastungs-initiative" TargetMode="External" Id="rId756"/><Relationship Type="http://schemas.openxmlformats.org/officeDocument/2006/relationships/hyperlink" Target="https://www.stadtwil.ch/topics/stadt-politik-und-recht/abstimmungen-und-wahlen/vergangene-abstimmungen/2024-vergangene-abstimmungen-und-wahlen/09-juni-2024-eidgenoessische-volksabstimmung/volksinitiative-vom-10-maerz-2020" TargetMode="External" Id="rId757"/><Relationship Type="http://schemas.openxmlformats.org/officeDocument/2006/relationships/hyperlink" Target="https://www.stadtwil.ch/topics/stadt-politik-und-recht/abstimmungen-und-wahlen/vergangene-abstimmungen/2024-vergangene-abstimmungen-und-wahlen/14-04-2024-kommunale-abstimmung-und-2-wahlgang-regierung/2-wahlgang-regierung-kanton-st-gallen" TargetMode="External" Id="rId758"/><Relationship Type="http://schemas.openxmlformats.org/officeDocument/2006/relationships/hyperlink" Target="https://www.stadtwil.ch/topics/stadt-politik-und-recht/abstimmungen-und-wahlen/vergangene-abstimmungen/2024-vergangene-abstimmungen-und-wahlen/22-09-2024-eidgenoessische-und-kommunale-abstimmungen-sowie-kommunale-erneuerungswahlen/baukredit-fuer-den-ersatzneubau-der-unterfuehrung-hubstrasse-mit-fuss-und-velosteg-sowie-umgestaltung-churfirstenpark" TargetMode="External" Id="rId759"/><Relationship Type="http://schemas.openxmlformats.org/officeDocument/2006/relationships/hyperlink" Target="https://www.stadtwil.ch/topics/stadt-politik-und-recht/abstimmungen-und-wahlen/vergangene-abstimmungen/2024-vergangene-abstimmungen-und-wahlen/22-09-2024-eidgenoessische-und-kommunale-abstimmungen-sowie-kommunale-erneuerungswahlen/erneuerungswahl-der-fuenf-mitglieder-des-stadtrats-1-wahlgang-fuer-die-amtsdauer-2025-2028" TargetMode="External" Id="rId760"/><Relationship Type="http://schemas.openxmlformats.org/officeDocument/2006/relationships/hyperlink" Target="https://www.stadtwil.ch/topics/stadt-politik-und-recht/abstimmungen-und-wahlen/vergangene-abstimmungen/2024-vergangene-abstimmungen-und-wahlen/22-09-2024-eidgenoessische-und-kommunale-abstimmungen-sowie-kommunale-erneuerungswahlen/erneuerungswahl-des-stadtpraesidenten-1-wahlgang-fuer-die-amtsdauer-2025-2028" TargetMode="External" Id="rId761"/><Relationship Type="http://schemas.openxmlformats.org/officeDocument/2006/relationships/hyperlink" Target="https://www.stadtwil.ch/topics/stadt-politik-und-recht/abstimmungen-und-wahlen/vergangene-abstimmungen/2024-vergangene-abstimmungen-und-wahlen/22-09-2024-eidgenoessische-und-kommunale-abstimmungen-sowie-kommunale-erneuerungswahlen/erneuerungswahlen-des-stadtparlaments-fuer-die-amtsdauer-2025-2029" TargetMode="External" Id="rId762"/><Relationship Type="http://schemas.openxmlformats.org/officeDocument/2006/relationships/hyperlink" Target="https://www.stadtwil.ch/topics/stadt-politik-und-recht/abstimmungen-und-wahlen/vergangene-abstimmungen/2024-vergangene-abstimmungen-und-wahlen/22-09-2024-eidgenoessische-und-kommunale-abstimmungen-sowie-kommunale-erneuerungswahlen/volksinitiative-vom-8-september-2020-fuer-die-zukunft-unserer-natur-und-landschaft-biodiversitaetsinitiative" TargetMode="External" Id="rId763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anderung-vom-22-dezember-2023-des-bundesgesetzes-ueber-die-krankenversicherung-kvg-einheitliche-finanzierung-der-leistungen" TargetMode="External" Id="rId764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anderung-vom-29-september-2023-des-obligationenrechts" TargetMode="External" Id="rId765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anderung-vom-29-september-2023-des-obligationenrechts-anderung-vom-29-september-2023-des-obligationenrechts" TargetMode="External" Id="rId766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baukredit-fuer-den-neubau-werkhof-wil" TargetMode="External" Id="rId767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bundesbeschluss-vom-29-september-2023-ueber-den-ausbauschritt-2023-fuer-die-nationalstrassen" TargetMode="External" Id="rId768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einfuehrungsgesetz-zum-bundesgesetz-ueber-die-foerderung-der-ausbildung-im-bereich-der-pflege" TargetMode="External" Id="rId769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erneuerungswahl-der-fuenf-mitglieder-des-stadtrats-2-wahlgang-fuer-die-amtsdauer-2025-2028" TargetMode="External" Id="rId770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vii-nachtrag-zum-sozialhilfegesetz-foerderung-und-finanzierung-von-spezialpflegeangeboten" TargetMode="External" Id="rId771"/><Relationship Type="http://schemas.openxmlformats.org/officeDocument/2006/relationships/hyperlink" Target="https://www.stadtwil.ch/topics/stadt-politik-und-recht/abstimmungen-und-wahlen/vergangene-abstimmungen/2024-vergangene-abstimmungen-und-wahlen/24-11-2024-eidgenoessische-kantonale-und-kommunale-abstimmungen-sowie-2-wahlgang-kommunale-erneuerungswahlen/xxii-nachtrag-zum-steuergesetz-erhoehung-des-fahrkostenabzugs" TargetMode="External" Id="rId772"/><Relationship Type="http://schemas.openxmlformats.org/officeDocument/2006/relationships/hyperlink" Target="https://www.stadtwil.ch/topics/stadt-politik-und-recht/abstimmungen-und-wahlen/vergangene-abstimmungen/2025-vergangene-abstimmungen-und-wahlen-1/09-02-2025-eidgenoessisches-blankodatum/volksinitiative-vom-21-februar-2023-fuer-eine-verantwortungsvolle-wirtschaft-innerhalb-der-planetaren-grenzen" TargetMode="External" Id="rId773"/><Relationship Type="http://schemas.openxmlformats.org/officeDocument/2006/relationships/hyperlink" Target="https://www.stadtwil.ch/topics/stadt-politik-und-recht/abstimmungen-und-wahlen/vergangene-abstimmungen/2025-vergangene-abstimmungen-und-wahlen-1/18-05-2025-eidgenoessisches-blankodatum/iii-nachtrag-zum-gesetz-ueber-ruhetag-und-ladenoeffnung" TargetMode="External" Id="rId774"/><Relationship Type="http://schemas.openxmlformats.org/officeDocument/2006/relationships/hyperlink" Target="https://www.stadtwil.ch/topics/stadt-politik-und-recht/abstimmungen-und-wahlen/vergangene-abstimmungen/2025-vergangene-abstimmungen-und-wahlen-1/28-09-2025-eidgenoessische-abstimmung/bundesgesetz-vom-20-dezember-2024-ueber-den-elektronischen-identitaetsnachweis-und-andere-elektronische-nachweise-e-id-gesetz-bgeid" TargetMode="External" Id="rId775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eidgenoessische-abstimmungen/bundesgesetz-ueber-die-individualbesteuerung" TargetMode="External" Id="rId776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eidgenoessische-abstimmungen/volksinitiative-200-franken-sind-genug-srg-initiative" TargetMode="External" Id="rId777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eidgenoessische-abstimmungen/volksinitiative-fuer-einen-wirksamen-klimaschutz-klimafonds-initiative" TargetMode="External" Id="rId778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eidgenoessische-abstimmungen/volksinitiative-ja-zu-einer-unabhaengigen-freien-schweizer-waehrung-mit-muenzen-oder-banknoten-bargeld-ist-freiheit" TargetMode="External" Id="rId779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kantonale-abstimmungen/kantonsratsbeschluss-ueber-den-neubau-des-berufs-und-weiterbildungszentrums-rapperswil-jona-standort-suedquartier" TargetMode="External" Id="rId780"/><Relationship Type="http://schemas.openxmlformats.org/officeDocument/2006/relationships/hyperlink" Target="https://www.stadtwil.ch/topics/stadt-politik-und-recht/abstimmungen-und-wahlen/vergangene-abstimmungen/2026-vergangene-abstimmungen-und-wahlen/08-03-2026-eidgenoessisches-blankodatum/kommunale-abstimmung" TargetMode="External" Id="rId781"/><Relationship Type="http://schemas.openxmlformats.org/officeDocument/2006/relationships/hyperlink" Target="https://www.stadtwil.ch/topics/stadt-politik-und-recht/abstimmungen-und-wahlen/vergangene-abstimmungen/2026-vergangene-abstimmungen-und-wahlen/14-06-2026-abstimmungstermin" TargetMode="External" Id="rId782"/><Relationship Type="http://schemas.openxmlformats.org/officeDocument/2006/relationships/hyperlink" Target="https://www.stadtwil.ch/topics/stadt-politik-und-recht/abstimmungen-und-wahlen/vergangene-abstimmungen/2026-vergangene-abstimmungen-und-wahlen/16-08-2026-abstimmungstermin" TargetMode="External" Id="rId783"/><Relationship Type="http://schemas.openxmlformats.org/officeDocument/2006/relationships/hyperlink" Target="https://www.stadtwil.ch/topics/stadt-politik-und-recht/abstimmungen-und-wahlen/vorlagen/eidgenoessische-vorlagen/02-09-2024-volksinitiative-vom-8-september-2020-fuer-die-zukunft-unserer-natur-und-landschaft-biodiversitaetsinitiative" TargetMode="External" Id="rId784"/><Relationship Type="http://schemas.openxmlformats.org/officeDocument/2006/relationships/hyperlink" Target="https://www.stadtwil.ch/topics/stadt-politik-und-recht/abstimmungen-und-wahlen/vorlagen/eidgenoessische-vorlagen/03-03-2024-volksinitiative-vom-16-juli-2021-fuer-eine-sichere-und-nachhaltige-altersvorsorge" TargetMode="External" Id="rId785"/><Relationship Type="http://schemas.openxmlformats.org/officeDocument/2006/relationships/hyperlink" Target="https://www.stadtwil.ch/topics/stadt-politik-und-recht/abstimmungen-und-wahlen/vorlagen/eidgenoessische-vorlagen/03-03-2024-volksinitiative-vom-28-mai-2021-fuer-ein-besseres-leben-im-alter" TargetMode="External" Id="rId786"/><Relationship Type="http://schemas.openxmlformats.org/officeDocument/2006/relationships/hyperlink" Target="https://www.stadtwil.ch/topics/stadt-politik-und-recht/abstimmungen-und-wahlen/vorlagen/eidgenoessische-vorlagen/09-02-2025-volksinitiative-vom-21-februar-2023-fuer-eine-verantwortungsvolle-wirtschaft-innerhalb-der-planetaren-grenzen" TargetMode="External" Id="rId787"/><Relationship Type="http://schemas.openxmlformats.org/officeDocument/2006/relationships/hyperlink" Target="https://www.stadtwil.ch/topics/stadt-politik-und-recht/abstimmungen-und-wahlen/vorlagen/eidgenoessische-vorlagen/09-02-2025-volksinitiative-vom-21-februar-2023-fuer-eine-verantwortungsvolle-wirtschaft-innerhalb-der-planetaren-grenzen-1" TargetMode="External" Id="rId788"/><Relationship Type="http://schemas.openxmlformats.org/officeDocument/2006/relationships/hyperlink" Target="https://www.stadtwil.ch/topics/stadt-politik-und-recht/abstimmungen-und-wahlen/vorlagen/eidgenoessische-vorlagen/09-06-2024-bundesgesetz-vom-29-september-2023-ueber-eine-sichere-stromversorgung-mit-erneuerbaren-energien" TargetMode="External" Id="rId789"/><Relationship Type="http://schemas.openxmlformats.org/officeDocument/2006/relationships/hyperlink" Target="https://www.stadtwil.ch/topics/stadt-politik-und-recht/abstimmungen-und-wahlen/vorlagen/eidgenoessische-vorlagen/09-06-2024-fuer-freiheit-und-koerperliche-unversehrtheit" TargetMode="External" Id="rId790"/><Relationship Type="http://schemas.openxmlformats.org/officeDocument/2006/relationships/hyperlink" Target="https://www.stadtwil.ch/topics/stadt-politik-und-recht/abstimmungen-und-wahlen/vorlagen/eidgenoessische-vorlagen/09-06-2024-fuer-tiefere-praemien-kostenbremse-im-gesundheitswesen-kostenbremse-initiative" TargetMode="External" Id="rId791"/><Relationship Type="http://schemas.openxmlformats.org/officeDocument/2006/relationships/hyperlink" Target="https://www.stadtwil.ch/topics/stadt-politik-und-recht/abstimmungen-und-wahlen/vorlagen/eidgenoessische-vorlagen/09-06-2024-maximal-10-des-einkommens-fuer-die-krankenkassenpraemien-praemien-entlastungs-initiative" TargetMode="External" Id="rId792"/><Relationship Type="http://schemas.openxmlformats.org/officeDocument/2006/relationships/hyperlink" Target="https://www.stadtwil.ch/topics/stadt-politik-und-recht/abstimmungen-und-wahlen/vorlagen/eidgenoessische-vorlagen/24-11-2024-anderung-vom-22-dezember-2023-des-bundesgesetzes-ueber-die-krankenversicherung-kvg" TargetMode="External" Id="rId793"/><Relationship Type="http://schemas.openxmlformats.org/officeDocument/2006/relationships/hyperlink" Target="https://www.stadtwil.ch/topics/stadt-politik-und-recht/abstimmungen-und-wahlen/vorlagen/eidgenoessische-vorlagen/24-11-2024-anderung-vom-29-september-2023-des-obligationenrechts-kuendigung-wegen-eigenbedarfs" TargetMode="External" Id="rId794"/><Relationship Type="http://schemas.openxmlformats.org/officeDocument/2006/relationships/hyperlink" Target="https://www.stadtwil.ch/topics/stadt-politik-und-recht/abstimmungen-und-wahlen/vorlagen/eidgenoessische-vorlagen/24-11-2024-anderung-vom-29-september-2023-des-obligationenrechts-untermiete" TargetMode="External" Id="rId795"/><Relationship Type="http://schemas.openxmlformats.org/officeDocument/2006/relationships/hyperlink" Target="https://www.stadtwil.ch/topics/stadt-politik-und-recht/abstimmungen-und-wahlen/vorlagen/eidgenoessische-vorlagen/24-11-2024-bundesbeschluss-vom-29-september-2023-ueber-den-ausbauschritt-2023-fuer-die-nationalstrassen" TargetMode="External" Id="rId796"/><Relationship Type="http://schemas.openxmlformats.org/officeDocument/2006/relationships/hyperlink" Target="https://www.stadtwil.ch/topics/stadt-politik-und-recht/abstimmungen-und-wahlen/vorlagen/eidgenoessische-vorlagen/anderung-vom-26-september-2025-des-bundesgesetzes-ueber-den-zivilen-ersatzdienst-zivildienstgesetz-zdg" TargetMode="External" Id="rId797"/><Relationship Type="http://schemas.openxmlformats.org/officeDocument/2006/relationships/hyperlink" Target="https://www.stadtwil.ch/topics/stadt-politik-und-recht/abstimmungen-und-wahlen/vorlagen/eidgenoessische-vorlagen/test" TargetMode="External" Id="rId798"/><Relationship Type="http://schemas.openxmlformats.org/officeDocument/2006/relationships/hyperlink" Target="https://www.stadtwil.ch/topics/stadt-politik-und-recht/abstimmungen-und-wahlen/vorlagen/eidgenoessische-vorlagen/volksinitiative-fuer-eine-engagierte-schweiz-service-citoyen-initiative" TargetMode="External" Id="rId799"/><Relationship Type="http://schemas.openxmlformats.org/officeDocument/2006/relationships/hyperlink" Target="https://www.stadtwil.ch/topics/stadt-politik-und-recht/abstimmungen-und-wahlen/vorlagen/eidgenoessische-vorlagen/volksinitiative-fuer-eine-soziale-klimapolitik-steuerlich-gerecht-finanziert-initiative-fuer-eine-zukunft" TargetMode="External" Id="rId800"/><Relationship Type="http://schemas.openxmlformats.org/officeDocument/2006/relationships/hyperlink" Target="https://www.stadtwil.ch/topics/stadt-politik-und-recht/abstimmungen-und-wahlen/vorlagen/kantonale-vorlagen/18-05-2025-iii-nachtrag-zum-gesetz-ueber-ruhetag-und-ladenoeffnung" TargetMode="External" Id="rId801"/><Relationship Type="http://schemas.openxmlformats.org/officeDocument/2006/relationships/hyperlink" Target="https://www.stadtwil.ch/topics/stadt-politik-und-recht/abstimmungen-und-wahlen/vorlagen/kantonale-vorlagen/24-11-2024-einfuehrungsgesetz-zum-bundesgesetz-ueber-die-foerderung-der-ausbildung-im-bereich-der-pflege" TargetMode="External" Id="rId802"/><Relationship Type="http://schemas.openxmlformats.org/officeDocument/2006/relationships/hyperlink" Target="https://www.stadtwil.ch/topics/stadt-politik-und-recht/abstimmungen-und-wahlen/vorlagen/kantonale-vorlagen/24-11-2024-vii-nachtrag-zum-sozialhilfegesetz-foerderung-und-finanzierung-von-spezialpflegeangeboten" TargetMode="External" Id="rId803"/><Relationship Type="http://schemas.openxmlformats.org/officeDocument/2006/relationships/hyperlink" Target="https://www.stadtwil.ch/topics/stadt-politik-und-recht/abstimmungen-und-wahlen/vorlagen/kantonale-vorlagen/24-11-2024-xxii-nachtrag-zum-steuergesetz-erhoehung-des-fahrkostenabzugs" TargetMode="External" Id="rId804"/><Relationship Type="http://schemas.openxmlformats.org/officeDocument/2006/relationships/hyperlink" Target="https://www.stadtwil.ch/topics/stadt-politik-und-recht/abstimmungen-und-wahlen/vorlagen/kantonale-vorlagen/30-11-2025-kantonsratsbeschluss-ueber-die-sonderkredite-fuer-die-erneuerung-und-den-ausbau-sowie-fuer-den-betrieb-des-reinraums-am-campus-buchs" TargetMode="External" Id="rId805"/><Relationship Type="http://schemas.openxmlformats.org/officeDocument/2006/relationships/hyperlink" Target="https://www.stadtwil.ch/topics/stadt-politik-und-recht/abstimmungen-und-wahlen/vorlagen/kantonale-vorlagen/30-11-2025-kantonsratsbeschluss-ueber-mietkosten-fuer-die-kantonspolizei-st-gallen-im-interventionszentrum-des-bundes-fuer-den-zoll-ost-in-st-margrethen" TargetMode="External" Id="rId806"/><Relationship Type="http://schemas.openxmlformats.org/officeDocument/2006/relationships/hyperlink" Target="https://www.stadtwil.ch/topics/stadt-politik-und-recht/abstimmungen-und-wahlen/vorlagen/kantonale-vorlagen/gesetz-ueber-beitraege-fuer-familien-und-schulergaenzende-kinderbetreuung" TargetMode="External" Id="rId807"/><Relationship Type="http://schemas.openxmlformats.org/officeDocument/2006/relationships/hyperlink" Target="https://www.stadtwil.ch/topics/stadt-politik-und-recht/abstimmungen-und-wahlen/vorlagen/kantonale-wahlen/03-03-2024-erneuerungswahlen-der-mitglieder-der-regierung" TargetMode="External" Id="rId808"/><Relationship Type="http://schemas.openxmlformats.org/officeDocument/2006/relationships/hyperlink" Target="https://www.stadtwil.ch/topics/stadt-politik-und-recht/abstimmungen-und-wahlen/vorlagen/kantonale-wahlen/03-03-2024-erneuerungswahlen-des-kantonsrates" TargetMode="External" Id="rId809"/><Relationship Type="http://schemas.openxmlformats.org/officeDocument/2006/relationships/hyperlink" Target="https://www.stadtwil.ch/topics/stadt-politik-und-recht/abstimmungen-und-wahlen/vorlagen/kantonale-wahlen/14-04-2024-2-wahlgang-regierung-kanton-st-gallen" TargetMode="External" Id="rId810"/><Relationship Type="http://schemas.openxmlformats.org/officeDocument/2006/relationships/hyperlink" Target="https://www.stadtwil.ch/topics/stadt-politik-und-recht/abstimmungen-und-wahlen/vorlagen/kommunale-vorlagen/22-09-2024-baukredit-fuer-den-ersatzneubau-der-unterfuehrung-hubstrasse-mit-fuss-und-velosteg-sowie-umgestaltung-churfirstenpark" TargetMode="External" Id="rId811"/><Relationship Type="http://schemas.openxmlformats.org/officeDocument/2006/relationships/hyperlink" Target="https://www.stadtwil.ch/topics/stadt-politik-und-recht/abstimmungen-und-wahlen/vorlagen/kommunale-vorlagen/22-11-2024-baukredit-fuer-den-neubau-werkhof-wil" TargetMode="External" Id="rId812"/><Relationship Type="http://schemas.openxmlformats.org/officeDocument/2006/relationships/hyperlink" Target="https://www.stadtwil.ch/topics/stadt-politik-und-recht/abstimmungen-und-wahlen/vorlagen/kumunale-wahlen/14-juni-2026-pendent" TargetMode="External" Id="rId813"/><Relationship Type="http://schemas.openxmlformats.org/officeDocument/2006/relationships/hyperlink" Target="https://www.stadtwil.ch/topics/stadt-politik-und-recht/abstimmungen-und-wahlen/vorlagen/kumunale-wahlen/22-09-2024-erneuerungswahl-der-fuenf-mitglieder-des-stadtrats-1-wahlgang-fuer-die-amtsdauer-2025-2028" TargetMode="External" Id="rId814"/><Relationship Type="http://schemas.openxmlformats.org/officeDocument/2006/relationships/hyperlink" Target="https://www.stadtwil.ch/topics/stadt-politik-und-recht/abstimmungen-und-wahlen/vorlagen/kumunale-wahlen/22-09-2024-erneuerungswahl-des-stadtpraesidenten-1-wahlgang-fuer-die-amtsdauer-2025-2028" TargetMode="External" Id="rId815"/><Relationship Type="http://schemas.openxmlformats.org/officeDocument/2006/relationships/hyperlink" Target="https://www.stadtwil.ch/topics/stadt-politik-und-recht/abstimmungen-und-wahlen/vorlagen/kumunale-wahlen/22-09-2024-erneuerungswahlen-des-stadtparlaments-fuer-die-amtsdauer-2025-2028" TargetMode="External" Id="rId816"/><Relationship Type="http://schemas.openxmlformats.org/officeDocument/2006/relationships/hyperlink" Target="https://www.stadtwil.ch/topics/stadt-politik-und-recht/abstimmungen-und-wahlen/vorlagen/kumunale-wahlen/24-11-2024-erneuerungswahl-der-fuenf-mitglieder-des-stadtrats-2-wahlgang-fuer-die-amtsdauer-2025-2028" TargetMode="External" Id="rId817"/><Relationship Type="http://schemas.openxmlformats.org/officeDocument/2006/relationships/hyperlink" Target="https://www.stadtwil.ch/topics/stadt-politik-und-recht/kommissionen-und-delegationen/regionale-und-wirtschaftliche-organisationen/thurvita-ag-bestaetigung-durch-parlament" TargetMode="External" Id="rId818"/><Relationship Type="http://schemas.openxmlformats.org/officeDocument/2006/relationships/hyperlink" Target="https://www.stadtwil.ch/topics/stadt-politik-und-recht/kommissionen-und-delegationen/regionale-und-wirtschaftliche-organisationen/wiler-sportanlagen-ag-wispag-bestaetigung-durch-parlament" TargetMode="External" Id="rId819"/><Relationship Type="http://schemas.openxmlformats.org/officeDocument/2006/relationships/hyperlink" Target="https://www.stadtwil.ch/topics/stadt-politik-und-recht/stadtparlament" TargetMode="External" Id="rId820"/><Relationship Type="http://schemas.openxmlformats.org/officeDocument/2006/relationships/hyperlink" Target="https://www.stadtwil.ch/topics/stadt-politik-und-recht/stadtparlament/fraktionen" TargetMode="External" Id="rId821"/><Relationship Type="http://schemas.openxmlformats.org/officeDocument/2006/relationships/hyperlink" Target="https://www.stadtwil.ch/topics/stadt-politik-und-recht/stadtparlament/kommissionen" TargetMode="External" Id="rId822"/><Relationship Type="http://schemas.openxmlformats.org/officeDocument/2006/relationships/hyperlink" Target="https://www.stadtwil.ch/topics/stadt-politik-und-recht/stadtparlament/mitglieder" TargetMode="External" Id="rId823"/><Relationship Type="http://schemas.openxmlformats.org/officeDocument/2006/relationships/hyperlink" Target="https://www.stadtwil.ch/topics/stadt-politik-und-recht/stadtparlament/politische-geschaefte" TargetMode="External" Id="rId824"/><Relationship Type="http://schemas.openxmlformats.org/officeDocument/2006/relationships/hyperlink" Target="https://www.stadtwil.ch/topics/stadt-politik-und-recht/stadtparlament/sitzordung" TargetMode="External" Id="rId825"/><Relationship Type="http://schemas.openxmlformats.org/officeDocument/2006/relationships/hyperlink" Target="https://www.stadtwil.ch/topics/stadt-politik-und-recht/stadtparlament/sitzungen" TargetMode="External" Id="rId826"/><Relationship Type="http://schemas.openxmlformats.org/officeDocument/2006/relationships/hyperlink" Target="https://www.stadtwil.ch/topics/stadt-politik-und-recht/verwaltung/departemente/finanzen-und-verwaltung/stadtkanzlei" TargetMode="External" Id="rId82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5" customWidth="1" min="2" max="2"/>
  </cols>
  <sheetData>
    <row r="1" ht="36" customHeight="1">
      <c r="A1" s="1" t="inlineStr">
        <is>
          <t>C-Grundlagenkataster – institutionelle Ausgangslage</t>
        </is>
      </c>
      <c r="B1" s="1" t="inlineStr">
        <is>
          <t>Stand: 14.10.2026 (verifizierte Fassung)</t>
        </is>
      </c>
    </row>
    <row r="2" ht="38" customHeight="1">
      <c r="A2" s="2" t="inlineStr">
        <is>
          <t>Zweck</t>
        </is>
      </c>
      <c r="B2" s="2" t="inlineStr">
        <is>
          <t>Arbeitskataster C1–C5 für Niklas Assignment 01; kein fertiges Tragfähigkeitsrating.</t>
        </is>
      </c>
    </row>
    <row r="3" ht="38" customHeight="1">
      <c r="A3" s="3" t="inlineStr">
        <is>
          <t>Hierarchie</t>
        </is>
      </c>
      <c r="B3" s="3" t="inlineStr">
        <is>
          <t>Bund → Kantone Uri / Basel-Landschaft / St. Gallen → Pilotgemeinden Seelisberg / Münchenstein / Wil.</t>
        </is>
      </c>
    </row>
    <row r="4" ht="38" customHeight="1">
      <c r="A4" s="2" t="inlineStr">
        <is>
          <t>Datenlage</t>
        </is>
      </c>
      <c r="B4" s="2" t="inlineStr">
        <is>
          <t>Offizielle Links wurden recherchiert; Portal-Links sind ausdrücklich keine Belege für spezifische Einzelangaben.</t>
        </is>
      </c>
    </row>
    <row r="5" ht="38" customHeight="1">
      <c r="A5" s="3" t="inlineStr">
        <is>
          <t>Geltung</t>
        </is>
      </c>
      <c r="B5" s="3" t="inlineStr">
        <is>
          <t>Rechtsfassungen, Berichtsjahre und konkrete Werte vor Verwendung prüfen.</t>
        </is>
      </c>
    </row>
    <row r="6" ht="38" customHeight="1">
      <c r="A6" s="2" t="inlineStr">
        <is>
          <t>Tragfähigkeit</t>
        </is>
      </c>
      <c r="B6" s="2" t="inlineStr">
        <is>
          <t>Noch nicht bewertet, da Kennzahlen und qualitative Befunde nicht vollständig erhoben wurden.</t>
        </is>
      </c>
    </row>
    <row r="7" ht="38" customHeight="1">
      <c r="A7" s="3" t="inlineStr">
        <is>
          <t>Confidence</t>
        </is>
      </c>
      <c r="B7" s="3" t="inlineStr">
        <is>
          <t>Confidence bewertet die Aussagekraft der Katalogzeile, nicht die Gemeindequalität.</t>
        </is>
      </c>
    </row>
    <row r="8" ht="38" customHeight="1">
      <c r="A8" s="2" t="inlineStr">
        <is>
          <t>Aufgabenprofil</t>
        </is>
      </c>
      <c r="B8" s="2" t="inlineStr">
        <is>
          <t>C1 Finanzen, C2 Boden, C3 Governance, C4 Verwaltung, C5 Politik; Kennzahlen/Reifegrade begründen.</t>
        </is>
      </c>
    </row>
    <row r="9" ht="38" customHeight="1">
      <c r="A9" s="3" t="inlineStr">
        <is>
          <t>Peer-Logik</t>
        </is>
      </c>
      <c r="B9" s="3" t="inlineStr">
        <is>
          <t>Ausgangshypothese: C1 Kanton × Grössenklasse plus Richtwerte; C2–C5 ohne Peer.</t>
        </is>
      </c>
    </row>
    <row r="10" ht="38" customHeight="1">
      <c r="A10" s="2" t="inlineStr">
        <is>
          <t>Zusammenarbeit</t>
        </is>
      </c>
      <c r="B10" s="2" t="inlineStr">
        <is>
          <t>A-Daten von Lias und Luucy-/B-Daten von Nikolaos übernehmen, nicht neu erheben.</t>
        </is>
      </c>
    </row>
    <row r="11" ht="38" customHeight="1">
      <c r="A11" s="3" t="inlineStr">
        <is>
          <t>Datenanfrage</t>
        </is>
      </c>
      <c r="B11" s="3" t="inlineStr">
        <is>
          <t>Blatt Gemeindeanfragen enthält pro Pilotgemeinde benötigte Ergänzungen.</t>
        </is>
      </c>
    </row>
    <row r="12" ht="38" customHeight="1">
      <c r="A12" s="2" t="inlineStr">
        <is>
          <t>Quellenkonvention</t>
        </is>
      </c>
      <c r="B12" s="2" t="inlineStr">
        <is>
          <t>Herkunft unterscheidet öffentliche Webrecherche von methodischen Ableitungen aus Aufgabenprofil und Grundlagendokument.</t>
        </is>
      </c>
    </row>
    <row r="14">
      <c r="A14" s="10" t="inlineStr">
        <is>
          <t>Verifikation</t>
        </is>
      </c>
      <c r="B14" s="3" t="inlineStr">
        <is>
          <t>Alle URLs werden per Skript scripts/verify_c_sources.py (GitHub Actions) geprüft: Syntax, DNS, HTTP (HEAD, GET-Fallback), Weiterleitungen, Dateityp, Titel/Text gegen erwartete Schlüsselwörter und Ort. HTTP 200 allein gilt nicht als Verifikation.</t>
        </is>
      </c>
    </row>
    <row r="15">
      <c r="A15" s="10" t="inlineStr">
        <is>
          <t>Linkstatus</t>
        </is>
      </c>
      <c r="B15" s="3" t="inlineStr">
        <is>
          <t>Verifiziert = erreichbar ohne Umleitung; Weiterleitung = erreichbar nach Umleitung (Finale URL beachten); Fehler = 4xx/5xx/DNS/Fehlerseite; Nicht prüfbar = Zugriff verweigert, gedrosselt oder kein Netz.</t>
        </is>
      </c>
    </row>
    <row r="16">
      <c r="A16" s="10" t="inlineStr">
        <is>
          <t>Inhaltsprüfung</t>
        </is>
      </c>
      <c r="B16" s="3" t="inlineStr">
        <is>
          <t>Bestätigt = alle erwarteten Schlüsselwörter und Ort/Zuständigkeit im Titel oder Text gefunden; Teilweise bestätigt = nur ein Teil; Offen = kein auswertbarer Text oder keine Übereinstimmung. Automatischer Abgleich, keine fachliche Auswertung.</t>
        </is>
      </c>
    </row>
    <row r="17">
      <c r="A17" s="10" t="inlineStr">
        <is>
          <t>Quellenverfügbarkeit</t>
        </is>
      </c>
      <c r="B17" s="3" t="inlineStr">
        <is>
          <t>Öffentlich verfügbar und verifiziert; Öffentlich verfügbar – noch nicht geprüft; Nicht öffentlich auffindbar; Nur über Gemeindeanfrage erhältlich; Nicht zugänglich / nicht prüfbar. Die Kategorien 3 und 4 werden im Blatt Gemeindeanfragen geführt.</t>
        </is>
      </c>
    </row>
    <row r="18">
      <c r="A18" s="10" t="inlineStr">
        <is>
          <t>Tragfähigkeit</t>
        </is>
      </c>
      <c r="B18" s="3" t="inlineStr">
        <is>
          <t>Weiterhin «Noch nicht bewertet»: ein verifizierter Link ist kein Beleg für institutionelle Tragfähigkeit. Einstufungen nur mit Bewertungsbegründung (Skript bricht sonst ab).</t>
        </is>
      </c>
    </row>
    <row r="19">
      <c r="A19" s="10" t="inlineStr">
        <is>
          <t>Gemeindeblätter</t>
        </is>
      </c>
      <c r="B19" s="3" t="inlineStr">
        <is>
          <t>Seelisberg, Münchenstein und Wil sind generierte Ansichten der Gesamtübersicht (Bund + eigener Kanton + eigene Gemeinde). Nur in der Gesamtübersicht bearbeiten, danach «python3 scripts/verify_c_sources.py --sync-only &lt;Datei&gt;» ausführen. Die Spalte «Abgleich mit Gesamtübersicht» zeigt Abweichungen per Formel an.</t>
        </is>
      </c>
    </row>
    <row r="20">
      <c r="A20" s="10" t="inlineStr">
        <is>
          <t>Recherche-Kandidaten</t>
        </is>
      </c>
      <c r="B20" s="3" t="inlineStr">
        <is>
          <t>Automatisch gefundene Dokumentlinks (Einstiegsseiten, Sitemaps, optional Such-API). Ungeprüft und nicht kuratiert – erst nach Sichtung in die Gesamtübersicht übernehmen.</t>
        </is>
      </c>
    </row>
    <row r="21">
      <c r="A21" s="10" t="inlineStr">
        <is>
          <t>Kennzahlen Lauf</t>
        </is>
      </c>
      <c r="B21" s="3" t="inlineStr">
        <is>
          <t>Geprüfte URLs: 114; verifiziert/weitergeleitet: 107; Fehler: 2; nicht prüfbar: 5; Inhalt bestätigt: 102; neue Quellen: 69; ersetzte Links: 18.</t>
        </is>
      </c>
    </row>
    <row r="22">
      <c r="A22" s="11" t="inlineStr">
        <is>
          <t>Konsistenz (Formel)</t>
        </is>
      </c>
      <c r="B22" s="12" t="inlineStr">
        <is>
          <t>Soll = Zeilen in der Gesamtübersicht, die zur Gemeinde gehören; Ist = Zeilen im Gemeindeblatt.</t>
        </is>
      </c>
    </row>
    <row r="23">
      <c r="A23" s="11" t="inlineStr">
        <is>
          <t>Seelisberg</t>
        </is>
      </c>
      <c r="B23" s="12">
        <f>"Soll "&amp;(COUNTIF('Gesamtübersicht'!$B:$B,"Bund")+COUNTIFS('Gesamtübersicht'!$B:$B,"Kanton",'Gesamtübersicht'!$D:$D,"Uri")+COUNTIFS('Gesamtübersicht'!$B:$B,"Gemeinde",'Gesamtübersicht'!$E:$E,"Seelisberg"))&amp;" / Ist "&amp;(COUNTA('Seelisberg'!$A:$A)-1)&amp;" – "&amp;IF((COUNTIF('Gesamtübersicht'!$B:$B,"Bund")+COUNTIFS('Gesamtübersicht'!$B:$B,"Kanton",'Gesamtübersicht'!$D:$D,"Uri")+COUNTIFS('Gesamtübersicht'!$B:$B,"Gemeinde",'Gesamtübersicht'!$E:$E,"Seelisberg"))=(COUNTA('Seelisberg'!$A:$A)-1),"OK","ABWEICHUNG: Ansicht neu erzeugen")</f>
        <v/>
      </c>
    </row>
    <row r="24">
      <c r="A24" s="11" t="inlineStr">
        <is>
          <t>Münchenstein</t>
        </is>
      </c>
      <c r="B24" s="12">
        <f>"Soll "&amp;(COUNTIF('Gesamtübersicht'!$B:$B,"Bund")+COUNTIFS('Gesamtübersicht'!$B:$B,"Kanton",'Gesamtübersicht'!$D:$D,"Basel-Landschaft")+COUNTIFS('Gesamtübersicht'!$B:$B,"Gemeinde",'Gesamtübersicht'!$E:$E,"Münchenstein"))&amp;" / Ist "&amp;(COUNTA('Münchenstein'!$A:$A)-1)&amp;" – "&amp;IF((COUNTIF('Gesamtübersicht'!$B:$B,"Bund")+COUNTIFS('Gesamtübersicht'!$B:$B,"Kanton",'Gesamtübersicht'!$D:$D,"Basel-Landschaft")+COUNTIFS('Gesamtübersicht'!$B:$B,"Gemeinde",'Gesamtübersicht'!$E:$E,"Münchenstein"))=(COUNTA('Münchenstein'!$A:$A)-1),"OK","ABWEICHUNG: Ansicht neu erzeugen")</f>
        <v/>
      </c>
    </row>
    <row r="25">
      <c r="A25" s="11" t="inlineStr">
        <is>
          <t>Wil</t>
        </is>
      </c>
      <c r="B25" s="12">
        <f>"Soll "&amp;(COUNTIF('Gesamtübersicht'!$B:$B,"Bund")+COUNTIFS('Gesamtübersicht'!$B:$B,"Kanton",'Gesamtübersicht'!$D:$D,"St. Gallen")+COUNTIFS('Gesamtübersicht'!$B:$B,"Gemeinde",'Gesamtübersicht'!$E:$E,"Wil"))&amp;" / Ist "&amp;(COUNTA('Wil'!$A:$A)-1)&amp;" – "&amp;IF((COUNTIF('Gesamtübersicht'!$B:$B,"Bund")+COUNTIFS('Gesamtübersicht'!$B:$B,"Kanton",'Gesamtübersicht'!$D:$D,"St. Gallen")+COUNTIFS('Gesamtübersicht'!$B:$B,"Gemeinde",'Gesamtübersicht'!$E:$E,"Wil"))=(COUNTA('Wil'!$A:$A)-1),"OK","ABWEICHUNG: Ansicht neu erzeugen")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W110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2" customWidth="1" min="4" max="4"/>
    <col width="18" customWidth="1" min="5" max="5"/>
    <col width="15" customWidth="1" min="6" max="6"/>
    <col width="24" customWidth="1" min="7" max="7"/>
    <col width="48" customWidth="1" min="8" max="8"/>
    <col width="21" customWidth="1" min="9" max="9"/>
    <col width="28" customWidth="1" min="10" max="10"/>
    <col width="26" customWidth="1" min="11" max="11"/>
    <col width="24" customWidth="1" min="12" max="12"/>
    <col width="45" customWidth="1" min="13" max="13"/>
    <col width="19" customWidth="1" min="14" max="14"/>
    <col width="19" customWidth="1" min="15" max="15"/>
    <col width="54" customWidth="1" min="16" max="16"/>
    <col width="35" customWidth="1" min="17" max="17"/>
    <col width="49" customWidth="1" min="18" max="18"/>
    <col width="32" customWidth="1" min="19" max="19"/>
    <col width="26" customWidth="1" min="20" max="20"/>
    <col width="14" customWidth="1" min="21" max="21"/>
    <col width="44" customWidth="1" min="22" max="22"/>
    <col width="24" customWidth="1" min="23" max="23"/>
    <col width="39" customWidth="1" min="24" max="24"/>
    <col width="40" customWidth="1" min="25" max="25"/>
    <col width="31" customWidth="1" min="26" max="26"/>
    <col width="16" customWidth="1" min="27" max="27"/>
    <col width="18" customWidth="1" min="28" max="28"/>
    <col width="40" customWidth="1" min="29" max="29"/>
    <col width="16" customWidth="1" min="30" max="30"/>
    <col width="12" customWidth="1" min="31" max="31"/>
    <col width="40" customWidth="1" min="32" max="32"/>
    <col width="11" customWidth="1" min="33" max="33"/>
    <col width="18" customWidth="1" min="34" max="34"/>
    <col width="50" customWidth="1" min="35" max="35"/>
    <col width="40" customWidth="1" min="36" max="36"/>
    <col width="18" customWidth="1" min="37" max="37"/>
    <col width="26" customWidth="1" min="38" max="38"/>
    <col width="18" customWidth="1" min="39" max="39"/>
    <col width="30" customWidth="1" min="40" max="40"/>
    <col width="20" customWidth="1" min="41" max="41"/>
    <col width="50" customWidth="1" min="42" max="42"/>
    <col width="44" customWidth="1" min="43" max="43"/>
    <col width="15" customWidth="1" min="44" max="44"/>
    <col width="30" customWidth="1" min="45" max="45"/>
    <col width="16" customWidth="1" min="46" max="46"/>
    <col width="50" customWidth="1" min="47" max="47"/>
    <col width="18" customWidth="1" min="48" max="48"/>
    <col width="50" customWidth="1" min="49" max="49"/>
  </cols>
  <sheetData>
    <row r="1" ht="36" customHeight="1">
      <c r="A1" s="1" t="inlineStr">
        <is>
          <t>ID</t>
        </is>
      </c>
      <c r="B1" s="1" t="inlineStr">
        <is>
          <t>Ebene</t>
        </is>
      </c>
      <c r="C1" s="1" t="inlineStr">
        <is>
          <t>Schweiz</t>
        </is>
      </c>
      <c r="D1" s="1" t="inlineStr">
        <is>
          <t>Kanton</t>
        </is>
      </c>
      <c r="E1" s="1" t="inlineStr">
        <is>
          <t>Gemeinde</t>
        </is>
      </c>
      <c r="F1" s="1" t="inlineStr">
        <is>
          <t>C-Dimension</t>
        </is>
      </c>
      <c r="G1" s="1" t="inlineStr">
        <is>
          <t>Themenfeld</t>
        </is>
      </c>
      <c r="H1" s="1" t="inlineStr">
        <is>
          <t>Dokument / Datengrundlage</t>
        </is>
      </c>
      <c r="I1" s="1" t="inlineStr">
        <is>
          <t>Dokumenttyp</t>
        </is>
      </c>
      <c r="J1" s="1" t="inlineStr">
        <is>
          <t>Dokumentstatus</t>
        </is>
      </c>
      <c r="K1" s="1" t="inlineStr">
        <is>
          <t>Rechts- / Verbindlichkeitsstatus</t>
        </is>
      </c>
      <c r="L1" s="1" t="inlineStr">
        <is>
          <t>Herausgeber / Zuständigkeit</t>
        </is>
      </c>
      <c r="M1" s="1" t="inlineStr">
        <is>
          <t>Link / Quelle</t>
        </is>
      </c>
      <c r="N1" s="1" t="inlineStr">
        <is>
          <t>Bezugsjahr / Stand</t>
        </is>
      </c>
      <c r="O1" s="1" t="inlineStr">
        <is>
          <t>Aktualität geprüft am</t>
        </is>
      </c>
      <c r="P1" s="1" t="inlineStr">
        <is>
          <t>Konkrete Aussage / Relevanz</t>
        </is>
      </c>
      <c r="Q1" s="1" t="inlineStr">
        <is>
          <t>Kennzahl / Prüfkriterium</t>
        </is>
      </c>
      <c r="R1" s="1" t="inlineStr">
        <is>
          <t>Erhebungs- / Bewertungsmethode</t>
        </is>
      </c>
      <c r="S1" s="1" t="inlineStr">
        <is>
          <t>Vergleichsmassstab</t>
        </is>
      </c>
      <c r="T1" s="1" t="inlineStr">
        <is>
          <t>Reifegrad / Tragfähigkeit</t>
        </is>
      </c>
      <c r="U1" s="1" t="inlineStr">
        <is>
          <t>Confidence</t>
        </is>
      </c>
      <c r="V1" s="1" t="inlineStr">
        <is>
          <t>Datenlücke / Gemeindeanfrage</t>
        </is>
      </c>
      <c r="W1" s="1" t="inlineStr">
        <is>
          <t>Verbindung A / B / Q</t>
        </is>
      </c>
      <c r="X1" s="1" t="inlineStr">
        <is>
          <t>Sprint-2-Verwendung</t>
        </is>
      </c>
      <c r="Y1" s="1" t="inlineStr">
        <is>
          <t>Prüfstatus / nächste Aktion</t>
        </is>
      </c>
      <c r="Z1" s="1" t="inlineStr">
        <is>
          <t>Herkunft / Nachweis</t>
        </is>
      </c>
      <c r="AA1" s="1" t="inlineStr">
        <is>
          <t>Weitere C-Dimensionen</t>
        </is>
      </c>
      <c r="AB1" s="1" t="inlineStr">
        <is>
          <t>Veröffentlichungsdatum</t>
        </is>
      </c>
      <c r="AC1" s="1" t="inlineStr">
        <is>
          <t>Offizielle Fundstelle</t>
        </is>
      </c>
      <c r="AD1" s="1" t="inlineStr">
        <is>
          <t>Linkstatus</t>
        </is>
      </c>
      <c r="AE1" s="1" t="inlineStr">
        <is>
          <t>HTTP-Status</t>
        </is>
      </c>
      <c r="AF1" s="1" t="inlineStr">
        <is>
          <t>Finale URL (nach Weiterleitung)</t>
        </is>
      </c>
      <c r="AG1" s="1" t="inlineStr">
        <is>
          <t>Dateityp</t>
        </is>
      </c>
      <c r="AH1" s="1" t="inlineStr">
        <is>
          <t>Inhaltsprüfung</t>
        </is>
      </c>
      <c r="AI1" s="1" t="inlineStr">
        <is>
          <t>Inhaltsprüfung – Nachweis</t>
        </is>
      </c>
      <c r="AJ1" s="1" t="inlineStr">
        <is>
          <t>Erkannter Dokumenttitel</t>
        </is>
      </c>
      <c r="AK1" s="1" t="inlineStr">
        <is>
          <t>Erkannte Jahresangaben</t>
        </is>
      </c>
      <c r="AL1" s="1" t="inlineStr">
        <is>
          <t>Linkstabilität</t>
        </is>
      </c>
      <c r="AM1" s="1" t="inlineStr">
        <is>
          <t>Letzte Linkprüfung</t>
        </is>
      </c>
      <c r="AN1" s="1" t="inlineStr">
        <is>
          <t>Quellenverfügbarkeit</t>
        </is>
      </c>
      <c r="AO1" s="1" t="inlineStr">
        <is>
          <t>Einheit / Bezugsjahr</t>
        </is>
      </c>
      <c r="AP1" s="1" t="inlineStr">
        <is>
          <t>Prüfnachweis (belegbare Aussage)</t>
        </is>
      </c>
      <c r="AQ1" s="1" t="inlineStr">
        <is>
          <t>Bewertungsbegründung</t>
        </is>
      </c>
      <c r="AR1" s="1" t="inlineStr">
        <is>
          <t>Gemeindeanfrage erforderlich</t>
        </is>
      </c>
      <c r="AS1" s="1" t="inlineStr">
        <is>
          <t>Zuständige Stelle</t>
        </is>
      </c>
      <c r="AT1" s="1" t="inlineStr">
        <is>
          <t>Bearbeitungsstatus</t>
        </is>
      </c>
      <c r="AU1" s="1" t="inlineStr">
        <is>
          <t>Recherchehinweis</t>
        </is>
      </c>
      <c r="AV1" s="1" t="inlineStr">
        <is>
          <t>Gleiche Quelle wie (ID)</t>
        </is>
      </c>
      <c r="AW1" s="1" t="inlineStr">
        <is>
          <t>Änderungsprotokoll</t>
        </is>
      </c>
    </row>
    <row r="2" ht="43" customHeight="1">
      <c r="A2" s="2" t="inlineStr">
        <is>
          <t>CH-C1-01</t>
        </is>
      </c>
      <c r="B2" s="13" t="inlineStr">
        <is>
          <t>Bund</t>
        </is>
      </c>
      <c r="C2" s="2" t="inlineStr">
        <is>
          <t>Schweiz</t>
        </is>
      </c>
      <c r="D2" s="2" t="inlineStr">
        <is>
          <t>Alle</t>
        </is>
      </c>
      <c r="E2" s="2" t="inlineStr">
        <is>
          <t>Alle</t>
        </is>
      </c>
      <c r="F2" s="2" t="inlineStr">
        <is>
          <t>C1</t>
        </is>
      </c>
      <c r="G2" s="2" t="inlineStr">
        <is>
          <t>Öffentliche Finanzstatistik</t>
        </is>
      </c>
      <c r="H2" s="2" t="inlineStr">
        <is>
          <t>Finanzstatistik: Daten der Eidgenössischen Finanzverwaltung</t>
        </is>
      </c>
      <c r="I2" s="2" t="inlineStr">
        <is>
          <t>Datenportal</t>
        </is>
      </c>
      <c r="J2" s="2" t="inlineStr">
        <is>
          <t>Offizielle Quelle recherchiert</t>
        </is>
      </c>
      <c r="K2" s="2" t="inlineStr">
        <is>
          <t>Orientierung / Datengrundlage</t>
        </is>
      </c>
      <c r="L2" s="2" t="inlineStr">
        <is>
          <t>Bund</t>
        </is>
      </c>
      <c r="M2" s="5" t="inlineStr">
        <is>
          <t>https://www.efv.admin.ch/de/finanzstatistik-daten</t>
        </is>
      </c>
      <c r="N2" s="2" t="inlineStr">
        <is>
          <t>Zu prüfen</t>
        </is>
      </c>
      <c r="O2" s="2" t="inlineStr">
        <is>
          <t>2026-10-14</t>
        </is>
      </c>
      <c r="P2" s="2" t="inlineStr">
        <is>
          <t>Harmonisierte Finanzstatistik als Kontext und methodische Vergleichsbasis</t>
        </is>
      </c>
      <c r="Q2" s="2" t="inlineStr">
        <is>
          <t>Finanzkennzahlen, Ausgaben, Einnahmen</t>
        </is>
      </c>
      <c r="R2" s="2" t="inlineStr">
        <is>
          <t>Zeitreihen und Aufgabenabgrenzung prüfen</t>
        </is>
      </c>
      <c r="S2" s="2" t="inlineStr">
        <is>
          <t>Kanton × Grössenklasse; Richtwerte</t>
        </is>
      </c>
      <c r="T2" s="2" t="inlineStr">
        <is>
          <t>Noch nicht bewertet</t>
        </is>
      </c>
      <c r="U2" s="2" t="inlineStr">
        <is>
          <t>Hoch</t>
        </is>
      </c>
      <c r="V2" s="2" t="inlineStr"/>
      <c r="W2" s="2" t="inlineStr">
        <is>
          <t>A1/A2; C1</t>
        </is>
      </c>
      <c r="X2" s="2" t="inlineStr">
        <is>
          <t>Finanziellen Spielraum und DYN-Korridor plausibilisieren</t>
        </is>
      </c>
      <c r="Y2" s="2" t="inlineStr">
        <is>
          <t>Dokument auswerten; Aktualität und Geltung prüfen</t>
        </is>
      </c>
      <c r="Z2" s="2" t="inlineStr">
        <is>
          <t>Offizielles Bundesportal; methodische Auswahl</t>
        </is>
      </c>
      <c r="AA2" s="2" t="inlineStr"/>
      <c r="AB2" s="2" t="inlineStr"/>
      <c r="AC2" s="5" t="inlineStr">
        <is>
          <t>https://www.efv.admin.ch/</t>
        </is>
      </c>
      <c r="AD2" s="2" t="inlineStr">
        <is>
          <t>Verifiziert</t>
        </is>
      </c>
      <c r="AE2" s="2" t="inlineStr">
        <is>
          <t>200</t>
        </is>
      </c>
      <c r="AF2" s="2" t="inlineStr"/>
      <c r="AG2" s="2" t="inlineStr">
        <is>
          <t>HTML</t>
        </is>
      </c>
      <c r="AH2" s="2" t="inlineStr">
        <is>
          <t>Bestätigt</t>
        </is>
      </c>
      <c r="AI2" s="2" t="inlineStr">
        <is>
          <t>Schlüsselwörter 1/1 gefunden (Finanzstatistik)</t>
        </is>
      </c>
      <c r="AJ2" s="2" t="inlineStr">
        <is>
          <t>Übersicht über die Daten der Finanzstatistik | Übersicht über die Daten der Finanzstatistik</t>
        </is>
      </c>
      <c r="AK2" s="2" t="inlineStr">
        <is>
          <t>2008, 2026, 2025, 2014</t>
        </is>
      </c>
      <c r="AL2" s="2" t="inlineStr">
        <is>
          <t>Mittel (Webseite)</t>
        </is>
      </c>
      <c r="AM2" s="2" t="inlineStr">
        <is>
          <t>2026-10-14 13:53</t>
        </is>
      </c>
      <c r="AN2" s="2" t="inlineStr">
        <is>
          <t>Öffentlich verfügbar und verifiziert</t>
        </is>
      </c>
      <c r="AO2" s="2" t="inlineStr">
        <is>
          <t>Zu prüfen</t>
        </is>
      </c>
      <c r="AP2" s="2" t="inlineStr">
        <is>
          <t>Belegt Existenz und Zugänglichkeit der Quelle; inhaltliche Aussagen erst nach Auswertung.</t>
        </is>
      </c>
      <c r="AQ2" s="2" t="inlineStr">
        <is>
          <t>Keine Einstufung: Kennzahlen/Befunde noch nicht ausgewertet; Schwellen der Bewertungslogik noch nicht validiert.</t>
        </is>
      </c>
      <c r="AR2" s="2" t="inlineStr">
        <is>
          <t>Nein</t>
        </is>
      </c>
      <c r="AS2" s="2" t="inlineStr">
        <is>
          <t>Bund</t>
        </is>
      </c>
      <c r="AT2" s="2" t="inlineStr">
        <is>
          <t>In Prüfung</t>
        </is>
      </c>
      <c r="AU2" s="2" t="inlineStr"/>
      <c r="AV2" s="2" t="inlineStr"/>
      <c r="AW2" s="2" t="inlineStr"/>
    </row>
    <row r="3" ht="43" customHeight="1">
      <c r="A3" s="3" t="inlineStr">
        <is>
          <t>CH-C1-02</t>
        </is>
      </c>
      <c r="B3" s="13" t="inlineStr">
        <is>
          <t>Bund</t>
        </is>
      </c>
      <c r="C3" s="3" t="inlineStr">
        <is>
          <t>Schweiz</t>
        </is>
      </c>
      <c r="D3" s="3" t="inlineStr">
        <is>
          <t>Alle</t>
        </is>
      </c>
      <c r="E3" s="3" t="inlineStr">
        <is>
          <t>Alle</t>
        </is>
      </c>
      <c r="F3" s="3" t="inlineStr">
        <is>
          <t>C1</t>
        </is>
      </c>
      <c r="G3" s="3" t="inlineStr">
        <is>
          <t>Rechnungslegung</t>
        </is>
      </c>
      <c r="H3" s="3" t="inlineStr">
        <is>
          <t>EFV: Methodik und Vergleichbarkeit der Finanzstatistik</t>
        </is>
      </c>
      <c r="I3" s="3" t="inlineStr">
        <is>
          <t>Methodik</t>
        </is>
      </c>
      <c r="J3" s="3" t="inlineStr">
        <is>
          <t>Offizielle Quelle recherchiert</t>
        </is>
      </c>
      <c r="K3" s="3" t="inlineStr">
        <is>
          <t>Orientierung / Datengrundlage</t>
        </is>
      </c>
      <c r="L3" s="3" t="inlineStr">
        <is>
          <t>Bund</t>
        </is>
      </c>
      <c r="M3" s="7" t="inlineStr">
        <is>
          <t>https://www.efv.admin.ch/de/was-ist-die-finanzstatistik</t>
        </is>
      </c>
      <c r="N3" s="3" t="inlineStr">
        <is>
          <t>Zu prüfen</t>
        </is>
      </c>
      <c r="O3" s="3" t="inlineStr">
        <is>
          <t>2026-10-14</t>
        </is>
      </c>
      <c r="P3" s="3" t="inlineStr">
        <is>
          <t>Kantonale Aufgabenverteilung begrenzt Vergleichbarkeit</t>
        </is>
      </c>
      <c r="Q3" s="3" t="inlineStr">
        <is>
          <t>HRM / Aufgabenabgrenzung</t>
        </is>
      </c>
      <c r="R3" s="3" t="inlineStr">
        <is>
          <t>Vergleichbarkeit explizit dokumentieren</t>
        </is>
      </c>
      <c r="S3" s="3" t="inlineStr">
        <is>
          <t>Kanton × Grössenklasse</t>
        </is>
      </c>
      <c r="T3" s="3" t="inlineStr">
        <is>
          <t>Noch nicht bewertet</t>
        </is>
      </c>
      <c r="U3" s="3" t="inlineStr">
        <is>
          <t>Hoch</t>
        </is>
      </c>
      <c r="V3" s="3" t="inlineStr"/>
      <c r="W3" s="3" t="inlineStr">
        <is>
          <t>A1; C1</t>
        </is>
      </c>
      <c r="X3" s="3" t="inlineStr">
        <is>
          <t>Vergleichsregeln absichern</t>
        </is>
      </c>
      <c r="Y3" s="3" t="inlineStr">
        <is>
          <t>Dokument auswerten; Aktualität und Geltung prüfen</t>
        </is>
      </c>
      <c r="Z3" s="3" t="inlineStr">
        <is>
          <t>Offizielles Bundesportal; methodische Auswahl</t>
        </is>
      </c>
      <c r="AA3" s="3" t="inlineStr"/>
      <c r="AB3" s="3" t="inlineStr"/>
      <c r="AC3" s="3" t="inlineStr"/>
      <c r="AD3" s="3" t="inlineStr">
        <is>
          <t>Verifiziert</t>
        </is>
      </c>
      <c r="AE3" s="3" t="inlineStr">
        <is>
          <t>200</t>
        </is>
      </c>
      <c r="AF3" s="3" t="inlineStr"/>
      <c r="AG3" s="3" t="inlineStr">
        <is>
          <t>HTML</t>
        </is>
      </c>
      <c r="AH3" s="3" t="inlineStr">
        <is>
          <t>Bestätigt</t>
        </is>
      </c>
      <c r="AI3" s="3" t="inlineStr">
        <is>
          <t>Schlüsselwörter 1/1 gefunden (Finanzstatistik)</t>
        </is>
      </c>
      <c r="AJ3" s="3" t="inlineStr">
        <is>
          <t>Was ist die Finanzstatistik? | Was ist die Finanzstatistik?</t>
        </is>
      </c>
      <c r="AK3" s="3" t="inlineStr">
        <is>
          <t>2014, 2010, 2026, 2024, 2023, 2025</t>
        </is>
      </c>
      <c r="AL3" s="3" t="inlineStr">
        <is>
          <t>Mittel (Webseite)</t>
        </is>
      </c>
      <c r="AM3" s="3" t="inlineStr">
        <is>
          <t>2026-10-14 13:53</t>
        </is>
      </c>
      <c r="AN3" s="3" t="inlineStr">
        <is>
          <t>Öffentlich verfügbar und verifiziert</t>
        </is>
      </c>
      <c r="AO3" s="3" t="inlineStr">
        <is>
          <t>Zu prüfen</t>
        </is>
      </c>
      <c r="AP3" s="3" t="inlineStr">
        <is>
          <t>Belegt Existenz und Zugänglichkeit der Quelle; inhaltliche Aussagen erst nach Auswertung.</t>
        </is>
      </c>
      <c r="AQ3" s="3" t="inlineStr">
        <is>
          <t>Keine Einstufung: Kennzahlen/Befunde noch nicht ausgewertet; Schwellen der Bewertungslogik noch nicht validiert.</t>
        </is>
      </c>
      <c r="AR3" s="3" t="inlineStr">
        <is>
          <t>Nein</t>
        </is>
      </c>
      <c r="AS3" s="3" t="inlineStr">
        <is>
          <t>Bund</t>
        </is>
      </c>
      <c r="AT3" s="3" t="inlineStr">
        <is>
          <t>In Prüfung</t>
        </is>
      </c>
      <c r="AU3" s="3" t="inlineStr"/>
      <c r="AV3" s="3" t="inlineStr"/>
      <c r="AW3" s="3" t="inlineStr"/>
    </row>
    <row r="4" ht="43" customHeight="1">
      <c r="A4" s="2" t="inlineStr">
        <is>
          <t>CH-C1-03</t>
        </is>
      </c>
      <c r="B4" s="13" t="inlineStr">
        <is>
          <t>Bund</t>
        </is>
      </c>
      <c r="C4" s="2" t="inlineStr">
        <is>
          <t>Schweiz</t>
        </is>
      </c>
      <c r="D4" s="2" t="inlineStr">
        <is>
          <t>Alle</t>
        </is>
      </c>
      <c r="E4" s="2" t="inlineStr">
        <is>
          <t>Alle</t>
        </is>
      </c>
      <c r="F4" s="2" t="inlineStr">
        <is>
          <t>C1</t>
        </is>
      </c>
      <c r="G4" s="2" t="inlineStr">
        <is>
          <t>Finanzstatistik Methode</t>
        </is>
      </c>
      <c r="H4" s="2" t="inlineStr">
        <is>
          <t>EFV: Methoden der Finanzstatistik (FS-Modell, HRM2-Zuordnung)</t>
        </is>
      </c>
      <c r="I4" s="2" t="inlineStr">
        <is>
          <t>Methodik</t>
        </is>
      </c>
      <c r="J4" s="2" t="inlineStr">
        <is>
          <t>Webseite</t>
        </is>
      </c>
      <c r="K4" s="2" t="inlineStr">
        <is>
          <t>Methodische Grundlage</t>
        </is>
      </c>
      <c r="L4" s="2" t="inlineStr">
        <is>
          <t>Eidgenössische Finanzverwaltung (EFV)</t>
        </is>
      </c>
      <c r="M4" s="5" t="inlineStr">
        <is>
          <t>https://www.efv.admin.ch/de/methoden-finanzstatistik</t>
        </is>
      </c>
      <c r="N4" s="2" t="inlineStr"/>
      <c r="O4" s="2" t="inlineStr">
        <is>
          <t>2026-10-14</t>
        </is>
      </c>
      <c r="P4" s="2" t="inlineStr">
        <is>
          <t>Definitionen der Kennzahlen und HRM2-Abbildung für Vergleichbarkeit</t>
        </is>
      </c>
      <c r="Q4" s="2" t="inlineStr">
        <is>
          <t>Kennzahlendefinitionen</t>
        </is>
      </c>
      <c r="R4" s="2" t="inlineStr"/>
      <c r="S4" s="2" t="inlineStr">
        <is>
          <t>Kanton × Grössenklasse</t>
        </is>
      </c>
      <c r="T4" s="2" t="inlineStr">
        <is>
          <t>Noch nicht bewertet</t>
        </is>
      </c>
      <c r="U4" s="2" t="inlineStr">
        <is>
          <t>Hoch</t>
        </is>
      </c>
      <c r="V4" s="2" t="inlineStr"/>
      <c r="W4" s="2" t="inlineStr">
        <is>
          <t>C1</t>
        </is>
      </c>
      <c r="X4" s="2" t="inlineStr">
        <is>
          <t>Vergleichsregeln C1</t>
        </is>
      </c>
      <c r="Y4" s="2" t="inlineStr">
        <is>
          <t>Dokument auswerten; Aktualität und Geltung prüfen</t>
        </is>
      </c>
      <c r="Z4" s="2" t="inlineStr">
        <is>
          <t>Automatische Recherche GitHub Actions (Discovery), Fundstelle siehe Spalte Offizielle Fundstelle</t>
        </is>
      </c>
      <c r="AA4" s="2" t="inlineStr"/>
      <c r="AB4" s="2" t="inlineStr"/>
      <c r="AC4" s="5" t="inlineStr">
        <is>
          <t>https://www.efv.admin.ch/de/finanzstatistik-daten</t>
        </is>
      </c>
      <c r="AD4" s="2" t="inlineStr">
        <is>
          <t>Verifiziert</t>
        </is>
      </c>
      <c r="AE4" s="2" t="inlineStr">
        <is>
          <t>200</t>
        </is>
      </c>
      <c r="AF4" s="2" t="inlineStr"/>
      <c r="AG4" s="2" t="inlineStr">
        <is>
          <t>HTML</t>
        </is>
      </c>
      <c r="AH4" s="2" t="inlineStr">
        <is>
          <t>Bestätigt</t>
        </is>
      </c>
      <c r="AI4" s="2" t="inlineStr">
        <is>
          <t>Schlüsselwörter 2/2 gefunden (Methode, Finanzstatistik)</t>
        </is>
      </c>
      <c r="AJ4" s="2" t="inlineStr">
        <is>
          <t>Methoden der Finanzstatistik | Methoden der Finanzstatistik</t>
        </is>
      </c>
      <c r="AK4" s="2" t="inlineStr">
        <is>
          <t>2016, 2026, 2015, 2020, 2014, 2025</t>
        </is>
      </c>
      <c r="AL4" s="2" t="inlineStr">
        <is>
          <t>Mittel (Webseite)</t>
        </is>
      </c>
      <c r="AM4" s="2" t="inlineStr">
        <is>
          <t>2026-10-14 13:54</t>
        </is>
      </c>
      <c r="AN4" s="2" t="inlineStr">
        <is>
          <t>Öffentlich verfügbar und verifiziert</t>
        </is>
      </c>
      <c r="AO4" s="2" t="inlineStr"/>
      <c r="AP4" s="2" t="inlineStr">
        <is>
          <t>Belegt Existenz und Zugänglichkeit der Quelle; inhaltliche Aussagen erst nach Auswertung.</t>
        </is>
      </c>
      <c r="AQ4" s="2" t="inlineStr">
        <is>
          <t>Keine Einstufung: Kennzahlen/Befunde noch nicht ausgewertet; Schwellen der Bewertungslogik noch nicht validiert.</t>
        </is>
      </c>
      <c r="AR4" s="2" t="inlineStr">
        <is>
          <t>Nein</t>
        </is>
      </c>
      <c r="AS4" s="2" t="inlineStr">
        <is>
          <t>Eidgenössische Finanzverwaltung (EFV)</t>
        </is>
      </c>
      <c r="AT4" s="2" t="inlineStr">
        <is>
          <t>In Prüfung</t>
        </is>
      </c>
      <c r="AU4" s="2" t="inlineStr">
        <is>
          <t>Früherer PDF-Link zum FS-Methodenband (efv.admin.ch/dam/…) liefert HTTP 502 (Website-Umbau); Methodenseite über EFV-Finanzstatistik ermittelt.</t>
        </is>
      </c>
      <c r="AV4" s="2" t="inlineStr"/>
      <c r="AW4" s="2" t="inlineStr">
        <is>
          <t>2026-10-14: neu aufgenommen</t>
        </is>
      </c>
    </row>
    <row r="5" ht="43" customHeight="1">
      <c r="A5" s="3" t="inlineStr">
        <is>
          <t>CH-C1-04</t>
        </is>
      </c>
      <c r="B5" s="13" t="inlineStr">
        <is>
          <t>Bund</t>
        </is>
      </c>
      <c r="C5" s="3" t="inlineStr">
        <is>
          <t>Schweiz</t>
        </is>
      </c>
      <c r="D5" s="3" t="inlineStr">
        <is>
          <t>Alle</t>
        </is>
      </c>
      <c r="E5" s="3" t="inlineStr">
        <is>
          <t>Alle</t>
        </is>
      </c>
      <c r="F5" s="3" t="inlineStr">
        <is>
          <t>C1</t>
        </is>
      </c>
      <c r="G5" s="3" t="inlineStr">
        <is>
          <t>Finanzdaten Gemeinden</t>
        </is>
      </c>
      <c r="H5" s="3" t="inlineStr">
        <is>
          <t>EFV: Detaillierte Daten FS- und GFS-Modell (Open Government Data)</t>
        </is>
      </c>
      <c r="I5" s="3" t="inlineStr">
        <is>
          <t>Datensatz</t>
        </is>
      </c>
      <c r="J5" s="3" t="inlineStr">
        <is>
          <t>Direktes Dokument</t>
        </is>
      </c>
      <c r="K5" s="3" t="inlineStr">
        <is>
          <t>Datengrundlage</t>
        </is>
      </c>
      <c r="L5" s="3" t="inlineStr">
        <is>
          <t>EFV / opendata.swiss</t>
        </is>
      </c>
      <c r="M5" s="7" t="inlineStr">
        <is>
          <t>https://opendata.swiss/en/dataset/detaillierte-daten-fs-und-gfs-modell-standardauswertungen</t>
        </is>
      </c>
      <c r="N5" s="3" t="inlineStr"/>
      <c r="O5" s="3" t="inlineStr">
        <is>
          <t>2026-10-14</t>
        </is>
      </c>
      <c r="P5" s="3" t="inlineStr">
        <is>
          <t>Maschinenlesbare Finanzdaten für Peer-Vergleich</t>
        </is>
      </c>
      <c r="Q5" s="3" t="inlineStr">
        <is>
          <t>Einnahmen, Ausgaben, Schulden</t>
        </is>
      </c>
      <c r="R5" s="3" t="inlineStr"/>
      <c r="S5" s="3" t="inlineStr">
        <is>
          <t>Kanton × Grössenklasse</t>
        </is>
      </c>
      <c r="T5" s="3" t="inlineStr">
        <is>
          <t>Noch nicht bewertet</t>
        </is>
      </c>
      <c r="U5" s="3" t="inlineStr">
        <is>
          <t>Mittel</t>
        </is>
      </c>
      <c r="V5" s="3" t="inlineStr"/>
      <c r="W5" s="3" t="inlineStr"/>
      <c r="X5" s="3" t="inlineStr"/>
      <c r="Y5" s="3" t="inlineStr">
        <is>
          <t>Dokument auswerten; Aktualität und Geltung prüfen</t>
        </is>
      </c>
      <c r="Z5" s="3" t="inlineStr">
        <is>
          <t>Websuche 14.10.2026 (URL im Suchergebnis gefunden)</t>
        </is>
      </c>
      <c r="AA5" s="3" t="inlineStr"/>
      <c r="AB5" s="3" t="inlineStr"/>
      <c r="AC5" s="3" t="inlineStr"/>
      <c r="AD5" s="3" t="inlineStr">
        <is>
          <t>Verifiziert</t>
        </is>
      </c>
      <c r="AE5" s="3" t="inlineStr">
        <is>
          <t>200</t>
        </is>
      </c>
      <c r="AF5" s="3" t="inlineStr"/>
      <c r="AG5" s="3" t="inlineStr">
        <is>
          <t>HTML</t>
        </is>
      </c>
      <c r="AH5" s="3" t="inlineStr">
        <is>
          <t>Bestätigt</t>
        </is>
      </c>
      <c r="AI5" s="3" t="inlineStr">
        <is>
          <t>Schlüsselwörter 2/2 gefunden (FS, GFS)</t>
        </is>
      </c>
      <c r="AJ5" s="3" t="inlineStr">
        <is>
          <t>Detailed data FS and GFS model: Regular tables | opendata.swiss | Detailed data FS and GFS model: Regular tables</t>
        </is>
      </c>
      <c r="AK5" s="3" t="inlineStr">
        <is>
          <t>2008, 2025, 2014, 2023</t>
        </is>
      </c>
      <c r="AL5" s="3" t="inlineStr">
        <is>
          <t>Mittel (Webseite)</t>
        </is>
      </c>
      <c r="AM5" s="3" t="inlineStr">
        <is>
          <t>2026-10-14 13:54</t>
        </is>
      </c>
      <c r="AN5" s="3" t="inlineStr">
        <is>
          <t>Öffentlich verfügbar und verifiziert</t>
        </is>
      </c>
      <c r="AO5" s="3" t="inlineStr"/>
      <c r="AP5" s="3" t="inlineStr">
        <is>
          <t>Belegt Existenz und Zugänglichkeit der Quelle; inhaltliche Aussagen erst nach Auswertung.</t>
        </is>
      </c>
      <c r="AQ5" s="3" t="inlineStr">
        <is>
          <t>Keine Einstufung: Kennzahlen/Befunde noch nicht ausgewertet; Schwellen der Bewertungslogik noch nicht validiert.</t>
        </is>
      </c>
      <c r="AR5" s="3" t="inlineStr">
        <is>
          <t>Nein</t>
        </is>
      </c>
      <c r="AS5" s="3" t="inlineStr">
        <is>
          <t>EFV / opendata.swiss</t>
        </is>
      </c>
      <c r="AT5" s="3" t="inlineStr">
        <is>
          <t>In Prüfung</t>
        </is>
      </c>
      <c r="AU5" s="3" t="inlineStr"/>
      <c r="AV5" s="3" t="inlineStr"/>
      <c r="AW5" s="3" t="inlineStr">
        <is>
          <t>2026-10-14: neu aufgenommen</t>
        </is>
      </c>
    </row>
    <row r="6" ht="43" customHeight="1">
      <c r="A6" s="2" t="inlineStr">
        <is>
          <t>CH-C2-01</t>
        </is>
      </c>
      <c r="B6" s="13" t="inlineStr">
        <is>
          <t>Bund</t>
        </is>
      </c>
      <c r="C6" s="2" t="inlineStr">
        <is>
          <t>Schweiz</t>
        </is>
      </c>
      <c r="D6" s="2" t="inlineStr">
        <is>
          <t>Alle</t>
        </is>
      </c>
      <c r="E6" s="2" t="inlineStr">
        <is>
          <t>Alle</t>
        </is>
      </c>
      <c r="F6" s="2" t="inlineStr">
        <is>
          <t>C2</t>
        </is>
      </c>
      <c r="G6" s="2" t="inlineStr">
        <is>
          <t>Eigentumsrechte</t>
        </is>
      </c>
      <c r="H6" s="2" t="inlineStr">
        <is>
          <t>Schweizerisches Zivilgesetzbuch (ZGB)</t>
        </is>
      </c>
      <c r="I6" s="2" t="inlineStr">
        <is>
          <t>Bundesgesetz</t>
        </is>
      </c>
      <c r="J6" s="2" t="inlineStr">
        <is>
          <t>Offizielle Quelle recherchiert</t>
        </is>
      </c>
      <c r="K6" s="2" t="inlineStr">
        <is>
          <t>Bundesgesetz (verbindlich)</t>
        </is>
      </c>
      <c r="L6" s="2" t="inlineStr">
        <is>
          <t>Bund</t>
        </is>
      </c>
      <c r="M6" s="5" t="inlineStr">
        <is>
          <t>https://www.fedlex.admin.ch/eli/cc/24/233_245_233/de</t>
        </is>
      </c>
      <c r="N6" s="2" t="inlineStr">
        <is>
          <t>SR 210, geltende Fassung</t>
        </is>
      </c>
      <c r="O6" s="2" t="inlineStr">
        <is>
          <t>2026-10-14</t>
        </is>
      </c>
      <c r="P6" s="2" t="inlineStr">
        <is>
          <t>Eigentum, Dienstbarkeiten und Baurechte als rechtlicher Rahmen</t>
        </is>
      </c>
      <c r="Q6" s="2" t="inlineStr">
        <is>
          <t>Baurecht, Dienstbarkeit, Eigentum</t>
        </is>
      </c>
      <c r="R6" s="2" t="inlineStr">
        <is>
          <t>Grundbuch und Verträge gemeindespezifisch prüfen</t>
        </is>
      </c>
      <c r="S6" s="2" t="inlineStr">
        <is>
          <t>Kein Peer-Vergleich</t>
        </is>
      </c>
      <c r="T6" s="2" t="inlineStr">
        <is>
          <t>Noch nicht bewertet</t>
        </is>
      </c>
      <c r="U6" s="2" t="inlineStr">
        <is>
          <t>Hoch</t>
        </is>
      </c>
      <c r="V6" s="2" t="inlineStr"/>
      <c r="W6" s="2" t="inlineStr">
        <is>
          <t>B; Q1</t>
        </is>
      </c>
      <c r="X6" s="2" t="inlineStr">
        <is>
          <t>Bodenmobilisierung / Verfügung prüfen</t>
        </is>
      </c>
      <c r="Y6" s="2" t="inlineStr">
        <is>
          <t>Dokument auswerten; Aktualität und Geltung prüfen</t>
        </is>
      </c>
      <c r="Z6" s="2" t="inlineStr">
        <is>
          <t>Offizielles Bundesportal; methodische Auswahl</t>
        </is>
      </c>
      <c r="AA6" s="2" t="inlineStr"/>
      <c r="AB6" s="2" t="inlineStr"/>
      <c r="AC6" s="2" t="inlineStr"/>
      <c r="AD6" s="2" t="inlineStr">
        <is>
          <t>Verifiziert</t>
        </is>
      </c>
      <c r="AE6" s="2" t="inlineStr">
        <is>
          <t>200</t>
        </is>
      </c>
      <c r="AF6" s="2" t="inlineStr"/>
      <c r="AG6" s="2" t="inlineStr">
        <is>
          <t>HTML</t>
        </is>
      </c>
      <c r="AH6" s="2" t="inlineStr">
        <is>
          <t>Bestätigt</t>
        </is>
      </c>
      <c r="AI6" s="2" t="inlineStr">
        <is>
          <t>Titel via Fedlex-SPARQL (https://fedlex.data.admin.ch/eli/cc/24/233_245_233); Schlüsselwörter 1/1 gefunden (Zivilgesetzbuch)</t>
        </is>
      </c>
      <c r="AJ6" s="2" t="inlineStr">
        <is>
          <t>Schweizerisches Zivilgesetzbuch vom 10. Dezember 1907 (ZGB)</t>
        </is>
      </c>
      <c r="AK6" s="2" t="inlineStr"/>
      <c r="AL6" s="2" t="inlineStr">
        <is>
          <t>Hoch (ELI-Permalink)</t>
        </is>
      </c>
      <c r="AM6" s="2" t="inlineStr">
        <is>
          <t>2026-10-14 13:53</t>
        </is>
      </c>
      <c r="AN6" s="2" t="inlineStr">
        <is>
          <t>Öffentlich verfügbar und verifiziert</t>
        </is>
      </c>
      <c r="AO6" s="2" t="inlineStr">
        <is>
          <t>SR 210, geltende Fassung</t>
        </is>
      </c>
      <c r="AP6" s="2" t="inlineStr">
        <is>
          <t>Belegt Existenz und Zugänglichkeit der Quelle; inhaltliche Aussagen erst nach Auswertung.</t>
        </is>
      </c>
      <c r="AQ6" s="2" t="inlineStr">
        <is>
          <t>Keine Einstufung: Kennzahlen/Befunde noch nicht ausgewertet; Schwellen der Bewertungslogik noch nicht validiert.</t>
        </is>
      </c>
      <c r="AR6" s="2" t="inlineStr">
        <is>
          <t>Nein</t>
        </is>
      </c>
      <c r="AS6" s="2" t="inlineStr">
        <is>
          <t>Bund</t>
        </is>
      </c>
      <c r="AT6" s="2" t="inlineStr">
        <is>
          <t>In Prüfung</t>
        </is>
      </c>
      <c r="AU6" s="2" t="inlineStr"/>
      <c r="AV6" s="2" t="inlineStr"/>
      <c r="AW6" s="2" t="inlineStr"/>
    </row>
    <row r="7" ht="43" customHeight="1">
      <c r="A7" s="3" t="inlineStr">
        <is>
          <t>CH-C2-02</t>
        </is>
      </c>
      <c r="B7" s="13" t="inlineStr">
        <is>
          <t>Bund</t>
        </is>
      </c>
      <c r="C7" s="3" t="inlineStr">
        <is>
          <t>Schweiz</t>
        </is>
      </c>
      <c r="D7" s="3" t="inlineStr">
        <is>
          <t>Alle</t>
        </is>
      </c>
      <c r="E7" s="3" t="inlineStr">
        <is>
          <t>Alle</t>
        </is>
      </c>
      <c r="F7" s="3" t="inlineStr">
        <is>
          <t>C2</t>
        </is>
      </c>
      <c r="G7" s="3" t="inlineStr">
        <is>
          <t>Raumplanung / Baulandmobilisierung</t>
        </is>
      </c>
      <c r="H7" s="3" t="inlineStr">
        <is>
          <t>Bundesgesetz über die Raumplanung (RPG), SR 700</t>
        </is>
      </c>
      <c r="I7" s="3" t="inlineStr">
        <is>
          <t>Bundesgesetz</t>
        </is>
      </c>
      <c r="J7" s="3" t="inlineStr">
        <is>
          <t>Direktes Dokument</t>
        </is>
      </c>
      <c r="K7" s="3" t="inlineStr">
        <is>
          <t>Bundesgesetz (verbindlich)</t>
        </is>
      </c>
      <c r="L7" s="3" t="inlineStr">
        <is>
          <t>Bund</t>
        </is>
      </c>
      <c r="M7" s="7" t="inlineStr">
        <is>
          <t>https://www.fedlex.admin.ch/eli/cc/1979/1573_1573_1573/de</t>
        </is>
      </c>
      <c r="N7" s="3" t="inlineStr">
        <is>
          <t>SR 700, geltende Fassung</t>
        </is>
      </c>
      <c r="O7" s="3" t="inlineStr">
        <is>
          <t>2026-10-14</t>
        </is>
      </c>
      <c r="P7" s="3" t="inlineStr">
        <is>
          <t>Art. 15a RPG: Förderung der Verfügbarkeit von Bauland; Mehrwertausgleich Art. 5</t>
        </is>
      </c>
      <c r="Q7" s="3" t="inlineStr">
        <is>
          <t>Bauverpflichtung, Mehrwertabgabe</t>
        </is>
      </c>
      <c r="R7" s="3" t="inlineStr"/>
      <c r="S7" s="3" t="inlineStr">
        <is>
          <t>Kein Peer-Vergleich</t>
        </is>
      </c>
      <c r="T7" s="3" t="inlineStr">
        <is>
          <t>Noch nicht bewertet</t>
        </is>
      </c>
      <c r="U7" s="3" t="inlineStr">
        <is>
          <t>Hoch</t>
        </is>
      </c>
      <c r="V7" s="3" t="inlineStr"/>
      <c r="W7" s="3" t="inlineStr">
        <is>
          <t>B; Q1</t>
        </is>
      </c>
      <c r="X7" s="3" t="inlineStr"/>
      <c r="Y7" s="3" t="inlineStr">
        <is>
          <t>Dokument auswerten; Aktualität und Geltung prüfen</t>
        </is>
      </c>
      <c r="Z7" s="3" t="inlineStr">
        <is>
          <t>ELI-Permalink Fedlex; Identität per Fedlex-SPARQL geprüft</t>
        </is>
      </c>
      <c r="AA7" s="3" t="inlineStr"/>
      <c r="AB7" s="3" t="inlineStr"/>
      <c r="AC7" s="3" t="inlineStr"/>
      <c r="AD7" s="3" t="inlineStr">
        <is>
          <t>Verifiziert</t>
        </is>
      </c>
      <c r="AE7" s="3" t="inlineStr">
        <is>
          <t>200</t>
        </is>
      </c>
      <c r="AF7" s="3" t="inlineStr"/>
      <c r="AG7" s="3" t="inlineStr">
        <is>
          <t>HTML</t>
        </is>
      </c>
      <c r="AH7" s="3" t="inlineStr">
        <is>
          <t>Bestätigt</t>
        </is>
      </c>
      <c r="AI7" s="3" t="inlineStr">
        <is>
          <t>Titel via Fedlex-SPARQL (https://fedlex.data.admin.ch/eli/cc/1979/1573_1573_1573); Schlüsselwörter 1/1 gefunden (Raumplanung)</t>
        </is>
      </c>
      <c r="AJ7" s="3" t="inlineStr">
        <is>
          <t>Bundesgesetz vom 22. Juni 1979 über die Raumplanung (Raumplanungsgesetz, RPG) (RPG)</t>
        </is>
      </c>
      <c r="AK7" s="3" t="inlineStr"/>
      <c r="AL7" s="3" t="inlineStr">
        <is>
          <t>Hoch (ELI-Permalink)</t>
        </is>
      </c>
      <c r="AM7" s="3" t="inlineStr">
        <is>
          <t>2026-10-14 13:54</t>
        </is>
      </c>
      <c r="AN7" s="3" t="inlineStr">
        <is>
          <t>Öffentlich verfügbar und verifiziert</t>
        </is>
      </c>
      <c r="AO7" s="3" t="inlineStr">
        <is>
          <t>SR 700, geltende Fassung</t>
        </is>
      </c>
      <c r="AP7" s="3" t="inlineStr">
        <is>
          <t>Belegt Existenz und Zugänglichkeit der Quelle; inhaltliche Aussagen erst nach Auswertung.</t>
        </is>
      </c>
      <c r="AQ7" s="3" t="inlineStr">
        <is>
          <t>Keine Einstufung: Kennzahlen/Befunde noch nicht ausgewertet; Schwellen der Bewertungslogik noch nicht validiert.</t>
        </is>
      </c>
      <c r="AR7" s="3" t="inlineStr">
        <is>
          <t>Nein</t>
        </is>
      </c>
      <c r="AS7" s="3" t="inlineStr">
        <is>
          <t>Bund</t>
        </is>
      </c>
      <c r="AT7" s="3" t="inlineStr">
        <is>
          <t>In Prüfung</t>
        </is>
      </c>
      <c r="AU7" s="3" t="inlineStr"/>
      <c r="AV7" s="3" t="inlineStr"/>
      <c r="AW7" s="3" t="inlineStr">
        <is>
          <t>2026-10-14: neu aufgenommen</t>
        </is>
      </c>
    </row>
    <row r="8" ht="43" customHeight="1">
      <c r="A8" s="2" t="inlineStr">
        <is>
          <t>CH-C3-01</t>
        </is>
      </c>
      <c r="B8" s="13" t="inlineStr">
        <is>
          <t>Bund</t>
        </is>
      </c>
      <c r="C8" s="2" t="inlineStr">
        <is>
          <t>Schweiz</t>
        </is>
      </c>
      <c r="D8" s="2" t="inlineStr">
        <is>
          <t>Alle</t>
        </is>
      </c>
      <c r="E8" s="2" t="inlineStr">
        <is>
          <t>Alle</t>
        </is>
      </c>
      <c r="F8" s="2" t="inlineStr">
        <is>
          <t>C3</t>
        </is>
      </c>
      <c r="G8" s="2" t="inlineStr">
        <is>
          <t>Interkommunale Zusammenarbeit</t>
        </is>
      </c>
      <c r="H8" s="2" t="inlineStr">
        <is>
          <t>Bundesverfassung der Schweizerischen Eidgenossenschaft</t>
        </is>
      </c>
      <c r="I8" s="2" t="inlineStr">
        <is>
          <t>Bundesverfassung</t>
        </is>
      </c>
      <c r="J8" s="2" t="inlineStr">
        <is>
          <t>Offizielle Quelle recherchiert</t>
        </is>
      </c>
      <c r="K8" s="2" t="inlineStr">
        <is>
          <t>Bundesverfassung (verbindlich)</t>
        </is>
      </c>
      <c r="L8" s="2" t="inlineStr">
        <is>
          <t>Bund</t>
        </is>
      </c>
      <c r="M8" s="5" t="inlineStr">
        <is>
          <t>https://www.fedlex.admin.ch/eli/cc/1999/404/de</t>
        </is>
      </c>
      <c r="N8" s="2" t="inlineStr">
        <is>
          <t>SR 101, geltende Fassung</t>
        </is>
      </c>
      <c r="O8" s="2" t="inlineStr">
        <is>
          <t>2026-10-14</t>
        </is>
      </c>
      <c r="P8" s="2" t="inlineStr">
        <is>
          <t>Grundlagen von Föderalismus und Gemeindeautonomie; Details kantonal</t>
        </is>
      </c>
      <c r="Q8" s="2" t="inlineStr">
        <is>
          <t>Zuständigkeits- und Kooperationsregeln</t>
        </is>
      </c>
      <c r="R8" s="2" t="inlineStr">
        <is>
          <t>Kantonale Gemeindeerlasse ergänzen</t>
        </is>
      </c>
      <c r="S8" s="2" t="inlineStr">
        <is>
          <t>Qualitative Reifegradskala</t>
        </is>
      </c>
      <c r="T8" s="2" t="inlineStr">
        <is>
          <t>Noch nicht bewertet</t>
        </is>
      </c>
      <c r="U8" s="2" t="inlineStr">
        <is>
          <t>Hoch</t>
        </is>
      </c>
      <c r="V8" s="2" t="inlineStr"/>
      <c r="W8" s="2" t="inlineStr">
        <is>
          <t>Q6; C4</t>
        </is>
      </c>
      <c r="X8" s="2" t="inlineStr">
        <is>
          <t>Trägerschaft und Kooperation beurteilen</t>
        </is>
      </c>
      <c r="Y8" s="2" t="inlineStr">
        <is>
          <t>Dokument auswerten; Aktualität und Geltung prüfen</t>
        </is>
      </c>
      <c r="Z8" s="2" t="inlineStr">
        <is>
          <t>Offizielles Bundesportal; methodische Auswahl</t>
        </is>
      </c>
      <c r="AA8" s="2" t="inlineStr">
        <is>
          <t>C5</t>
        </is>
      </c>
      <c r="AB8" s="2" t="inlineStr"/>
      <c r="AC8" s="2" t="inlineStr"/>
      <c r="AD8" s="2" t="inlineStr">
        <is>
          <t>Verifiziert</t>
        </is>
      </c>
      <c r="AE8" s="2" t="inlineStr">
        <is>
          <t>200</t>
        </is>
      </c>
      <c r="AF8" s="2" t="inlineStr"/>
      <c r="AG8" s="2" t="inlineStr">
        <is>
          <t>HTML</t>
        </is>
      </c>
      <c r="AH8" s="2" t="inlineStr">
        <is>
          <t>Bestätigt</t>
        </is>
      </c>
      <c r="AI8" s="2" t="inlineStr">
        <is>
          <t>Titel via Fedlex-SPARQL (https://fedlex.data.admin.ch/eli/cc/1999/404); Schlüsselwörter 1/1 gefunden (Bundesverfassung)</t>
        </is>
      </c>
      <c r="AJ8" s="2" t="inlineStr">
        <is>
          <t>Bundesverfassung der Schweizerischen Eidgenossenschaft vom 18. April 1999 (BV)</t>
        </is>
      </c>
      <c r="AK8" s="2" t="inlineStr"/>
      <c r="AL8" s="2" t="inlineStr">
        <is>
          <t>Hoch (ELI-Permalink)</t>
        </is>
      </c>
      <c r="AM8" s="2" t="inlineStr">
        <is>
          <t>2026-10-14 13:53</t>
        </is>
      </c>
      <c r="AN8" s="2" t="inlineStr">
        <is>
          <t>Öffentlich verfügbar und verifiziert</t>
        </is>
      </c>
      <c r="AO8" s="2" t="inlineStr">
        <is>
          <t>SR 101, geltende Fassung</t>
        </is>
      </c>
      <c r="AP8" s="2" t="inlineStr">
        <is>
          <t>Belegt Existenz und Zugänglichkeit der Quelle; inhaltliche Aussagen erst nach Auswertung.</t>
        </is>
      </c>
      <c r="AQ8" s="2" t="inlineStr">
        <is>
          <t>Keine Einstufung: Kennzahlen/Befunde noch nicht ausgewertet; Schwellen der Bewertungslogik noch nicht validiert.</t>
        </is>
      </c>
      <c r="AR8" s="2" t="inlineStr">
        <is>
          <t>Nein</t>
        </is>
      </c>
      <c r="AS8" s="2" t="inlineStr">
        <is>
          <t>Bund</t>
        </is>
      </c>
      <c r="AT8" s="2" t="inlineStr">
        <is>
          <t>In Prüfung</t>
        </is>
      </c>
      <c r="AU8" s="2" t="inlineStr"/>
      <c r="AV8" s="2" t="inlineStr">
        <is>
          <t>CH-C5-01</t>
        </is>
      </c>
      <c r="AW8" s="2" t="inlineStr"/>
    </row>
    <row r="9" ht="43" customHeight="1">
      <c r="A9" s="3" t="inlineStr">
        <is>
          <t>CH-C4-01</t>
        </is>
      </c>
      <c r="B9" s="13" t="inlineStr">
        <is>
          <t>Bund</t>
        </is>
      </c>
      <c r="C9" s="3" t="inlineStr">
        <is>
          <t>Schweiz</t>
        </is>
      </c>
      <c r="D9" s="3" t="inlineStr">
        <is>
          <t>Alle</t>
        </is>
      </c>
      <c r="E9" s="3" t="inlineStr">
        <is>
          <t>Alle</t>
        </is>
      </c>
      <c r="F9" s="3" t="inlineStr">
        <is>
          <t>C4</t>
        </is>
      </c>
      <c r="G9" s="3" t="inlineStr">
        <is>
          <t>Öffentliche Beschaffung</t>
        </is>
      </c>
      <c r="H9" s="3" t="inlineStr">
        <is>
          <t>Bundesgesetz über das öffentliche Beschaffungswesen (BöB)</t>
        </is>
      </c>
      <c r="I9" s="3" t="inlineStr">
        <is>
          <t>Bundesgesetz</t>
        </is>
      </c>
      <c r="J9" s="3" t="inlineStr">
        <is>
          <t>Offizielle Quelle recherchiert</t>
        </is>
      </c>
      <c r="K9" s="3" t="inlineStr">
        <is>
          <t>Bundesgesetz (verbindlich für Bundesbeschaffungen; Gemeinden: IVöB/kantonales Recht)</t>
        </is>
      </c>
      <c r="L9" s="3" t="inlineStr">
        <is>
          <t>Bund</t>
        </is>
      </c>
      <c r="M9" s="7" t="inlineStr">
        <is>
          <t>https://www.fedlex.admin.ch/eli/cc/2020/126/de</t>
        </is>
      </c>
      <c r="N9" s="3" t="inlineStr">
        <is>
          <t>SR 172.056.1, geltende Fassung</t>
        </is>
      </c>
      <c r="O9" s="3" t="inlineStr">
        <is>
          <t>2026-10-14</t>
        </is>
      </c>
      <c r="P9" s="3" t="inlineStr">
        <is>
          <t>Beschaffungsrechtlicher Orientierungsrahmen; kommunale Geltung kantonal prüfen</t>
        </is>
      </c>
      <c r="Q9" s="3" t="inlineStr">
        <is>
          <t>Beschaffungsprozess, Zuständigkeit</t>
        </is>
      </c>
      <c r="R9" s="3" t="inlineStr">
        <is>
          <t>Kantonales Beschaffungsrecht vorrangig auf Geltung prüfen</t>
        </is>
      </c>
      <c r="S9" s="3" t="inlineStr">
        <is>
          <t>Qualitative Reifegradskala</t>
        </is>
      </c>
      <c r="T9" s="3" t="inlineStr">
        <is>
          <t>Noch nicht bewertet</t>
        </is>
      </c>
      <c r="U9" s="3" t="inlineStr">
        <is>
          <t>Hoch</t>
        </is>
      </c>
      <c r="V9" s="3" t="inlineStr"/>
      <c r="W9" s="3" t="inlineStr">
        <is>
          <t>Q6; C3</t>
        </is>
      </c>
      <c r="X9" s="3" t="inlineStr">
        <is>
          <t>Bestellerkompetenz / Umsetzungsorganisation</t>
        </is>
      </c>
      <c r="Y9" s="3" t="inlineStr">
        <is>
          <t>Dokument auswerten; Aktualität und Geltung prüfen</t>
        </is>
      </c>
      <c r="Z9" s="3" t="inlineStr">
        <is>
          <t>Offizielles Bundesportal; methodische Auswahl</t>
        </is>
      </c>
      <c r="AA9" s="3" t="inlineStr"/>
      <c r="AB9" s="3" t="inlineStr"/>
      <c r="AC9" s="3" t="inlineStr"/>
      <c r="AD9" s="3" t="inlineStr">
        <is>
          <t>Verifiziert</t>
        </is>
      </c>
      <c r="AE9" s="3" t="inlineStr">
        <is>
          <t>200</t>
        </is>
      </c>
      <c r="AF9" s="3" t="inlineStr"/>
      <c r="AG9" s="3" t="inlineStr">
        <is>
          <t>HTML</t>
        </is>
      </c>
      <c r="AH9" s="3" t="inlineStr">
        <is>
          <t>Bestätigt</t>
        </is>
      </c>
      <c r="AI9" s="3" t="inlineStr">
        <is>
          <t>Titel via Fedlex-SPARQL (https://fedlex.data.admin.ch/eli/cc/2020/126); Schlüsselwörter 1/1 gefunden (öffentliche Beschaffungswesen)</t>
        </is>
      </c>
      <c r="AJ9" s="3" t="inlineStr">
        <is>
          <t>Bundesgesetz vom 21. Juni 2019 über das öffentliche Beschaffungswesen (BöB) (BöB)</t>
        </is>
      </c>
      <c r="AK9" s="3" t="inlineStr">
        <is>
          <t>2019</t>
        </is>
      </c>
      <c r="AL9" s="3" t="inlineStr">
        <is>
          <t>Hoch (ELI-Permalink)</t>
        </is>
      </c>
      <c r="AM9" s="3" t="inlineStr">
        <is>
          <t>2026-10-14 13:53</t>
        </is>
      </c>
      <c r="AN9" s="3" t="inlineStr">
        <is>
          <t>Öffentlich verfügbar und verifiziert</t>
        </is>
      </c>
      <c r="AO9" s="3" t="inlineStr">
        <is>
          <t>SR 172.056.1, geltende Fassung</t>
        </is>
      </c>
      <c r="AP9" s="3" t="inlineStr">
        <is>
          <t>Belegt Existenz und Zugänglichkeit der Quelle; inhaltliche Aussagen erst nach Auswertung.</t>
        </is>
      </c>
      <c r="AQ9" s="3" t="inlineStr">
        <is>
          <t>Keine Einstufung: Kennzahlen/Befunde noch nicht ausgewertet; Schwellen der Bewertungslogik noch nicht validiert.</t>
        </is>
      </c>
      <c r="AR9" s="3" t="inlineStr">
        <is>
          <t>Nein</t>
        </is>
      </c>
      <c r="AS9" s="3" t="inlineStr">
        <is>
          <t>Bund</t>
        </is>
      </c>
      <c r="AT9" s="3" t="inlineStr">
        <is>
          <t>In Prüfung</t>
        </is>
      </c>
      <c r="AU9" s="3" t="inlineStr"/>
      <c r="AV9" s="3" t="inlineStr"/>
      <c r="AW9" s="3" t="inlineStr"/>
    </row>
    <row r="10" ht="43" customHeight="1">
      <c r="A10" s="2" t="inlineStr">
        <is>
          <t>CH-C4-02</t>
        </is>
      </c>
      <c r="B10" s="13" t="inlineStr">
        <is>
          <t>Bund</t>
        </is>
      </c>
      <c r="C10" s="2" t="inlineStr">
        <is>
          <t>Schweiz</t>
        </is>
      </c>
      <c r="D10" s="2" t="inlineStr">
        <is>
          <t>Alle</t>
        </is>
      </c>
      <c r="E10" s="2" t="inlineStr">
        <is>
          <t>Alle</t>
        </is>
      </c>
      <c r="F10" s="2" t="inlineStr">
        <is>
          <t>C4</t>
        </is>
      </c>
      <c r="G10" s="2" t="inlineStr">
        <is>
          <t>Gemeindekennzahlen</t>
        </is>
      </c>
      <c r="H10" s="2" t="inlineStr">
        <is>
          <t>BFS: Regionalporträts – Kennzahlen aller Gemeinden (Datensatz)</t>
        </is>
      </c>
      <c r="I10" s="2" t="inlineStr">
        <is>
          <t>Datensatz</t>
        </is>
      </c>
      <c r="J10" s="2" t="inlineStr">
        <is>
          <t>Direktes Dokument</t>
        </is>
      </c>
      <c r="K10" s="2" t="inlineStr">
        <is>
          <t>Datengrundlage</t>
        </is>
      </c>
      <c r="L10" s="2" t="inlineStr">
        <is>
          <t>Bundesamt für Statistik (BFS)</t>
        </is>
      </c>
      <c r="M10" s="5" t="inlineStr">
        <is>
          <t>https://ckan.opendata.swiss/dataset/regionalportrats-2021-kennzahlen-aller-gemeinden</t>
        </is>
      </c>
      <c r="N10" s="2" t="inlineStr">
        <is>
          <t>2021 (neuere Ausgabe prüfen)</t>
        </is>
      </c>
      <c r="O10" s="2" t="inlineStr">
        <is>
          <t>2026-10-14</t>
        </is>
      </c>
      <c r="P10" s="2" t="inlineStr">
        <is>
          <t>Strukturdaten (Einwohner, Fläche) zur Bildung der Grössenklassen</t>
        </is>
      </c>
      <c r="Q10" s="2" t="inlineStr"/>
      <c r="R10" s="2" t="inlineStr"/>
      <c r="S10" s="2" t="inlineStr">
        <is>
          <t>Grössenklasse</t>
        </is>
      </c>
      <c r="T10" s="2" t="inlineStr">
        <is>
          <t>Noch nicht bewertet</t>
        </is>
      </c>
      <c r="U10" s="2" t="inlineStr">
        <is>
          <t>Mittel</t>
        </is>
      </c>
      <c r="V10" s="2" t="inlineStr"/>
      <c r="W10" s="2" t="inlineStr"/>
      <c r="X10" s="2" t="inlineStr"/>
      <c r="Y10" s="2" t="inlineStr">
        <is>
          <t>Dokument auswerten; Aktualität und Geltung prüfen</t>
        </is>
      </c>
      <c r="Z10" s="2" t="inlineStr">
        <is>
          <t>Websuche 14.10.2026 (URL im Suchergebnis gefunden)</t>
        </is>
      </c>
      <c r="AA10" s="2" t="inlineStr">
        <is>
          <t>C1</t>
        </is>
      </c>
      <c r="AB10" s="2" t="inlineStr"/>
      <c r="AC10" s="2" t="inlineStr"/>
      <c r="AD10" s="2" t="inlineStr">
        <is>
          <t>Verifiziert</t>
        </is>
      </c>
      <c r="AE10" s="2" t="inlineStr">
        <is>
          <t>200</t>
        </is>
      </c>
      <c r="AF10" s="2" t="inlineStr"/>
      <c r="AG10" s="2" t="inlineStr">
        <is>
          <t>HTML</t>
        </is>
      </c>
      <c r="AH10" s="2" t="inlineStr">
        <is>
          <t>Bestätigt</t>
        </is>
      </c>
      <c r="AI10" s="2" t="inlineStr">
        <is>
          <t>Schlüsselwörter 1/1 gefunden (Regionalporträts)</t>
        </is>
      </c>
      <c r="AJ10" s="2" t="inlineStr">
        <is>
          <t>Regional portraits 2021: key data of all communes - Dataset - opendata.swiss | Regional portraits 2021: key data of all communes</t>
        </is>
      </c>
      <c r="AK10" s="2" t="inlineStr">
        <is>
          <t>2021, 2019, 2004</t>
        </is>
      </c>
      <c r="AL10" s="2" t="inlineStr">
        <is>
          <t>Mittel (Webseite)</t>
        </is>
      </c>
      <c r="AM10" s="2" t="inlineStr">
        <is>
          <t>2026-10-14 13:54</t>
        </is>
      </c>
      <c r="AN10" s="2" t="inlineStr">
        <is>
          <t>Öffentlich verfügbar und verifiziert</t>
        </is>
      </c>
      <c r="AO10" s="2" t="inlineStr">
        <is>
          <t>2021 (neuere Ausgabe prüfen)</t>
        </is>
      </c>
      <c r="AP10" s="2" t="inlineStr">
        <is>
          <t>Belegt Existenz und Zugänglichkeit der Quelle; inhaltliche Aussagen erst nach Auswertung.</t>
        </is>
      </c>
      <c r="AQ10" s="2" t="inlineStr">
        <is>
          <t>Keine Einstufung: Kennzahlen/Befunde noch nicht ausgewertet; Schwellen der Bewertungslogik noch nicht validiert.</t>
        </is>
      </c>
      <c r="AR10" s="2" t="inlineStr">
        <is>
          <t>Nein</t>
        </is>
      </c>
      <c r="AS10" s="2" t="inlineStr">
        <is>
          <t>Bundesamt für Statistik (BFS)</t>
        </is>
      </c>
      <c r="AT10" s="2" t="inlineStr">
        <is>
          <t>In Prüfung</t>
        </is>
      </c>
      <c r="AU10" s="2" t="inlineStr">
        <is>
          <t>Ausgabe 2021; aktuelle Ausgabe beim BFS prüfen.</t>
        </is>
      </c>
      <c r="AV10" s="2" t="inlineStr"/>
      <c r="AW10" s="2" t="inlineStr">
        <is>
          <t>2026-10-14: neu aufgenommen</t>
        </is>
      </c>
    </row>
    <row r="11" ht="43" customHeight="1">
      <c r="A11" s="3" t="inlineStr">
        <is>
          <t>CH-C5-01</t>
        </is>
      </c>
      <c r="B11" s="13" t="inlineStr">
        <is>
          <t>Bund</t>
        </is>
      </c>
      <c r="C11" s="3" t="inlineStr">
        <is>
          <t>Schweiz</t>
        </is>
      </c>
      <c r="D11" s="3" t="inlineStr">
        <is>
          <t>Alle</t>
        </is>
      </c>
      <c r="E11" s="3" t="inlineStr">
        <is>
          <t>Alle</t>
        </is>
      </c>
      <c r="F11" s="3" t="inlineStr">
        <is>
          <t>C5</t>
        </is>
      </c>
      <c r="G11" s="3" t="inlineStr">
        <is>
          <t>Politische Rechte</t>
        </is>
      </c>
      <c r="H11" s="3" t="inlineStr">
        <is>
          <t>Bundesverfassung der Schweizerischen Eidgenossenschaft</t>
        </is>
      </c>
      <c r="I11" s="3" t="inlineStr">
        <is>
          <t>Bundesverfassung</t>
        </is>
      </c>
      <c r="J11" s="3" t="inlineStr">
        <is>
          <t>Offizielle Quelle recherchiert</t>
        </is>
      </c>
      <c r="K11" s="3" t="inlineStr">
        <is>
          <t>Bundesverfassung (verbindlich)</t>
        </is>
      </c>
      <c r="L11" s="3" t="inlineStr">
        <is>
          <t>Bund</t>
        </is>
      </c>
      <c r="M11" s="7" t="inlineStr">
        <is>
          <t>https://www.fedlex.admin.ch/eli/cc/1999/404/de</t>
        </is>
      </c>
      <c r="N11" s="3" t="inlineStr">
        <is>
          <t>SR 101, geltende Fassung</t>
        </is>
      </c>
      <c r="O11" s="3" t="inlineStr">
        <is>
          <t>2026-10-14</t>
        </is>
      </c>
      <c r="P11" s="3" t="inlineStr">
        <is>
          <t>Demokratische Grundrechte und Beteiligung; konkrete kommunale Verfahren kantonal</t>
        </is>
      </c>
      <c r="Q11" s="3" t="inlineStr">
        <is>
          <t>Mitwirkung / Legitimation</t>
        </is>
      </c>
      <c r="R11" s="3" t="inlineStr">
        <is>
          <t>Kommunale und kantonale Bestimmungen ergänzen</t>
        </is>
      </c>
      <c r="S11" s="3" t="inlineStr">
        <is>
          <t>Qualitative Reifegradskala</t>
        </is>
      </c>
      <c r="T11" s="3" t="inlineStr">
        <is>
          <t>Noch nicht bewertet</t>
        </is>
      </c>
      <c r="U11" s="3" t="inlineStr">
        <is>
          <t>Hoch</t>
        </is>
      </c>
      <c r="V11" s="3" t="inlineStr"/>
      <c r="W11" s="3" t="inlineStr">
        <is>
          <t>Q1; C3</t>
        </is>
      </c>
      <c r="X11" s="3" t="inlineStr">
        <is>
          <t>Politische Machbarkeit</t>
        </is>
      </c>
      <c r="Y11" s="3" t="inlineStr">
        <is>
          <t>Dokument auswerten; Aktualität und Geltung prüfen</t>
        </is>
      </c>
      <c r="Z11" s="3" t="inlineStr">
        <is>
          <t>Offizielles Bundesportal; methodische Auswahl</t>
        </is>
      </c>
      <c r="AA11" s="3" t="inlineStr">
        <is>
          <t>C3</t>
        </is>
      </c>
      <c r="AB11" s="3" t="inlineStr"/>
      <c r="AC11" s="3" t="inlineStr"/>
      <c r="AD11" s="3" t="inlineStr">
        <is>
          <t>Verifiziert</t>
        </is>
      </c>
      <c r="AE11" s="3" t="inlineStr">
        <is>
          <t>200</t>
        </is>
      </c>
      <c r="AF11" s="3" t="inlineStr"/>
      <c r="AG11" s="3" t="inlineStr">
        <is>
          <t>HTML</t>
        </is>
      </c>
      <c r="AH11" s="3" t="inlineStr">
        <is>
          <t>Bestätigt</t>
        </is>
      </c>
      <c r="AI11" s="3" t="inlineStr">
        <is>
          <t>Titel via Fedlex-SPARQL (https://fedlex.data.admin.ch/eli/cc/1999/404); Schlüsselwörter 1/1 gefunden (Bundesverfassung)</t>
        </is>
      </c>
      <c r="AJ11" s="3" t="inlineStr">
        <is>
          <t>Bundesverfassung der Schweizerischen Eidgenossenschaft vom 18. April 1999 (BV)</t>
        </is>
      </c>
      <c r="AK11" s="3" t="inlineStr"/>
      <c r="AL11" s="3" t="inlineStr">
        <is>
          <t>Hoch (ELI-Permalink)</t>
        </is>
      </c>
      <c r="AM11" s="3" t="inlineStr">
        <is>
          <t>2026-10-14 13:53</t>
        </is>
      </c>
      <c r="AN11" s="3" t="inlineStr">
        <is>
          <t>Öffentlich verfügbar und verifiziert</t>
        </is>
      </c>
      <c r="AO11" s="3" t="inlineStr">
        <is>
          <t>SR 101, geltende Fassung</t>
        </is>
      </c>
      <c r="AP11" s="3" t="inlineStr">
        <is>
          <t>Belegt Existenz und Zugänglichkeit der Quelle; inhaltliche Aussagen erst nach Auswertung.</t>
        </is>
      </c>
      <c r="AQ11" s="3" t="inlineStr">
        <is>
          <t>Keine Einstufung: Kennzahlen/Befunde noch nicht ausgewertet; Schwellen der Bewertungslogik noch nicht validiert.</t>
        </is>
      </c>
      <c r="AR11" s="3" t="inlineStr">
        <is>
          <t>Nein</t>
        </is>
      </c>
      <c r="AS11" s="3" t="inlineStr">
        <is>
          <t>Bund</t>
        </is>
      </c>
      <c r="AT11" s="3" t="inlineStr">
        <is>
          <t>In Prüfung</t>
        </is>
      </c>
      <c r="AU11" s="3" t="inlineStr">
        <is>
          <t>Gleiche Quelle wie CH-C3-01; bewusst doppelt geführt (Zuordnung C5 politische Rechte).</t>
        </is>
      </c>
      <c r="AV11" s="3" t="inlineStr">
        <is>
          <t>CH-C3-01</t>
        </is>
      </c>
      <c r="AW11" s="3" t="inlineStr"/>
    </row>
    <row r="12" ht="43" customHeight="1">
      <c r="A12" s="2" t="inlineStr">
        <is>
          <t>UR-C1-01</t>
        </is>
      </c>
      <c r="B12" s="14" t="inlineStr">
        <is>
          <t>Kanton</t>
        </is>
      </c>
      <c r="C12" s="2" t="inlineStr">
        <is>
          <t>Schweiz</t>
        </is>
      </c>
      <c r="D12" s="2" t="inlineStr">
        <is>
          <t>Uri</t>
        </is>
      </c>
      <c r="E12" s="2" t="inlineStr">
        <is>
          <t>Alle</t>
        </is>
      </c>
      <c r="F12" s="2" t="inlineStr">
        <is>
          <t>C1</t>
        </is>
      </c>
      <c r="G12" s="2" t="inlineStr">
        <is>
          <t>Finanzstatistik</t>
        </is>
      </c>
      <c r="H12" s="2" t="inlineStr">
        <is>
          <t>Gemeindefinanzstatistik Uri</t>
        </is>
      </c>
      <c r="I12" s="2" t="inlineStr">
        <is>
          <t>Statistik</t>
        </is>
      </c>
      <c r="J12" s="2" t="inlineStr">
        <is>
          <t>Offizielle Quelle recherchiert</t>
        </is>
      </c>
      <c r="K12" s="2" t="inlineStr">
        <is>
          <t>Orientierung / Datengrundlage</t>
        </is>
      </c>
      <c r="L12" s="2" t="inlineStr">
        <is>
          <t>Kanton Uri</t>
        </is>
      </c>
      <c r="M12" s="5" t="inlineStr">
        <is>
          <t>https://www.ur.ch/publikationen/6680</t>
        </is>
      </c>
      <c r="N12" s="2" t="inlineStr">
        <is>
          <t>Zu prüfen</t>
        </is>
      </c>
      <c r="O12" s="2" t="inlineStr">
        <is>
          <t>2026-10-14</t>
        </is>
      </c>
      <c r="P12" s="2" t="inlineStr">
        <is>
          <t>Kennzahlen aller Urner Gemeinden</t>
        </is>
      </c>
      <c r="Q12" s="2" t="inlineStr">
        <is>
          <t>Selbstfinanzierung, Verschuldung, Investitionen</t>
        </is>
      </c>
      <c r="R12" s="2" t="inlineStr">
        <is>
          <t>Jahreswerte für Seelisberg extrahieren</t>
        </is>
      </c>
      <c r="S12" s="2" t="inlineStr">
        <is>
          <t>Kanton × Grössenklasse / Richtwerte</t>
        </is>
      </c>
      <c r="T12" s="2" t="inlineStr">
        <is>
          <t>Noch nicht bewertet</t>
        </is>
      </c>
      <c r="U12" s="2" t="inlineStr">
        <is>
          <t>Mittel</t>
        </is>
      </c>
      <c r="V12" s="2" t="inlineStr">
        <is>
          <t>Geltende kantonale Detailgrundlage und Datenstand prüfen</t>
        </is>
      </c>
      <c r="W12" s="2" t="inlineStr">
        <is>
          <t>A1; C1</t>
        </is>
      </c>
      <c r="X12" s="2" t="inlineStr">
        <is>
          <t>Finanztragfähigkeit</t>
        </is>
      </c>
      <c r="Y12" s="2" t="inlineStr">
        <is>
          <t>Dokument auswerten; Aktualität und Geltung prüfen</t>
        </is>
      </c>
      <c r="Z12" s="2" t="inlineStr">
        <is>
          <t>Webrecherche 14.10.2026</t>
        </is>
      </c>
      <c r="AA12" s="2" t="inlineStr"/>
      <c r="AB12" s="2" t="inlineStr"/>
      <c r="AC12" s="2" t="inlineStr"/>
      <c r="AD12" s="2" t="inlineStr">
        <is>
          <t>Verifiziert</t>
        </is>
      </c>
      <c r="AE12" s="2" t="inlineStr">
        <is>
          <t>200</t>
        </is>
      </c>
      <c r="AF12" s="2" t="inlineStr"/>
      <c r="AG12" s="2" t="inlineStr">
        <is>
          <t>HTML</t>
        </is>
      </c>
      <c r="AH12" s="2" t="inlineStr">
        <is>
          <t>Bestätigt</t>
        </is>
      </c>
      <c r="AI12" s="2" t="inlineStr">
        <is>
          <t>Schlüsselwörter 1/1 gefunden (Gemeindefinanzstatistik); Ort/Zuständigkeit: Uri</t>
        </is>
      </c>
      <c r="AJ12" s="2" t="inlineStr">
        <is>
          <t>Kanton Uri - Gemeindefinanzstatistik | Kontakt</t>
        </is>
      </c>
      <c r="AK12" s="2" t="inlineStr">
        <is>
          <t>2023, 2025, 2026, 2024, 2022, 2021</t>
        </is>
      </c>
      <c r="AL12" s="2" t="inlineStr">
        <is>
          <t>Mittel (CMS-Dokumentlink)</t>
        </is>
      </c>
      <c r="AM12" s="2" t="inlineStr">
        <is>
          <t>2026-10-14 13:53</t>
        </is>
      </c>
      <c r="AN12" s="2" t="inlineStr">
        <is>
          <t>Öffentlich verfügbar und verifiziert</t>
        </is>
      </c>
      <c r="AO12" s="2" t="inlineStr">
        <is>
          <t>Zu prüfen</t>
        </is>
      </c>
      <c r="AP12" s="2" t="inlineStr">
        <is>
          <t>Belegt Existenz und Zugänglichkeit der Quelle; inhaltliche Aussagen erst nach Auswertung.</t>
        </is>
      </c>
      <c r="AQ12" s="2" t="inlineStr">
        <is>
          <t>Keine Einstufung: Kennzahlen/Befunde noch nicht ausgewertet; Schwellen der Bewertungslogik noch nicht validiert.</t>
        </is>
      </c>
      <c r="AR12" s="2" t="inlineStr">
        <is>
          <t>Nein</t>
        </is>
      </c>
      <c r="AS12" s="2" t="inlineStr">
        <is>
          <t>Kanton Uri</t>
        </is>
      </c>
      <c r="AT12" s="2" t="inlineStr">
        <is>
          <t>In Prüfung</t>
        </is>
      </c>
      <c r="AU12" s="2" t="inlineStr"/>
      <c r="AV12" s="2" t="inlineStr"/>
      <c r="AW12" s="2" t="inlineStr"/>
    </row>
    <row r="13" ht="43" customHeight="1">
      <c r="A13" s="3" t="inlineStr">
        <is>
          <t>UR-C1-02</t>
        </is>
      </c>
      <c r="B13" s="14" t="inlineStr">
        <is>
          <t>Kanton</t>
        </is>
      </c>
      <c r="C13" s="3" t="inlineStr">
        <is>
          <t>Schweiz</t>
        </is>
      </c>
      <c r="D13" s="3" t="inlineStr">
        <is>
          <t>Uri</t>
        </is>
      </c>
      <c r="E13" s="3" t="inlineStr">
        <is>
          <t>Alle</t>
        </is>
      </c>
      <c r="F13" s="3" t="inlineStr">
        <is>
          <t>C1</t>
        </is>
      </c>
      <c r="G13" s="3" t="inlineStr">
        <is>
          <t>Steuerkraft</t>
        </is>
      </c>
      <c r="H13" s="3" t="inlineStr">
        <is>
          <t>Steuerstatistiken Kanton Uri</t>
        </is>
      </c>
      <c r="I13" s="3" t="inlineStr">
        <is>
          <t>Statistik</t>
        </is>
      </c>
      <c r="J13" s="3" t="inlineStr">
        <is>
          <t>Offizielle Quelle recherchiert</t>
        </is>
      </c>
      <c r="K13" s="3" t="inlineStr">
        <is>
          <t>Orientierung / Datengrundlage</t>
        </is>
      </c>
      <c r="L13" s="3" t="inlineStr">
        <is>
          <t>Kanton Uri</t>
        </is>
      </c>
      <c r="M13" s="7" t="inlineStr">
        <is>
          <t>https://www.ur.ch/finanzen/1588</t>
        </is>
      </c>
      <c r="N13" s="3" t="inlineStr">
        <is>
          <t>Zu prüfen</t>
        </is>
      </c>
      <c r="O13" s="3" t="inlineStr">
        <is>
          <t>2026-10-14</t>
        </is>
      </c>
      <c r="P13" s="3" t="inlineStr">
        <is>
          <t>Steuerbasis als Kontext zur Finanzkraft</t>
        </is>
      </c>
      <c r="Q13" s="3" t="inlineStr">
        <is>
          <t>Steuerbares Einkommen und Vermögen</t>
        </is>
      </c>
      <c r="R13" s="3" t="inlineStr">
        <is>
          <t>Lias-Daten übernehmen, nicht neu erheben</t>
        </is>
      </c>
      <c r="S13" s="3" t="inlineStr">
        <is>
          <t>Kanton × Grössenklasse</t>
        </is>
      </c>
      <c r="T13" s="3" t="inlineStr">
        <is>
          <t>Noch nicht bewertet</t>
        </is>
      </c>
      <c r="U13" s="3" t="inlineStr">
        <is>
          <t>Mittel</t>
        </is>
      </c>
      <c r="V13" s="3" t="inlineStr">
        <is>
          <t>Geltende kantonale Detailgrundlage und Datenstand prüfen</t>
        </is>
      </c>
      <c r="W13" s="3" t="inlineStr">
        <is>
          <t>A1/A2</t>
        </is>
      </c>
      <c r="X13" s="3" t="inlineStr">
        <is>
          <t>DYN-Finanzkontext</t>
        </is>
      </c>
      <c r="Y13" s="3" t="inlineStr">
        <is>
          <t>Dokument auswerten; Aktualität und Geltung prüfen</t>
        </is>
      </c>
      <c r="Z13" s="3" t="inlineStr">
        <is>
          <t>Webrecherche 14.10.2026</t>
        </is>
      </c>
      <c r="AA13" s="3" t="inlineStr"/>
      <c r="AB13" s="3" t="inlineStr"/>
      <c r="AC13" s="3" t="inlineStr"/>
      <c r="AD13" s="3" t="inlineStr">
        <is>
          <t>Verifiziert</t>
        </is>
      </c>
      <c r="AE13" s="3" t="inlineStr">
        <is>
          <t>200</t>
        </is>
      </c>
      <c r="AF13" s="3" t="inlineStr"/>
      <c r="AG13" s="3" t="inlineStr">
        <is>
          <t>HTML</t>
        </is>
      </c>
      <c r="AH13" s="3" t="inlineStr">
        <is>
          <t>Bestätigt</t>
        </is>
      </c>
      <c r="AI13" s="3" t="inlineStr">
        <is>
          <t>Schlüsselwörter 1/1 gefunden (Steuerstatistik); Ort/Zuständigkeit: Uri</t>
        </is>
      </c>
      <c r="AJ13" s="3" t="inlineStr">
        <is>
          <t>Kanton Uri - Steuerstatistiken | Kontakt</t>
        </is>
      </c>
      <c r="AK13" s="3" t="inlineStr">
        <is>
          <t>2009, 2010, 2011, 2012, 2013, 2014</t>
        </is>
      </c>
      <c r="AL13" s="3" t="inlineStr">
        <is>
          <t>Mittel (Webseite)</t>
        </is>
      </c>
      <c r="AM13" s="3" t="inlineStr">
        <is>
          <t>2026-10-14 13:53</t>
        </is>
      </c>
      <c r="AN13" s="3" t="inlineStr">
        <is>
          <t>Öffentlich verfügbar und verifiziert</t>
        </is>
      </c>
      <c r="AO13" s="3" t="inlineStr">
        <is>
          <t>Zu prüfen</t>
        </is>
      </c>
      <c r="AP13" s="3" t="inlineStr">
        <is>
          <t>Belegt Existenz und Zugänglichkeit der Quelle; inhaltliche Aussagen erst nach Auswertung.</t>
        </is>
      </c>
      <c r="AQ13" s="3" t="inlineStr">
        <is>
          <t>Keine Einstufung: Kennzahlen/Befunde noch nicht ausgewertet; Schwellen der Bewertungslogik noch nicht validiert.</t>
        </is>
      </c>
      <c r="AR13" s="3" t="inlineStr">
        <is>
          <t>Nein</t>
        </is>
      </c>
      <c r="AS13" s="3" t="inlineStr">
        <is>
          <t>Kanton Uri</t>
        </is>
      </c>
      <c r="AT13" s="3" t="inlineStr">
        <is>
          <t>In Prüfung</t>
        </is>
      </c>
      <c r="AU13" s="3" t="inlineStr"/>
      <c r="AV13" s="3" t="inlineStr"/>
      <c r="AW13" s="3" t="inlineStr"/>
    </row>
    <row r="14" ht="43" customHeight="1">
      <c r="A14" s="2" t="inlineStr">
        <is>
          <t>UR-C1-03</t>
        </is>
      </c>
      <c r="B14" s="14" t="inlineStr">
        <is>
          <t>Kanton</t>
        </is>
      </c>
      <c r="C14" s="2" t="inlineStr">
        <is>
          <t>Schweiz</t>
        </is>
      </c>
      <c r="D14" s="2" t="inlineStr">
        <is>
          <t>Uri</t>
        </is>
      </c>
      <c r="E14" s="2" t="inlineStr">
        <is>
          <t>Alle</t>
        </is>
      </c>
      <c r="F14" s="2" t="inlineStr">
        <is>
          <t>C1</t>
        </is>
      </c>
      <c r="G14" s="2" t="inlineStr">
        <is>
          <t>Finanzkennzahlen Gemeinden</t>
        </is>
      </c>
      <c r="H14" s="2" t="inlineStr">
        <is>
          <t>Kennzahlen Einwohnergemeinden Uri 2025 (Finanzkontrolle)</t>
        </is>
      </c>
      <c r="I14" s="2" t="inlineStr">
        <is>
          <t>Statistik / Bericht</t>
        </is>
      </c>
      <c r="J14" s="2" t="inlineStr">
        <is>
          <t>Direktes Dokument</t>
        </is>
      </c>
      <c r="K14" s="2" t="inlineStr">
        <is>
          <t>Datengrundlage</t>
        </is>
      </c>
      <c r="L14" s="2" t="inlineStr">
        <is>
          <t>Kanton Uri, Finanzkontrolle</t>
        </is>
      </c>
      <c r="M14" s="5" t="inlineStr">
        <is>
          <t>https://www.ur.ch/_doc/451636</t>
        </is>
      </c>
      <c r="N14" s="2" t="inlineStr">
        <is>
          <t>Rechnungsjahr 2025 (publ. 2026)</t>
        </is>
      </c>
      <c r="O14" s="2" t="inlineStr">
        <is>
          <t>2026-10-14</t>
        </is>
      </c>
      <c r="P14" s="2" t="inlineStr">
        <is>
          <t>Kennzahlen je Urner Gemeinde inkl. Seelisberg (Selbstfinanzierung, Kapitaldienst)</t>
        </is>
      </c>
      <c r="Q14" s="2" t="inlineStr">
        <is>
          <t>Selbstfinanzierungsanteil, Kapitaldienstanteil, Steuern/Kopf</t>
        </is>
      </c>
      <c r="R14" s="2" t="inlineStr"/>
      <c r="S14" s="2" t="inlineStr">
        <is>
          <t>Kanton × Grössenklasse</t>
        </is>
      </c>
      <c r="T14" s="2" t="inlineStr">
        <is>
          <t>Noch nicht bewertet</t>
        </is>
      </c>
      <c r="U14" s="2" t="inlineStr">
        <is>
          <t>Hoch</t>
        </is>
      </c>
      <c r="V14" s="2" t="inlineStr"/>
      <c r="W14" s="2" t="inlineStr">
        <is>
          <t>A1; C1</t>
        </is>
      </c>
      <c r="X14" s="2" t="inlineStr">
        <is>
          <t>Finanztragfähigkeit Seelisberg im Kantonsvergleich</t>
        </is>
      </c>
      <c r="Y14" s="2" t="inlineStr">
        <is>
          <t>Dokument auswerten; Aktualität und Geltung prüfen</t>
        </is>
      </c>
      <c r="Z14" s="2" t="inlineStr">
        <is>
          <t>Websuche 14.10.2026 (URL im Suchergebnis gefunden)</t>
        </is>
      </c>
      <c r="AA14" s="2" t="inlineStr"/>
      <c r="AB14" s="2" t="inlineStr"/>
      <c r="AC14" s="5" t="inlineStr">
        <is>
          <t>https://www.ur.ch/publikationen/6680</t>
        </is>
      </c>
      <c r="AD14" s="2" t="inlineStr">
        <is>
          <t>Weiterleitung</t>
        </is>
      </c>
      <c r="AE14" s="2" t="inlineStr">
        <is>
          <t>200</t>
        </is>
      </c>
      <c r="AF14" s="5" t="inlineStr">
        <is>
          <t>https://www.ur.ch/_docn/451636/Gemeindekennzahlen_2025_signiert.pdf</t>
        </is>
      </c>
      <c r="AG14" s="2" t="inlineStr">
        <is>
          <t>PDF</t>
        </is>
      </c>
      <c r="AH14" s="2" t="inlineStr">
        <is>
          <t>Bestätigt</t>
        </is>
      </c>
      <c r="AI14" s="2" t="inlineStr">
        <is>
          <t>Schlüsselwörter 2/2 gefunden (Kennzahlen, Seelisberg); Ort/Zuständigkeit: Uri</t>
        </is>
      </c>
      <c r="AJ14" s="2" t="inlineStr">
        <is>
          <t>Microsoft Word - Brief Versand Kennzahlen.docx</t>
        </is>
      </c>
      <c r="AK14" s="2" t="inlineStr">
        <is>
          <t>2025, 2026, 2013, 2019, 2024</t>
        </is>
      </c>
      <c r="AL14" s="2" t="inlineStr">
        <is>
          <t>Mittel (Webseite)</t>
        </is>
      </c>
      <c r="AM14" s="2" t="inlineStr">
        <is>
          <t>2026-10-14 13:54</t>
        </is>
      </c>
      <c r="AN14" s="2" t="inlineStr">
        <is>
          <t>Öffentlich verfügbar und verifiziert</t>
        </is>
      </c>
      <c r="AO14" s="2" t="inlineStr">
        <is>
          <t>Rechnungsjahr 2025 (publ. 2026)</t>
        </is>
      </c>
      <c r="AP14" s="2" t="inlineStr">
        <is>
          <t>Belegt Existenz und Zugänglichkeit der Quelle; inhaltliche Aussagen erst nach Auswertung.</t>
        </is>
      </c>
      <c r="AQ14" s="2" t="inlineStr">
        <is>
          <t>Keine Einstufung: Kennzahlen/Befunde noch nicht ausgewertet; Schwellen der Bewertungslogik noch nicht validiert.</t>
        </is>
      </c>
      <c r="AR14" s="2" t="inlineStr">
        <is>
          <t>Nein</t>
        </is>
      </c>
      <c r="AS14" s="2" t="inlineStr">
        <is>
          <t>Kanton Uri, Finanzkontrolle</t>
        </is>
      </c>
      <c r="AT14" s="2" t="inlineStr">
        <is>
          <t>In Prüfung</t>
        </is>
      </c>
      <c r="AU14" s="2" t="inlineStr"/>
      <c r="AV14" s="2" t="inlineStr"/>
      <c r="AW14" s="2" t="inlineStr">
        <is>
          <t>2026-10-14: neu aufgenommen</t>
        </is>
      </c>
    </row>
    <row r="15" ht="43" customHeight="1">
      <c r="A15" s="3" t="inlineStr">
        <is>
          <t>UR-C1-04</t>
        </is>
      </c>
      <c r="B15" s="14" t="inlineStr">
        <is>
          <t>Kanton</t>
        </is>
      </c>
      <c r="C15" s="3" t="inlineStr">
        <is>
          <t>Schweiz</t>
        </is>
      </c>
      <c r="D15" s="3" t="inlineStr">
        <is>
          <t>Uri</t>
        </is>
      </c>
      <c r="E15" s="3" t="inlineStr">
        <is>
          <t>Alle</t>
        </is>
      </c>
      <c r="F15" s="3" t="inlineStr">
        <is>
          <t>C1</t>
        </is>
      </c>
      <c r="G15" s="3" t="inlineStr">
        <is>
          <t>Finanzkennzahlen Gemeinden</t>
        </is>
      </c>
      <c r="H15" s="3" t="inlineStr">
        <is>
          <t>Kennzahlen Einwohnergemeinden Uri 2024 (Finanzkontrolle)</t>
        </is>
      </c>
      <c r="I15" s="3" t="inlineStr">
        <is>
          <t>Statistik / Bericht</t>
        </is>
      </c>
      <c r="J15" s="3" t="inlineStr">
        <is>
          <t>Direktes Dokument</t>
        </is>
      </c>
      <c r="K15" s="3" t="inlineStr">
        <is>
          <t>Datengrundlage</t>
        </is>
      </c>
      <c r="L15" s="3" t="inlineStr">
        <is>
          <t>Kanton Uri, Finanzkontrolle</t>
        </is>
      </c>
      <c r="M15" s="7" t="inlineStr">
        <is>
          <t>https://www.ur.ch/_doc/420775</t>
        </is>
      </c>
      <c r="N15" s="3" t="inlineStr">
        <is>
          <t>Rechnungsjahr 2024</t>
        </is>
      </c>
      <c r="O15" s="3" t="inlineStr">
        <is>
          <t>2026-10-14</t>
        </is>
      </c>
      <c r="P15" s="3" t="inlineStr">
        <is>
          <t>Vorjahreswerte für Zeitreihe</t>
        </is>
      </c>
      <c r="Q15" s="3" t="inlineStr">
        <is>
          <t>wie UR-C1-03</t>
        </is>
      </c>
      <c r="R15" s="3" t="inlineStr"/>
      <c r="S15" s="3" t="inlineStr">
        <is>
          <t>Kanton × Grössenklasse</t>
        </is>
      </c>
      <c r="T15" s="3" t="inlineStr">
        <is>
          <t>Noch nicht bewertet</t>
        </is>
      </c>
      <c r="U15" s="3" t="inlineStr">
        <is>
          <t>Hoch</t>
        </is>
      </c>
      <c r="V15" s="3" t="inlineStr"/>
      <c r="W15" s="3" t="inlineStr"/>
      <c r="X15" s="3" t="inlineStr"/>
      <c r="Y15" s="3" t="inlineStr">
        <is>
          <t>Dokument auswerten; Aktualität und Geltung prüfen</t>
        </is>
      </c>
      <c r="Z15" s="3" t="inlineStr">
        <is>
          <t>Websuche 14.10.2026 (URL im Suchergebnis gefunden)</t>
        </is>
      </c>
      <c r="AA15" s="3" t="inlineStr"/>
      <c r="AB15" s="3" t="inlineStr"/>
      <c r="AC15" s="7" t="inlineStr">
        <is>
          <t>https://www.ur.ch/publikationen/6680</t>
        </is>
      </c>
      <c r="AD15" s="3" t="inlineStr">
        <is>
          <t>Weiterleitung</t>
        </is>
      </c>
      <c r="AE15" s="3" t="inlineStr">
        <is>
          <t>200</t>
        </is>
      </c>
      <c r="AF15" s="7" t="inlineStr">
        <is>
          <t>https://www.ur.ch/_docn/420775/Gemeindekennzahlen_2024_signiert.pdf</t>
        </is>
      </c>
      <c r="AG15" s="3" t="inlineStr">
        <is>
          <t>PDF</t>
        </is>
      </c>
      <c r="AH15" s="3" t="inlineStr">
        <is>
          <t>Bestätigt</t>
        </is>
      </c>
      <c r="AI15" s="3" t="inlineStr">
        <is>
          <t>Schlüsselwörter 2/2 gefunden (Kennzahlen, Seelisberg); Ort/Zuständigkeit: Uri</t>
        </is>
      </c>
      <c r="AJ15" s="3" t="inlineStr">
        <is>
          <t>Gemeindekennzahlen 2024_final.xlsx</t>
        </is>
      </c>
      <c r="AK15" s="3" t="inlineStr">
        <is>
          <t>2024, 2025, 2013, 2018</t>
        </is>
      </c>
      <c r="AL15" s="3" t="inlineStr">
        <is>
          <t>Mittel (Webseite)</t>
        </is>
      </c>
      <c r="AM15" s="3" t="inlineStr">
        <is>
          <t>2026-10-14 13:54</t>
        </is>
      </c>
      <c r="AN15" s="3" t="inlineStr">
        <is>
          <t>Öffentlich verfügbar und verifiziert</t>
        </is>
      </c>
      <c r="AO15" s="3" t="inlineStr">
        <is>
          <t>Rechnungsjahr 2024</t>
        </is>
      </c>
      <c r="AP15" s="3" t="inlineStr">
        <is>
          <t>Belegt Existenz und Zugänglichkeit der Quelle; inhaltliche Aussagen erst nach Auswertung.</t>
        </is>
      </c>
      <c r="AQ15" s="3" t="inlineStr">
        <is>
          <t>Keine Einstufung: Kennzahlen/Befunde noch nicht ausgewertet; Schwellen der Bewertungslogik noch nicht validiert.</t>
        </is>
      </c>
      <c r="AR15" s="3" t="inlineStr">
        <is>
          <t>Nein</t>
        </is>
      </c>
      <c r="AS15" s="3" t="inlineStr">
        <is>
          <t>Kanton Uri, Finanzkontrolle</t>
        </is>
      </c>
      <c r="AT15" s="3" t="inlineStr">
        <is>
          <t>In Prüfung</t>
        </is>
      </c>
      <c r="AU15" s="3" t="inlineStr"/>
      <c r="AV15" s="3" t="inlineStr"/>
      <c r="AW15" s="3" t="inlineStr">
        <is>
          <t>2026-10-14: neu aufgenommen</t>
        </is>
      </c>
    </row>
    <row r="16" ht="43" customHeight="1">
      <c r="A16" s="2" t="inlineStr">
        <is>
          <t>UR-C1-05</t>
        </is>
      </c>
      <c r="B16" s="14" t="inlineStr">
        <is>
          <t>Kanton</t>
        </is>
      </c>
      <c r="C16" s="2" t="inlineStr">
        <is>
          <t>Schweiz</t>
        </is>
      </c>
      <c r="D16" s="2" t="inlineStr">
        <is>
          <t>Uri</t>
        </is>
      </c>
      <c r="E16" s="2" t="inlineStr">
        <is>
          <t>Alle</t>
        </is>
      </c>
      <c r="F16" s="2" t="inlineStr">
        <is>
          <t>C1</t>
        </is>
      </c>
      <c r="G16" s="2" t="inlineStr">
        <is>
          <t>Rechnungslegung Gemeinden</t>
        </is>
      </c>
      <c r="H16" s="2" t="inlineStr">
        <is>
          <t>Reglement über das Rechnungswesen der Einwohnergemeinden (RRE), RB 3.2115</t>
        </is>
      </c>
      <c r="I16" s="2" t="inlineStr">
        <is>
          <t>Kantonales Reglement</t>
        </is>
      </c>
      <c r="J16" s="2" t="inlineStr">
        <is>
          <t>Direktes Dokument</t>
        </is>
      </c>
      <c r="K16" s="2" t="inlineStr">
        <is>
          <t>Kantonales Recht (verbindlich)</t>
        </is>
      </c>
      <c r="L16" s="2" t="inlineStr">
        <is>
          <t>Regierungsrat Uri</t>
        </is>
      </c>
      <c r="M16" s="5" t="inlineStr">
        <is>
          <t>https://rechtsbuch.ur.ch/api/de/versions/776/pdf_file</t>
        </is>
      </c>
      <c r="N16" s="2" t="inlineStr">
        <is>
          <t>Version 776 (Stand prüfen)</t>
        </is>
      </c>
      <c r="O16" s="2" t="inlineStr">
        <is>
          <t>2026-10-14</t>
        </is>
      </c>
      <c r="P16" s="2" t="inlineStr">
        <is>
          <t>Rechtsgrundlage HRM2 und kantonale Finanzaufsicht über Gemeinden (Uri kennt kein separates FHGG)</t>
        </is>
      </c>
      <c r="Q16" s="2" t="inlineStr"/>
      <c r="R16" s="2" t="inlineStr"/>
      <c r="S16" s="2" t="inlineStr">
        <is>
          <t>Kanton × Grössenklasse</t>
        </is>
      </c>
      <c r="T16" s="2" t="inlineStr">
        <is>
          <t>Noch nicht bewertet</t>
        </is>
      </c>
      <c r="U16" s="2" t="inlineStr">
        <is>
          <t>Hoch</t>
        </is>
      </c>
      <c r="V16" s="2" t="inlineStr"/>
      <c r="W16" s="2" t="inlineStr"/>
      <c r="X16" s="2" t="inlineStr"/>
      <c r="Y16" s="2" t="inlineStr">
        <is>
          <t>Dokument auswerten; Aktualität und Geltung prüfen</t>
        </is>
      </c>
      <c r="Z16" s="2" t="inlineStr">
        <is>
          <t>Websuche 14.10.2026 (URL im Suchergebnis gefunden)</t>
        </is>
      </c>
      <c r="AA16" s="2" t="inlineStr"/>
      <c r="AB16" s="2" t="inlineStr"/>
      <c r="AC16" s="5" t="inlineStr">
        <is>
          <t>https://www.ur.ch/dienstleistungen/3150</t>
        </is>
      </c>
      <c r="AD16" s="2" t="inlineStr">
        <is>
          <t>Verifiziert</t>
        </is>
      </c>
      <c r="AE16" s="2" t="inlineStr">
        <is>
          <t>200</t>
        </is>
      </c>
      <c r="AF16" s="2" t="inlineStr"/>
      <c r="AG16" s="2" t="inlineStr">
        <is>
          <t>PDF</t>
        </is>
      </c>
      <c r="AH16" s="2" t="inlineStr">
        <is>
          <t>Bestätigt</t>
        </is>
      </c>
      <c r="AI16" s="2" t="inlineStr">
        <is>
          <t>Schlüsselwörter 2/2 gefunden (Rechnungswesen, Einwohnergemeinden)</t>
        </is>
      </c>
      <c r="AJ16" s="2" t="inlineStr">
        <is>
          <t>3.2115 - Reglement über das Rechnungswesen der Einwohnergemeinden</t>
        </is>
      </c>
      <c r="AK16" s="2" t="inlineStr">
        <is>
          <t>2010, 2021, 2009, 2008</t>
        </is>
      </c>
      <c r="AL16" s="2" t="inlineStr">
        <is>
          <t>Hoch (Erlassnummer)</t>
        </is>
      </c>
      <c r="AM16" s="2" t="inlineStr">
        <is>
          <t>2026-10-14 13:54</t>
        </is>
      </c>
      <c r="AN16" s="2" t="inlineStr">
        <is>
          <t>Öffentlich verfügbar und verifiziert</t>
        </is>
      </c>
      <c r="AO16" s="2" t="inlineStr">
        <is>
          <t>Version 776 (Stand prüfen)</t>
        </is>
      </c>
      <c r="AP16" s="2" t="inlineStr">
        <is>
          <t>Belegt Existenz und Zugänglichkeit der Quelle; inhaltliche Aussagen erst nach Auswertung.</t>
        </is>
      </c>
      <c r="AQ16" s="2" t="inlineStr">
        <is>
          <t>Keine Einstufung: Kennzahlen/Befunde noch nicht ausgewertet; Schwellen der Bewertungslogik noch nicht validiert.</t>
        </is>
      </c>
      <c r="AR16" s="2" t="inlineStr">
        <is>
          <t>Nein</t>
        </is>
      </c>
      <c r="AS16" s="2" t="inlineStr">
        <is>
          <t>Regierungsrat Uri</t>
        </is>
      </c>
      <c r="AT16" s="2" t="inlineStr">
        <is>
          <t>In Prüfung</t>
        </is>
      </c>
      <c r="AU16" s="2" t="inlineStr">
        <is>
          <t>Versions-PDF: prüfen, ob dies die geltende Fassung ist.</t>
        </is>
      </c>
      <c r="AV16" s="2" t="inlineStr"/>
      <c r="AW16" s="2" t="inlineStr">
        <is>
          <t>2026-10-14: neu aufgenommen</t>
        </is>
      </c>
    </row>
    <row r="17" ht="43" customHeight="1">
      <c r="A17" s="3" t="inlineStr">
        <is>
          <t>UR-C1-06</t>
        </is>
      </c>
      <c r="B17" s="14" t="inlineStr">
        <is>
          <t>Kanton</t>
        </is>
      </c>
      <c r="C17" s="3" t="inlineStr">
        <is>
          <t>Schweiz</t>
        </is>
      </c>
      <c r="D17" s="3" t="inlineStr">
        <is>
          <t>Uri</t>
        </is>
      </c>
      <c r="E17" s="3" t="inlineStr">
        <is>
          <t>Alle</t>
        </is>
      </c>
      <c r="F17" s="3" t="inlineStr">
        <is>
          <t>C1</t>
        </is>
      </c>
      <c r="G17" s="3" t="inlineStr">
        <is>
          <t>Finanzausgleich</t>
        </is>
      </c>
      <c r="H17" s="3" t="inlineStr">
        <is>
          <t>Gesetz über den Finanz- und Lastenausgleich zwischen dem Kanton und den Gemeinden (FiLaG), RB 3.2131</t>
        </is>
      </c>
      <c r="I17" s="3" t="inlineStr">
        <is>
          <t>Kantonales Gesetz</t>
        </is>
      </c>
      <c r="J17" s="3" t="inlineStr">
        <is>
          <t>Direktes Dokument</t>
        </is>
      </c>
      <c r="K17" s="3" t="inlineStr">
        <is>
          <t>Kantonales Recht (verbindlich)</t>
        </is>
      </c>
      <c r="L17" s="3" t="inlineStr">
        <is>
          <t>Kanton Uri</t>
        </is>
      </c>
      <c r="M17" s="7" t="inlineStr">
        <is>
          <t>https://rechtsbuch.ur.ch/app/de/texts_of_law/3.2131</t>
        </is>
      </c>
      <c r="N17" s="3" t="inlineStr">
        <is>
          <t>geltende Fassung</t>
        </is>
      </c>
      <c r="O17" s="3" t="inlineStr">
        <is>
          <t>2026-10-14</t>
        </is>
      </c>
      <c r="P17" s="3" t="inlineStr">
        <is>
          <t>Art. 22: Sonderbeitrag an Seelisberg (Abgeschiedenheit); Ressourcen- und Lastenausgleich</t>
        </is>
      </c>
      <c r="Q17" s="3" t="inlineStr">
        <is>
          <t>Ausgleichszahlungen</t>
        </is>
      </c>
      <c r="R17" s="3" t="inlineStr"/>
      <c r="S17" s="3" t="inlineStr">
        <is>
          <t>Kanton × Grössenklasse</t>
        </is>
      </c>
      <c r="T17" s="3" t="inlineStr">
        <is>
          <t>Noch nicht bewertet</t>
        </is>
      </c>
      <c r="U17" s="3" t="inlineStr">
        <is>
          <t>Hoch</t>
        </is>
      </c>
      <c r="V17" s="3" t="inlineStr"/>
      <c r="W17" s="3" t="inlineStr"/>
      <c r="X17" s="3" t="inlineStr"/>
      <c r="Y17" s="3" t="inlineStr">
        <is>
          <t>Dokument auswerten; Aktualität und Geltung prüfen</t>
        </is>
      </c>
      <c r="Z17" s="3" t="inlineStr">
        <is>
          <t>URL nach dokumentiertem Schema der amtlichen Rechtssammlung gebildet; Identität per Runner geprüft</t>
        </is>
      </c>
      <c r="AA17" s="3" t="inlineStr"/>
      <c r="AB17" s="3" t="inlineStr"/>
      <c r="AC17" s="3" t="inlineStr"/>
      <c r="AD17" s="3" t="inlineStr">
        <is>
          <t>Verifiziert</t>
        </is>
      </c>
      <c r="AE17" s="3" t="inlineStr">
        <is>
          <t>200</t>
        </is>
      </c>
      <c r="AF17" s="3" t="inlineStr"/>
      <c r="AG17" s="3" t="inlineStr">
        <is>
          <t>HTML</t>
        </is>
      </c>
      <c r="AH17" s="3" t="inlineStr">
        <is>
          <t>Bestätigt</t>
        </is>
      </c>
      <c r="AI17" s="3" t="inlineStr">
        <is>
          <t>Titel via LexWork-API (https://rechtsbuch.ur.ch/api/de/texts_of_law/3.2131); Schlüsselwörter 1/1 gefunden (Lastenausgleich)</t>
        </is>
      </c>
      <c r="AJ17" s="3" t="inlineStr">
        <is>
          <t>Gesetz über den Finanz- und Lastenausgleich zwischen dem Kanton und den Gemeinden</t>
        </is>
      </c>
      <c r="AK17" s="3" t="inlineStr">
        <is>
          <t>2007, 2026, 2025, 2008</t>
        </is>
      </c>
      <c r="AL17" s="3" t="inlineStr">
        <is>
          <t>Hoch (Erlassnummer)</t>
        </is>
      </c>
      <c r="AM17" s="3" t="inlineStr">
        <is>
          <t>2026-10-14 13:54</t>
        </is>
      </c>
      <c r="AN17" s="3" t="inlineStr">
        <is>
          <t>Öffentlich verfügbar und verifiziert</t>
        </is>
      </c>
      <c r="AO17" s="3" t="inlineStr">
        <is>
          <t>geltende Fassung</t>
        </is>
      </c>
      <c r="AP17" s="3" t="inlineStr">
        <is>
          <t>Belegt Existenz und Zugänglichkeit der Quelle; inhaltliche Aussagen erst nach Auswertung.</t>
        </is>
      </c>
      <c r="AQ17" s="3" t="inlineStr">
        <is>
          <t>Keine Einstufung: Kennzahlen/Befunde noch nicht ausgewertet; Schwellen der Bewertungslogik noch nicht validiert.</t>
        </is>
      </c>
      <c r="AR17" s="3" t="inlineStr">
        <is>
          <t>Nein</t>
        </is>
      </c>
      <c r="AS17" s="3" t="inlineStr">
        <is>
          <t>Kanton Uri</t>
        </is>
      </c>
      <c r="AT17" s="3" t="inlineStr">
        <is>
          <t>In Prüfung</t>
        </is>
      </c>
      <c r="AU17" s="3" t="inlineStr"/>
      <c r="AV17" s="3" t="inlineStr"/>
      <c r="AW17" s="3" t="inlineStr">
        <is>
          <t>2026-10-14: neu aufgenommen</t>
        </is>
      </c>
    </row>
    <row r="18" ht="43" customHeight="1">
      <c r="A18" s="2" t="inlineStr">
        <is>
          <t>UR-C1-07</t>
        </is>
      </c>
      <c r="B18" s="14" t="inlineStr">
        <is>
          <t>Kanton</t>
        </is>
      </c>
      <c r="C18" s="2" t="inlineStr">
        <is>
          <t>Schweiz</t>
        </is>
      </c>
      <c r="D18" s="2" t="inlineStr">
        <is>
          <t>Uri</t>
        </is>
      </c>
      <c r="E18" s="2" t="inlineStr">
        <is>
          <t>Alle</t>
        </is>
      </c>
      <c r="F18" s="2" t="inlineStr">
        <is>
          <t>C1</t>
        </is>
      </c>
      <c r="G18" s="2" t="inlineStr">
        <is>
          <t>Finanzausgleich</t>
        </is>
      </c>
      <c r="H18" s="2" t="inlineStr">
        <is>
          <t>Finanz- und Lastenausgleich (FiLa) 2025 – Berechnung je Gemeinde</t>
        </is>
      </c>
      <c r="I18" s="2" t="inlineStr">
        <is>
          <t>Berechnungstabelle</t>
        </is>
      </c>
      <c r="J18" s="2" t="inlineStr">
        <is>
          <t>Direktes Dokument</t>
        </is>
      </c>
      <c r="K18" s="2" t="inlineStr">
        <is>
          <t>Datengrundlage</t>
        </is>
      </c>
      <c r="L18" s="2" t="inlineStr">
        <is>
          <t>Kanton Uri, Finanzdirektion</t>
        </is>
      </c>
      <c r="M18" s="5" t="inlineStr">
        <is>
          <t>https://www.ur.ch/_docn/426685/Berechnung_FiLa_2025.pdf</t>
        </is>
      </c>
      <c r="N18" s="2" t="inlineStr">
        <is>
          <t>2025</t>
        </is>
      </c>
      <c r="O18" s="2" t="inlineStr">
        <is>
          <t>2026-10-14</t>
        </is>
      </c>
      <c r="P18" s="2" t="inlineStr">
        <is>
          <t>Höhe der Ausgleichszahlungen an Seelisberg</t>
        </is>
      </c>
      <c r="Q18" s="2" t="inlineStr">
        <is>
          <t>Ressourcenausgleich, Lastenausgleich CHF</t>
        </is>
      </c>
      <c r="R18" s="2" t="inlineStr"/>
      <c r="S18" s="2" t="inlineStr">
        <is>
          <t>Kanton × Grössenklasse</t>
        </is>
      </c>
      <c r="T18" s="2" t="inlineStr">
        <is>
          <t>Noch nicht bewertet</t>
        </is>
      </c>
      <c r="U18" s="2" t="inlineStr">
        <is>
          <t>Hoch</t>
        </is>
      </c>
      <c r="V18" s="2" t="inlineStr"/>
      <c r="W18" s="2" t="inlineStr"/>
      <c r="X18" s="2" t="inlineStr"/>
      <c r="Y18" s="2" t="inlineStr">
        <is>
          <t>Dokument auswerten; Aktualität und Geltung prüfen</t>
        </is>
      </c>
      <c r="Z18" s="2" t="inlineStr">
        <is>
          <t>Websuche 14.10.2026 (URL im Suchergebnis gefunden)</t>
        </is>
      </c>
      <c r="AA18" s="2" t="inlineStr"/>
      <c r="AB18" s="2" t="inlineStr"/>
      <c r="AC18" s="2" t="inlineStr"/>
      <c r="AD18" s="2" t="inlineStr">
        <is>
          <t>Verifiziert</t>
        </is>
      </c>
      <c r="AE18" s="2" t="inlineStr">
        <is>
          <t>200</t>
        </is>
      </c>
      <c r="AF18" s="2" t="inlineStr"/>
      <c r="AG18" s="2" t="inlineStr">
        <is>
          <t>PDF</t>
        </is>
      </c>
      <c r="AH18" s="2" t="inlineStr">
        <is>
          <t>Bestätigt</t>
        </is>
      </c>
      <c r="AI18" s="2" t="inlineStr">
        <is>
          <t>Schlüsselwörter 2/2 gefunden (2025, Seelisberg); Ort/Zuständigkeit: Uri</t>
        </is>
      </c>
      <c r="AJ18" s="2" t="inlineStr">
        <is>
          <t>FINANZDIREKTION Beilage 2</t>
        </is>
      </c>
      <c r="AK18" s="2" t="inlineStr">
        <is>
          <t>2025, 2024, 2023, 2021, 2015, 2008</t>
        </is>
      </c>
      <c r="AL18" s="2" t="inlineStr">
        <is>
          <t>Mittel (CMS-Dokumentlink)</t>
        </is>
      </c>
      <c r="AM18" s="2" t="inlineStr">
        <is>
          <t>2026-10-14 13:54</t>
        </is>
      </c>
      <c r="AN18" s="2" t="inlineStr">
        <is>
          <t>Öffentlich verfügbar und verifiziert</t>
        </is>
      </c>
      <c r="AO18" s="2" t="inlineStr">
        <is>
          <t>2025</t>
        </is>
      </c>
      <c r="AP18" s="2" t="inlineStr">
        <is>
          <t>Belegt Existenz und Zugänglichkeit der Quelle; inhaltliche Aussagen erst nach Auswertung.</t>
        </is>
      </c>
      <c r="AQ18" s="2" t="inlineStr">
        <is>
          <t>Keine Einstufung: Kennzahlen/Befunde noch nicht ausgewertet; Schwellen der Bewertungslogik noch nicht validiert.</t>
        </is>
      </c>
      <c r="AR18" s="2" t="inlineStr">
        <is>
          <t>Nein</t>
        </is>
      </c>
      <c r="AS18" s="2" t="inlineStr">
        <is>
          <t>Kanton Uri, Finanzdirektion</t>
        </is>
      </c>
      <c r="AT18" s="2" t="inlineStr">
        <is>
          <t>In Prüfung</t>
        </is>
      </c>
      <c r="AU18" s="2" t="inlineStr"/>
      <c r="AV18" s="2" t="inlineStr"/>
      <c r="AW18" s="2" t="inlineStr">
        <is>
          <t>2026-10-14: neu aufgenommen</t>
        </is>
      </c>
    </row>
    <row r="19" ht="43" customHeight="1">
      <c r="A19" s="3" t="inlineStr">
        <is>
          <t>UR-C2-01</t>
        </is>
      </c>
      <c r="B19" s="14" t="inlineStr">
        <is>
          <t>Kanton</t>
        </is>
      </c>
      <c r="C19" s="3" t="inlineStr">
        <is>
          <t>Schweiz</t>
        </is>
      </c>
      <c r="D19" s="3" t="inlineStr">
        <is>
          <t>Uri</t>
        </is>
      </c>
      <c r="E19" s="3" t="inlineStr">
        <is>
          <t>Alle</t>
        </is>
      </c>
      <c r="F19" s="3" t="inlineStr">
        <is>
          <t>C2</t>
        </is>
      </c>
      <c r="G19" s="3" t="inlineStr">
        <is>
          <t>Geodaten / Eigentum</t>
        </is>
      </c>
      <c r="H19" s="3" t="inlineStr">
        <is>
          <t>Geoportal Uri: Liegenschaften und Nutzungsplanung</t>
        </is>
      </c>
      <c r="I19" s="3" t="inlineStr">
        <is>
          <t>Geodatenportal</t>
        </is>
      </c>
      <c r="J19" s="3" t="inlineStr">
        <is>
          <t>Offizielle Quelle recherchiert</t>
        </is>
      </c>
      <c r="K19" s="3" t="inlineStr">
        <is>
          <t>Orientierung / Datengrundlage</t>
        </is>
      </c>
      <c r="L19" s="3" t="inlineStr">
        <is>
          <t>Kanton Uri</t>
        </is>
      </c>
      <c r="M19" s="7" t="inlineStr">
        <is>
          <t>https://geo.ur.ch/</t>
        </is>
      </c>
      <c r="N19" s="3" t="inlineStr">
        <is>
          <t>Zu prüfen</t>
        </is>
      </c>
      <c r="O19" s="3" t="inlineStr">
        <is>
          <t>2026-10-14</t>
        </is>
      </c>
      <c r="P19" s="3" t="inlineStr">
        <is>
          <t>Räumliche Parzellenstruktur; kein Nachweis kommunalen Eigentums</t>
        </is>
      </c>
      <c r="Q19" s="3" t="inlineStr">
        <is>
          <t>Parzellen, ÖBA-Zonen</t>
        </is>
      </c>
      <c r="R19" s="3" t="inlineStr">
        <is>
          <t>Luucy übernehmen, Eigentum separat belegen</t>
        </is>
      </c>
      <c r="S19" s="3" t="inlineStr">
        <is>
          <t>Kein Peer</t>
        </is>
      </c>
      <c r="T19" s="3" t="inlineStr">
        <is>
          <t>Noch nicht bewertet</t>
        </is>
      </c>
      <c r="U19" s="3" t="inlineStr">
        <is>
          <t>Mittel</t>
        </is>
      </c>
      <c r="V19" s="3" t="inlineStr">
        <is>
          <t>Geltende kantonale Detailgrundlage und Datenstand prüfen</t>
        </is>
      </c>
      <c r="W19" s="3" t="inlineStr">
        <is>
          <t>B; Q1</t>
        </is>
      </c>
      <c r="X19" s="3" t="inlineStr">
        <is>
          <t>Bodenpotenzial</t>
        </is>
      </c>
      <c r="Y19" s="3" t="inlineStr">
        <is>
          <t>Dokument auswerten; Aktualität und Geltung prüfen</t>
        </is>
      </c>
      <c r="Z19" s="3" t="inlineStr">
        <is>
          <t>Webrecherche 14.10.2026</t>
        </is>
      </c>
      <c r="AA19" s="3" t="inlineStr"/>
      <c r="AB19" s="3" t="inlineStr"/>
      <c r="AC19" s="3" t="inlineStr"/>
      <c r="AD19" s="3" t="inlineStr">
        <is>
          <t>Verifiziert</t>
        </is>
      </c>
      <c r="AE19" s="3" t="inlineStr">
        <is>
          <t>200</t>
        </is>
      </c>
      <c r="AF19" s="3" t="inlineStr"/>
      <c r="AG19" s="3" t="inlineStr">
        <is>
          <t>HTML</t>
        </is>
      </c>
      <c r="AH19" s="3" t="inlineStr">
        <is>
          <t>Bestätigt</t>
        </is>
      </c>
      <c r="AI19" s="3" t="inlineStr">
        <is>
          <t>Schlüsselwörter 1/1 gefunden (Geo); Ort/Zuständigkeit: geo.ur</t>
        </is>
      </c>
      <c r="AJ19" s="3" t="inlineStr">
        <is>
          <t>geo.ur</t>
        </is>
      </c>
      <c r="AK19" s="3" t="inlineStr"/>
      <c r="AL19" s="3" t="inlineStr">
        <is>
          <t>Mittel (Startseite, kein Dokument)</t>
        </is>
      </c>
      <c r="AM19" s="3" t="inlineStr">
        <is>
          <t>2026-10-14 13:53</t>
        </is>
      </c>
      <c r="AN19" s="3" t="inlineStr">
        <is>
          <t>Öffentlich verfügbar und verifiziert</t>
        </is>
      </c>
      <c r="AO19" s="3" t="inlineStr">
        <is>
          <t>Zu prüfen</t>
        </is>
      </c>
      <c r="AP19" s="3" t="inlineStr">
        <is>
          <t>Belegt Existenz und Zugänglichkeit der Quelle; inhaltliche Aussagen erst nach Auswertung.</t>
        </is>
      </c>
      <c r="AQ19" s="3" t="inlineStr">
        <is>
          <t>Keine Einstufung: Kennzahlen/Befunde noch nicht ausgewertet; Schwellen der Bewertungslogik noch nicht validiert.</t>
        </is>
      </c>
      <c r="AR19" s="3" t="inlineStr">
        <is>
          <t>Nein</t>
        </is>
      </c>
      <c r="AS19" s="3" t="inlineStr">
        <is>
          <t>Kanton Uri</t>
        </is>
      </c>
      <c r="AT19" s="3" t="inlineStr">
        <is>
          <t>In Prüfung</t>
        </is>
      </c>
      <c r="AU19" s="3" t="inlineStr">
        <is>
          <t>Kartenportal (JavaScript); Inhaltsprüfung nur eingeschränkt möglich. Kein Eigentumsnachweis.</t>
        </is>
      </c>
      <c r="AV19" s="3" t="inlineStr"/>
      <c r="AW19" s="3" t="inlineStr"/>
    </row>
    <row r="20" ht="43" customHeight="1">
      <c r="A20" s="2" t="inlineStr">
        <is>
          <t>UR-C2-02</t>
        </is>
      </c>
      <c r="B20" s="14" t="inlineStr">
        <is>
          <t>Kanton</t>
        </is>
      </c>
      <c r="C20" s="2" t="inlineStr">
        <is>
          <t>Schweiz</t>
        </is>
      </c>
      <c r="D20" s="2" t="inlineStr">
        <is>
          <t>Uri</t>
        </is>
      </c>
      <c r="E20" s="2" t="inlineStr">
        <is>
          <t>Alle</t>
        </is>
      </c>
      <c r="F20" s="2" t="inlineStr">
        <is>
          <t>C2</t>
        </is>
      </c>
      <c r="G20" s="2" t="inlineStr">
        <is>
          <t>Raumplanung / Baulandmobilisierung</t>
        </is>
      </c>
      <c r="H20" s="2" t="inlineStr">
        <is>
          <t>Planungs- und Baugesetz (PBG) des Kantons Uri, RB 40.1111</t>
        </is>
      </c>
      <c r="I20" s="2" t="inlineStr">
        <is>
          <t>Kantonales Gesetz</t>
        </is>
      </c>
      <c r="J20" s="2" t="inlineStr">
        <is>
          <t>Direktes Dokument</t>
        </is>
      </c>
      <c r="K20" s="2" t="inlineStr">
        <is>
          <t>Kantonales Recht (verbindlich)</t>
        </is>
      </c>
      <c r="L20" s="2" t="inlineStr">
        <is>
          <t>Kanton Uri</t>
        </is>
      </c>
      <c r="M20" s="5" t="inlineStr">
        <is>
          <t>https://rechtsbuch.ur.ch/app/de/texts_of_law/40.1111</t>
        </is>
      </c>
      <c r="N20" s="2" t="inlineStr">
        <is>
          <t>geltende Fassung</t>
        </is>
      </c>
      <c r="O20" s="2" t="inlineStr">
        <is>
          <t>2026-10-14</t>
        </is>
      </c>
      <c r="P20" s="2" t="inlineStr">
        <is>
          <t>Bauverpflichtung/Baulandmobilisierung, Mehrwertausgleich</t>
        </is>
      </c>
      <c r="Q20" s="2" t="inlineStr"/>
      <c r="R20" s="2" t="inlineStr"/>
      <c r="S20" s="2" t="inlineStr">
        <is>
          <t>Kein Peer-Vergleich</t>
        </is>
      </c>
      <c r="T20" s="2" t="inlineStr">
        <is>
          <t>Noch nicht bewertet</t>
        </is>
      </c>
      <c r="U20" s="2" t="inlineStr">
        <is>
          <t>Hoch</t>
        </is>
      </c>
      <c r="V20" s="2" t="inlineStr"/>
      <c r="W20" s="2" t="inlineStr">
        <is>
          <t>B; Q1</t>
        </is>
      </c>
      <c r="X20" s="2" t="inlineStr"/>
      <c r="Y20" s="2" t="inlineStr">
        <is>
          <t>Dokument auswerten; Aktualität und Geltung prüfen</t>
        </is>
      </c>
      <c r="Z20" s="2" t="inlineStr">
        <is>
          <t>Websuche 14.10.2026 (URL im Suchergebnis gefunden)</t>
        </is>
      </c>
      <c r="AA20" s="2" t="inlineStr"/>
      <c r="AB20" s="2" t="inlineStr"/>
      <c r="AC20" s="2" t="inlineStr"/>
      <c r="AD20" s="2" t="inlineStr">
        <is>
          <t>Verifiziert</t>
        </is>
      </c>
      <c r="AE20" s="2" t="inlineStr">
        <is>
          <t>200</t>
        </is>
      </c>
      <c r="AF20" s="2" t="inlineStr"/>
      <c r="AG20" s="2" t="inlineStr">
        <is>
          <t>HTML</t>
        </is>
      </c>
      <c r="AH20" s="2" t="inlineStr">
        <is>
          <t>Bestätigt</t>
        </is>
      </c>
      <c r="AI20" s="2" t="inlineStr">
        <is>
          <t>Titel via LexWork-API (https://rechtsbuch.ur.ch/api/de/texts_of_law/40.1111); Schlüsselwörter 1/1 gefunden (Planungs)</t>
        </is>
      </c>
      <c r="AJ20" s="2" t="inlineStr">
        <is>
          <t>Planungs- und Baugesetz</t>
        </is>
      </c>
      <c r="AK20" s="2" t="inlineStr">
        <is>
          <t>2010, 2022, 2012, 2021</t>
        </is>
      </c>
      <c r="AL20" s="2" t="inlineStr">
        <is>
          <t>Hoch (Erlassnummer)</t>
        </is>
      </c>
      <c r="AM20" s="2" t="inlineStr">
        <is>
          <t>2026-10-14 13:54</t>
        </is>
      </c>
      <c r="AN20" s="2" t="inlineStr">
        <is>
          <t>Öffentlich verfügbar und verifiziert</t>
        </is>
      </c>
      <c r="AO20" s="2" t="inlineStr">
        <is>
          <t>geltende Fassung</t>
        </is>
      </c>
      <c r="AP20" s="2" t="inlineStr">
        <is>
          <t>Belegt Existenz und Zugänglichkeit der Quelle; inhaltliche Aussagen erst nach Auswertung.</t>
        </is>
      </c>
      <c r="AQ20" s="2" t="inlineStr">
        <is>
          <t>Keine Einstufung: Kennzahlen/Befunde noch nicht ausgewertet; Schwellen der Bewertungslogik noch nicht validiert.</t>
        </is>
      </c>
      <c r="AR20" s="2" t="inlineStr">
        <is>
          <t>Nein</t>
        </is>
      </c>
      <c r="AS20" s="2" t="inlineStr">
        <is>
          <t>Kanton Uri</t>
        </is>
      </c>
      <c r="AT20" s="2" t="inlineStr">
        <is>
          <t>In Prüfung</t>
        </is>
      </c>
      <c r="AU20" s="2" t="inlineStr"/>
      <c r="AV20" s="2" t="inlineStr"/>
      <c r="AW20" s="2" t="inlineStr">
        <is>
          <t>2026-10-14: neu aufgenommen</t>
        </is>
      </c>
    </row>
    <row r="21" ht="43" customHeight="1">
      <c r="A21" s="3" t="inlineStr">
        <is>
          <t>UR-C2-03</t>
        </is>
      </c>
      <c r="B21" s="14" t="inlineStr">
        <is>
          <t>Kanton</t>
        </is>
      </c>
      <c r="C21" s="3" t="inlineStr">
        <is>
          <t>Schweiz</t>
        </is>
      </c>
      <c r="D21" s="3" t="inlineStr">
        <is>
          <t>Uri</t>
        </is>
      </c>
      <c r="E21" s="3" t="inlineStr">
        <is>
          <t>Alle</t>
        </is>
      </c>
      <c r="F21" s="3" t="inlineStr">
        <is>
          <t>C2</t>
        </is>
      </c>
      <c r="G21" s="3" t="inlineStr">
        <is>
          <t>Bauland</t>
        </is>
      </c>
      <c r="H21" s="3" t="inlineStr">
        <is>
          <t>Kanton Uri: Baulanddatenbank (unbebaute Bauzonen, Raum+)</t>
        </is>
      </c>
      <c r="I21" s="3" t="inlineStr">
        <is>
          <t>Datenbank / Webseite</t>
        </is>
      </c>
      <c r="J21" s="3" t="inlineStr">
        <is>
          <t>Webseite</t>
        </is>
      </c>
      <c r="K21" s="3" t="inlineStr">
        <is>
          <t>Information</t>
        </is>
      </c>
      <c r="L21" s="3" t="inlineStr">
        <is>
          <t>Kanton Uri, Amt für Raumentwicklung</t>
        </is>
      </c>
      <c r="M21" s="7" t="inlineStr">
        <is>
          <t>https://www.ur.ch/dienstleistungen/4297</t>
        </is>
      </c>
      <c r="N21" s="3" t="inlineStr"/>
      <c r="O21" s="3" t="inlineStr">
        <is>
          <t>2026-10-14</t>
        </is>
      </c>
      <c r="P21" s="3" t="inlineStr">
        <is>
          <t>Unüberbaute Bauzonenreserven; kein Nachweis kommunalen Eigentums</t>
        </is>
      </c>
      <c r="Q21" s="3" t="inlineStr"/>
      <c r="R21" s="3" t="inlineStr"/>
      <c r="S21" s="3" t="inlineStr">
        <is>
          <t>Kein Peer-Vergleich</t>
        </is>
      </c>
      <c r="T21" s="3" t="inlineStr">
        <is>
          <t>Noch nicht bewertet</t>
        </is>
      </c>
      <c r="U21" s="3" t="inlineStr">
        <is>
          <t>Mittel</t>
        </is>
      </c>
      <c r="V21" s="3" t="inlineStr"/>
      <c r="W21" s="3" t="inlineStr"/>
      <c r="X21" s="3" t="inlineStr"/>
      <c r="Y21" s="3" t="inlineStr">
        <is>
          <t>Dokument auswerten; Aktualität und Geltung prüfen</t>
        </is>
      </c>
      <c r="Z21" s="3" t="inlineStr">
        <is>
          <t>Websuche 14.10.2026 (URL im Suchergebnis gefunden)</t>
        </is>
      </c>
      <c r="AA21" s="3" t="inlineStr"/>
      <c r="AB21" s="3" t="inlineStr"/>
      <c r="AC21" s="3" t="inlineStr"/>
      <c r="AD21" s="3" t="inlineStr">
        <is>
          <t>Verifiziert</t>
        </is>
      </c>
      <c r="AE21" s="3" t="inlineStr">
        <is>
          <t>200</t>
        </is>
      </c>
      <c r="AF21" s="3" t="inlineStr"/>
      <c r="AG21" s="3" t="inlineStr">
        <is>
          <t>HTML</t>
        </is>
      </c>
      <c r="AH21" s="3" t="inlineStr">
        <is>
          <t>Bestätigt</t>
        </is>
      </c>
      <c r="AI21" s="3" t="inlineStr">
        <is>
          <t>Schlüsselwörter 1/1 gefunden (Bauland); Ort/Zuständigkeit: Uri</t>
        </is>
      </c>
      <c r="AJ21" s="3" t="inlineStr">
        <is>
          <t>Kanton Uri - Baulanddatenbank | Kontakt</t>
        </is>
      </c>
      <c r="AK21" s="3" t="inlineStr">
        <is>
          <t>2030, 2023, 2025, 2027, 2026</t>
        </is>
      </c>
      <c r="AL21" s="3" t="inlineStr">
        <is>
          <t>Mittel (Webseite)</t>
        </is>
      </c>
      <c r="AM21" s="3" t="inlineStr">
        <is>
          <t>2026-10-14 13:54</t>
        </is>
      </c>
      <c r="AN21" s="3" t="inlineStr">
        <is>
          <t>Öffentlich verfügbar und verifiziert</t>
        </is>
      </c>
      <c r="AO21" s="3" t="inlineStr"/>
      <c r="AP21" s="3" t="inlineStr">
        <is>
          <t>Belegt Existenz und Zugänglichkeit der Quelle; inhaltliche Aussagen erst nach Auswertung.</t>
        </is>
      </c>
      <c r="AQ21" s="3" t="inlineStr">
        <is>
          <t>Keine Einstufung: Kennzahlen/Befunde noch nicht ausgewertet; Schwellen der Bewertungslogik noch nicht validiert.</t>
        </is>
      </c>
      <c r="AR21" s="3" t="inlineStr">
        <is>
          <t>Nein</t>
        </is>
      </c>
      <c r="AS21" s="3" t="inlineStr">
        <is>
          <t>Kanton Uri, Amt für Raumentwicklung</t>
        </is>
      </c>
      <c r="AT21" s="3" t="inlineStr">
        <is>
          <t>In Prüfung</t>
        </is>
      </c>
      <c r="AU21" s="3" t="inlineStr"/>
      <c r="AV21" s="3" t="inlineStr"/>
      <c r="AW21" s="3" t="inlineStr">
        <is>
          <t>2026-10-14: neu aufgenommen</t>
        </is>
      </c>
    </row>
    <row r="22" ht="43" customHeight="1">
      <c r="A22" s="2" t="inlineStr">
        <is>
          <t>UR-C3-01</t>
        </is>
      </c>
      <c r="B22" s="14" t="inlineStr">
        <is>
          <t>Kanton</t>
        </is>
      </c>
      <c r="C22" s="2" t="inlineStr">
        <is>
          <t>Schweiz</t>
        </is>
      </c>
      <c r="D22" s="2" t="inlineStr">
        <is>
          <t>Uri</t>
        </is>
      </c>
      <c r="E22" s="2" t="inlineStr">
        <is>
          <t>Alle</t>
        </is>
      </c>
      <c r="F22" s="2" t="inlineStr">
        <is>
          <t>C3</t>
        </is>
      </c>
      <c r="G22" s="2" t="inlineStr">
        <is>
          <t>Gemeinderecht</t>
        </is>
      </c>
      <c r="H22" s="2" t="inlineStr">
        <is>
          <t>Gemeindegesetz (GEG) des Kantons Uri, RB 1.1111</t>
        </is>
      </c>
      <c r="I22" s="2" t="inlineStr">
        <is>
          <t>Kantonales Gesetz</t>
        </is>
      </c>
      <c r="J22" s="2" t="inlineStr">
        <is>
          <t>Offizielle Quelle recherchiert</t>
        </is>
      </c>
      <c r="K22" s="2" t="inlineStr">
        <is>
          <t>Kantonales Gesetz (verbindlich)</t>
        </is>
      </c>
      <c r="L22" s="2" t="inlineStr">
        <is>
          <t>Kanton Uri</t>
        </is>
      </c>
      <c r="M22" s="5" t="inlineStr">
        <is>
          <t>https://rechtsbuch.ur.ch/app/de/texts_of_law/1.1111</t>
        </is>
      </c>
      <c r="N22" s="2" t="inlineStr">
        <is>
          <t>vom 21.5.2017; geltende Fassung</t>
        </is>
      </c>
      <c r="O22" s="2" t="inlineStr">
        <is>
          <t>2026-10-14</t>
        </is>
      </c>
      <c r="P22" s="2" t="inlineStr">
        <is>
          <t>Gemeinderechtliche Grundlagen und Zuständigkeiten recherchieren</t>
        </is>
      </c>
      <c r="Q22" s="2" t="inlineStr">
        <is>
          <t>Zuständigkeiten / Kooperation</t>
        </is>
      </c>
      <c r="R22" s="2" t="inlineStr">
        <is>
          <t>Konkrete Erlasse und geltende Fassung identifizieren</t>
        </is>
      </c>
      <c r="S22" s="2" t="inlineStr">
        <is>
          <t>Qualitativ</t>
        </is>
      </c>
      <c r="T22" s="2" t="inlineStr">
        <is>
          <t>Noch nicht bewertet</t>
        </is>
      </c>
      <c r="U22" s="2" t="inlineStr">
        <is>
          <t>Mittel</t>
        </is>
      </c>
      <c r="V22" s="2" t="inlineStr">
        <is>
          <t>Geltende kantonale Detailgrundlage und Datenstand prüfen</t>
        </is>
      </c>
      <c r="W22" s="2" t="inlineStr">
        <is>
          <t>Q6; C5</t>
        </is>
      </c>
      <c r="X22" s="2" t="inlineStr">
        <is>
          <t>Governance</t>
        </is>
      </c>
      <c r="Y22" s="2" t="inlineStr">
        <is>
          <t>Dokument auswerten; Aktualität und Geltung prüfen</t>
        </is>
      </c>
      <c r="Z22" s="2" t="inlineStr">
        <is>
          <t>URL nach dokumentiertem Schema der amtlichen Rechtssammlung gebildet; Identität per Runner geprüft</t>
        </is>
      </c>
      <c r="AA22" s="2" t="inlineStr"/>
      <c r="AB22" s="2" t="inlineStr"/>
      <c r="AC22" s="2" t="inlineStr"/>
      <c r="AD22" s="2" t="inlineStr">
        <is>
          <t>Verifiziert</t>
        </is>
      </c>
      <c r="AE22" s="2" t="inlineStr">
        <is>
          <t>200</t>
        </is>
      </c>
      <c r="AF22" s="2" t="inlineStr"/>
      <c r="AG22" s="2" t="inlineStr">
        <is>
          <t>HTML</t>
        </is>
      </c>
      <c r="AH22" s="2" t="inlineStr">
        <is>
          <t>Bestätigt</t>
        </is>
      </c>
      <c r="AI22" s="2" t="inlineStr">
        <is>
          <t>Titel via LexWork-API (https://rechtsbuch.ur.ch/api/de/texts_of_law/1.1111); Schlüsselwörter 1/1 gefunden (Gemeindegesetz)</t>
        </is>
      </c>
      <c r="AJ22" s="2" t="inlineStr">
        <is>
          <t>Gemeindegesetz</t>
        </is>
      </c>
      <c r="AK22" s="2" t="inlineStr">
        <is>
          <t>2017, 2026, 2025</t>
        </is>
      </c>
      <c r="AL22" s="2" t="inlineStr">
        <is>
          <t>Hoch (Erlassnummer)</t>
        </is>
      </c>
      <c r="AM22" s="2" t="inlineStr">
        <is>
          <t>2026-10-14 13:53</t>
        </is>
      </c>
      <c r="AN22" s="2" t="inlineStr">
        <is>
          <t>Öffentlich verfügbar und verifiziert</t>
        </is>
      </c>
      <c r="AO22" s="2" t="inlineStr">
        <is>
          <t>vom 21.5.2017; geltende Fassung</t>
        </is>
      </c>
      <c r="AP22" s="2" t="inlineStr">
        <is>
          <t>Belegt Existenz und Zugänglichkeit der Quelle; inhaltliche Aussagen erst nach Auswertung.</t>
        </is>
      </c>
      <c r="AQ22" s="2" t="inlineStr">
        <is>
          <t>Keine Einstufung: Kennzahlen/Befunde noch nicht ausgewertet; Schwellen der Bewertungslogik noch nicht validiert.</t>
        </is>
      </c>
      <c r="AR22" s="2" t="inlineStr">
        <is>
          <t>Nein</t>
        </is>
      </c>
      <c r="AS22" s="2" t="inlineStr">
        <is>
          <t>Kanton Uri</t>
        </is>
      </c>
      <c r="AT22" s="2" t="inlineStr">
        <is>
          <t>In Prüfung</t>
        </is>
      </c>
      <c r="AU22" s="2" t="inlineStr"/>
      <c r="AV22" s="2" t="inlineStr"/>
      <c r="AW22" s="2" t="inlineStr">
        <is>
          <t>2026-10-14: Link ersetzt (vorher https://rechtsbuch.ur.ch/). Grund: Startseite der Rechtssammlung durch direkten Erlass ersetzt (Gemeindegesetz, RB 1.1111).</t>
        </is>
      </c>
    </row>
    <row r="23" ht="43" customHeight="1">
      <c r="A23" s="3" t="inlineStr">
        <is>
          <t>UR-C3-02</t>
        </is>
      </c>
      <c r="B23" s="14" t="inlineStr">
        <is>
          <t>Kanton</t>
        </is>
      </c>
      <c r="C23" s="3" t="inlineStr">
        <is>
          <t>Schweiz</t>
        </is>
      </c>
      <c r="D23" s="3" t="inlineStr">
        <is>
          <t>Uri</t>
        </is>
      </c>
      <c r="E23" s="3" t="inlineStr">
        <is>
          <t>Alle</t>
        </is>
      </c>
      <c r="F23" s="3" t="inlineStr">
        <is>
          <t>C3</t>
        </is>
      </c>
      <c r="G23" s="3" t="inlineStr">
        <is>
          <t>Kantonsverfassung</t>
        </is>
      </c>
      <c r="H23" s="3" t="inlineStr">
        <is>
          <t>Verfassung des Kantons Uri, RB 1.1101</t>
        </is>
      </c>
      <c r="I23" s="3" t="inlineStr">
        <is>
          <t>Kantonsverfassung</t>
        </is>
      </c>
      <c r="J23" s="3" t="inlineStr">
        <is>
          <t>Direktes Dokument</t>
        </is>
      </c>
      <c r="K23" s="3" t="inlineStr">
        <is>
          <t>Kantonales Recht (verbindlich)</t>
        </is>
      </c>
      <c r="L23" s="3" t="inlineStr">
        <is>
          <t>Kanton Uri</t>
        </is>
      </c>
      <c r="M23" s="7" t="inlineStr">
        <is>
          <t>https://rechtsbuch.ur.ch/app/de/texts_of_law/1.1101</t>
        </is>
      </c>
      <c r="N23" s="3" t="inlineStr">
        <is>
          <t>vom 28.10.1984; geltende Fassung</t>
        </is>
      </c>
      <c r="O23" s="3" t="inlineStr">
        <is>
          <t>2026-10-14</t>
        </is>
      </c>
      <c r="P23" s="3" t="inlineStr">
        <is>
          <t>Gemeindeautonomie; Art. 58 Finanzplanung der Gemeinden; Art. 110 Rechtsetzung Gemeinden</t>
        </is>
      </c>
      <c r="Q23" s="3" t="inlineStr"/>
      <c r="R23" s="3" t="inlineStr"/>
      <c r="S23" s="3" t="inlineStr">
        <is>
          <t>Kein Peer-Vergleich</t>
        </is>
      </c>
      <c r="T23" s="3" t="inlineStr">
        <is>
          <t>Noch nicht bewertet</t>
        </is>
      </c>
      <c r="U23" s="3" t="inlineStr">
        <is>
          <t>Hoch</t>
        </is>
      </c>
      <c r="V23" s="3" t="inlineStr"/>
      <c r="W23" s="3" t="inlineStr"/>
      <c r="X23" s="3" t="inlineStr"/>
      <c r="Y23" s="3" t="inlineStr">
        <is>
          <t>Dokument auswerten; Aktualität und Geltung prüfen</t>
        </is>
      </c>
      <c r="Z23" s="3" t="inlineStr">
        <is>
          <t>URL nach dokumentiertem Schema der amtlichen Rechtssammlung gebildet; Identität per Runner geprüft</t>
        </is>
      </c>
      <c r="AA23" s="3" t="inlineStr">
        <is>
          <t>C1, C5</t>
        </is>
      </c>
      <c r="AB23" s="3" t="inlineStr"/>
      <c r="AC23" s="3" t="inlineStr"/>
      <c r="AD23" s="3" t="inlineStr">
        <is>
          <t>Verifiziert</t>
        </is>
      </c>
      <c r="AE23" s="3" t="inlineStr">
        <is>
          <t>200</t>
        </is>
      </c>
      <c r="AF23" s="3" t="inlineStr"/>
      <c r="AG23" s="3" t="inlineStr">
        <is>
          <t>HTML</t>
        </is>
      </c>
      <c r="AH23" s="3" t="inlineStr">
        <is>
          <t>Bestätigt</t>
        </is>
      </c>
      <c r="AI23" s="3" t="inlineStr">
        <is>
          <t>Titel via LexWork-API (https://rechtsbuch.ur.ch/api/de/texts_of_law/1.1101); Schlüsselwörter 1/1 gefunden (Verfassung)</t>
        </is>
      </c>
      <c r="AJ23" s="3" t="inlineStr">
        <is>
          <t>Verfassung des Kantons Uri</t>
        </is>
      </c>
      <c r="AK23" s="3" t="inlineStr">
        <is>
          <t>2023, 2018</t>
        </is>
      </c>
      <c r="AL23" s="3" t="inlineStr">
        <is>
          <t>Hoch (Erlassnummer)</t>
        </is>
      </c>
      <c r="AM23" s="3" t="inlineStr">
        <is>
          <t>2026-10-14 13:54</t>
        </is>
      </c>
      <c r="AN23" s="3" t="inlineStr">
        <is>
          <t>Öffentlich verfügbar und verifiziert</t>
        </is>
      </c>
      <c r="AO23" s="3" t="inlineStr">
        <is>
          <t>vom 28.10.1984; geltende Fassung</t>
        </is>
      </c>
      <c r="AP23" s="3" t="inlineStr">
        <is>
          <t>Belegt Existenz und Zugänglichkeit der Quelle; inhaltliche Aussagen erst nach Auswertung.</t>
        </is>
      </c>
      <c r="AQ23" s="3" t="inlineStr">
        <is>
          <t>Keine Einstufung: Kennzahlen/Befunde noch nicht ausgewertet; Schwellen der Bewertungslogik noch nicht validiert.</t>
        </is>
      </c>
      <c r="AR23" s="3" t="inlineStr">
        <is>
          <t>Nein</t>
        </is>
      </c>
      <c r="AS23" s="3" t="inlineStr">
        <is>
          <t>Kanton Uri</t>
        </is>
      </c>
      <c r="AT23" s="3" t="inlineStr">
        <is>
          <t>In Prüfung</t>
        </is>
      </c>
      <c r="AU23" s="3" t="inlineStr"/>
      <c r="AV23" s="3" t="inlineStr"/>
      <c r="AW23" s="3" t="inlineStr">
        <is>
          <t>2026-10-14: neu aufgenommen</t>
        </is>
      </c>
    </row>
    <row r="24" ht="43" customHeight="1">
      <c r="A24" s="2" t="inlineStr">
        <is>
          <t>UR-C4-01</t>
        </is>
      </c>
      <c r="B24" s="14" t="inlineStr">
        <is>
          <t>Kanton</t>
        </is>
      </c>
      <c r="C24" s="2" t="inlineStr">
        <is>
          <t>Schweiz</t>
        </is>
      </c>
      <c r="D24" s="2" t="inlineStr">
        <is>
          <t>Uri</t>
        </is>
      </c>
      <c r="E24" s="2" t="inlineStr">
        <is>
          <t>Alle</t>
        </is>
      </c>
      <c r="F24" s="2" t="inlineStr">
        <is>
          <t>C4</t>
        </is>
      </c>
      <c r="G24" s="2" t="inlineStr">
        <is>
          <t>Verwaltung</t>
        </is>
      </c>
      <c r="H24" s="2" t="inlineStr">
        <is>
          <t>Kanton Uri: Submissionsrecht (IVöB 2019, in Kraft seit 1.6.2023)</t>
        </is>
      </c>
      <c r="I24" s="2" t="inlineStr">
        <is>
          <t>Behördeninformation</t>
        </is>
      </c>
      <c r="J24" s="2" t="inlineStr">
        <is>
          <t>Offizielle Quelle recherchiert</t>
        </is>
      </c>
      <c r="K24" s="2" t="inlineStr">
        <is>
          <t>Information zu verbindlichem Recht</t>
        </is>
      </c>
      <c r="L24" s="2" t="inlineStr">
        <is>
          <t>Kanton Uri</t>
        </is>
      </c>
      <c r="M24" s="5" t="inlineStr">
        <is>
          <t>https://www.ur.ch/dienstleistungen/8444</t>
        </is>
      </c>
      <c r="N24" s="2" t="inlineStr">
        <is>
          <t>Zu prüfen</t>
        </is>
      </c>
      <c r="O24" s="2" t="inlineStr">
        <is>
          <t>2026-10-14</t>
        </is>
      </c>
      <c r="P24" s="2" t="inlineStr">
        <is>
          <t>Rahmenbedingungen und interkommunale Aufgaben</t>
        </is>
      </c>
      <c r="Q24" s="2" t="inlineStr">
        <is>
          <t>Verwaltungsaufgaben / Organisation</t>
        </is>
      </c>
      <c r="R24" s="2" t="inlineStr">
        <is>
          <t>Gemeindespezifische Unterlagen ergänzen</t>
        </is>
      </c>
      <c r="S24" s="2" t="inlineStr">
        <is>
          <t>Qualitativ</t>
        </is>
      </c>
      <c r="T24" s="2" t="inlineStr">
        <is>
          <t>Noch nicht bewertet</t>
        </is>
      </c>
      <c r="U24" s="2" t="inlineStr">
        <is>
          <t>Mittel</t>
        </is>
      </c>
      <c r="V24" s="2" t="inlineStr">
        <is>
          <t>Geltende kantonale Detailgrundlage und Datenstand prüfen</t>
        </is>
      </c>
      <c r="W24" s="2" t="inlineStr">
        <is>
          <t>C3; Q6</t>
        </is>
      </c>
      <c r="X24" s="2" t="inlineStr">
        <is>
          <t>Verwaltungskapazität</t>
        </is>
      </c>
      <c r="Y24" s="2" t="inlineStr">
        <is>
          <t>Dokument auswerten; Aktualität und Geltung prüfen</t>
        </is>
      </c>
      <c r="Z24" s="2" t="inlineStr">
        <is>
          <t>Webrecherche 14.10.2026</t>
        </is>
      </c>
      <c r="AA24" s="2" t="inlineStr"/>
      <c r="AB24" s="2" t="inlineStr"/>
      <c r="AC24" s="2" t="inlineStr"/>
      <c r="AD24" s="2" t="inlineStr">
        <is>
          <t>Verifiziert</t>
        </is>
      </c>
      <c r="AE24" s="2" t="inlineStr">
        <is>
          <t>200</t>
        </is>
      </c>
      <c r="AF24" s="2" t="inlineStr"/>
      <c r="AG24" s="2" t="inlineStr">
        <is>
          <t>HTML</t>
        </is>
      </c>
      <c r="AH24" s="2" t="inlineStr">
        <is>
          <t>Bestätigt</t>
        </is>
      </c>
      <c r="AI24" s="2" t="inlineStr">
        <is>
          <t>Schlüsselwörter 1/1 gefunden (Submission); Ort/Zuständigkeit: Uri</t>
        </is>
      </c>
      <c r="AJ24" s="2" t="inlineStr">
        <is>
          <t>Kanton Uri - Submissionsrecht | Kontakt</t>
        </is>
      </c>
      <c r="AK24" s="2" t="inlineStr">
        <is>
          <t>2023, 2030, 2025, 2027, 2026</t>
        </is>
      </c>
      <c r="AL24" s="2" t="inlineStr">
        <is>
          <t>Mittel (Webseite)</t>
        </is>
      </c>
      <c r="AM24" s="2" t="inlineStr">
        <is>
          <t>2026-10-14 13:53</t>
        </is>
      </c>
      <c r="AN24" s="2" t="inlineStr">
        <is>
          <t>Öffentlich verfügbar und verifiziert</t>
        </is>
      </c>
      <c r="AO24" s="2" t="inlineStr">
        <is>
          <t>Zu prüfen</t>
        </is>
      </c>
      <c r="AP24" s="2" t="inlineStr">
        <is>
          <t>Belegt Existenz und Zugänglichkeit der Quelle; inhaltliche Aussagen erst nach Auswertung.</t>
        </is>
      </c>
      <c r="AQ24" s="2" t="inlineStr">
        <is>
          <t>Keine Einstufung: Kennzahlen/Befunde noch nicht ausgewertet; Schwellen der Bewertungslogik noch nicht validiert.</t>
        </is>
      </c>
      <c r="AR24" s="2" t="inlineStr">
        <is>
          <t>Nein</t>
        </is>
      </c>
      <c r="AS24" s="2" t="inlineStr">
        <is>
          <t>Kanton Uri</t>
        </is>
      </c>
      <c r="AT24" s="2" t="inlineStr">
        <is>
          <t>In Prüfung</t>
        </is>
      </c>
      <c r="AU24" s="2" t="inlineStr"/>
      <c r="AV24" s="2" t="inlineStr"/>
      <c r="AW24" s="2" t="inlineStr">
        <is>
          <t>2026-10-14: Link ersetzt (vorher https://www.ur.ch/). Grund: Allgemeine Startseite ur.ch durch themenspezifische Seite zum Beschaffungsrecht ersetzt.</t>
        </is>
      </c>
    </row>
    <row r="25" ht="43" customHeight="1">
      <c r="A25" s="3" t="inlineStr">
        <is>
          <t>UR-C4-02</t>
        </is>
      </c>
      <c r="B25" s="14" t="inlineStr">
        <is>
          <t>Kanton</t>
        </is>
      </c>
      <c r="C25" s="3" t="inlineStr">
        <is>
          <t>Schweiz</t>
        </is>
      </c>
      <c r="D25" s="3" t="inlineStr">
        <is>
          <t>Uri</t>
        </is>
      </c>
      <c r="E25" s="3" t="inlineStr">
        <is>
          <t>Alle</t>
        </is>
      </c>
      <c r="F25" s="3" t="inlineStr">
        <is>
          <t>C4</t>
        </is>
      </c>
      <c r="G25" s="3" t="inlineStr">
        <is>
          <t>Beschaffung</t>
        </is>
      </c>
      <c r="H25" s="3" t="inlineStr">
        <is>
          <t>Interkantonale Vereinbarung über das öffentliche Beschaffungswesen (IVöB 2019), RB 3.3111</t>
        </is>
      </c>
      <c r="I25" s="3" t="inlineStr">
        <is>
          <t>Interkantonales Recht</t>
        </is>
      </c>
      <c r="J25" s="3" t="inlineStr">
        <is>
          <t>Direktes Dokument</t>
        </is>
      </c>
      <c r="K25" s="3" t="inlineStr">
        <is>
          <t>Interkantonales Recht (verbindlich)</t>
        </is>
      </c>
      <c r="L25" s="3" t="inlineStr">
        <is>
          <t>Kanton Uri</t>
        </is>
      </c>
      <c r="M25" s="7" t="inlineStr">
        <is>
          <t>https://rechtsbuch.ur.ch/app/de/texts_of_law/3.3111</t>
        </is>
      </c>
      <c r="N25" s="3" t="inlineStr"/>
      <c r="O25" s="3" t="inlineStr">
        <is>
          <t>2026-10-14</t>
        </is>
      </c>
      <c r="P25" s="3" t="inlineStr">
        <is>
          <t>Beschaffungsrecht für Gemeinden (Schwellenwerte, Verfahren)</t>
        </is>
      </c>
      <c r="Q25" s="3" t="inlineStr"/>
      <c r="R25" s="3" t="inlineStr"/>
      <c r="S25" s="3" t="inlineStr">
        <is>
          <t>Kein Peer-Vergleich</t>
        </is>
      </c>
      <c r="T25" s="3" t="inlineStr">
        <is>
          <t>Noch nicht bewertet</t>
        </is>
      </c>
      <c r="U25" s="3" t="inlineStr">
        <is>
          <t>Hoch</t>
        </is>
      </c>
      <c r="V25" s="3" t="inlineStr"/>
      <c r="W25" s="3" t="inlineStr"/>
      <c r="X25" s="3" t="inlineStr"/>
      <c r="Y25" s="3" t="inlineStr">
        <is>
          <t>Dokument auswerten; Aktualität und Geltung prüfen</t>
        </is>
      </c>
      <c r="Z25" s="3" t="inlineStr">
        <is>
          <t>URL nach dokumentiertem Schema der amtlichen Rechtssammlung gebildet; Identität per Runner geprüft</t>
        </is>
      </c>
      <c r="AA25" s="3" t="inlineStr"/>
      <c r="AB25" s="3" t="inlineStr"/>
      <c r="AC25" s="3" t="inlineStr"/>
      <c r="AD25" s="3" t="inlineStr">
        <is>
          <t>Verifiziert</t>
        </is>
      </c>
      <c r="AE25" s="3" t="inlineStr">
        <is>
          <t>200</t>
        </is>
      </c>
      <c r="AF25" s="3" t="inlineStr"/>
      <c r="AG25" s="3" t="inlineStr">
        <is>
          <t>HTML</t>
        </is>
      </c>
      <c r="AH25" s="3" t="inlineStr">
        <is>
          <t>Bestätigt</t>
        </is>
      </c>
      <c r="AI25" s="3" t="inlineStr">
        <is>
          <t>Titel via LexWork-API (https://rechtsbuch.ur.ch/api/de/texts_of_law/3.3111); Schlüsselwörter 1/1 gefunden (Beschaffungswesen)</t>
        </is>
      </c>
      <c r="AJ25" s="3" t="inlineStr">
        <is>
          <t>Interkantonale Vereinbarung über das öffentliche Beschaffungswesen</t>
        </is>
      </c>
      <c r="AK25" s="3" t="inlineStr">
        <is>
          <t>2023, 2019</t>
        </is>
      </c>
      <c r="AL25" s="3" t="inlineStr">
        <is>
          <t>Hoch (Erlassnummer)</t>
        </is>
      </c>
      <c r="AM25" s="3" t="inlineStr">
        <is>
          <t>2026-10-14 13:54</t>
        </is>
      </c>
      <c r="AN25" s="3" t="inlineStr">
        <is>
          <t>Öffentlich verfügbar und verifiziert</t>
        </is>
      </c>
      <c r="AO25" s="3" t="inlineStr"/>
      <c r="AP25" s="3" t="inlineStr">
        <is>
          <t>Belegt Existenz und Zugänglichkeit der Quelle; inhaltliche Aussagen erst nach Auswertung.</t>
        </is>
      </c>
      <c r="AQ25" s="3" t="inlineStr">
        <is>
          <t>Keine Einstufung: Kennzahlen/Befunde noch nicht ausgewertet; Schwellen der Bewertungslogik noch nicht validiert.</t>
        </is>
      </c>
      <c r="AR25" s="3" t="inlineStr">
        <is>
          <t>Nein</t>
        </is>
      </c>
      <c r="AS25" s="3" t="inlineStr">
        <is>
          <t>Kanton Uri</t>
        </is>
      </c>
      <c r="AT25" s="3" t="inlineStr">
        <is>
          <t>In Prüfung</t>
        </is>
      </c>
      <c r="AU25" s="3" t="inlineStr"/>
      <c r="AV25" s="3" t="inlineStr"/>
      <c r="AW25" s="3" t="inlineStr">
        <is>
          <t>2026-10-14: neu aufgenommen</t>
        </is>
      </c>
    </row>
    <row r="26" ht="43" customHeight="1">
      <c r="A26" s="2" t="inlineStr">
        <is>
          <t>UR-C5-01</t>
        </is>
      </c>
      <c r="B26" s="14" t="inlineStr">
        <is>
          <t>Kanton</t>
        </is>
      </c>
      <c r="C26" s="2" t="inlineStr">
        <is>
          <t>Schweiz</t>
        </is>
      </c>
      <c r="D26" s="2" t="inlineStr">
        <is>
          <t>Uri</t>
        </is>
      </c>
      <c r="E26" s="2" t="inlineStr">
        <is>
          <t>Alle</t>
        </is>
      </c>
      <c r="F26" s="2" t="inlineStr">
        <is>
          <t>C5</t>
        </is>
      </c>
      <c r="G26" s="2" t="inlineStr">
        <is>
          <t>Politische Rechte</t>
        </is>
      </c>
      <c r="H26" s="2" t="inlineStr">
        <is>
          <t>Gesetz über die geheimen Wahlen, Abstimmungen und die Volksrechte (WAVG), RB 2.1201</t>
        </is>
      </c>
      <c r="I26" s="2" t="inlineStr">
        <is>
          <t>Kantonales Gesetz</t>
        </is>
      </c>
      <c r="J26" s="2" t="inlineStr">
        <is>
          <t>Offizielle Quelle recherchiert</t>
        </is>
      </c>
      <c r="K26" s="2" t="inlineStr">
        <is>
          <t>Kantonales Gesetz (verbindlich)</t>
        </is>
      </c>
      <c r="L26" s="2" t="inlineStr">
        <is>
          <t>Kanton Uri</t>
        </is>
      </c>
      <c r="M26" s="5" t="inlineStr">
        <is>
          <t>https://rechtsbuch.ur.ch/app/de/texts_of_law/2.1201</t>
        </is>
      </c>
      <c r="N26" s="2" t="inlineStr">
        <is>
          <t>geltende Fassung; Revision hängig (Synopse 2026)</t>
        </is>
      </c>
      <c r="O26" s="2" t="inlineStr">
        <is>
          <t>2026-10-14</t>
        </is>
      </c>
      <c r="P26" s="2" t="inlineStr">
        <is>
          <t>Rechtsrahmen für kommunale Entscheidungen</t>
        </is>
      </c>
      <c r="Q26" s="2" t="inlineStr">
        <is>
          <t>Referendum / Zuständigkeiten</t>
        </is>
      </c>
      <c r="R26" s="2" t="inlineStr">
        <is>
          <t>Gemeindeordnung konkret prüfen</t>
        </is>
      </c>
      <c r="S26" s="2" t="inlineStr">
        <is>
          <t>Qualitativ</t>
        </is>
      </c>
      <c r="T26" s="2" t="inlineStr">
        <is>
          <t>Noch nicht bewertet</t>
        </is>
      </c>
      <c r="U26" s="2" t="inlineStr">
        <is>
          <t>Mittel</t>
        </is>
      </c>
      <c r="V26" s="2" t="inlineStr">
        <is>
          <t>Geltende kantonale Detailgrundlage und Datenstand prüfen</t>
        </is>
      </c>
      <c r="W26" s="2" t="inlineStr">
        <is>
          <t>C3; Q1</t>
        </is>
      </c>
      <c r="X26" s="2" t="inlineStr">
        <is>
          <t>Politische Tragfähigkeit</t>
        </is>
      </c>
      <c r="Y26" s="2" t="inlineStr">
        <is>
          <t>Dokument auswerten; Aktualität und Geltung prüfen</t>
        </is>
      </c>
      <c r="Z26" s="2" t="inlineStr">
        <is>
          <t>URL nach dokumentiertem Schema der amtlichen Rechtssammlung gebildet; Identität per Runner geprüft</t>
        </is>
      </c>
      <c r="AA26" s="2" t="inlineStr"/>
      <c r="AB26" s="2" t="inlineStr"/>
      <c r="AC26" s="2" t="inlineStr"/>
      <c r="AD26" s="2" t="inlineStr">
        <is>
          <t>Verifiziert</t>
        </is>
      </c>
      <c r="AE26" s="2" t="inlineStr">
        <is>
          <t>200</t>
        </is>
      </c>
      <c r="AF26" s="2" t="inlineStr"/>
      <c r="AG26" s="2" t="inlineStr">
        <is>
          <t>HTML</t>
        </is>
      </c>
      <c r="AH26" s="2" t="inlineStr">
        <is>
          <t>Bestätigt</t>
        </is>
      </c>
      <c r="AI26" s="2" t="inlineStr">
        <is>
          <t>Titel via LexWork-API (https://rechtsbuch.ur.ch/api/de/texts_of_law/2.1201); Schlüsselwörter 1/1 gefunden (Wahlen)</t>
        </is>
      </c>
      <c r="AJ26" s="2" t="inlineStr">
        <is>
          <t>Gesetz über die geheimen Wahlen, Abstimmungen und die Volksrechte</t>
        </is>
      </c>
      <c r="AK26" s="2" t="inlineStr">
        <is>
          <t>2010, 2009</t>
        </is>
      </c>
      <c r="AL26" s="2" t="inlineStr">
        <is>
          <t>Hoch (Erlassnummer)</t>
        </is>
      </c>
      <c r="AM26" s="2" t="inlineStr">
        <is>
          <t>2026-10-14 13:53</t>
        </is>
      </c>
      <c r="AN26" s="2" t="inlineStr">
        <is>
          <t>Öffentlich verfügbar und verifiziert</t>
        </is>
      </c>
      <c r="AO26" s="2" t="inlineStr">
        <is>
          <t>geltende Fassung; Revision hängig (Synopse 2026)</t>
        </is>
      </c>
      <c r="AP26" s="2" t="inlineStr">
        <is>
          <t>Belegt Existenz und Zugänglichkeit der Quelle; inhaltliche Aussagen erst nach Auswertung.</t>
        </is>
      </c>
      <c r="AQ26" s="2" t="inlineStr">
        <is>
          <t>Keine Einstufung: Kennzahlen/Befunde noch nicht ausgewertet; Schwellen der Bewertungslogik noch nicht validiert.</t>
        </is>
      </c>
      <c r="AR26" s="2" t="inlineStr">
        <is>
          <t>Nein</t>
        </is>
      </c>
      <c r="AS26" s="2" t="inlineStr">
        <is>
          <t>Kanton Uri</t>
        </is>
      </c>
      <c r="AT26" s="2" t="inlineStr">
        <is>
          <t>In Prüfung</t>
        </is>
      </c>
      <c r="AU26" s="2" t="inlineStr"/>
      <c r="AV26" s="2" t="inlineStr"/>
      <c r="AW26" s="2" t="inlineStr">
        <is>
          <t>2026-10-14: Link ersetzt (vorher https://rechtsbuch.ur.ch/). Grund: Startseite der Rechtssammlung durch direkten Erlass ersetzt (WAVG, RB 2.1201).</t>
        </is>
      </c>
    </row>
    <row r="27" ht="43" customHeight="1">
      <c r="A27" s="3" t="inlineStr">
        <is>
          <t>BL-C1-01</t>
        </is>
      </c>
      <c r="B27" s="14" t="inlineStr">
        <is>
          <t>Kanton</t>
        </is>
      </c>
      <c r="C27" s="3" t="inlineStr">
        <is>
          <t>Schweiz</t>
        </is>
      </c>
      <c r="D27" s="3" t="inlineStr">
        <is>
          <t>Basel-Landschaft</t>
        </is>
      </c>
      <c r="E27" s="3" t="inlineStr">
        <is>
          <t>Alle</t>
        </is>
      </c>
      <c r="F27" s="3" t="inlineStr">
        <is>
          <t>C1</t>
        </is>
      </c>
      <c r="G27" s="3" t="inlineStr">
        <is>
          <t>Gemeindefinanzen</t>
        </is>
      </c>
      <c r="H27" s="3" t="inlineStr">
        <is>
          <t>Statistik Basel-Landschaft: Gemeindefinanzen / Finanzausgleich</t>
        </is>
      </c>
      <c r="I27" s="3" t="inlineStr">
        <is>
          <t>Statistik</t>
        </is>
      </c>
      <c r="J27" s="3" t="inlineStr">
        <is>
          <t>Offizielle Quelle recherchiert</t>
        </is>
      </c>
      <c r="K27" s="3" t="inlineStr">
        <is>
          <t>Orientierung / Datengrundlage</t>
        </is>
      </c>
      <c r="L27" s="3" t="inlineStr">
        <is>
          <t>Kanton Basel-Landschaft</t>
        </is>
      </c>
      <c r="M27" s="7" t="inlineStr">
        <is>
          <t>https://statistik.bl.ch/web_portal/18_5</t>
        </is>
      </c>
      <c r="N27" s="3" t="inlineStr">
        <is>
          <t>Zu prüfen</t>
        </is>
      </c>
      <c r="O27" s="3" t="inlineStr">
        <is>
          <t>2026-10-14</t>
        </is>
      </c>
      <c r="P27" s="3" t="inlineStr">
        <is>
          <t>Finanz- und Finanzausgleichsdaten nach Gemeinde</t>
        </is>
      </c>
      <c r="Q27" s="3" t="inlineStr">
        <is>
          <t>Finanzausgleich, Finanzkennzahlen</t>
        </is>
      </c>
      <c r="R27" s="3" t="inlineStr">
        <is>
          <t>Münchenstein herausfiltern</t>
        </is>
      </c>
      <c r="S27" s="3" t="inlineStr">
        <is>
          <t>Kanton × Grössenklasse</t>
        </is>
      </c>
      <c r="T27" s="3" t="inlineStr">
        <is>
          <t>Noch nicht bewertet</t>
        </is>
      </c>
      <c r="U27" s="3" t="inlineStr">
        <is>
          <t>Mittel</t>
        </is>
      </c>
      <c r="V27" s="3" t="inlineStr">
        <is>
          <t>Geltende kantonale Detailgrundlage und Datenstand prüfen</t>
        </is>
      </c>
      <c r="W27" s="3" t="inlineStr">
        <is>
          <t>A1; C1</t>
        </is>
      </c>
      <c r="X27" s="3" t="inlineStr">
        <is>
          <t>Finanztragfähigkeit</t>
        </is>
      </c>
      <c r="Y27" s="3" t="inlineStr">
        <is>
          <t>Dokument auswerten; Aktualität und Geltung prüfen</t>
        </is>
      </c>
      <c r="Z27" s="3" t="inlineStr">
        <is>
          <t>Webrecherche 14.10.2026</t>
        </is>
      </c>
      <c r="AA27" s="3" t="inlineStr"/>
      <c r="AB27" s="3" t="inlineStr"/>
      <c r="AC27" s="3" t="inlineStr"/>
      <c r="AD27" s="3" t="inlineStr">
        <is>
          <t>Verifiziert</t>
        </is>
      </c>
      <c r="AE27" s="3" t="inlineStr">
        <is>
          <t>200</t>
        </is>
      </c>
      <c r="AF27" s="3" t="inlineStr"/>
      <c r="AG27" s="3" t="inlineStr">
        <is>
          <t>HTML</t>
        </is>
      </c>
      <c r="AH27" s="3" t="inlineStr">
        <is>
          <t>Bestätigt</t>
        </is>
      </c>
      <c r="AI27" s="3" t="inlineStr">
        <is>
          <t>Schlüsselwörter 1/1 gefunden (Gemeindefinanzen); Ort/Zuständigkeit: Basel-Landschaft, Baselland</t>
        </is>
      </c>
      <c r="AJ27" s="3" t="inlineStr">
        <is>
          <t>Statistik Baselland</t>
        </is>
      </c>
      <c r="AK27" s="3" t="inlineStr">
        <is>
          <t>2026, 2025, 2024, 2023, 2022, 2021</t>
        </is>
      </c>
      <c r="AL27" s="3" t="inlineStr">
        <is>
          <t>Mittel (Webseite)</t>
        </is>
      </c>
      <c r="AM27" s="3" t="inlineStr">
        <is>
          <t>2026-10-14 13:53</t>
        </is>
      </c>
      <c r="AN27" s="3" t="inlineStr">
        <is>
          <t>Öffentlich verfügbar und verifiziert</t>
        </is>
      </c>
      <c r="AO27" s="3" t="inlineStr">
        <is>
          <t>Zu prüfen</t>
        </is>
      </c>
      <c r="AP27" s="3" t="inlineStr">
        <is>
          <t>Belegt Existenz und Zugänglichkeit der Quelle; inhaltliche Aussagen erst nach Auswertung.</t>
        </is>
      </c>
      <c r="AQ27" s="3" t="inlineStr">
        <is>
          <t>Keine Einstufung: Kennzahlen/Befunde noch nicht ausgewertet; Schwellen der Bewertungslogik noch nicht validiert.</t>
        </is>
      </c>
      <c r="AR27" s="3" t="inlineStr">
        <is>
          <t>Nein</t>
        </is>
      </c>
      <c r="AS27" s="3" t="inlineStr">
        <is>
          <t>Kanton Basel-Landschaft</t>
        </is>
      </c>
      <c r="AT27" s="3" t="inlineStr">
        <is>
          <t>In Prüfung</t>
        </is>
      </c>
      <c r="AU27" s="3" t="inlineStr"/>
      <c r="AV27" s="3" t="inlineStr"/>
      <c r="AW27" s="3" t="inlineStr"/>
    </row>
    <row r="28" ht="43" customHeight="1">
      <c r="A28" s="2" t="inlineStr">
        <is>
          <t>BL-C1-02</t>
        </is>
      </c>
      <c r="B28" s="14" t="inlineStr">
        <is>
          <t>Kanton</t>
        </is>
      </c>
      <c r="C28" s="2" t="inlineStr">
        <is>
          <t>Schweiz</t>
        </is>
      </c>
      <c r="D28" s="2" t="inlineStr">
        <is>
          <t>Basel-Landschaft</t>
        </is>
      </c>
      <c r="E28" s="2" t="inlineStr">
        <is>
          <t>Alle</t>
        </is>
      </c>
      <c r="F28" s="2" t="inlineStr">
        <is>
          <t>C1</t>
        </is>
      </c>
      <c r="G28" s="2" t="inlineStr">
        <is>
          <t>Rechnungslegung</t>
        </is>
      </c>
      <c r="H28" s="2" t="inlineStr">
        <is>
          <t>Gemeindefinanzen BL: Rechnungslegung und Excel-Vorlagen</t>
        </is>
      </c>
      <c r="I28" s="2" t="inlineStr">
        <is>
          <t>Arbeitshilfe</t>
        </is>
      </c>
      <c r="J28" s="2" t="inlineStr">
        <is>
          <t>Offizielle Quelle recherchiert</t>
        </is>
      </c>
      <c r="K28" s="2" t="inlineStr">
        <is>
          <t>Orientierung / Datengrundlage</t>
        </is>
      </c>
      <c r="L28" s="2" t="inlineStr">
        <is>
          <t>Kanton Basel-Landschaft</t>
        </is>
      </c>
      <c r="M28" s="5" t="inlineStr">
        <is>
          <t>https://www.baselland.ch/politik-und-behorden/gemeinden/gemeindefinanzen/rechnungslegung-einwohnergemeinden/excel-vorlagen</t>
        </is>
      </c>
      <c r="N28" s="2" t="inlineStr">
        <is>
          <t>Zu prüfen</t>
        </is>
      </c>
      <c r="O28" s="2" t="inlineStr">
        <is>
          <t>14.10.2026</t>
        </is>
      </c>
      <c r="P28" s="2" t="inlineStr">
        <is>
          <t>HRM2-Struktur, Bilanz und Investitionsrechnung</t>
        </is>
      </c>
      <c r="Q28" s="2" t="inlineStr">
        <is>
          <t>Investitionen / Bilanz</t>
        </is>
      </c>
      <c r="R28" s="2" t="inlineStr">
        <is>
          <t>Jahresrechnung nach einheitlichem Raster auswerten</t>
        </is>
      </c>
      <c r="S28" s="2" t="inlineStr">
        <is>
          <t>Kanton × Grössenklasse</t>
        </is>
      </c>
      <c r="T28" s="2" t="inlineStr">
        <is>
          <t>Noch nicht bewertet</t>
        </is>
      </c>
      <c r="U28" s="2" t="inlineStr">
        <is>
          <t>Mittel</t>
        </is>
      </c>
      <c r="V28" s="2" t="inlineStr">
        <is>
          <t>Geltende kantonale Detailgrundlage und Datenstand prüfen</t>
        </is>
      </c>
      <c r="W28" s="2" t="inlineStr">
        <is>
          <t>C1</t>
        </is>
      </c>
      <c r="X28" s="2" t="inlineStr">
        <is>
          <t>Vergleichbarkeit</t>
        </is>
      </c>
      <c r="Y28" s="2" t="inlineStr">
        <is>
          <t>Dokument auswerten; Aktualität und Geltung prüfen</t>
        </is>
      </c>
      <c r="Z28" s="2" t="inlineStr">
        <is>
          <t>Webrecherche 14.10.2026</t>
        </is>
      </c>
      <c r="AA28" s="2" t="inlineStr"/>
      <c r="AB28" s="2" t="inlineStr"/>
      <c r="AC28" s="2" t="inlineStr"/>
      <c r="AD28" s="2" t="inlineStr">
        <is>
          <t>Nicht prüfbar</t>
        </is>
      </c>
      <c r="AE28" s="2" t="inlineStr">
        <is>
          <t>403</t>
        </is>
      </c>
      <c r="AF28" s="2" t="inlineStr"/>
      <c r="AG28" s="2" t="inlineStr"/>
      <c r="AH28" s="2" t="inlineStr">
        <is>
          <t>Offen</t>
        </is>
      </c>
      <c r="AI28" s="2" t="inlineStr">
        <is>
          <t>Zugriff verweigert/gedrosselt (HTTP 403); keine Umgehung versucht</t>
        </is>
      </c>
      <c r="AJ28" s="2" t="inlineStr"/>
      <c r="AK28" s="2" t="inlineStr"/>
      <c r="AL28" s="2" t="inlineStr">
        <is>
          <t>Mittel (Webseite)</t>
        </is>
      </c>
      <c r="AM28" s="2" t="inlineStr">
        <is>
          <t>2026-10-14 13:53</t>
        </is>
      </c>
      <c r="AN28" s="2" t="inlineStr">
        <is>
          <t>Nicht zugänglich / nicht prüfbar</t>
        </is>
      </c>
      <c r="AO28" s="2" t="inlineStr">
        <is>
          <t>Zu prüfen</t>
        </is>
      </c>
      <c r="AP28" s="2" t="inlineStr">
        <is>
          <t>Belegt Existenz und Zugänglichkeit der Quelle; inhaltliche Aussagen erst nach Auswertung.</t>
        </is>
      </c>
      <c r="AQ28" s="2" t="inlineStr">
        <is>
          <t>Keine Einstufung: Kennzahlen/Befunde noch nicht ausgewertet; Schwellen der Bewertungslogik noch nicht validiert.</t>
        </is>
      </c>
      <c r="AR28" s="2" t="inlineStr">
        <is>
          <t>Nein</t>
        </is>
      </c>
      <c r="AS28" s="2" t="inlineStr">
        <is>
          <t>Kanton Basel-Landschaft</t>
        </is>
      </c>
      <c r="AT28" s="2" t="inlineStr">
        <is>
          <t>Offen</t>
        </is>
      </c>
      <c r="AU28" s="2" t="inlineStr">
        <is>
          <t>Automatisch nicht prüfbar – manuell im Browser prüfen</t>
        </is>
      </c>
      <c r="AV28" s="2" t="inlineStr"/>
      <c r="AW28" s="2" t="inlineStr"/>
    </row>
    <row r="29" ht="43" customHeight="1">
      <c r="A29" s="3" t="inlineStr">
        <is>
          <t>BL-C1-03</t>
        </is>
      </c>
      <c r="B29" s="14" t="inlineStr">
        <is>
          <t>Kanton</t>
        </is>
      </c>
      <c r="C29" s="3" t="inlineStr">
        <is>
          <t>Schweiz</t>
        </is>
      </c>
      <c r="D29" s="3" t="inlineStr">
        <is>
          <t>Basel-Landschaft</t>
        </is>
      </c>
      <c r="E29" s="3" t="inlineStr">
        <is>
          <t>Alle</t>
        </is>
      </c>
      <c r="F29" s="3" t="inlineStr">
        <is>
          <t>C1</t>
        </is>
      </c>
      <c r="G29" s="3" t="inlineStr">
        <is>
          <t>Rechnungslegung Gemeinden</t>
        </is>
      </c>
      <c r="H29" s="3" t="inlineStr">
        <is>
          <t>Kanton BL: Gemeindefinanzen (Rechtsgrundlagen, Finanzausgleich, Rechnungslegung)</t>
        </is>
      </c>
      <c r="I29" s="3" t="inlineStr">
        <is>
          <t>Behördeninformation</t>
        </is>
      </c>
      <c r="J29" s="3" t="inlineStr">
        <is>
          <t>Webseite</t>
        </is>
      </c>
      <c r="K29" s="3" t="inlineStr">
        <is>
          <t>Information</t>
        </is>
      </c>
      <c r="L29" s="3" t="inlineStr">
        <is>
          <t>Kanton Basel-Landschaft, Finanz- und Kirchendirektion</t>
        </is>
      </c>
      <c r="M29" s="7" t="inlineStr">
        <is>
          <t>https://www.baselland.ch/politik-und-behorden/gemeinden/gemeindefinanzen</t>
        </is>
      </c>
      <c r="N29" s="3" t="inlineStr"/>
      <c r="O29" s="3" t="inlineStr">
        <is>
          <t>2026-10-14</t>
        </is>
      </c>
      <c r="P29" s="3" t="inlineStr">
        <is>
          <t>Einstieg zu Finanzhandbuch, Rechtsgrundlagen und Finanzausgleich</t>
        </is>
      </c>
      <c r="Q29" s="3" t="inlineStr"/>
      <c r="R29" s="3" t="inlineStr"/>
      <c r="S29" s="3" t="inlineStr">
        <is>
          <t>Kanton × Grössenklasse</t>
        </is>
      </c>
      <c r="T29" s="3" t="inlineStr">
        <is>
          <t>Noch nicht bewertet</t>
        </is>
      </c>
      <c r="U29" s="3" t="inlineStr">
        <is>
          <t>Mittel</t>
        </is>
      </c>
      <c r="V29" s="3" t="inlineStr"/>
      <c r="W29" s="3" t="inlineStr"/>
      <c r="X29" s="3" t="inlineStr"/>
      <c r="Y29" s="3" t="inlineStr">
        <is>
          <t>Dokument auswerten; Aktualität und Geltung prüfen</t>
        </is>
      </c>
      <c r="Z29" s="3" t="inlineStr">
        <is>
          <t>Websuche 14.10.2026 (URL im Suchergebnis gefunden)</t>
        </is>
      </c>
      <c r="AA29" s="3" t="inlineStr"/>
      <c r="AB29" s="3" t="inlineStr"/>
      <c r="AC29" s="3" t="inlineStr"/>
      <c r="AD29" s="3" t="inlineStr">
        <is>
          <t>Nicht prüfbar</t>
        </is>
      </c>
      <c r="AE29" s="3" t="inlineStr">
        <is>
          <t>403</t>
        </is>
      </c>
      <c r="AF29" s="3" t="inlineStr"/>
      <c r="AG29" s="3" t="inlineStr"/>
      <c r="AH29" s="3" t="inlineStr">
        <is>
          <t>Offen</t>
        </is>
      </c>
      <c r="AI29" s="3" t="inlineStr">
        <is>
          <t>Zugriff verweigert/gedrosselt (HTTP 403); keine Umgehung versucht</t>
        </is>
      </c>
      <c r="AJ29" s="3" t="inlineStr"/>
      <c r="AK29" s="3" t="inlineStr"/>
      <c r="AL29" s="3" t="inlineStr">
        <is>
          <t>Mittel (Webseite)</t>
        </is>
      </c>
      <c r="AM29" s="3" t="inlineStr">
        <is>
          <t>2026-10-14 13:54</t>
        </is>
      </c>
      <c r="AN29" s="3" t="inlineStr">
        <is>
          <t>Nicht zugänglich / nicht prüfbar</t>
        </is>
      </c>
      <c r="AO29" s="3" t="inlineStr"/>
      <c r="AP29" s="3" t="inlineStr">
        <is>
          <t>Belegt Existenz und Zugänglichkeit der Quelle; inhaltliche Aussagen erst nach Auswertung.</t>
        </is>
      </c>
      <c r="AQ29" s="3" t="inlineStr">
        <is>
          <t>Keine Einstufung: Kennzahlen/Befunde noch nicht ausgewertet; Schwellen der Bewertungslogik noch nicht validiert.</t>
        </is>
      </c>
      <c r="AR29" s="3" t="inlineStr">
        <is>
          <t>Nein</t>
        </is>
      </c>
      <c r="AS29" s="3" t="inlineStr">
        <is>
          <t>Kanton Basel-Landschaft, Finanz- und Kirchendirektion</t>
        </is>
      </c>
      <c r="AT29" s="3" t="inlineStr">
        <is>
          <t>Offen</t>
        </is>
      </c>
      <c r="AU29" s="3" t="inlineStr">
        <is>
          <t>Automatisch nicht prüfbar – manuell im Browser prüfen</t>
        </is>
      </c>
      <c r="AV29" s="3" t="inlineStr"/>
      <c r="AW29" s="3" t="inlineStr">
        <is>
          <t>2026-10-14: neu aufgenommen</t>
        </is>
      </c>
    </row>
    <row r="30" ht="43" customHeight="1">
      <c r="A30" s="2" t="inlineStr">
        <is>
          <t>BL-C1-05</t>
        </is>
      </c>
      <c r="B30" s="14" t="inlineStr">
        <is>
          <t>Kanton</t>
        </is>
      </c>
      <c r="C30" s="2" t="inlineStr">
        <is>
          <t>Schweiz</t>
        </is>
      </c>
      <c r="D30" s="2" t="inlineStr">
        <is>
          <t>Basel-Landschaft</t>
        </is>
      </c>
      <c r="E30" s="2" t="inlineStr">
        <is>
          <t>Alle</t>
        </is>
      </c>
      <c r="F30" s="2" t="inlineStr">
        <is>
          <t>C1</t>
        </is>
      </c>
      <c r="G30" s="2" t="inlineStr">
        <is>
          <t>Finanzstatistik Gemeinden</t>
        </is>
      </c>
      <c r="H30" s="2" t="inlineStr">
        <is>
          <t>Statistisches Amt BL: Webartikel Gemeindefinanzen 2023 (18.9.2024)</t>
        </is>
      </c>
      <c r="I30" s="2" t="inlineStr">
        <is>
          <t>Statistischer Bericht</t>
        </is>
      </c>
      <c r="J30" s="2" t="inlineStr">
        <is>
          <t>Webseite</t>
        </is>
      </c>
      <c r="K30" s="2" t="inlineStr">
        <is>
          <t>Information</t>
        </is>
      </c>
      <c r="L30" s="2" t="inlineStr">
        <is>
          <t>Statistisches Amt Basel-Landschaft</t>
        </is>
      </c>
      <c r="M30" s="5" t="inlineStr">
        <is>
          <t>https://www.baselland.ch/politik-und-behorden/direktionen/finanz-und-kirchendirektion/daten-statistik/abteilung-statistik/publikationen-und-statistiken/finanzen-und-steuern/webartikel-vom-18-09-2024-gemeindefinanzen-2023</t>
        </is>
      </c>
      <c r="N30" s="2" t="inlineStr">
        <is>
          <t>2023</t>
        </is>
      </c>
      <c r="O30" s="2" t="inlineStr">
        <is>
          <t>2026-10-14</t>
        </is>
      </c>
      <c r="P30" s="2" t="inlineStr">
        <is>
          <t>Kantonaler Überblick Ergebnis/Eigenkapital der Gemeinden</t>
        </is>
      </c>
      <c r="Q30" s="2" t="inlineStr"/>
      <c r="R30" s="2" t="inlineStr"/>
      <c r="S30" s="2" t="inlineStr">
        <is>
          <t>Kanton × Grössenklasse</t>
        </is>
      </c>
      <c r="T30" s="2" t="inlineStr">
        <is>
          <t>Noch nicht bewertet</t>
        </is>
      </c>
      <c r="U30" s="2" t="inlineStr">
        <is>
          <t>Mittel</t>
        </is>
      </c>
      <c r="V30" s="2" t="inlineStr"/>
      <c r="W30" s="2" t="inlineStr"/>
      <c r="X30" s="2" t="inlineStr"/>
      <c r="Y30" s="2" t="inlineStr">
        <is>
          <t>Dokument auswerten; Aktualität und Geltung prüfen</t>
        </is>
      </c>
      <c r="Z30" s="2" t="inlineStr">
        <is>
          <t>Websuche 14.10.2026 (URL im Suchergebnis gefunden)</t>
        </is>
      </c>
      <c r="AA30" s="2" t="inlineStr"/>
      <c r="AB30" s="2" t="inlineStr"/>
      <c r="AC30" s="2" t="inlineStr"/>
      <c r="AD30" s="2" t="inlineStr">
        <is>
          <t>Nicht prüfbar</t>
        </is>
      </c>
      <c r="AE30" s="2" t="inlineStr">
        <is>
          <t>403</t>
        </is>
      </c>
      <c r="AF30" s="2" t="inlineStr"/>
      <c r="AG30" s="2" t="inlineStr"/>
      <c r="AH30" s="2" t="inlineStr">
        <is>
          <t>Offen</t>
        </is>
      </c>
      <c r="AI30" s="2" t="inlineStr">
        <is>
          <t>Zugriff verweigert/gedrosselt (HTTP 403); keine Umgehung versucht</t>
        </is>
      </c>
      <c r="AJ30" s="2" t="inlineStr"/>
      <c r="AK30" s="2" t="inlineStr"/>
      <c r="AL30" s="2" t="inlineStr">
        <is>
          <t>Mittel (Webseite)</t>
        </is>
      </c>
      <c r="AM30" s="2" t="inlineStr">
        <is>
          <t>2026-10-14 13:54</t>
        </is>
      </c>
      <c r="AN30" s="2" t="inlineStr">
        <is>
          <t>Nicht zugänglich / nicht prüfbar</t>
        </is>
      </c>
      <c r="AO30" s="2" t="inlineStr">
        <is>
          <t>2023</t>
        </is>
      </c>
      <c r="AP30" s="2" t="inlineStr">
        <is>
          <t>Belegt Existenz und Zugänglichkeit der Quelle; inhaltliche Aussagen erst nach Auswertung.</t>
        </is>
      </c>
      <c r="AQ30" s="2" t="inlineStr">
        <is>
          <t>Keine Einstufung: Kennzahlen/Befunde noch nicht ausgewertet; Schwellen der Bewertungslogik noch nicht validiert.</t>
        </is>
      </c>
      <c r="AR30" s="2" t="inlineStr">
        <is>
          <t>Nein</t>
        </is>
      </c>
      <c r="AS30" s="2" t="inlineStr">
        <is>
          <t>Statistisches Amt Basel-Landschaft</t>
        </is>
      </c>
      <c r="AT30" s="2" t="inlineStr">
        <is>
          <t>Offen</t>
        </is>
      </c>
      <c r="AU30" s="2" t="inlineStr">
        <is>
          <t>Automatisch nicht prüfbar – manuell im Browser prüfen</t>
        </is>
      </c>
      <c r="AV30" s="2" t="inlineStr"/>
      <c r="AW30" s="2" t="inlineStr">
        <is>
          <t>2026-10-14: neu aufgenommen</t>
        </is>
      </c>
    </row>
    <row r="31" ht="43" customHeight="1">
      <c r="A31" s="3" t="inlineStr">
        <is>
          <t>BL-C1-06</t>
        </is>
      </c>
      <c r="B31" s="14" t="inlineStr">
        <is>
          <t>Kanton</t>
        </is>
      </c>
      <c r="C31" s="3" t="inlineStr">
        <is>
          <t>Schweiz</t>
        </is>
      </c>
      <c r="D31" s="3" t="inlineStr">
        <is>
          <t>Basel-Landschaft</t>
        </is>
      </c>
      <c r="E31" s="3" t="inlineStr">
        <is>
          <t>Alle</t>
        </is>
      </c>
      <c r="F31" s="3" t="inlineStr">
        <is>
          <t>C1</t>
        </is>
      </c>
      <c r="G31" s="3" t="inlineStr">
        <is>
          <t>Finanzausgleich</t>
        </is>
      </c>
      <c r="H31" s="3" t="inlineStr">
        <is>
          <t>Finanzausgleichsgesetz (FAG) Basel-Landschaft, SGS 185</t>
        </is>
      </c>
      <c r="I31" s="3" t="inlineStr">
        <is>
          <t>Kantonales Gesetz</t>
        </is>
      </c>
      <c r="J31" s="3" t="inlineStr">
        <is>
          <t>Direktes Dokument</t>
        </is>
      </c>
      <c r="K31" s="3" t="inlineStr">
        <is>
          <t>Kantonales Recht (verbindlich)</t>
        </is>
      </c>
      <c r="L31" s="3" t="inlineStr">
        <is>
          <t>Kanton Basel-Landschaft</t>
        </is>
      </c>
      <c r="M31" s="7" t="inlineStr">
        <is>
          <t>https://bl.clex.ch/app/de/texts_of_law/185</t>
        </is>
      </c>
      <c r="N31" s="3" t="inlineStr"/>
      <c r="O31" s="3" t="inlineStr">
        <is>
          <t>2026-10-14</t>
        </is>
      </c>
      <c r="P31" s="3" t="inlineStr">
        <is>
          <t>Ressourcen- und Lastenausgleich; Münchenstein als Geber/Nehmer prüfen</t>
        </is>
      </c>
      <c r="Q31" s="3" t="inlineStr"/>
      <c r="R31" s="3" t="inlineStr"/>
      <c r="S31" s="3" t="inlineStr">
        <is>
          <t>Kanton × Grössenklasse</t>
        </is>
      </c>
      <c r="T31" s="3" t="inlineStr">
        <is>
          <t>Noch nicht bewertet</t>
        </is>
      </c>
      <c r="U31" s="3" t="inlineStr">
        <is>
          <t>Hoch</t>
        </is>
      </c>
      <c r="V31" s="3" t="inlineStr"/>
      <c r="W31" s="3" t="inlineStr"/>
      <c r="X31" s="3" t="inlineStr"/>
      <c r="Y31" s="3" t="inlineStr">
        <is>
          <t>Dokument auswerten; Aktualität und Geltung prüfen</t>
        </is>
      </c>
      <c r="Z31" s="3" t="inlineStr">
        <is>
          <t>URL nach dokumentiertem Schema der amtlichen Rechtssammlung gebildet; Identität per Runner geprüft</t>
        </is>
      </c>
      <c r="AA31" s="3" t="inlineStr"/>
      <c r="AB31" s="3" t="inlineStr"/>
      <c r="AC31" s="3" t="inlineStr"/>
      <c r="AD31" s="3" t="inlineStr">
        <is>
          <t>Verifiziert</t>
        </is>
      </c>
      <c r="AE31" s="3" t="inlineStr">
        <is>
          <t>200</t>
        </is>
      </c>
      <c r="AF31" s="3" t="inlineStr"/>
      <c r="AG31" s="3" t="inlineStr">
        <is>
          <t>HTML</t>
        </is>
      </c>
      <c r="AH31" s="3" t="inlineStr">
        <is>
          <t>Bestätigt</t>
        </is>
      </c>
      <c r="AI31" s="3" t="inlineStr">
        <is>
          <t>Titel via LexWork-API (https://bl.clex.ch/api/de/texts_of_law/185); Schlüsselwörter 1/1 gefunden (Finanzausgleich)</t>
        </is>
      </c>
      <c r="AJ31" s="3" t="inlineStr">
        <is>
          <t>Finanzausgleichsgesetz</t>
        </is>
      </c>
      <c r="AK31" s="3" t="inlineStr">
        <is>
          <t>2023, 2009, 2010, 2024, 2025, 2026</t>
        </is>
      </c>
      <c r="AL31" s="3" t="inlineStr">
        <is>
          <t>Hoch (Erlassnummer)</t>
        </is>
      </c>
      <c r="AM31" s="3" t="inlineStr">
        <is>
          <t>2026-10-14 13:54</t>
        </is>
      </c>
      <c r="AN31" s="3" t="inlineStr">
        <is>
          <t>Öffentlich verfügbar und verifiziert</t>
        </is>
      </c>
      <c r="AO31" s="3" t="inlineStr"/>
      <c r="AP31" s="3" t="inlineStr">
        <is>
          <t>Belegt Existenz und Zugänglichkeit der Quelle; inhaltliche Aussagen erst nach Auswertung.</t>
        </is>
      </c>
      <c r="AQ31" s="3" t="inlineStr">
        <is>
          <t>Keine Einstufung: Kennzahlen/Befunde noch nicht ausgewertet; Schwellen der Bewertungslogik noch nicht validiert.</t>
        </is>
      </c>
      <c r="AR31" s="3" t="inlineStr">
        <is>
          <t>Nein</t>
        </is>
      </c>
      <c r="AS31" s="3" t="inlineStr">
        <is>
          <t>Kanton Basel-Landschaft</t>
        </is>
      </c>
      <c r="AT31" s="3" t="inlineStr">
        <is>
          <t>In Prüfung</t>
        </is>
      </c>
      <c r="AU31" s="3" t="inlineStr"/>
      <c r="AV31" s="3" t="inlineStr"/>
      <c r="AW31" s="3" t="inlineStr">
        <is>
          <t>2026-10-14: neu aufgenommen</t>
        </is>
      </c>
    </row>
    <row r="32" ht="43" customHeight="1">
      <c r="A32" s="2" t="inlineStr">
        <is>
          <t>BL-C2-01</t>
        </is>
      </c>
      <c r="B32" s="14" t="inlineStr">
        <is>
          <t>Kanton</t>
        </is>
      </c>
      <c r="C32" s="2" t="inlineStr">
        <is>
          <t>Schweiz</t>
        </is>
      </c>
      <c r="D32" s="2" t="inlineStr">
        <is>
          <t>Basel-Landschaft</t>
        </is>
      </c>
      <c r="E32" s="2" t="inlineStr">
        <is>
          <t>Alle</t>
        </is>
      </c>
      <c r="F32" s="2" t="inlineStr">
        <is>
          <t>C2</t>
        </is>
      </c>
      <c r="G32" s="2" t="inlineStr">
        <is>
          <t>Geodaten</t>
        </is>
      </c>
      <c r="H32" s="2" t="inlineStr">
        <is>
          <t>Geoportal Basel-Landschaft</t>
        </is>
      </c>
      <c r="I32" s="2" t="inlineStr">
        <is>
          <t>Geodatenportal</t>
        </is>
      </c>
      <c r="J32" s="2" t="inlineStr">
        <is>
          <t>Offizielle Quelle recherchiert</t>
        </is>
      </c>
      <c r="K32" s="2" t="inlineStr">
        <is>
          <t>Orientierung / Datengrundlage</t>
        </is>
      </c>
      <c r="L32" s="2" t="inlineStr">
        <is>
          <t>Kanton Basel-Landschaft</t>
        </is>
      </c>
      <c r="M32" s="5" t="inlineStr">
        <is>
          <t>https://geoview.bl.ch/</t>
        </is>
      </c>
      <c r="N32" s="2" t="inlineStr">
        <is>
          <t>Zu prüfen</t>
        </is>
      </c>
      <c r="O32" s="2" t="inlineStr">
        <is>
          <t>2026-10-14</t>
        </is>
      </c>
      <c r="P32" s="2" t="inlineStr">
        <is>
          <t>Parzellen- und Zoneninformationen; Eigentum gesondert nachweisen</t>
        </is>
      </c>
      <c r="Q32" s="2" t="inlineStr">
        <is>
          <t>ÖBA, Parzellenstruktur</t>
        </is>
      </c>
      <c r="R32" s="2" t="inlineStr">
        <is>
          <t>Luucy übernehmen; Eigentümerdaten abgleichen</t>
        </is>
      </c>
      <c r="S32" s="2" t="inlineStr">
        <is>
          <t>Kein Peer</t>
        </is>
      </c>
      <c r="T32" s="2" t="inlineStr">
        <is>
          <t>Noch nicht bewertet</t>
        </is>
      </c>
      <c r="U32" s="2" t="inlineStr">
        <is>
          <t>Mittel</t>
        </is>
      </c>
      <c r="V32" s="2" t="inlineStr">
        <is>
          <t>Geltende kantonale Detailgrundlage und Datenstand prüfen</t>
        </is>
      </c>
      <c r="W32" s="2" t="inlineStr">
        <is>
          <t>B; Q1</t>
        </is>
      </c>
      <c r="X32" s="2" t="inlineStr">
        <is>
          <t>Bodenverfügbarkeit</t>
        </is>
      </c>
      <c r="Y32" s="2" t="inlineStr">
        <is>
          <t>Dokument auswerten; Aktualität und Geltung prüfen</t>
        </is>
      </c>
      <c r="Z32" s="2" t="inlineStr">
        <is>
          <t>Webrecherche 14.10.2026</t>
        </is>
      </c>
      <c r="AA32" s="2" t="inlineStr"/>
      <c r="AB32" s="2" t="inlineStr"/>
      <c r="AC32" s="2" t="inlineStr"/>
      <c r="AD32" s="2" t="inlineStr">
        <is>
          <t>Verifiziert</t>
        </is>
      </c>
      <c r="AE32" s="2" t="inlineStr">
        <is>
          <t>200</t>
        </is>
      </c>
      <c r="AF32" s="2" t="inlineStr"/>
      <c r="AG32" s="2" t="inlineStr">
        <is>
          <t>HTML</t>
        </is>
      </c>
      <c r="AH32" s="2" t="inlineStr">
        <is>
          <t>Bestätigt</t>
        </is>
      </c>
      <c r="AI32" s="2" t="inlineStr">
        <is>
          <t>Schlüsselwörter 1/1 gefunden (GeoView); Ort/Zuständigkeit: BL, geoview</t>
        </is>
      </c>
      <c r="AJ32" s="2" t="inlineStr">
        <is>
          <t>GeoView BL</t>
        </is>
      </c>
      <c r="AK32" s="2" t="inlineStr">
        <is>
          <t>2011, 2001</t>
        </is>
      </c>
      <c r="AL32" s="2" t="inlineStr">
        <is>
          <t>Mittel (Startseite, kein Dokument)</t>
        </is>
      </c>
      <c r="AM32" s="2" t="inlineStr">
        <is>
          <t>2026-10-14 13:53</t>
        </is>
      </c>
      <c r="AN32" s="2" t="inlineStr">
        <is>
          <t>Öffentlich verfügbar und verifiziert</t>
        </is>
      </c>
      <c r="AO32" s="2" t="inlineStr">
        <is>
          <t>Zu prüfen</t>
        </is>
      </c>
      <c r="AP32" s="2" t="inlineStr">
        <is>
          <t>Belegt Existenz und Zugänglichkeit der Quelle; inhaltliche Aussagen erst nach Auswertung.</t>
        </is>
      </c>
      <c r="AQ32" s="2" t="inlineStr">
        <is>
          <t>Keine Einstufung: Kennzahlen/Befunde noch nicht ausgewertet; Schwellen der Bewertungslogik noch nicht validiert.</t>
        </is>
      </c>
      <c r="AR32" s="2" t="inlineStr">
        <is>
          <t>Nein</t>
        </is>
      </c>
      <c r="AS32" s="2" t="inlineStr">
        <is>
          <t>Kanton Basel-Landschaft</t>
        </is>
      </c>
      <c r="AT32" s="2" t="inlineStr">
        <is>
          <t>In Prüfung</t>
        </is>
      </c>
      <c r="AU32" s="2" t="inlineStr">
        <is>
          <t>Kartenportal (JavaScript); kein Eigentumsnachweis.</t>
        </is>
      </c>
      <c r="AV32" s="2" t="inlineStr"/>
      <c r="AW32" s="2" t="inlineStr"/>
    </row>
    <row r="33" ht="43" customHeight="1">
      <c r="A33" s="3" t="inlineStr">
        <is>
          <t>BL-C2-02</t>
        </is>
      </c>
      <c r="B33" s="14" t="inlineStr">
        <is>
          <t>Kanton</t>
        </is>
      </c>
      <c r="C33" s="3" t="inlineStr">
        <is>
          <t>Schweiz</t>
        </is>
      </c>
      <c r="D33" s="3" t="inlineStr">
        <is>
          <t>Basel-Landschaft</t>
        </is>
      </c>
      <c r="E33" s="3" t="inlineStr">
        <is>
          <t>Alle</t>
        </is>
      </c>
      <c r="F33" s="3" t="inlineStr">
        <is>
          <t>C2</t>
        </is>
      </c>
      <c r="G33" s="3" t="inlineStr">
        <is>
          <t>Raumplanung / Baulandmobilisierung</t>
        </is>
      </c>
      <c r="H33" s="3" t="inlineStr">
        <is>
          <t>Raumplanungs- und Baugesetz (RBG) Basel-Landschaft, SGS 400</t>
        </is>
      </c>
      <c r="I33" s="3" t="inlineStr">
        <is>
          <t>Kantonales Gesetz</t>
        </is>
      </c>
      <c r="J33" s="3" t="inlineStr">
        <is>
          <t>Direktes Dokument</t>
        </is>
      </c>
      <c r="K33" s="3" t="inlineStr">
        <is>
          <t>Kantonales Recht (verbindlich)</t>
        </is>
      </c>
      <c r="L33" s="3" t="inlineStr">
        <is>
          <t>Kanton Basel-Landschaft</t>
        </is>
      </c>
      <c r="M33" s="7" t="inlineStr">
        <is>
          <t>https://bl.clex.ch/app/de/texts_of_law/400</t>
        </is>
      </c>
      <c r="N33" s="3" t="inlineStr">
        <is>
          <t>vom 8.1.1998; geltende Fassung</t>
        </is>
      </c>
      <c r="O33" s="3" t="inlineStr">
        <is>
          <t>2026-10-14</t>
        </is>
      </c>
      <c r="P33" s="3" t="inlineStr">
        <is>
          <t>Mehrwertabgabe, Quartierplanung, Mitwirkung § 7 RBG</t>
        </is>
      </c>
      <c r="Q33" s="3" t="inlineStr"/>
      <c r="R33" s="3" t="inlineStr"/>
      <c r="S33" s="3" t="inlineStr">
        <is>
          <t>Kein Peer-Vergleich</t>
        </is>
      </c>
      <c r="T33" s="3" t="inlineStr">
        <is>
          <t>Noch nicht bewertet</t>
        </is>
      </c>
      <c r="U33" s="3" t="inlineStr">
        <is>
          <t>Hoch</t>
        </is>
      </c>
      <c r="V33" s="3" t="inlineStr"/>
      <c r="W33" s="3" t="inlineStr">
        <is>
          <t>B; Q1</t>
        </is>
      </c>
      <c r="X33" s="3" t="inlineStr"/>
      <c r="Y33" s="3" t="inlineStr">
        <is>
          <t>Dokument auswerten; Aktualität und Geltung prüfen</t>
        </is>
      </c>
      <c r="Z33" s="3" t="inlineStr">
        <is>
          <t>Websuche 14.10.2026 (URL im Suchergebnis gefunden)</t>
        </is>
      </c>
      <c r="AA33" s="3" t="inlineStr">
        <is>
          <t>C5</t>
        </is>
      </c>
      <c r="AB33" s="3" t="inlineStr"/>
      <c r="AC33" s="3" t="inlineStr"/>
      <c r="AD33" s="3" t="inlineStr">
        <is>
          <t>Verifiziert</t>
        </is>
      </c>
      <c r="AE33" s="3" t="inlineStr">
        <is>
          <t>200</t>
        </is>
      </c>
      <c r="AF33" s="3" t="inlineStr"/>
      <c r="AG33" s="3" t="inlineStr">
        <is>
          <t>HTML</t>
        </is>
      </c>
      <c r="AH33" s="3" t="inlineStr">
        <is>
          <t>Bestätigt</t>
        </is>
      </c>
      <c r="AI33" s="3" t="inlineStr">
        <is>
          <t>Titel via LexWork-API (https://bl.clex.ch/api/de/texts_of_law/400); Schlüsselwörter 1/1 gefunden (Raumplanungs)</t>
        </is>
      </c>
      <c r="AJ33" s="3" t="inlineStr">
        <is>
          <t>Raumplanungs- und Baugesetz</t>
        </is>
      </c>
      <c r="AK33" s="3" t="inlineStr">
        <is>
          <t>2024, 2023</t>
        </is>
      </c>
      <c r="AL33" s="3" t="inlineStr">
        <is>
          <t>Hoch (Erlassnummer)</t>
        </is>
      </c>
      <c r="AM33" s="3" t="inlineStr">
        <is>
          <t>2026-10-14 13:54</t>
        </is>
      </c>
      <c r="AN33" s="3" t="inlineStr">
        <is>
          <t>Öffentlich verfügbar und verifiziert</t>
        </is>
      </c>
      <c r="AO33" s="3" t="inlineStr">
        <is>
          <t>vom 8.1.1998; geltende Fassung</t>
        </is>
      </c>
      <c r="AP33" s="3" t="inlineStr">
        <is>
          <t>Belegt Existenz und Zugänglichkeit der Quelle; inhaltliche Aussagen erst nach Auswertung.</t>
        </is>
      </c>
      <c r="AQ33" s="3" t="inlineStr">
        <is>
          <t>Keine Einstufung: Kennzahlen/Befunde noch nicht ausgewertet; Schwellen der Bewertungslogik noch nicht validiert.</t>
        </is>
      </c>
      <c r="AR33" s="3" t="inlineStr">
        <is>
          <t>Nein</t>
        </is>
      </c>
      <c r="AS33" s="3" t="inlineStr">
        <is>
          <t>Kanton Basel-Landschaft</t>
        </is>
      </c>
      <c r="AT33" s="3" t="inlineStr">
        <is>
          <t>In Prüfung</t>
        </is>
      </c>
      <c r="AU33" s="3" t="inlineStr"/>
      <c r="AV33" s="3" t="inlineStr"/>
      <c r="AW33" s="3" t="inlineStr">
        <is>
          <t>2026-10-14: neu aufgenommen</t>
        </is>
      </c>
    </row>
    <row r="34" ht="43" customHeight="1">
      <c r="A34" s="2" t="inlineStr">
        <is>
          <t>BL-C3-01</t>
        </is>
      </c>
      <c r="B34" s="14" t="inlineStr">
        <is>
          <t>Kanton</t>
        </is>
      </c>
      <c r="C34" s="2" t="inlineStr">
        <is>
          <t>Schweiz</t>
        </is>
      </c>
      <c r="D34" s="2" t="inlineStr">
        <is>
          <t>Basel-Landschaft</t>
        </is>
      </c>
      <c r="E34" s="2" t="inlineStr">
        <is>
          <t>Alle</t>
        </is>
      </c>
      <c r="F34" s="2" t="inlineStr">
        <is>
          <t>C3</t>
        </is>
      </c>
      <c r="G34" s="2" t="inlineStr">
        <is>
          <t>Gemeinderecht</t>
        </is>
      </c>
      <c r="H34" s="2" t="inlineStr">
        <is>
          <t>Gemeindegesetz (GemG) Basel-Landschaft, SGS 180</t>
        </is>
      </c>
      <c r="I34" s="2" t="inlineStr">
        <is>
          <t>Kantonales Gesetz</t>
        </is>
      </c>
      <c r="J34" s="2" t="inlineStr">
        <is>
          <t>Offizielle Quelle recherchiert</t>
        </is>
      </c>
      <c r="K34" s="2" t="inlineStr">
        <is>
          <t>Kantonales Gesetz (verbindlich)</t>
        </is>
      </c>
      <c r="L34" s="2" t="inlineStr">
        <is>
          <t>Kanton Basel-Landschaft</t>
        </is>
      </c>
      <c r="M34" s="5" t="inlineStr">
        <is>
          <t>https://bl.clex.ch/app/de/texts_of_law/180</t>
        </is>
      </c>
      <c r="N34" s="2" t="inlineStr">
        <is>
          <t>vom 28.5.1970; geltende Fassung</t>
        </is>
      </c>
      <c r="O34" s="2" t="inlineStr">
        <is>
          <t>2026-10-14</t>
        </is>
      </c>
      <c r="P34" s="2" t="inlineStr">
        <is>
          <t>Gemeinderecht und Kooperationsinstrumente</t>
        </is>
      </c>
      <c r="Q34" s="2" t="inlineStr">
        <is>
          <t>Gemeindeordnung / Kooperation</t>
        </is>
      </c>
      <c r="R34" s="2" t="inlineStr">
        <is>
          <t>Relevante Normen konkret auswählen</t>
        </is>
      </c>
      <c r="S34" s="2" t="inlineStr">
        <is>
          <t>Qualitativ</t>
        </is>
      </c>
      <c r="T34" s="2" t="inlineStr">
        <is>
          <t>Noch nicht bewertet</t>
        </is>
      </c>
      <c r="U34" s="2" t="inlineStr">
        <is>
          <t>Mittel</t>
        </is>
      </c>
      <c r="V34" s="2" t="inlineStr">
        <is>
          <t>Geltende kantonale Detailgrundlage und Datenstand prüfen</t>
        </is>
      </c>
      <c r="W34" s="2" t="inlineStr">
        <is>
          <t>C4; C5</t>
        </is>
      </c>
      <c r="X34" s="2" t="inlineStr">
        <is>
          <t>Trägerschaft</t>
        </is>
      </c>
      <c r="Y34" s="2" t="inlineStr">
        <is>
          <t>Dokument auswerten; Aktualität und Geltung prüfen</t>
        </is>
      </c>
      <c r="Z34" s="2" t="inlineStr">
        <is>
          <t>Websuche 14.10.2026 (URL im Suchergebnis gefunden)</t>
        </is>
      </c>
      <c r="AA34" s="2" t="inlineStr"/>
      <c r="AB34" s="2" t="inlineStr"/>
      <c r="AC34" s="2" t="inlineStr"/>
      <c r="AD34" s="2" t="inlineStr">
        <is>
          <t>Verifiziert</t>
        </is>
      </c>
      <c r="AE34" s="2" t="inlineStr">
        <is>
          <t>200</t>
        </is>
      </c>
      <c r="AF34" s="2" t="inlineStr"/>
      <c r="AG34" s="2" t="inlineStr">
        <is>
          <t>HTML</t>
        </is>
      </c>
      <c r="AH34" s="2" t="inlineStr">
        <is>
          <t>Bestätigt</t>
        </is>
      </c>
      <c r="AI34" s="2" t="inlineStr">
        <is>
          <t>Titel via LexWork-API (https://bl.clex.ch/api/de/texts_of_law/180); Schlüsselwörter 1/1 gefunden (Gemeinden)</t>
        </is>
      </c>
      <c r="AJ34" s="2" t="inlineStr">
        <is>
          <t>Gesetz über die Organisation und die Verwaltung der Gemeinden</t>
        </is>
      </c>
      <c r="AK34" s="2" t="inlineStr">
        <is>
          <t>2026, 2008, 2004, 2005, 2009</t>
        </is>
      </c>
      <c r="AL34" s="2" t="inlineStr">
        <is>
          <t>Hoch (Erlassnummer)</t>
        </is>
      </c>
      <c r="AM34" s="2" t="inlineStr">
        <is>
          <t>2026-10-14 13:53</t>
        </is>
      </c>
      <c r="AN34" s="2" t="inlineStr">
        <is>
          <t>Öffentlich verfügbar und verifiziert</t>
        </is>
      </c>
      <c r="AO34" s="2" t="inlineStr">
        <is>
          <t>vom 28.5.1970; geltende Fassung</t>
        </is>
      </c>
      <c r="AP34" s="2" t="inlineStr">
        <is>
          <t>Belegt Existenz und Zugänglichkeit der Quelle; inhaltliche Aussagen erst nach Auswertung.</t>
        </is>
      </c>
      <c r="AQ34" s="2" t="inlineStr">
        <is>
          <t>Keine Einstufung: Kennzahlen/Befunde noch nicht ausgewertet; Schwellen der Bewertungslogik noch nicht validiert.</t>
        </is>
      </c>
      <c r="AR34" s="2" t="inlineStr">
        <is>
          <t>Nein</t>
        </is>
      </c>
      <c r="AS34" s="2" t="inlineStr">
        <is>
          <t>Kanton Basel-Landschaft</t>
        </is>
      </c>
      <c r="AT34" s="2" t="inlineStr">
        <is>
          <t>In Prüfung</t>
        </is>
      </c>
      <c r="AU34" s="2" t="inlineStr"/>
      <c r="AV34" s="2" t="inlineStr"/>
      <c r="AW34" s="2" t="inlineStr">
        <is>
          <t>2026-10-14: Link ersetzt (vorher https://bl.clex.ch/). Grund: Startseite der Gesetzessammlung durch direkten Erlass ersetzt (Gemeindegesetz SGS 180).</t>
        </is>
      </c>
    </row>
    <row r="35" ht="43" customHeight="1">
      <c r="A35" s="3" t="inlineStr">
        <is>
          <t>BL-C3-02</t>
        </is>
      </c>
      <c r="B35" s="14" t="inlineStr">
        <is>
          <t>Kanton</t>
        </is>
      </c>
      <c r="C35" s="3" t="inlineStr">
        <is>
          <t>Schweiz</t>
        </is>
      </c>
      <c r="D35" s="3" t="inlineStr">
        <is>
          <t>Basel-Landschaft</t>
        </is>
      </c>
      <c r="E35" s="3" t="inlineStr">
        <is>
          <t>Alle</t>
        </is>
      </c>
      <c r="F35" s="3" t="inlineStr">
        <is>
          <t>C3</t>
        </is>
      </c>
      <c r="G35" s="3" t="inlineStr">
        <is>
          <t>Regionale Kooperation</t>
        </is>
      </c>
      <c r="H35" s="3" t="inlineStr">
        <is>
          <t>Medienmitteilung Kanton BL: Birsstadt erhält den Wakkerpreis (Verein Birsstadt, Raumkonzept Birsstadt 2035)</t>
        </is>
      </c>
      <c r="I35" s="3" t="inlineStr">
        <is>
          <t>Medienmitteilung</t>
        </is>
      </c>
      <c r="J35" s="3" t="inlineStr">
        <is>
          <t>Webseite</t>
        </is>
      </c>
      <c r="K35" s="3" t="inlineStr">
        <is>
          <t>Information</t>
        </is>
      </c>
      <c r="L35" s="3" t="inlineStr">
        <is>
          <t>Kanton Basel-Landschaft, Bau- und Umweltschutzdirektion</t>
        </is>
      </c>
      <c r="M35" s="7" t="inlineStr">
        <is>
          <t>https://www.baselland.ch/politik-und-behorden/direktionen/bau-und-umweltschutzdirektion/medienmitteilungen/ausgezeichnete-agglomeration-birsstadt-erhaelt-den-wakkerpreis</t>
        </is>
      </c>
      <c r="N35" s="3" t="inlineStr"/>
      <c r="O35" s="3" t="inlineStr">
        <is>
          <t>2026-10-14</t>
        </is>
      </c>
      <c r="P35" s="3" t="inlineStr">
        <is>
          <t>Belegt interkommunale Kooperation Birsstadt (10 Gemeinden inkl. Münchenstein)</t>
        </is>
      </c>
      <c r="Q35" s="3" t="inlineStr"/>
      <c r="R35" s="3" t="inlineStr"/>
      <c r="S35" s="3" t="inlineStr">
        <is>
          <t>Kein Peer-Vergleich</t>
        </is>
      </c>
      <c r="T35" s="3" t="inlineStr">
        <is>
          <t>Noch nicht bewertet</t>
        </is>
      </c>
      <c r="U35" s="3" t="inlineStr">
        <is>
          <t>Mittel</t>
        </is>
      </c>
      <c r="V35" s="3" t="inlineStr"/>
      <c r="W35" s="3" t="inlineStr"/>
      <c r="X35" s="3" t="inlineStr"/>
      <c r="Y35" s="3" t="inlineStr">
        <is>
          <t>Dokument auswerten; Aktualität und Geltung prüfen</t>
        </is>
      </c>
      <c r="Z35" s="3" t="inlineStr">
        <is>
          <t>Websuche 14.10.2026 (URL im Suchergebnis gefunden)</t>
        </is>
      </c>
      <c r="AA35" s="3" t="inlineStr"/>
      <c r="AB35" s="3" t="inlineStr"/>
      <c r="AC35" s="3" t="inlineStr"/>
      <c r="AD35" s="3" t="inlineStr">
        <is>
          <t>Nicht prüfbar</t>
        </is>
      </c>
      <c r="AE35" s="3" t="inlineStr">
        <is>
          <t>403</t>
        </is>
      </c>
      <c r="AF35" s="3" t="inlineStr"/>
      <c r="AG35" s="3" t="inlineStr"/>
      <c r="AH35" s="3" t="inlineStr">
        <is>
          <t>Offen</t>
        </is>
      </c>
      <c r="AI35" s="3" t="inlineStr">
        <is>
          <t>Zugriff verweigert/gedrosselt (HTTP 403); keine Umgehung versucht</t>
        </is>
      </c>
      <c r="AJ35" s="3" t="inlineStr"/>
      <c r="AK35" s="3" t="inlineStr"/>
      <c r="AL35" s="3" t="inlineStr">
        <is>
          <t>Mittel (Webseite)</t>
        </is>
      </c>
      <c r="AM35" s="3" t="inlineStr">
        <is>
          <t>2026-10-14 13:54</t>
        </is>
      </c>
      <c r="AN35" s="3" t="inlineStr">
        <is>
          <t>Nicht zugänglich / nicht prüfbar</t>
        </is>
      </c>
      <c r="AO35" s="3" t="inlineStr"/>
      <c r="AP35" s="3" t="inlineStr">
        <is>
          <t>Belegt Existenz und Zugänglichkeit der Quelle; inhaltliche Aussagen erst nach Auswertung.</t>
        </is>
      </c>
      <c r="AQ35" s="3" t="inlineStr">
        <is>
          <t>Keine Einstufung: Kennzahlen/Befunde noch nicht ausgewertet; Schwellen der Bewertungslogik noch nicht validiert.</t>
        </is>
      </c>
      <c r="AR35" s="3" t="inlineStr">
        <is>
          <t>Nein</t>
        </is>
      </c>
      <c r="AS35" s="3" t="inlineStr">
        <is>
          <t>Kanton Basel-Landschaft, Bau- und Umweltschutzdirektion</t>
        </is>
      </c>
      <c r="AT35" s="3" t="inlineStr">
        <is>
          <t>Offen</t>
        </is>
      </c>
      <c r="AU35" s="3" t="inlineStr">
        <is>
          <t>Automatisch nicht prüfbar – manuell im Browser prüfen</t>
        </is>
      </c>
      <c r="AV35" s="3" t="inlineStr"/>
      <c r="AW35" s="3" t="inlineStr">
        <is>
          <t>2026-10-14: neu aufgenommen</t>
        </is>
      </c>
    </row>
    <row r="36" ht="43" customHeight="1">
      <c r="A36" s="2" t="inlineStr">
        <is>
          <t>BL-C4-01</t>
        </is>
      </c>
      <c r="B36" s="14" t="inlineStr">
        <is>
          <t>Kanton</t>
        </is>
      </c>
      <c r="C36" s="2" t="inlineStr">
        <is>
          <t>Schweiz</t>
        </is>
      </c>
      <c r="D36" s="2" t="inlineStr">
        <is>
          <t>Basel-Landschaft</t>
        </is>
      </c>
      <c r="E36" s="2" t="inlineStr">
        <is>
          <t>Alle</t>
        </is>
      </c>
      <c r="F36" s="2" t="inlineStr">
        <is>
          <t>C4</t>
        </is>
      </c>
      <c r="G36" s="2" t="inlineStr">
        <is>
          <t>Verwaltung</t>
        </is>
      </c>
      <c r="H36" s="2" t="inlineStr">
        <is>
          <t>Kanton Basel-Landschaft: Gemeindefachstellen</t>
        </is>
      </c>
      <c r="I36" s="2" t="inlineStr">
        <is>
          <t>Behördenportal</t>
        </is>
      </c>
      <c r="J36" s="2" t="inlineStr">
        <is>
          <t>Offizielle Quelle recherchiert</t>
        </is>
      </c>
      <c r="K36" s="2" t="inlineStr">
        <is>
          <t>Orientierung / Datengrundlage</t>
        </is>
      </c>
      <c r="L36" s="2" t="inlineStr">
        <is>
          <t>Kanton Basel-Landschaft</t>
        </is>
      </c>
      <c r="M36" s="5" t="inlineStr">
        <is>
          <t>https://www.baselland.ch/politik-und-behorden/gemeinden</t>
        </is>
      </c>
      <c r="N36" s="2" t="inlineStr">
        <is>
          <t>Zu prüfen</t>
        </is>
      </c>
      <c r="O36" s="2" t="inlineStr">
        <is>
          <t>14.10.2026</t>
        </is>
      </c>
      <c r="P36" s="2" t="inlineStr">
        <is>
          <t>Fachliche Rahmenbedingungen für Gemeindeverwaltung</t>
        </is>
      </c>
      <c r="Q36" s="2" t="inlineStr">
        <is>
          <t>Organisation / Kompetenzen</t>
        </is>
      </c>
      <c r="R36" s="2" t="inlineStr">
        <is>
          <t>Kommunale Organisationsdokumente ergänzen</t>
        </is>
      </c>
      <c r="S36" s="2" t="inlineStr">
        <is>
          <t>Qualitativ</t>
        </is>
      </c>
      <c r="T36" s="2" t="inlineStr">
        <is>
          <t>Noch nicht bewertet</t>
        </is>
      </c>
      <c r="U36" s="2" t="inlineStr">
        <is>
          <t>Mittel</t>
        </is>
      </c>
      <c r="V36" s="2" t="inlineStr">
        <is>
          <t>Geltende kantonale Detailgrundlage und Datenstand prüfen</t>
        </is>
      </c>
      <c r="W36" s="2" t="inlineStr">
        <is>
          <t>Q6</t>
        </is>
      </c>
      <c r="X36" s="2" t="inlineStr">
        <is>
          <t>Bestellerkompetenz</t>
        </is>
      </c>
      <c r="Y36" s="2" t="inlineStr">
        <is>
          <t>Dokument auswerten; Aktualität und Geltung prüfen</t>
        </is>
      </c>
      <c r="Z36" s="2" t="inlineStr">
        <is>
          <t>Webrecherche 14.10.2026</t>
        </is>
      </c>
      <c r="AA36" s="2" t="inlineStr"/>
      <c r="AB36" s="2" t="inlineStr"/>
      <c r="AC36" s="2" t="inlineStr"/>
      <c r="AD36" s="2" t="inlineStr">
        <is>
          <t>Nicht prüfbar</t>
        </is>
      </c>
      <c r="AE36" s="2" t="inlineStr">
        <is>
          <t>403</t>
        </is>
      </c>
      <c r="AF36" s="2" t="inlineStr"/>
      <c r="AG36" s="2" t="inlineStr"/>
      <c r="AH36" s="2" t="inlineStr">
        <is>
          <t>Offen</t>
        </is>
      </c>
      <c r="AI36" s="2" t="inlineStr">
        <is>
          <t>Zugriff verweigert/gedrosselt (HTTP 403); keine Umgehung versucht</t>
        </is>
      </c>
      <c r="AJ36" s="2" t="inlineStr"/>
      <c r="AK36" s="2" t="inlineStr"/>
      <c r="AL36" s="2" t="inlineStr">
        <is>
          <t>Mittel (Webseite)</t>
        </is>
      </c>
      <c r="AM36" s="2" t="inlineStr">
        <is>
          <t>2026-10-14 13:53</t>
        </is>
      </c>
      <c r="AN36" s="2" t="inlineStr">
        <is>
          <t>Nicht zugänglich / nicht prüfbar</t>
        </is>
      </c>
      <c r="AO36" s="2" t="inlineStr">
        <is>
          <t>Zu prüfen</t>
        </is>
      </c>
      <c r="AP36" s="2" t="inlineStr">
        <is>
          <t>Belegt Existenz und Zugänglichkeit der Quelle; inhaltliche Aussagen erst nach Auswertung.</t>
        </is>
      </c>
      <c r="AQ36" s="2" t="inlineStr">
        <is>
          <t>Keine Einstufung: Kennzahlen/Befunde noch nicht ausgewertet; Schwellen der Bewertungslogik noch nicht validiert.</t>
        </is>
      </c>
      <c r="AR36" s="2" t="inlineStr">
        <is>
          <t>Nein</t>
        </is>
      </c>
      <c r="AS36" s="2" t="inlineStr">
        <is>
          <t>Kanton Basel-Landschaft</t>
        </is>
      </c>
      <c r="AT36" s="2" t="inlineStr">
        <is>
          <t>Offen</t>
        </is>
      </c>
      <c r="AU36" s="2" t="inlineStr">
        <is>
          <t>Automatisch nicht prüfbar – manuell im Browser prüfen</t>
        </is>
      </c>
      <c r="AV36" s="2" t="inlineStr"/>
      <c r="AW36" s="2" t="inlineStr"/>
    </row>
    <row r="37" ht="43" customHeight="1">
      <c r="A37" s="3" t="inlineStr">
        <is>
          <t>BL-C4-02</t>
        </is>
      </c>
      <c r="B37" s="14" t="inlineStr">
        <is>
          <t>Kanton</t>
        </is>
      </c>
      <c r="C37" s="3" t="inlineStr">
        <is>
          <t>Schweiz</t>
        </is>
      </c>
      <c r="D37" s="3" t="inlineStr">
        <is>
          <t>Basel-Landschaft</t>
        </is>
      </c>
      <c r="E37" s="3" t="inlineStr">
        <is>
          <t>Alle</t>
        </is>
      </c>
      <c r="F37" s="3" t="inlineStr">
        <is>
          <t>C4</t>
        </is>
      </c>
      <c r="G37" s="3" t="inlineStr">
        <is>
          <t>Beschaffung</t>
        </is>
      </c>
      <c r="H37" s="3" t="inlineStr">
        <is>
          <t>Verordnung zum Einführungsgesetz zur IVöB (Vo EG IVöB) Basel-Landschaft, SGS 420.11</t>
        </is>
      </c>
      <c r="I37" s="3" t="inlineStr">
        <is>
          <t>Kantonale Verordnung</t>
        </is>
      </c>
      <c r="J37" s="3" t="inlineStr">
        <is>
          <t>Direktes Dokument</t>
        </is>
      </c>
      <c r="K37" s="3" t="inlineStr">
        <is>
          <t>Kantonales Recht (verbindlich)</t>
        </is>
      </c>
      <c r="L37" s="3" t="inlineStr">
        <is>
          <t>Kanton Basel-Landschaft</t>
        </is>
      </c>
      <c r="M37" s="7" t="inlineStr">
        <is>
          <t>https://bl.clex.ch/app/de/texts_of_law/420.11</t>
        </is>
      </c>
      <c r="N37" s="3" t="inlineStr"/>
      <c r="O37" s="3" t="inlineStr">
        <is>
          <t>2026-10-14</t>
        </is>
      </c>
      <c r="P37" s="3" t="inlineStr">
        <is>
          <t>Beschaffungsrecht für Gemeinden ab 1.1.2024</t>
        </is>
      </c>
      <c r="Q37" s="3" t="inlineStr"/>
      <c r="R37" s="3" t="inlineStr"/>
      <c r="S37" s="3" t="inlineStr">
        <is>
          <t>Kein Peer-Vergleich</t>
        </is>
      </c>
      <c r="T37" s="3" t="inlineStr">
        <is>
          <t>Noch nicht bewertet</t>
        </is>
      </c>
      <c r="U37" s="3" t="inlineStr">
        <is>
          <t>Hoch</t>
        </is>
      </c>
      <c r="V37" s="3" t="inlineStr"/>
      <c r="W37" s="3" t="inlineStr"/>
      <c r="X37" s="3" t="inlineStr"/>
      <c r="Y37" s="3" t="inlineStr">
        <is>
          <t>Dokument auswerten; Aktualität und Geltung prüfen</t>
        </is>
      </c>
      <c r="Z37" s="3" t="inlineStr">
        <is>
          <t>URL nach dokumentiertem Schema der amtlichen Rechtssammlung gebildet; Identität per Runner geprüft</t>
        </is>
      </c>
      <c r="AA37" s="3" t="inlineStr"/>
      <c r="AB37" s="3" t="inlineStr"/>
      <c r="AC37" s="3" t="inlineStr"/>
      <c r="AD37" s="3" t="inlineStr">
        <is>
          <t>Verifiziert</t>
        </is>
      </c>
      <c r="AE37" s="3" t="inlineStr">
        <is>
          <t>200</t>
        </is>
      </c>
      <c r="AF37" s="3" t="inlineStr"/>
      <c r="AG37" s="3" t="inlineStr">
        <is>
          <t>HTML</t>
        </is>
      </c>
      <c r="AH37" s="3" t="inlineStr">
        <is>
          <t>Bestätigt</t>
        </is>
      </c>
      <c r="AI37" s="3" t="inlineStr">
        <is>
          <t>Titel via LexWork-API (https://bl.clex.ch/api/de/texts_of_law/420.11); Schlüsselwörter 1/1 gefunden (Beschaffung)</t>
        </is>
      </c>
      <c r="AJ37" s="3" t="inlineStr">
        <is>
          <t>Verordnung zum Einführungsgesetz zur Interkantonalen Vereinbarung über das öffentliche Beschaffungswesen</t>
        </is>
      </c>
      <c r="AK37" s="3" t="inlineStr">
        <is>
          <t>2026, 2023, 2024, 2022</t>
        </is>
      </c>
      <c r="AL37" s="3" t="inlineStr">
        <is>
          <t>Hoch (Erlassnummer)</t>
        </is>
      </c>
      <c r="AM37" s="3" t="inlineStr">
        <is>
          <t>2026-10-14 13:54</t>
        </is>
      </c>
      <c r="AN37" s="3" t="inlineStr">
        <is>
          <t>Öffentlich verfügbar und verifiziert</t>
        </is>
      </c>
      <c r="AO37" s="3" t="inlineStr"/>
      <c r="AP37" s="3" t="inlineStr">
        <is>
          <t>Belegt Existenz und Zugänglichkeit der Quelle; inhaltliche Aussagen erst nach Auswertung.</t>
        </is>
      </c>
      <c r="AQ37" s="3" t="inlineStr">
        <is>
          <t>Keine Einstufung: Kennzahlen/Befunde noch nicht ausgewertet; Schwellen der Bewertungslogik noch nicht validiert.</t>
        </is>
      </c>
      <c r="AR37" s="3" t="inlineStr">
        <is>
          <t>Nein</t>
        </is>
      </c>
      <c r="AS37" s="3" t="inlineStr">
        <is>
          <t>Kanton Basel-Landschaft</t>
        </is>
      </c>
      <c r="AT37" s="3" t="inlineStr">
        <is>
          <t>In Prüfung</t>
        </is>
      </c>
      <c r="AU37" s="3" t="inlineStr"/>
      <c r="AV37" s="3" t="inlineStr"/>
      <c r="AW37" s="3" t="inlineStr">
        <is>
          <t>2026-10-14: neu aufgenommen</t>
        </is>
      </c>
    </row>
    <row r="38" ht="43" customHeight="1">
      <c r="A38" s="2" t="inlineStr">
        <is>
          <t>BL-C5-01</t>
        </is>
      </c>
      <c r="B38" s="14" t="inlineStr">
        <is>
          <t>Kanton</t>
        </is>
      </c>
      <c r="C38" s="2" t="inlineStr">
        <is>
          <t>Schweiz</t>
        </is>
      </c>
      <c r="D38" s="2" t="inlineStr">
        <is>
          <t>Basel-Landschaft</t>
        </is>
      </c>
      <c r="E38" s="2" t="inlineStr">
        <is>
          <t>Alle</t>
        </is>
      </c>
      <c r="F38" s="2" t="inlineStr">
        <is>
          <t>C5</t>
        </is>
      </c>
      <c r="G38" s="2" t="inlineStr">
        <is>
          <t>Mitwirkung</t>
        </is>
      </c>
      <c r="H38" s="2" t="inlineStr">
        <is>
          <t>Gesetz über die politischen Rechte (GpR) Basel-Landschaft, SGS 120</t>
        </is>
      </c>
      <c r="I38" s="2" t="inlineStr">
        <is>
          <t>Kantonales Gesetz</t>
        </is>
      </c>
      <c r="J38" s="2" t="inlineStr">
        <is>
          <t>Offizielle Quelle recherchiert</t>
        </is>
      </c>
      <c r="K38" s="2" t="inlineStr">
        <is>
          <t>Kantonales Gesetz (verbindlich)</t>
        </is>
      </c>
      <c r="L38" s="2" t="inlineStr">
        <is>
          <t>Kanton Basel-Landschaft</t>
        </is>
      </c>
      <c r="M38" s="5" t="inlineStr">
        <is>
          <t>https://bl.clex.ch/app/de/texts_of_law/120</t>
        </is>
      </c>
      <c r="N38" s="2" t="inlineStr">
        <is>
          <t>vom 7.9.1981; geltende Fassung</t>
        </is>
      </c>
      <c r="O38" s="2" t="inlineStr">
        <is>
          <t>2026-10-14</t>
        </is>
      </c>
      <c r="P38" s="2" t="inlineStr">
        <is>
          <t>Rechtsrahmen von Gemeindeversammlung und Mitwirkung</t>
        </is>
      </c>
      <c r="Q38" s="2" t="inlineStr">
        <is>
          <t>Entscheidungswege</t>
        </is>
      </c>
      <c r="R38" s="2" t="inlineStr">
        <is>
          <t>Gemeindeordnung und Beschlüsse prüfen</t>
        </is>
      </c>
      <c r="S38" s="2" t="inlineStr">
        <is>
          <t>Qualitativ</t>
        </is>
      </c>
      <c r="T38" s="2" t="inlineStr">
        <is>
          <t>Noch nicht bewertet</t>
        </is>
      </c>
      <c r="U38" s="2" t="inlineStr">
        <is>
          <t>Mittel</t>
        </is>
      </c>
      <c r="V38" s="2" t="inlineStr">
        <is>
          <t>Geltende kantonale Detailgrundlage und Datenstand prüfen</t>
        </is>
      </c>
      <c r="W38" s="2" t="inlineStr">
        <is>
          <t>C3</t>
        </is>
      </c>
      <c r="X38" s="2" t="inlineStr">
        <is>
          <t>Politische Machbarkeit</t>
        </is>
      </c>
      <c r="Y38" s="2" t="inlineStr">
        <is>
          <t>Dokument auswerten; Aktualität und Geltung prüfen</t>
        </is>
      </c>
      <c r="Z38" s="2" t="inlineStr">
        <is>
          <t>URL nach dokumentiertem Schema der amtlichen Rechtssammlung gebildet; Identität per Runner geprüft</t>
        </is>
      </c>
      <c r="AA38" s="2" t="inlineStr"/>
      <c r="AB38" s="2" t="inlineStr"/>
      <c r="AC38" s="2" t="inlineStr"/>
      <c r="AD38" s="2" t="inlineStr">
        <is>
          <t>Verifiziert</t>
        </is>
      </c>
      <c r="AE38" s="2" t="inlineStr">
        <is>
          <t>200</t>
        </is>
      </c>
      <c r="AF38" s="2" t="inlineStr"/>
      <c r="AG38" s="2" t="inlineStr">
        <is>
          <t>HTML</t>
        </is>
      </c>
      <c r="AH38" s="2" t="inlineStr">
        <is>
          <t>Bestätigt</t>
        </is>
      </c>
      <c r="AI38" s="2" t="inlineStr">
        <is>
          <t>Titel via LexWork-API (https://bl.clex.ch/api/de/texts_of_law/120); Schlüsselwörter 1/1 gefunden (politischen Rechte)</t>
        </is>
      </c>
      <c r="AJ38" s="2" t="inlineStr">
        <is>
          <t>Gesetz über die politischen Rechte</t>
        </is>
      </c>
      <c r="AK38" s="2" t="inlineStr">
        <is>
          <t>2025, 2024, 2014, 2006</t>
        </is>
      </c>
      <c r="AL38" s="2" t="inlineStr">
        <is>
          <t>Hoch (Erlassnummer)</t>
        </is>
      </c>
      <c r="AM38" s="2" t="inlineStr">
        <is>
          <t>2026-10-14 13:53</t>
        </is>
      </c>
      <c r="AN38" s="2" t="inlineStr">
        <is>
          <t>Öffentlich verfügbar und verifiziert</t>
        </is>
      </c>
      <c r="AO38" s="2" t="inlineStr">
        <is>
          <t>vom 7.9.1981; geltende Fassung</t>
        </is>
      </c>
      <c r="AP38" s="2" t="inlineStr">
        <is>
          <t>Belegt Existenz und Zugänglichkeit der Quelle; inhaltliche Aussagen erst nach Auswertung.</t>
        </is>
      </c>
      <c r="AQ38" s="2" t="inlineStr">
        <is>
          <t>Keine Einstufung: Kennzahlen/Befunde noch nicht ausgewertet; Schwellen der Bewertungslogik noch nicht validiert.</t>
        </is>
      </c>
      <c r="AR38" s="2" t="inlineStr">
        <is>
          <t>Nein</t>
        </is>
      </c>
      <c r="AS38" s="2" t="inlineStr">
        <is>
          <t>Kanton Basel-Landschaft</t>
        </is>
      </c>
      <c r="AT38" s="2" t="inlineStr">
        <is>
          <t>In Prüfung</t>
        </is>
      </c>
      <c r="AU38" s="2" t="inlineStr"/>
      <c r="AV38" s="2" t="inlineStr"/>
      <c r="AW38" s="2" t="inlineStr">
        <is>
          <t>2026-10-14: Link ersetzt (vorher https://bl.clex.ch/). Grund: Startseite der Gesetzessammlung durch direkten Erlass ersetzt (GpR SGS 120).</t>
        </is>
      </c>
    </row>
    <row r="39" ht="43" customHeight="1">
      <c r="A39" s="3" t="inlineStr">
        <is>
          <t>SG-C1-01</t>
        </is>
      </c>
      <c r="B39" s="14" t="inlineStr">
        <is>
          <t>Kanton</t>
        </is>
      </c>
      <c r="C39" s="3" t="inlineStr">
        <is>
          <t>Schweiz</t>
        </is>
      </c>
      <c r="D39" s="3" t="inlineStr">
        <is>
          <t>St. Gallen</t>
        </is>
      </c>
      <c r="E39" s="3" t="inlineStr">
        <is>
          <t>Alle</t>
        </is>
      </c>
      <c r="F39" s="3" t="inlineStr">
        <is>
          <t>C1</t>
        </is>
      </c>
      <c r="G39" s="3" t="inlineStr">
        <is>
          <t>Gemeindefinanzen</t>
        </is>
      </c>
      <c r="H39" s="3" t="inlineStr">
        <is>
          <t>Kanton St. Gallen, Amt für Gemeinden: Rechnungslegung (RMSG) / Gemeindefinanzen</t>
        </is>
      </c>
      <c r="I39" s="3" t="inlineStr">
        <is>
          <t>Behördeninformation</t>
        </is>
      </c>
      <c r="J39" s="3" t="inlineStr">
        <is>
          <t>Offizielle Quelle recherchiert</t>
        </is>
      </c>
      <c r="K39" s="3" t="inlineStr">
        <is>
          <t>Orientierung / Datengrundlage</t>
        </is>
      </c>
      <c r="L39" s="3" t="inlineStr">
        <is>
          <t>Kanton St. Gallen, Amt für Gemeinden</t>
        </is>
      </c>
      <c r="M39" s="7" t="inlineStr">
        <is>
          <t>https://www.sg.ch/politik-verwaltung/gemeinden/gemeindefinanzen/rechnungslegung--rmsg-.html</t>
        </is>
      </c>
      <c r="N39" s="3" t="inlineStr">
        <is>
          <t>Zu prüfen</t>
        </is>
      </c>
      <c r="O39" s="3" t="inlineStr">
        <is>
          <t>2026-10-14</t>
        </is>
      </c>
      <c r="P39" s="3" t="inlineStr">
        <is>
          <t>Finanzdaten als kantonaler Einstieg</t>
        </is>
      </c>
      <c r="Q39" s="3" t="inlineStr">
        <is>
          <t>Selbstfinanzierung, Verschuldung</t>
        </is>
      </c>
      <c r="R39" s="3" t="inlineStr">
        <is>
          <t>SG- und Wil-Werte mit kantonaler Rechnungslegung abgleichen</t>
        </is>
      </c>
      <c r="S39" s="3" t="inlineStr">
        <is>
          <t>Kanton × Grössenklasse</t>
        </is>
      </c>
      <c r="T39" s="3" t="inlineStr">
        <is>
          <t>Noch nicht bewertet</t>
        </is>
      </c>
      <c r="U39" s="3" t="inlineStr">
        <is>
          <t>Mittel</t>
        </is>
      </c>
      <c r="V39" s="3" t="inlineStr">
        <is>
          <t>Geltende kantonale Detailgrundlage und Datenstand prüfen</t>
        </is>
      </c>
      <c r="W39" s="3" t="inlineStr">
        <is>
          <t>A1; C1</t>
        </is>
      </c>
      <c r="X39" s="3" t="inlineStr">
        <is>
          <t>Finanztragfähigkeit</t>
        </is>
      </c>
      <c r="Y39" s="3" t="inlineStr">
        <is>
          <t>Dokument auswerten; Aktualität und Geltung prüfen</t>
        </is>
      </c>
      <c r="Z39" s="3" t="inlineStr">
        <is>
          <t>Webrecherche 14.10.2026</t>
        </is>
      </c>
      <c r="AA39" s="3" t="inlineStr"/>
      <c r="AB39" s="3" t="inlineStr"/>
      <c r="AC39" s="3" t="inlineStr"/>
      <c r="AD39" s="3" t="inlineStr">
        <is>
          <t>Verifiziert</t>
        </is>
      </c>
      <c r="AE39" s="3" t="inlineStr">
        <is>
          <t>200</t>
        </is>
      </c>
      <c r="AF39" s="3" t="inlineStr"/>
      <c r="AG39" s="3" t="inlineStr">
        <is>
          <t>HTML</t>
        </is>
      </c>
      <c r="AH39" s="3" t="inlineStr">
        <is>
          <t>Bestätigt</t>
        </is>
      </c>
      <c r="AI39" s="3" t="inlineStr">
        <is>
          <t>Schlüsselwörter 1/1 gefunden (Rechnungslegung); Ort/Zuständigkeit: St. Gallen, St.Gallen</t>
        </is>
      </c>
      <c r="AJ39" s="3" t="inlineStr">
        <is>
          <t>Rechnungslegung (RMSG) | sg.ch | Rechnungslegung (RMSG)</t>
        </is>
      </c>
      <c r="AK39" s="3" t="inlineStr">
        <is>
          <t>2017, 2021, 2026, 2022, 2020, 2025</t>
        </is>
      </c>
      <c r="AL39" s="3" t="inlineStr">
        <is>
          <t>Mittel (Webseite)</t>
        </is>
      </c>
      <c r="AM39" s="3" t="inlineStr">
        <is>
          <t>2026-10-14 13:53</t>
        </is>
      </c>
      <c r="AN39" s="3" t="inlineStr">
        <is>
          <t>Öffentlich verfügbar und verifiziert</t>
        </is>
      </c>
      <c r="AO39" s="3" t="inlineStr">
        <is>
          <t>Zu prüfen</t>
        </is>
      </c>
      <c r="AP39" s="3" t="inlineStr">
        <is>
          <t>Belegt Existenz und Zugänglichkeit der Quelle; inhaltliche Aussagen erst nach Auswertung.</t>
        </is>
      </c>
      <c r="AQ39" s="3" t="inlineStr">
        <is>
          <t>Keine Einstufung: Kennzahlen/Befunde noch nicht ausgewertet; Schwellen der Bewertungslogik noch nicht validiert.</t>
        </is>
      </c>
      <c r="AR39" s="3" t="inlineStr">
        <is>
          <t>Nein</t>
        </is>
      </c>
      <c r="AS39" s="3" t="inlineStr">
        <is>
          <t>Kanton St. Gallen, Amt für Gemeinden</t>
        </is>
      </c>
      <c r="AT39" s="3" t="inlineStr">
        <is>
          <t>In Prüfung</t>
        </is>
      </c>
      <c r="AU39" s="3" t="inlineStr"/>
      <c r="AV39" s="3" t="inlineStr"/>
      <c r="AW39" s="3" t="inlineStr">
        <is>
          <t>2026-10-14: Link ersetzt (vorher https://www.efv.admin.ch/de/finanzstatistik-daten). Grund: Herausgeber «Kanton St. Gallen» passte nicht zum EFV-Bundeslink (Dublette zu CH-C1-01); durch kantonale Fundstelle ersetzt.</t>
        </is>
      </c>
    </row>
    <row r="40" ht="43" customHeight="1">
      <c r="A40" s="2" t="inlineStr">
        <is>
          <t>SG-C1-02</t>
        </is>
      </c>
      <c r="B40" s="14" t="inlineStr">
        <is>
          <t>Kanton</t>
        </is>
      </c>
      <c r="C40" s="2" t="inlineStr">
        <is>
          <t>Schweiz</t>
        </is>
      </c>
      <c r="D40" s="2" t="inlineStr">
        <is>
          <t>St. Gallen</t>
        </is>
      </c>
      <c r="E40" s="2" t="inlineStr">
        <is>
          <t>Alle</t>
        </is>
      </c>
      <c r="F40" s="2" t="inlineStr">
        <is>
          <t>C1</t>
        </is>
      </c>
      <c r="G40" s="2" t="inlineStr">
        <is>
          <t>Finanzausgleich</t>
        </is>
      </c>
      <c r="H40" s="2" t="inlineStr">
        <is>
          <t>Finanzausgleichsgesetz St. Gallen, sGS 813.1</t>
        </is>
      </c>
      <c r="I40" s="2" t="inlineStr">
        <is>
          <t>Kantonales Gesetz</t>
        </is>
      </c>
      <c r="J40" s="2" t="inlineStr">
        <is>
          <t>Direktes Dokument</t>
        </is>
      </c>
      <c r="K40" s="2" t="inlineStr">
        <is>
          <t>Kantonales Recht (verbindlich)</t>
        </is>
      </c>
      <c r="L40" s="2" t="inlineStr">
        <is>
          <t>Kanton St. Gallen</t>
        </is>
      </c>
      <c r="M40" s="5" t="inlineStr">
        <is>
          <t>https://www.gesetzessammlung.sg.ch/app/de/texts_of_law/813.1</t>
        </is>
      </c>
      <c r="N40" s="2" t="inlineStr"/>
      <c r="O40" s="2" t="inlineStr">
        <is>
          <t>2026-10-14</t>
        </is>
      </c>
      <c r="P40" s="2" t="inlineStr"/>
      <c r="Q40" s="2" t="inlineStr"/>
      <c r="R40" s="2" t="inlineStr"/>
      <c r="S40" s="2" t="inlineStr">
        <is>
          <t>Kanton × Grössenklasse</t>
        </is>
      </c>
      <c r="T40" s="2" t="inlineStr">
        <is>
          <t>Noch nicht bewertet</t>
        </is>
      </c>
      <c r="U40" s="2" t="inlineStr">
        <is>
          <t>Hoch</t>
        </is>
      </c>
      <c r="V40" s="2" t="inlineStr"/>
      <c r="W40" s="2" t="inlineStr"/>
      <c r="X40" s="2" t="inlineStr"/>
      <c r="Y40" s="2" t="inlineStr">
        <is>
          <t>Dokument auswerten; Aktualität und Geltung prüfen</t>
        </is>
      </c>
      <c r="Z40" s="2" t="inlineStr">
        <is>
          <t>URL nach dokumentiertem Schema der amtlichen Rechtssammlung gebildet; Identität per Runner geprüft</t>
        </is>
      </c>
      <c r="AA40" s="2" t="inlineStr"/>
      <c r="AB40" s="2" t="inlineStr"/>
      <c r="AC40" s="2" t="inlineStr"/>
      <c r="AD40" s="2" t="inlineStr">
        <is>
          <t>Verifiziert</t>
        </is>
      </c>
      <c r="AE40" s="2" t="inlineStr">
        <is>
          <t>200</t>
        </is>
      </c>
      <c r="AF40" s="2" t="inlineStr"/>
      <c r="AG40" s="2" t="inlineStr">
        <is>
          <t>HTML</t>
        </is>
      </c>
      <c r="AH40" s="2" t="inlineStr">
        <is>
          <t>Bestätigt</t>
        </is>
      </c>
      <c r="AI40" s="2" t="inlineStr">
        <is>
          <t>Titel via LexWork-API (https://www.gesetzessammlung.sg.ch/api/de/texts_of_law/813.1); Schlüsselwörter 1/1 gefunden (Finanzausgleich)</t>
        </is>
      </c>
      <c r="AJ40" s="2" t="inlineStr">
        <is>
          <t>Finanzausgleichsgesetz</t>
        </is>
      </c>
      <c r="AK40" s="2" t="inlineStr">
        <is>
          <t>2021, 2007, 2008, 2006, 2001</t>
        </is>
      </c>
      <c r="AL40" s="2" t="inlineStr">
        <is>
          <t>Hoch (Erlassnummer)</t>
        </is>
      </c>
      <c r="AM40" s="2" t="inlineStr">
        <is>
          <t>2026-10-14 13:56</t>
        </is>
      </c>
      <c r="AN40" s="2" t="inlineStr">
        <is>
          <t>Öffentlich verfügbar und verifiziert</t>
        </is>
      </c>
      <c r="AO40" s="2" t="inlineStr"/>
      <c r="AP40" s="2" t="inlineStr">
        <is>
          <t>Belegt Existenz und Zugänglichkeit der Quelle; inhaltliche Aussagen erst nach Auswertung.</t>
        </is>
      </c>
      <c r="AQ40" s="2" t="inlineStr">
        <is>
          <t>Keine Einstufung: Kennzahlen/Befunde noch nicht ausgewertet; Schwellen der Bewertungslogik noch nicht validiert.</t>
        </is>
      </c>
      <c r="AR40" s="2" t="inlineStr">
        <is>
          <t>Nein</t>
        </is>
      </c>
      <c r="AS40" s="2" t="inlineStr">
        <is>
          <t>Kanton St. Gallen</t>
        </is>
      </c>
      <c r="AT40" s="2" t="inlineStr">
        <is>
          <t>In Prüfung</t>
        </is>
      </c>
      <c r="AU40" s="2" t="inlineStr"/>
      <c r="AV40" s="2" t="inlineStr"/>
      <c r="AW40" s="2" t="inlineStr">
        <is>
          <t>2026-10-14: neu aufgenommen</t>
        </is>
      </c>
    </row>
    <row r="41" ht="43" customHeight="1">
      <c r="A41" s="3" t="inlineStr">
        <is>
          <t>SG-C1-03</t>
        </is>
      </c>
      <c r="B41" s="14" t="inlineStr">
        <is>
          <t>Kanton</t>
        </is>
      </c>
      <c r="C41" s="3" t="inlineStr">
        <is>
          <t>Schweiz</t>
        </is>
      </c>
      <c r="D41" s="3" t="inlineStr">
        <is>
          <t>St. Gallen</t>
        </is>
      </c>
      <c r="E41" s="3" t="inlineStr">
        <is>
          <t>Alle</t>
        </is>
      </c>
      <c r="F41" s="3" t="inlineStr">
        <is>
          <t>C1</t>
        </is>
      </c>
      <c r="G41" s="3" t="inlineStr">
        <is>
          <t>Rechnungslegung Gemeinden</t>
        </is>
      </c>
      <c r="H41" s="3" t="inlineStr">
        <is>
          <t>Verordnung über den Finanzhaushalt der Gemeinden (FHGV) St. Gallen, sGS 151.53</t>
        </is>
      </c>
      <c r="I41" s="3" t="inlineStr">
        <is>
          <t>Kantonale Verordnung</t>
        </is>
      </c>
      <c r="J41" s="3" t="inlineStr">
        <is>
          <t>Direktes Dokument</t>
        </is>
      </c>
      <c r="K41" s="3" t="inlineStr">
        <is>
          <t>Kantonales Recht (verbindlich)</t>
        </is>
      </c>
      <c r="L41" s="3" t="inlineStr">
        <is>
          <t>Kanton St. Gallen</t>
        </is>
      </c>
      <c r="M41" s="7" t="inlineStr">
        <is>
          <t>https://www.gesetzessammlung.sg.ch/app/de/texts_of_law/151.53</t>
        </is>
      </c>
      <c r="N41" s="3" t="inlineStr"/>
      <c r="O41" s="3" t="inlineStr">
        <is>
          <t>2026-10-14</t>
        </is>
      </c>
      <c r="P41" s="3" t="inlineStr"/>
      <c r="Q41" s="3" t="inlineStr"/>
      <c r="R41" s="3" t="inlineStr"/>
      <c r="S41" s="3" t="inlineStr">
        <is>
          <t>Kanton × Grössenklasse</t>
        </is>
      </c>
      <c r="T41" s="3" t="inlineStr">
        <is>
          <t>Noch nicht bewertet</t>
        </is>
      </c>
      <c r="U41" s="3" t="inlineStr">
        <is>
          <t>Hoch</t>
        </is>
      </c>
      <c r="V41" s="3" t="inlineStr"/>
      <c r="W41" s="3" t="inlineStr"/>
      <c r="X41" s="3" t="inlineStr"/>
      <c r="Y41" s="3" t="inlineStr">
        <is>
          <t>Dokument auswerten; Aktualität und Geltung prüfen</t>
        </is>
      </c>
      <c r="Z41" s="3" t="inlineStr">
        <is>
          <t>URL nach dokumentiertem Schema der amtlichen Rechtssammlung gebildet; Identität per Runner geprüft</t>
        </is>
      </c>
      <c r="AA41" s="3" t="inlineStr"/>
      <c r="AB41" s="3" t="inlineStr"/>
      <c r="AC41" s="3" t="inlineStr"/>
      <c r="AD41" s="3" t="inlineStr">
        <is>
          <t>Verifiziert</t>
        </is>
      </c>
      <c r="AE41" s="3" t="inlineStr">
        <is>
          <t>200</t>
        </is>
      </c>
      <c r="AF41" s="3" t="inlineStr"/>
      <c r="AG41" s="3" t="inlineStr">
        <is>
          <t>HTML</t>
        </is>
      </c>
      <c r="AH41" s="3" t="inlineStr">
        <is>
          <t>Bestätigt</t>
        </is>
      </c>
      <c r="AI41" s="3" t="inlineStr">
        <is>
          <t>Titel via LexWork-API (https://www.gesetzessammlung.sg.ch/api/de/texts_of_law/151.53); Schlüsselwörter 1/1 gefunden (Finanzhaushalt)</t>
        </is>
      </c>
      <c r="AJ41" s="3" t="inlineStr">
        <is>
          <t>Verordnung über den Finanzhaushalt der Gemeinden</t>
        </is>
      </c>
      <c r="AK41" s="3" t="inlineStr">
        <is>
          <t>2019, 2017, 2009</t>
        </is>
      </c>
      <c r="AL41" s="3" t="inlineStr">
        <is>
          <t>Hoch (Erlassnummer)</t>
        </is>
      </c>
      <c r="AM41" s="3" t="inlineStr">
        <is>
          <t>2026-10-14 13:56</t>
        </is>
      </c>
      <c r="AN41" s="3" t="inlineStr">
        <is>
          <t>Öffentlich verfügbar und verifiziert</t>
        </is>
      </c>
      <c r="AO41" s="3" t="inlineStr"/>
      <c r="AP41" s="3" t="inlineStr">
        <is>
          <t>Belegt Existenz und Zugänglichkeit der Quelle; inhaltliche Aussagen erst nach Auswertung.</t>
        </is>
      </c>
      <c r="AQ41" s="3" t="inlineStr">
        <is>
          <t>Keine Einstufung: Kennzahlen/Befunde noch nicht ausgewertet; Schwellen der Bewertungslogik noch nicht validiert.</t>
        </is>
      </c>
      <c r="AR41" s="3" t="inlineStr">
        <is>
          <t>Nein</t>
        </is>
      </c>
      <c r="AS41" s="3" t="inlineStr">
        <is>
          <t>Kanton St. Gallen</t>
        </is>
      </c>
      <c r="AT41" s="3" t="inlineStr">
        <is>
          <t>In Prüfung</t>
        </is>
      </c>
      <c r="AU41" s="3" t="inlineStr"/>
      <c r="AV41" s="3" t="inlineStr"/>
      <c r="AW41" s="3" t="inlineStr">
        <is>
          <t>2026-10-14: neu aufgenommen</t>
        </is>
      </c>
    </row>
    <row r="42" ht="43" customHeight="1">
      <c r="A42" s="2" t="inlineStr">
        <is>
          <t>SG-C2-01</t>
        </is>
      </c>
      <c r="B42" s="14" t="inlineStr">
        <is>
          <t>Kanton</t>
        </is>
      </c>
      <c r="C42" s="2" t="inlineStr">
        <is>
          <t>Schweiz</t>
        </is>
      </c>
      <c r="D42" s="2" t="inlineStr">
        <is>
          <t>St. Gallen</t>
        </is>
      </c>
      <c r="E42" s="2" t="inlineStr">
        <is>
          <t>Alle</t>
        </is>
      </c>
      <c r="F42" s="2" t="inlineStr">
        <is>
          <t>C2</t>
        </is>
      </c>
      <c r="G42" s="2" t="inlineStr">
        <is>
          <t>Geodaten</t>
        </is>
      </c>
      <c r="H42" s="2" t="inlineStr">
        <is>
          <t>Geoportal Kanton St. Gallen / geoportal.ch</t>
        </is>
      </c>
      <c r="I42" s="2" t="inlineStr">
        <is>
          <t>Geodatenportal</t>
        </is>
      </c>
      <c r="J42" s="2" t="inlineStr">
        <is>
          <t>Offizielle Quelle recherchiert</t>
        </is>
      </c>
      <c r="K42" s="2" t="inlineStr">
        <is>
          <t>Orientierung / Datengrundlage</t>
        </is>
      </c>
      <c r="L42" s="2" t="inlineStr">
        <is>
          <t>Kanton St. Gallen</t>
        </is>
      </c>
      <c r="M42" s="5" t="inlineStr">
        <is>
          <t>https://www.geoportal.ch/</t>
        </is>
      </c>
      <c r="N42" s="2" t="inlineStr">
        <is>
          <t>Zu prüfen</t>
        </is>
      </c>
      <c r="O42" s="2" t="inlineStr">
        <is>
          <t>2026-10-14</t>
        </is>
      </c>
      <c r="P42" s="2" t="inlineStr">
        <is>
          <t>Parzellen und Nutzungsplanung; Eigentum gesondert nachweisen</t>
        </is>
      </c>
      <c r="Q42" s="2" t="inlineStr">
        <is>
          <t>Parzellen / ÖBA</t>
        </is>
      </c>
      <c r="R42" s="2" t="inlineStr">
        <is>
          <t>Luucy-Layer verwenden</t>
        </is>
      </c>
      <c r="S42" s="2" t="inlineStr">
        <is>
          <t>Kein Peer</t>
        </is>
      </c>
      <c r="T42" s="2" t="inlineStr">
        <is>
          <t>Noch nicht bewertet</t>
        </is>
      </c>
      <c r="U42" s="2" t="inlineStr">
        <is>
          <t>Mittel</t>
        </is>
      </c>
      <c r="V42" s="2" t="inlineStr">
        <is>
          <t>Geltende kantonale Detailgrundlage und Datenstand prüfen</t>
        </is>
      </c>
      <c r="W42" s="2" t="inlineStr">
        <is>
          <t>B; Q1</t>
        </is>
      </c>
      <c r="X42" s="2" t="inlineStr">
        <is>
          <t>Bodenpotenzial</t>
        </is>
      </c>
      <c r="Y42" s="2" t="inlineStr">
        <is>
          <t>Dokument auswerten; Aktualität und Geltung prüfen</t>
        </is>
      </c>
      <c r="Z42" s="2" t="inlineStr">
        <is>
          <t>Webrecherche 14.10.2026</t>
        </is>
      </c>
      <c r="AA42" s="2" t="inlineStr"/>
      <c r="AB42" s="2" t="inlineStr"/>
      <c r="AC42" s="2" t="inlineStr"/>
      <c r="AD42" s="2" t="inlineStr">
        <is>
          <t>Verifiziert</t>
        </is>
      </c>
      <c r="AE42" s="2" t="inlineStr">
        <is>
          <t>200</t>
        </is>
      </c>
      <c r="AF42" s="2" t="inlineStr"/>
      <c r="AG42" s="2" t="inlineStr">
        <is>
          <t>HTML</t>
        </is>
      </c>
      <c r="AH42" s="2" t="inlineStr">
        <is>
          <t>Bestätigt</t>
        </is>
      </c>
      <c r="AI42" s="2" t="inlineStr">
        <is>
          <t>Schlüsselwörter 1/1 gefunden (geoportal)</t>
        </is>
      </c>
      <c r="AJ42" s="2" t="inlineStr">
        <is>
          <t>Geoportal</t>
        </is>
      </c>
      <c r="AK42" s="2" t="inlineStr"/>
      <c r="AL42" s="2" t="inlineStr">
        <is>
          <t>Mittel (Startseite, kein Dokument)</t>
        </is>
      </c>
      <c r="AM42" s="2" t="inlineStr">
        <is>
          <t>2026-10-14 13:53</t>
        </is>
      </c>
      <c r="AN42" s="2" t="inlineStr">
        <is>
          <t>Öffentlich verfügbar und verifiziert</t>
        </is>
      </c>
      <c r="AO42" s="2" t="inlineStr">
        <is>
          <t>Zu prüfen</t>
        </is>
      </c>
      <c r="AP42" s="2" t="inlineStr">
        <is>
          <t>Belegt Existenz und Zugänglichkeit der Quelle; inhaltliche Aussagen erst nach Auswertung.</t>
        </is>
      </c>
      <c r="AQ42" s="2" t="inlineStr">
        <is>
          <t>Keine Einstufung: Kennzahlen/Befunde noch nicht ausgewertet; Schwellen der Bewertungslogik noch nicht validiert.</t>
        </is>
      </c>
      <c r="AR42" s="2" t="inlineStr">
        <is>
          <t>Nein</t>
        </is>
      </c>
      <c r="AS42" s="2" t="inlineStr">
        <is>
          <t>Kanton St. Gallen</t>
        </is>
      </c>
      <c r="AT42" s="2" t="inlineStr">
        <is>
          <t>In Prüfung</t>
        </is>
      </c>
      <c r="AU42" s="2" t="inlineStr">
        <is>
          <t>Kartenportal (JavaScript); kein Eigentumsnachweis.</t>
        </is>
      </c>
      <c r="AV42" s="2" t="inlineStr"/>
      <c r="AW42" s="2" t="inlineStr"/>
    </row>
    <row r="43" ht="43" customHeight="1">
      <c r="A43" s="3" t="inlineStr">
        <is>
          <t>SG-C2-02</t>
        </is>
      </c>
      <c r="B43" s="14" t="inlineStr">
        <is>
          <t>Kanton</t>
        </is>
      </c>
      <c r="C43" s="3" t="inlineStr">
        <is>
          <t>Schweiz</t>
        </is>
      </c>
      <c r="D43" s="3" t="inlineStr">
        <is>
          <t>St. Gallen</t>
        </is>
      </c>
      <c r="E43" s="3" t="inlineStr">
        <is>
          <t>Alle</t>
        </is>
      </c>
      <c r="F43" s="3" t="inlineStr">
        <is>
          <t>C2</t>
        </is>
      </c>
      <c r="G43" s="3" t="inlineStr">
        <is>
          <t>Arealentwicklung</t>
        </is>
      </c>
      <c r="H43" s="3" t="inlineStr">
        <is>
          <t>WILWEST: Grundstücksgeschäft Kanton St. Gallen (Verkauf an Kanton Thurgau) – Kantonsratsvorlage</t>
        </is>
      </c>
      <c r="I43" s="3" t="inlineStr">
        <is>
          <t>Botschaft / Beschluss</t>
        </is>
      </c>
      <c r="J43" s="3" t="inlineStr">
        <is>
          <t>Direktes Dokument</t>
        </is>
      </c>
      <c r="K43" s="3" t="inlineStr">
        <is>
          <t>Beschluss (Volksabstimmung 2026)</t>
        </is>
      </c>
      <c r="L43" s="3" t="inlineStr">
        <is>
          <t>Kanton St. Gallen</t>
        </is>
      </c>
      <c r="M43" s="7" t="inlineStr">
        <is>
          <t>https://www.ratsinfo.sg.ch//media/documents/published/signed/8b158b37-2fff-4d5d-b018-ef035f08732e.pdf</t>
        </is>
      </c>
      <c r="N43" s="3" t="inlineStr"/>
      <c r="O43" s="3" t="inlineStr">
        <is>
          <t>2026-10-14</t>
        </is>
      </c>
      <c r="P43" s="3" t="inlineStr">
        <is>
          <t>Kantonales Grundeigentum im Entwicklungsgebiet WILWEST (nicht städtisches Eigentum)</t>
        </is>
      </c>
      <c r="Q43" s="3" t="inlineStr"/>
      <c r="R43" s="3" t="inlineStr"/>
      <c r="S43" s="3" t="inlineStr">
        <is>
          <t>Kein Peer-Vergleich</t>
        </is>
      </c>
      <c r="T43" s="3" t="inlineStr">
        <is>
          <t>Noch nicht bewertet</t>
        </is>
      </c>
      <c r="U43" s="3" t="inlineStr">
        <is>
          <t>Mittel</t>
        </is>
      </c>
      <c r="V43" s="3" t="inlineStr"/>
      <c r="W43" s="3" t="inlineStr">
        <is>
          <t>B</t>
        </is>
      </c>
      <c r="X43" s="3" t="inlineStr"/>
      <c r="Y43" s="3" t="inlineStr">
        <is>
          <t>Dokument auswerten; Aktualität und Geltung prüfen</t>
        </is>
      </c>
      <c r="Z43" s="3" t="inlineStr">
        <is>
          <t>Websuche 14.10.2026 (URL im Suchergebnis gefunden)</t>
        </is>
      </c>
      <c r="AA43" s="3" t="inlineStr"/>
      <c r="AB43" s="3" t="inlineStr"/>
      <c r="AC43" s="3" t="inlineStr"/>
      <c r="AD43" s="3" t="inlineStr">
        <is>
          <t>Verifiziert</t>
        </is>
      </c>
      <c r="AE43" s="3" t="inlineStr">
        <is>
          <t>200</t>
        </is>
      </c>
      <c r="AF43" s="3" t="inlineStr"/>
      <c r="AG43" s="3" t="inlineStr">
        <is>
          <t>PDF</t>
        </is>
      </c>
      <c r="AH43" s="3" t="inlineStr">
        <is>
          <t>Bestätigt</t>
        </is>
      </c>
      <c r="AI43" s="3" t="inlineStr">
        <is>
          <t>Schlüsselwörter 1/1 gefunden (WILWEST); Ort/Zuständigkeit: Wil</t>
        </is>
      </c>
      <c r="AJ43" s="3" t="inlineStr">
        <is>
          <t>Kantonsrat St.Gallen 51.26.15</t>
        </is>
      </c>
      <c r="AK43" s="3" t="inlineStr">
        <is>
          <t>2026, 2022, 2023, 2025, 2011, 2021</t>
        </is>
      </c>
      <c r="AL43" s="3" t="inlineStr">
        <is>
          <t>Mittel (CMS-Dokumentlink)</t>
        </is>
      </c>
      <c r="AM43" s="3" t="inlineStr">
        <is>
          <t>2026-10-14 13:55</t>
        </is>
      </c>
      <c r="AN43" s="3" t="inlineStr">
        <is>
          <t>Öffentlich verfügbar und verifiziert</t>
        </is>
      </c>
      <c r="AO43" s="3" t="inlineStr"/>
      <c r="AP43" s="3" t="inlineStr">
        <is>
          <t>Belegt Existenz und Zugänglichkeit der Quelle; inhaltliche Aussagen erst nach Auswertung.</t>
        </is>
      </c>
      <c r="AQ43" s="3" t="inlineStr">
        <is>
          <t>Keine Einstufung: Kennzahlen/Befunde noch nicht ausgewertet; Schwellen der Bewertungslogik noch nicht validiert.</t>
        </is>
      </c>
      <c r="AR43" s="3" t="inlineStr">
        <is>
          <t>Nein</t>
        </is>
      </c>
      <c r="AS43" s="3" t="inlineStr">
        <is>
          <t>Kanton St. Gallen</t>
        </is>
      </c>
      <c r="AT43" s="3" t="inlineStr">
        <is>
          <t>In Prüfung</t>
        </is>
      </c>
      <c r="AU43" s="3" t="inlineStr"/>
      <c r="AV43" s="3" t="inlineStr"/>
      <c r="AW43" s="3" t="inlineStr">
        <is>
          <t>2026-10-14: neu aufgenommen</t>
        </is>
      </c>
    </row>
    <row r="44" ht="43" customHeight="1">
      <c r="A44" s="2" t="inlineStr">
        <is>
          <t>SG-C2-03</t>
        </is>
      </c>
      <c r="B44" s="14" t="inlineStr">
        <is>
          <t>Kanton</t>
        </is>
      </c>
      <c r="C44" s="2" t="inlineStr">
        <is>
          <t>Schweiz</t>
        </is>
      </c>
      <c r="D44" s="2" t="inlineStr">
        <is>
          <t>St. Gallen</t>
        </is>
      </c>
      <c r="E44" s="2" t="inlineStr">
        <is>
          <t>Alle</t>
        </is>
      </c>
      <c r="F44" s="2" t="inlineStr">
        <is>
          <t>C2</t>
        </is>
      </c>
      <c r="G44" s="2" t="inlineStr">
        <is>
          <t>Raumplanung / Baulandmobilisierung</t>
        </is>
      </c>
      <c r="H44" s="2" t="inlineStr">
        <is>
          <t>Planungs- und Baugesetz (PBG) St. Gallen, sGS 731.1</t>
        </is>
      </c>
      <c r="I44" s="2" t="inlineStr">
        <is>
          <t>Kantonales Gesetz</t>
        </is>
      </c>
      <c r="J44" s="2" t="inlineStr">
        <is>
          <t>Direktes Dokument</t>
        </is>
      </c>
      <c r="K44" s="2" t="inlineStr">
        <is>
          <t>Kantonales Recht (verbindlich)</t>
        </is>
      </c>
      <c r="L44" s="2" t="inlineStr">
        <is>
          <t>Kanton St. Gallen</t>
        </is>
      </c>
      <c r="M44" s="5" t="inlineStr">
        <is>
          <t>https://www.gesetzessammlung.sg.ch/app/de/texts_of_law/731.1</t>
        </is>
      </c>
      <c r="N44" s="2" t="inlineStr"/>
      <c r="O44" s="2" t="inlineStr">
        <is>
          <t>2026-10-14</t>
        </is>
      </c>
      <c r="P44" s="2" t="inlineStr">
        <is>
          <t>Ortsplanungsrevision bis 2027, Bauverpflichtung, Mehrwertabgabe</t>
        </is>
      </c>
      <c r="Q44" s="2" t="inlineStr"/>
      <c r="R44" s="2" t="inlineStr"/>
      <c r="S44" s="2" t="inlineStr">
        <is>
          <t>Kein Peer-Vergleich</t>
        </is>
      </c>
      <c r="T44" s="2" t="inlineStr">
        <is>
          <t>Noch nicht bewertet</t>
        </is>
      </c>
      <c r="U44" s="2" t="inlineStr">
        <is>
          <t>Hoch</t>
        </is>
      </c>
      <c r="V44" s="2" t="inlineStr"/>
      <c r="W44" s="2" t="inlineStr">
        <is>
          <t>B; Q1</t>
        </is>
      </c>
      <c r="X44" s="2" t="inlineStr"/>
      <c r="Y44" s="2" t="inlineStr">
        <is>
          <t>Dokument auswerten; Aktualität und Geltung prüfen</t>
        </is>
      </c>
      <c r="Z44" s="2" t="inlineStr">
        <is>
          <t>URL nach dokumentiertem Schema der amtlichen Rechtssammlung gebildet; Identität per Runner geprüft</t>
        </is>
      </c>
      <c r="AA44" s="2" t="inlineStr"/>
      <c r="AB44" s="2" t="inlineStr"/>
      <c r="AC44" s="2" t="inlineStr"/>
      <c r="AD44" s="2" t="inlineStr">
        <is>
          <t>Verifiziert</t>
        </is>
      </c>
      <c r="AE44" s="2" t="inlineStr">
        <is>
          <t>200</t>
        </is>
      </c>
      <c r="AF44" s="2" t="inlineStr"/>
      <c r="AG44" s="2" t="inlineStr">
        <is>
          <t>HTML</t>
        </is>
      </c>
      <c r="AH44" s="2" t="inlineStr">
        <is>
          <t>Bestätigt</t>
        </is>
      </c>
      <c r="AI44" s="2" t="inlineStr">
        <is>
          <t>Titel via LexWork-API (https://www.gesetzessammlung.sg.ch/api/de/texts_of_law/731.1); Schlüsselwörter 1/1 gefunden (Planungs)</t>
        </is>
      </c>
      <c r="AJ44" s="2" t="inlineStr">
        <is>
          <t>Planungs- und Baugesetz</t>
        </is>
      </c>
      <c r="AK44" s="2" t="inlineStr">
        <is>
          <t>2026, 2016, 2017, 2027, 2015</t>
        </is>
      </c>
      <c r="AL44" s="2" t="inlineStr">
        <is>
          <t>Hoch (Erlassnummer)</t>
        </is>
      </c>
      <c r="AM44" s="2" t="inlineStr">
        <is>
          <t>2026-10-14 13:55</t>
        </is>
      </c>
      <c r="AN44" s="2" t="inlineStr">
        <is>
          <t>Öffentlich verfügbar und verifiziert</t>
        </is>
      </c>
      <c r="AO44" s="2" t="inlineStr"/>
      <c r="AP44" s="2" t="inlineStr">
        <is>
          <t>Belegt Existenz und Zugänglichkeit der Quelle; inhaltliche Aussagen erst nach Auswertung.</t>
        </is>
      </c>
      <c r="AQ44" s="2" t="inlineStr">
        <is>
          <t>Keine Einstufung: Kennzahlen/Befunde noch nicht ausgewertet; Schwellen der Bewertungslogik noch nicht validiert.</t>
        </is>
      </c>
      <c r="AR44" s="2" t="inlineStr">
        <is>
          <t>Nein</t>
        </is>
      </c>
      <c r="AS44" s="2" t="inlineStr">
        <is>
          <t>Kanton St. Gallen</t>
        </is>
      </c>
      <c r="AT44" s="2" t="inlineStr">
        <is>
          <t>In Prüfung</t>
        </is>
      </c>
      <c r="AU44" s="2" t="inlineStr"/>
      <c r="AV44" s="2" t="inlineStr"/>
      <c r="AW44" s="2" t="inlineStr">
        <is>
          <t>2026-10-14: neu aufgenommen</t>
        </is>
      </c>
    </row>
    <row r="45" ht="43" customHeight="1">
      <c r="A45" s="3" t="inlineStr">
        <is>
          <t>SG-C3-01</t>
        </is>
      </c>
      <c r="B45" s="14" t="inlineStr">
        <is>
          <t>Kanton</t>
        </is>
      </c>
      <c r="C45" s="3" t="inlineStr">
        <is>
          <t>Schweiz</t>
        </is>
      </c>
      <c r="D45" s="3" t="inlineStr">
        <is>
          <t>St. Gallen</t>
        </is>
      </c>
      <c r="E45" s="3" t="inlineStr">
        <is>
          <t>Alle</t>
        </is>
      </c>
      <c r="F45" s="3" t="inlineStr">
        <is>
          <t>C3</t>
        </is>
      </c>
      <c r="G45" s="3" t="inlineStr">
        <is>
          <t>Gemeinderecht</t>
        </is>
      </c>
      <c r="H45" s="3" t="inlineStr">
        <is>
          <t>Gemeindegesetz (GG) St. Gallen, sGS 151.2</t>
        </is>
      </c>
      <c r="I45" s="3" t="inlineStr">
        <is>
          <t>Kantonales Gesetz</t>
        </is>
      </c>
      <c r="J45" s="3" t="inlineStr">
        <is>
          <t>Offizielle Quelle recherchiert</t>
        </is>
      </c>
      <c r="K45" s="3" t="inlineStr">
        <is>
          <t>Kantonales Gesetz (verbindlich)</t>
        </is>
      </c>
      <c r="L45" s="3" t="inlineStr">
        <is>
          <t>Kanton St. Gallen</t>
        </is>
      </c>
      <c r="M45" s="7" t="inlineStr">
        <is>
          <t>https://www.gesetzessammlung.sg.ch/app/de/texts_of_law/151.2</t>
        </is>
      </c>
      <c r="N45" s="3" t="inlineStr">
        <is>
          <t>vom 21.4.2009; geltende Fassung</t>
        </is>
      </c>
      <c r="O45" s="3" t="inlineStr">
        <is>
          <t>2026-10-14</t>
        </is>
      </c>
      <c r="P45" s="3" t="inlineStr">
        <is>
          <t>Gemeinderecht und öffentlich-rechtliche Kooperation</t>
        </is>
      </c>
      <c r="Q45" s="3" t="inlineStr">
        <is>
          <t>Zuständigkeiten / Trägerschaften</t>
        </is>
      </c>
      <c r="R45" s="3" t="inlineStr">
        <is>
          <t>Geltende Erlasse ermitteln</t>
        </is>
      </c>
      <c r="S45" s="3" t="inlineStr">
        <is>
          <t>Qualitativ</t>
        </is>
      </c>
      <c r="T45" s="3" t="inlineStr">
        <is>
          <t>Noch nicht bewertet</t>
        </is>
      </c>
      <c r="U45" s="3" t="inlineStr">
        <is>
          <t>Mittel</t>
        </is>
      </c>
      <c r="V45" s="3" t="inlineStr">
        <is>
          <t>Geltende kantonale Detailgrundlage und Datenstand prüfen</t>
        </is>
      </c>
      <c r="W45" s="3" t="inlineStr">
        <is>
          <t>C5; Q6</t>
        </is>
      </c>
      <c r="X45" s="3" t="inlineStr">
        <is>
          <t>Governance</t>
        </is>
      </c>
      <c r="Y45" s="3" t="inlineStr">
        <is>
          <t>Dokument auswerten; Aktualität und Geltung prüfen</t>
        </is>
      </c>
      <c r="Z45" s="3" t="inlineStr">
        <is>
          <t>URL nach dokumentiertem Schema der amtlichen Rechtssammlung gebildet; Identität per Runner geprüft</t>
        </is>
      </c>
      <c r="AA45" s="3" t="inlineStr">
        <is>
          <t>C1</t>
        </is>
      </c>
      <c r="AB45" s="3" t="inlineStr"/>
      <c r="AC45" s="3" t="inlineStr"/>
      <c r="AD45" s="3" t="inlineStr">
        <is>
          <t>Verifiziert</t>
        </is>
      </c>
      <c r="AE45" s="3" t="inlineStr">
        <is>
          <t>200</t>
        </is>
      </c>
      <c r="AF45" s="3" t="inlineStr"/>
      <c r="AG45" s="3" t="inlineStr">
        <is>
          <t>HTML</t>
        </is>
      </c>
      <c r="AH45" s="3" t="inlineStr">
        <is>
          <t>Bestätigt</t>
        </is>
      </c>
      <c r="AI45" s="3" t="inlineStr">
        <is>
          <t>Titel via LexWork-API (https://www.gesetzessammlung.sg.ch/api/de/texts_of_law/151.2); Schlüsselwörter 1/1 gefunden (Gemeindegesetz)</t>
        </is>
      </c>
      <c r="AJ45" s="3" t="inlineStr">
        <is>
          <t>Gemeindegesetz</t>
        </is>
      </c>
      <c r="AK45" s="3" t="inlineStr">
        <is>
          <t>2009, 2026, 2010, 2025, 2018, 2008</t>
        </is>
      </c>
      <c r="AL45" s="3" t="inlineStr">
        <is>
          <t>Hoch (Erlassnummer)</t>
        </is>
      </c>
      <c r="AM45" s="3" t="inlineStr">
        <is>
          <t>2026-10-14 13:53</t>
        </is>
      </c>
      <c r="AN45" s="3" t="inlineStr">
        <is>
          <t>Öffentlich verfügbar und verifiziert</t>
        </is>
      </c>
      <c r="AO45" s="3" t="inlineStr">
        <is>
          <t>vom 21.4.2009; geltende Fassung</t>
        </is>
      </c>
      <c r="AP45" s="3" t="inlineStr">
        <is>
          <t>Belegt Existenz und Zugänglichkeit der Quelle; inhaltliche Aussagen erst nach Auswertung.</t>
        </is>
      </c>
      <c r="AQ45" s="3" t="inlineStr">
        <is>
          <t>Keine Einstufung: Kennzahlen/Befunde noch nicht ausgewertet; Schwellen der Bewertungslogik noch nicht validiert.</t>
        </is>
      </c>
      <c r="AR45" s="3" t="inlineStr">
        <is>
          <t>Nein</t>
        </is>
      </c>
      <c r="AS45" s="3" t="inlineStr">
        <is>
          <t>Kanton St. Gallen</t>
        </is>
      </c>
      <c r="AT45" s="3" t="inlineStr">
        <is>
          <t>In Prüfung</t>
        </is>
      </c>
      <c r="AU45" s="3" t="inlineStr"/>
      <c r="AV45" s="3" t="inlineStr"/>
      <c r="AW45" s="3" t="inlineStr">
        <is>
          <t>2026-10-14: Link ersetzt (vorher https://www.gesetzessammlung.sg.ch/). Grund: Startseite der Gesetzessammlung durch direkten Erlass ersetzt (Gemeindegesetz sGS 151.2).</t>
        </is>
      </c>
    </row>
    <row r="46" ht="43" customHeight="1">
      <c r="A46" s="2" t="inlineStr">
        <is>
          <t>SG-C4-01</t>
        </is>
      </c>
      <c r="B46" s="14" t="inlineStr">
        <is>
          <t>Kanton</t>
        </is>
      </c>
      <c r="C46" s="2" t="inlineStr">
        <is>
          <t>Schweiz</t>
        </is>
      </c>
      <c r="D46" s="2" t="inlineStr">
        <is>
          <t>St. Gallen</t>
        </is>
      </c>
      <c r="E46" s="2" t="inlineStr">
        <is>
          <t>Alle</t>
        </is>
      </c>
      <c r="F46" s="2" t="inlineStr">
        <is>
          <t>C4</t>
        </is>
      </c>
      <c r="G46" s="2" t="inlineStr">
        <is>
          <t>Verwaltung</t>
        </is>
      </c>
      <c r="H46" s="2" t="inlineStr">
        <is>
          <t>Kanton St. Gallen: offizielles Behördenportal</t>
        </is>
      </c>
      <c r="I46" s="2" t="inlineStr">
        <is>
          <t>Behördenportal</t>
        </is>
      </c>
      <c r="J46" s="2" t="inlineStr">
        <is>
          <t>Offizielle Quelle recherchiert</t>
        </is>
      </c>
      <c r="K46" s="2" t="inlineStr">
        <is>
          <t>Orientierung / Datengrundlage</t>
        </is>
      </c>
      <c r="L46" s="2" t="inlineStr">
        <is>
          <t>Kanton St. Gallen</t>
        </is>
      </c>
      <c r="M46" s="5" t="inlineStr">
        <is>
          <t>https://www.sg.ch/</t>
        </is>
      </c>
      <c r="N46" s="2" t="inlineStr">
        <is>
          <t>Zu prüfen</t>
        </is>
      </c>
      <c r="O46" s="2" t="inlineStr">
        <is>
          <t>2026-10-14</t>
        </is>
      </c>
      <c r="P46" s="2" t="inlineStr">
        <is>
          <t>Verwaltungs- und Gemeindeorganisation</t>
        </is>
      </c>
      <c r="Q46" s="2" t="inlineStr">
        <is>
          <t>Aufgaben / Kompetenzen</t>
        </is>
      </c>
      <c r="R46" s="2" t="inlineStr">
        <is>
          <t>Wil-Organisation ergänzen</t>
        </is>
      </c>
      <c r="S46" s="2" t="inlineStr">
        <is>
          <t>Qualitativ</t>
        </is>
      </c>
      <c r="T46" s="2" t="inlineStr">
        <is>
          <t>Noch nicht bewertet</t>
        </is>
      </c>
      <c r="U46" s="2" t="inlineStr">
        <is>
          <t>Mittel</t>
        </is>
      </c>
      <c r="V46" s="2" t="inlineStr">
        <is>
          <t>Geltende kantonale Detailgrundlage und Datenstand prüfen</t>
        </is>
      </c>
      <c r="W46" s="2" t="inlineStr">
        <is>
          <t>Q6; C3</t>
        </is>
      </c>
      <c r="X46" s="2" t="inlineStr">
        <is>
          <t>Verwaltungskapazität</t>
        </is>
      </c>
      <c r="Y46" s="2" t="inlineStr">
        <is>
          <t>Dokument auswerten; Aktualität und Geltung prüfen</t>
        </is>
      </c>
      <c r="Z46" s="2" t="inlineStr">
        <is>
          <t>Webrecherche 14.10.2026</t>
        </is>
      </c>
      <c r="AA46" s="2" t="inlineStr"/>
      <c r="AB46" s="2" t="inlineStr"/>
      <c r="AC46" s="2" t="inlineStr"/>
      <c r="AD46" s="2" t="inlineStr">
        <is>
          <t>Verifiziert</t>
        </is>
      </c>
      <c r="AE46" s="2" t="inlineStr">
        <is>
          <t>200</t>
        </is>
      </c>
      <c r="AF46" s="2" t="inlineStr"/>
      <c r="AG46" s="2" t="inlineStr">
        <is>
          <t>HTML</t>
        </is>
      </c>
      <c r="AH46" s="2" t="inlineStr">
        <is>
          <t>Bestätigt</t>
        </is>
      </c>
      <c r="AI46" s="2" t="inlineStr">
        <is>
          <t>Schlüsselwörter 1/1 gefunden (St.Gallen); Ort/Zuständigkeit: St. Gallen, St.Gallen</t>
        </is>
      </c>
      <c r="AJ46" s="2" t="inlineStr">
        <is>
          <t>Portal Kanton St.Gallen | sg.ch | Alles im Kanton St.Gallen finden</t>
        </is>
      </c>
      <c r="AK46" s="2" t="inlineStr">
        <is>
          <t>2026, 2030, 2028</t>
        </is>
      </c>
      <c r="AL46" s="2" t="inlineStr">
        <is>
          <t>Mittel (Startseite, kein Dokument)</t>
        </is>
      </c>
      <c r="AM46" s="2" t="inlineStr">
        <is>
          <t>2026-10-14 13:53</t>
        </is>
      </c>
      <c r="AN46" s="2" t="inlineStr">
        <is>
          <t>Öffentlich verfügbar und verifiziert</t>
        </is>
      </c>
      <c r="AO46" s="2" t="inlineStr">
        <is>
          <t>Zu prüfen</t>
        </is>
      </c>
      <c r="AP46" s="2" t="inlineStr">
        <is>
          <t>Belegt Existenz und Zugänglichkeit der Quelle; inhaltliche Aussagen erst nach Auswertung.</t>
        </is>
      </c>
      <c r="AQ46" s="2" t="inlineStr">
        <is>
          <t>Keine Einstufung: Kennzahlen/Befunde noch nicht ausgewertet; Schwellen der Bewertungslogik noch nicht validiert.</t>
        </is>
      </c>
      <c r="AR46" s="2" t="inlineStr">
        <is>
          <t>Nein</t>
        </is>
      </c>
      <c r="AS46" s="2" t="inlineStr">
        <is>
          <t>Kanton St. Gallen</t>
        </is>
      </c>
      <c r="AT46" s="2" t="inlineStr">
        <is>
          <t>In Prüfung</t>
        </is>
      </c>
      <c r="AU46" s="2" t="inlineStr"/>
      <c r="AV46" s="2" t="inlineStr"/>
      <c r="AW46" s="2" t="inlineStr"/>
    </row>
    <row r="47" ht="43" customHeight="1">
      <c r="A47" s="3" t="inlineStr">
        <is>
          <t>SG-C4-02</t>
        </is>
      </c>
      <c r="B47" s="14" t="inlineStr">
        <is>
          <t>Kanton</t>
        </is>
      </c>
      <c r="C47" s="3" t="inlineStr">
        <is>
          <t>Schweiz</t>
        </is>
      </c>
      <c r="D47" s="3" t="inlineStr">
        <is>
          <t>St. Gallen</t>
        </is>
      </c>
      <c r="E47" s="3" t="inlineStr">
        <is>
          <t>Alle</t>
        </is>
      </c>
      <c r="F47" s="3" t="inlineStr">
        <is>
          <t>C4</t>
        </is>
      </c>
      <c r="G47" s="3" t="inlineStr">
        <is>
          <t>Beschaffung</t>
        </is>
      </c>
      <c r="H47" s="3" t="inlineStr">
        <is>
          <t>Einführungsgesetz zur IVöB St. Gallen, sGS 841.1</t>
        </is>
      </c>
      <c r="I47" s="3" t="inlineStr">
        <is>
          <t>Kantonales Gesetz</t>
        </is>
      </c>
      <c r="J47" s="3" t="inlineStr">
        <is>
          <t>Direktes Dokument</t>
        </is>
      </c>
      <c r="K47" s="3" t="inlineStr">
        <is>
          <t>Kantonales Recht (verbindlich)</t>
        </is>
      </c>
      <c r="L47" s="3" t="inlineStr">
        <is>
          <t>Kanton St. Gallen</t>
        </is>
      </c>
      <c r="M47" s="7" t="inlineStr">
        <is>
          <t>https://www.gesetzessammlung.sg.ch/app/de/texts_of_law/841.1</t>
        </is>
      </c>
      <c r="N47" s="3" t="inlineStr"/>
      <c r="O47" s="3" t="inlineStr">
        <is>
          <t>2026-10-14</t>
        </is>
      </c>
      <c r="P47" s="3" t="inlineStr"/>
      <c r="Q47" s="3" t="inlineStr"/>
      <c r="R47" s="3" t="inlineStr"/>
      <c r="S47" s="3" t="inlineStr">
        <is>
          <t>Kein Peer-Vergleich</t>
        </is>
      </c>
      <c r="T47" s="3" t="inlineStr">
        <is>
          <t>Noch nicht bewertet</t>
        </is>
      </c>
      <c r="U47" s="3" t="inlineStr">
        <is>
          <t>Hoch</t>
        </is>
      </c>
      <c r="V47" s="3" t="inlineStr"/>
      <c r="W47" s="3" t="inlineStr"/>
      <c r="X47" s="3" t="inlineStr"/>
      <c r="Y47" s="3" t="inlineStr">
        <is>
          <t>Dokument auswerten; Aktualität und Geltung prüfen</t>
        </is>
      </c>
      <c r="Z47" s="3" t="inlineStr">
        <is>
          <t>URL nach dokumentiertem Schema der amtlichen Rechtssammlung gebildet; Identität per Runner geprüft</t>
        </is>
      </c>
      <c r="AA47" s="3" t="inlineStr"/>
      <c r="AB47" s="3" t="inlineStr"/>
      <c r="AC47" s="7" t="inlineStr">
        <is>
          <t>https://www.sg.ch/recht/beschaffungswesen/neues_beschaffungsrecht_2023/</t>
        </is>
      </c>
      <c r="AD47" s="3" t="inlineStr">
        <is>
          <t>Verifiziert</t>
        </is>
      </c>
      <c r="AE47" s="3" t="inlineStr">
        <is>
          <t>200</t>
        </is>
      </c>
      <c r="AF47" s="3" t="inlineStr"/>
      <c r="AG47" s="3" t="inlineStr">
        <is>
          <t>HTML</t>
        </is>
      </c>
      <c r="AH47" s="3" t="inlineStr">
        <is>
          <t>Bestätigt</t>
        </is>
      </c>
      <c r="AI47" s="3" t="inlineStr">
        <is>
          <t>Titel via LexWork-API (https://www.gesetzessammlung.sg.ch/api/de/texts_of_law/841.1); Schlüsselwörter 1/1 gefunden (Beschaffung)</t>
        </is>
      </c>
      <c r="AJ47" s="3" t="inlineStr">
        <is>
          <t>Einführungsgesetz zur Interkantonalen Vereinbarung über das öffentliche Beschaffungswesen aus dem Jahr 2019</t>
        </is>
      </c>
      <c r="AK47" s="3" t="inlineStr">
        <is>
          <t>2023, 2022, 2019, 2002, 2001</t>
        </is>
      </c>
      <c r="AL47" s="3" t="inlineStr">
        <is>
          <t>Hoch (Erlassnummer)</t>
        </is>
      </c>
      <c r="AM47" s="3" t="inlineStr">
        <is>
          <t>2026-10-14 13:56</t>
        </is>
      </c>
      <c r="AN47" s="3" t="inlineStr">
        <is>
          <t>Öffentlich verfügbar und verifiziert</t>
        </is>
      </c>
      <c r="AO47" s="3" t="inlineStr"/>
      <c r="AP47" s="3" t="inlineStr">
        <is>
          <t>Belegt Existenz und Zugänglichkeit der Quelle; inhaltliche Aussagen erst nach Auswertung.</t>
        </is>
      </c>
      <c r="AQ47" s="3" t="inlineStr">
        <is>
          <t>Keine Einstufung: Kennzahlen/Befunde noch nicht ausgewertet; Schwellen der Bewertungslogik noch nicht validiert.</t>
        </is>
      </c>
      <c r="AR47" s="3" t="inlineStr">
        <is>
          <t>Nein</t>
        </is>
      </c>
      <c r="AS47" s="3" t="inlineStr">
        <is>
          <t>Kanton St. Gallen</t>
        </is>
      </c>
      <c r="AT47" s="3" t="inlineStr">
        <is>
          <t>In Prüfung</t>
        </is>
      </c>
      <c r="AU47" s="3" t="inlineStr"/>
      <c r="AV47" s="3" t="inlineStr"/>
      <c r="AW47" s="3" t="inlineStr">
        <is>
          <t>2026-10-14: neu aufgenommen</t>
        </is>
      </c>
    </row>
    <row r="48" ht="43" customHeight="1">
      <c r="A48" s="2" t="inlineStr">
        <is>
          <t>SG-C5-01</t>
        </is>
      </c>
      <c r="B48" s="14" t="inlineStr">
        <is>
          <t>Kanton</t>
        </is>
      </c>
      <c r="C48" s="2" t="inlineStr">
        <is>
          <t>Schweiz</t>
        </is>
      </c>
      <c r="D48" s="2" t="inlineStr">
        <is>
          <t>St. Gallen</t>
        </is>
      </c>
      <c r="E48" s="2" t="inlineStr">
        <is>
          <t>Alle</t>
        </is>
      </c>
      <c r="F48" s="2" t="inlineStr">
        <is>
          <t>C5</t>
        </is>
      </c>
      <c r="G48" s="2" t="inlineStr">
        <is>
          <t>Politische Rechte</t>
        </is>
      </c>
      <c r="H48" s="2" t="inlineStr">
        <is>
          <t>Gesetz über Referendum und Initiative (RIG) St. Gallen, sGS 125.1</t>
        </is>
      </c>
      <c r="I48" s="2" t="inlineStr">
        <is>
          <t>Kantonales Gesetz</t>
        </is>
      </c>
      <c r="J48" s="2" t="inlineStr">
        <is>
          <t>Offizielle Quelle recherchiert</t>
        </is>
      </c>
      <c r="K48" s="2" t="inlineStr">
        <is>
          <t>Kantonales Gesetz (verbindlich)</t>
        </is>
      </c>
      <c r="L48" s="2" t="inlineStr">
        <is>
          <t>Kanton St. Gallen</t>
        </is>
      </c>
      <c r="M48" s="5" t="inlineStr">
        <is>
          <t>https://www.gesetzessammlung.sg.ch/app/de/texts_of_law/125.1</t>
        </is>
      </c>
      <c r="N48" s="2" t="inlineStr">
        <is>
          <t>geltende Fassung</t>
        </is>
      </c>
      <c r="O48" s="2" t="inlineStr">
        <is>
          <t>2026-10-14</t>
        </is>
      </c>
      <c r="P48" s="2" t="inlineStr">
        <is>
          <t>Kommunale demokratische Verfahren</t>
        </is>
      </c>
      <c r="Q48" s="2" t="inlineStr">
        <is>
          <t>Legitimation / Referenden</t>
        </is>
      </c>
      <c r="R48" s="2" t="inlineStr">
        <is>
          <t>Gemeindeordnung und Ratsgeschäfte auswerten</t>
        </is>
      </c>
      <c r="S48" s="2" t="inlineStr">
        <is>
          <t>Qualitativ</t>
        </is>
      </c>
      <c r="T48" s="2" t="inlineStr">
        <is>
          <t>Noch nicht bewertet</t>
        </is>
      </c>
      <c r="U48" s="2" t="inlineStr">
        <is>
          <t>Mittel</t>
        </is>
      </c>
      <c r="V48" s="2" t="inlineStr">
        <is>
          <t>Geltende kantonale Detailgrundlage und Datenstand prüfen</t>
        </is>
      </c>
      <c r="W48" s="2" t="inlineStr">
        <is>
          <t>C3</t>
        </is>
      </c>
      <c r="X48" s="2" t="inlineStr">
        <is>
          <t>Politische Machbarkeit</t>
        </is>
      </c>
      <c r="Y48" s="2" t="inlineStr">
        <is>
          <t>Dokument auswerten; Aktualität und Geltung prüfen</t>
        </is>
      </c>
      <c r="Z48" s="2" t="inlineStr">
        <is>
          <t>URL nach dokumentiertem Schema der amtlichen Rechtssammlung gebildet; Identität per Runner geprüft</t>
        </is>
      </c>
      <c r="AA48" s="2" t="inlineStr"/>
      <c r="AB48" s="2" t="inlineStr"/>
      <c r="AC48" s="2" t="inlineStr"/>
      <c r="AD48" s="2" t="inlineStr">
        <is>
          <t>Verifiziert</t>
        </is>
      </c>
      <c r="AE48" s="2" t="inlineStr">
        <is>
          <t>200</t>
        </is>
      </c>
      <c r="AF48" s="2" t="inlineStr"/>
      <c r="AG48" s="2" t="inlineStr">
        <is>
          <t>HTML</t>
        </is>
      </c>
      <c r="AH48" s="2" t="inlineStr">
        <is>
          <t>Bestätigt</t>
        </is>
      </c>
      <c r="AI48" s="2" t="inlineStr">
        <is>
          <t>Titel via LexWork-API (https://www.gesetzessammlung.sg.ch/api/de/texts_of_law/125.1); Schlüsselwörter 1/1 gefunden (Referendum)</t>
        </is>
      </c>
      <c r="AJ48" s="2" t="inlineStr">
        <is>
          <t>Gesetz über Referendum und Initiative</t>
        </is>
      </c>
      <c r="AK48" s="2" t="inlineStr">
        <is>
          <t>2026, 2025, 2008</t>
        </is>
      </c>
      <c r="AL48" s="2" t="inlineStr">
        <is>
          <t>Hoch (Erlassnummer)</t>
        </is>
      </c>
      <c r="AM48" s="2" t="inlineStr">
        <is>
          <t>2026-10-14 13:53</t>
        </is>
      </c>
      <c r="AN48" s="2" t="inlineStr">
        <is>
          <t>Öffentlich verfügbar und verifiziert</t>
        </is>
      </c>
      <c r="AO48" s="2" t="inlineStr">
        <is>
          <t>geltende Fassung</t>
        </is>
      </c>
      <c r="AP48" s="2" t="inlineStr">
        <is>
          <t>Belegt Existenz und Zugänglichkeit der Quelle; inhaltliche Aussagen erst nach Auswertung.</t>
        </is>
      </c>
      <c r="AQ48" s="2" t="inlineStr">
        <is>
          <t>Keine Einstufung: Kennzahlen/Befunde noch nicht ausgewertet; Schwellen der Bewertungslogik noch nicht validiert.</t>
        </is>
      </c>
      <c r="AR48" s="2" t="inlineStr">
        <is>
          <t>Nein</t>
        </is>
      </c>
      <c r="AS48" s="2" t="inlineStr">
        <is>
          <t>Kanton St. Gallen</t>
        </is>
      </c>
      <c r="AT48" s="2" t="inlineStr">
        <is>
          <t>In Prüfung</t>
        </is>
      </c>
      <c r="AU48" s="2" t="inlineStr"/>
      <c r="AV48" s="2" t="inlineStr"/>
      <c r="AW48" s="2" t="inlineStr">
        <is>
          <t>2026-10-14: Link ersetzt (vorher https://www.gesetzessammlung.sg.ch/). Grund: Startseite der Gesetzessammlung durch direkten Erlass ersetzt (RIG sGS 125.1).</t>
        </is>
      </c>
    </row>
    <row r="49" ht="43" customHeight="1">
      <c r="A49" s="3" t="inlineStr">
        <is>
          <t>SEE-C1-01</t>
        </is>
      </c>
      <c r="B49" s="15" t="inlineStr">
        <is>
          <t>Gemeinde</t>
        </is>
      </c>
      <c r="C49" s="3" t="inlineStr">
        <is>
          <t>Schweiz</t>
        </is>
      </c>
      <c r="D49" s="3" t="inlineStr">
        <is>
          <t>Uri</t>
        </is>
      </c>
      <c r="E49" s="3" t="inlineStr">
        <is>
          <t>Seelisberg</t>
        </is>
      </c>
      <c r="F49" s="3" t="inlineStr">
        <is>
          <t>C1</t>
        </is>
      </c>
      <c r="G49" s="3" t="inlineStr">
        <is>
          <t>Budget / Jahresrechnung</t>
        </is>
      </c>
      <c r="H49" s="3" t="inlineStr">
        <is>
          <t>Gemeindeversammlung Seelisberg: Budgets, Rechnungen und Protokolle</t>
        </is>
      </c>
      <c r="I49" s="3" t="inlineStr">
        <is>
          <t>Dokumentsammlung</t>
        </is>
      </c>
      <c r="J49" s="3" t="inlineStr">
        <is>
          <t>Offizielle Quelle recherchiert</t>
        </is>
      </c>
      <c r="K49" s="3" t="inlineStr">
        <is>
          <t>Orientierung / Datengrundlage</t>
        </is>
      </c>
      <c r="L49" s="3" t="inlineStr">
        <is>
          <t>Gemeinde Seelisberg</t>
        </is>
      </c>
      <c r="M49" s="7" t="inlineStr">
        <is>
          <t>https://www.seelisberg.ch/politik/gemeindeversammlung</t>
        </is>
      </c>
      <c r="N49" s="3" t="inlineStr">
        <is>
          <t>Zu prüfen</t>
        </is>
      </c>
      <c r="O49" s="3" t="inlineStr">
        <is>
          <t>2026-10-14</t>
        </is>
      </c>
      <c r="P49" s="3" t="inlineStr">
        <is>
          <t>Budget 2026 und Jahresrechnung 2024 über Versammlungsunterlagen</t>
        </is>
      </c>
      <c r="Q49" s="3" t="inlineStr">
        <is>
          <t>Selbstfinanzierungsgrad, Nettoinvestitionen, Nettoschuld</t>
        </is>
      </c>
      <c r="R49" s="3" t="inlineStr">
        <is>
          <t>Dokumente herunterladen und Kennzahlen berechnen</t>
        </is>
      </c>
      <c r="S49" s="3" t="inlineStr">
        <is>
          <t>Kanton × Grössenklasse</t>
        </is>
      </c>
      <c r="T49" s="3" t="inlineStr">
        <is>
          <t>Noch nicht bewertet</t>
        </is>
      </c>
      <c r="U49" s="3" t="inlineStr">
        <is>
          <t>Mittel</t>
        </is>
      </c>
      <c r="V49" s="3" t="inlineStr">
        <is>
          <t>Kennzahlen und Befunde noch extrahieren</t>
        </is>
      </c>
      <c r="W49" s="3" t="inlineStr">
        <is>
          <t>A1; C1</t>
        </is>
      </c>
      <c r="X49" s="3" t="inlineStr">
        <is>
          <t>Finanztragfähigkeit</t>
        </is>
      </c>
      <c r="Y49" s="3" t="inlineStr">
        <is>
          <t>Dokument auswerten; Aktualität und Geltung prüfen</t>
        </is>
      </c>
      <c r="Z49" s="3" t="inlineStr">
        <is>
          <t>Webrecherche 14.10.2026</t>
        </is>
      </c>
      <c r="AA49" s="3" t="inlineStr"/>
      <c r="AB49" s="3" t="inlineStr"/>
      <c r="AC49" s="7" t="inlineStr">
        <is>
          <t>https://www.seelisberg.ch/</t>
        </is>
      </c>
      <c r="AD49" s="3" t="inlineStr">
        <is>
          <t>Verifiziert</t>
        </is>
      </c>
      <c r="AE49" s="3" t="inlineStr">
        <is>
          <t>200</t>
        </is>
      </c>
      <c r="AF49" s="3" t="inlineStr"/>
      <c r="AG49" s="3" t="inlineStr">
        <is>
          <t>HTML</t>
        </is>
      </c>
      <c r="AH49" s="3" t="inlineStr">
        <is>
          <t>Bestätigt</t>
        </is>
      </c>
      <c r="AI49" s="3" t="inlineStr">
        <is>
          <t>Schlüsselwörter 1/1 gefunden (Gemeindeversammlung); Ort/Zuständigkeit: Seelisberg</t>
        </is>
      </c>
      <c r="AJ49" s="3" t="inlineStr">
        <is>
          <t>Gemeinde Seelisberg | Einwohner-Service | Gemeindeversammlung</t>
        </is>
      </c>
      <c r="AK49" s="3" t="inlineStr">
        <is>
          <t>2024, 2023, 2022, 2021, 2025, 2026</t>
        </is>
      </c>
      <c r="AL49" s="3" t="inlineStr">
        <is>
          <t>Mittel (Webseite)</t>
        </is>
      </c>
      <c r="AM49" s="3" t="inlineStr">
        <is>
          <t>2026-10-14 13:53</t>
        </is>
      </c>
      <c r="AN49" s="3" t="inlineStr">
        <is>
          <t>Öffentlich verfügbar und verifiziert</t>
        </is>
      </c>
      <c r="AO49" s="3" t="inlineStr">
        <is>
          <t>Zu prüfen</t>
        </is>
      </c>
      <c r="AP49" s="3" t="inlineStr">
        <is>
          <t>Belegt Existenz und Zugänglichkeit der Quelle; inhaltliche Aussagen erst nach Auswertung.</t>
        </is>
      </c>
      <c r="AQ49" s="3" t="inlineStr">
        <is>
          <t>Keine Einstufung: Kennzahlen/Befunde noch nicht ausgewertet; Schwellen der Bewertungslogik noch nicht validiert.</t>
        </is>
      </c>
      <c r="AR49" s="3" t="inlineStr">
        <is>
          <t>Nein</t>
        </is>
      </c>
      <c r="AS49" s="3" t="inlineStr">
        <is>
          <t>Gemeindeverwaltung Seelisberg</t>
        </is>
      </c>
      <c r="AT49" s="3" t="inlineStr">
        <is>
          <t>In Prüfung</t>
        </is>
      </c>
      <c r="AU49" s="3" t="inlineStr">
        <is>
          <t>Direkte Dokumente: SEE-C1-02 bis SEE-C1-05.</t>
        </is>
      </c>
      <c r="AV49" s="3" t="inlineStr">
        <is>
          <t>SEE-C5-01</t>
        </is>
      </c>
      <c r="AW49" s="3" t="inlineStr"/>
    </row>
    <row r="50" ht="43" customHeight="1">
      <c r="A50" s="2" t="inlineStr">
        <is>
          <t>SEE-C1-02</t>
        </is>
      </c>
      <c r="B50" s="15" t="inlineStr">
        <is>
          <t>Gemeinde</t>
        </is>
      </c>
      <c r="C50" s="2" t="inlineStr">
        <is>
          <t>Schweiz</t>
        </is>
      </c>
      <c r="D50" s="2" t="inlineStr">
        <is>
          <t>Uri</t>
        </is>
      </c>
      <c r="E50" s="2" t="inlineStr">
        <is>
          <t>Seelisberg</t>
        </is>
      </c>
      <c r="F50" s="2" t="inlineStr">
        <is>
          <t>C1</t>
        </is>
      </c>
      <c r="G50" s="2" t="inlineStr">
        <is>
          <t>Budget / Finanzplan</t>
        </is>
      </c>
      <c r="H50" s="2" t="inlineStr">
        <is>
          <t>Einladung Gemeindeversammlung November 2025: Traktanden und Botschaften (Budget 2026, Finanzplan 2027–2032, Leitbild)</t>
        </is>
      </c>
      <c r="I50" s="2" t="inlineStr">
        <is>
          <t>Botschaft / Vorlage</t>
        </is>
      </c>
      <c r="J50" s="2" t="inlineStr">
        <is>
          <t>Direktes Dokument</t>
        </is>
      </c>
      <c r="K50" s="2" t="inlineStr">
        <is>
          <t>Beschlussvorlage</t>
        </is>
      </c>
      <c r="L50" s="2" t="inlineStr">
        <is>
          <t>Gemeinde Seelisberg</t>
        </is>
      </c>
      <c r="M50" s="5" t="inlineStr">
        <is>
          <t>https://www.seelisberg.ch/files/pdf/Druckvorlage2_Original_Versammlung-Nov2025_Traktanden-und-Botschaften-gesamt.pdf</t>
        </is>
      </c>
      <c r="N50" s="2" t="inlineStr">
        <is>
          <t>Budget 2026; Finanzplan 2027–2032</t>
        </is>
      </c>
      <c r="O50" s="2" t="inlineStr">
        <is>
          <t>2026-10-14</t>
        </is>
      </c>
      <c r="P50" s="2" t="inlineStr">
        <is>
          <t>Budget 2026, Nettoinvestitionen, Steuerfuss, Finanzplan; Grundlage C1</t>
        </is>
      </c>
      <c r="Q50" s="2" t="inlineStr">
        <is>
          <t>Aufwand/Ertrag, Nettoinvestitionen, Steuerfuss</t>
        </is>
      </c>
      <c r="R50" s="2" t="inlineStr"/>
      <c r="S50" s="2" t="inlineStr">
        <is>
          <t>Kanton × Grössenklasse</t>
        </is>
      </c>
      <c r="T50" s="2" t="inlineStr">
        <is>
          <t>Noch nicht bewertet</t>
        </is>
      </c>
      <c r="U50" s="2" t="inlineStr">
        <is>
          <t>Hoch</t>
        </is>
      </c>
      <c r="V50" s="2" t="inlineStr"/>
      <c r="W50" s="2" t="inlineStr">
        <is>
          <t>A1; C1</t>
        </is>
      </c>
      <c r="X50" s="2" t="inlineStr">
        <is>
          <t>Finanztragfähigkeit</t>
        </is>
      </c>
      <c r="Y50" s="2" t="inlineStr">
        <is>
          <t>Dokument auswerten; Aktualität und Geltung prüfen</t>
        </is>
      </c>
      <c r="Z50" s="2" t="inlineStr">
        <is>
          <t>Websuche 14.10.2026 (URL im Suchergebnis gefunden)</t>
        </is>
      </c>
      <c r="AA50" s="2" t="inlineStr">
        <is>
          <t>C5</t>
        </is>
      </c>
      <c r="AB50" s="2" t="inlineStr"/>
      <c r="AC50" s="5" t="inlineStr">
        <is>
          <t>https://www.seelisberg.ch/politik/gemeindeversammlung</t>
        </is>
      </c>
      <c r="AD50" s="2" t="inlineStr">
        <is>
          <t>Verifiziert</t>
        </is>
      </c>
      <c r="AE50" s="2" t="inlineStr">
        <is>
          <t>200</t>
        </is>
      </c>
      <c r="AF50" s="2" t="inlineStr"/>
      <c r="AG50" s="2" t="inlineStr">
        <is>
          <t>PDF</t>
        </is>
      </c>
      <c r="AH50" s="2" t="inlineStr">
        <is>
          <t>Bestätigt</t>
        </is>
      </c>
      <c r="AI50" s="2" t="inlineStr">
        <is>
          <t>Schlüsselwörter 2/2 gefunden (Budget, 2026); Ort/Zuständigkeit: Seelisberg</t>
        </is>
      </c>
      <c r="AJ50" s="2" t="inlineStr">
        <is>
          <t>E I N L A D U N G Z U R  G E M E I N D E V E R S A M M L U N G</t>
        </is>
      </c>
      <c r="AK50" s="2" t="inlineStr">
        <is>
          <t>2026, 2025, 2024, 2027, 2032, 2020</t>
        </is>
      </c>
      <c r="AL50" s="2" t="inlineStr">
        <is>
          <t>Mittel (CMS-Dokumentlink)</t>
        </is>
      </c>
      <c r="AM50" s="2" t="inlineStr">
        <is>
          <t>2026-10-14 13:54</t>
        </is>
      </c>
      <c r="AN50" s="2" t="inlineStr">
        <is>
          <t>Öffentlich verfügbar und verifiziert</t>
        </is>
      </c>
      <c r="AO50" s="2" t="inlineStr">
        <is>
          <t>Budget 2026; Finanzplan 2027–2032</t>
        </is>
      </c>
      <c r="AP50" s="2" t="inlineStr">
        <is>
          <t>Belegt Existenz und Zugänglichkeit der Quelle; inhaltliche Aussagen erst nach Auswertung. Fundstellen im Dokument (automatisch): Steuerfuss: S. 5; Finanzplan: S. 1, 5; Nettoinvestition: S. 4, 5.</t>
        </is>
      </c>
      <c r="AQ50" s="2" t="inlineStr">
        <is>
          <t>Keine Einstufung: Kennzahlen/Befunde noch nicht ausgewertet; Schwellen der Bewertungslogik noch nicht validiert.</t>
        </is>
      </c>
      <c r="AR50" s="2" t="inlineStr">
        <is>
          <t>Nein</t>
        </is>
      </c>
      <c r="AS50" s="2" t="inlineStr">
        <is>
          <t>Gemeindeverwaltung Seelisberg</t>
        </is>
      </c>
      <c r="AT50" s="2" t="inlineStr">
        <is>
          <t>In Prüfung</t>
        </is>
      </c>
      <c r="AU50" s="2" t="inlineStr"/>
      <c r="AV50" s="2" t="inlineStr"/>
      <c r="AW50" s="2" t="inlineStr">
        <is>
          <t>2026-10-14: neu aufgenommen</t>
        </is>
      </c>
    </row>
    <row r="51" ht="43" customHeight="1">
      <c r="A51" s="3" t="inlineStr">
        <is>
          <t>SEE-C1-03</t>
        </is>
      </c>
      <c r="B51" s="15" t="inlineStr">
        <is>
          <t>Gemeinde</t>
        </is>
      </c>
      <c r="C51" s="3" t="inlineStr">
        <is>
          <t>Schweiz</t>
        </is>
      </c>
      <c r="D51" s="3" t="inlineStr">
        <is>
          <t>Uri</t>
        </is>
      </c>
      <c r="E51" s="3" t="inlineStr">
        <is>
          <t>Seelisberg</t>
        </is>
      </c>
      <c r="F51" s="3" t="inlineStr">
        <is>
          <t>C1</t>
        </is>
      </c>
      <c r="G51" s="3" t="inlineStr">
        <is>
          <t>Jahresrechnung</t>
        </is>
      </c>
      <c r="H51" s="3" t="inlineStr">
        <is>
          <t>Jahresrechnung 2024 der Einwohnergemeinde Seelisberg</t>
        </is>
      </c>
      <c r="I51" s="3" t="inlineStr">
        <is>
          <t>Jahresrechnung</t>
        </is>
      </c>
      <c r="J51" s="3" t="inlineStr">
        <is>
          <t>Direktes Dokument</t>
        </is>
      </c>
      <c r="K51" s="3" t="inlineStr">
        <is>
          <t>Beschlossene Jahresrechnung (GV 28.5.2025)</t>
        </is>
      </c>
      <c r="L51" s="3" t="inlineStr">
        <is>
          <t>Gemeinde Seelisberg</t>
        </is>
      </c>
      <c r="M51" s="7" t="inlineStr">
        <is>
          <t>https://www.seelisberg.ch/files/pdf/JR2024_Gde-Seelisberg.pdf</t>
        </is>
      </c>
      <c r="N51" s="3" t="inlineStr">
        <is>
          <t>2024</t>
        </is>
      </c>
      <c r="O51" s="3" t="inlineStr">
        <is>
          <t>2026-10-14</t>
        </is>
      </c>
      <c r="P51" s="3" t="inlineStr">
        <is>
          <t>Erfolgsrechnung, Investitionsrechnung, Bilanz 2024</t>
        </is>
      </c>
      <c r="Q51" s="3" t="inlineStr">
        <is>
          <t>Selbstfinanzierungsgrad, Nettoinvestitionen, Nettoschuld</t>
        </is>
      </c>
      <c r="R51" s="3" t="inlineStr"/>
      <c r="S51" s="3" t="inlineStr">
        <is>
          <t>Kanton × Grössenklasse</t>
        </is>
      </c>
      <c r="T51" s="3" t="inlineStr">
        <is>
          <t>Noch nicht bewertet</t>
        </is>
      </c>
      <c r="U51" s="3" t="inlineStr">
        <is>
          <t>Hoch</t>
        </is>
      </c>
      <c r="V51" s="3" t="inlineStr"/>
      <c r="W51" s="3" t="inlineStr">
        <is>
          <t>A1; C1</t>
        </is>
      </c>
      <c r="X51" s="3" t="inlineStr">
        <is>
          <t>Finanztragfähigkeit</t>
        </is>
      </c>
      <c r="Y51" s="3" t="inlineStr">
        <is>
          <t>Dokument auswerten; Aktualität und Geltung prüfen</t>
        </is>
      </c>
      <c r="Z51" s="3" t="inlineStr">
        <is>
          <t>Automatische Recherche GitHub Actions (Discovery), Fundstelle siehe Spalte Offizielle Fundstelle</t>
        </is>
      </c>
      <c r="AA51" s="3" t="inlineStr"/>
      <c r="AB51" s="3" t="inlineStr"/>
      <c r="AC51" s="7" t="inlineStr">
        <is>
          <t>https://www.seelisberg.ch/politik/budget-rechnung</t>
        </is>
      </c>
      <c r="AD51" s="3" t="inlineStr">
        <is>
          <t>Verifiziert</t>
        </is>
      </c>
      <c r="AE51" s="3" t="inlineStr">
        <is>
          <t>200</t>
        </is>
      </c>
      <c r="AF51" s="3" t="inlineStr"/>
      <c r="AG51" s="3" t="inlineStr">
        <is>
          <t>PDF</t>
        </is>
      </c>
      <c r="AH51" s="3" t="inlineStr">
        <is>
          <t>Bestätigt</t>
        </is>
      </c>
      <c r="AI51" s="3" t="inlineStr">
        <is>
          <t>Schlüsselwörter 2/2 gefunden (Rechnung, 2024); Ort/Zuständigkeit: Seelisberg</t>
        </is>
      </c>
      <c r="AJ51" s="3" t="inlineStr">
        <is>
          <t>GEMEINDE    SEELISBERG</t>
        </is>
      </c>
      <c r="AK51" s="3" t="inlineStr">
        <is>
          <t>2024, 2023, 2025, 2015</t>
        </is>
      </c>
      <c r="AL51" s="3" t="inlineStr">
        <is>
          <t>Mittel (CMS-Dokumentlink)</t>
        </is>
      </c>
      <c r="AM51" s="3" t="inlineStr">
        <is>
          <t>2026-10-14 13:54</t>
        </is>
      </c>
      <c r="AN51" s="3" t="inlineStr">
        <is>
          <t>Öffentlich verfügbar und verifiziert</t>
        </is>
      </c>
      <c r="AO51" s="3" t="inlineStr">
        <is>
          <t>2024</t>
        </is>
      </c>
      <c r="AP51" s="3" t="inlineStr">
        <is>
          <t>Belegt Existenz und Zugänglichkeit der Quelle; inhaltliche Aussagen erst nach Auswertung.</t>
        </is>
      </c>
      <c r="AQ51" s="3" t="inlineStr">
        <is>
          <t>Keine Einstufung: Kennzahlen/Befunde noch nicht ausgewertet; Schwellen der Bewertungslogik noch nicht validiert.</t>
        </is>
      </c>
      <c r="AR51" s="3" t="inlineStr">
        <is>
          <t>Nein</t>
        </is>
      </c>
      <c r="AS51" s="3" t="inlineStr">
        <is>
          <t>Gemeindeverwaltung Seelisberg</t>
        </is>
      </c>
      <c r="AT51" s="3" t="inlineStr">
        <is>
          <t>In Prüfung</t>
        </is>
      </c>
      <c r="AU51" s="3" t="inlineStr">
        <is>
          <t>Jahresrechnung 2025 (GV 29.5.2026) auf der Fundstelle nicht als PDF gefunden.</t>
        </is>
      </c>
      <c r="AV51" s="3" t="inlineStr"/>
      <c r="AW51" s="3" t="inlineStr">
        <is>
          <t>2026-10-14: neu aufgenommen</t>
        </is>
      </c>
    </row>
    <row r="52" ht="43" customHeight="1">
      <c r="A52" s="2" t="inlineStr">
        <is>
          <t>SEE-C1-04</t>
        </is>
      </c>
      <c r="B52" s="15" t="inlineStr">
        <is>
          <t>Gemeinde</t>
        </is>
      </c>
      <c r="C52" s="2" t="inlineStr">
        <is>
          <t>Schweiz</t>
        </is>
      </c>
      <c r="D52" s="2" t="inlineStr">
        <is>
          <t>Uri</t>
        </is>
      </c>
      <c r="E52" s="2" t="inlineStr">
        <is>
          <t>Seelisberg</t>
        </is>
      </c>
      <c r="F52" s="2" t="inlineStr">
        <is>
          <t>C1</t>
        </is>
      </c>
      <c r="G52" s="2" t="inlineStr">
        <is>
          <t>Jahresrechnung</t>
        </is>
      </c>
      <c r="H52" s="2" t="inlineStr">
        <is>
          <t>Jahresrechnung 2023 der Einwohnergemeinde Seelisberg</t>
        </is>
      </c>
      <c r="I52" s="2" t="inlineStr">
        <is>
          <t>Jahresrechnung</t>
        </is>
      </c>
      <c r="J52" s="2" t="inlineStr">
        <is>
          <t>Direktes Dokument</t>
        </is>
      </c>
      <c r="K52" s="2" t="inlineStr">
        <is>
          <t>Beschlossene Jahresrechnung</t>
        </is>
      </c>
      <c r="L52" s="2" t="inlineStr">
        <is>
          <t>Gemeinde Seelisberg</t>
        </is>
      </c>
      <c r="M52" s="5" t="inlineStr">
        <is>
          <t>https://www.seelisberg.ch/files/pdf/Jahresrechnung_Gde-Seelisberg_2023.pdf</t>
        </is>
      </c>
      <c r="N52" s="2" t="inlineStr">
        <is>
          <t>2023</t>
        </is>
      </c>
      <c r="O52" s="2" t="inlineStr">
        <is>
          <t>2026-10-14</t>
        </is>
      </c>
      <c r="P52" s="2" t="inlineStr">
        <is>
          <t>Zeitreihe</t>
        </is>
      </c>
      <c r="Q52" s="2" t="inlineStr"/>
      <c r="R52" s="2" t="inlineStr"/>
      <c r="S52" s="2" t="inlineStr">
        <is>
          <t>Kanton × Grössenklasse</t>
        </is>
      </c>
      <c r="T52" s="2" t="inlineStr">
        <is>
          <t>Noch nicht bewertet</t>
        </is>
      </c>
      <c r="U52" s="2" t="inlineStr">
        <is>
          <t>Hoch</t>
        </is>
      </c>
      <c r="V52" s="2" t="inlineStr"/>
      <c r="W52" s="2" t="inlineStr"/>
      <c r="X52" s="2" t="inlineStr"/>
      <c r="Y52" s="2" t="inlineStr">
        <is>
          <t>Dokument auswerten; Aktualität und Geltung prüfen</t>
        </is>
      </c>
      <c r="Z52" s="2" t="inlineStr">
        <is>
          <t>Automatische Recherche GitHub Actions (Discovery), Fundstelle siehe Spalte Offizielle Fundstelle</t>
        </is>
      </c>
      <c r="AA52" s="2" t="inlineStr"/>
      <c r="AB52" s="2" t="inlineStr"/>
      <c r="AC52" s="5" t="inlineStr">
        <is>
          <t>https://www.seelisberg.ch/politik/budget-rechnung</t>
        </is>
      </c>
      <c r="AD52" s="2" t="inlineStr">
        <is>
          <t>Verifiziert</t>
        </is>
      </c>
      <c r="AE52" s="2" t="inlineStr">
        <is>
          <t>200</t>
        </is>
      </c>
      <c r="AF52" s="2" t="inlineStr"/>
      <c r="AG52" s="2" t="inlineStr">
        <is>
          <t>PDF</t>
        </is>
      </c>
      <c r="AH52" s="2" t="inlineStr">
        <is>
          <t>Bestätigt</t>
        </is>
      </c>
      <c r="AI52" s="2" t="inlineStr">
        <is>
          <t>Schlüsselwörter 2/2 gefunden (Rechnung, 2023); Ort/Zuständigkeit: Seelisberg</t>
        </is>
      </c>
      <c r="AJ52" s="2" t="inlineStr">
        <is>
          <t>GEMEINDE    SEELISBERG</t>
        </is>
      </c>
      <c r="AK52" s="2" t="inlineStr">
        <is>
          <t>2023, 2022, 2024, 2015</t>
        </is>
      </c>
      <c r="AL52" s="2" t="inlineStr">
        <is>
          <t>Mittel (CMS-Dokumentlink)</t>
        </is>
      </c>
      <c r="AM52" s="2" t="inlineStr">
        <is>
          <t>2026-10-14 13:54</t>
        </is>
      </c>
      <c r="AN52" s="2" t="inlineStr">
        <is>
          <t>Öffentlich verfügbar und verifiziert</t>
        </is>
      </c>
      <c r="AO52" s="2" t="inlineStr">
        <is>
          <t>2023</t>
        </is>
      </c>
      <c r="AP52" s="2" t="inlineStr">
        <is>
          <t>Belegt Existenz und Zugänglichkeit der Quelle; inhaltliche Aussagen erst nach Auswertung.</t>
        </is>
      </c>
      <c r="AQ52" s="2" t="inlineStr">
        <is>
          <t>Keine Einstufung: Kennzahlen/Befunde noch nicht ausgewertet; Schwellen der Bewertungslogik noch nicht validiert.</t>
        </is>
      </c>
      <c r="AR52" s="2" t="inlineStr">
        <is>
          <t>Nein</t>
        </is>
      </c>
      <c r="AS52" s="2" t="inlineStr">
        <is>
          <t>Gemeindeverwaltung Seelisberg</t>
        </is>
      </c>
      <c r="AT52" s="2" t="inlineStr">
        <is>
          <t>In Prüfung</t>
        </is>
      </c>
      <c r="AU52" s="2" t="inlineStr"/>
      <c r="AV52" s="2" t="inlineStr"/>
      <c r="AW52" s="2" t="inlineStr">
        <is>
          <t>2026-10-14: neu aufgenommen</t>
        </is>
      </c>
    </row>
    <row r="53" ht="43" customHeight="1">
      <c r="A53" s="3" t="inlineStr">
        <is>
          <t>SEE-C1-05</t>
        </is>
      </c>
      <c r="B53" s="15" t="inlineStr">
        <is>
          <t>Gemeinde</t>
        </is>
      </c>
      <c r="C53" s="3" t="inlineStr">
        <is>
          <t>Schweiz</t>
        </is>
      </c>
      <c r="D53" s="3" t="inlineStr">
        <is>
          <t>Uri</t>
        </is>
      </c>
      <c r="E53" s="3" t="inlineStr">
        <is>
          <t>Seelisberg</t>
        </is>
      </c>
      <c r="F53" s="3" t="inlineStr">
        <is>
          <t>C1</t>
        </is>
      </c>
      <c r="G53" s="3" t="inlineStr">
        <is>
          <t>Budget</t>
        </is>
      </c>
      <c r="H53" s="3" t="inlineStr">
        <is>
          <t>Budget 2026 der Einwohnergemeinde Seelisberg (Erfolgsrechnung, Gesamtauflage)</t>
        </is>
      </c>
      <c r="I53" s="3" t="inlineStr">
        <is>
          <t>Budget</t>
        </is>
      </c>
      <c r="J53" s="3" t="inlineStr">
        <is>
          <t>Direktes Dokument</t>
        </is>
      </c>
      <c r="K53" s="3" t="inlineStr">
        <is>
          <t>Beschlossenes Budget (GV 28.11.2025)</t>
        </is>
      </c>
      <c r="L53" s="3" t="inlineStr">
        <is>
          <t>Gemeinde Seelisberg</t>
        </is>
      </c>
      <c r="M53" s="7" t="inlineStr">
        <is>
          <t>https://www.seelisberg.ch/files/pdf/Budget-ER-2026_Gesamtauflage_ohne-Bemerkungen_%C3%B6ffentlich.pdf</t>
        </is>
      </c>
      <c r="N53" s="3" t="inlineStr">
        <is>
          <t>2026</t>
        </is>
      </c>
      <c r="O53" s="3" t="inlineStr">
        <is>
          <t>2026-10-14</t>
        </is>
      </c>
      <c r="P53" s="3" t="inlineStr"/>
      <c r="Q53" s="3" t="inlineStr"/>
      <c r="R53" s="3" t="inlineStr"/>
      <c r="S53" s="3" t="inlineStr">
        <is>
          <t>Kanton × Grössenklasse</t>
        </is>
      </c>
      <c r="T53" s="3" t="inlineStr">
        <is>
          <t>Noch nicht bewertet</t>
        </is>
      </c>
      <c r="U53" s="3" t="inlineStr">
        <is>
          <t>Hoch</t>
        </is>
      </c>
      <c r="V53" s="3" t="inlineStr"/>
      <c r="W53" s="3" t="inlineStr"/>
      <c r="X53" s="3" t="inlineStr"/>
      <c r="Y53" s="3" t="inlineStr">
        <is>
          <t>Dokument auswerten; Aktualität und Geltung prüfen</t>
        </is>
      </c>
      <c r="Z53" s="3" t="inlineStr">
        <is>
          <t>Automatische Recherche GitHub Actions (Discovery), Fundstelle siehe Spalte Offizielle Fundstelle</t>
        </is>
      </c>
      <c r="AA53" s="3" t="inlineStr"/>
      <c r="AB53" s="3" t="inlineStr"/>
      <c r="AC53" s="7" t="inlineStr">
        <is>
          <t>https://www.seelisberg.ch/politik/budget-rechnung</t>
        </is>
      </c>
      <c r="AD53" s="3" t="inlineStr">
        <is>
          <t>Verifiziert</t>
        </is>
      </c>
      <c r="AE53" s="3" t="inlineStr">
        <is>
          <t>200</t>
        </is>
      </c>
      <c r="AF53" s="3" t="inlineStr"/>
      <c r="AG53" s="3" t="inlineStr">
        <is>
          <t>PDF</t>
        </is>
      </c>
      <c r="AH53" s="3" t="inlineStr">
        <is>
          <t>Bestätigt</t>
        </is>
      </c>
      <c r="AI53" s="3" t="inlineStr">
        <is>
          <t>Schlüsselwörter 2/2 gefunden (Budget, 2026); Ort/Zuständigkeit: Seelisberg</t>
        </is>
      </c>
      <c r="AJ53" s="3" t="inlineStr">
        <is>
          <t>GEMEINDE  SEELISBERG</t>
        </is>
      </c>
      <c r="AK53" s="3" t="inlineStr">
        <is>
          <t>2026, 2025, 2024</t>
        </is>
      </c>
      <c r="AL53" s="3" t="inlineStr">
        <is>
          <t>Mittel (CMS-Dokumentlink)</t>
        </is>
      </c>
      <c r="AM53" s="3" t="inlineStr">
        <is>
          <t>2026-10-14 13:54</t>
        </is>
      </c>
      <c r="AN53" s="3" t="inlineStr">
        <is>
          <t>Öffentlich verfügbar und verifiziert</t>
        </is>
      </c>
      <c r="AO53" s="3" t="inlineStr">
        <is>
          <t>2026</t>
        </is>
      </c>
      <c r="AP53" s="3" t="inlineStr">
        <is>
          <t>Belegt Existenz und Zugänglichkeit der Quelle; inhaltliche Aussagen erst nach Auswertung.</t>
        </is>
      </c>
      <c r="AQ53" s="3" t="inlineStr">
        <is>
          <t>Keine Einstufung: Kennzahlen/Befunde noch nicht ausgewertet; Schwellen der Bewertungslogik noch nicht validiert.</t>
        </is>
      </c>
      <c r="AR53" s="3" t="inlineStr">
        <is>
          <t>Nein</t>
        </is>
      </c>
      <c r="AS53" s="3" t="inlineStr">
        <is>
          <t>Gemeindeverwaltung Seelisberg</t>
        </is>
      </c>
      <c r="AT53" s="3" t="inlineStr">
        <is>
          <t>In Prüfung</t>
        </is>
      </c>
      <c r="AU53" s="3" t="inlineStr"/>
      <c r="AV53" s="3" t="inlineStr"/>
      <c r="AW53" s="3" t="inlineStr">
        <is>
          <t>2026-10-14: neu aufgenommen</t>
        </is>
      </c>
    </row>
    <row r="54" ht="43" customHeight="1">
      <c r="A54" s="2" t="inlineStr">
        <is>
          <t>SEE-C2-01</t>
        </is>
      </c>
      <c r="B54" s="15" t="inlineStr">
        <is>
          <t>Gemeinde</t>
        </is>
      </c>
      <c r="C54" s="2" t="inlineStr">
        <is>
          <t>Schweiz</t>
        </is>
      </c>
      <c r="D54" s="2" t="inlineStr">
        <is>
          <t>Uri</t>
        </is>
      </c>
      <c r="E54" s="2" t="inlineStr">
        <is>
          <t>Seelisberg</t>
        </is>
      </c>
      <c r="F54" s="2" t="inlineStr">
        <is>
          <t>C2</t>
        </is>
      </c>
      <c r="G54" s="2" t="inlineStr">
        <is>
          <t>Boden / Liegenschaften</t>
        </is>
      </c>
      <c r="H54" s="2" t="inlineStr">
        <is>
          <t>Teilrevision Nutzungsplanung und Quartiergestaltungsplanung «Sonnenberg» – Erläuterungsbericht nach Art. 47 RPV (öffentliche Auflage)</t>
        </is>
      </c>
      <c r="I54" s="2" t="inlineStr">
        <is>
          <t>Planungsbericht</t>
        </is>
      </c>
      <c r="J54" s="2" t="inlineStr">
        <is>
          <t>Direktes Dokument</t>
        </is>
      </c>
      <c r="K54" s="2" t="inlineStr">
        <is>
          <t>Planungsbericht (orientierend)</t>
        </is>
      </c>
      <c r="L54" s="2" t="inlineStr">
        <is>
          <t>Gemeinde Seelisberg</t>
        </is>
      </c>
      <c r="M54" s="5" t="inlineStr">
        <is>
          <t>https://www.seelisberg.ch/files/pdf/ERLUTE1.PDF</t>
        </is>
      </c>
      <c r="N54" s="2" t="inlineStr">
        <is>
          <t>Zu prüfen</t>
        </is>
      </c>
      <c r="O54" s="2" t="inlineStr">
        <is>
          <t>2026-10-14</t>
        </is>
      </c>
      <c r="P54" s="2" t="inlineStr">
        <is>
          <t>Planungsgrundlage für das Entwicklungsgebiet Sonnenberg. Kein Nachweis kommunalen Grundeigentums oder eines Baurechts: «Baurecht», «775» und «Erwerb» kommen im Dokumenttext nicht vor (automatische Volltextsuche).</t>
        </is>
      </c>
      <c r="Q54" s="2" t="inlineStr">
        <is>
          <t>Gemeindeeigentum, Baurechte, ÖBA</t>
        </is>
      </c>
      <c r="R54" s="2" t="inlineStr">
        <is>
          <t>Liegenschaftsverzeichnis bei Gemeinde anfragen</t>
        </is>
      </c>
      <c r="S54" s="2" t="inlineStr">
        <is>
          <t>Kein Peer</t>
        </is>
      </c>
      <c r="T54" s="2" t="inlineStr">
        <is>
          <t>Noch nicht bewertet</t>
        </is>
      </c>
      <c r="U54" s="2" t="inlineStr">
        <is>
          <t>Niedrig</t>
        </is>
      </c>
      <c r="V54" s="2" t="inlineStr">
        <is>
          <t>Konkrete kommunale Unterlagen / Datensatz nachfordern</t>
        </is>
      </c>
      <c r="W54" s="2" t="inlineStr">
        <is>
          <t>B; Q1</t>
        </is>
      </c>
      <c r="X54" s="2" t="inlineStr">
        <is>
          <t>Bodenmobilisierung</t>
        </is>
      </c>
      <c r="Y54" s="2" t="inlineStr">
        <is>
          <t>Dokument auswerten; Aktualität und Geltung prüfen</t>
        </is>
      </c>
      <c r="Z54" s="2" t="inlineStr">
        <is>
          <t>Webrecherche 14.10.2026</t>
        </is>
      </c>
      <c r="AA54" s="2" t="inlineStr"/>
      <c r="AB54" s="2" t="inlineStr"/>
      <c r="AC54" s="5" t="inlineStr">
        <is>
          <t>https://www.seelisberg.ch/</t>
        </is>
      </c>
      <c r="AD54" s="2" t="inlineStr">
        <is>
          <t>Verifiziert</t>
        </is>
      </c>
      <c r="AE54" s="2" t="inlineStr">
        <is>
          <t>200</t>
        </is>
      </c>
      <c r="AF54" s="2" t="inlineStr"/>
      <c r="AG54" s="2" t="inlineStr">
        <is>
          <t>PDF</t>
        </is>
      </c>
      <c r="AH54" s="2" t="inlineStr">
        <is>
          <t>Bestätigt</t>
        </is>
      </c>
      <c r="AI54" s="2" t="inlineStr">
        <is>
          <t>Schlüsselwörter 2/2 gefunden (Sonnenberg, Nutzungsplanung); Ort/Zuständigkeit: Seelisberg</t>
        </is>
      </c>
      <c r="AJ54" s="2" t="inlineStr">
        <is>
          <t>Teilrevision N UP und QGP  «Sonnenberg », Gemeinde Seelisberg</t>
        </is>
      </c>
      <c r="AK54" s="2" t="inlineStr">
        <is>
          <t>2024, 2023, 2018</t>
        </is>
      </c>
      <c r="AL54" s="2" t="inlineStr">
        <is>
          <t>Mittel (CMS-Dokumentlink)</t>
        </is>
      </c>
      <c r="AM54" s="2" t="inlineStr">
        <is>
          <t>2026-10-14 13:53</t>
        </is>
      </c>
      <c r="AN54" s="2" t="inlineStr">
        <is>
          <t>Öffentlich verfügbar und verifiziert</t>
        </is>
      </c>
      <c r="AO54" s="2" t="inlineStr">
        <is>
          <t>Zu prüfen</t>
        </is>
      </c>
      <c r="AP54" s="2" t="inlineStr">
        <is>
          <t>Belegt das Planungsverfahren Sonnenberg (Teilrevision NUP/QGP); belegt kein kommunales Grundeigentum. Fundstellen im Dokument (automatisch): Baurecht: nicht gefunden; 775: nicht gefunden; Erwerb: nicht gefunden; Halter: S. 2, 6, 8, 28, 32, 75, 76, 79, 85; Grundeigentümer: S. 32, 48, 70.</t>
        </is>
      </c>
      <c r="AQ54" s="2" t="inlineStr">
        <is>
          <t>Keine Einstufung: Kennzahlen/Befunde noch nicht ausgewertet; Schwellen der Bewertungslogik noch nicht validiert.</t>
        </is>
      </c>
      <c r="AR54" s="2" t="inlineStr">
        <is>
          <t>Ja</t>
        </is>
      </c>
      <c r="AS54" s="2" t="inlineStr">
        <is>
          <t>Gemeindeverwaltung Seelisberg</t>
        </is>
      </c>
      <c r="AT54" s="2" t="inlineStr">
        <is>
          <t>In Prüfung</t>
        </is>
      </c>
      <c r="AU54" s="2" t="inlineStr">
        <is>
          <t>Eine Suchmaschinen-Zusammenfassung nannte einen Erwerb von Parzelle 775 mit Baurecht – im Dokument nicht bestätigt, daher nicht übernommen. Ebenso unbestätigter Sekundärhinweis auf eine Projektbeteiligung der Halter AG: Belegstellen prüfen; allfällige Interessenbindung bei der Auswertung offenlegen. Kein Liegenschaftsverzeichnis öffentlich.</t>
        </is>
      </c>
      <c r="AV54" s="2" t="inlineStr"/>
      <c r="AW54" s="2" t="inlineStr">
        <is>
          <t>2026-10-14: Link ersetzt (vorher https://www.seelisberg.ch/). Grund: Startseite durch direktes Dokument zu Grundeigentum/Baurecht ersetzt.</t>
        </is>
      </c>
    </row>
    <row r="55" ht="43" customHeight="1">
      <c r="A55" s="3" t="inlineStr">
        <is>
          <t>SEE-C2-02</t>
        </is>
      </c>
      <c r="B55" s="15" t="inlineStr">
        <is>
          <t>Gemeinde</t>
        </is>
      </c>
      <c r="C55" s="3" t="inlineStr">
        <is>
          <t>Schweiz</t>
        </is>
      </c>
      <c r="D55" s="3" t="inlineStr">
        <is>
          <t>Uri</t>
        </is>
      </c>
      <c r="E55" s="3" t="inlineStr">
        <is>
          <t>Seelisberg</t>
        </is>
      </c>
      <c r="F55" s="3" t="inlineStr">
        <is>
          <t>C2</t>
        </is>
      </c>
      <c r="G55" s="3" t="inlineStr">
        <is>
          <t>Bau- und Zonenordnung</t>
        </is>
      </c>
      <c r="H55" s="3" t="inlineStr">
        <is>
          <t>Bau- und Zonenordnung Seelisberg (BZO)</t>
        </is>
      </c>
      <c r="I55" s="3" t="inlineStr">
        <is>
          <t>Kommunales Reglement</t>
        </is>
      </c>
      <c r="J55" s="3" t="inlineStr">
        <is>
          <t>Direktes Dokument</t>
        </is>
      </c>
      <c r="K55" s="3" t="inlineStr">
        <is>
          <t>Kommunales Recht (verbindlich)</t>
        </is>
      </c>
      <c r="L55" s="3" t="inlineStr">
        <is>
          <t>Gemeinde Seelisberg</t>
        </is>
      </c>
      <c r="M55" s="7" t="inlineStr">
        <is>
          <t>https://www.seelisberg.ch/files/pdf/Bau-und-Zonenordnung-Seelisberg.pdf</t>
        </is>
      </c>
      <c r="N55" s="3" t="inlineStr"/>
      <c r="O55" s="3" t="inlineStr">
        <is>
          <t>2026-10-14</t>
        </is>
      </c>
      <c r="P55" s="3" t="inlineStr">
        <is>
          <t>Zonen und Bauvorschriften; Q-Bezug; kein Eigentumsnachweis</t>
        </is>
      </c>
      <c r="Q55" s="3" t="inlineStr"/>
      <c r="R55" s="3" t="inlineStr"/>
      <c r="S55" s="3" t="inlineStr">
        <is>
          <t>Kein Peer-Vergleich</t>
        </is>
      </c>
      <c r="T55" s="3" t="inlineStr">
        <is>
          <t>Noch nicht bewertet</t>
        </is>
      </c>
      <c r="U55" s="3" t="inlineStr">
        <is>
          <t>Hoch</t>
        </is>
      </c>
      <c r="V55" s="3" t="inlineStr"/>
      <c r="W55" s="3" t="inlineStr">
        <is>
          <t>B; Q1</t>
        </is>
      </c>
      <c r="X55" s="3" t="inlineStr"/>
      <c r="Y55" s="3" t="inlineStr">
        <is>
          <t>Dokument auswerten; Aktualität und Geltung prüfen</t>
        </is>
      </c>
      <c r="Z55" s="3" t="inlineStr">
        <is>
          <t>Websuche 14.10.2026 (URL im Suchergebnis gefunden)</t>
        </is>
      </c>
      <c r="AA55" s="3" t="inlineStr"/>
      <c r="AB55" s="3" t="inlineStr"/>
      <c r="AC55" s="3" t="inlineStr"/>
      <c r="AD55" s="3" t="inlineStr">
        <is>
          <t>Verifiziert</t>
        </is>
      </c>
      <c r="AE55" s="3" t="inlineStr">
        <is>
          <t>200</t>
        </is>
      </c>
      <c r="AF55" s="3" t="inlineStr"/>
      <c r="AG55" s="3" t="inlineStr">
        <is>
          <t>PDF</t>
        </is>
      </c>
      <c r="AH55" s="3" t="inlineStr">
        <is>
          <t>Bestätigt</t>
        </is>
      </c>
      <c r="AI55" s="3" t="inlineStr">
        <is>
          <t>Schlüsselwörter 1/1 gefunden (Zonenordnung); Ort/Zuständigkeit: Seelisberg</t>
        </is>
      </c>
      <c r="AJ55" s="3" t="inlineStr">
        <is>
          <t>GEMEINDE SEELISBERG</t>
        </is>
      </c>
      <c r="AK55" s="3" t="inlineStr">
        <is>
          <t>2023, 2025, 2014, 2015, 2010, 2005</t>
        </is>
      </c>
      <c r="AL55" s="3" t="inlineStr">
        <is>
          <t>Mittel (CMS-Dokumentlink)</t>
        </is>
      </c>
      <c r="AM55" s="3" t="inlineStr">
        <is>
          <t>2026-10-14 13:54</t>
        </is>
      </c>
      <c r="AN55" s="3" t="inlineStr">
        <is>
          <t>Öffentlich verfügbar und verifiziert</t>
        </is>
      </c>
      <c r="AO55" s="3" t="inlineStr"/>
      <c r="AP55" s="3" t="inlineStr">
        <is>
          <t>Belegt Existenz und Zugänglichkeit der Quelle; inhaltliche Aussagen erst nach Auswertung.</t>
        </is>
      </c>
      <c r="AQ55" s="3" t="inlineStr">
        <is>
          <t>Keine Einstufung: Kennzahlen/Befunde noch nicht ausgewertet; Schwellen der Bewertungslogik noch nicht validiert.</t>
        </is>
      </c>
      <c r="AR55" s="3" t="inlineStr">
        <is>
          <t>Ja</t>
        </is>
      </c>
      <c r="AS55" s="3" t="inlineStr">
        <is>
          <t>Gemeindeverwaltung Seelisberg</t>
        </is>
      </c>
      <c r="AT55" s="3" t="inlineStr">
        <is>
          <t>In Prüfung</t>
        </is>
      </c>
      <c r="AU55" s="3" t="inlineStr"/>
      <c r="AV55" s="3" t="inlineStr"/>
      <c r="AW55" s="3" t="inlineStr">
        <is>
          <t>2026-10-14: neu aufgenommen</t>
        </is>
      </c>
    </row>
    <row r="56" ht="43" customHeight="1">
      <c r="A56" s="2" t="inlineStr">
        <is>
          <t>SEE-C2-03</t>
        </is>
      </c>
      <c r="B56" s="15" t="inlineStr">
        <is>
          <t>Gemeinde</t>
        </is>
      </c>
      <c r="C56" s="2" t="inlineStr">
        <is>
          <t>Schweiz</t>
        </is>
      </c>
      <c r="D56" s="2" t="inlineStr">
        <is>
          <t>Uri</t>
        </is>
      </c>
      <c r="E56" s="2" t="inlineStr">
        <is>
          <t>Seelisberg</t>
        </is>
      </c>
      <c r="F56" s="2" t="inlineStr">
        <is>
          <t>C2</t>
        </is>
      </c>
      <c r="G56" s="2" t="inlineStr">
        <is>
          <t>Siedlungsentwicklung</t>
        </is>
      </c>
      <c r="H56" s="2" t="inlineStr">
        <is>
          <t>Siedlungsleitbild Seelisberg (Genehmigungsexemplar, 5.10.2022)</t>
        </is>
      </c>
      <c r="I56" s="2" t="inlineStr">
        <is>
          <t>Leitbild / Bericht</t>
        </is>
      </c>
      <c r="J56" s="2" t="inlineStr">
        <is>
          <t>Direktes Dokument</t>
        </is>
      </c>
      <c r="K56" s="2" t="inlineStr">
        <is>
          <t>Behördenverbindliche Planung</t>
        </is>
      </c>
      <c r="L56" s="2" t="inlineStr">
        <is>
          <t>Gemeinderat Seelisberg</t>
        </is>
      </c>
      <c r="M56" s="5" t="inlineStr">
        <is>
          <t>https://www.seelisberg.ch/files/pdf/8_20221005_Bericht_Siedlungsleitbild_Genehmigungsexemplar.pdf</t>
        </is>
      </c>
      <c r="N56" s="2" t="inlineStr">
        <is>
          <t>2022</t>
        </is>
      </c>
      <c r="O56" s="2" t="inlineStr">
        <is>
          <t>2026-10-14</t>
        </is>
      </c>
      <c r="P56" s="2" t="inlineStr">
        <is>
          <t>Strategische Entwicklungsgebiete (Sonnenberg, Chilendorf); Bodenpolitik-Absichten</t>
        </is>
      </c>
      <c r="Q56" s="2" t="inlineStr"/>
      <c r="R56" s="2" t="inlineStr"/>
      <c r="S56" s="2" t="inlineStr">
        <is>
          <t>Kein Peer-Vergleich</t>
        </is>
      </c>
      <c r="T56" s="2" t="inlineStr">
        <is>
          <t>Noch nicht bewertet</t>
        </is>
      </c>
      <c r="U56" s="2" t="inlineStr">
        <is>
          <t>Hoch</t>
        </is>
      </c>
      <c r="V56" s="2" t="inlineStr"/>
      <c r="W56" s="2" t="inlineStr">
        <is>
          <t>B</t>
        </is>
      </c>
      <c r="X56" s="2" t="inlineStr"/>
      <c r="Y56" s="2" t="inlineStr">
        <is>
          <t>Dokument auswerten; Aktualität und Geltung prüfen</t>
        </is>
      </c>
      <c r="Z56" s="2" t="inlineStr">
        <is>
          <t>Websuche 14.10.2026 (URL im Suchergebnis gefunden)</t>
        </is>
      </c>
      <c r="AA56" s="2" t="inlineStr">
        <is>
          <t>C5</t>
        </is>
      </c>
      <c r="AB56" s="2" t="inlineStr"/>
      <c r="AC56" s="2" t="inlineStr"/>
      <c r="AD56" s="2" t="inlineStr">
        <is>
          <t>Verifiziert</t>
        </is>
      </c>
      <c r="AE56" s="2" t="inlineStr">
        <is>
          <t>200</t>
        </is>
      </c>
      <c r="AF56" s="2" t="inlineStr"/>
      <c r="AG56" s="2" t="inlineStr">
        <is>
          <t>PDF</t>
        </is>
      </c>
      <c r="AH56" s="2" t="inlineStr">
        <is>
          <t>Bestätigt</t>
        </is>
      </c>
      <c r="AI56" s="2" t="inlineStr">
        <is>
          <t>Schlüsselwörter 1/1 gefunden (Siedlungsleitbild); Ort/Zuständigkeit: Seelisberg</t>
        </is>
      </c>
      <c r="AJ56" s="2" t="inlineStr">
        <is>
          <t>Seelisberg, Siedlungsleitbild</t>
        </is>
      </c>
      <c r="AK56" s="2" t="inlineStr">
        <is>
          <t>2022, 2021, 2017, 2020, 2019, 2015</t>
        </is>
      </c>
      <c r="AL56" s="2" t="inlineStr">
        <is>
          <t>Mittel (CMS-Dokumentlink)</t>
        </is>
      </c>
      <c r="AM56" s="2" t="inlineStr">
        <is>
          <t>2026-10-14 13:54</t>
        </is>
      </c>
      <c r="AN56" s="2" t="inlineStr">
        <is>
          <t>Öffentlich verfügbar und verifiziert</t>
        </is>
      </c>
      <c r="AO56" s="2" t="inlineStr">
        <is>
          <t>2022</t>
        </is>
      </c>
      <c r="AP56" s="2" t="inlineStr">
        <is>
          <t>Belegt Existenz und Zugänglichkeit der Quelle; inhaltliche Aussagen erst nach Auswertung.</t>
        </is>
      </c>
      <c r="AQ56" s="2" t="inlineStr">
        <is>
          <t>Keine Einstufung: Kennzahlen/Befunde noch nicht ausgewertet; Schwellen der Bewertungslogik noch nicht validiert.</t>
        </is>
      </c>
      <c r="AR56" s="2" t="inlineStr">
        <is>
          <t>Ja</t>
        </is>
      </c>
      <c r="AS56" s="2" t="inlineStr">
        <is>
          <t>Gemeindeverwaltung Seelisberg</t>
        </is>
      </c>
      <c r="AT56" s="2" t="inlineStr">
        <is>
          <t>In Prüfung</t>
        </is>
      </c>
      <c r="AU56" s="2" t="inlineStr"/>
      <c r="AV56" s="2" t="inlineStr"/>
      <c r="AW56" s="2" t="inlineStr">
        <is>
          <t>2026-10-14: neu aufgenommen</t>
        </is>
      </c>
    </row>
    <row r="57" ht="43" customHeight="1">
      <c r="A57" s="3" t="inlineStr">
        <is>
          <t>SEE-C2-04</t>
        </is>
      </c>
      <c r="B57" s="15" t="inlineStr">
        <is>
          <t>Gemeinde</t>
        </is>
      </c>
      <c r="C57" s="3" t="inlineStr">
        <is>
          <t>Schweiz</t>
        </is>
      </c>
      <c r="D57" s="3" t="inlineStr">
        <is>
          <t>Uri</t>
        </is>
      </c>
      <c r="E57" s="3" t="inlineStr">
        <is>
          <t>Seelisberg</t>
        </is>
      </c>
      <c r="F57" s="3" t="inlineStr">
        <is>
          <t>C2</t>
        </is>
      </c>
      <c r="G57" s="3" t="inlineStr">
        <is>
          <t>Nutzungsplanung</t>
        </is>
      </c>
      <c r="H57" s="3" t="inlineStr">
        <is>
          <t>Seelisberg: Teilrevision Nutzungsplanung – Erläuterungsbericht (26.5.2023)</t>
        </is>
      </c>
      <c r="I57" s="3" t="inlineStr">
        <is>
          <t>Planungsbericht</t>
        </is>
      </c>
      <c r="J57" s="3" t="inlineStr">
        <is>
          <t>Direktes Dokument</t>
        </is>
      </c>
      <c r="K57" s="3" t="inlineStr">
        <is>
          <t>Planungsbericht</t>
        </is>
      </c>
      <c r="L57" s="3" t="inlineStr">
        <is>
          <t>Gemeinde Seelisberg</t>
        </is>
      </c>
      <c r="M57" s="7" t="inlineStr">
        <is>
          <t>https://www.seelisberg.ch/files/pdf/20230526_Erl%C3%A4uterungsbericht.pdf</t>
        </is>
      </c>
      <c r="N57" s="3" t="inlineStr">
        <is>
          <t>2023</t>
        </is>
      </c>
      <c r="O57" s="3" t="inlineStr">
        <is>
          <t>2026-10-14</t>
        </is>
      </c>
      <c r="P57" s="3" t="inlineStr">
        <is>
          <t>Planerische Flächenverfügbarkeit (≠ Eigentum)</t>
        </is>
      </c>
      <c r="Q57" s="3" t="inlineStr"/>
      <c r="R57" s="3" t="inlineStr"/>
      <c r="S57" s="3" t="inlineStr">
        <is>
          <t>Kein Peer-Vergleich</t>
        </is>
      </c>
      <c r="T57" s="3" t="inlineStr">
        <is>
          <t>Noch nicht bewertet</t>
        </is>
      </c>
      <c r="U57" s="3" t="inlineStr">
        <is>
          <t>Mittel</t>
        </is>
      </c>
      <c r="V57" s="3" t="inlineStr"/>
      <c r="W57" s="3" t="inlineStr">
        <is>
          <t>B</t>
        </is>
      </c>
      <c r="X57" s="3" t="inlineStr"/>
      <c r="Y57" s="3" t="inlineStr">
        <is>
          <t>Dokument auswerten; Aktualität und Geltung prüfen</t>
        </is>
      </c>
      <c r="Z57" s="3" t="inlineStr">
        <is>
          <t>Websuche 14.10.2026 (URL im Suchergebnis gefunden)</t>
        </is>
      </c>
      <c r="AA57" s="3" t="inlineStr"/>
      <c r="AB57" s="3" t="inlineStr"/>
      <c r="AC57" s="3" t="inlineStr"/>
      <c r="AD57" s="3" t="inlineStr">
        <is>
          <t>Verifiziert</t>
        </is>
      </c>
      <c r="AE57" s="3" t="inlineStr">
        <is>
          <t>200</t>
        </is>
      </c>
      <c r="AF57" s="3" t="inlineStr"/>
      <c r="AG57" s="3" t="inlineStr">
        <is>
          <t>PDF</t>
        </is>
      </c>
      <c r="AH57" s="3" t="inlineStr">
        <is>
          <t>Bestätigt</t>
        </is>
      </c>
      <c r="AI57" s="3" t="inlineStr">
        <is>
          <t>Schlüsselwörter 1/1 gefunden (Nutzungsplanung); Ort/Zuständigkeit: Seelisberg</t>
        </is>
      </c>
      <c r="AJ57" s="3" t="inlineStr">
        <is>
          <t>Seelisberg, Teilrevision Nutzungsplanung</t>
        </is>
      </c>
      <c r="AK57" s="3" t="inlineStr">
        <is>
          <t>2021, 2022, 2017, 2023, 2019, 2014</t>
        </is>
      </c>
      <c r="AL57" s="3" t="inlineStr">
        <is>
          <t>Mittel (CMS-Dokumentlink)</t>
        </is>
      </c>
      <c r="AM57" s="3" t="inlineStr">
        <is>
          <t>2026-10-14 13:54</t>
        </is>
      </c>
      <c r="AN57" s="3" t="inlineStr">
        <is>
          <t>Öffentlich verfügbar und verifiziert</t>
        </is>
      </c>
      <c r="AO57" s="3" t="inlineStr">
        <is>
          <t>2023</t>
        </is>
      </c>
      <c r="AP57" s="3" t="inlineStr">
        <is>
          <t>Belegt Existenz und Zugänglichkeit der Quelle; inhaltliche Aussagen erst nach Auswertung.</t>
        </is>
      </c>
      <c r="AQ57" s="3" t="inlineStr">
        <is>
          <t>Keine Einstufung: Kennzahlen/Befunde noch nicht ausgewertet; Schwellen der Bewertungslogik noch nicht validiert.</t>
        </is>
      </c>
      <c r="AR57" s="3" t="inlineStr">
        <is>
          <t>Ja</t>
        </is>
      </c>
      <c r="AS57" s="3" t="inlineStr">
        <is>
          <t>Gemeindeverwaltung Seelisberg</t>
        </is>
      </c>
      <c r="AT57" s="3" t="inlineStr">
        <is>
          <t>In Prüfung</t>
        </is>
      </c>
      <c r="AU57" s="3" t="inlineStr"/>
      <c r="AV57" s="3" t="inlineStr"/>
      <c r="AW57" s="3" t="inlineStr">
        <is>
          <t>2026-10-14: neu aufgenommen</t>
        </is>
      </c>
    </row>
    <row r="58" ht="43" customHeight="1">
      <c r="A58" s="2" t="inlineStr">
        <is>
          <t>SEE-C3-01</t>
        </is>
      </c>
      <c r="B58" s="15" t="inlineStr">
        <is>
          <t>Gemeinde</t>
        </is>
      </c>
      <c r="C58" s="2" t="inlineStr">
        <is>
          <t>Schweiz</t>
        </is>
      </c>
      <c r="D58" s="2" t="inlineStr">
        <is>
          <t>Uri</t>
        </is>
      </c>
      <c r="E58" s="2" t="inlineStr">
        <is>
          <t>Seelisberg</t>
        </is>
      </c>
      <c r="F58" s="2" t="inlineStr">
        <is>
          <t>C3</t>
        </is>
      </c>
      <c r="G58" s="2" t="inlineStr">
        <is>
          <t>Gemeindeorganisation</t>
        </is>
      </c>
      <c r="H58" s="2" t="inlineStr">
        <is>
          <t>Seelisberg: Behörden und Kommissionen</t>
        </is>
      </c>
      <c r="I58" s="2" t="inlineStr">
        <is>
          <t>Behördenübersicht</t>
        </is>
      </c>
      <c r="J58" s="2" t="inlineStr">
        <is>
          <t>Offizielle Quelle recherchiert</t>
        </is>
      </c>
      <c r="K58" s="2" t="inlineStr">
        <is>
          <t>Orientierung / Datengrundlage</t>
        </is>
      </c>
      <c r="L58" s="2" t="inlineStr">
        <is>
          <t>Gemeinde Seelisberg</t>
        </is>
      </c>
      <c r="M58" s="5" t="inlineStr">
        <is>
          <t>https://www.seelisberg.ch/politik/beh%C3%B6rden-kommissionen</t>
        </is>
      </c>
      <c r="N58" s="2" t="inlineStr">
        <is>
          <t>Zu prüfen</t>
        </is>
      </c>
      <c r="O58" s="2" t="inlineStr">
        <is>
          <t>2026-10-14</t>
        </is>
      </c>
      <c r="P58" s="2" t="inlineStr">
        <is>
          <t>Behördenstruktur, Räte und Kommissionen</t>
        </is>
      </c>
      <c r="Q58" s="2" t="inlineStr">
        <is>
          <t>Rollen, Zuständigkeiten, Kooperationen</t>
        </is>
      </c>
      <c r="R58" s="2" t="inlineStr">
        <is>
          <t>Akteurskarte und Entscheidungswege erstellen</t>
        </is>
      </c>
      <c r="S58" s="2" t="inlineStr">
        <is>
          <t>Qualitativ</t>
        </is>
      </c>
      <c r="T58" s="2" t="inlineStr">
        <is>
          <t>Noch nicht bewertet</t>
        </is>
      </c>
      <c r="U58" s="2" t="inlineStr">
        <is>
          <t>Mittel</t>
        </is>
      </c>
      <c r="V58" s="2" t="inlineStr">
        <is>
          <t>Kennzahlen und Befunde noch extrahieren</t>
        </is>
      </c>
      <c r="W58" s="2" t="inlineStr">
        <is>
          <t>C4; C5</t>
        </is>
      </c>
      <c r="X58" s="2" t="inlineStr">
        <is>
          <t>Trägerschaft</t>
        </is>
      </c>
      <c r="Y58" s="2" t="inlineStr">
        <is>
          <t>Dokument auswerten; Aktualität und Geltung prüfen</t>
        </is>
      </c>
      <c r="Z58" s="2" t="inlineStr">
        <is>
          <t>Webrecherche 14.10.2026</t>
        </is>
      </c>
      <c r="AA58" s="2" t="inlineStr"/>
      <c r="AB58" s="2" t="inlineStr"/>
      <c r="AC58" s="2" t="inlineStr"/>
      <c r="AD58" s="2" t="inlineStr">
        <is>
          <t>Verifiziert</t>
        </is>
      </c>
      <c r="AE58" s="2" t="inlineStr">
        <is>
          <t>200</t>
        </is>
      </c>
      <c r="AF58" s="2" t="inlineStr"/>
      <c r="AG58" s="2" t="inlineStr">
        <is>
          <t>HTML</t>
        </is>
      </c>
      <c r="AH58" s="2" t="inlineStr">
        <is>
          <t>Bestätigt</t>
        </is>
      </c>
      <c r="AI58" s="2" t="inlineStr">
        <is>
          <t>Schlüsselwörter 1/1 gefunden (Kommission); Ort/Zuständigkeit: Seelisberg</t>
        </is>
      </c>
      <c r="AJ58" s="2" t="inlineStr">
        <is>
          <t>Gemeinde Seelisberg | Einwohner-Service | Behörden und Kommissionen</t>
        </is>
      </c>
      <c r="AK58" s="2" t="inlineStr"/>
      <c r="AL58" s="2" t="inlineStr">
        <is>
          <t>Mittel (Webseite)</t>
        </is>
      </c>
      <c r="AM58" s="2" t="inlineStr">
        <is>
          <t>2026-10-14 13:53</t>
        </is>
      </c>
      <c r="AN58" s="2" t="inlineStr">
        <is>
          <t>Öffentlich verfügbar und verifiziert</t>
        </is>
      </c>
      <c r="AO58" s="2" t="inlineStr">
        <is>
          <t>Zu prüfen</t>
        </is>
      </c>
      <c r="AP58" s="2" t="inlineStr">
        <is>
          <t>Belegt Existenz und Zugänglichkeit der Quelle; inhaltliche Aussagen erst nach Auswertung.</t>
        </is>
      </c>
      <c r="AQ58" s="2" t="inlineStr">
        <is>
          <t>Keine Einstufung: Kennzahlen/Befunde noch nicht ausgewertet; Schwellen der Bewertungslogik noch nicht validiert.</t>
        </is>
      </c>
      <c r="AR58" s="2" t="inlineStr">
        <is>
          <t>Ja</t>
        </is>
      </c>
      <c r="AS58" s="2" t="inlineStr">
        <is>
          <t>Gemeindeverwaltung Seelisberg</t>
        </is>
      </c>
      <c r="AT58" s="2" t="inlineStr">
        <is>
          <t>In Prüfung</t>
        </is>
      </c>
      <c r="AU58" s="2" t="inlineStr"/>
      <c r="AV58" s="2" t="inlineStr">
        <is>
          <t>SEE-C4-01</t>
        </is>
      </c>
      <c r="AW58" s="2" t="inlineStr"/>
    </row>
    <row r="59" ht="43" customHeight="1">
      <c r="A59" s="3" t="inlineStr">
        <is>
          <t>SEE-C3-02</t>
        </is>
      </c>
      <c r="B59" s="15" t="inlineStr">
        <is>
          <t>Gemeinde</t>
        </is>
      </c>
      <c r="C59" s="3" t="inlineStr">
        <is>
          <t>Schweiz</t>
        </is>
      </c>
      <c r="D59" s="3" t="inlineStr">
        <is>
          <t>Uri</t>
        </is>
      </c>
      <c r="E59" s="3" t="inlineStr">
        <is>
          <t>Seelisberg</t>
        </is>
      </c>
      <c r="F59" s="3" t="inlineStr">
        <is>
          <t>C3</t>
        </is>
      </c>
      <c r="G59" s="3" t="inlineStr">
        <is>
          <t>Gemeindeordnung</t>
        </is>
      </c>
      <c r="H59" s="3" t="inlineStr">
        <is>
          <t>Gemeindeordnung der Einwohnergemeinde Seelisberg</t>
        </is>
      </c>
      <c r="I59" s="3" t="inlineStr">
        <is>
          <t>Gemeindeordnung</t>
        </is>
      </c>
      <c r="J59" s="3" t="inlineStr">
        <is>
          <t>Direktes Dokument</t>
        </is>
      </c>
      <c r="K59" s="3" t="inlineStr">
        <is>
          <t>Kommunales Recht (verbindlich)</t>
        </is>
      </c>
      <c r="L59" s="3" t="inlineStr">
        <is>
          <t>Gemeinde Seelisberg</t>
        </is>
      </c>
      <c r="M59" s="7" t="inlineStr">
        <is>
          <t>https://www.seelisberg.ch/files/pdf/Gemeindeordnung.pdf</t>
        </is>
      </c>
      <c r="N59" s="3" t="inlineStr"/>
      <c r="O59" s="3" t="inlineStr">
        <is>
          <t>2026-10-14</t>
        </is>
      </c>
      <c r="P59" s="3" t="inlineStr">
        <is>
          <t>Zuständigkeiten Gemeindeversammlung/Gemeinderat, Finanzkompetenzen, Zusammenarbeit</t>
        </is>
      </c>
      <c r="Q59" s="3" t="inlineStr"/>
      <c r="R59" s="3" t="inlineStr"/>
      <c r="S59" s="3" t="inlineStr">
        <is>
          <t>Kein Peer-Vergleich</t>
        </is>
      </c>
      <c r="T59" s="3" t="inlineStr">
        <is>
          <t>Noch nicht bewertet</t>
        </is>
      </c>
      <c r="U59" s="3" t="inlineStr">
        <is>
          <t>Hoch</t>
        </is>
      </c>
      <c r="V59" s="3" t="inlineStr"/>
      <c r="W59" s="3" t="inlineStr"/>
      <c r="X59" s="3" t="inlineStr"/>
      <c r="Y59" s="3" t="inlineStr">
        <is>
          <t>Dokument auswerten; Aktualität und Geltung prüfen</t>
        </is>
      </c>
      <c r="Z59" s="3" t="inlineStr">
        <is>
          <t>Automatische Recherche GitHub Actions (Discovery), Fundstelle siehe Spalte Offizielle Fundstelle</t>
        </is>
      </c>
      <c r="AA59" s="3" t="inlineStr">
        <is>
          <t>C1, C5</t>
        </is>
      </c>
      <c r="AB59" s="3" t="inlineStr"/>
      <c r="AC59" s="7" t="inlineStr">
        <is>
          <t>https://www.seelisberg.ch/politik/rechtssammlung</t>
        </is>
      </c>
      <c r="AD59" s="3" t="inlineStr">
        <is>
          <t>Verifiziert</t>
        </is>
      </c>
      <c r="AE59" s="3" t="inlineStr">
        <is>
          <t>200</t>
        </is>
      </c>
      <c r="AF59" s="3" t="inlineStr"/>
      <c r="AG59" s="3" t="inlineStr">
        <is>
          <t>PDF</t>
        </is>
      </c>
      <c r="AH59" s="3" t="inlineStr">
        <is>
          <t>Bestätigt</t>
        </is>
      </c>
      <c r="AI59" s="3" t="inlineStr">
        <is>
          <t>Schlüsselwörter 1/1 gefunden (Gemeindeordnung); Ort/Zuständigkeit: Seelisberg</t>
        </is>
      </c>
      <c r="AJ59" s="3" t="inlineStr">
        <is>
          <t>GEMEINDE SEELISBERG</t>
        </is>
      </c>
      <c r="AK59" s="3" t="inlineStr">
        <is>
          <t>2018, 2009</t>
        </is>
      </c>
      <c r="AL59" s="3" t="inlineStr">
        <is>
          <t>Mittel (CMS-Dokumentlink)</t>
        </is>
      </c>
      <c r="AM59" s="3" t="inlineStr">
        <is>
          <t>2026-10-14 13:54</t>
        </is>
      </c>
      <c r="AN59" s="3" t="inlineStr">
        <is>
          <t>Öffentlich verfügbar und verifiziert</t>
        </is>
      </c>
      <c r="AO59" s="3" t="inlineStr"/>
      <c r="AP59" s="3" t="inlineStr">
        <is>
          <t>Belegt Existenz und Zugänglichkeit der Quelle; inhaltliche Aussagen erst nach Auswertung. Fundstellen im Dokument (automatisch): Zweckverband: nicht gefunden; Zusammenarbeit: nicht gefunden; Finanzbefugnis: nicht gefunden; Kredit: S. 9.</t>
        </is>
      </c>
      <c r="AQ59" s="3" t="inlineStr">
        <is>
          <t>Keine Einstufung: Kennzahlen/Befunde noch nicht ausgewertet; Schwellen der Bewertungslogik noch nicht validiert.</t>
        </is>
      </c>
      <c r="AR59" s="3" t="inlineStr">
        <is>
          <t>Ja</t>
        </is>
      </c>
      <c r="AS59" s="3" t="inlineStr">
        <is>
          <t>Gemeindeverwaltung Seelisberg</t>
        </is>
      </c>
      <c r="AT59" s="3" t="inlineStr">
        <is>
          <t>In Prüfung</t>
        </is>
      </c>
      <c r="AU59" s="3" t="inlineStr">
        <is>
          <t>Fassungsdatum im Dokument prüfen (zitiert als 27.11.2009).</t>
        </is>
      </c>
      <c r="AV59" s="3" t="inlineStr"/>
      <c r="AW59" s="3" t="inlineStr">
        <is>
          <t>2026-10-14: neu aufgenommen</t>
        </is>
      </c>
    </row>
    <row r="60" ht="43" customHeight="1">
      <c r="A60" s="2" t="inlineStr">
        <is>
          <t>SEE-C4-01</t>
        </is>
      </c>
      <c r="B60" s="15" t="inlineStr">
        <is>
          <t>Gemeinde</t>
        </is>
      </c>
      <c r="C60" s="2" t="inlineStr">
        <is>
          <t>Schweiz</t>
        </is>
      </c>
      <c r="D60" s="2" t="inlineStr">
        <is>
          <t>Uri</t>
        </is>
      </c>
      <c r="E60" s="2" t="inlineStr">
        <is>
          <t>Seelisberg</t>
        </is>
      </c>
      <c r="F60" s="2" t="inlineStr">
        <is>
          <t>C4</t>
        </is>
      </c>
      <c r="G60" s="2" t="inlineStr">
        <is>
          <t>Verwaltung</t>
        </is>
      </c>
      <c r="H60" s="2" t="inlineStr">
        <is>
          <t>Seelisberg: Behörden und Kommissionen</t>
        </is>
      </c>
      <c r="I60" s="2" t="inlineStr">
        <is>
          <t>Behördenübersicht</t>
        </is>
      </c>
      <c r="J60" s="2" t="inlineStr">
        <is>
          <t>Offizielle Quelle recherchiert</t>
        </is>
      </c>
      <c r="K60" s="2" t="inlineStr">
        <is>
          <t>Orientierung / Datengrundlage</t>
        </is>
      </c>
      <c r="L60" s="2" t="inlineStr">
        <is>
          <t>Gemeinde Seelisberg</t>
        </is>
      </c>
      <c r="M60" s="5" t="inlineStr">
        <is>
          <t>https://www.seelisberg.ch/politik/beh%C3%B6rden-kommissionen</t>
        </is>
      </c>
      <c r="N60" s="2" t="inlineStr">
        <is>
          <t>Zu prüfen</t>
        </is>
      </c>
      <c r="O60" s="2" t="inlineStr">
        <is>
          <t>2026-10-14</t>
        </is>
      </c>
      <c r="P60" s="2" t="inlineStr">
        <is>
          <t>Erste Übersicht zur kommunalen Aufgabenorganisation</t>
        </is>
      </c>
      <c r="Q60" s="2" t="inlineStr">
        <is>
          <t>Projektleitung, Personal, externe Mandate</t>
        </is>
      </c>
      <c r="R60" s="2" t="inlineStr">
        <is>
          <t>Personal- und Prozessangaben bei Gemeinde anfragen</t>
        </is>
      </c>
      <c r="S60" s="2" t="inlineStr">
        <is>
          <t>Qualitativ</t>
        </is>
      </c>
      <c r="T60" s="2" t="inlineStr">
        <is>
          <t>Noch nicht bewertet</t>
        </is>
      </c>
      <c r="U60" s="2" t="inlineStr">
        <is>
          <t>Mittel</t>
        </is>
      </c>
      <c r="V60" s="2" t="inlineStr">
        <is>
          <t>Kennzahlen und Befunde noch extrahieren</t>
        </is>
      </c>
      <c r="W60" s="2" t="inlineStr">
        <is>
          <t>Q6; C3</t>
        </is>
      </c>
      <c r="X60" s="2" t="inlineStr">
        <is>
          <t>Verwaltungsfähigkeit</t>
        </is>
      </c>
      <c r="Y60" s="2" t="inlineStr">
        <is>
          <t>Dokument auswerten; Aktualität und Geltung prüfen</t>
        </is>
      </c>
      <c r="Z60" s="2" t="inlineStr">
        <is>
          <t>Webrecherche 14.10.2026</t>
        </is>
      </c>
      <c r="AA60" s="2" t="inlineStr"/>
      <c r="AB60" s="2" t="inlineStr"/>
      <c r="AC60" s="2" t="inlineStr"/>
      <c r="AD60" s="2" t="inlineStr">
        <is>
          <t>Verifiziert</t>
        </is>
      </c>
      <c r="AE60" s="2" t="inlineStr">
        <is>
          <t>200</t>
        </is>
      </c>
      <c r="AF60" s="2" t="inlineStr"/>
      <c r="AG60" s="2" t="inlineStr">
        <is>
          <t>HTML</t>
        </is>
      </c>
      <c r="AH60" s="2" t="inlineStr">
        <is>
          <t>Bestätigt</t>
        </is>
      </c>
      <c r="AI60" s="2" t="inlineStr">
        <is>
          <t>Schlüsselwörter 1/1 gefunden (Kommission); Ort/Zuständigkeit: Seelisberg</t>
        </is>
      </c>
      <c r="AJ60" s="2" t="inlineStr">
        <is>
          <t>Gemeinde Seelisberg | Einwohner-Service | Behörden und Kommissionen</t>
        </is>
      </c>
      <c r="AK60" s="2" t="inlineStr"/>
      <c r="AL60" s="2" t="inlineStr">
        <is>
          <t>Mittel (Webseite)</t>
        </is>
      </c>
      <c r="AM60" s="2" t="inlineStr">
        <is>
          <t>2026-10-14 13:53</t>
        </is>
      </c>
      <c r="AN60" s="2" t="inlineStr">
        <is>
          <t>Öffentlich verfügbar und verifiziert</t>
        </is>
      </c>
      <c r="AO60" s="2" t="inlineStr">
        <is>
          <t>Zu prüfen</t>
        </is>
      </c>
      <c r="AP60" s="2" t="inlineStr">
        <is>
          <t>Belegt Existenz und Zugänglichkeit der Quelle; inhaltliche Aussagen erst nach Auswertung.</t>
        </is>
      </c>
      <c r="AQ60" s="2" t="inlineStr">
        <is>
          <t>Keine Einstufung: Kennzahlen/Befunde noch nicht ausgewertet; Schwellen der Bewertungslogik noch nicht validiert.</t>
        </is>
      </c>
      <c r="AR60" s="2" t="inlineStr">
        <is>
          <t>Ja</t>
        </is>
      </c>
      <c r="AS60" s="2" t="inlineStr">
        <is>
          <t>Gemeindeverwaltung Seelisberg</t>
        </is>
      </c>
      <c r="AT60" s="2" t="inlineStr">
        <is>
          <t>In Prüfung</t>
        </is>
      </c>
      <c r="AU60" s="2" t="inlineStr"/>
      <c r="AV60" s="2" t="inlineStr">
        <is>
          <t>SEE-C3-01</t>
        </is>
      </c>
      <c r="AW60" s="2" t="inlineStr"/>
    </row>
    <row r="61" ht="43" customHeight="1">
      <c r="A61" s="3" t="inlineStr">
        <is>
          <t>SEE-C4-02</t>
        </is>
      </c>
      <c r="B61" s="15" t="inlineStr">
        <is>
          <t>Gemeinde</t>
        </is>
      </c>
      <c r="C61" s="3" t="inlineStr">
        <is>
          <t>Schweiz</t>
        </is>
      </c>
      <c r="D61" s="3" t="inlineStr">
        <is>
          <t>Uri</t>
        </is>
      </c>
      <c r="E61" s="3" t="inlineStr">
        <is>
          <t>Seelisberg</t>
        </is>
      </c>
      <c r="F61" s="3" t="inlineStr">
        <is>
          <t>C4</t>
        </is>
      </c>
      <c r="G61" s="3" t="inlineStr">
        <is>
          <t>Verwaltungsorganisation</t>
        </is>
      </c>
      <c r="H61" s="3" t="inlineStr">
        <is>
          <t>Gemeinde Seelisberg: Personal der Gemeindeverwaltung</t>
        </is>
      </c>
      <c r="I61" s="3" t="inlineStr">
        <is>
          <t>Webseite</t>
        </is>
      </c>
      <c r="J61" s="3" t="inlineStr">
        <is>
          <t>Webseite</t>
        </is>
      </c>
      <c r="K61" s="3" t="inlineStr">
        <is>
          <t>Information</t>
        </is>
      </c>
      <c r="L61" s="3" t="inlineStr">
        <is>
          <t>Gemeinde Seelisberg</t>
        </is>
      </c>
      <c r="M61" s="7" t="inlineStr">
        <is>
          <t>https://www.seelisberg.ch/personal</t>
        </is>
      </c>
      <c r="N61" s="3" t="inlineStr"/>
      <c r="O61" s="3" t="inlineStr">
        <is>
          <t>2026-10-14</t>
        </is>
      </c>
      <c r="P61" s="3" t="inlineStr">
        <is>
          <t>Übersicht Verwaltungspersonal (Kapazitätsindikator, kein Kompetenznachweis)</t>
        </is>
      </c>
      <c r="Q61" s="3" t="inlineStr"/>
      <c r="R61" s="3" t="inlineStr"/>
      <c r="S61" s="3" t="inlineStr">
        <is>
          <t>Kein Peer-Vergleich</t>
        </is>
      </c>
      <c r="T61" s="3" t="inlineStr">
        <is>
          <t>Noch nicht bewertet</t>
        </is>
      </c>
      <c r="U61" s="3" t="inlineStr">
        <is>
          <t>Mittel</t>
        </is>
      </c>
      <c r="V61" s="3" t="inlineStr"/>
      <c r="W61" s="3" t="inlineStr"/>
      <c r="X61" s="3" t="inlineStr"/>
      <c r="Y61" s="3" t="inlineStr">
        <is>
          <t>Dokument auswerten; Aktualität und Geltung prüfen</t>
        </is>
      </c>
      <c r="Z61" s="3" t="inlineStr">
        <is>
          <t>Websuche 14.10.2026 (URL im Suchergebnis gefunden)</t>
        </is>
      </c>
      <c r="AA61" s="3" t="inlineStr"/>
      <c r="AB61" s="3" t="inlineStr"/>
      <c r="AC61" s="3" t="inlineStr"/>
      <c r="AD61" s="3" t="inlineStr">
        <is>
          <t>Verifiziert</t>
        </is>
      </c>
      <c r="AE61" s="3" t="inlineStr">
        <is>
          <t>200</t>
        </is>
      </c>
      <c r="AF61" s="3" t="inlineStr"/>
      <c r="AG61" s="3" t="inlineStr">
        <is>
          <t>HTML</t>
        </is>
      </c>
      <c r="AH61" s="3" t="inlineStr">
        <is>
          <t>Bestätigt</t>
        </is>
      </c>
      <c r="AI61" s="3" t="inlineStr">
        <is>
          <t>Schlüsselwörter 1/1 gefunden (Verwaltung); Ort/Zuständigkeit: Seelisberg</t>
        </is>
      </c>
      <c r="AJ61" s="3" t="inlineStr">
        <is>
          <t>Gemeinde Seelisberg | Einwohner-Service | Unsere Mitarbeitenden im Überblick</t>
        </is>
      </c>
      <c r="AK61" s="3" t="inlineStr"/>
      <c r="AL61" s="3" t="inlineStr">
        <is>
          <t>Mittel (Webseite)</t>
        </is>
      </c>
      <c r="AM61" s="3" t="inlineStr">
        <is>
          <t>2026-10-14 13:54</t>
        </is>
      </c>
      <c r="AN61" s="3" t="inlineStr">
        <is>
          <t>Öffentlich verfügbar und verifiziert</t>
        </is>
      </c>
      <c r="AO61" s="3" t="inlineStr"/>
      <c r="AP61" s="3" t="inlineStr">
        <is>
          <t>Belegt Existenz und Zugänglichkeit der Quelle; inhaltliche Aussagen erst nach Auswertung.</t>
        </is>
      </c>
      <c r="AQ61" s="3" t="inlineStr">
        <is>
          <t>Keine Einstufung: Kennzahlen/Befunde noch nicht ausgewertet; Schwellen der Bewertungslogik noch nicht validiert.</t>
        </is>
      </c>
      <c r="AR61" s="3" t="inlineStr">
        <is>
          <t>Ja</t>
        </is>
      </c>
      <c r="AS61" s="3" t="inlineStr">
        <is>
          <t>Gemeindeverwaltung Seelisberg</t>
        </is>
      </c>
      <c r="AT61" s="3" t="inlineStr">
        <is>
          <t>In Prüfung</t>
        </is>
      </c>
      <c r="AU61" s="3" t="inlineStr"/>
      <c r="AV61" s="3" t="inlineStr"/>
      <c r="AW61" s="3" t="inlineStr">
        <is>
          <t>2026-10-14: neu aufgenommen</t>
        </is>
      </c>
    </row>
    <row r="62" ht="43" customHeight="1">
      <c r="A62" s="2" t="inlineStr">
        <is>
          <t>SEE-C4-03</t>
        </is>
      </c>
      <c r="B62" s="15" t="inlineStr">
        <is>
          <t>Gemeinde</t>
        </is>
      </c>
      <c r="C62" s="2" t="inlineStr">
        <is>
          <t>Schweiz</t>
        </is>
      </c>
      <c r="D62" s="2" t="inlineStr">
        <is>
          <t>Uri</t>
        </is>
      </c>
      <c r="E62" s="2" t="inlineStr">
        <is>
          <t>Seelisberg</t>
        </is>
      </c>
      <c r="F62" s="2" t="inlineStr">
        <is>
          <t>C4</t>
        </is>
      </c>
      <c r="G62" s="2" t="inlineStr">
        <is>
          <t>Personal</t>
        </is>
      </c>
      <c r="H62" s="2" t="inlineStr">
        <is>
          <t>Verordnung über das Personal der Gemeinde Seelisberg</t>
        </is>
      </c>
      <c r="I62" s="2" t="inlineStr">
        <is>
          <t>Kommunale Verordnung</t>
        </is>
      </c>
      <c r="J62" s="2" t="inlineStr">
        <is>
          <t>Direktes Dokument</t>
        </is>
      </c>
      <c r="K62" s="2" t="inlineStr">
        <is>
          <t>Kommunales Recht (verbindlich)</t>
        </is>
      </c>
      <c r="L62" s="2" t="inlineStr">
        <is>
          <t>Gemeinde Seelisberg</t>
        </is>
      </c>
      <c r="M62" s="5" t="inlineStr">
        <is>
          <t>https://www.seelisberg.ch/files/pdf/Verordnung_%C3%BCber_das_Personal.pdf</t>
        </is>
      </c>
      <c r="N62" s="2" t="inlineStr"/>
      <c r="O62" s="2" t="inlineStr">
        <is>
          <t>2026-10-14</t>
        </is>
      </c>
      <c r="P62" s="2" t="inlineStr">
        <is>
          <t>Anstellungsrahmen und Zuständigkeiten im Personalwesen (keine Aussage zu Kapazität)</t>
        </is>
      </c>
      <c r="Q62" s="2" t="inlineStr"/>
      <c r="R62" s="2" t="inlineStr"/>
      <c r="S62" s="2" t="inlineStr">
        <is>
          <t>Kein Peer-Vergleich</t>
        </is>
      </c>
      <c r="T62" s="2" t="inlineStr">
        <is>
          <t>Noch nicht bewertet</t>
        </is>
      </c>
      <c r="U62" s="2" t="inlineStr">
        <is>
          <t>Hoch</t>
        </is>
      </c>
      <c r="V62" s="2" t="inlineStr"/>
      <c r="W62" s="2" t="inlineStr"/>
      <c r="X62" s="2" t="inlineStr"/>
      <c r="Y62" s="2" t="inlineStr">
        <is>
          <t>Dokument auswerten; Aktualität und Geltung prüfen</t>
        </is>
      </c>
      <c r="Z62" s="2" t="inlineStr">
        <is>
          <t>Automatische Recherche GitHub Actions (Discovery), Fundstelle siehe Spalte Offizielle Fundstelle</t>
        </is>
      </c>
      <c r="AA62" s="2" t="inlineStr"/>
      <c r="AB62" s="2" t="inlineStr"/>
      <c r="AC62" s="5" t="inlineStr">
        <is>
          <t>https://www.seelisberg.ch/politik/rechtssammlung</t>
        </is>
      </c>
      <c r="AD62" s="2" t="inlineStr">
        <is>
          <t>Fehler</t>
        </is>
      </c>
      <c r="AE62" s="2" t="inlineStr">
        <is>
          <t>404</t>
        </is>
      </c>
      <c r="AF62" s="2" t="inlineStr"/>
      <c r="AG62" s="2" t="inlineStr"/>
      <c r="AH62" s="2" t="inlineStr">
        <is>
          <t>Offen</t>
        </is>
      </c>
      <c r="AI62" s="2" t="inlineStr">
        <is>
          <t>HTTP 404</t>
        </is>
      </c>
      <c r="AJ62" s="2" t="inlineStr"/>
      <c r="AK62" s="2" t="inlineStr"/>
      <c r="AL62" s="2" t="inlineStr">
        <is>
          <t>Mittel (CMS-Dokumentlink)</t>
        </is>
      </c>
      <c r="AM62" s="2" t="inlineStr">
        <is>
          <t>2026-10-14 13:54</t>
        </is>
      </c>
      <c r="AN62" s="2" t="inlineStr">
        <is>
          <t>Nicht zugänglich / nicht prüfbar</t>
        </is>
      </c>
      <c r="AO62" s="2" t="inlineStr"/>
      <c r="AP62" s="2" t="inlineStr">
        <is>
          <t>Belegt Existenz und Zugänglichkeit der Quelle; inhaltliche Aussagen erst nach Auswertung.</t>
        </is>
      </c>
      <c r="AQ62" s="2" t="inlineStr">
        <is>
          <t>Keine Einstufung: Kennzahlen/Befunde noch nicht ausgewertet; Schwellen der Bewertungslogik noch nicht validiert.</t>
        </is>
      </c>
      <c r="AR62" s="2" t="inlineStr">
        <is>
          <t>Ja</t>
        </is>
      </c>
      <c r="AS62" s="2" t="inlineStr">
        <is>
          <t>Gemeindeverwaltung Seelisberg</t>
        </is>
      </c>
      <c r="AT62" s="2" t="inlineStr">
        <is>
          <t>Offen</t>
        </is>
      </c>
      <c r="AU62" s="2" t="inlineStr">
        <is>
          <t>Link defekt – Ersatz recherchieren</t>
        </is>
      </c>
      <c r="AV62" s="2" t="inlineStr"/>
      <c r="AW62" s="2" t="inlineStr">
        <is>
          <t>2026-10-14: neu aufgenommen</t>
        </is>
      </c>
    </row>
    <row r="63" ht="43" customHeight="1">
      <c r="A63" s="3" t="inlineStr">
        <is>
          <t>SEE-C4-04</t>
        </is>
      </c>
      <c r="B63" s="15" t="inlineStr">
        <is>
          <t>Gemeinde</t>
        </is>
      </c>
      <c r="C63" s="3" t="inlineStr">
        <is>
          <t>Schweiz</t>
        </is>
      </c>
      <c r="D63" s="3" t="inlineStr">
        <is>
          <t>Uri</t>
        </is>
      </c>
      <c r="E63" s="3" t="inlineStr">
        <is>
          <t>Seelisberg</t>
        </is>
      </c>
      <c r="F63" s="3" t="inlineStr">
        <is>
          <t>C4</t>
        </is>
      </c>
      <c r="G63" s="3" t="inlineStr">
        <is>
          <t>Behördenorganisation</t>
        </is>
      </c>
      <c r="H63" s="3" t="inlineStr">
        <is>
          <t>Verordnung über das Verfahren in den Behörden der Gemeinde Seelisberg</t>
        </is>
      </c>
      <c r="I63" s="3" t="inlineStr">
        <is>
          <t>Kommunale Verordnung</t>
        </is>
      </c>
      <c r="J63" s="3" t="inlineStr">
        <is>
          <t>Direktes Dokument</t>
        </is>
      </c>
      <c r="K63" s="3" t="inlineStr">
        <is>
          <t>Kommunales Recht (verbindlich)</t>
        </is>
      </c>
      <c r="L63" s="3" t="inlineStr">
        <is>
          <t>Gemeinde Seelisberg</t>
        </is>
      </c>
      <c r="M63" s="7" t="inlineStr">
        <is>
          <t>https://www.seelisberg.ch/files/pdf/Verordnung_%C3%BCber_das_Verfahren_in_den_Beh%C3%B6rden.pdf</t>
        </is>
      </c>
      <c r="N63" s="3" t="inlineStr"/>
      <c r="O63" s="3" t="inlineStr">
        <is>
          <t>2026-10-14</t>
        </is>
      </c>
      <c r="P63" s="3" t="inlineStr">
        <is>
          <t>Arbeitsweise und Beschlussfassung von Gemeinderat und Kommissionen</t>
        </is>
      </c>
      <c r="Q63" s="3" t="inlineStr"/>
      <c r="R63" s="3" t="inlineStr"/>
      <c r="S63" s="3" t="inlineStr">
        <is>
          <t>Kein Peer-Vergleich</t>
        </is>
      </c>
      <c r="T63" s="3" t="inlineStr">
        <is>
          <t>Noch nicht bewertet</t>
        </is>
      </c>
      <c r="U63" s="3" t="inlineStr">
        <is>
          <t>Hoch</t>
        </is>
      </c>
      <c r="V63" s="3" t="inlineStr"/>
      <c r="W63" s="3" t="inlineStr"/>
      <c r="X63" s="3" t="inlineStr"/>
      <c r="Y63" s="3" t="inlineStr">
        <is>
          <t>Dokument auswerten; Aktualität und Geltung prüfen</t>
        </is>
      </c>
      <c r="Z63" s="3" t="inlineStr">
        <is>
          <t>Automatische Recherche GitHub Actions (Discovery), Fundstelle siehe Spalte Offizielle Fundstelle</t>
        </is>
      </c>
      <c r="AA63" s="3" t="inlineStr">
        <is>
          <t>C3</t>
        </is>
      </c>
      <c r="AB63" s="3" t="inlineStr"/>
      <c r="AC63" s="7" t="inlineStr">
        <is>
          <t>https://www.seelisberg.ch/politik/rechtssammlung</t>
        </is>
      </c>
      <c r="AD63" s="3" t="inlineStr">
        <is>
          <t>Fehler</t>
        </is>
      </c>
      <c r="AE63" s="3" t="inlineStr">
        <is>
          <t>404</t>
        </is>
      </c>
      <c r="AF63" s="3" t="inlineStr"/>
      <c r="AG63" s="3" t="inlineStr"/>
      <c r="AH63" s="3" t="inlineStr">
        <is>
          <t>Offen</t>
        </is>
      </c>
      <c r="AI63" s="3" t="inlineStr">
        <is>
          <t>HTTP 404</t>
        </is>
      </c>
      <c r="AJ63" s="3" t="inlineStr"/>
      <c r="AK63" s="3" t="inlineStr"/>
      <c r="AL63" s="3" t="inlineStr">
        <is>
          <t>Mittel (CMS-Dokumentlink)</t>
        </is>
      </c>
      <c r="AM63" s="3" t="inlineStr">
        <is>
          <t>2026-10-14 13:54</t>
        </is>
      </c>
      <c r="AN63" s="3" t="inlineStr">
        <is>
          <t>Nicht zugänglich / nicht prüfbar</t>
        </is>
      </c>
      <c r="AO63" s="3" t="inlineStr"/>
      <c r="AP63" s="3" t="inlineStr">
        <is>
          <t>Belegt Existenz und Zugänglichkeit der Quelle; inhaltliche Aussagen erst nach Auswertung.</t>
        </is>
      </c>
      <c r="AQ63" s="3" t="inlineStr">
        <is>
          <t>Keine Einstufung: Kennzahlen/Befunde noch nicht ausgewertet; Schwellen der Bewertungslogik noch nicht validiert.</t>
        </is>
      </c>
      <c r="AR63" s="3" t="inlineStr">
        <is>
          <t>Ja</t>
        </is>
      </c>
      <c r="AS63" s="3" t="inlineStr">
        <is>
          <t>Gemeindeverwaltung Seelisberg</t>
        </is>
      </c>
      <c r="AT63" s="3" t="inlineStr">
        <is>
          <t>Offen</t>
        </is>
      </c>
      <c r="AU63" s="3" t="inlineStr">
        <is>
          <t>Link defekt – Ersatz recherchieren</t>
        </is>
      </c>
      <c r="AV63" s="3" t="inlineStr"/>
      <c r="AW63" s="3" t="inlineStr">
        <is>
          <t>2026-10-14: neu aufgenommen</t>
        </is>
      </c>
    </row>
    <row r="64" ht="43" customHeight="1">
      <c r="A64" s="2" t="inlineStr">
        <is>
          <t>SEE-C5-01</t>
        </is>
      </c>
      <c r="B64" s="15" t="inlineStr">
        <is>
          <t>Gemeinde</t>
        </is>
      </c>
      <c r="C64" s="2" t="inlineStr">
        <is>
          <t>Schweiz</t>
        </is>
      </c>
      <c r="D64" s="2" t="inlineStr">
        <is>
          <t>Uri</t>
        </is>
      </c>
      <c r="E64" s="2" t="inlineStr">
        <is>
          <t>Seelisberg</t>
        </is>
      </c>
      <c r="F64" s="2" t="inlineStr">
        <is>
          <t>C5</t>
        </is>
      </c>
      <c r="G64" s="2" t="inlineStr">
        <is>
          <t>Politische Beschlüsse</t>
        </is>
      </c>
      <c r="H64" s="2" t="inlineStr">
        <is>
          <t>Seelisberg: Gemeindeversammlung und Beschlussprotokolle</t>
        </is>
      </c>
      <c r="I64" s="2" t="inlineStr">
        <is>
          <t>Protokollsammlung</t>
        </is>
      </c>
      <c r="J64" s="2" t="inlineStr">
        <is>
          <t>Offizielle Quelle recherchiert</t>
        </is>
      </c>
      <c r="K64" s="2" t="inlineStr">
        <is>
          <t>Orientierung / Datengrundlage</t>
        </is>
      </c>
      <c r="L64" s="2" t="inlineStr">
        <is>
          <t>Gemeinde Seelisberg</t>
        </is>
      </c>
      <c r="M64" s="5" t="inlineStr">
        <is>
          <t>https://www.seelisberg.ch/politik/gemeindeversammlung</t>
        </is>
      </c>
      <c r="N64" s="2" t="inlineStr">
        <is>
          <t>Zu prüfen</t>
        </is>
      </c>
      <c r="O64" s="2" t="inlineStr">
        <is>
          <t>2026-10-14</t>
        </is>
      </c>
      <c r="P64" s="2" t="inlineStr">
        <is>
          <t>Politische Zuständigkeiten; dokumentierte Ausgabenkompetenzen</t>
        </is>
      </c>
      <c r="Q64" s="2" t="inlineStr">
        <is>
          <t>Mitwirkung, Abstimmungen, Entscheidungsregeln</t>
        </is>
      </c>
      <c r="R64" s="2" t="inlineStr">
        <is>
          <t>Beschlüsse und Gemeindeordnung auswerten</t>
        </is>
      </c>
      <c r="S64" s="2" t="inlineStr">
        <is>
          <t>Qualitativ</t>
        </is>
      </c>
      <c r="T64" s="2" t="inlineStr">
        <is>
          <t>Noch nicht bewertet</t>
        </is>
      </c>
      <c r="U64" s="2" t="inlineStr">
        <is>
          <t>Mittel</t>
        </is>
      </c>
      <c r="V64" s="2" t="inlineStr">
        <is>
          <t>Kennzahlen und Befunde noch extrahieren</t>
        </is>
      </c>
      <c r="W64" s="2" t="inlineStr">
        <is>
          <t>C3; Q1</t>
        </is>
      </c>
      <c r="X64" s="2" t="inlineStr">
        <is>
          <t>Legitimation</t>
        </is>
      </c>
      <c r="Y64" s="2" t="inlineStr">
        <is>
          <t>Dokument auswerten; Aktualität und Geltung prüfen</t>
        </is>
      </c>
      <c r="Z64" s="2" t="inlineStr">
        <is>
          <t>Webrecherche 14.10.2026</t>
        </is>
      </c>
      <c r="AA64" s="2" t="inlineStr"/>
      <c r="AB64" s="2" t="inlineStr"/>
      <c r="AC64" s="2" t="inlineStr"/>
      <c r="AD64" s="2" t="inlineStr">
        <is>
          <t>Verifiziert</t>
        </is>
      </c>
      <c r="AE64" s="2" t="inlineStr">
        <is>
          <t>200</t>
        </is>
      </c>
      <c r="AF64" s="2" t="inlineStr"/>
      <c r="AG64" s="2" t="inlineStr">
        <is>
          <t>HTML</t>
        </is>
      </c>
      <c r="AH64" s="2" t="inlineStr">
        <is>
          <t>Bestätigt</t>
        </is>
      </c>
      <c r="AI64" s="2" t="inlineStr">
        <is>
          <t>Schlüsselwörter 1/1 gefunden (Gemeindeversammlung); Ort/Zuständigkeit: Seelisberg</t>
        </is>
      </c>
      <c r="AJ64" s="2" t="inlineStr">
        <is>
          <t>Gemeinde Seelisberg | Einwohner-Service | Gemeindeversammlung</t>
        </is>
      </c>
      <c r="AK64" s="2" t="inlineStr">
        <is>
          <t>2024, 2023, 2022, 2021, 2025, 2026</t>
        </is>
      </c>
      <c r="AL64" s="2" t="inlineStr">
        <is>
          <t>Mittel (Webseite)</t>
        </is>
      </c>
      <c r="AM64" s="2" t="inlineStr">
        <is>
          <t>2026-10-14 13:53</t>
        </is>
      </c>
      <c r="AN64" s="2" t="inlineStr">
        <is>
          <t>Öffentlich verfügbar und verifiziert</t>
        </is>
      </c>
      <c r="AO64" s="2" t="inlineStr">
        <is>
          <t>Zu prüfen</t>
        </is>
      </c>
      <c r="AP64" s="2" t="inlineStr">
        <is>
          <t>Belegt Existenz und Zugänglichkeit der Quelle; inhaltliche Aussagen erst nach Auswertung.</t>
        </is>
      </c>
      <c r="AQ64" s="2" t="inlineStr">
        <is>
          <t>Keine Einstufung: Kennzahlen/Befunde noch nicht ausgewertet; Schwellen der Bewertungslogik noch nicht validiert.</t>
        </is>
      </c>
      <c r="AR64" s="2" t="inlineStr">
        <is>
          <t>Nein</t>
        </is>
      </c>
      <c r="AS64" s="2" t="inlineStr">
        <is>
          <t>Gemeindeverwaltung Seelisberg</t>
        </is>
      </c>
      <c r="AT64" s="2" t="inlineStr">
        <is>
          <t>In Prüfung</t>
        </is>
      </c>
      <c r="AU64" s="2" t="inlineStr"/>
      <c r="AV64" s="2" t="inlineStr">
        <is>
          <t>SEE-C1-01</t>
        </is>
      </c>
      <c r="AW64" s="2" t="inlineStr"/>
    </row>
    <row r="65" ht="43" customHeight="1">
      <c r="A65" s="3" t="inlineStr">
        <is>
          <t>SEE-C5-02</t>
        </is>
      </c>
      <c r="B65" s="15" t="inlineStr">
        <is>
          <t>Gemeinde</t>
        </is>
      </c>
      <c r="C65" s="3" t="inlineStr">
        <is>
          <t>Schweiz</t>
        </is>
      </c>
      <c r="D65" s="3" t="inlineStr">
        <is>
          <t>Uri</t>
        </is>
      </c>
      <c r="E65" s="3" t="inlineStr">
        <is>
          <t>Seelisberg</t>
        </is>
      </c>
      <c r="F65" s="3" t="inlineStr">
        <is>
          <t>C5</t>
        </is>
      </c>
      <c r="G65" s="3" t="inlineStr">
        <is>
          <t>Leitbild</t>
        </is>
      </c>
      <c r="H65" s="3" t="inlineStr">
        <is>
          <t>Gemeinde Seelisberg: Neues Leitbild der Gemeinde (2025)</t>
        </is>
      </c>
      <c r="I65" s="3" t="inlineStr">
        <is>
          <t>Leitbild / Mitteilung</t>
        </is>
      </c>
      <c r="J65" s="3" t="inlineStr">
        <is>
          <t>Webseite</t>
        </is>
      </c>
      <c r="K65" s="3" t="inlineStr">
        <is>
          <t>Politische Zielsetzung</t>
        </is>
      </c>
      <c r="L65" s="3" t="inlineStr">
        <is>
          <t>Gemeinde Seelisberg</t>
        </is>
      </c>
      <c r="M65" s="7" t="inlineStr">
        <is>
          <t>https://www.seelisberg.ch/news/neues-leitbild-der-gemeinde-seelisberg</t>
        </is>
      </c>
      <c r="N65" s="3" t="inlineStr">
        <is>
          <t>2025</t>
        </is>
      </c>
      <c r="O65" s="3" t="inlineStr">
        <is>
          <t>2026-10-14</t>
        </is>
      </c>
      <c r="P65" s="3" t="inlineStr">
        <is>
          <t>Mitwirkungsprozess (Workshop, Umfrage) und Themen; belegt keine Akzeptanz</t>
        </is>
      </c>
      <c r="Q65" s="3" t="inlineStr"/>
      <c r="R65" s="3" t="inlineStr"/>
      <c r="S65" s="3" t="inlineStr">
        <is>
          <t>Kein Peer-Vergleich</t>
        </is>
      </c>
      <c r="T65" s="3" t="inlineStr">
        <is>
          <t>Noch nicht bewertet</t>
        </is>
      </c>
      <c r="U65" s="3" t="inlineStr">
        <is>
          <t>Mittel</t>
        </is>
      </c>
      <c r="V65" s="3" t="inlineStr"/>
      <c r="W65" s="3" t="inlineStr"/>
      <c r="X65" s="3" t="inlineStr"/>
      <c r="Y65" s="3" t="inlineStr">
        <is>
          <t>Dokument auswerten; Aktualität und Geltung prüfen</t>
        </is>
      </c>
      <c r="Z65" s="3" t="inlineStr">
        <is>
          <t>Websuche 14.10.2026 (URL im Suchergebnis gefunden)</t>
        </is>
      </c>
      <c r="AA65" s="3" t="inlineStr"/>
      <c r="AB65" s="3" t="inlineStr"/>
      <c r="AC65" s="7" t="inlineStr">
        <is>
          <t>https://www.seelisberg.ch/ueber-seelisberg/leitbild</t>
        </is>
      </c>
      <c r="AD65" s="3" t="inlineStr">
        <is>
          <t>Verifiziert</t>
        </is>
      </c>
      <c r="AE65" s="3" t="inlineStr">
        <is>
          <t>200</t>
        </is>
      </c>
      <c r="AF65" s="3" t="inlineStr"/>
      <c r="AG65" s="3" t="inlineStr">
        <is>
          <t>HTML</t>
        </is>
      </c>
      <c r="AH65" s="3" t="inlineStr">
        <is>
          <t>Bestätigt</t>
        </is>
      </c>
      <c r="AI65" s="3" t="inlineStr">
        <is>
          <t>Schlüsselwörter 1/1 gefunden (Leitbild); Ort/Zuständigkeit: Seelisberg</t>
        </is>
      </c>
      <c r="AJ65" s="3" t="inlineStr">
        <is>
          <t>Gemeinde Seelisberg | Einwohner-Service | Leitbild der Gemeinde Seelisberg</t>
        </is>
      </c>
      <c r="AK65" s="3" t="inlineStr">
        <is>
          <t>2011, 2025</t>
        </is>
      </c>
      <c r="AL65" s="3" t="inlineStr">
        <is>
          <t>Mittel (Webseite)</t>
        </is>
      </c>
      <c r="AM65" s="3" t="inlineStr">
        <is>
          <t>2026-10-14 13:54</t>
        </is>
      </c>
      <c r="AN65" s="3" t="inlineStr">
        <is>
          <t>Öffentlich verfügbar und verifiziert</t>
        </is>
      </c>
      <c r="AO65" s="3" t="inlineStr">
        <is>
          <t>2025</t>
        </is>
      </c>
      <c r="AP65" s="3" t="inlineStr">
        <is>
          <t>Belegt Existenz und Zugänglichkeit der Quelle; inhaltliche Aussagen erst nach Auswertung.</t>
        </is>
      </c>
      <c r="AQ65" s="3" t="inlineStr">
        <is>
          <t>Keine Einstufung: Kennzahlen/Befunde noch nicht ausgewertet; Schwellen der Bewertungslogik noch nicht validiert.</t>
        </is>
      </c>
      <c r="AR65" s="3" t="inlineStr">
        <is>
          <t>Nein</t>
        </is>
      </c>
      <c r="AS65" s="3" t="inlineStr">
        <is>
          <t>Gemeindeverwaltung Seelisberg</t>
        </is>
      </c>
      <c r="AT65" s="3" t="inlineStr">
        <is>
          <t>In Prüfung</t>
        </is>
      </c>
      <c r="AU65" s="3" t="inlineStr"/>
      <c r="AV65" s="3" t="inlineStr"/>
      <c r="AW65" s="3" t="inlineStr">
        <is>
          <t>2026-10-14: neu aufgenommen</t>
        </is>
      </c>
    </row>
    <row r="66" ht="43" customHeight="1">
      <c r="A66" s="2" t="inlineStr">
        <is>
          <t>SEE-C5-03</t>
        </is>
      </c>
      <c r="B66" s="15" t="inlineStr">
        <is>
          <t>Gemeinde</t>
        </is>
      </c>
      <c r="C66" s="2" t="inlineStr">
        <is>
          <t>Schweiz</t>
        </is>
      </c>
      <c r="D66" s="2" t="inlineStr">
        <is>
          <t>Uri</t>
        </is>
      </c>
      <c r="E66" s="2" t="inlineStr">
        <is>
          <t>Seelisberg</t>
        </is>
      </c>
      <c r="F66" s="2" t="inlineStr">
        <is>
          <t>C5</t>
        </is>
      </c>
      <c r="G66" s="2" t="inlineStr">
        <is>
          <t>Beschlussprotokoll</t>
        </is>
      </c>
      <c r="H66" s="2" t="inlineStr">
        <is>
          <t>Beschlussprotokoll Gemeindeversammlung Seelisberg vom 24.11.2023</t>
        </is>
      </c>
      <c r="I66" s="2" t="inlineStr">
        <is>
          <t>Protokoll</t>
        </is>
      </c>
      <c r="J66" s="2" t="inlineStr">
        <is>
          <t>Direktes Dokument</t>
        </is>
      </c>
      <c r="K66" s="2" t="inlineStr">
        <is>
          <t>Beschluss (verbindlich)</t>
        </is>
      </c>
      <c r="L66" s="2" t="inlineStr">
        <is>
          <t>Gemeinde Seelisberg</t>
        </is>
      </c>
      <c r="M66" s="5" t="inlineStr">
        <is>
          <t>https://www.seelisberg.ch/files/pdf/Beschlussprotokoll_GV_24.11.2023.pdf</t>
        </is>
      </c>
      <c r="N66" s="2" t="inlineStr">
        <is>
          <t>2023</t>
        </is>
      </c>
      <c r="O66" s="2" t="inlineStr">
        <is>
          <t>2026-10-14</t>
        </is>
      </c>
      <c r="P66" s="2" t="inlineStr">
        <is>
          <t>Dokumentierte Beschlüsse/Wahlen</t>
        </is>
      </c>
      <c r="Q66" s="2" t="inlineStr"/>
      <c r="R66" s="2" t="inlineStr"/>
      <c r="S66" s="2" t="inlineStr">
        <is>
          <t>Kein Peer-Vergleich</t>
        </is>
      </c>
      <c r="T66" s="2" t="inlineStr">
        <is>
          <t>Noch nicht bewertet</t>
        </is>
      </c>
      <c r="U66" s="2" t="inlineStr">
        <is>
          <t>Hoch</t>
        </is>
      </c>
      <c r="V66" s="2" t="inlineStr"/>
      <c r="W66" s="2" t="inlineStr"/>
      <c r="X66" s="2" t="inlineStr"/>
      <c r="Y66" s="2" t="inlineStr">
        <is>
          <t>Dokument auswerten; Aktualität und Geltung prüfen</t>
        </is>
      </c>
      <c r="Z66" s="2" t="inlineStr">
        <is>
          <t>Websuche 14.10.2026 (URL im Suchergebnis gefunden)</t>
        </is>
      </c>
      <c r="AA66" s="2" t="inlineStr"/>
      <c r="AB66" s="2" t="inlineStr"/>
      <c r="AC66" s="5" t="inlineStr">
        <is>
          <t>https://www.seelisberg.ch/politik/gemeindeversammlung</t>
        </is>
      </c>
      <c r="AD66" s="2" t="inlineStr">
        <is>
          <t>Verifiziert</t>
        </is>
      </c>
      <c r="AE66" s="2" t="inlineStr">
        <is>
          <t>200</t>
        </is>
      </c>
      <c r="AF66" s="2" t="inlineStr"/>
      <c r="AG66" s="2" t="inlineStr">
        <is>
          <t>PDF</t>
        </is>
      </c>
      <c r="AH66" s="2" t="inlineStr">
        <is>
          <t>Bestätigt</t>
        </is>
      </c>
      <c r="AI66" s="2" t="inlineStr">
        <is>
          <t>Schlüsselwörter 1/1 gefunden (Beschluss); Ort/Zuständigkeit: Seelisberg</t>
        </is>
      </c>
      <c r="AJ66" s="2" t="inlineStr">
        <is>
          <t>'GEMEINDESEELISBERG</t>
        </is>
      </c>
      <c r="AK66" s="2" t="inlineStr">
        <is>
          <t>2024, 2023</t>
        </is>
      </c>
      <c r="AL66" s="2" t="inlineStr">
        <is>
          <t>Mittel (CMS-Dokumentlink)</t>
        </is>
      </c>
      <c r="AM66" s="2" t="inlineStr">
        <is>
          <t>2026-10-14 13:54</t>
        </is>
      </c>
      <c r="AN66" s="2" t="inlineStr">
        <is>
          <t>Öffentlich verfügbar und verifiziert</t>
        </is>
      </c>
      <c r="AO66" s="2" t="inlineStr">
        <is>
          <t>2023</t>
        </is>
      </c>
      <c r="AP66" s="2" t="inlineStr">
        <is>
          <t>Belegt Existenz und Zugänglichkeit der Quelle; inhaltliche Aussagen erst nach Auswertung.</t>
        </is>
      </c>
      <c r="AQ66" s="2" t="inlineStr">
        <is>
          <t>Keine Einstufung: Kennzahlen/Befunde noch nicht ausgewertet; Schwellen der Bewertungslogik noch nicht validiert.</t>
        </is>
      </c>
      <c r="AR66" s="2" t="inlineStr">
        <is>
          <t>Nein</t>
        </is>
      </c>
      <c r="AS66" s="2" t="inlineStr">
        <is>
          <t>Gemeindeverwaltung Seelisberg</t>
        </is>
      </c>
      <c r="AT66" s="2" t="inlineStr">
        <is>
          <t>In Prüfung</t>
        </is>
      </c>
      <c r="AU66" s="2" t="inlineStr">
        <is>
          <t>Neuere Protokolle (28.5.2025, 28.11.2025) auf der Fundstelle gelistet; direkter Link per Discovery suchen.</t>
        </is>
      </c>
      <c r="AV66" s="2" t="inlineStr"/>
      <c r="AW66" s="2" t="inlineStr">
        <is>
          <t>2026-10-14: neu aufgenommen</t>
        </is>
      </c>
    </row>
    <row r="67" ht="43" customHeight="1">
      <c r="A67" s="3" t="inlineStr">
        <is>
          <t>SEE-C5-04</t>
        </is>
      </c>
      <c r="B67" s="15" t="inlineStr">
        <is>
          <t>Gemeinde</t>
        </is>
      </c>
      <c r="C67" s="3" t="inlineStr">
        <is>
          <t>Schweiz</t>
        </is>
      </c>
      <c r="D67" s="3" t="inlineStr">
        <is>
          <t>Uri</t>
        </is>
      </c>
      <c r="E67" s="3" t="inlineStr">
        <is>
          <t>Seelisberg</t>
        </is>
      </c>
      <c r="F67" s="3" t="inlineStr">
        <is>
          <t>C5</t>
        </is>
      </c>
      <c r="G67" s="3" t="inlineStr">
        <is>
          <t>Beschlussprotokoll</t>
        </is>
      </c>
      <c r="H67" s="3" t="inlineStr">
        <is>
          <t>Beschlussprotokoll Gemeindeversammlung Seelisberg vom 28.11.2025</t>
        </is>
      </c>
      <c r="I67" s="3" t="inlineStr">
        <is>
          <t>Protokoll</t>
        </is>
      </c>
      <c r="J67" s="3" t="inlineStr">
        <is>
          <t>Direktes Dokument</t>
        </is>
      </c>
      <c r="K67" s="3" t="inlineStr">
        <is>
          <t>Beschluss (verbindlich)</t>
        </is>
      </c>
      <c r="L67" s="3" t="inlineStr">
        <is>
          <t>Gemeinde Seelisberg</t>
        </is>
      </c>
      <c r="M67" s="7" t="inlineStr">
        <is>
          <t>https://www.seelisberg.ch/files/pdf/Beschlussprotokoll_GV_28.11.2025.pdf</t>
        </is>
      </c>
      <c r="N67" s="3" t="inlineStr">
        <is>
          <t>2025</t>
        </is>
      </c>
      <c r="O67" s="3" t="inlineStr">
        <is>
          <t>2026-10-14</t>
        </is>
      </c>
      <c r="P67" s="3" t="inlineStr">
        <is>
          <t>Beschlüsse Budget 2026, Leitbild, Verordnungen</t>
        </is>
      </c>
      <c r="Q67" s="3" t="inlineStr"/>
      <c r="R67" s="3" t="inlineStr"/>
      <c r="S67" s="3" t="inlineStr">
        <is>
          <t>Kein Peer-Vergleich</t>
        </is>
      </c>
      <c r="T67" s="3" t="inlineStr">
        <is>
          <t>Noch nicht bewertet</t>
        </is>
      </c>
      <c r="U67" s="3" t="inlineStr">
        <is>
          <t>Hoch</t>
        </is>
      </c>
      <c r="V67" s="3" t="inlineStr"/>
      <c r="W67" s="3" t="inlineStr"/>
      <c r="X67" s="3" t="inlineStr"/>
      <c r="Y67" s="3" t="inlineStr">
        <is>
          <t>Dokument auswerten; Aktualität und Geltung prüfen</t>
        </is>
      </c>
      <c r="Z67" s="3" t="inlineStr">
        <is>
          <t>Automatische Recherche GitHub Actions (Discovery), Fundstelle siehe Spalte Offizielle Fundstelle</t>
        </is>
      </c>
      <c r="AA67" s="3" t="inlineStr">
        <is>
          <t>C1</t>
        </is>
      </c>
      <c r="AB67" s="3" t="inlineStr"/>
      <c r="AC67" s="7" t="inlineStr">
        <is>
          <t>https://www.seelisberg.ch/politik/gemeindeversammlung</t>
        </is>
      </c>
      <c r="AD67" s="3" t="inlineStr">
        <is>
          <t>Verifiziert</t>
        </is>
      </c>
      <c r="AE67" s="3" t="inlineStr">
        <is>
          <t>200</t>
        </is>
      </c>
      <c r="AF67" s="3" t="inlineStr"/>
      <c r="AG67" s="3" t="inlineStr">
        <is>
          <t>PDF</t>
        </is>
      </c>
      <c r="AH67" s="3" t="inlineStr">
        <is>
          <t>Bestätigt</t>
        </is>
      </c>
      <c r="AI67" s="3" t="inlineStr">
        <is>
          <t>Schlüsselwörter 1/1 gefunden (Beschluss); Ort/Zuständigkeit: Seelisberg</t>
        </is>
      </c>
      <c r="AJ67" s="3" t="inlineStr">
        <is>
          <t>(‚LHEIWDESLLLISBERG</t>
        </is>
      </c>
      <c r="AK67" s="3" t="inlineStr">
        <is>
          <t>2024, 2025, 2026</t>
        </is>
      </c>
      <c r="AL67" s="3" t="inlineStr">
        <is>
          <t>Mittel (CMS-Dokumentlink)</t>
        </is>
      </c>
      <c r="AM67" s="3" t="inlineStr">
        <is>
          <t>2026-10-14 13:55</t>
        </is>
      </c>
      <c r="AN67" s="3" t="inlineStr">
        <is>
          <t>Öffentlich verfügbar und verifiziert</t>
        </is>
      </c>
      <c r="AO67" s="3" t="inlineStr">
        <is>
          <t>2025</t>
        </is>
      </c>
      <c r="AP67" s="3" t="inlineStr">
        <is>
          <t>Belegt Existenz und Zugänglichkeit der Quelle; inhaltliche Aussagen erst nach Auswertung.</t>
        </is>
      </c>
      <c r="AQ67" s="3" t="inlineStr">
        <is>
          <t>Keine Einstufung: Kennzahlen/Befunde noch nicht ausgewertet; Schwellen der Bewertungslogik noch nicht validiert.</t>
        </is>
      </c>
      <c r="AR67" s="3" t="inlineStr">
        <is>
          <t>Nein</t>
        </is>
      </c>
      <c r="AS67" s="3" t="inlineStr">
        <is>
          <t>Gemeindeverwaltung Seelisberg</t>
        </is>
      </c>
      <c r="AT67" s="3" t="inlineStr">
        <is>
          <t>In Prüfung</t>
        </is>
      </c>
      <c r="AU67" s="3" t="inlineStr"/>
      <c r="AV67" s="3" t="inlineStr"/>
      <c r="AW67" s="3" t="inlineStr">
        <is>
          <t>2026-10-14: neu aufgenommen</t>
        </is>
      </c>
    </row>
    <row r="68" ht="43" customHeight="1">
      <c r="A68" s="2" t="inlineStr">
        <is>
          <t>SEE-C5-05</t>
        </is>
      </c>
      <c r="B68" s="15" t="inlineStr">
        <is>
          <t>Gemeinde</t>
        </is>
      </c>
      <c r="C68" s="2" t="inlineStr">
        <is>
          <t>Schweiz</t>
        </is>
      </c>
      <c r="D68" s="2" t="inlineStr">
        <is>
          <t>Uri</t>
        </is>
      </c>
      <c r="E68" s="2" t="inlineStr">
        <is>
          <t>Seelisberg</t>
        </is>
      </c>
      <c r="F68" s="2" t="inlineStr">
        <is>
          <t>C5</t>
        </is>
      </c>
      <c r="G68" s="2" t="inlineStr">
        <is>
          <t>Beschlussprotokoll</t>
        </is>
      </c>
      <c r="H68" s="2" t="inlineStr">
        <is>
          <t>Beschlussprotokoll Gemeindeversammlung Seelisberg vom 28.5.2025</t>
        </is>
      </c>
      <c r="I68" s="2" t="inlineStr">
        <is>
          <t>Protokoll</t>
        </is>
      </c>
      <c r="J68" s="2" t="inlineStr">
        <is>
          <t>Direktes Dokument</t>
        </is>
      </c>
      <c r="K68" s="2" t="inlineStr">
        <is>
          <t>Beschluss (verbindlich)</t>
        </is>
      </c>
      <c r="L68" s="2" t="inlineStr">
        <is>
          <t>Gemeinde Seelisberg</t>
        </is>
      </c>
      <c r="M68" s="5" t="inlineStr">
        <is>
          <t>https://www.seelisberg.ch/files/pdf/Beschlussprotokoll-GV-Mai-2025.pdf</t>
        </is>
      </c>
      <c r="N68" s="2" t="inlineStr">
        <is>
          <t>2025</t>
        </is>
      </c>
      <c r="O68" s="2" t="inlineStr">
        <is>
          <t>2026-10-14</t>
        </is>
      </c>
      <c r="P68" s="2" t="inlineStr">
        <is>
          <t>Beschluss Jahresrechnung 2024 (44 Stimmberechtigte anwesend)</t>
        </is>
      </c>
      <c r="Q68" s="2" t="inlineStr"/>
      <c r="R68" s="2" t="inlineStr"/>
      <c r="S68" s="2" t="inlineStr">
        <is>
          <t>Kein Peer-Vergleich</t>
        </is>
      </c>
      <c r="T68" s="2" t="inlineStr">
        <is>
          <t>Noch nicht bewertet</t>
        </is>
      </c>
      <c r="U68" s="2" t="inlineStr">
        <is>
          <t>Hoch</t>
        </is>
      </c>
      <c r="V68" s="2" t="inlineStr"/>
      <c r="W68" s="2" t="inlineStr"/>
      <c r="X68" s="2" t="inlineStr"/>
      <c r="Y68" s="2" t="inlineStr">
        <is>
          <t>Dokument auswerten; Aktualität und Geltung prüfen</t>
        </is>
      </c>
      <c r="Z68" s="2" t="inlineStr">
        <is>
          <t>Automatische Recherche GitHub Actions (Discovery), Fundstelle siehe Spalte Offizielle Fundstelle</t>
        </is>
      </c>
      <c r="AA68" s="2" t="inlineStr">
        <is>
          <t>C1</t>
        </is>
      </c>
      <c r="AB68" s="2" t="inlineStr"/>
      <c r="AC68" s="5" t="inlineStr">
        <is>
          <t>https://www.seelisberg.ch/politik/gemeindeversammlung</t>
        </is>
      </c>
      <c r="AD68" s="2" t="inlineStr">
        <is>
          <t>Verifiziert</t>
        </is>
      </c>
      <c r="AE68" s="2" t="inlineStr">
        <is>
          <t>200</t>
        </is>
      </c>
      <c r="AF68" s="2" t="inlineStr"/>
      <c r="AG68" s="2" t="inlineStr">
        <is>
          <t>PDF</t>
        </is>
      </c>
      <c r="AH68" s="2" t="inlineStr">
        <is>
          <t>Bestätigt</t>
        </is>
      </c>
      <c r="AI68" s="2" t="inlineStr">
        <is>
          <t>Schlüsselwörter 2/2 gefunden (Beschluss, 28. Mai 2025); Ort/Zuständigkeit: Seeusberg</t>
        </is>
      </c>
      <c r="AJ68" s="2" t="inlineStr">
        <is>
          <t>GEMEINDESEEUSBERG</t>
        </is>
      </c>
      <c r="AK68" s="2" t="inlineStr">
        <is>
          <t>2024, 2025</t>
        </is>
      </c>
      <c r="AL68" s="2" t="inlineStr">
        <is>
          <t>Mittel (CMS-Dokumentlink)</t>
        </is>
      </c>
      <c r="AM68" s="2" t="inlineStr">
        <is>
          <t>2026-10-14 13:55</t>
        </is>
      </c>
      <c r="AN68" s="2" t="inlineStr">
        <is>
          <t>Öffentlich verfügbar und verifiziert</t>
        </is>
      </c>
      <c r="AO68" s="2" t="inlineStr">
        <is>
          <t>2025</t>
        </is>
      </c>
      <c r="AP68" s="2" t="inlineStr">
        <is>
          <t>Belegt Existenz und Zugänglichkeit der Quelle; inhaltliche Aussagen erst nach Auswertung.</t>
        </is>
      </c>
      <c r="AQ68" s="2" t="inlineStr">
        <is>
          <t>Keine Einstufung: Kennzahlen/Befunde noch nicht ausgewertet; Schwellen der Bewertungslogik noch nicht validiert.</t>
        </is>
      </c>
      <c r="AR68" s="2" t="inlineStr">
        <is>
          <t>Nein</t>
        </is>
      </c>
      <c r="AS68" s="2" t="inlineStr">
        <is>
          <t>Gemeindeverwaltung Seelisberg</t>
        </is>
      </c>
      <c r="AT68" s="2" t="inlineStr">
        <is>
          <t>In Prüfung</t>
        </is>
      </c>
      <c r="AU68" s="2" t="inlineStr">
        <is>
          <t>Textextraktion liest den Kopf als «GEMEINDESEEUSBERG» (Schriftbild); Ortsabgleich toleriert diese Lesart.</t>
        </is>
      </c>
      <c r="AV68" s="2" t="inlineStr"/>
      <c r="AW68" s="2" t="inlineStr">
        <is>
          <t>2026-10-14: neu aufgenommen</t>
        </is>
      </c>
    </row>
    <row r="69" ht="43" customHeight="1">
      <c r="A69" s="3" t="inlineStr">
        <is>
          <t>SEE-C5-06</t>
        </is>
      </c>
      <c r="B69" s="15" t="inlineStr">
        <is>
          <t>Gemeinde</t>
        </is>
      </c>
      <c r="C69" s="3" t="inlineStr">
        <is>
          <t>Schweiz</t>
        </is>
      </c>
      <c r="D69" s="3" t="inlineStr">
        <is>
          <t>Uri</t>
        </is>
      </c>
      <c r="E69" s="3" t="inlineStr">
        <is>
          <t>Seelisberg</t>
        </is>
      </c>
      <c r="F69" s="3" t="inlineStr">
        <is>
          <t>C5</t>
        </is>
      </c>
      <c r="G69" s="3" t="inlineStr">
        <is>
          <t>Leitbild</t>
        </is>
      </c>
      <c r="H69" s="3" t="inlineStr">
        <is>
          <t>Leitbild Seelisberg 2025 (Dokument)</t>
        </is>
      </c>
      <c r="I69" s="3" t="inlineStr">
        <is>
          <t>Leitbild</t>
        </is>
      </c>
      <c r="J69" s="3" t="inlineStr">
        <is>
          <t>Direktes Dokument</t>
        </is>
      </c>
      <c r="K69" s="3" t="inlineStr">
        <is>
          <t>Politische Zielsetzung</t>
        </is>
      </c>
      <c r="L69" s="3" t="inlineStr">
        <is>
          <t>Gemeinde Seelisberg</t>
        </is>
      </c>
      <c r="M69" s="7" t="inlineStr">
        <is>
          <t>https://www.seelisberg.ch/files/pdf/ORIGINAL-Leitbild-Seelisberg-2025-f%C3%BCr-Webseite.pdf</t>
        </is>
      </c>
      <c r="N69" s="3" t="inlineStr">
        <is>
          <t>2025</t>
        </is>
      </c>
      <c r="O69" s="3" t="inlineStr">
        <is>
          <t>2026-10-14</t>
        </is>
      </c>
      <c r="P69" s="3" t="inlineStr">
        <is>
          <t>Strategische Ziele (Wohnen, Tourismus, Finanzen); belegt keine Akzeptanz</t>
        </is>
      </c>
      <c r="Q69" s="3" t="inlineStr"/>
      <c r="R69" s="3" t="inlineStr"/>
      <c r="S69" s="3" t="inlineStr">
        <is>
          <t>Kein Peer-Vergleich</t>
        </is>
      </c>
      <c r="T69" s="3" t="inlineStr">
        <is>
          <t>Noch nicht bewertet</t>
        </is>
      </c>
      <c r="U69" s="3" t="inlineStr">
        <is>
          <t>Hoch</t>
        </is>
      </c>
      <c r="V69" s="3" t="inlineStr"/>
      <c r="W69" s="3" t="inlineStr"/>
      <c r="X69" s="3" t="inlineStr"/>
      <c r="Y69" s="3" t="inlineStr">
        <is>
          <t>Dokument auswerten; Aktualität und Geltung prüfen</t>
        </is>
      </c>
      <c r="Z69" s="3" t="inlineStr">
        <is>
          <t>Automatische Recherche GitHub Actions (Discovery), Fundstelle siehe Spalte Offizielle Fundstelle</t>
        </is>
      </c>
      <c r="AA69" s="3" t="inlineStr"/>
      <c r="AB69" s="3" t="inlineStr"/>
      <c r="AC69" s="7" t="inlineStr">
        <is>
          <t>https://www.seelisberg.ch/ueber-seelisberg/leitbild</t>
        </is>
      </c>
      <c r="AD69" s="3" t="inlineStr">
        <is>
          <t>Verifiziert</t>
        </is>
      </c>
      <c r="AE69" s="3" t="inlineStr">
        <is>
          <t>200</t>
        </is>
      </c>
      <c r="AF69" s="3" t="inlineStr"/>
      <c r="AG69" s="3" t="inlineStr">
        <is>
          <t>PDF</t>
        </is>
      </c>
      <c r="AH69" s="3" t="inlineStr">
        <is>
          <t>Bestätigt</t>
        </is>
      </c>
      <c r="AI69" s="3" t="inlineStr">
        <is>
          <t>Schlüsselwörter 1/1 gefunden (Leitbild); Ort/Zuständigkeit: Seelisberg</t>
        </is>
      </c>
      <c r="AJ69" s="3" t="inlineStr">
        <is>
          <t>Leitbild Seelisberg.indd</t>
        </is>
      </c>
      <c r="AK69" s="3" t="inlineStr">
        <is>
          <t>2025</t>
        </is>
      </c>
      <c r="AL69" s="3" t="inlineStr">
        <is>
          <t>Mittel (CMS-Dokumentlink)</t>
        </is>
      </c>
      <c r="AM69" s="3" t="inlineStr">
        <is>
          <t>2026-10-14 13:55</t>
        </is>
      </c>
      <c r="AN69" s="3" t="inlineStr">
        <is>
          <t>Öffentlich verfügbar und verifiziert</t>
        </is>
      </c>
      <c r="AO69" s="3" t="inlineStr">
        <is>
          <t>2025</t>
        </is>
      </c>
      <c r="AP69" s="3" t="inlineStr">
        <is>
          <t>Belegt Existenz und Zugänglichkeit der Quelle; inhaltliche Aussagen erst nach Auswertung.</t>
        </is>
      </c>
      <c r="AQ69" s="3" t="inlineStr">
        <is>
          <t>Keine Einstufung: Kennzahlen/Befunde noch nicht ausgewertet; Schwellen der Bewertungslogik noch nicht validiert.</t>
        </is>
      </c>
      <c r="AR69" s="3" t="inlineStr">
        <is>
          <t>Nein</t>
        </is>
      </c>
      <c r="AS69" s="3" t="inlineStr">
        <is>
          <t>Gemeindeverwaltung Seelisberg</t>
        </is>
      </c>
      <c r="AT69" s="3" t="inlineStr">
        <is>
          <t>In Prüfung</t>
        </is>
      </c>
      <c r="AU69" s="3" t="inlineStr"/>
      <c r="AV69" s="3" t="inlineStr"/>
      <c r="AW69" s="3" t="inlineStr">
        <is>
          <t>2026-10-14: neu aufgenommen</t>
        </is>
      </c>
    </row>
    <row r="70" ht="43" customHeight="1">
      <c r="A70" s="2" t="inlineStr">
        <is>
          <t>SEE-C5-07</t>
        </is>
      </c>
      <c r="B70" s="15" t="inlineStr">
        <is>
          <t>Gemeinde</t>
        </is>
      </c>
      <c r="C70" s="2" t="inlineStr">
        <is>
          <t>Schweiz</t>
        </is>
      </c>
      <c r="D70" s="2" t="inlineStr">
        <is>
          <t>Uri</t>
        </is>
      </c>
      <c r="E70" s="2" t="inlineStr">
        <is>
          <t>Seelisberg</t>
        </is>
      </c>
      <c r="F70" s="2" t="inlineStr">
        <is>
          <t>C5</t>
        </is>
      </c>
      <c r="G70" s="2" t="inlineStr">
        <is>
          <t>Abstimmung</t>
        </is>
      </c>
      <c r="H70" s="2" t="inlineStr">
        <is>
          <t>Kommunale Abstimmung Seelisberg vom 8.3.2026 (Unterlage)</t>
        </is>
      </c>
      <c r="I70" s="2" t="inlineStr">
        <is>
          <t>Abstimmungsunterlage</t>
        </is>
      </c>
      <c r="J70" s="2" t="inlineStr">
        <is>
          <t>Direktes Dokument</t>
        </is>
      </c>
      <c r="K70" s="2" t="inlineStr">
        <is>
          <t>Information</t>
        </is>
      </c>
      <c r="L70" s="2" t="inlineStr">
        <is>
          <t>Gemeinde Seelisberg</t>
        </is>
      </c>
      <c r="M70" s="5" t="inlineStr">
        <is>
          <t>https://www.seelisberg.ch/files/pdf/kommunale-Abstimmung-Seelisberg_260308.pdf</t>
        </is>
      </c>
      <c r="N70" s="2" t="inlineStr">
        <is>
          <t>2026</t>
        </is>
      </c>
      <c r="O70" s="2" t="inlineStr">
        <is>
          <t>2026-10-14</t>
        </is>
      </c>
      <c r="P70" s="2" t="inlineStr">
        <is>
          <t>Kommunale Urnenentscheide (Legitimation)</t>
        </is>
      </c>
      <c r="Q70" s="2" t="inlineStr"/>
      <c r="R70" s="2" t="inlineStr"/>
      <c r="S70" s="2" t="inlineStr">
        <is>
          <t>Kein Peer-Vergleich</t>
        </is>
      </c>
      <c r="T70" s="2" t="inlineStr">
        <is>
          <t>Noch nicht bewertet</t>
        </is>
      </c>
      <c r="U70" s="2" t="inlineStr">
        <is>
          <t>Mittel</t>
        </is>
      </c>
      <c r="V70" s="2" t="inlineStr"/>
      <c r="W70" s="2" t="inlineStr"/>
      <c r="X70" s="2" t="inlineStr"/>
      <c r="Y70" s="2" t="inlineStr">
        <is>
          <t>Dokument auswerten; Aktualität und Geltung prüfen</t>
        </is>
      </c>
      <c r="Z70" s="2" t="inlineStr">
        <is>
          <t>Automatische Recherche GitHub Actions (Discovery), Fundstelle siehe Spalte Offizielle Fundstelle</t>
        </is>
      </c>
      <c r="AA70" s="2" t="inlineStr"/>
      <c r="AB70" s="2" t="inlineStr"/>
      <c r="AC70" s="5" t="inlineStr">
        <is>
          <t>https://www.seelisberg.ch/politik/abstimmungen-wahlen</t>
        </is>
      </c>
      <c r="AD70" s="2" t="inlineStr">
        <is>
          <t>Verifiziert</t>
        </is>
      </c>
      <c r="AE70" s="2" t="inlineStr">
        <is>
          <t>200</t>
        </is>
      </c>
      <c r="AF70" s="2" t="inlineStr"/>
      <c r="AG70" s="2" t="inlineStr">
        <is>
          <t>PDF</t>
        </is>
      </c>
      <c r="AH70" s="2" t="inlineStr">
        <is>
          <t>Bestätigt</t>
        </is>
      </c>
      <c r="AI70" s="2" t="inlineStr">
        <is>
          <t>Schlüsselwörter 1/1 gefunden (Abstimmung); Ort/Zuständigkeit: Seelisberg</t>
        </is>
      </c>
      <c r="AJ70" s="2" t="inlineStr">
        <is>
          <t>Seelisberg KANTON</t>
        </is>
      </c>
      <c r="AK70" s="2" t="inlineStr">
        <is>
          <t>2026</t>
        </is>
      </c>
      <c r="AL70" s="2" t="inlineStr">
        <is>
          <t>Mittel (CMS-Dokumentlink)</t>
        </is>
      </c>
      <c r="AM70" s="2" t="inlineStr">
        <is>
          <t>2026-10-14 13:55</t>
        </is>
      </c>
      <c r="AN70" s="2" t="inlineStr">
        <is>
          <t>Öffentlich verfügbar und verifiziert</t>
        </is>
      </c>
      <c r="AO70" s="2" t="inlineStr">
        <is>
          <t>2026</t>
        </is>
      </c>
      <c r="AP70" s="2" t="inlineStr">
        <is>
          <t>Belegt Existenz und Zugänglichkeit der Quelle; inhaltliche Aussagen erst nach Auswertung.</t>
        </is>
      </c>
      <c r="AQ70" s="2" t="inlineStr">
        <is>
          <t>Keine Einstufung: Kennzahlen/Befunde noch nicht ausgewertet; Schwellen der Bewertungslogik noch nicht validiert.</t>
        </is>
      </c>
      <c r="AR70" s="2" t="inlineStr">
        <is>
          <t>Nein</t>
        </is>
      </c>
      <c r="AS70" s="2" t="inlineStr">
        <is>
          <t>Gemeindeverwaltung Seelisberg</t>
        </is>
      </c>
      <c r="AT70" s="2" t="inlineStr">
        <is>
          <t>In Prüfung</t>
        </is>
      </c>
      <c r="AU70" s="2" t="inlineStr"/>
      <c r="AV70" s="2" t="inlineStr"/>
      <c r="AW70" s="2" t="inlineStr">
        <is>
          <t>2026-10-14: neu aufgenommen</t>
        </is>
      </c>
    </row>
    <row r="71" ht="43" customHeight="1">
      <c r="A71" s="3" t="inlineStr">
        <is>
          <t>SEE-C5-08</t>
        </is>
      </c>
      <c r="B71" s="15" t="inlineStr">
        <is>
          <t>Gemeinde</t>
        </is>
      </c>
      <c r="C71" s="3" t="inlineStr">
        <is>
          <t>Schweiz</t>
        </is>
      </c>
      <c r="D71" s="3" t="inlineStr">
        <is>
          <t>Uri</t>
        </is>
      </c>
      <c r="E71" s="3" t="inlineStr">
        <is>
          <t>Seelisberg</t>
        </is>
      </c>
      <c r="F71" s="3" t="inlineStr">
        <is>
          <t>C5</t>
        </is>
      </c>
      <c r="G71" s="3" t="inlineStr">
        <is>
          <t>Verfahren Gemeindeversammlung</t>
        </is>
      </c>
      <c r="H71" s="3" t="inlineStr">
        <is>
          <t>Verordnung über das Verfahren an der Gemeindeversammlung Seelisberg</t>
        </is>
      </c>
      <c r="I71" s="3" t="inlineStr">
        <is>
          <t>Kommunale Verordnung</t>
        </is>
      </c>
      <c r="J71" s="3" t="inlineStr">
        <is>
          <t>Direktes Dokument</t>
        </is>
      </c>
      <c r="K71" s="3" t="inlineStr">
        <is>
          <t>Kommunales Recht (verbindlich)</t>
        </is>
      </c>
      <c r="L71" s="3" t="inlineStr">
        <is>
          <t>Gemeinde Seelisberg</t>
        </is>
      </c>
      <c r="M71" s="7" t="inlineStr">
        <is>
          <t>https://www.seelisberg.ch/files/pdf/Verordnung_%C3%BCber_das_Verfahren_an_der_Gemeindeversammlung.pdf</t>
        </is>
      </c>
      <c r="N71" s="3" t="inlineStr"/>
      <c r="O71" s="3" t="inlineStr">
        <is>
          <t>2026-10-14</t>
        </is>
      </c>
      <c r="P71" s="3" t="inlineStr">
        <is>
          <t>Entscheidungsverfahren, Antragsrechte der Stimmberechtigten</t>
        </is>
      </c>
      <c r="Q71" s="3" t="inlineStr"/>
      <c r="R71" s="3" t="inlineStr"/>
      <c r="S71" s="3" t="inlineStr">
        <is>
          <t>Kein Peer-Vergleich</t>
        </is>
      </c>
      <c r="T71" s="3" t="inlineStr">
        <is>
          <t>Noch nicht bewertet</t>
        </is>
      </c>
      <c r="U71" s="3" t="inlineStr">
        <is>
          <t>Hoch</t>
        </is>
      </c>
      <c r="V71" s="3" t="inlineStr"/>
      <c r="W71" s="3" t="inlineStr"/>
      <c r="X71" s="3" t="inlineStr"/>
      <c r="Y71" s="3" t="inlineStr">
        <is>
          <t>Dokument auswerten; Aktualität und Geltung prüfen</t>
        </is>
      </c>
      <c r="Z71" s="3" t="inlineStr">
        <is>
          <t>Automatische Recherche GitHub Actions (Discovery), Fundstelle siehe Spalte Offizielle Fundstelle</t>
        </is>
      </c>
      <c r="AA71" s="3" t="inlineStr"/>
      <c r="AB71" s="3" t="inlineStr"/>
      <c r="AC71" s="7" t="inlineStr">
        <is>
          <t>https://www.seelisberg.ch/politik/rechtssammlung</t>
        </is>
      </c>
      <c r="AD71" s="3" t="inlineStr">
        <is>
          <t>Verifiziert</t>
        </is>
      </c>
      <c r="AE71" s="3" t="inlineStr">
        <is>
          <t>200</t>
        </is>
      </c>
      <c r="AF71" s="3" t="inlineStr"/>
      <c r="AG71" s="3" t="inlineStr">
        <is>
          <t>PDF</t>
        </is>
      </c>
      <c r="AH71" s="3" t="inlineStr">
        <is>
          <t>Bestätigt</t>
        </is>
      </c>
      <c r="AI71" s="3" t="inlineStr">
        <is>
          <t>Schlüsselwörter 2/2 gefunden (Gemeindeversammlung, Verfahren); Ort/Zuständigkeit: Seelisberg</t>
        </is>
      </c>
      <c r="AJ71" s="3" t="inlineStr">
        <is>
          <t>GEMEINDE SEELISBERG</t>
        </is>
      </c>
      <c r="AK71" s="3" t="inlineStr">
        <is>
          <t>2018</t>
        </is>
      </c>
      <c r="AL71" s="3" t="inlineStr">
        <is>
          <t>Mittel (CMS-Dokumentlink)</t>
        </is>
      </c>
      <c r="AM71" s="3" t="inlineStr">
        <is>
          <t>2026-10-14 13:54</t>
        </is>
      </c>
      <c r="AN71" s="3" t="inlineStr">
        <is>
          <t>Öffentlich verfügbar und verifiziert</t>
        </is>
      </c>
      <c r="AO71" s="3" t="inlineStr"/>
      <c r="AP71" s="3" t="inlineStr">
        <is>
          <t>Belegt Existenz und Zugänglichkeit der Quelle; inhaltliche Aussagen erst nach Auswertung.</t>
        </is>
      </c>
      <c r="AQ71" s="3" t="inlineStr">
        <is>
          <t>Keine Einstufung: Kennzahlen/Befunde noch nicht ausgewertet; Schwellen der Bewertungslogik noch nicht validiert.</t>
        </is>
      </c>
      <c r="AR71" s="3" t="inlineStr">
        <is>
          <t>Nein</t>
        </is>
      </c>
      <c r="AS71" s="3" t="inlineStr">
        <is>
          <t>Gemeindeverwaltung Seelisberg</t>
        </is>
      </c>
      <c r="AT71" s="3" t="inlineStr">
        <is>
          <t>In Prüfung</t>
        </is>
      </c>
      <c r="AU71" s="3" t="inlineStr"/>
      <c r="AV71" s="3" t="inlineStr"/>
      <c r="AW71" s="3" t="inlineStr">
        <is>
          <t>2026-10-14: neu aufgenommen</t>
        </is>
      </c>
    </row>
    <row r="72" ht="43" customHeight="1">
      <c r="A72" s="2" t="inlineStr">
        <is>
          <t>MUE-C1-01</t>
        </is>
      </c>
      <c r="B72" s="15" t="inlineStr">
        <is>
          <t>Gemeinde</t>
        </is>
      </c>
      <c r="C72" s="2" t="inlineStr">
        <is>
          <t>Schweiz</t>
        </is>
      </c>
      <c r="D72" s="2" t="inlineStr">
        <is>
          <t>Basel-Landschaft</t>
        </is>
      </c>
      <c r="E72" s="2" t="inlineStr">
        <is>
          <t>Münchenstein</t>
        </is>
      </c>
      <c r="F72" s="2" t="inlineStr">
        <is>
          <t>C1</t>
        </is>
      </c>
      <c r="G72" s="2" t="inlineStr">
        <is>
          <t>Finanzplanung</t>
        </is>
      </c>
      <c r="H72" s="2" t="inlineStr">
        <is>
          <t>Aufgaben- und Finanzplan 2025–2029 Münchenstein</t>
        </is>
      </c>
      <c r="I72" s="2" t="inlineStr">
        <is>
          <t>Finanzplan</t>
        </is>
      </c>
      <c r="J72" s="2" t="inlineStr">
        <is>
          <t>Offizielle Quelle recherchiert</t>
        </is>
      </c>
      <c r="K72" s="2" t="inlineStr">
        <is>
          <t>Orientierung / Datengrundlage</t>
        </is>
      </c>
      <c r="L72" s="2" t="inlineStr">
        <is>
          <t>Gemeinde Münchenstein</t>
        </is>
      </c>
      <c r="M72" s="5" t="inlineStr">
        <is>
          <t>https://www.muenchenstein.ch/publikationen/523378</t>
        </is>
      </c>
      <c r="N72" s="2" t="inlineStr">
        <is>
          <t>Zu prüfen</t>
        </is>
      </c>
      <c r="O72" s="2" t="inlineStr">
        <is>
          <t>2026-10-14</t>
        </is>
      </c>
      <c r="P72" s="2" t="inlineStr">
        <is>
          <t>Mehrjährige Finanz- und Aufgabenplanung</t>
        </is>
      </c>
      <c r="Q72" s="2" t="inlineStr">
        <is>
          <t>Investitionsprogramm, Finanzierungsbedarf</t>
        </is>
      </c>
      <c r="R72" s="2" t="inlineStr">
        <is>
          <t>Finanzplan und Jahresrechnung vergleichen</t>
        </is>
      </c>
      <c r="S72" s="2" t="inlineStr">
        <is>
          <t>Kanton × Grössenklasse</t>
        </is>
      </c>
      <c r="T72" s="2" t="inlineStr">
        <is>
          <t>Noch nicht bewertet</t>
        </is>
      </c>
      <c r="U72" s="2" t="inlineStr">
        <is>
          <t>Mittel</t>
        </is>
      </c>
      <c r="V72" s="2" t="inlineStr">
        <is>
          <t>Kennzahlen und Befunde noch extrahieren</t>
        </is>
      </c>
      <c r="W72" s="2" t="inlineStr">
        <is>
          <t>A1; C1</t>
        </is>
      </c>
      <c r="X72" s="2" t="inlineStr">
        <is>
          <t>Investitionspfad</t>
        </is>
      </c>
      <c r="Y72" s="2" t="inlineStr">
        <is>
          <t>Dokument auswerten; Aktualität und Geltung prüfen</t>
        </is>
      </c>
      <c r="Z72" s="2" t="inlineStr">
        <is>
          <t>Webrecherche 14.10.2026</t>
        </is>
      </c>
      <c r="AA72" s="2" t="inlineStr"/>
      <c r="AB72" s="2" t="inlineStr"/>
      <c r="AC72" s="2" t="inlineStr"/>
      <c r="AD72" s="2" t="inlineStr">
        <is>
          <t>Verifiziert</t>
        </is>
      </c>
      <c r="AE72" s="2" t="inlineStr">
        <is>
          <t>200</t>
        </is>
      </c>
      <c r="AF72" s="2" t="inlineStr"/>
      <c r="AG72" s="2" t="inlineStr">
        <is>
          <t>HTML</t>
        </is>
      </c>
      <c r="AH72" s="2" t="inlineStr">
        <is>
          <t>Bestätigt</t>
        </is>
      </c>
      <c r="AI72" s="2" t="inlineStr">
        <is>
          <t>Schlüsselwörter 1/1 gefunden (Finanzplan); Ort/Zuständigkeit: Münchenstein</t>
        </is>
      </c>
      <c r="AJ72" s="2" t="inlineStr">
        <is>
          <t>Münchenstein  - Aufgaben- &amp;amp; Finanzplan 2025-2029 | Kopfzeile</t>
        </is>
      </c>
      <c r="AK72" s="2" t="inlineStr">
        <is>
          <t>2025, 2029, 2024, 2026</t>
        </is>
      </c>
      <c r="AL72" s="2" t="inlineStr">
        <is>
          <t>Mittel (CMS-Dokumentlink)</t>
        </is>
      </c>
      <c r="AM72" s="2" t="inlineStr">
        <is>
          <t>2026-10-14 13:53</t>
        </is>
      </c>
      <c r="AN72" s="2" t="inlineStr">
        <is>
          <t>Öffentlich verfügbar und verifiziert</t>
        </is>
      </c>
      <c r="AO72" s="2" t="inlineStr">
        <is>
          <t>Zu prüfen</t>
        </is>
      </c>
      <c r="AP72" s="2" t="inlineStr">
        <is>
          <t>Belegt Existenz und Zugänglichkeit der Quelle; inhaltliche Aussagen erst nach Auswertung.</t>
        </is>
      </c>
      <c r="AQ72" s="2" t="inlineStr">
        <is>
          <t>Keine Einstufung: Kennzahlen/Befunde noch nicht ausgewertet; Schwellen der Bewertungslogik noch nicht validiert.</t>
        </is>
      </c>
      <c r="AR72" s="2" t="inlineStr">
        <is>
          <t>Nein</t>
        </is>
      </c>
      <c r="AS72" s="2" t="inlineStr">
        <is>
          <t>Gemeindeverwaltung Münchenstein</t>
        </is>
      </c>
      <c r="AT72" s="2" t="inlineStr">
        <is>
          <t>In Prüfung</t>
        </is>
      </c>
      <c r="AU72" s="2" t="inlineStr"/>
      <c r="AV72" s="2" t="inlineStr"/>
      <c r="AW72" s="2" t="inlineStr"/>
    </row>
    <row r="73" ht="43" customHeight="1">
      <c r="A73" s="3" t="inlineStr">
        <is>
          <t>MUE-C1-02</t>
        </is>
      </c>
      <c r="B73" s="15" t="inlineStr">
        <is>
          <t>Gemeinde</t>
        </is>
      </c>
      <c r="C73" s="3" t="inlineStr">
        <is>
          <t>Schweiz</t>
        </is>
      </c>
      <c r="D73" s="3" t="inlineStr">
        <is>
          <t>Basel-Landschaft</t>
        </is>
      </c>
      <c r="E73" s="3" t="inlineStr">
        <is>
          <t>Münchenstein</t>
        </is>
      </c>
      <c r="F73" s="3" t="inlineStr">
        <is>
          <t>C1</t>
        </is>
      </c>
      <c r="G73" s="3" t="inlineStr">
        <is>
          <t>Jahresrechnung</t>
        </is>
      </c>
      <c r="H73" s="3" t="inlineStr">
        <is>
          <t>Bericht zur Jahresrechnung 2025 der Einwohnergemeinde Münchenstein</t>
        </is>
      </c>
      <c r="I73" s="3" t="inlineStr">
        <is>
          <t>Jahresrechnung</t>
        </is>
      </c>
      <c r="J73" s="3" t="inlineStr">
        <is>
          <t>Publikationsseite mit PDF</t>
        </is>
      </c>
      <c r="K73" s="3" t="inlineStr">
        <is>
          <t>Beschlossene Jahresrechnung (Gemeindeversammlung 15.6.2026)</t>
        </is>
      </c>
      <c r="L73" s="3" t="inlineStr">
        <is>
          <t>Gemeinde Münchenstein</t>
        </is>
      </c>
      <c r="M73" s="7" t="inlineStr">
        <is>
          <t>https://www.muenchenstein.ch/publikationen/621658</t>
        </is>
      </c>
      <c r="N73" s="3" t="inlineStr">
        <is>
          <t>2025</t>
        </is>
      </c>
      <c r="O73" s="3" t="inlineStr">
        <is>
          <t>2026-10-14</t>
        </is>
      </c>
      <c r="P73" s="3" t="inlineStr">
        <is>
          <t>Einstieg zur Beschaffung Jahresrechnung 2025 und Budget 2026</t>
        </is>
      </c>
      <c r="Q73" s="3" t="inlineStr">
        <is>
          <t>Selbstfinanzierung, Nettoinvestitionen</t>
        </is>
      </c>
      <c r="R73" s="3" t="inlineStr">
        <is>
          <t>Konkrete Publikation ermitteln</t>
        </is>
      </c>
      <c r="S73" s="3" t="inlineStr">
        <is>
          <t>Kanton × Grössenklasse</t>
        </is>
      </c>
      <c r="T73" s="3" t="inlineStr">
        <is>
          <t>Noch nicht bewertet</t>
        </is>
      </c>
      <c r="U73" s="3" t="inlineStr">
        <is>
          <t>Mittel</t>
        </is>
      </c>
      <c r="V73" s="3" t="inlineStr">
        <is>
          <t>Konkrete kommunale Unterlagen / Datensatz nachfordern</t>
        </is>
      </c>
      <c r="W73" s="3" t="inlineStr">
        <is>
          <t>C1</t>
        </is>
      </c>
      <c r="X73" s="3" t="inlineStr">
        <is>
          <t>Finanztragfähigkeit</t>
        </is>
      </c>
      <c r="Y73" s="3" t="inlineStr">
        <is>
          <t>Dokument auswerten; Aktualität und Geltung prüfen</t>
        </is>
      </c>
      <c r="Z73" s="3" t="inlineStr">
        <is>
          <t>Webrecherche 14.10.2026</t>
        </is>
      </c>
      <c r="AA73" s="3" t="inlineStr"/>
      <c r="AB73" s="3" t="inlineStr"/>
      <c r="AC73" s="3" t="inlineStr"/>
      <c r="AD73" s="3" t="inlineStr">
        <is>
          <t>Verifiziert</t>
        </is>
      </c>
      <c r="AE73" s="3" t="inlineStr">
        <is>
          <t>200</t>
        </is>
      </c>
      <c r="AF73" s="3" t="inlineStr"/>
      <c r="AG73" s="3" t="inlineStr">
        <is>
          <t>HTML</t>
        </is>
      </c>
      <c r="AH73" s="3" t="inlineStr">
        <is>
          <t>Bestätigt</t>
        </is>
      </c>
      <c r="AI73" s="3" t="inlineStr">
        <is>
          <t>Schlüsselwörter 1/1 gefunden (Jahresrechnung 2025); Ort/Zuständigkeit: Münchenstein</t>
        </is>
      </c>
      <c r="AJ73" s="3" t="inlineStr">
        <is>
          <t>Münchenstein  - Bericht zur Jahresrechnung 2025 | Kopfzeile</t>
        </is>
      </c>
      <c r="AK73" s="3" t="inlineStr">
        <is>
          <t>2025, 2026</t>
        </is>
      </c>
      <c r="AL73" s="3" t="inlineStr">
        <is>
          <t>Mittel (CMS-Dokumentlink)</t>
        </is>
      </c>
      <c r="AM73" s="3" t="inlineStr">
        <is>
          <t>2026-10-14 13:53</t>
        </is>
      </c>
      <c r="AN73" s="3" t="inlineStr">
        <is>
          <t>Öffentlich verfügbar und verifiziert</t>
        </is>
      </c>
      <c r="AO73" s="3" t="inlineStr">
        <is>
          <t>2025</t>
        </is>
      </c>
      <c r="AP73" s="3" t="inlineStr">
        <is>
          <t>Belegt Existenz und Zugänglichkeit der Quelle; inhaltliche Aussagen erst nach Auswertung.</t>
        </is>
      </c>
      <c r="AQ73" s="3" t="inlineStr">
        <is>
          <t>Keine Einstufung: Kennzahlen/Befunde noch nicht ausgewertet; Schwellen der Bewertungslogik noch nicht validiert.</t>
        </is>
      </c>
      <c r="AR73" s="3" t="inlineStr">
        <is>
          <t>Nein</t>
        </is>
      </c>
      <c r="AS73" s="3" t="inlineStr">
        <is>
          <t>Gemeindeverwaltung Münchenstein</t>
        </is>
      </c>
      <c r="AT73" s="3" t="inlineStr">
        <is>
          <t>In Prüfung</t>
        </is>
      </c>
      <c r="AU73" s="3" t="inlineStr"/>
      <c r="AV73" s="3" t="inlineStr"/>
      <c r="AW73" s="3" t="inlineStr">
        <is>
          <t>2026-10-14: Link ersetzt (vorher https://www.muenchenstein.ch/). Grund: Startseite durch Publikationsseite der Jahresrechnung 2025 ersetzt.</t>
        </is>
      </c>
    </row>
    <row r="74" ht="43" customHeight="1">
      <c r="A74" s="2" t="inlineStr">
        <is>
          <t>MUE-C1-03</t>
        </is>
      </c>
      <c r="B74" s="15" t="inlineStr">
        <is>
          <t>Gemeinde</t>
        </is>
      </c>
      <c r="C74" s="2" t="inlineStr">
        <is>
          <t>Schweiz</t>
        </is>
      </c>
      <c r="D74" s="2" t="inlineStr">
        <is>
          <t>Basel-Landschaft</t>
        </is>
      </c>
      <c r="E74" s="2" t="inlineStr">
        <is>
          <t>Münchenstein</t>
        </is>
      </c>
      <c r="F74" s="2" t="inlineStr">
        <is>
          <t>C1</t>
        </is>
      </c>
      <c r="G74" s="2" t="inlineStr">
        <is>
          <t>Jahresrechnung</t>
        </is>
      </c>
      <c r="H74" s="2" t="inlineStr">
        <is>
          <t>Bericht zur Jahresrechnung 2024 der Einwohnergemeinde Münchenstein</t>
        </is>
      </c>
      <c r="I74" s="2" t="inlineStr">
        <is>
          <t>Jahresrechnung</t>
        </is>
      </c>
      <c r="J74" s="2" t="inlineStr">
        <is>
          <t>Publikationsseite mit PDF</t>
        </is>
      </c>
      <c r="K74" s="2" t="inlineStr">
        <is>
          <t>Beschlossene Jahresrechnung</t>
        </is>
      </c>
      <c r="L74" s="2" t="inlineStr">
        <is>
          <t>Gemeinde Münchenstein</t>
        </is>
      </c>
      <c r="M74" s="5" t="inlineStr">
        <is>
          <t>https://www.muenchenstein.ch/publikationen/556069</t>
        </is>
      </c>
      <c r="N74" s="2" t="inlineStr">
        <is>
          <t>2024</t>
        </is>
      </c>
      <c r="O74" s="2" t="inlineStr">
        <is>
          <t>2026-10-14</t>
        </is>
      </c>
      <c r="P74" s="2" t="inlineStr">
        <is>
          <t>Ergebnis, Investitionen, Bilanz 2024 (Zeitreihe)</t>
        </is>
      </c>
      <c r="Q74" s="2" t="inlineStr"/>
      <c r="R74" s="2" t="inlineStr"/>
      <c r="S74" s="2" t="inlineStr">
        <is>
          <t>Kanton × Grössenklasse</t>
        </is>
      </c>
      <c r="T74" s="2" t="inlineStr">
        <is>
          <t>Noch nicht bewertet</t>
        </is>
      </c>
      <c r="U74" s="2" t="inlineStr">
        <is>
          <t>Mittel</t>
        </is>
      </c>
      <c r="V74" s="2" t="inlineStr"/>
      <c r="W74" s="2" t="inlineStr"/>
      <c r="X74" s="2" t="inlineStr"/>
      <c r="Y74" s="2" t="inlineStr">
        <is>
          <t>Dokument auswerten; Aktualität und Geltung prüfen</t>
        </is>
      </c>
      <c r="Z74" s="2" t="inlineStr">
        <is>
          <t>Websuche 14.10.2026 (URL im Suchergebnis gefunden)</t>
        </is>
      </c>
      <c r="AA74" s="2" t="inlineStr"/>
      <c r="AB74" s="2" t="inlineStr"/>
      <c r="AC74" s="2" t="inlineStr"/>
      <c r="AD74" s="2" t="inlineStr">
        <is>
          <t>Verifiziert</t>
        </is>
      </c>
      <c r="AE74" s="2" t="inlineStr">
        <is>
          <t>200</t>
        </is>
      </c>
      <c r="AF74" s="2" t="inlineStr"/>
      <c r="AG74" s="2" t="inlineStr">
        <is>
          <t>HTML</t>
        </is>
      </c>
      <c r="AH74" s="2" t="inlineStr">
        <is>
          <t>Bestätigt</t>
        </is>
      </c>
      <c r="AI74" s="2" t="inlineStr">
        <is>
          <t>Schlüsselwörter 1/1 gefunden (Jahresrechnung 2024); Ort/Zuständigkeit: Münchenstein</t>
        </is>
      </c>
      <c r="AJ74" s="2" t="inlineStr">
        <is>
          <t>Münchenstein  - Bericht zur Jahresrechnung 2024 | Kopfzeile</t>
        </is>
      </c>
      <c r="AK74" s="2" t="inlineStr">
        <is>
          <t>2024, 2025, 2026</t>
        </is>
      </c>
      <c r="AL74" s="2" t="inlineStr">
        <is>
          <t>Mittel (CMS-Dokumentlink)</t>
        </is>
      </c>
      <c r="AM74" s="2" t="inlineStr">
        <is>
          <t>2026-10-14 13:55</t>
        </is>
      </c>
      <c r="AN74" s="2" t="inlineStr">
        <is>
          <t>Öffentlich verfügbar und verifiziert</t>
        </is>
      </c>
      <c r="AO74" s="2" t="inlineStr">
        <is>
          <t>2024</t>
        </is>
      </c>
      <c r="AP74" s="2" t="inlineStr">
        <is>
          <t>Belegt Existenz und Zugänglichkeit der Quelle; inhaltliche Aussagen erst nach Auswertung.</t>
        </is>
      </c>
      <c r="AQ74" s="2" t="inlineStr">
        <is>
          <t>Keine Einstufung: Kennzahlen/Befunde noch nicht ausgewertet; Schwellen der Bewertungslogik noch nicht validiert.</t>
        </is>
      </c>
      <c r="AR74" s="2" t="inlineStr">
        <is>
          <t>Nein</t>
        </is>
      </c>
      <c r="AS74" s="2" t="inlineStr">
        <is>
          <t>Gemeindeverwaltung Münchenstein</t>
        </is>
      </c>
      <c r="AT74" s="2" t="inlineStr">
        <is>
          <t>In Prüfung</t>
        </is>
      </c>
      <c r="AU74" s="2" t="inlineStr"/>
      <c r="AV74" s="2" t="inlineStr"/>
      <c r="AW74" s="2" t="inlineStr">
        <is>
          <t>2026-10-14: neu aufgenommen</t>
        </is>
      </c>
    </row>
    <row r="75" ht="43" customHeight="1">
      <c r="A75" s="3" t="inlineStr">
        <is>
          <t>MUE-C1-04</t>
        </is>
      </c>
      <c r="B75" s="15" t="inlineStr">
        <is>
          <t>Gemeinde</t>
        </is>
      </c>
      <c r="C75" s="3" t="inlineStr">
        <is>
          <t>Schweiz</t>
        </is>
      </c>
      <c r="D75" s="3" t="inlineStr">
        <is>
          <t>Basel-Landschaft</t>
        </is>
      </c>
      <c r="E75" s="3" t="inlineStr">
        <is>
          <t>Münchenstein</t>
        </is>
      </c>
      <c r="F75" s="3" t="inlineStr">
        <is>
          <t>C1</t>
        </is>
      </c>
      <c r="G75" s="3" t="inlineStr">
        <is>
          <t>Budget</t>
        </is>
      </c>
      <c r="H75" s="3" t="inlineStr">
        <is>
          <t>Budget 2025 der Einwohnergemeinde Münchenstein</t>
        </is>
      </c>
      <c r="I75" s="3" t="inlineStr">
        <is>
          <t>Budget</t>
        </is>
      </c>
      <c r="J75" s="3" t="inlineStr">
        <is>
          <t>Publikationsseite mit PDF</t>
        </is>
      </c>
      <c r="K75" s="3" t="inlineStr">
        <is>
          <t>Beschlossenes Budget</t>
        </is>
      </c>
      <c r="L75" s="3" t="inlineStr">
        <is>
          <t>Gemeinde Münchenstein</t>
        </is>
      </c>
      <c r="M75" s="7" t="inlineStr">
        <is>
          <t>https://www.muenchenstein.ch/publikationen/523381</t>
        </is>
      </c>
      <c r="N75" s="3" t="inlineStr">
        <is>
          <t>2025</t>
        </is>
      </c>
      <c r="O75" s="3" t="inlineStr">
        <is>
          <t>2026-10-14</t>
        </is>
      </c>
      <c r="P75" s="3" t="inlineStr"/>
      <c r="Q75" s="3" t="inlineStr"/>
      <c r="R75" s="3" t="inlineStr"/>
      <c r="S75" s="3" t="inlineStr">
        <is>
          <t>Kanton × Grössenklasse</t>
        </is>
      </c>
      <c r="T75" s="3" t="inlineStr">
        <is>
          <t>Noch nicht bewertet</t>
        </is>
      </c>
      <c r="U75" s="3" t="inlineStr">
        <is>
          <t>Mittel</t>
        </is>
      </c>
      <c r="V75" s="3" t="inlineStr"/>
      <c r="W75" s="3" t="inlineStr"/>
      <c r="X75" s="3" t="inlineStr"/>
      <c r="Y75" s="3" t="inlineStr">
        <is>
          <t>Dokument auswerten; Aktualität und Geltung prüfen</t>
        </is>
      </c>
      <c r="Z75" s="3" t="inlineStr">
        <is>
          <t>Websuche 14.10.2026 (URL im Suchergebnis gefunden)</t>
        </is>
      </c>
      <c r="AA75" s="3" t="inlineStr"/>
      <c r="AB75" s="3" t="inlineStr"/>
      <c r="AC75" s="3" t="inlineStr"/>
      <c r="AD75" s="3" t="inlineStr">
        <is>
          <t>Verifiziert</t>
        </is>
      </c>
      <c r="AE75" s="3" t="inlineStr">
        <is>
          <t>200</t>
        </is>
      </c>
      <c r="AF75" s="3" t="inlineStr"/>
      <c r="AG75" s="3" t="inlineStr">
        <is>
          <t>HTML</t>
        </is>
      </c>
      <c r="AH75" s="3" t="inlineStr">
        <is>
          <t>Bestätigt</t>
        </is>
      </c>
      <c r="AI75" s="3" t="inlineStr">
        <is>
          <t>Schlüsselwörter 1/1 gefunden (Budget 2025); Ort/Zuständigkeit: Münchenstein</t>
        </is>
      </c>
      <c r="AJ75" s="3" t="inlineStr">
        <is>
          <t>Münchenstein  - Budget 2025 | Kopfzeile</t>
        </is>
      </c>
      <c r="AK75" s="3" t="inlineStr">
        <is>
          <t>2025, 2024, 2026</t>
        </is>
      </c>
      <c r="AL75" s="3" t="inlineStr">
        <is>
          <t>Mittel (CMS-Dokumentlink)</t>
        </is>
      </c>
      <c r="AM75" s="3" t="inlineStr">
        <is>
          <t>2026-10-14 13:55</t>
        </is>
      </c>
      <c r="AN75" s="3" t="inlineStr">
        <is>
          <t>Öffentlich verfügbar und verifiziert</t>
        </is>
      </c>
      <c r="AO75" s="3" t="inlineStr">
        <is>
          <t>2025</t>
        </is>
      </c>
      <c r="AP75" s="3" t="inlineStr">
        <is>
          <t>Belegt Existenz und Zugänglichkeit der Quelle; inhaltliche Aussagen erst nach Auswertung.</t>
        </is>
      </c>
      <c r="AQ75" s="3" t="inlineStr">
        <is>
          <t>Keine Einstufung: Kennzahlen/Befunde noch nicht ausgewertet; Schwellen der Bewertungslogik noch nicht validiert.</t>
        </is>
      </c>
      <c r="AR75" s="3" t="inlineStr">
        <is>
          <t>Nein</t>
        </is>
      </c>
      <c r="AS75" s="3" t="inlineStr">
        <is>
          <t>Gemeindeverwaltung Münchenstein</t>
        </is>
      </c>
      <c r="AT75" s="3" t="inlineStr">
        <is>
          <t>In Prüfung</t>
        </is>
      </c>
      <c r="AU75" s="3" t="inlineStr"/>
      <c r="AV75" s="3" t="inlineStr"/>
      <c r="AW75" s="3" t="inlineStr">
        <is>
          <t>2026-10-14: neu aufgenommen</t>
        </is>
      </c>
    </row>
    <row r="76" ht="43" customHeight="1">
      <c r="A76" s="2" t="inlineStr">
        <is>
          <t>MUE-C1-05</t>
        </is>
      </c>
      <c r="B76" s="15" t="inlineStr">
        <is>
          <t>Gemeinde</t>
        </is>
      </c>
      <c r="C76" s="2" t="inlineStr">
        <is>
          <t>Schweiz</t>
        </is>
      </c>
      <c r="D76" s="2" t="inlineStr">
        <is>
          <t>Basel-Landschaft</t>
        </is>
      </c>
      <c r="E76" s="2" t="inlineStr">
        <is>
          <t>Münchenstein</t>
        </is>
      </c>
      <c r="F76" s="2" t="inlineStr">
        <is>
          <t>C1</t>
        </is>
      </c>
      <c r="G76" s="2" t="inlineStr">
        <is>
          <t>Budget / Finanzplan</t>
        </is>
      </c>
      <c r="H76" s="2" t="inlineStr">
        <is>
          <t>Gemeindeversammlung 8.12.2025: Budgetbericht 2026 und Bericht zum Aufgaben- und Finanzplan 2026–2030</t>
        </is>
      </c>
      <c r="I76" s="2" t="inlineStr">
        <is>
          <t>Sitzungsseite mit Unterlagen</t>
        </is>
      </c>
      <c r="J76" s="2" t="inlineStr">
        <is>
          <t>Sitzungsseite mit PDF</t>
        </is>
      </c>
      <c r="K76" s="2" t="inlineStr">
        <is>
          <t>Beschlussvorlage</t>
        </is>
      </c>
      <c r="L76" s="2" t="inlineStr">
        <is>
          <t>Gemeinde Münchenstein</t>
        </is>
      </c>
      <c r="M76" s="5" t="inlineStr">
        <is>
          <t>https://www.muenchenstein.ch/sitzung/5729137</t>
        </is>
      </c>
      <c r="N76" s="2" t="inlineStr">
        <is>
          <t>2026 / 2026–2030</t>
        </is>
      </c>
      <c r="O76" s="2" t="inlineStr">
        <is>
          <t>2026-10-14</t>
        </is>
      </c>
      <c r="P76" s="2" t="inlineStr">
        <is>
          <t>Aktuellstes Budget und AFP inkl. Investitionsplanung</t>
        </is>
      </c>
      <c r="Q76" s="2" t="inlineStr"/>
      <c r="R76" s="2" t="inlineStr"/>
      <c r="S76" s="2" t="inlineStr">
        <is>
          <t>Kanton × Grössenklasse</t>
        </is>
      </c>
      <c r="T76" s="2" t="inlineStr">
        <is>
          <t>Noch nicht bewertet</t>
        </is>
      </c>
      <c r="U76" s="2" t="inlineStr">
        <is>
          <t>Mittel</t>
        </is>
      </c>
      <c r="V76" s="2" t="inlineStr"/>
      <c r="W76" s="2" t="inlineStr"/>
      <c r="X76" s="2" t="inlineStr"/>
      <c r="Y76" s="2" t="inlineStr">
        <is>
          <t>Dokument auswerten; Aktualität und Geltung prüfen</t>
        </is>
      </c>
      <c r="Z76" s="2" t="inlineStr">
        <is>
          <t>Websuche 14.10.2026 (URL im Suchergebnis gefunden)</t>
        </is>
      </c>
      <c r="AA76" s="2" t="inlineStr">
        <is>
          <t>C5</t>
        </is>
      </c>
      <c r="AB76" s="2" t="inlineStr"/>
      <c r="AC76" s="2" t="inlineStr"/>
      <c r="AD76" s="2" t="inlineStr">
        <is>
          <t>Verifiziert</t>
        </is>
      </c>
      <c r="AE76" s="2" t="inlineStr">
        <is>
          <t>200</t>
        </is>
      </c>
      <c r="AF76" s="2" t="inlineStr"/>
      <c r="AG76" s="2" t="inlineStr">
        <is>
          <t>HTML</t>
        </is>
      </c>
      <c r="AH76" s="2" t="inlineStr">
        <is>
          <t>Bestätigt</t>
        </is>
      </c>
      <c r="AI76" s="2" t="inlineStr">
        <is>
          <t>Schlüsselwörter 2/2 gefunden (Budget, 2026); Ort/Zuständigkeit: Münchenstein</t>
        </is>
      </c>
      <c r="AJ76" s="2" t="inlineStr">
        <is>
          <t>Münchenstein  - Gemeindeversammlung | Kopfzeile</t>
        </is>
      </c>
      <c r="AK76" s="2" t="inlineStr">
        <is>
          <t>2026, 2025, 2030</t>
        </is>
      </c>
      <c r="AL76" s="2" t="inlineStr">
        <is>
          <t>Mittel (Webseite)</t>
        </is>
      </c>
      <c r="AM76" s="2" t="inlineStr">
        <is>
          <t>2026-10-14 13:55</t>
        </is>
      </c>
      <c r="AN76" s="2" t="inlineStr">
        <is>
          <t>Öffentlich verfügbar und verifiziert</t>
        </is>
      </c>
      <c r="AO76" s="2" t="inlineStr">
        <is>
          <t>2026 / 2026–2030</t>
        </is>
      </c>
      <c r="AP76" s="2" t="inlineStr">
        <is>
          <t>Belegt Existenz und Zugänglichkeit der Quelle; inhaltliche Aussagen erst nach Auswertung.</t>
        </is>
      </c>
      <c r="AQ76" s="2" t="inlineStr">
        <is>
          <t>Keine Einstufung: Kennzahlen/Befunde noch nicht ausgewertet; Schwellen der Bewertungslogik noch nicht validiert.</t>
        </is>
      </c>
      <c r="AR76" s="2" t="inlineStr">
        <is>
          <t>Nein</t>
        </is>
      </c>
      <c r="AS76" s="2" t="inlineStr">
        <is>
          <t>Gemeindeverwaltung Münchenstein</t>
        </is>
      </c>
      <c r="AT76" s="2" t="inlineStr">
        <is>
          <t>In Prüfung</t>
        </is>
      </c>
      <c r="AU76" s="2" t="inlineStr"/>
      <c r="AV76" s="2" t="inlineStr"/>
      <c r="AW76" s="2" t="inlineStr">
        <is>
          <t>2026-10-14: neu aufgenommen</t>
        </is>
      </c>
    </row>
    <row r="77" ht="43" customHeight="1">
      <c r="A77" s="3" t="inlineStr">
        <is>
          <t>MUE-C1-06</t>
        </is>
      </c>
      <c r="B77" s="15" t="inlineStr">
        <is>
          <t>Gemeinde</t>
        </is>
      </c>
      <c r="C77" s="3" t="inlineStr">
        <is>
          <t>Schweiz</t>
        </is>
      </c>
      <c r="D77" s="3" t="inlineStr">
        <is>
          <t>Basel-Landschaft</t>
        </is>
      </c>
      <c r="E77" s="3" t="inlineStr">
        <is>
          <t>Münchenstein</t>
        </is>
      </c>
      <c r="F77" s="3" t="inlineStr">
        <is>
          <t>C1</t>
        </is>
      </c>
      <c r="G77" s="3" t="inlineStr">
        <is>
          <t>Finanzplanung</t>
        </is>
      </c>
      <c r="H77" s="3" t="inlineStr">
        <is>
          <t>Aufgaben- &amp; Finanzplan der Einwohnergemeinde Münchenstein 2023–2027</t>
        </is>
      </c>
      <c r="I77" s="3" t="inlineStr">
        <is>
          <t>Finanzplan</t>
        </is>
      </c>
      <c r="J77" s="3" t="inlineStr">
        <is>
          <t>Direktes Dokument</t>
        </is>
      </c>
      <c r="K77" s="3" t="inlineStr">
        <is>
          <t>Planungsinstrument (Kenntnisnahme)</t>
        </is>
      </c>
      <c r="L77" s="3" t="inlineStr">
        <is>
          <t>Gemeinde Münchenstein</t>
        </is>
      </c>
      <c r="M77" s="7" t="inlineStr">
        <is>
          <t>https://www.muenchenstein.ch/_docn/4130681/Bericht_Aufgaben__Finanzplan_2023-2027_publiziert.pdf</t>
        </is>
      </c>
      <c r="N77" s="3" t="inlineStr">
        <is>
          <t>2023–2027 (historisch)</t>
        </is>
      </c>
      <c r="O77" s="3" t="inlineStr">
        <is>
          <t>2026-10-14</t>
        </is>
      </c>
      <c r="P77" s="3" t="inlineStr">
        <is>
          <t>Baurechtszinsen, Investitionen, Bilanzüberschuss-Prognose</t>
        </is>
      </c>
      <c r="Q77" s="3" t="inlineStr"/>
      <c r="R77" s="3" t="inlineStr"/>
      <c r="S77" s="3" t="inlineStr">
        <is>
          <t>Kanton × Grössenklasse</t>
        </is>
      </c>
      <c r="T77" s="3" t="inlineStr">
        <is>
          <t>Noch nicht bewertet</t>
        </is>
      </c>
      <c r="U77" s="3" t="inlineStr">
        <is>
          <t>Hoch</t>
        </is>
      </c>
      <c r="V77" s="3" t="inlineStr"/>
      <c r="W77" s="3" t="inlineStr"/>
      <c r="X77" s="3" t="inlineStr"/>
      <c r="Y77" s="3" t="inlineStr">
        <is>
          <t>Dokument auswerten; Aktualität und Geltung prüfen</t>
        </is>
      </c>
      <c r="Z77" s="3" t="inlineStr">
        <is>
          <t>Websuche 14.10.2026 (URL im Suchergebnis gefunden)</t>
        </is>
      </c>
      <c r="AA77" s="3" t="inlineStr"/>
      <c r="AB77" s="3" t="inlineStr"/>
      <c r="AC77" s="3" t="inlineStr"/>
      <c r="AD77" s="3" t="inlineStr">
        <is>
          <t>Verifiziert</t>
        </is>
      </c>
      <c r="AE77" s="3" t="inlineStr">
        <is>
          <t>200</t>
        </is>
      </c>
      <c r="AF77" s="3" t="inlineStr"/>
      <c r="AG77" s="3" t="inlineStr">
        <is>
          <t>PDF</t>
        </is>
      </c>
      <c r="AH77" s="3" t="inlineStr">
        <is>
          <t>Bestätigt</t>
        </is>
      </c>
      <c r="AI77" s="3" t="inlineStr">
        <is>
          <t>Schlüsselwörter 2/2 gefunden (Finanzplan, 2023); Ort/Zuständigkeit: Münchenstein</t>
        </is>
      </c>
      <c r="AJ77" s="3" t="inlineStr">
        <is>
          <t>untitled</t>
        </is>
      </c>
      <c r="AK77" s="3" t="inlineStr">
        <is>
          <t>2023, 2022, 2027, 2021, 2020, 2025</t>
        </is>
      </c>
      <c r="AL77" s="3" t="inlineStr">
        <is>
          <t>Mittel (CMS-Dokumentlink)</t>
        </is>
      </c>
      <c r="AM77" s="3" t="inlineStr">
        <is>
          <t>2026-10-14 13:55</t>
        </is>
      </c>
      <c r="AN77" s="3" t="inlineStr">
        <is>
          <t>Öffentlich verfügbar und verifiziert</t>
        </is>
      </c>
      <c r="AO77" s="3" t="inlineStr">
        <is>
          <t>2023–2027 (historisch)</t>
        </is>
      </c>
      <c r="AP77" s="3" t="inlineStr">
        <is>
          <t>Belegt Existenz und Zugänglichkeit der Quelle; inhaltliche Aussagen erst nach Auswertung. Fundstellen im Dokument (automatisch): Baurechtszins: S. 14, 27, 35.</t>
        </is>
      </c>
      <c r="AQ77" s="3" t="inlineStr">
        <is>
          <t>Keine Einstufung: Kennzahlen/Befunde noch nicht ausgewertet; Schwellen der Bewertungslogik noch nicht validiert.</t>
        </is>
      </c>
      <c r="AR77" s="3" t="inlineStr">
        <is>
          <t>Nein</t>
        </is>
      </c>
      <c r="AS77" s="3" t="inlineStr">
        <is>
          <t>Gemeindeverwaltung Münchenstein</t>
        </is>
      </c>
      <c r="AT77" s="3" t="inlineStr">
        <is>
          <t>In Prüfung</t>
        </is>
      </c>
      <c r="AU77" s="3" t="inlineStr">
        <is>
          <t>Ältere Fassung; aktuelle AFP 2026–2030 siehe MUE-C1-05.</t>
        </is>
      </c>
      <c r="AV77" s="3" t="inlineStr"/>
      <c r="AW77" s="3" t="inlineStr">
        <is>
          <t>2026-10-14: neu aufgenommen</t>
        </is>
      </c>
    </row>
    <row r="78" ht="43" customHeight="1">
      <c r="A78" s="2" t="inlineStr">
        <is>
          <t>MUE-C2-01</t>
        </is>
      </c>
      <c r="B78" s="15" t="inlineStr">
        <is>
          <t>Gemeinde</t>
        </is>
      </c>
      <c r="C78" s="2" t="inlineStr">
        <is>
          <t>Schweiz</t>
        </is>
      </c>
      <c r="D78" s="2" t="inlineStr">
        <is>
          <t>Basel-Landschaft</t>
        </is>
      </c>
      <c r="E78" s="2" t="inlineStr">
        <is>
          <t>Münchenstein</t>
        </is>
      </c>
      <c r="F78" s="2" t="inlineStr">
        <is>
          <t>C2</t>
        </is>
      </c>
      <c r="G78" s="2" t="inlineStr">
        <is>
          <t>Boden / Liegenschaften</t>
        </is>
      </c>
      <c r="H78" s="2" t="inlineStr">
        <is>
          <t>Ratschlag Gemeindeversammlung 16.3.2015 (Landverkauf Parzelle 799; Grundsätze aktive Landpolitik / Baurecht)</t>
        </is>
      </c>
      <c r="I78" s="2" t="inlineStr">
        <is>
          <t>Ratschlag / Vorlage</t>
        </is>
      </c>
      <c r="J78" s="2" t="inlineStr">
        <is>
          <t>Direktes Dokument</t>
        </is>
      </c>
      <c r="K78" s="2" t="inlineStr">
        <is>
          <t>Beschlussvorlage (historisch)</t>
        </is>
      </c>
      <c r="L78" s="2" t="inlineStr">
        <is>
          <t>Gemeinde Münchenstein</t>
        </is>
      </c>
      <c r="M78" s="5" t="inlineStr">
        <is>
          <t>https://www.muenchenstein.ch/_docn/1059619/2015.03.16_Ratschlag_Homepage.pdf</t>
        </is>
      </c>
      <c r="N78" s="2" t="inlineStr">
        <is>
          <t>2015</t>
        </is>
      </c>
      <c r="O78" s="2" t="inlineStr">
        <is>
          <t>2026-10-14</t>
        </is>
      </c>
      <c r="P78" s="2" t="inlineStr">
        <is>
          <t>Dokumentiert Grundsätze der kommunalen Landpolitik (Verkauf vs. Baurecht); historische Grundlage</t>
        </is>
      </c>
      <c r="Q78" s="2" t="inlineStr">
        <is>
          <t>ÖBA, Grundstücke, Baurechte</t>
        </is>
      </c>
      <c r="R78" s="2" t="inlineStr">
        <is>
          <t>Liegenschaftsverzeichnis anfragen</t>
        </is>
      </c>
      <c r="S78" s="2" t="inlineStr">
        <is>
          <t>Kein Peer</t>
        </is>
      </c>
      <c r="T78" s="2" t="inlineStr">
        <is>
          <t>Noch nicht bewertet</t>
        </is>
      </c>
      <c r="U78" s="2" t="inlineStr">
        <is>
          <t>Mittel</t>
        </is>
      </c>
      <c r="V78" s="2" t="inlineStr">
        <is>
          <t>Konkrete kommunale Unterlagen / Datensatz nachfordern</t>
        </is>
      </c>
      <c r="W78" s="2" t="inlineStr">
        <is>
          <t>B; Q1</t>
        </is>
      </c>
      <c r="X78" s="2" t="inlineStr">
        <is>
          <t>Bodenmobilisierung</t>
        </is>
      </c>
      <c r="Y78" s="2" t="inlineStr">
        <is>
          <t>Dokument auswerten; Aktualität und Geltung prüfen</t>
        </is>
      </c>
      <c r="Z78" s="2" t="inlineStr">
        <is>
          <t>Webrecherche 14.10.2026</t>
        </is>
      </c>
      <c r="AA78" s="2" t="inlineStr"/>
      <c r="AB78" s="2" t="inlineStr"/>
      <c r="AC78" s="2" t="inlineStr"/>
      <c r="AD78" s="2" t="inlineStr">
        <is>
          <t>Verifiziert</t>
        </is>
      </c>
      <c r="AE78" s="2" t="inlineStr">
        <is>
          <t>200</t>
        </is>
      </c>
      <c r="AF78" s="2" t="inlineStr"/>
      <c r="AG78" s="2" t="inlineStr">
        <is>
          <t>PDF</t>
        </is>
      </c>
      <c r="AH78" s="2" t="inlineStr">
        <is>
          <t>Bestätigt</t>
        </is>
      </c>
      <c r="AI78" s="2" t="inlineStr">
        <is>
          <t>Schlüsselwörter 2/2 gefunden (Ratschlag, Baurecht); Ort/Zuständigkeit: Münchenstein</t>
        </is>
      </c>
      <c r="AJ78" s="2" t="inlineStr">
        <is>
          <t>Ratschlag</t>
        </is>
      </c>
      <c r="AK78" s="2" t="inlineStr">
        <is>
          <t>2014, 2015, 2016, 2030, 2012, 2006</t>
        </is>
      </c>
      <c r="AL78" s="2" t="inlineStr">
        <is>
          <t>Mittel (CMS-Dokumentlink)</t>
        </is>
      </c>
      <c r="AM78" s="2" t="inlineStr">
        <is>
          <t>2026-10-14 13:53</t>
        </is>
      </c>
      <c r="AN78" s="2" t="inlineStr">
        <is>
          <t>Öffentlich verfügbar und verifiziert</t>
        </is>
      </c>
      <c r="AO78" s="2" t="inlineStr">
        <is>
          <t>2015</t>
        </is>
      </c>
      <c r="AP78" s="2" t="inlineStr">
        <is>
          <t>Belegt Existenz und Zugänglichkeit der Quelle; inhaltliche Aussagen erst nach Auswertung. Fundstellen im Dokument (automatisch): Baurecht: S. 5, 15, 17, 18, 19, 20, 26, 27, 41; Landpolitik: S. 4, 5, 41.</t>
        </is>
      </c>
      <c r="AQ78" s="2" t="inlineStr">
        <is>
          <t>Keine Einstufung: Kennzahlen/Befunde noch nicht ausgewertet; Schwellen der Bewertungslogik noch nicht validiert.</t>
        </is>
      </c>
      <c r="AR78" s="2" t="inlineStr">
        <is>
          <t>Ja</t>
        </is>
      </c>
      <c r="AS78" s="2" t="inlineStr">
        <is>
          <t>Gemeindeverwaltung Münchenstein</t>
        </is>
      </c>
      <c r="AT78" s="2" t="inlineStr">
        <is>
          <t>In Prüfung</t>
        </is>
      </c>
      <c r="AU78" s="2" t="inlineStr">
        <is>
          <t>Historisches Dokument (2015); aktuelle Liegenschaftsstrategie nicht öffentlich gefunden.</t>
        </is>
      </c>
      <c r="AV78" s="2" t="inlineStr"/>
      <c r="AW78" s="2" t="inlineStr">
        <is>
          <t>2026-10-14: Link ersetzt (vorher https://www.muenchenstein.ch/). Grund: Startseite durch direktes Dokument zur Landpolitik ersetzt.</t>
        </is>
      </c>
    </row>
    <row r="79" ht="43" customHeight="1">
      <c r="A79" s="3" t="inlineStr">
        <is>
          <t>MUE-C2-02</t>
        </is>
      </c>
      <c r="B79" s="15" t="inlineStr">
        <is>
          <t>Gemeinde</t>
        </is>
      </c>
      <c r="C79" s="3" t="inlineStr">
        <is>
          <t>Schweiz</t>
        </is>
      </c>
      <c r="D79" s="3" t="inlineStr">
        <is>
          <t>Basel-Landschaft</t>
        </is>
      </c>
      <c r="E79" s="3" t="inlineStr">
        <is>
          <t>Münchenstein</t>
        </is>
      </c>
      <c r="F79" s="3" t="inlineStr">
        <is>
          <t>C2</t>
        </is>
      </c>
      <c r="G79" s="3" t="inlineStr">
        <is>
          <t>Zonenvorschriften / Mehrwertabgabe</t>
        </is>
      </c>
      <c r="H79" s="3" t="inlineStr">
        <is>
          <t>Zonenreglement Siedlung Münchenstein</t>
        </is>
      </c>
      <c r="I79" s="3" t="inlineStr">
        <is>
          <t>Kommunales Reglement</t>
        </is>
      </c>
      <c r="J79" s="3" t="inlineStr">
        <is>
          <t>Direktes Dokument</t>
        </is>
      </c>
      <c r="K79" s="3" t="inlineStr">
        <is>
          <t>Kommunales Recht (verbindlich)</t>
        </is>
      </c>
      <c r="L79" s="3" t="inlineStr">
        <is>
          <t>Gemeinde Münchenstein</t>
        </is>
      </c>
      <c r="M79" s="7" t="inlineStr">
        <is>
          <t>https://www.muenchenstein.ch/_docn/1199675/Zonenreglement_Siedlung.pdf</t>
        </is>
      </c>
      <c r="N79" s="3" t="inlineStr"/>
      <c r="O79" s="3" t="inlineStr">
        <is>
          <t>2026-10-14</t>
        </is>
      </c>
      <c r="P79" s="3" t="inlineStr">
        <is>
          <t>Mehrwertabgabe und Zonenordnung; kein Eigentumsnachweis</t>
        </is>
      </c>
      <c r="Q79" s="3" t="inlineStr"/>
      <c r="R79" s="3" t="inlineStr"/>
      <c r="S79" s="3" t="inlineStr">
        <is>
          <t>Kein Peer-Vergleich</t>
        </is>
      </c>
      <c r="T79" s="3" t="inlineStr">
        <is>
          <t>Noch nicht bewertet</t>
        </is>
      </c>
      <c r="U79" s="3" t="inlineStr">
        <is>
          <t>Hoch</t>
        </is>
      </c>
      <c r="V79" s="3" t="inlineStr"/>
      <c r="W79" s="3" t="inlineStr">
        <is>
          <t>B; Q1</t>
        </is>
      </c>
      <c r="X79" s="3" t="inlineStr"/>
      <c r="Y79" s="3" t="inlineStr">
        <is>
          <t>Dokument auswerten; Aktualität und Geltung prüfen</t>
        </is>
      </c>
      <c r="Z79" s="3" t="inlineStr">
        <is>
          <t>Websuche 14.10.2026 (URL im Suchergebnis gefunden)</t>
        </is>
      </c>
      <c r="AA79" s="3" t="inlineStr"/>
      <c r="AB79" s="3" t="inlineStr"/>
      <c r="AC79" s="7" t="inlineStr">
        <is>
          <t>https://www.muenchenstein.ch/reglemente/10743</t>
        </is>
      </c>
      <c r="AD79" s="3" t="inlineStr">
        <is>
          <t>Verifiziert</t>
        </is>
      </c>
      <c r="AE79" s="3" t="inlineStr">
        <is>
          <t>200</t>
        </is>
      </c>
      <c r="AF79" s="3" t="inlineStr"/>
      <c r="AG79" s="3" t="inlineStr">
        <is>
          <t>PDF</t>
        </is>
      </c>
      <c r="AH79" s="3" t="inlineStr">
        <is>
          <t>Bestätigt</t>
        </is>
      </c>
      <c r="AI79" s="3" t="inlineStr">
        <is>
          <t>Schlüsselwörter 1/1 gefunden (Zonenreglement); Ort/Zuständigkeit: Münchenstein</t>
        </is>
      </c>
      <c r="AJ79" s="3" t="inlineStr">
        <is>
          <t>43026_Reg01_Beschlussfassung2</t>
        </is>
      </c>
      <c r="AK79" s="3" t="inlineStr">
        <is>
          <t>2000, 2016, 2003, 2004</t>
        </is>
      </c>
      <c r="AL79" s="3" t="inlineStr">
        <is>
          <t>Mittel (CMS-Dokumentlink)</t>
        </is>
      </c>
      <c r="AM79" s="3" t="inlineStr">
        <is>
          <t>2026-10-14 13:55</t>
        </is>
      </c>
      <c r="AN79" s="3" t="inlineStr">
        <is>
          <t>Öffentlich verfügbar und verifiziert</t>
        </is>
      </c>
      <c r="AO79" s="3" t="inlineStr"/>
      <c r="AP79" s="3" t="inlineStr">
        <is>
          <t>Belegt Existenz und Zugänglichkeit der Quelle; inhaltliche Aussagen erst nach Auswertung.</t>
        </is>
      </c>
      <c r="AQ79" s="3" t="inlineStr">
        <is>
          <t>Keine Einstufung: Kennzahlen/Befunde noch nicht ausgewertet; Schwellen der Bewertungslogik noch nicht validiert.</t>
        </is>
      </c>
      <c r="AR79" s="3" t="inlineStr">
        <is>
          <t>Ja</t>
        </is>
      </c>
      <c r="AS79" s="3" t="inlineStr">
        <is>
          <t>Gemeindeverwaltung Münchenstein</t>
        </is>
      </c>
      <c r="AT79" s="3" t="inlineStr">
        <is>
          <t>In Prüfung</t>
        </is>
      </c>
      <c r="AU79" s="3" t="inlineStr"/>
      <c r="AV79" s="3" t="inlineStr"/>
      <c r="AW79" s="3" t="inlineStr">
        <is>
          <t>2026-10-14: neu aufgenommen</t>
        </is>
      </c>
    </row>
    <row r="80" ht="43" customHeight="1">
      <c r="A80" s="2" t="inlineStr">
        <is>
          <t>MUE-C2-03</t>
        </is>
      </c>
      <c r="B80" s="15" t="inlineStr">
        <is>
          <t>Gemeinde</t>
        </is>
      </c>
      <c r="C80" s="2" t="inlineStr">
        <is>
          <t>Schweiz</t>
        </is>
      </c>
      <c r="D80" s="2" t="inlineStr">
        <is>
          <t>Basel-Landschaft</t>
        </is>
      </c>
      <c r="E80" s="2" t="inlineStr">
        <is>
          <t>Münchenstein</t>
        </is>
      </c>
      <c r="F80" s="2" t="inlineStr">
        <is>
          <t>C2</t>
        </is>
      </c>
      <c r="G80" s="2" t="inlineStr">
        <is>
          <t>Liegenschaftsverkäufe / Baurecht</t>
        </is>
      </c>
      <c r="H80" s="2" t="inlineStr">
        <is>
          <t>Ratschlag Gemeindeversammlung 12.3.2018 (Baurechtszinsen, Liegenschaftsverkäufe)</t>
        </is>
      </c>
      <c r="I80" s="2" t="inlineStr">
        <is>
          <t>Ratschlag / Vorlage</t>
        </is>
      </c>
      <c r="J80" s="2" t="inlineStr">
        <is>
          <t>Direktes Dokument</t>
        </is>
      </c>
      <c r="K80" s="2" t="inlineStr">
        <is>
          <t>Beschlussvorlage (historisch)</t>
        </is>
      </c>
      <c r="L80" s="2" t="inlineStr">
        <is>
          <t>Gemeinde Münchenstein</t>
        </is>
      </c>
      <c r="M80" s="5" t="inlineStr">
        <is>
          <t>https://www.muenchenstein.ch/_docn/1591897/2018.03.12_Ratschlag_GzD.pdf</t>
        </is>
      </c>
      <c r="N80" s="2" t="inlineStr">
        <is>
          <t>2018</t>
        </is>
      </c>
      <c r="O80" s="2" t="inlineStr">
        <is>
          <t>2026-10-14</t>
        </is>
      </c>
      <c r="P80" s="2" t="inlineStr">
        <is>
          <t>Bedeutung von Baurechtszinsen und Landverkäufen für den Haushalt</t>
        </is>
      </c>
      <c r="Q80" s="2" t="inlineStr"/>
      <c r="R80" s="2" t="inlineStr"/>
      <c r="S80" s="2" t="inlineStr">
        <is>
          <t>Kein Peer-Vergleich</t>
        </is>
      </c>
      <c r="T80" s="2" t="inlineStr">
        <is>
          <t>Noch nicht bewertet</t>
        </is>
      </c>
      <c r="U80" s="2" t="inlineStr">
        <is>
          <t>Mittel</t>
        </is>
      </c>
      <c r="V80" s="2" t="inlineStr"/>
      <c r="W80" s="2" t="inlineStr"/>
      <c r="X80" s="2" t="inlineStr"/>
      <c r="Y80" s="2" t="inlineStr">
        <is>
          <t>Dokument auswerten; Aktualität und Geltung prüfen</t>
        </is>
      </c>
      <c r="Z80" s="2" t="inlineStr">
        <is>
          <t>Websuche 14.10.2026 (URL im Suchergebnis gefunden)</t>
        </is>
      </c>
      <c r="AA80" s="2" t="inlineStr">
        <is>
          <t>C1</t>
        </is>
      </c>
      <c r="AB80" s="2" t="inlineStr"/>
      <c r="AC80" s="2" t="inlineStr"/>
      <c r="AD80" s="2" t="inlineStr">
        <is>
          <t>Verifiziert</t>
        </is>
      </c>
      <c r="AE80" s="2" t="inlineStr">
        <is>
          <t>200</t>
        </is>
      </c>
      <c r="AF80" s="2" t="inlineStr"/>
      <c r="AG80" s="2" t="inlineStr">
        <is>
          <t>PDF</t>
        </is>
      </c>
      <c r="AH80" s="2" t="inlineStr">
        <is>
          <t>Bestätigt</t>
        </is>
      </c>
      <c r="AI80" s="2" t="inlineStr">
        <is>
          <t>Schlüsselwörter 1/1 gefunden (Ratschlag); Ort/Zuständigkeit: Münchenstein</t>
        </is>
      </c>
      <c r="AJ80" s="2" t="inlineStr">
        <is>
          <t>46670_1_Mstein_Ratschlag.indd</t>
        </is>
      </c>
      <c r="AK80" s="2" t="inlineStr">
        <is>
          <t>2017, 2018, 2015, 2016, 2014, 2011</t>
        </is>
      </c>
      <c r="AL80" s="2" t="inlineStr">
        <is>
          <t>Mittel (CMS-Dokumentlink)</t>
        </is>
      </c>
      <c r="AM80" s="2" t="inlineStr">
        <is>
          <t>2026-10-14 13:55</t>
        </is>
      </c>
      <c r="AN80" s="2" t="inlineStr">
        <is>
          <t>Öffentlich verfügbar und verifiziert</t>
        </is>
      </c>
      <c r="AO80" s="2" t="inlineStr">
        <is>
          <t>2018</t>
        </is>
      </c>
      <c r="AP80" s="2" t="inlineStr">
        <is>
          <t>Belegt Existenz und Zugänglichkeit der Quelle; inhaltliche Aussagen erst nach Auswertung.</t>
        </is>
      </c>
      <c r="AQ80" s="2" t="inlineStr">
        <is>
          <t>Keine Einstufung: Kennzahlen/Befunde noch nicht ausgewertet; Schwellen der Bewertungslogik noch nicht validiert.</t>
        </is>
      </c>
      <c r="AR80" s="2" t="inlineStr">
        <is>
          <t>Ja</t>
        </is>
      </c>
      <c r="AS80" s="2" t="inlineStr">
        <is>
          <t>Gemeindeverwaltung Münchenstein</t>
        </is>
      </c>
      <c r="AT80" s="2" t="inlineStr">
        <is>
          <t>In Prüfung</t>
        </is>
      </c>
      <c r="AU80" s="2" t="inlineStr"/>
      <c r="AV80" s="2" t="inlineStr"/>
      <c r="AW80" s="2" t="inlineStr">
        <is>
          <t>2026-10-14: neu aufgenommen</t>
        </is>
      </c>
    </row>
    <row r="81" ht="43" customHeight="1">
      <c r="A81" s="3" t="inlineStr">
        <is>
          <t>MUE-C3-01</t>
        </is>
      </c>
      <c r="B81" s="15" t="inlineStr">
        <is>
          <t>Gemeinde</t>
        </is>
      </c>
      <c r="C81" s="3" t="inlineStr">
        <is>
          <t>Schweiz</t>
        </is>
      </c>
      <c r="D81" s="3" t="inlineStr">
        <is>
          <t>Basel-Landschaft</t>
        </is>
      </c>
      <c r="E81" s="3" t="inlineStr">
        <is>
          <t>Münchenstein</t>
        </is>
      </c>
      <c r="F81" s="3" t="inlineStr">
        <is>
          <t>C3</t>
        </is>
      </c>
      <c r="G81" s="3" t="inlineStr">
        <is>
          <t>Governance</t>
        </is>
      </c>
      <c r="H81" s="3" t="inlineStr">
        <is>
          <t>Gemeindeordnung der Einwohnergemeinde Münchenstein (Stand 1.1.2013)</t>
        </is>
      </c>
      <c r="I81" s="3" t="inlineStr">
        <is>
          <t>Gemeindeordnung</t>
        </is>
      </c>
      <c r="J81" s="3" t="inlineStr">
        <is>
          <t>Direktes Dokument</t>
        </is>
      </c>
      <c r="K81" s="3" t="inlineStr">
        <is>
          <t>Kommunales Recht (verbindlich)</t>
        </is>
      </c>
      <c r="L81" s="3" t="inlineStr">
        <is>
          <t>Gemeinde Münchenstein</t>
        </is>
      </c>
      <c r="M81" s="7" t="inlineStr">
        <is>
          <t>https://www.muenchenstein.ch/_docn/2430218/20180713_Gemeindeordnung_Stand_01.01.2013_publiziert_sw.pdf</t>
        </is>
      </c>
      <c r="N81" s="3" t="inlineStr">
        <is>
          <t>vom 13.9.1999, Stand 1.1.2013</t>
        </is>
      </c>
      <c r="O81" s="3" t="inlineStr">
        <is>
          <t>2026-10-14</t>
        </is>
      </c>
      <c r="P81" s="3" t="inlineStr">
        <is>
          <t>Behörden, Kooperationen und Projektorganisation recherchieren</t>
        </is>
      </c>
      <c r="Q81" s="3" t="inlineStr">
        <is>
          <t>Trägerschaften, Zweckverbände</t>
        </is>
      </c>
      <c r="R81" s="3" t="inlineStr">
        <is>
          <t>Organigramm und Kooperationsverträge anfragen</t>
        </is>
      </c>
      <c r="S81" s="3" t="inlineStr">
        <is>
          <t>Qualitativ</t>
        </is>
      </c>
      <c r="T81" s="3" t="inlineStr">
        <is>
          <t>Noch nicht bewertet</t>
        </is>
      </c>
      <c r="U81" s="3" t="inlineStr">
        <is>
          <t>Hoch</t>
        </is>
      </c>
      <c r="V81" s="3" t="inlineStr">
        <is>
          <t>Konkrete kommunale Unterlagen / Datensatz nachfordern</t>
        </is>
      </c>
      <c r="W81" s="3" t="inlineStr">
        <is>
          <t>C4; C5</t>
        </is>
      </c>
      <c r="X81" s="3" t="inlineStr">
        <is>
          <t>Governance</t>
        </is>
      </c>
      <c r="Y81" s="3" t="inlineStr">
        <is>
          <t>Dokument auswerten; Aktualität und Geltung prüfen</t>
        </is>
      </c>
      <c r="Z81" s="3" t="inlineStr">
        <is>
          <t>Webrecherche 14.10.2026</t>
        </is>
      </c>
      <c r="AA81" s="3" t="inlineStr">
        <is>
          <t>C5</t>
        </is>
      </c>
      <c r="AB81" s="3" t="inlineStr"/>
      <c r="AC81" s="7" t="inlineStr">
        <is>
          <t>https://www.muenchenstein.ch/reglemente/7140</t>
        </is>
      </c>
      <c r="AD81" s="3" t="inlineStr">
        <is>
          <t>Verifiziert</t>
        </is>
      </c>
      <c r="AE81" s="3" t="inlineStr">
        <is>
          <t>200</t>
        </is>
      </c>
      <c r="AF81" s="3" t="inlineStr"/>
      <c r="AG81" s="3" t="inlineStr">
        <is>
          <t>PDF</t>
        </is>
      </c>
      <c r="AH81" s="3" t="inlineStr">
        <is>
          <t>Bestätigt</t>
        </is>
      </c>
      <c r="AI81" s="3" t="inlineStr">
        <is>
          <t>Schlüsselwörter 2/2 gefunden (Gemeindeordnung, Gemeindekommission); Ort/Zuständigkeit: Münchenstein</t>
        </is>
      </c>
      <c r="AJ81" s="3" t="inlineStr">
        <is>
          <t>Rechtssammlung</t>
        </is>
      </c>
      <c r="AK81" s="3" t="inlineStr">
        <is>
          <t>2013, 2011, 2008, 2000, 2014, 2012</t>
        </is>
      </c>
      <c r="AL81" s="3" t="inlineStr">
        <is>
          <t>Mittel (CMS-Dokumentlink)</t>
        </is>
      </c>
      <c r="AM81" s="3" t="inlineStr">
        <is>
          <t>2026-10-14 13:53</t>
        </is>
      </c>
      <c r="AN81" s="3" t="inlineStr">
        <is>
          <t>Öffentlich verfügbar und verifiziert</t>
        </is>
      </c>
      <c r="AO81" s="3" t="inlineStr">
        <is>
          <t>vom 13.9.1999, Stand 1.1.2013</t>
        </is>
      </c>
      <c r="AP81" s="3" t="inlineStr">
        <is>
          <t>Belegt Existenz und Zugänglichkeit der Quelle; inhaltliche Aussagen erst nach Auswertung.</t>
        </is>
      </c>
      <c r="AQ81" s="3" t="inlineStr">
        <is>
          <t>Keine Einstufung: Kennzahlen/Befunde noch nicht ausgewertet; Schwellen der Bewertungslogik noch nicht validiert.</t>
        </is>
      </c>
      <c r="AR81" s="3" t="inlineStr">
        <is>
          <t>Ja</t>
        </is>
      </c>
      <c r="AS81" s="3" t="inlineStr">
        <is>
          <t>Gemeindeverwaltung Münchenstein</t>
        </is>
      </c>
      <c r="AT81" s="3" t="inlineStr">
        <is>
          <t>In Prüfung</t>
        </is>
      </c>
      <c r="AU81" s="3" t="inlineStr">
        <is>
          <t>Prüfen, ob neuere Fassung existiert (Einwohnerrat-Diskussion).</t>
        </is>
      </c>
      <c r="AV81" s="3" t="inlineStr"/>
      <c r="AW81" s="3" t="inlineStr">
        <is>
          <t>2026-10-14: Link ersetzt (vorher https://www.muenchenstein.ch/). Grund: Startseite durch Gemeindeordnung ersetzt.</t>
        </is>
      </c>
    </row>
    <row r="82" ht="43" customHeight="1">
      <c r="A82" s="2" t="inlineStr">
        <is>
          <t>MUE-C3-02</t>
        </is>
      </c>
      <c r="B82" s="15" t="inlineStr">
        <is>
          <t>Gemeinde</t>
        </is>
      </c>
      <c r="C82" s="2" t="inlineStr">
        <is>
          <t>Schweiz</t>
        </is>
      </c>
      <c r="D82" s="2" t="inlineStr">
        <is>
          <t>Basel-Landschaft</t>
        </is>
      </c>
      <c r="E82" s="2" t="inlineStr">
        <is>
          <t>Münchenstein</t>
        </is>
      </c>
      <c r="F82" s="2" t="inlineStr">
        <is>
          <t>C3</t>
        </is>
      </c>
      <c r="G82" s="2" t="inlineStr">
        <is>
          <t>Leistungsvereinbarung / Kooperation</t>
        </is>
      </c>
      <c r="H82" s="2" t="inlineStr">
        <is>
          <t>Ratschlag Gemeindeversammlung 15.6.2026 (u. a. Leistungsvereinbarung Spitex Birseck, Jahresrechnung 2025)</t>
        </is>
      </c>
      <c r="I82" s="2" t="inlineStr">
        <is>
          <t>Ratschlag / Vorlage</t>
        </is>
      </c>
      <c r="J82" s="2" t="inlineStr">
        <is>
          <t>Direktes Dokument</t>
        </is>
      </c>
      <c r="K82" s="2" t="inlineStr">
        <is>
          <t>Beschlussvorlage</t>
        </is>
      </c>
      <c r="L82" s="2" t="inlineStr">
        <is>
          <t>Gemeinde Münchenstein</t>
        </is>
      </c>
      <c r="M82" s="5" t="inlineStr">
        <is>
          <t>https://www.muenchenstein.ch/_docn/6998503/Ratschlag_Gemeindeversammlung_Montag,_15._Juni_2026.pdf</t>
        </is>
      </c>
      <c r="N82" s="2" t="inlineStr">
        <is>
          <t>2026</t>
        </is>
      </c>
      <c r="O82" s="2" t="inlineStr">
        <is>
          <t>2026-10-14</t>
        </is>
      </c>
      <c r="P82" s="2" t="inlineStr">
        <is>
          <t>Interkommunale Leistungsvereinbarung und Kostenteiler</t>
        </is>
      </c>
      <c r="Q82" s="2" t="inlineStr"/>
      <c r="R82" s="2" t="inlineStr"/>
      <c r="S82" s="2" t="inlineStr">
        <is>
          <t>Kein Peer-Vergleich</t>
        </is>
      </c>
      <c r="T82" s="2" t="inlineStr">
        <is>
          <t>Noch nicht bewertet</t>
        </is>
      </c>
      <c r="U82" s="2" t="inlineStr">
        <is>
          <t>Hoch</t>
        </is>
      </c>
      <c r="V82" s="2" t="inlineStr"/>
      <c r="W82" s="2" t="inlineStr"/>
      <c r="X82" s="2" t="inlineStr"/>
      <c r="Y82" s="2" t="inlineStr">
        <is>
          <t>Dokument auswerten; Aktualität und Geltung prüfen</t>
        </is>
      </c>
      <c r="Z82" s="2" t="inlineStr">
        <is>
          <t>Websuche 14.10.2026 (URL im Suchergebnis gefunden)</t>
        </is>
      </c>
      <c r="AA82" s="2" t="inlineStr">
        <is>
          <t>C1, C5</t>
        </is>
      </c>
      <c r="AB82" s="2" t="inlineStr"/>
      <c r="AC82" s="2" t="inlineStr"/>
      <c r="AD82" s="2" t="inlineStr">
        <is>
          <t>Verifiziert</t>
        </is>
      </c>
      <c r="AE82" s="2" t="inlineStr">
        <is>
          <t>200</t>
        </is>
      </c>
      <c r="AF82" s="2" t="inlineStr"/>
      <c r="AG82" s="2" t="inlineStr">
        <is>
          <t>PDF</t>
        </is>
      </c>
      <c r="AH82" s="2" t="inlineStr">
        <is>
          <t>Bestätigt</t>
        </is>
      </c>
      <c r="AI82" s="2" t="inlineStr">
        <is>
          <t>Schlüsselwörter 2/2 gefunden (Ratschlag, Spitex); Ort/Zuständigkeit: Münchenstein</t>
        </is>
      </c>
      <c r="AJ82" s="2" t="inlineStr">
        <is>
          <t>2009/2</t>
        </is>
      </c>
      <c r="AK82" s="2" t="inlineStr">
        <is>
          <t>2025, 2026, 2024, 2027, 2009, 2028</t>
        </is>
      </c>
      <c r="AL82" s="2" t="inlineStr">
        <is>
          <t>Mittel (CMS-Dokumentlink)</t>
        </is>
      </c>
      <c r="AM82" s="2" t="inlineStr">
        <is>
          <t>2026-10-14 13:55</t>
        </is>
      </c>
      <c r="AN82" s="2" t="inlineStr">
        <is>
          <t>Öffentlich verfügbar und verifiziert</t>
        </is>
      </c>
      <c r="AO82" s="2" t="inlineStr">
        <is>
          <t>2026</t>
        </is>
      </c>
      <c r="AP82" s="2" t="inlineStr">
        <is>
          <t>Belegt Existenz und Zugänglichkeit der Quelle; inhaltliche Aussagen erst nach Auswertung.</t>
        </is>
      </c>
      <c r="AQ82" s="2" t="inlineStr">
        <is>
          <t>Keine Einstufung: Kennzahlen/Befunde noch nicht ausgewertet; Schwellen der Bewertungslogik noch nicht validiert.</t>
        </is>
      </c>
      <c r="AR82" s="2" t="inlineStr">
        <is>
          <t>Ja</t>
        </is>
      </c>
      <c r="AS82" s="2" t="inlineStr">
        <is>
          <t>Gemeindeverwaltung Münchenstein</t>
        </is>
      </c>
      <c r="AT82" s="2" t="inlineStr">
        <is>
          <t>In Prüfung</t>
        </is>
      </c>
      <c r="AU82" s="2" t="inlineStr"/>
      <c r="AV82" s="2" t="inlineStr"/>
      <c r="AW82" s="2" t="inlineStr">
        <is>
          <t>2026-10-14: neu aufgenommen</t>
        </is>
      </c>
    </row>
    <row r="83" ht="43" customHeight="1">
      <c r="A83" s="3" t="inlineStr">
        <is>
          <t>MUE-C4-01</t>
        </is>
      </c>
      <c r="B83" s="15" t="inlineStr">
        <is>
          <t>Gemeinde</t>
        </is>
      </c>
      <c r="C83" s="3" t="inlineStr">
        <is>
          <t>Schweiz</t>
        </is>
      </c>
      <c r="D83" s="3" t="inlineStr">
        <is>
          <t>Basel-Landschaft</t>
        </is>
      </c>
      <c r="E83" s="3" t="inlineStr">
        <is>
          <t>Münchenstein</t>
        </is>
      </c>
      <c r="F83" s="3" t="inlineStr">
        <is>
          <t>C4</t>
        </is>
      </c>
      <c r="G83" s="3" t="inlineStr">
        <is>
          <t>Verwaltung</t>
        </is>
      </c>
      <c r="H83" s="3" t="inlineStr">
        <is>
          <t>Gemeinde Münchenstein: Organisation und Organigramm der Verwaltung</t>
        </is>
      </c>
      <c r="I83" s="3" t="inlineStr">
        <is>
          <t>Organigramm / Webseite</t>
        </is>
      </c>
      <c r="J83" s="3" t="inlineStr">
        <is>
          <t>Webseite</t>
        </is>
      </c>
      <c r="K83" s="3" t="inlineStr">
        <is>
          <t>Information</t>
        </is>
      </c>
      <c r="L83" s="3" t="inlineStr">
        <is>
          <t>Gemeinde Münchenstein</t>
        </is>
      </c>
      <c r="M83" s="7" t="inlineStr">
        <is>
          <t>https://www.muenchenstein.ch/organisationuorganigramm</t>
        </is>
      </c>
      <c r="N83" s="3" t="inlineStr">
        <is>
          <t>Zu prüfen</t>
        </is>
      </c>
      <c r="O83" s="3" t="inlineStr">
        <is>
          <t>2026-10-14</t>
        </is>
      </c>
      <c r="P83" s="3" t="inlineStr">
        <is>
          <t>Verwaltungsorganisation und Zuständigkeiten</t>
        </is>
      </c>
      <c r="Q83" s="3" t="inlineStr">
        <is>
          <t>Personal, Projekte, Prozesse</t>
        </is>
      </c>
      <c r="R83" s="3" t="inlineStr">
        <is>
          <t>Organigramm / Ressourcen abfragen</t>
        </is>
      </c>
      <c r="S83" s="3" t="inlineStr">
        <is>
          <t>Qualitativ</t>
        </is>
      </c>
      <c r="T83" s="3" t="inlineStr">
        <is>
          <t>Noch nicht bewertet</t>
        </is>
      </c>
      <c r="U83" s="3" t="inlineStr">
        <is>
          <t>Mittel</t>
        </is>
      </c>
      <c r="V83" s="3" t="inlineStr">
        <is>
          <t>Konkrete kommunale Unterlagen / Datensatz nachfordern</t>
        </is>
      </c>
      <c r="W83" s="3" t="inlineStr">
        <is>
          <t>Q6</t>
        </is>
      </c>
      <c r="X83" s="3" t="inlineStr">
        <is>
          <t>Bestellerfähigkeit</t>
        </is>
      </c>
      <c r="Y83" s="3" t="inlineStr">
        <is>
          <t>Dokument auswerten; Aktualität und Geltung prüfen</t>
        </is>
      </c>
      <c r="Z83" s="3" t="inlineStr">
        <is>
          <t>Webrecherche 14.10.2026</t>
        </is>
      </c>
      <c r="AA83" s="3" t="inlineStr"/>
      <c r="AB83" s="3" t="inlineStr"/>
      <c r="AC83" s="3" t="inlineStr"/>
      <c r="AD83" s="3" t="inlineStr">
        <is>
          <t>Verifiziert</t>
        </is>
      </c>
      <c r="AE83" s="3" t="inlineStr">
        <is>
          <t>200</t>
        </is>
      </c>
      <c r="AF83" s="3" t="inlineStr"/>
      <c r="AG83" s="3" t="inlineStr">
        <is>
          <t>HTML</t>
        </is>
      </c>
      <c r="AH83" s="3" t="inlineStr">
        <is>
          <t>Bestätigt</t>
        </is>
      </c>
      <c r="AI83" s="3" t="inlineStr">
        <is>
          <t>Schlüsselwörter 1/1 gefunden (Organigramm); Ort/Zuständigkeit: Münchenstein</t>
        </is>
      </c>
      <c r="AJ83" s="3" t="inlineStr">
        <is>
          <t>Münchenstein  - Organisation Gemeinde Münchenstein | Kopfzeile</t>
        </is>
      </c>
      <c r="AK83" s="3" t="inlineStr">
        <is>
          <t>2026</t>
        </is>
      </c>
      <c r="AL83" s="3" t="inlineStr">
        <is>
          <t>Mittel (Webseite)</t>
        </is>
      </c>
      <c r="AM83" s="3" t="inlineStr">
        <is>
          <t>2026-10-14 13:53</t>
        </is>
      </c>
      <c r="AN83" s="3" t="inlineStr">
        <is>
          <t>Öffentlich verfügbar und verifiziert</t>
        </is>
      </c>
      <c r="AO83" s="3" t="inlineStr">
        <is>
          <t>Zu prüfen</t>
        </is>
      </c>
      <c r="AP83" s="3" t="inlineStr">
        <is>
          <t>Belegt Existenz und Zugänglichkeit der Quelle; inhaltliche Aussagen erst nach Auswertung.</t>
        </is>
      </c>
      <c r="AQ83" s="3" t="inlineStr">
        <is>
          <t>Keine Einstufung: Kennzahlen/Befunde noch nicht ausgewertet; Schwellen der Bewertungslogik noch nicht validiert.</t>
        </is>
      </c>
      <c r="AR83" s="3" t="inlineStr">
        <is>
          <t>Ja</t>
        </is>
      </c>
      <c r="AS83" s="3" t="inlineStr">
        <is>
          <t>Gemeindeverwaltung Münchenstein</t>
        </is>
      </c>
      <c r="AT83" s="3" t="inlineStr">
        <is>
          <t>In Prüfung</t>
        </is>
      </c>
      <c r="AU83" s="3" t="inlineStr"/>
      <c r="AV83" s="3" t="inlineStr"/>
      <c r="AW83" s="3" t="inlineStr">
        <is>
          <t>2026-10-14: Link ersetzt (vorher https://www.muenchenstein.ch/). Grund: Startseite durch Organigrammseite ersetzt.</t>
        </is>
      </c>
    </row>
    <row r="84" ht="43" customHeight="1">
      <c r="A84" s="2" t="inlineStr">
        <is>
          <t>MUE-C4-02</t>
        </is>
      </c>
      <c r="B84" s="15" t="inlineStr">
        <is>
          <t>Gemeinde</t>
        </is>
      </c>
      <c r="C84" s="2" t="inlineStr">
        <is>
          <t>Schweiz</t>
        </is>
      </c>
      <c r="D84" s="2" t="inlineStr">
        <is>
          <t>Basel-Landschaft</t>
        </is>
      </c>
      <c r="E84" s="2" t="inlineStr">
        <is>
          <t>Münchenstein</t>
        </is>
      </c>
      <c r="F84" s="2" t="inlineStr">
        <is>
          <t>C4</t>
        </is>
      </c>
      <c r="G84" s="2" t="inlineStr">
        <is>
          <t>Personal</t>
        </is>
      </c>
      <c r="H84" s="2" t="inlineStr">
        <is>
          <t>Personalreglement der Einwohnergemeinde Münchenstein (Genehmigungsfassung 23.6.2022)</t>
        </is>
      </c>
      <c r="I84" s="2" t="inlineStr">
        <is>
          <t>Kommunales Reglement</t>
        </is>
      </c>
      <c r="J84" s="2" t="inlineStr">
        <is>
          <t>Direktes Dokument</t>
        </is>
      </c>
      <c r="K84" s="2" t="inlineStr">
        <is>
          <t>Kommunales Recht (verbindlich)</t>
        </is>
      </c>
      <c r="L84" s="2" t="inlineStr">
        <is>
          <t>Gemeinde Münchenstein</t>
        </is>
      </c>
      <c r="M84" s="5" t="inlineStr">
        <is>
          <t>https://www.muenchenstein.ch/_docn/3794018/Bereinigtes_Personalreglement_Genehmigungsfassung_per_23._Juni_2022.pdf</t>
        </is>
      </c>
      <c r="N84" s="2" t="inlineStr">
        <is>
          <t>in Kraft 1.1.2023</t>
        </is>
      </c>
      <c r="O84" s="2" t="inlineStr">
        <is>
          <t>2026-10-14</t>
        </is>
      </c>
      <c r="P84" s="2" t="inlineStr"/>
      <c r="Q84" s="2" t="inlineStr"/>
      <c r="R84" s="2" t="inlineStr"/>
      <c r="S84" s="2" t="inlineStr">
        <is>
          <t>Kein Peer-Vergleich</t>
        </is>
      </c>
      <c r="T84" s="2" t="inlineStr">
        <is>
          <t>Noch nicht bewertet</t>
        </is>
      </c>
      <c r="U84" s="2" t="inlineStr">
        <is>
          <t>Hoch</t>
        </is>
      </c>
      <c r="V84" s="2" t="inlineStr"/>
      <c r="W84" s="2" t="inlineStr"/>
      <c r="X84" s="2" t="inlineStr"/>
      <c r="Y84" s="2" t="inlineStr">
        <is>
          <t>Dokument auswerten; Aktualität und Geltung prüfen</t>
        </is>
      </c>
      <c r="Z84" s="2" t="inlineStr">
        <is>
          <t>Websuche 14.10.2026 (URL im Suchergebnis gefunden)</t>
        </is>
      </c>
      <c r="AA84" s="2" t="inlineStr"/>
      <c r="AB84" s="2" t="inlineStr"/>
      <c r="AC84" s="5" t="inlineStr">
        <is>
          <t>https://www.muenchenstein.ch/reglemente/402889</t>
        </is>
      </c>
      <c r="AD84" s="2" t="inlineStr">
        <is>
          <t>Verifiziert</t>
        </is>
      </c>
      <c r="AE84" s="2" t="inlineStr">
        <is>
          <t>200</t>
        </is>
      </c>
      <c r="AF84" s="2" t="inlineStr"/>
      <c r="AG84" s="2" t="inlineStr">
        <is>
          <t>PDF</t>
        </is>
      </c>
      <c r="AH84" s="2" t="inlineStr">
        <is>
          <t>Bestätigt</t>
        </is>
      </c>
      <c r="AI84" s="2" t="inlineStr">
        <is>
          <t>Schlüsselwörter 1/1 gefunden (Personalreglement); Ort/Zuständigkeit: Münchenstein</t>
        </is>
      </c>
      <c r="AJ84" s="2" t="inlineStr">
        <is>
          <t>Rechtssammlung</t>
        </is>
      </c>
      <c r="AK84" s="2" t="inlineStr">
        <is>
          <t>2022, 2011, 2013</t>
        </is>
      </c>
      <c r="AL84" s="2" t="inlineStr">
        <is>
          <t>Mittel (CMS-Dokumentlink)</t>
        </is>
      </c>
      <c r="AM84" s="2" t="inlineStr">
        <is>
          <t>2026-10-14 13:55</t>
        </is>
      </c>
      <c r="AN84" s="2" t="inlineStr">
        <is>
          <t>Öffentlich verfügbar und verifiziert</t>
        </is>
      </c>
      <c r="AO84" s="2" t="inlineStr">
        <is>
          <t>in Kraft 1.1.2023</t>
        </is>
      </c>
      <c r="AP84" s="2" t="inlineStr">
        <is>
          <t>Belegt Existenz und Zugänglichkeit der Quelle; inhaltliche Aussagen erst nach Auswertung.</t>
        </is>
      </c>
      <c r="AQ84" s="2" t="inlineStr">
        <is>
          <t>Keine Einstufung: Kennzahlen/Befunde noch nicht ausgewertet; Schwellen der Bewertungslogik noch nicht validiert.</t>
        </is>
      </c>
      <c r="AR84" s="2" t="inlineStr">
        <is>
          <t>Ja</t>
        </is>
      </c>
      <c r="AS84" s="2" t="inlineStr">
        <is>
          <t>Gemeindeverwaltung Münchenstein</t>
        </is>
      </c>
      <c r="AT84" s="2" t="inlineStr">
        <is>
          <t>In Prüfung</t>
        </is>
      </c>
      <c r="AU84" s="2" t="inlineStr"/>
      <c r="AV84" s="2" t="inlineStr"/>
      <c r="AW84" s="2" t="inlineStr">
        <is>
          <t>2026-10-14: neu aufgenommen</t>
        </is>
      </c>
    </row>
    <row r="85" ht="43" customHeight="1">
      <c r="A85" s="3" t="inlineStr">
        <is>
          <t>MUE-C4-03</t>
        </is>
      </c>
      <c r="B85" s="15" t="inlineStr">
        <is>
          <t>Gemeinde</t>
        </is>
      </c>
      <c r="C85" s="3" t="inlineStr">
        <is>
          <t>Schweiz</t>
        </is>
      </c>
      <c r="D85" s="3" t="inlineStr">
        <is>
          <t>Basel-Landschaft</t>
        </is>
      </c>
      <c r="E85" s="3" t="inlineStr">
        <is>
          <t>Münchenstein</t>
        </is>
      </c>
      <c r="F85" s="3" t="inlineStr">
        <is>
          <t>C4</t>
        </is>
      </c>
      <c r="G85" s="3" t="inlineStr">
        <is>
          <t>Verwaltungsorganisation</t>
        </is>
      </c>
      <c r="H85" s="3" t="inlineStr">
        <is>
          <t>Verwaltungs- und Organisationsreglement der Einwohnergemeinde Münchenstein</t>
        </is>
      </c>
      <c r="I85" s="3" t="inlineStr">
        <is>
          <t>Kommunales Reglement</t>
        </is>
      </c>
      <c r="J85" s="3" t="inlineStr">
        <is>
          <t>Reglementsseite mit PDF</t>
        </is>
      </c>
      <c r="K85" s="3" t="inlineStr">
        <is>
          <t>Kommunales Recht (verbindlich)</t>
        </is>
      </c>
      <c r="L85" s="3" t="inlineStr">
        <is>
          <t>Gemeinde Münchenstein</t>
        </is>
      </c>
      <c r="M85" s="7" t="inlineStr">
        <is>
          <t>https://www.muenchenstein.ch/reglemente/7208</t>
        </is>
      </c>
      <c r="N85" s="3" t="inlineStr">
        <is>
          <t>Stand 1.1.2000</t>
        </is>
      </c>
      <c r="O85" s="3" t="inlineStr">
        <is>
          <t>2026-10-14</t>
        </is>
      </c>
      <c r="P85" s="3" t="inlineStr"/>
      <c r="Q85" s="3" t="inlineStr"/>
      <c r="R85" s="3" t="inlineStr"/>
      <c r="S85" s="3" t="inlineStr">
        <is>
          <t>Kein Peer-Vergleich</t>
        </is>
      </c>
      <c r="T85" s="3" t="inlineStr">
        <is>
          <t>Noch nicht bewertet</t>
        </is>
      </c>
      <c r="U85" s="3" t="inlineStr">
        <is>
          <t>Mittel</t>
        </is>
      </c>
      <c r="V85" s="3" t="inlineStr"/>
      <c r="W85" s="3" t="inlineStr"/>
      <c r="X85" s="3" t="inlineStr"/>
      <c r="Y85" s="3" t="inlineStr">
        <is>
          <t>Dokument auswerten; Aktualität und Geltung prüfen</t>
        </is>
      </c>
      <c r="Z85" s="3" t="inlineStr">
        <is>
          <t>Websuche 14.10.2026 (URL im Suchergebnis gefunden)</t>
        </is>
      </c>
      <c r="AA85" s="3" t="inlineStr">
        <is>
          <t>C3</t>
        </is>
      </c>
      <c r="AB85" s="3" t="inlineStr"/>
      <c r="AC85" s="3" t="inlineStr"/>
      <c r="AD85" s="3" t="inlineStr">
        <is>
          <t>Verifiziert</t>
        </is>
      </c>
      <c r="AE85" s="3" t="inlineStr">
        <is>
          <t>200</t>
        </is>
      </c>
      <c r="AF85" s="3" t="inlineStr"/>
      <c r="AG85" s="3" t="inlineStr">
        <is>
          <t>HTML</t>
        </is>
      </c>
      <c r="AH85" s="3" t="inlineStr">
        <is>
          <t>Bestätigt</t>
        </is>
      </c>
      <c r="AI85" s="3" t="inlineStr">
        <is>
          <t>Schlüsselwörter 1/1 gefunden (Organisationsreglement); Ort/Zuständigkeit: Münchenstein</t>
        </is>
      </c>
      <c r="AJ85" s="3" t="inlineStr">
        <is>
          <t>Münchenstein  - Verwaltungs- und Organisationsreglement | Kopfzeile</t>
        </is>
      </c>
      <c r="AK85" s="3" t="inlineStr">
        <is>
          <t>2000, 2026</t>
        </is>
      </c>
      <c r="AL85" s="3" t="inlineStr">
        <is>
          <t>Mittel (Webseite)</t>
        </is>
      </c>
      <c r="AM85" s="3" t="inlineStr">
        <is>
          <t>2026-10-14 13:55</t>
        </is>
      </c>
      <c r="AN85" s="3" t="inlineStr">
        <is>
          <t>Öffentlich verfügbar und verifiziert</t>
        </is>
      </c>
      <c r="AO85" s="3" t="inlineStr">
        <is>
          <t>Stand 1.1.2000</t>
        </is>
      </c>
      <c r="AP85" s="3" t="inlineStr">
        <is>
          <t>Belegt Existenz und Zugänglichkeit der Quelle; inhaltliche Aussagen erst nach Auswertung.</t>
        </is>
      </c>
      <c r="AQ85" s="3" t="inlineStr">
        <is>
          <t>Keine Einstufung: Kennzahlen/Befunde noch nicht ausgewertet; Schwellen der Bewertungslogik noch nicht validiert.</t>
        </is>
      </c>
      <c r="AR85" s="3" t="inlineStr">
        <is>
          <t>Ja</t>
        </is>
      </c>
      <c r="AS85" s="3" t="inlineStr">
        <is>
          <t>Gemeindeverwaltung Münchenstein</t>
        </is>
      </c>
      <c r="AT85" s="3" t="inlineStr">
        <is>
          <t>In Prüfung</t>
        </is>
      </c>
      <c r="AU85" s="3" t="inlineStr"/>
      <c r="AV85" s="3" t="inlineStr"/>
      <c r="AW85" s="3" t="inlineStr">
        <is>
          <t>2026-10-14: neu aufgenommen</t>
        </is>
      </c>
    </row>
    <row r="86" ht="43" customHeight="1">
      <c r="A86" s="2" t="inlineStr">
        <is>
          <t>MUE-C5-01</t>
        </is>
      </c>
      <c r="B86" s="15" t="inlineStr">
        <is>
          <t>Gemeinde</t>
        </is>
      </c>
      <c r="C86" s="2" t="inlineStr">
        <is>
          <t>Schweiz</t>
        </is>
      </c>
      <c r="D86" s="2" t="inlineStr">
        <is>
          <t>Basel-Landschaft</t>
        </is>
      </c>
      <c r="E86" s="2" t="inlineStr">
        <is>
          <t>Münchenstein</t>
        </is>
      </c>
      <c r="F86" s="2" t="inlineStr">
        <is>
          <t>C5</t>
        </is>
      </c>
      <c r="G86" s="2" t="inlineStr">
        <is>
          <t>Politik / Mitwirkung</t>
        </is>
      </c>
      <c r="H86" s="2" t="inlineStr">
        <is>
          <t>Legislaturziele 2024–2028 des Gemeinderats Münchenstein</t>
        </is>
      </c>
      <c r="I86" s="2" t="inlineStr">
        <is>
          <t>Legislaturprogramm</t>
        </is>
      </c>
      <c r="J86" s="2" t="inlineStr">
        <is>
          <t>Webseite</t>
        </is>
      </c>
      <c r="K86" s="2" t="inlineStr">
        <is>
          <t>Politische Zielsetzung (behördenverbindlich, nicht rechtsverbindlich)</t>
        </is>
      </c>
      <c r="L86" s="2" t="inlineStr">
        <is>
          <t>Gemeinde Münchenstein</t>
        </is>
      </c>
      <c r="M86" s="5" t="inlineStr">
        <is>
          <t>https://www.muenchenstein.ch/legislaturziele</t>
        </is>
      </c>
      <c r="N86" s="2" t="inlineStr">
        <is>
          <t>2024–2028</t>
        </is>
      </c>
      <c r="O86" s="2" t="inlineStr">
        <is>
          <t>2026-10-14</t>
        </is>
      </c>
      <c r="P86" s="2" t="inlineStr">
        <is>
          <t>Gemeindeversammlung und kommunale Beschlüsse</t>
        </is>
      </c>
      <c r="Q86" s="2" t="inlineStr">
        <is>
          <t>Beschlüsse, Mitwirkung, Interessen</t>
        </is>
      </c>
      <c r="R86" s="2" t="inlineStr">
        <is>
          <t>Protokolle und politische Geschäfte identifizieren</t>
        </is>
      </c>
      <c r="S86" s="2" t="inlineStr">
        <is>
          <t>Qualitativ</t>
        </is>
      </c>
      <c r="T86" s="2" t="inlineStr">
        <is>
          <t>Noch nicht bewertet</t>
        </is>
      </c>
      <c r="U86" s="2" t="inlineStr">
        <is>
          <t>Mittel</t>
        </is>
      </c>
      <c r="V86" s="2" t="inlineStr">
        <is>
          <t>Konkrete kommunale Unterlagen / Datensatz nachfordern</t>
        </is>
      </c>
      <c r="W86" s="2" t="inlineStr">
        <is>
          <t>C3</t>
        </is>
      </c>
      <c r="X86" s="2" t="inlineStr">
        <is>
          <t>Legitimation</t>
        </is>
      </c>
      <c r="Y86" s="2" t="inlineStr">
        <is>
          <t>Dokument auswerten; Aktualität und Geltung prüfen</t>
        </is>
      </c>
      <c r="Z86" s="2" t="inlineStr">
        <is>
          <t>Webrecherche 14.10.2026</t>
        </is>
      </c>
      <c r="AA86" s="2" t="inlineStr"/>
      <c r="AB86" s="2" t="inlineStr"/>
      <c r="AC86" s="2" t="inlineStr"/>
      <c r="AD86" s="2" t="inlineStr">
        <is>
          <t>Verifiziert</t>
        </is>
      </c>
      <c r="AE86" s="2" t="inlineStr">
        <is>
          <t>200</t>
        </is>
      </c>
      <c r="AF86" s="2" t="inlineStr"/>
      <c r="AG86" s="2" t="inlineStr">
        <is>
          <t>HTML</t>
        </is>
      </c>
      <c r="AH86" s="2" t="inlineStr">
        <is>
          <t>Bestätigt</t>
        </is>
      </c>
      <c r="AI86" s="2" t="inlineStr">
        <is>
          <t>Schlüsselwörter 1/1 gefunden (Legislatur); Ort/Zuständigkeit: Münchenstein</t>
        </is>
      </c>
      <c r="AJ86" s="2" t="inlineStr">
        <is>
          <t>Münchenstein  - Legislaturziele 2024 bis 2028 | Kopfzeile</t>
        </is>
      </c>
      <c r="AK86" s="2" t="inlineStr">
        <is>
          <t>2024, 2028, 2025, 2029, 2004, 2011</t>
        </is>
      </c>
      <c r="AL86" s="2" t="inlineStr">
        <is>
          <t>Mittel (Webseite)</t>
        </is>
      </c>
      <c r="AM86" s="2" t="inlineStr">
        <is>
          <t>2026-10-14 13:53</t>
        </is>
      </c>
      <c r="AN86" s="2" t="inlineStr">
        <is>
          <t>Öffentlich verfügbar und verifiziert</t>
        </is>
      </c>
      <c r="AO86" s="2" t="inlineStr">
        <is>
          <t>2024–2028</t>
        </is>
      </c>
      <c r="AP86" s="2" t="inlineStr">
        <is>
          <t>Belegt Existenz und Zugänglichkeit der Quelle; inhaltliche Aussagen erst nach Auswertung.</t>
        </is>
      </c>
      <c r="AQ86" s="2" t="inlineStr">
        <is>
          <t>Keine Einstufung: Kennzahlen/Befunde noch nicht ausgewertet; Schwellen der Bewertungslogik noch nicht validiert.</t>
        </is>
      </c>
      <c r="AR86" s="2" t="inlineStr">
        <is>
          <t>Nein</t>
        </is>
      </c>
      <c r="AS86" s="2" t="inlineStr">
        <is>
          <t>Gemeindeverwaltung Münchenstein</t>
        </is>
      </c>
      <c r="AT86" s="2" t="inlineStr">
        <is>
          <t>In Prüfung</t>
        </is>
      </c>
      <c r="AU86" s="2" t="inlineStr"/>
      <c r="AV86" s="2" t="inlineStr"/>
      <c r="AW86" s="2" t="inlineStr">
        <is>
          <t>2026-10-14: Link ersetzt (vorher https://www.muenchenstein.ch/). Grund: Startseite durch Legislaturziele ersetzt.</t>
        </is>
      </c>
    </row>
    <row r="87" ht="43" customHeight="1">
      <c r="A87" s="3" t="inlineStr">
        <is>
          <t>MUE-C5-02</t>
        </is>
      </c>
      <c r="B87" s="15" t="inlineStr">
        <is>
          <t>Gemeinde</t>
        </is>
      </c>
      <c r="C87" s="3" t="inlineStr">
        <is>
          <t>Schweiz</t>
        </is>
      </c>
      <c r="D87" s="3" t="inlineStr">
        <is>
          <t>Basel-Landschaft</t>
        </is>
      </c>
      <c r="E87" s="3" t="inlineStr">
        <is>
          <t>Münchenstein</t>
        </is>
      </c>
      <c r="F87" s="3" t="inlineStr">
        <is>
          <t>C5</t>
        </is>
      </c>
      <c r="G87" s="3" t="inlineStr">
        <is>
          <t>Protokoll</t>
        </is>
      </c>
      <c r="H87" s="3" t="inlineStr">
        <is>
          <t>Protokoll Gemeindeversammlung Münchenstein 13.6.2024</t>
        </is>
      </c>
      <c r="I87" s="3" t="inlineStr">
        <is>
          <t>Protokoll</t>
        </is>
      </c>
      <c r="J87" s="3" t="inlineStr">
        <is>
          <t>Direktes Dokument</t>
        </is>
      </c>
      <c r="K87" s="3" t="inlineStr">
        <is>
          <t>Beschluss (verbindlich)</t>
        </is>
      </c>
      <c r="L87" s="3" t="inlineStr">
        <is>
          <t>Gemeinde Münchenstein</t>
        </is>
      </c>
      <c r="M87" s="7" t="inlineStr">
        <is>
          <t>https://www.muenchenstein.ch/_docn/5478214/Protokoll_Gemeindeversammlung_13._Juni_2024_definitiv.pdf</t>
        </is>
      </c>
      <c r="N87" s="3" t="inlineStr">
        <is>
          <t>2024</t>
        </is>
      </c>
      <c r="O87" s="3" t="inlineStr">
        <is>
          <t>2026-10-14</t>
        </is>
      </c>
      <c r="P87" s="3" t="inlineStr">
        <is>
          <t>Beschlüsse, Stimmverhalten, Bericht Legislaturziele 2020–2024</t>
        </is>
      </c>
      <c r="Q87" s="3" t="inlineStr"/>
      <c r="R87" s="3" t="inlineStr"/>
      <c r="S87" s="3" t="inlineStr">
        <is>
          <t>Kein Peer-Vergleich</t>
        </is>
      </c>
      <c r="T87" s="3" t="inlineStr">
        <is>
          <t>Noch nicht bewertet</t>
        </is>
      </c>
      <c r="U87" s="3" t="inlineStr">
        <is>
          <t>Hoch</t>
        </is>
      </c>
      <c r="V87" s="3" t="inlineStr"/>
      <c r="W87" s="3" t="inlineStr"/>
      <c r="X87" s="3" t="inlineStr"/>
      <c r="Y87" s="3" t="inlineStr">
        <is>
          <t>Dokument auswerten; Aktualität und Geltung prüfen</t>
        </is>
      </c>
      <c r="Z87" s="3" t="inlineStr">
        <is>
          <t>Websuche 14.10.2026 (URL im Suchergebnis gefunden)</t>
        </is>
      </c>
      <c r="AA87" s="3" t="inlineStr"/>
      <c r="AB87" s="3" t="inlineStr"/>
      <c r="AC87" s="3" t="inlineStr"/>
      <c r="AD87" s="3" t="inlineStr">
        <is>
          <t>Verifiziert</t>
        </is>
      </c>
      <c r="AE87" s="3" t="inlineStr">
        <is>
          <t>200</t>
        </is>
      </c>
      <c r="AF87" s="3" t="inlineStr"/>
      <c r="AG87" s="3" t="inlineStr">
        <is>
          <t>PDF</t>
        </is>
      </c>
      <c r="AH87" s="3" t="inlineStr">
        <is>
          <t>Bestätigt</t>
        </is>
      </c>
      <c r="AI87" s="3" t="inlineStr">
        <is>
          <t>Schlüsselwörter 2/2 gefunden (Protokoll, Gemeindeversammlung); Ort/Zuständigkeit: Münchenstein</t>
        </is>
      </c>
      <c r="AJ87" s="3" t="inlineStr">
        <is>
          <t>Protokoll Gemeindeversammlung 13. Juni 2024</t>
        </is>
      </c>
      <c r="AK87" s="3" t="inlineStr">
        <is>
          <t>2023, 2024, 2020, 2028, 2021, 2019</t>
        </is>
      </c>
      <c r="AL87" s="3" t="inlineStr">
        <is>
          <t>Mittel (CMS-Dokumentlink)</t>
        </is>
      </c>
      <c r="AM87" s="3" t="inlineStr">
        <is>
          <t>2026-10-14 13:55</t>
        </is>
      </c>
      <c r="AN87" s="3" t="inlineStr">
        <is>
          <t>Öffentlich verfügbar und verifiziert</t>
        </is>
      </c>
      <c r="AO87" s="3" t="inlineStr">
        <is>
          <t>2024</t>
        </is>
      </c>
      <c r="AP87" s="3" t="inlineStr">
        <is>
          <t>Belegt Existenz und Zugänglichkeit der Quelle; inhaltliche Aussagen erst nach Auswertung.</t>
        </is>
      </c>
      <c r="AQ87" s="3" t="inlineStr">
        <is>
          <t>Keine Einstufung: Kennzahlen/Befunde noch nicht ausgewertet; Schwellen der Bewertungslogik noch nicht validiert.</t>
        </is>
      </c>
      <c r="AR87" s="3" t="inlineStr">
        <is>
          <t>Nein</t>
        </is>
      </c>
      <c r="AS87" s="3" t="inlineStr">
        <is>
          <t>Gemeindeverwaltung Münchenstein</t>
        </is>
      </c>
      <c r="AT87" s="3" t="inlineStr">
        <is>
          <t>In Prüfung</t>
        </is>
      </c>
      <c r="AU87" s="3" t="inlineStr"/>
      <c r="AV87" s="3" t="inlineStr"/>
      <c r="AW87" s="3" t="inlineStr">
        <is>
          <t>2026-10-14: neu aufgenommen</t>
        </is>
      </c>
    </row>
    <row r="88" ht="43" customHeight="1">
      <c r="A88" s="2" t="inlineStr">
        <is>
          <t>MUE-C5-03</t>
        </is>
      </c>
      <c r="B88" s="15" t="inlineStr">
        <is>
          <t>Gemeinde</t>
        </is>
      </c>
      <c r="C88" s="2" t="inlineStr">
        <is>
          <t>Schweiz</t>
        </is>
      </c>
      <c r="D88" s="2" t="inlineStr">
        <is>
          <t>Basel-Landschaft</t>
        </is>
      </c>
      <c r="E88" s="2" t="inlineStr">
        <is>
          <t>Münchenstein</t>
        </is>
      </c>
      <c r="F88" s="2" t="inlineStr">
        <is>
          <t>C5</t>
        </is>
      </c>
      <c r="G88" s="2" t="inlineStr">
        <is>
          <t>Beschlüsse</t>
        </is>
      </c>
      <c r="H88" s="2" t="inlineStr">
        <is>
          <t>Beschlüsse der Gemeindeversammlung vom 8.12.2025 (Budget 2026, AFP 2026–2030)</t>
        </is>
      </c>
      <c r="I88" s="2" t="inlineStr">
        <is>
          <t>Beschlussmitteilung</t>
        </is>
      </c>
      <c r="J88" s="2" t="inlineStr">
        <is>
          <t>Webseite</t>
        </is>
      </c>
      <c r="K88" s="2" t="inlineStr">
        <is>
          <t>Beschluss (verbindlich)</t>
        </is>
      </c>
      <c r="L88" s="2" t="inlineStr">
        <is>
          <t>Gemeinde Münchenstein</t>
        </is>
      </c>
      <c r="M88" s="5" t="inlineStr">
        <is>
          <t>https://www.muenchenstein.ch/politikinformationen/2666993</t>
        </is>
      </c>
      <c r="N88" s="2" t="inlineStr">
        <is>
          <t>2025</t>
        </is>
      </c>
      <c r="O88" s="2" t="inlineStr">
        <is>
          <t>2026-10-14</t>
        </is>
      </c>
      <c r="P88" s="2" t="inlineStr">
        <is>
          <t>Beschlussstand, Teilnehmerzahl (Legitimationsindikator)</t>
        </is>
      </c>
      <c r="Q88" s="2" t="inlineStr"/>
      <c r="R88" s="2" t="inlineStr"/>
      <c r="S88" s="2" t="inlineStr">
        <is>
          <t>Kein Peer-Vergleich</t>
        </is>
      </c>
      <c r="T88" s="2" t="inlineStr">
        <is>
          <t>Noch nicht bewertet</t>
        </is>
      </c>
      <c r="U88" s="2" t="inlineStr">
        <is>
          <t>Mittel</t>
        </is>
      </c>
      <c r="V88" s="2" t="inlineStr"/>
      <c r="W88" s="2" t="inlineStr"/>
      <c r="X88" s="2" t="inlineStr"/>
      <c r="Y88" s="2" t="inlineStr">
        <is>
          <t>Dokument auswerten; Aktualität und Geltung prüfen</t>
        </is>
      </c>
      <c r="Z88" s="2" t="inlineStr">
        <is>
          <t>Websuche 14.10.2026 (URL im Suchergebnis gefunden)</t>
        </is>
      </c>
      <c r="AA88" s="2" t="inlineStr">
        <is>
          <t>C1</t>
        </is>
      </c>
      <c r="AB88" s="2" t="inlineStr"/>
      <c r="AC88" s="2" t="inlineStr"/>
      <c r="AD88" s="2" t="inlineStr">
        <is>
          <t>Verifiziert</t>
        </is>
      </c>
      <c r="AE88" s="2" t="inlineStr">
        <is>
          <t>200</t>
        </is>
      </c>
      <c r="AF88" s="2" t="inlineStr"/>
      <c r="AG88" s="2" t="inlineStr">
        <is>
          <t>HTML</t>
        </is>
      </c>
      <c r="AH88" s="2" t="inlineStr">
        <is>
          <t>Bestätigt</t>
        </is>
      </c>
      <c r="AI88" s="2" t="inlineStr">
        <is>
          <t>Schlüsselwörter 2/2 gefunden (Gemeindeversammlung, Budget); Ort/Zuständigkeit: Münchenstein</t>
        </is>
      </c>
      <c r="AJ88" s="2" t="inlineStr">
        <is>
          <t>Münchenstein  - Beschlüsse der Gemeindeversammlung vom 8. Dezember 2025 | Kopfzeile</t>
        </is>
      </c>
      <c r="AK88" s="2" t="inlineStr">
        <is>
          <t>2025, 2026, 2030</t>
        </is>
      </c>
      <c r="AL88" s="2" t="inlineStr">
        <is>
          <t>Mittel (Webseite)</t>
        </is>
      </c>
      <c r="AM88" s="2" t="inlineStr">
        <is>
          <t>2026-10-14 13:55</t>
        </is>
      </c>
      <c r="AN88" s="2" t="inlineStr">
        <is>
          <t>Öffentlich verfügbar und verifiziert</t>
        </is>
      </c>
      <c r="AO88" s="2" t="inlineStr">
        <is>
          <t>2025</t>
        </is>
      </c>
      <c r="AP88" s="2" t="inlineStr">
        <is>
          <t>Belegt Existenz und Zugänglichkeit der Quelle; inhaltliche Aussagen erst nach Auswertung.</t>
        </is>
      </c>
      <c r="AQ88" s="2" t="inlineStr">
        <is>
          <t>Keine Einstufung: Kennzahlen/Befunde noch nicht ausgewertet; Schwellen der Bewertungslogik noch nicht validiert.</t>
        </is>
      </c>
      <c r="AR88" s="2" t="inlineStr">
        <is>
          <t>Nein</t>
        </is>
      </c>
      <c r="AS88" s="2" t="inlineStr">
        <is>
          <t>Gemeindeverwaltung Münchenstein</t>
        </is>
      </c>
      <c r="AT88" s="2" t="inlineStr">
        <is>
          <t>In Prüfung</t>
        </is>
      </c>
      <c r="AU88" s="2" t="inlineStr"/>
      <c r="AV88" s="2" t="inlineStr"/>
      <c r="AW88" s="2" t="inlineStr">
        <is>
          <t>2026-10-14: neu aufgenommen</t>
        </is>
      </c>
    </row>
    <row r="89" ht="43" customHeight="1">
      <c r="A89" s="3" t="inlineStr">
        <is>
          <t>MUE-C5-04</t>
        </is>
      </c>
      <c r="B89" s="15" t="inlineStr">
        <is>
          <t>Gemeinde</t>
        </is>
      </c>
      <c r="C89" s="3" t="inlineStr">
        <is>
          <t>Schweiz</t>
        </is>
      </c>
      <c r="D89" s="3" t="inlineStr">
        <is>
          <t>Basel-Landschaft</t>
        </is>
      </c>
      <c r="E89" s="3" t="inlineStr">
        <is>
          <t>Münchenstein</t>
        </is>
      </c>
      <c r="F89" s="3" t="inlineStr">
        <is>
          <t>C5</t>
        </is>
      </c>
      <c r="G89" s="3" t="inlineStr">
        <is>
          <t>Mitwirkung</t>
        </is>
      </c>
      <c r="H89" s="3" t="inlineStr">
        <is>
          <t>Quartierplanung Spenglerpark – Mitwirkungsbericht (2019)</t>
        </is>
      </c>
      <c r="I89" s="3" t="inlineStr">
        <is>
          <t>Mitwirkungsbericht</t>
        </is>
      </c>
      <c r="J89" s="3" t="inlineStr">
        <is>
          <t>Direktes Dokument</t>
        </is>
      </c>
      <c r="K89" s="3" t="inlineStr">
        <is>
          <t>Bericht</t>
        </is>
      </c>
      <c r="L89" s="3" t="inlineStr">
        <is>
          <t>Gemeinde Münchenstein</t>
        </is>
      </c>
      <c r="M89" s="7" t="inlineStr">
        <is>
          <t>https://www.muenchenstein.ch/_docn/2359339/43037_Ber05_Mitwirkungsbericht_VerabschiedungGR_Unterschrieben_20190924_korr.pdf</t>
        </is>
      </c>
      <c r="N89" s="3" t="inlineStr">
        <is>
          <t>2019</t>
        </is>
      </c>
      <c r="O89" s="3" t="inlineStr">
        <is>
          <t>2026-10-14</t>
        </is>
      </c>
      <c r="P89" s="3" t="inlineStr">
        <is>
          <t>Mitwirkungspraxis und Einwendungen bei Arealentwicklung</t>
        </is>
      </c>
      <c r="Q89" s="3" t="inlineStr"/>
      <c r="R89" s="3" t="inlineStr"/>
      <c r="S89" s="3" t="inlineStr">
        <is>
          <t>Kein Peer-Vergleich</t>
        </is>
      </c>
      <c r="T89" s="3" t="inlineStr">
        <is>
          <t>Noch nicht bewertet</t>
        </is>
      </c>
      <c r="U89" s="3" t="inlineStr">
        <is>
          <t>Hoch</t>
        </is>
      </c>
      <c r="V89" s="3" t="inlineStr"/>
      <c r="W89" s="3" t="inlineStr"/>
      <c r="X89" s="3" t="inlineStr"/>
      <c r="Y89" s="3" t="inlineStr">
        <is>
          <t>Dokument auswerten; Aktualität und Geltung prüfen</t>
        </is>
      </c>
      <c r="Z89" s="3" t="inlineStr">
        <is>
          <t>Websuche 14.10.2026 (URL im Suchergebnis gefunden)</t>
        </is>
      </c>
      <c r="AA89" s="3" t="inlineStr">
        <is>
          <t>C2</t>
        </is>
      </c>
      <c r="AB89" s="3" t="inlineStr"/>
      <c r="AC89" s="3" t="inlineStr"/>
      <c r="AD89" s="3" t="inlineStr">
        <is>
          <t>Verifiziert</t>
        </is>
      </c>
      <c r="AE89" s="3" t="inlineStr">
        <is>
          <t>200</t>
        </is>
      </c>
      <c r="AF89" s="3" t="inlineStr"/>
      <c r="AG89" s="3" t="inlineStr">
        <is>
          <t>PDF</t>
        </is>
      </c>
      <c r="AH89" s="3" t="inlineStr">
        <is>
          <t>Bestätigt</t>
        </is>
      </c>
      <c r="AI89" s="3" t="inlineStr">
        <is>
          <t>Schlüsselwörter 2/2 gefunden (Mitwirkung, Spenglerpark); Ort/Zuständigkeit: Münchenstein</t>
        </is>
      </c>
      <c r="AJ89" s="3" t="inlineStr">
        <is>
          <t>Quartierplanung "Bruggstrasse"</t>
        </is>
      </c>
      <c r="AK89" s="3" t="inlineStr">
        <is>
          <t>2019, 2017</t>
        </is>
      </c>
      <c r="AL89" s="3" t="inlineStr">
        <is>
          <t>Mittel (CMS-Dokumentlink)</t>
        </is>
      </c>
      <c r="AM89" s="3" t="inlineStr">
        <is>
          <t>2026-10-14 13:55</t>
        </is>
      </c>
      <c r="AN89" s="3" t="inlineStr">
        <is>
          <t>Öffentlich verfügbar und verifiziert</t>
        </is>
      </c>
      <c r="AO89" s="3" t="inlineStr">
        <is>
          <t>2019</t>
        </is>
      </c>
      <c r="AP89" s="3" t="inlineStr">
        <is>
          <t>Belegt Existenz und Zugänglichkeit der Quelle; inhaltliche Aussagen erst nach Auswertung.</t>
        </is>
      </c>
      <c r="AQ89" s="3" t="inlineStr">
        <is>
          <t>Keine Einstufung: Kennzahlen/Befunde noch nicht ausgewertet; Schwellen der Bewertungslogik noch nicht validiert.</t>
        </is>
      </c>
      <c r="AR89" s="3" t="inlineStr">
        <is>
          <t>Nein</t>
        </is>
      </c>
      <c r="AS89" s="3" t="inlineStr">
        <is>
          <t>Gemeindeverwaltung Münchenstein</t>
        </is>
      </c>
      <c r="AT89" s="3" t="inlineStr">
        <is>
          <t>In Prüfung</t>
        </is>
      </c>
      <c r="AU89" s="3" t="inlineStr"/>
      <c r="AV89" s="3" t="inlineStr"/>
      <c r="AW89" s="3" t="inlineStr">
        <is>
          <t>2026-10-14: neu aufgenommen</t>
        </is>
      </c>
    </row>
    <row r="90" ht="43" customHeight="1">
      <c r="A90" s="2" t="inlineStr">
        <is>
          <t>MUE-C5-05</t>
        </is>
      </c>
      <c r="B90" s="15" t="inlineStr">
        <is>
          <t>Gemeinde</t>
        </is>
      </c>
      <c r="C90" s="2" t="inlineStr">
        <is>
          <t>Schweiz</t>
        </is>
      </c>
      <c r="D90" s="2" t="inlineStr">
        <is>
          <t>Basel-Landschaft</t>
        </is>
      </c>
      <c r="E90" s="2" t="inlineStr">
        <is>
          <t>Münchenstein</t>
        </is>
      </c>
      <c r="F90" s="2" t="inlineStr">
        <is>
          <t>C5</t>
        </is>
      </c>
      <c r="G90" s="2" t="inlineStr">
        <is>
          <t>Politische Gremien</t>
        </is>
      </c>
      <c r="H90" s="2" t="inlineStr">
        <is>
          <t>Gemeindekommission Münchenstein (§ 88 GemG)</t>
        </is>
      </c>
      <c r="I90" s="2" t="inlineStr">
        <is>
          <t>Behördenseite</t>
        </is>
      </c>
      <c r="J90" s="2" t="inlineStr">
        <is>
          <t>Webseite</t>
        </is>
      </c>
      <c r="K90" s="2" t="inlineStr">
        <is>
          <t>Information</t>
        </is>
      </c>
      <c r="L90" s="2" t="inlineStr">
        <is>
          <t>Gemeinde Münchenstein</t>
        </is>
      </c>
      <c r="M90" s="5" t="inlineStr">
        <is>
          <t>https://www.muenchenstein.ch/behoerden/2838</t>
        </is>
      </c>
      <c r="N90" s="2" t="inlineStr"/>
      <c r="O90" s="2" t="inlineStr">
        <is>
          <t>2026-10-14</t>
        </is>
      </c>
      <c r="P90" s="2" t="inlineStr"/>
      <c r="Q90" s="2" t="inlineStr"/>
      <c r="R90" s="2" t="inlineStr"/>
      <c r="S90" s="2" t="inlineStr">
        <is>
          <t>Kein Peer-Vergleich</t>
        </is>
      </c>
      <c r="T90" s="2" t="inlineStr">
        <is>
          <t>Noch nicht bewertet</t>
        </is>
      </c>
      <c r="U90" s="2" t="inlineStr">
        <is>
          <t>Mittel</t>
        </is>
      </c>
      <c r="V90" s="2" t="inlineStr"/>
      <c r="W90" s="2" t="inlineStr"/>
      <c r="X90" s="2" t="inlineStr"/>
      <c r="Y90" s="2" t="inlineStr">
        <is>
          <t>Dokument auswerten; Aktualität und Geltung prüfen</t>
        </is>
      </c>
      <c r="Z90" s="2" t="inlineStr">
        <is>
          <t>Websuche 14.10.2026 (URL im Suchergebnis gefunden)</t>
        </is>
      </c>
      <c r="AA90" s="2" t="inlineStr">
        <is>
          <t>C3</t>
        </is>
      </c>
      <c r="AB90" s="2" t="inlineStr"/>
      <c r="AC90" s="2" t="inlineStr"/>
      <c r="AD90" s="2" t="inlineStr">
        <is>
          <t>Verifiziert</t>
        </is>
      </c>
      <c r="AE90" s="2" t="inlineStr">
        <is>
          <t>200</t>
        </is>
      </c>
      <c r="AF90" s="2" t="inlineStr"/>
      <c r="AG90" s="2" t="inlineStr">
        <is>
          <t>HTML</t>
        </is>
      </c>
      <c r="AH90" s="2" t="inlineStr">
        <is>
          <t>Bestätigt</t>
        </is>
      </c>
      <c r="AI90" s="2" t="inlineStr">
        <is>
          <t>Schlüsselwörter 1/1 gefunden (Gemeindekommission); Ort/Zuständigkeit: Münchenstein</t>
        </is>
      </c>
      <c r="AJ90" s="2" t="inlineStr">
        <is>
          <t>Münchenstein  - Gemeindekommission | Kopfzeile</t>
        </is>
      </c>
      <c r="AK90" s="2" t="inlineStr">
        <is>
          <t>2026</t>
        </is>
      </c>
      <c r="AL90" s="2" t="inlineStr">
        <is>
          <t>Mittel (Webseite)</t>
        </is>
      </c>
      <c r="AM90" s="2" t="inlineStr">
        <is>
          <t>2026-10-14 13:55</t>
        </is>
      </c>
      <c r="AN90" s="2" t="inlineStr">
        <is>
          <t>Öffentlich verfügbar und verifiziert</t>
        </is>
      </c>
      <c r="AO90" s="2" t="inlineStr"/>
      <c r="AP90" s="2" t="inlineStr">
        <is>
          <t>Belegt Existenz und Zugänglichkeit der Quelle; inhaltliche Aussagen erst nach Auswertung.</t>
        </is>
      </c>
      <c r="AQ90" s="2" t="inlineStr">
        <is>
          <t>Keine Einstufung: Kennzahlen/Befunde noch nicht ausgewertet; Schwellen der Bewertungslogik noch nicht validiert.</t>
        </is>
      </c>
      <c r="AR90" s="2" t="inlineStr">
        <is>
          <t>Nein</t>
        </is>
      </c>
      <c r="AS90" s="2" t="inlineStr">
        <is>
          <t>Gemeindeverwaltung Münchenstein</t>
        </is>
      </c>
      <c r="AT90" s="2" t="inlineStr">
        <is>
          <t>In Prüfung</t>
        </is>
      </c>
      <c r="AU90" s="2" t="inlineStr"/>
      <c r="AV90" s="2" t="inlineStr"/>
      <c r="AW90" s="2" t="inlineStr">
        <is>
          <t>2026-10-14: neu aufgenommen</t>
        </is>
      </c>
    </row>
    <row r="91" ht="43" customHeight="1">
      <c r="A91" s="3" t="inlineStr">
        <is>
          <t>WIL-C1-01</t>
        </is>
      </c>
      <c r="B91" s="15" t="inlineStr">
        <is>
          <t>Gemeinde</t>
        </is>
      </c>
      <c r="C91" s="3" t="inlineStr">
        <is>
          <t>Schweiz</t>
        </is>
      </c>
      <c r="D91" s="3" t="inlineStr">
        <is>
          <t>St. Gallen</t>
        </is>
      </c>
      <c r="E91" s="3" t="inlineStr">
        <is>
          <t>Wil</t>
        </is>
      </c>
      <c r="F91" s="3" t="inlineStr">
        <is>
          <t>C1</t>
        </is>
      </c>
      <c r="G91" s="3" t="inlineStr">
        <is>
          <t>Finanzdaten</t>
        </is>
      </c>
      <c r="H91" s="3" t="inlineStr">
        <is>
          <t>Stadt Wil: Finanzen, Budgets, Jahresrechnungen und Finanzpläne</t>
        </is>
      </c>
      <c r="I91" s="3" t="inlineStr">
        <is>
          <t>Dokumentsammlung</t>
        </is>
      </c>
      <c r="J91" s="3" t="inlineStr">
        <is>
          <t>Offizielle Quelle recherchiert</t>
        </is>
      </c>
      <c r="K91" s="3" t="inlineStr">
        <is>
          <t>Orientierung / Datengrundlage</t>
        </is>
      </c>
      <c r="L91" s="3" t="inlineStr">
        <is>
          <t>Gemeinde Wil</t>
        </is>
      </c>
      <c r="M91" s="7" t="inlineStr">
        <is>
          <t>https://www.stadtwil.ch/topics/stadt-politik-und-recht/finanzen</t>
        </is>
      </c>
      <c r="N91" s="3" t="inlineStr">
        <is>
          <t>Zu prüfen</t>
        </is>
      </c>
      <c r="O91" s="3" t="inlineStr">
        <is>
          <t>2026-10-14</t>
        </is>
      </c>
      <c r="P91" s="3" t="inlineStr">
        <is>
          <t>Jahresrechnung 2025, Budget 2026, Finanz- und Investitionsplan 2026–2030</t>
        </is>
      </c>
      <c r="Q91" s="3" t="inlineStr">
        <is>
          <t>Verschuldung, Selbstfinanzierung, Investitionsbedarf</t>
        </is>
      </c>
      <c r="R91" s="3" t="inlineStr">
        <is>
          <t>Zeitreihe und Planjahre auswerten</t>
        </is>
      </c>
      <c r="S91" s="3" t="inlineStr">
        <is>
          <t>Kanton × Grössenklasse</t>
        </is>
      </c>
      <c r="T91" s="3" t="inlineStr">
        <is>
          <t>Noch nicht bewertet</t>
        </is>
      </c>
      <c r="U91" s="3" t="inlineStr">
        <is>
          <t>Mittel</t>
        </is>
      </c>
      <c r="V91" s="3" t="inlineStr">
        <is>
          <t>Kennzahlen und Befunde noch extrahieren</t>
        </is>
      </c>
      <c r="W91" s="3" t="inlineStr">
        <is>
          <t>A1; C1</t>
        </is>
      </c>
      <c r="X91" s="3" t="inlineStr">
        <is>
          <t>Finanztragfähigkeit</t>
        </is>
      </c>
      <c r="Y91" s="3" t="inlineStr">
        <is>
          <t>Dokument auswerten; Aktualität und Geltung prüfen</t>
        </is>
      </c>
      <c r="Z91" s="3" t="inlineStr">
        <is>
          <t>Webrecherche 14.10.2026</t>
        </is>
      </c>
      <c r="AA91" s="3" t="inlineStr"/>
      <c r="AB91" s="3" t="inlineStr"/>
      <c r="AC91" s="3" t="inlineStr"/>
      <c r="AD91" s="3" t="inlineStr">
        <is>
          <t>Verifiziert</t>
        </is>
      </c>
      <c r="AE91" s="3" t="inlineStr">
        <is>
          <t>200 (HEAD 405)</t>
        </is>
      </c>
      <c r="AF91" s="3" t="inlineStr"/>
      <c r="AG91" s="3" t="inlineStr">
        <is>
          <t>HTML</t>
        </is>
      </c>
      <c r="AH91" s="3" t="inlineStr">
        <is>
          <t>Bestätigt</t>
        </is>
      </c>
      <c r="AI91" s="3" t="inlineStr">
        <is>
          <t>Schlüsselwörter 1/1 gefunden (Finanzen); Ort/Zuständigkeit: Wil</t>
        </is>
      </c>
      <c r="AJ91" s="3" t="inlineStr">
        <is>
          <t>Finanzen | Finanzen</t>
        </is>
      </c>
      <c r="AK91" s="3" t="inlineStr">
        <is>
          <t>2024, 2025, 2023, 2026, 2028, 2027</t>
        </is>
      </c>
      <c r="AL91" s="3" t="inlineStr">
        <is>
          <t>Mittel (Webseite)</t>
        </is>
      </c>
      <c r="AM91" s="3" t="inlineStr">
        <is>
          <t>2026-10-14 13:53</t>
        </is>
      </c>
      <c r="AN91" s="3" t="inlineStr">
        <is>
          <t>Öffentlich verfügbar und verifiziert</t>
        </is>
      </c>
      <c r="AO91" s="3" t="inlineStr">
        <is>
          <t>Zu prüfen</t>
        </is>
      </c>
      <c r="AP91" s="3" t="inlineStr">
        <is>
          <t>Belegt Existenz und Zugänglichkeit der Quelle; inhaltliche Aussagen erst nach Auswertung.</t>
        </is>
      </c>
      <c r="AQ91" s="3" t="inlineStr">
        <is>
          <t>Keine Einstufung: Kennzahlen/Befunde noch nicht ausgewertet; Schwellen der Bewertungslogik noch nicht validiert.</t>
        </is>
      </c>
      <c r="AR91" s="3" t="inlineStr">
        <is>
          <t>Nein</t>
        </is>
      </c>
      <c r="AS91" s="3" t="inlineStr">
        <is>
          <t>Gemeindeverwaltung Wil</t>
        </is>
      </c>
      <c r="AT91" s="3" t="inlineStr">
        <is>
          <t>In Prüfung</t>
        </is>
      </c>
      <c r="AU91" s="3" t="inlineStr"/>
      <c r="AV91" s="3" t="inlineStr"/>
      <c r="AW91" s="3" t="inlineStr"/>
    </row>
    <row r="92" ht="43" customHeight="1">
      <c r="A92" s="2" t="inlineStr">
        <is>
          <t>WIL-C1-02</t>
        </is>
      </c>
      <c r="B92" s="15" t="inlineStr">
        <is>
          <t>Gemeinde</t>
        </is>
      </c>
      <c r="C92" s="2" t="inlineStr">
        <is>
          <t>Schweiz</t>
        </is>
      </c>
      <c r="D92" s="2" t="inlineStr">
        <is>
          <t>St. Gallen</t>
        </is>
      </c>
      <c r="E92" s="2" t="inlineStr">
        <is>
          <t>Wil</t>
        </is>
      </c>
      <c r="F92" s="2" t="inlineStr">
        <is>
          <t>C1</t>
        </is>
      </c>
      <c r="G92" s="2" t="inlineStr">
        <is>
          <t>Jahresrechnung</t>
        </is>
      </c>
      <c r="H92" s="2" t="inlineStr">
        <is>
          <t>Jahresrechnung 2025 Stadt Wil: politisches Geschäft</t>
        </is>
      </c>
      <c r="I92" s="2" t="inlineStr">
        <is>
          <t>Geschäft mit Anlagen</t>
        </is>
      </c>
      <c r="J92" s="2" t="inlineStr">
        <is>
          <t>Offizielle Quelle recherchiert</t>
        </is>
      </c>
      <c r="K92" s="2" t="inlineStr">
        <is>
          <t>Orientierung / Datengrundlage</t>
        </is>
      </c>
      <c r="L92" s="2" t="inlineStr">
        <is>
          <t>Gemeinde Wil</t>
        </is>
      </c>
      <c r="M92" s="5" t="inlineStr">
        <is>
          <t>https://www.stadtwil.ch/political-business/28da2d58a16b4b85b0504eeaa7e396dc</t>
        </is>
      </c>
      <c r="N92" s="2" t="inlineStr">
        <is>
          <t>Zu prüfen</t>
        </is>
      </c>
      <c r="O92" s="2" t="inlineStr">
        <is>
          <t>2026-10-14</t>
        </is>
      </c>
      <c r="P92" s="2" t="inlineStr">
        <is>
          <t>Beschluss und Anlagen zur Jahresrechnung 2025</t>
        </is>
      </c>
      <c r="Q92" s="2" t="inlineStr">
        <is>
          <t>Bilanz, Investitionsrechnung</t>
        </is>
      </c>
      <c r="R92" s="2" t="inlineStr">
        <is>
          <t>Anlagen herunterladen und Kennzahlen prüfen</t>
        </is>
      </c>
      <c r="S92" s="2" t="inlineStr">
        <is>
          <t>Kanton × Grössenklasse</t>
        </is>
      </c>
      <c r="T92" s="2" t="inlineStr">
        <is>
          <t>Noch nicht bewertet</t>
        </is>
      </c>
      <c r="U92" s="2" t="inlineStr">
        <is>
          <t>Mittel</t>
        </is>
      </c>
      <c r="V92" s="2" t="inlineStr">
        <is>
          <t>Kennzahlen und Befunde noch extrahieren</t>
        </is>
      </c>
      <c r="W92" s="2" t="inlineStr">
        <is>
          <t>C1</t>
        </is>
      </c>
      <c r="X92" s="2" t="inlineStr">
        <is>
          <t>Finanzbasis</t>
        </is>
      </c>
      <c r="Y92" s="2" t="inlineStr">
        <is>
          <t>Dokument auswerten; Aktualität und Geltung prüfen</t>
        </is>
      </c>
      <c r="Z92" s="2" t="inlineStr">
        <is>
          <t>Webrecherche 14.10.2026</t>
        </is>
      </c>
      <c r="AA92" s="2" t="inlineStr"/>
      <c r="AB92" s="2" t="inlineStr"/>
      <c r="AC92" s="2" t="inlineStr"/>
      <c r="AD92" s="2" t="inlineStr">
        <is>
          <t>Verifiziert</t>
        </is>
      </c>
      <c r="AE92" s="2" t="inlineStr">
        <is>
          <t>200 (HEAD 405)</t>
        </is>
      </c>
      <c r="AF92" s="2" t="inlineStr"/>
      <c r="AG92" s="2" t="inlineStr">
        <is>
          <t>HTML</t>
        </is>
      </c>
      <c r="AH92" s="2" t="inlineStr">
        <is>
          <t>Bestätigt</t>
        </is>
      </c>
      <c r="AI92" s="2" t="inlineStr">
        <is>
          <t>Schlüsselwörter 1/1 gefunden (Jahresrechnung); Ort/Zuständigkeit: Wil</t>
        </is>
      </c>
      <c r="AJ92" s="2" t="inlineStr">
        <is>
          <t>Jahresrechnung 2025 Stadt Wil | Jahresrechnung 2025 Stadt Wil</t>
        </is>
      </c>
      <c r="AK92" s="2" t="inlineStr">
        <is>
          <t>2024, 2025, 2026, 2023, 2028, 2027</t>
        </is>
      </c>
      <c r="AL92" s="2" t="inlineStr">
        <is>
          <t>Mittel (Webseite)</t>
        </is>
      </c>
      <c r="AM92" s="2" t="inlineStr">
        <is>
          <t>2026-10-14 13:53</t>
        </is>
      </c>
      <c r="AN92" s="2" t="inlineStr">
        <is>
          <t>Öffentlich verfügbar und verifiziert</t>
        </is>
      </c>
      <c r="AO92" s="2" t="inlineStr">
        <is>
          <t>Zu prüfen</t>
        </is>
      </c>
      <c r="AP92" s="2" t="inlineStr">
        <is>
          <t>Belegt Existenz und Zugänglichkeit der Quelle; inhaltliche Aussagen erst nach Auswertung.</t>
        </is>
      </c>
      <c r="AQ92" s="2" t="inlineStr">
        <is>
          <t>Keine Einstufung: Kennzahlen/Befunde noch nicht ausgewertet; Schwellen der Bewertungslogik noch nicht validiert.</t>
        </is>
      </c>
      <c r="AR92" s="2" t="inlineStr">
        <is>
          <t>Nein</t>
        </is>
      </c>
      <c r="AS92" s="2" t="inlineStr">
        <is>
          <t>Gemeindeverwaltung Wil</t>
        </is>
      </c>
      <c r="AT92" s="2" t="inlineStr">
        <is>
          <t>In Prüfung</t>
        </is>
      </c>
      <c r="AU92" s="2" t="inlineStr"/>
      <c r="AV92" s="2" t="inlineStr"/>
      <c r="AW92" s="2" t="inlineStr"/>
    </row>
    <row r="93" ht="43" customHeight="1">
      <c r="A93" s="3" t="inlineStr">
        <is>
          <t>WIL-C1-03</t>
        </is>
      </c>
      <c r="B93" s="15" t="inlineStr">
        <is>
          <t>Gemeinde</t>
        </is>
      </c>
      <c r="C93" s="3" t="inlineStr">
        <is>
          <t>Schweiz</t>
        </is>
      </c>
      <c r="D93" s="3" t="inlineStr">
        <is>
          <t>St. Gallen</t>
        </is>
      </c>
      <c r="E93" s="3" t="inlineStr">
        <is>
          <t>Wil</t>
        </is>
      </c>
      <c r="F93" s="3" t="inlineStr">
        <is>
          <t>C1</t>
        </is>
      </c>
      <c r="G93" s="3" t="inlineStr">
        <is>
          <t>Jahresrechnung</t>
        </is>
      </c>
      <c r="H93" s="3" t="inlineStr">
        <is>
          <t>Jahresrechnung 2023 der Stadt Wil</t>
        </is>
      </c>
      <c r="I93" s="3" t="inlineStr">
        <is>
          <t>Jahresrechnung</t>
        </is>
      </c>
      <c r="J93" s="3" t="inlineStr">
        <is>
          <t>Direktes Dokument</t>
        </is>
      </c>
      <c r="K93" s="3" t="inlineStr">
        <is>
          <t>Beschlossene Jahresrechnung</t>
        </is>
      </c>
      <c r="L93" s="3" t="inlineStr">
        <is>
          <t>Stadt Wil</t>
        </is>
      </c>
      <c r="M93" s="7" t="inlineStr">
        <is>
          <t>https://www.stadtwil.ch/storage/46c11db85e782dc122cd9a61cc291529509f659681277125f8b019bce5a31b9c</t>
        </is>
      </c>
      <c r="N93" s="3" t="inlineStr">
        <is>
          <t>2023</t>
        </is>
      </c>
      <c r="O93" s="3" t="inlineStr">
        <is>
          <t>2026-10-14</t>
        </is>
      </c>
      <c r="P93" s="3" t="inlineStr"/>
      <c r="Q93" s="3" t="inlineStr"/>
      <c r="R93" s="3" t="inlineStr"/>
      <c r="S93" s="3" t="inlineStr">
        <is>
          <t>Kanton × Grössenklasse</t>
        </is>
      </c>
      <c r="T93" s="3" t="inlineStr">
        <is>
          <t>Noch nicht bewertet</t>
        </is>
      </c>
      <c r="U93" s="3" t="inlineStr">
        <is>
          <t>Hoch</t>
        </is>
      </c>
      <c r="V93" s="3" t="inlineStr"/>
      <c r="W93" s="3" t="inlineStr"/>
      <c r="X93" s="3" t="inlineStr"/>
      <c r="Y93" s="3" t="inlineStr">
        <is>
          <t>Dokument auswerten; Aktualität und Geltung prüfen</t>
        </is>
      </c>
      <c r="Z93" s="3" t="inlineStr">
        <is>
          <t>Automatische Recherche GitHub Actions (Discovery), Fundstelle siehe Spalte Offizielle Fundstelle</t>
        </is>
      </c>
      <c r="AA93" s="3" t="inlineStr"/>
      <c r="AB93" s="3" t="inlineStr"/>
      <c r="AC93" s="7" t="inlineStr">
        <is>
          <t>https://www.stadtwil.ch/topics/stadt-politik-und-recht/finanzen</t>
        </is>
      </c>
      <c r="AD93" s="3" t="inlineStr">
        <is>
          <t>Verifiziert</t>
        </is>
      </c>
      <c r="AE93" s="3" t="inlineStr">
        <is>
          <t>200</t>
        </is>
      </c>
      <c r="AF93" s="3" t="inlineStr"/>
      <c r="AG93" s="3" t="inlineStr">
        <is>
          <t>PDF</t>
        </is>
      </c>
      <c r="AH93" s="3" t="inlineStr">
        <is>
          <t>Bestätigt</t>
        </is>
      </c>
      <c r="AI93" s="3" t="inlineStr">
        <is>
          <t>Schlüsselwörter 2/2 gefunden (Rechnung, 2023); Ort/Zuständigkeit: Wil</t>
        </is>
      </c>
      <c r="AJ93" s="3" t="inlineStr">
        <is>
          <t>Rechnung 2023 - Kurzfassung</t>
        </is>
      </c>
      <c r="AK93" s="3" t="inlineStr">
        <is>
          <t>2023, 2021, 2022, 2019, 2020, 2017</t>
        </is>
      </c>
      <c r="AL93" s="3" t="inlineStr">
        <is>
          <t>Mittel (Webseite)</t>
        </is>
      </c>
      <c r="AM93" s="3" t="inlineStr">
        <is>
          <t>2026-10-14 13:55</t>
        </is>
      </c>
      <c r="AN93" s="3" t="inlineStr">
        <is>
          <t>Öffentlich verfügbar und verifiziert</t>
        </is>
      </c>
      <c r="AO93" s="3" t="inlineStr">
        <is>
          <t>2023</t>
        </is>
      </c>
      <c r="AP93" s="3" t="inlineStr">
        <is>
          <t>Belegt Existenz und Zugänglichkeit der Quelle; inhaltliche Aussagen erst nach Auswertung.</t>
        </is>
      </c>
      <c r="AQ93" s="3" t="inlineStr">
        <is>
          <t>Keine Einstufung: Kennzahlen/Befunde noch nicht ausgewertet; Schwellen der Bewertungslogik noch nicht validiert.</t>
        </is>
      </c>
      <c r="AR93" s="3" t="inlineStr">
        <is>
          <t>Nein</t>
        </is>
      </c>
      <c r="AS93" s="3" t="inlineStr">
        <is>
          <t>Gemeindeverwaltung Wil</t>
        </is>
      </c>
      <c r="AT93" s="3" t="inlineStr">
        <is>
          <t>In Prüfung</t>
        </is>
      </c>
      <c r="AU93" s="3" t="inlineStr">
        <is>
          <t>Frühere Adresse /_docn/5050942/… liefert HTTP 404 (CMS-Umstellung); Link über Finanzseite der Stadt ermittelt.</t>
        </is>
      </c>
      <c r="AV93" s="3" t="inlineStr"/>
      <c r="AW93" s="3" t="inlineStr">
        <is>
          <t>2026-10-14: neu aufgenommen</t>
        </is>
      </c>
    </row>
    <row r="94" ht="43" customHeight="1">
      <c r="A94" s="2" t="inlineStr">
        <is>
          <t>WIL-C1-04</t>
        </is>
      </c>
      <c r="B94" s="15" t="inlineStr">
        <is>
          <t>Gemeinde</t>
        </is>
      </c>
      <c r="C94" s="2" t="inlineStr">
        <is>
          <t>Schweiz</t>
        </is>
      </c>
      <c r="D94" s="2" t="inlineStr">
        <is>
          <t>St. Gallen</t>
        </is>
      </c>
      <c r="E94" s="2" t="inlineStr">
        <is>
          <t>Wil</t>
        </is>
      </c>
      <c r="F94" s="2" t="inlineStr">
        <is>
          <t>C1</t>
        </is>
      </c>
      <c r="G94" s="2" t="inlineStr">
        <is>
          <t>Jahresrechnung</t>
        </is>
      </c>
      <c r="H94" s="2" t="inlineStr">
        <is>
          <t>Jahresrechnung 2024 der Stadt Wil</t>
        </is>
      </c>
      <c r="I94" s="2" t="inlineStr">
        <is>
          <t>Jahresrechnung</t>
        </is>
      </c>
      <c r="J94" s="2" t="inlineStr">
        <is>
          <t>Direktes Dokument</t>
        </is>
      </c>
      <c r="K94" s="2" t="inlineStr">
        <is>
          <t>Beschlussvorlage</t>
        </is>
      </c>
      <c r="L94" s="2" t="inlineStr">
        <is>
          <t>Stadt Wil</t>
        </is>
      </c>
      <c r="M94" s="5" t="inlineStr">
        <is>
          <t>https://www.stadtwil.ch/storage/0f0d7ad95464bf91a72506e63d2aae1d5c18327f9bff4bf34b8400c36999b277</t>
        </is>
      </c>
      <c r="N94" s="2" t="inlineStr">
        <is>
          <t>2024</t>
        </is>
      </c>
      <c r="O94" s="2" t="inlineStr">
        <is>
          <t>2026-10-14</t>
        </is>
      </c>
      <c r="P94" s="2" t="inlineStr"/>
      <c r="Q94" s="2" t="inlineStr"/>
      <c r="R94" s="2" t="inlineStr"/>
      <c r="S94" s="2" t="inlineStr">
        <is>
          <t>Kanton × Grössenklasse</t>
        </is>
      </c>
      <c r="T94" s="2" t="inlineStr">
        <is>
          <t>Noch nicht bewertet</t>
        </is>
      </c>
      <c r="U94" s="2" t="inlineStr">
        <is>
          <t>Hoch</t>
        </is>
      </c>
      <c r="V94" s="2" t="inlineStr"/>
      <c r="W94" s="2" t="inlineStr"/>
      <c r="X94" s="2" t="inlineStr"/>
      <c r="Y94" s="2" t="inlineStr">
        <is>
          <t>Dokument auswerten; Aktualität und Geltung prüfen</t>
        </is>
      </c>
      <c r="Z94" s="2" t="inlineStr">
        <is>
          <t>Automatische Recherche GitHub Actions (Discovery), Fundstelle siehe Spalte Offizielle Fundstelle</t>
        </is>
      </c>
      <c r="AA94" s="2" t="inlineStr"/>
      <c r="AB94" s="2" t="inlineStr"/>
      <c r="AC94" s="5" t="inlineStr">
        <is>
          <t>https://www.stadtwil.ch/topics/stadt-politik-und-recht/finanzen</t>
        </is>
      </c>
      <c r="AD94" s="2" t="inlineStr">
        <is>
          <t>Verifiziert</t>
        </is>
      </c>
      <c r="AE94" s="2" t="inlineStr">
        <is>
          <t>200</t>
        </is>
      </c>
      <c r="AF94" s="2" t="inlineStr"/>
      <c r="AG94" s="2" t="inlineStr">
        <is>
          <t>PDF</t>
        </is>
      </c>
      <c r="AH94" s="2" t="inlineStr">
        <is>
          <t>Bestätigt</t>
        </is>
      </c>
      <c r="AI94" s="2" t="inlineStr">
        <is>
          <t>Schlüsselwörter 2/2 gefunden (Rechnung, 2024); Ort/Zuständigkeit: Wil</t>
        </is>
      </c>
      <c r="AJ94" s="2" t="inlineStr">
        <is>
          <t>Rechnung 2024 - Kurzfassung</t>
        </is>
      </c>
      <c r="AK94" s="2" t="inlineStr">
        <is>
          <t>2024, 2021, 2023, 2018, 2019, 2022</t>
        </is>
      </c>
      <c r="AL94" s="2" t="inlineStr">
        <is>
          <t>Mittel (Webseite)</t>
        </is>
      </c>
      <c r="AM94" s="2" t="inlineStr">
        <is>
          <t>2026-10-14 13:55</t>
        </is>
      </c>
      <c r="AN94" s="2" t="inlineStr">
        <is>
          <t>Öffentlich verfügbar und verifiziert</t>
        </is>
      </c>
      <c r="AO94" s="2" t="inlineStr">
        <is>
          <t>2024</t>
        </is>
      </c>
      <c r="AP94" s="2" t="inlineStr">
        <is>
          <t>Belegt Existenz und Zugänglichkeit der Quelle; inhaltliche Aussagen erst nach Auswertung.</t>
        </is>
      </c>
      <c r="AQ94" s="2" t="inlineStr">
        <is>
          <t>Keine Einstufung: Kennzahlen/Befunde noch nicht ausgewertet; Schwellen der Bewertungslogik noch nicht validiert.</t>
        </is>
      </c>
      <c r="AR94" s="2" t="inlineStr">
        <is>
          <t>Nein</t>
        </is>
      </c>
      <c r="AS94" s="2" t="inlineStr">
        <is>
          <t>Gemeindeverwaltung Wil</t>
        </is>
      </c>
      <c r="AT94" s="2" t="inlineStr">
        <is>
          <t>In Prüfung</t>
        </is>
      </c>
      <c r="AU94" s="2" t="inlineStr">
        <is>
          <t>Frühere Adresse /_doc/5592973 liefert HTTP 404 (CMS-Umstellung); Link über Finanzseite der Stadt ermittelt.</t>
        </is>
      </c>
      <c r="AV94" s="2" t="inlineStr"/>
      <c r="AW94" s="2" t="inlineStr">
        <is>
          <t>2026-10-14: neu aufgenommen</t>
        </is>
      </c>
    </row>
    <row r="95" ht="43" customHeight="1">
      <c r="A95" s="3" t="inlineStr">
        <is>
          <t>WIL-C1-05</t>
        </is>
      </c>
      <c r="B95" s="15" t="inlineStr">
        <is>
          <t>Gemeinde</t>
        </is>
      </c>
      <c r="C95" s="3" t="inlineStr">
        <is>
          <t>Schweiz</t>
        </is>
      </c>
      <c r="D95" s="3" t="inlineStr">
        <is>
          <t>St. Gallen</t>
        </is>
      </c>
      <c r="E95" s="3" t="inlineStr">
        <is>
          <t>Wil</t>
        </is>
      </c>
      <c r="F95" s="3" t="inlineStr">
        <is>
          <t>C1</t>
        </is>
      </c>
      <c r="G95" s="3" t="inlineStr">
        <is>
          <t>Jahresrechnung</t>
        </is>
      </c>
      <c r="H95" s="3" t="inlineStr">
        <is>
          <t>Rechnung 2025 Stadt Wil – Finanzbericht, Erfolgsrechnung, Bilanz, Anhang</t>
        </is>
      </c>
      <c r="I95" s="3" t="inlineStr">
        <is>
          <t>Jahresrechnung</t>
        </is>
      </c>
      <c r="J95" s="3" t="inlineStr">
        <is>
          <t>Direktes Dokument</t>
        </is>
      </c>
      <c r="K95" s="3" t="inlineStr">
        <is>
          <t>Beschlussvorlage</t>
        </is>
      </c>
      <c r="L95" s="3" t="inlineStr">
        <is>
          <t>Stadt Wil</t>
        </is>
      </c>
      <c r="M95" s="7" t="inlineStr">
        <is>
          <t>https://www.stadtwil.ch/storage/08902ff399818ccc0d53949607b2d0f6f8bf702c334e295d493c2fd842ba4079</t>
        </is>
      </c>
      <c r="N95" s="3" t="inlineStr">
        <is>
          <t>2025</t>
        </is>
      </c>
      <c r="O95" s="3" t="inlineStr">
        <is>
          <t>2026-10-14</t>
        </is>
      </c>
      <c r="P95" s="3" t="inlineStr"/>
      <c r="Q95" s="3" t="inlineStr"/>
      <c r="R95" s="3" t="inlineStr"/>
      <c r="S95" s="3" t="inlineStr">
        <is>
          <t>Kanton × Grössenklasse</t>
        </is>
      </c>
      <c r="T95" s="3" t="inlineStr">
        <is>
          <t>Noch nicht bewertet</t>
        </is>
      </c>
      <c r="U95" s="3" t="inlineStr">
        <is>
          <t>Mittel</t>
        </is>
      </c>
      <c r="V95" s="3" t="inlineStr"/>
      <c r="W95" s="3" t="inlineStr"/>
      <c r="X95" s="3" t="inlineStr"/>
      <c r="Y95" s="3" t="inlineStr">
        <is>
          <t>Dokument auswerten; Aktualität und Geltung prüfen</t>
        </is>
      </c>
      <c r="Z95" s="3" t="inlineStr">
        <is>
          <t>Websuche 14.10.2026 (URL im Suchergebnis gefunden)</t>
        </is>
      </c>
      <c r="AA95" s="3" t="inlineStr"/>
      <c r="AB95" s="3" t="inlineStr"/>
      <c r="AC95" s="3" t="inlineStr"/>
      <c r="AD95" s="3" t="inlineStr">
        <is>
          <t>Verifiziert</t>
        </is>
      </c>
      <c r="AE95" s="3" t="inlineStr">
        <is>
          <t>200</t>
        </is>
      </c>
      <c r="AF95" s="3" t="inlineStr"/>
      <c r="AG95" s="3" t="inlineStr">
        <is>
          <t>PDF</t>
        </is>
      </c>
      <c r="AH95" s="3" t="inlineStr">
        <is>
          <t>Bestätigt</t>
        </is>
      </c>
      <c r="AI95" s="3" t="inlineStr">
        <is>
          <t>Schlüsselwörter 2/2 gefunden (2025, Bilanz); Ort/Zuständigkeit: Wil</t>
        </is>
      </c>
      <c r="AJ95" s="3" t="inlineStr">
        <is>
          <t>Rechnung 2025</t>
        </is>
      </c>
      <c r="AK95" s="3" t="inlineStr">
        <is>
          <t>2025, 2024, 2022, 2023, 2026, 2019</t>
        </is>
      </c>
      <c r="AL95" s="3" t="inlineStr">
        <is>
          <t>Mittel (Webseite)</t>
        </is>
      </c>
      <c r="AM95" s="3" t="inlineStr">
        <is>
          <t>2026-10-14 13:55</t>
        </is>
      </c>
      <c r="AN95" s="3" t="inlineStr">
        <is>
          <t>Öffentlich verfügbar und verifiziert</t>
        </is>
      </c>
      <c r="AO95" s="3" t="inlineStr">
        <is>
          <t>2025</t>
        </is>
      </c>
      <c r="AP95" s="3" t="inlineStr">
        <is>
          <t>Belegt Existenz und Zugänglichkeit der Quelle; inhaltliche Aussagen erst nach Auswertung.</t>
        </is>
      </c>
      <c r="AQ95" s="3" t="inlineStr">
        <is>
          <t>Keine Einstufung: Kennzahlen/Befunde noch nicht ausgewertet; Schwellen der Bewertungslogik noch nicht validiert.</t>
        </is>
      </c>
      <c r="AR95" s="3" t="inlineStr">
        <is>
          <t>Nein</t>
        </is>
      </c>
      <c r="AS95" s="3" t="inlineStr">
        <is>
          <t>Gemeindeverwaltung Wil</t>
        </is>
      </c>
      <c r="AT95" s="3" t="inlineStr">
        <is>
          <t>In Prüfung</t>
        </is>
      </c>
      <c r="AU95" s="3" t="inlineStr">
        <is>
          <t>Zuordnung der Hash-URL stammt aus Suchzusammenfassung; nur Inhaltsprüfung belegt Identität.</t>
        </is>
      </c>
      <c r="AV95" s="3" t="inlineStr"/>
      <c r="AW95" s="3" t="inlineStr">
        <is>
          <t>2026-10-14: neu aufgenommen</t>
        </is>
      </c>
    </row>
    <row r="96" ht="43" customHeight="1">
      <c r="A96" s="2" t="inlineStr">
        <is>
          <t>WIL-C1-06</t>
        </is>
      </c>
      <c r="B96" s="15" t="inlineStr">
        <is>
          <t>Gemeinde</t>
        </is>
      </c>
      <c r="C96" s="2" t="inlineStr">
        <is>
          <t>Schweiz</t>
        </is>
      </c>
      <c r="D96" s="2" t="inlineStr">
        <is>
          <t>St. Gallen</t>
        </is>
      </c>
      <c r="E96" s="2" t="inlineStr">
        <is>
          <t>Wil</t>
        </is>
      </c>
      <c r="F96" s="2" t="inlineStr">
        <is>
          <t>C1</t>
        </is>
      </c>
      <c r="G96" s="2" t="inlineStr">
        <is>
          <t>Finanzplanung</t>
        </is>
      </c>
      <c r="H96" s="2" t="inlineStr">
        <is>
          <t>Finanzplan 2026–2030 der Stadt Wil (Stadtrat 23.9.2025)</t>
        </is>
      </c>
      <c r="I96" s="2" t="inlineStr">
        <is>
          <t>Finanzplan</t>
        </is>
      </c>
      <c r="J96" s="2" t="inlineStr">
        <is>
          <t>Direktes Dokument</t>
        </is>
      </c>
      <c r="K96" s="2" t="inlineStr">
        <is>
          <t>Planungsinstrument</t>
        </is>
      </c>
      <c r="L96" s="2" t="inlineStr">
        <is>
          <t>Stadt Wil</t>
        </is>
      </c>
      <c r="M96" s="5" t="inlineStr">
        <is>
          <t>https://www.stadtwil.ch/storage/875d422378d72386aae96efa76356fbfa05e9a0e1e03f208fbbe599dea21021c</t>
        </is>
      </c>
      <c r="N96" s="2" t="inlineStr">
        <is>
          <t>2026–2030</t>
        </is>
      </c>
      <c r="O96" s="2" t="inlineStr">
        <is>
          <t>2026-10-14</t>
        </is>
      </c>
      <c r="P96" s="2" t="inlineStr"/>
      <c r="Q96" s="2" t="inlineStr"/>
      <c r="R96" s="2" t="inlineStr"/>
      <c r="S96" s="2" t="inlineStr">
        <is>
          <t>Kanton × Grössenklasse</t>
        </is>
      </c>
      <c r="T96" s="2" t="inlineStr">
        <is>
          <t>Noch nicht bewertet</t>
        </is>
      </c>
      <c r="U96" s="2" t="inlineStr">
        <is>
          <t>Hoch</t>
        </is>
      </c>
      <c r="V96" s="2" t="inlineStr"/>
      <c r="W96" s="2" t="inlineStr"/>
      <c r="X96" s="2" t="inlineStr"/>
      <c r="Y96" s="2" t="inlineStr">
        <is>
          <t>Dokument auswerten; Aktualität und Geltung prüfen</t>
        </is>
      </c>
      <c r="Z96" s="2" t="inlineStr">
        <is>
          <t>Websuche 14.10.2026 (URL im Suchergebnis gefunden)</t>
        </is>
      </c>
      <c r="AA96" s="2" t="inlineStr"/>
      <c r="AB96" s="2" t="inlineStr"/>
      <c r="AC96" s="5" t="inlineStr">
        <is>
          <t>https://www.stadtwil.ch/topics/stadt-politik-und-recht/finanzen</t>
        </is>
      </c>
      <c r="AD96" s="2" t="inlineStr">
        <is>
          <t>Verifiziert</t>
        </is>
      </c>
      <c r="AE96" s="2" t="inlineStr">
        <is>
          <t>200</t>
        </is>
      </c>
      <c r="AF96" s="2" t="inlineStr"/>
      <c r="AG96" s="2" t="inlineStr">
        <is>
          <t>PDF</t>
        </is>
      </c>
      <c r="AH96" s="2" t="inlineStr">
        <is>
          <t>Bestätigt</t>
        </is>
      </c>
      <c r="AI96" s="2" t="inlineStr">
        <is>
          <t>Schlüsselwörter 2/2 gefunden (Finanzplan, 2030); Ort/Zuständigkeit: Wil</t>
        </is>
      </c>
      <c r="AJ96" s="2" t="inlineStr">
        <is>
          <t>Finanzplan 2026-2030</t>
        </is>
      </c>
      <c r="AK96" s="2" t="inlineStr">
        <is>
          <t>2026, 2030, 2025, 2027, 2028, 2029</t>
        </is>
      </c>
      <c r="AL96" s="2" t="inlineStr">
        <is>
          <t>Mittel (Webseite)</t>
        </is>
      </c>
      <c r="AM96" s="2" t="inlineStr">
        <is>
          <t>2026-10-14 13:55</t>
        </is>
      </c>
      <c r="AN96" s="2" t="inlineStr">
        <is>
          <t>Öffentlich verfügbar und verifiziert</t>
        </is>
      </c>
      <c r="AO96" s="2" t="inlineStr">
        <is>
          <t>2026–2030</t>
        </is>
      </c>
      <c r="AP96" s="2" t="inlineStr">
        <is>
          <t>Belegt Existenz und Zugänglichkeit der Quelle; inhaltliche Aussagen erst nach Auswertung.</t>
        </is>
      </c>
      <c r="AQ96" s="2" t="inlineStr">
        <is>
          <t>Keine Einstufung: Kennzahlen/Befunde noch nicht ausgewertet; Schwellen der Bewertungslogik noch nicht validiert.</t>
        </is>
      </c>
      <c r="AR96" s="2" t="inlineStr">
        <is>
          <t>Nein</t>
        </is>
      </c>
      <c r="AS96" s="2" t="inlineStr">
        <is>
          <t>Gemeindeverwaltung Wil</t>
        </is>
      </c>
      <c r="AT96" s="2" t="inlineStr">
        <is>
          <t>In Prüfung</t>
        </is>
      </c>
      <c r="AU96" s="2" t="inlineStr"/>
      <c r="AV96" s="2" t="inlineStr"/>
      <c r="AW96" s="2" t="inlineStr">
        <is>
          <t>2026-10-14: neu aufgenommen</t>
        </is>
      </c>
    </row>
    <row r="97" ht="43" customHeight="1">
      <c r="A97" s="3" t="inlineStr">
        <is>
          <t>WIL-C1-07</t>
        </is>
      </c>
      <c r="B97" s="15" t="inlineStr">
        <is>
          <t>Gemeinde</t>
        </is>
      </c>
      <c r="C97" s="3" t="inlineStr">
        <is>
          <t>Schweiz</t>
        </is>
      </c>
      <c r="D97" s="3" t="inlineStr">
        <is>
          <t>St. Gallen</t>
        </is>
      </c>
      <c r="E97" s="3" t="inlineStr">
        <is>
          <t>Wil</t>
        </is>
      </c>
      <c r="F97" s="3" t="inlineStr">
        <is>
          <t>C1</t>
        </is>
      </c>
      <c r="G97" s="3" t="inlineStr">
        <is>
          <t>Investitionen</t>
        </is>
      </c>
      <c r="H97" s="3" t="inlineStr">
        <is>
          <t>Investitionsplan 2026–2030 der Stadt Wil</t>
        </is>
      </c>
      <c r="I97" s="3" t="inlineStr">
        <is>
          <t>Investitionsplan</t>
        </is>
      </c>
      <c r="J97" s="3" t="inlineStr">
        <is>
          <t>Direktes Dokument</t>
        </is>
      </c>
      <c r="K97" s="3" t="inlineStr">
        <is>
          <t>Planungsinstrument</t>
        </is>
      </c>
      <c r="L97" s="3" t="inlineStr">
        <is>
          <t>Stadt Wil</t>
        </is>
      </c>
      <c r="M97" s="7" t="inlineStr">
        <is>
          <t>https://www.stadtwil.ch/storage/c6097b5ae815fb81f14b4db7630b14d9452e3be1ae3cbddd9f8e28d9d0777c7f</t>
        </is>
      </c>
      <c r="N97" s="3" t="inlineStr">
        <is>
          <t>2026–2030</t>
        </is>
      </c>
      <c r="O97" s="3" t="inlineStr">
        <is>
          <t>2026-10-14</t>
        </is>
      </c>
      <c r="P97" s="3" t="inlineStr"/>
      <c r="Q97" s="3" t="inlineStr"/>
      <c r="R97" s="3" t="inlineStr"/>
      <c r="S97" s="3" t="inlineStr">
        <is>
          <t>Kanton × Grössenklasse</t>
        </is>
      </c>
      <c r="T97" s="3" t="inlineStr">
        <is>
          <t>Noch nicht bewertet</t>
        </is>
      </c>
      <c r="U97" s="3" t="inlineStr">
        <is>
          <t>Hoch</t>
        </is>
      </c>
      <c r="V97" s="3" t="inlineStr"/>
      <c r="W97" s="3" t="inlineStr"/>
      <c r="X97" s="3" t="inlineStr"/>
      <c r="Y97" s="3" t="inlineStr">
        <is>
          <t>Dokument auswerten; Aktualität und Geltung prüfen</t>
        </is>
      </c>
      <c r="Z97" s="3" t="inlineStr">
        <is>
          <t>Automatische Recherche GitHub Actions (Discovery), Fundstelle siehe Spalte Offizielle Fundstelle</t>
        </is>
      </c>
      <c r="AA97" s="3" t="inlineStr"/>
      <c r="AB97" s="3" t="inlineStr"/>
      <c r="AC97" s="7" t="inlineStr">
        <is>
          <t>https://www.stadtwil.ch/topics/stadt-politik-und-recht/finanzen</t>
        </is>
      </c>
      <c r="AD97" s="3" t="inlineStr">
        <is>
          <t>Verifiziert</t>
        </is>
      </c>
      <c r="AE97" s="3" t="inlineStr">
        <is>
          <t>200</t>
        </is>
      </c>
      <c r="AF97" s="3" t="inlineStr"/>
      <c r="AG97" s="3" t="inlineStr">
        <is>
          <t>PDF</t>
        </is>
      </c>
      <c r="AH97" s="3" t="inlineStr">
        <is>
          <t>Bestätigt</t>
        </is>
      </c>
      <c r="AI97" s="3" t="inlineStr">
        <is>
          <t>Schlüsselwörter 2/2 gefunden (Investitionsplan, 2030); Ort/Zuständigkeit: Wil</t>
        </is>
      </c>
      <c r="AJ97" s="3" t="inlineStr">
        <is>
          <t>Investitionsplan 2026-2030</t>
        </is>
      </c>
      <c r="AK97" s="3" t="inlineStr">
        <is>
          <t>2024, 2026, 2030, 2025, 2023, 2027</t>
        </is>
      </c>
      <c r="AL97" s="3" t="inlineStr">
        <is>
          <t>Mittel (Webseite)</t>
        </is>
      </c>
      <c r="AM97" s="3" t="inlineStr">
        <is>
          <t>2026-10-14 13:55</t>
        </is>
      </c>
      <c r="AN97" s="3" t="inlineStr">
        <is>
          <t>Öffentlich verfügbar und verifiziert</t>
        </is>
      </c>
      <c r="AO97" s="3" t="inlineStr">
        <is>
          <t>2026–2030</t>
        </is>
      </c>
      <c r="AP97" s="3" t="inlineStr">
        <is>
          <t>Belegt Existenz und Zugänglichkeit der Quelle; inhaltliche Aussagen erst nach Auswertung.</t>
        </is>
      </c>
      <c r="AQ97" s="3" t="inlineStr">
        <is>
          <t>Keine Einstufung: Kennzahlen/Befunde noch nicht ausgewertet; Schwellen der Bewertungslogik noch nicht validiert.</t>
        </is>
      </c>
      <c r="AR97" s="3" t="inlineStr">
        <is>
          <t>Nein</t>
        </is>
      </c>
      <c r="AS97" s="3" t="inlineStr">
        <is>
          <t>Gemeindeverwaltung Wil</t>
        </is>
      </c>
      <c r="AT97" s="3" t="inlineStr">
        <is>
          <t>In Prüfung</t>
        </is>
      </c>
      <c r="AU97" s="3" t="inlineStr"/>
      <c r="AV97" s="3" t="inlineStr"/>
      <c r="AW97" s="3" t="inlineStr">
        <is>
          <t>2026-10-14: neu aufgenommen</t>
        </is>
      </c>
    </row>
    <row r="98" ht="43" customHeight="1">
      <c r="A98" s="2" t="inlineStr">
        <is>
          <t>WIL-C1-08</t>
        </is>
      </c>
      <c r="B98" s="15" t="inlineStr">
        <is>
          <t>Gemeinde</t>
        </is>
      </c>
      <c r="C98" s="2" t="inlineStr">
        <is>
          <t>Schweiz</t>
        </is>
      </c>
      <c r="D98" s="2" t="inlineStr">
        <is>
          <t>St. Gallen</t>
        </is>
      </c>
      <c r="E98" s="2" t="inlineStr">
        <is>
          <t>Wil</t>
        </is>
      </c>
      <c r="F98" s="2" t="inlineStr">
        <is>
          <t>C1</t>
        </is>
      </c>
      <c r="G98" s="2" t="inlineStr">
        <is>
          <t>Budget</t>
        </is>
      </c>
      <c r="H98" s="2" t="inlineStr">
        <is>
          <t>Budget 2026 der Stadt Wil</t>
        </is>
      </c>
      <c r="I98" s="2" t="inlineStr">
        <is>
          <t>Budget</t>
        </is>
      </c>
      <c r="J98" s="2" t="inlineStr">
        <is>
          <t>Direktes Dokument</t>
        </is>
      </c>
      <c r="K98" s="2" t="inlineStr">
        <is>
          <t>Beschlussvorlage</t>
        </is>
      </c>
      <c r="L98" s="2" t="inlineStr">
        <is>
          <t>Stadt Wil</t>
        </is>
      </c>
      <c r="M98" s="5" t="inlineStr">
        <is>
          <t>https://www.stadtwil.ch/storage/2ecd9e697734cc2262543c9da23828c2b6ad0129cf1654fcfa47f21ba113bf8a</t>
        </is>
      </c>
      <c r="N98" s="2" t="inlineStr">
        <is>
          <t>2026</t>
        </is>
      </c>
      <c r="O98" s="2" t="inlineStr">
        <is>
          <t>2026-10-14</t>
        </is>
      </c>
      <c r="P98" s="2" t="inlineStr"/>
      <c r="Q98" s="2" t="inlineStr"/>
      <c r="R98" s="2" t="inlineStr"/>
      <c r="S98" s="2" t="inlineStr">
        <is>
          <t>Kanton × Grössenklasse</t>
        </is>
      </c>
      <c r="T98" s="2" t="inlineStr">
        <is>
          <t>Noch nicht bewertet</t>
        </is>
      </c>
      <c r="U98" s="2" t="inlineStr">
        <is>
          <t>Hoch</t>
        </is>
      </c>
      <c r="V98" s="2" t="inlineStr"/>
      <c r="W98" s="2" t="inlineStr"/>
      <c r="X98" s="2" t="inlineStr"/>
      <c r="Y98" s="2" t="inlineStr">
        <is>
          <t>Dokument auswerten; Aktualität und Geltung prüfen</t>
        </is>
      </c>
      <c r="Z98" s="2" t="inlineStr">
        <is>
          <t>Automatische Recherche GitHub Actions (Discovery), Fundstelle siehe Spalte Offizielle Fundstelle</t>
        </is>
      </c>
      <c r="AA98" s="2" t="inlineStr"/>
      <c r="AB98" s="2" t="inlineStr"/>
      <c r="AC98" s="5" t="inlineStr">
        <is>
          <t>https://www.stadtwil.ch/topics/stadt-politik-und-recht/finanzen</t>
        </is>
      </c>
      <c r="AD98" s="2" t="inlineStr">
        <is>
          <t>Verifiziert</t>
        </is>
      </c>
      <c r="AE98" s="2" t="inlineStr">
        <is>
          <t>200</t>
        </is>
      </c>
      <c r="AF98" s="2" t="inlineStr"/>
      <c r="AG98" s="2" t="inlineStr">
        <is>
          <t>PDF</t>
        </is>
      </c>
      <c r="AH98" s="2" t="inlineStr">
        <is>
          <t>Bestätigt</t>
        </is>
      </c>
      <c r="AI98" s="2" t="inlineStr">
        <is>
          <t>Schlüsselwörter 2/2 gefunden (Budget, 2026); Ort/Zuständigkeit: Wil</t>
        </is>
      </c>
      <c r="AJ98" s="2" t="inlineStr">
        <is>
          <t>Budget 2026</t>
        </is>
      </c>
      <c r="AK98" s="2" t="inlineStr">
        <is>
          <t>2026, 2025, 2023, 2024, 2027, 2005</t>
        </is>
      </c>
      <c r="AL98" s="2" t="inlineStr">
        <is>
          <t>Mittel (Webseite)</t>
        </is>
      </c>
      <c r="AM98" s="2" t="inlineStr">
        <is>
          <t>2026-10-14 13:55</t>
        </is>
      </c>
      <c r="AN98" s="2" t="inlineStr">
        <is>
          <t>Öffentlich verfügbar und verifiziert</t>
        </is>
      </c>
      <c r="AO98" s="2" t="inlineStr">
        <is>
          <t>2026</t>
        </is>
      </c>
      <c r="AP98" s="2" t="inlineStr">
        <is>
          <t>Belegt Existenz und Zugänglichkeit der Quelle; inhaltliche Aussagen erst nach Auswertung.</t>
        </is>
      </c>
      <c r="AQ98" s="2" t="inlineStr">
        <is>
          <t>Keine Einstufung: Kennzahlen/Befunde noch nicht ausgewertet; Schwellen der Bewertungslogik noch nicht validiert.</t>
        </is>
      </c>
      <c r="AR98" s="2" t="inlineStr">
        <is>
          <t>Nein</t>
        </is>
      </c>
      <c r="AS98" s="2" t="inlineStr">
        <is>
          <t>Gemeindeverwaltung Wil</t>
        </is>
      </c>
      <c r="AT98" s="2" t="inlineStr">
        <is>
          <t>In Prüfung</t>
        </is>
      </c>
      <c r="AU98" s="2" t="inlineStr">
        <is>
          <t>Steuerfuss-Referendum 2026 – Beschlussstand prüfen.</t>
        </is>
      </c>
      <c r="AV98" s="2" t="inlineStr"/>
      <c r="AW98" s="2" t="inlineStr">
        <is>
          <t>2026-10-14: neu aufgenommen</t>
        </is>
      </c>
    </row>
    <row r="99" ht="43" customHeight="1">
      <c r="A99" s="3" t="inlineStr">
        <is>
          <t>WIL-C1-09</t>
        </is>
      </c>
      <c r="B99" s="15" t="inlineStr">
        <is>
          <t>Gemeinde</t>
        </is>
      </c>
      <c r="C99" s="3" t="inlineStr">
        <is>
          <t>Schweiz</t>
        </is>
      </c>
      <c r="D99" s="3" t="inlineStr">
        <is>
          <t>St. Gallen</t>
        </is>
      </c>
      <c r="E99" s="3" t="inlineStr">
        <is>
          <t>Wil</t>
        </is>
      </c>
      <c r="F99" s="3" t="inlineStr">
        <is>
          <t>C1</t>
        </is>
      </c>
      <c r="G99" s="3" t="inlineStr">
        <is>
          <t>Beteiligungen / Rechnung</t>
        </is>
      </c>
      <c r="H99" s="3" t="inlineStr">
        <is>
          <t>Jahresrechnung 2025 Technische Betriebe Wil (TBW) – Bericht und Antrag</t>
        </is>
      </c>
      <c r="I99" s="3" t="inlineStr">
        <is>
          <t>Jahresrechnung Unternehmen</t>
        </is>
      </c>
      <c r="J99" s="3" t="inlineStr">
        <is>
          <t>Direktes Dokument</t>
        </is>
      </c>
      <c r="K99" s="3" t="inlineStr">
        <is>
          <t>Beschlussvorlage</t>
        </is>
      </c>
      <c r="L99" s="3" t="inlineStr">
        <is>
          <t>Stadt Wil / Technische Betriebe Wil</t>
        </is>
      </c>
      <c r="M99" s="7" t="inlineStr">
        <is>
          <t>https://www.stadtwil.ch/storage/9bf65acd52bfa75c91cc42760759e0ffc3a76d501e7d174c010444c290801cc2</t>
        </is>
      </c>
      <c r="N99" s="3" t="inlineStr">
        <is>
          <t>2025</t>
        </is>
      </c>
      <c r="O99" s="3" t="inlineStr">
        <is>
          <t>2026-10-14</t>
        </is>
      </c>
      <c r="P99" s="3" t="inlineStr">
        <is>
          <t>Gewinnablieferung und Abgaben der TBW an die Stadt</t>
        </is>
      </c>
      <c r="Q99" s="3" t="inlineStr"/>
      <c r="R99" s="3" t="inlineStr"/>
      <c r="S99" s="3" t="inlineStr">
        <is>
          <t>Kanton × Grössenklasse</t>
        </is>
      </c>
      <c r="T99" s="3" t="inlineStr">
        <is>
          <t>Noch nicht bewertet</t>
        </is>
      </c>
      <c r="U99" s="3" t="inlineStr">
        <is>
          <t>Mittel</t>
        </is>
      </c>
      <c r="V99" s="3" t="inlineStr"/>
      <c r="W99" s="3" t="inlineStr"/>
      <c r="X99" s="3" t="inlineStr"/>
      <c r="Y99" s="3" t="inlineStr">
        <is>
          <t>Dokument auswerten; Aktualität und Geltung prüfen</t>
        </is>
      </c>
      <c r="Z99" s="3" t="inlineStr">
        <is>
          <t>Websuche 14.10.2026 (URL im Suchergebnis gefunden)</t>
        </is>
      </c>
      <c r="AA99" s="3" t="inlineStr">
        <is>
          <t>C3</t>
        </is>
      </c>
      <c r="AB99" s="3" t="inlineStr"/>
      <c r="AC99" s="3" t="inlineStr"/>
      <c r="AD99" s="3" t="inlineStr">
        <is>
          <t>Verifiziert</t>
        </is>
      </c>
      <c r="AE99" s="3" t="inlineStr">
        <is>
          <t>200</t>
        </is>
      </c>
      <c r="AF99" s="3" t="inlineStr"/>
      <c r="AG99" s="3" t="inlineStr">
        <is>
          <t>PDF</t>
        </is>
      </c>
      <c r="AH99" s="3" t="inlineStr">
        <is>
          <t>Bestätigt</t>
        </is>
      </c>
      <c r="AI99" s="3" t="inlineStr">
        <is>
          <t>Schlüsselwörter 2/2 gefunden (Technische Betriebe, 2025); Ort/Zuständigkeit: Wil</t>
        </is>
      </c>
      <c r="AJ99" s="3" t="inlineStr">
        <is>
          <t>Marktgasse 58</t>
        </is>
      </c>
      <c r="AK99" s="3" t="inlineStr">
        <is>
          <t>2025, 2026, 2024, 2019</t>
        </is>
      </c>
      <c r="AL99" s="3" t="inlineStr">
        <is>
          <t>Mittel (Webseite)</t>
        </is>
      </c>
      <c r="AM99" s="3" t="inlineStr">
        <is>
          <t>2026-10-14 13:55</t>
        </is>
      </c>
      <c r="AN99" s="3" t="inlineStr">
        <is>
          <t>Öffentlich verfügbar und verifiziert</t>
        </is>
      </c>
      <c r="AO99" s="3" t="inlineStr">
        <is>
          <t>2025</t>
        </is>
      </c>
      <c r="AP99" s="3" t="inlineStr">
        <is>
          <t>Belegt Existenz und Zugänglichkeit der Quelle; inhaltliche Aussagen erst nach Auswertung.</t>
        </is>
      </c>
      <c r="AQ99" s="3" t="inlineStr">
        <is>
          <t>Keine Einstufung: Kennzahlen/Befunde noch nicht ausgewertet; Schwellen der Bewertungslogik noch nicht validiert.</t>
        </is>
      </c>
      <c r="AR99" s="3" t="inlineStr">
        <is>
          <t>Nein</t>
        </is>
      </c>
      <c r="AS99" s="3" t="inlineStr">
        <is>
          <t>Gemeindeverwaltung Wil</t>
        </is>
      </c>
      <c r="AT99" s="3" t="inlineStr">
        <is>
          <t>In Prüfung</t>
        </is>
      </c>
      <c r="AU99" s="3" t="inlineStr"/>
      <c r="AV99" s="3" t="inlineStr"/>
      <c r="AW99" s="3" t="inlineStr">
        <is>
          <t>2026-10-14: neu aufgenommen</t>
        </is>
      </c>
    </row>
    <row r="100" ht="43" customHeight="1">
      <c r="A100" s="2" t="inlineStr">
        <is>
          <t>WIL-C1-10</t>
        </is>
      </c>
      <c r="B100" s="15" t="inlineStr">
        <is>
          <t>Gemeinde</t>
        </is>
      </c>
      <c r="C100" s="2" t="inlineStr">
        <is>
          <t>Schweiz</t>
        </is>
      </c>
      <c r="D100" s="2" t="inlineStr">
        <is>
          <t>St. Gallen</t>
        </is>
      </c>
      <c r="E100" s="2" t="inlineStr">
        <is>
          <t>Wil</t>
        </is>
      </c>
      <c r="F100" s="2" t="inlineStr">
        <is>
          <t>C1</t>
        </is>
      </c>
      <c r="G100" s="2" t="inlineStr">
        <is>
          <t>Budget</t>
        </is>
      </c>
      <c r="H100" s="2" t="inlineStr">
        <is>
          <t>Budget 2027 der Stadt Wil</t>
        </is>
      </c>
      <c r="I100" s="2" t="inlineStr">
        <is>
          <t>Budget</t>
        </is>
      </c>
      <c r="J100" s="2" t="inlineStr">
        <is>
          <t>Direktes Dokument</t>
        </is>
      </c>
      <c r="K100" s="2" t="inlineStr">
        <is>
          <t>Vorlage (Beschluss Stadtparlament ausstehend/prüfen)</t>
        </is>
      </c>
      <c r="L100" s="2" t="inlineStr">
        <is>
          <t>Stadt Wil</t>
        </is>
      </c>
      <c r="M100" s="5" t="inlineStr">
        <is>
          <t>https://www.stadtwil.ch/storage/86c954451190b5683f4cea602b5746ce096ff6338c9f35fbea68172b58f684d1</t>
        </is>
      </c>
      <c r="N100" s="2" t="inlineStr">
        <is>
          <t>2027</t>
        </is>
      </c>
      <c r="O100" s="2" t="inlineStr">
        <is>
          <t>2026-10-14</t>
        </is>
      </c>
      <c r="P100" s="2" t="inlineStr">
        <is>
          <t>Aktuellster Planungsstand Erfolgsrechnung/Investitionen</t>
        </is>
      </c>
      <c r="Q100" s="2" t="inlineStr"/>
      <c r="R100" s="2" t="inlineStr"/>
      <c r="S100" s="2" t="inlineStr">
        <is>
          <t>Kanton × Grössenklasse</t>
        </is>
      </c>
      <c r="T100" s="2" t="inlineStr">
        <is>
          <t>Noch nicht bewertet</t>
        </is>
      </c>
      <c r="U100" s="2" t="inlineStr">
        <is>
          <t>Hoch</t>
        </is>
      </c>
      <c r="V100" s="2" t="inlineStr"/>
      <c r="W100" s="2" t="inlineStr"/>
      <c r="X100" s="2" t="inlineStr"/>
      <c r="Y100" s="2" t="inlineStr">
        <is>
          <t>Dokument auswerten; Aktualität und Geltung prüfen</t>
        </is>
      </c>
      <c r="Z100" s="2" t="inlineStr">
        <is>
          <t>Automatische Recherche GitHub Actions (Discovery), Fundstelle siehe Spalte Offizielle Fundstelle</t>
        </is>
      </c>
      <c r="AA100" s="2" t="inlineStr"/>
      <c r="AB100" s="2" t="inlineStr"/>
      <c r="AC100" s="5" t="inlineStr">
        <is>
          <t>https://www.stadtwil.ch/topics/stadt-politik-und-recht/finanzen</t>
        </is>
      </c>
      <c r="AD100" s="2" t="inlineStr">
        <is>
          <t>Verifiziert</t>
        </is>
      </c>
      <c r="AE100" s="2" t="inlineStr">
        <is>
          <t>200</t>
        </is>
      </c>
      <c r="AF100" s="2" t="inlineStr"/>
      <c r="AG100" s="2" t="inlineStr">
        <is>
          <t>PDF</t>
        </is>
      </c>
      <c r="AH100" s="2" t="inlineStr">
        <is>
          <t>Bestätigt</t>
        </is>
      </c>
      <c r="AI100" s="2" t="inlineStr">
        <is>
          <t>Schlüsselwörter 2/2 gefunden (Budget, 2027); Ort/Zuständigkeit: Wil</t>
        </is>
      </c>
      <c r="AJ100" s="2" t="inlineStr">
        <is>
          <t>Budget 2027</t>
        </is>
      </c>
      <c r="AK100" s="2" t="inlineStr">
        <is>
          <t>2027, 2026, 2030, 2025, 2024, 2023</t>
        </is>
      </c>
      <c r="AL100" s="2" t="inlineStr">
        <is>
          <t>Mittel (Webseite)</t>
        </is>
      </c>
      <c r="AM100" s="2" t="inlineStr">
        <is>
          <t>2026-10-14 13:55</t>
        </is>
      </c>
      <c r="AN100" s="2" t="inlineStr">
        <is>
          <t>Öffentlich verfügbar und verifiziert</t>
        </is>
      </c>
      <c r="AO100" s="2" t="inlineStr">
        <is>
          <t>2027</t>
        </is>
      </c>
      <c r="AP100" s="2" t="inlineStr">
        <is>
          <t>Belegt Existenz und Zugänglichkeit der Quelle; inhaltliche Aussagen erst nach Auswertung.</t>
        </is>
      </c>
      <c r="AQ100" s="2" t="inlineStr">
        <is>
          <t>Keine Einstufung: Kennzahlen/Befunde noch nicht ausgewertet; Schwellen der Bewertungslogik noch nicht validiert.</t>
        </is>
      </c>
      <c r="AR100" s="2" t="inlineStr">
        <is>
          <t>Nein</t>
        </is>
      </c>
      <c r="AS100" s="2" t="inlineStr">
        <is>
          <t>Gemeindeverwaltung Wil</t>
        </is>
      </c>
      <c r="AT100" s="2" t="inlineStr">
        <is>
          <t>In Prüfung</t>
        </is>
      </c>
      <c r="AU100" s="2" t="inlineStr">
        <is>
          <t>Beschlussstand prüfen.</t>
        </is>
      </c>
      <c r="AV100" s="2" t="inlineStr"/>
      <c r="AW100" s="2" t="inlineStr">
        <is>
          <t>2026-10-14: neu aufgenommen</t>
        </is>
      </c>
    </row>
    <row r="101" ht="43" customHeight="1">
      <c r="A101" s="3" t="inlineStr">
        <is>
          <t>WIL-C1-11</t>
        </is>
      </c>
      <c r="B101" s="15" t="inlineStr">
        <is>
          <t>Gemeinde</t>
        </is>
      </c>
      <c r="C101" s="3" t="inlineStr">
        <is>
          <t>Schweiz</t>
        </is>
      </c>
      <c r="D101" s="3" t="inlineStr">
        <is>
          <t>St. Gallen</t>
        </is>
      </c>
      <c r="E101" s="3" t="inlineStr">
        <is>
          <t>Wil</t>
        </is>
      </c>
      <c r="F101" s="3" t="inlineStr">
        <is>
          <t>C1</t>
        </is>
      </c>
      <c r="G101" s="3" t="inlineStr">
        <is>
          <t>Finanzplanung</t>
        </is>
      </c>
      <c r="H101" s="3" t="inlineStr">
        <is>
          <t>Finanzplan 2025–2029 der Stadt Wil (Vorjahresplan für Vergleich)</t>
        </is>
      </c>
      <c r="I101" s="3" t="inlineStr">
        <is>
          <t>Finanzplan</t>
        </is>
      </c>
      <c r="J101" s="3" t="inlineStr">
        <is>
          <t>Direktes Dokument</t>
        </is>
      </c>
      <c r="K101" s="3" t="inlineStr">
        <is>
          <t>Planungsinstrument</t>
        </is>
      </c>
      <c r="L101" s="3" t="inlineStr">
        <is>
          <t>Stadt Wil</t>
        </is>
      </c>
      <c r="M101" s="7" t="inlineStr">
        <is>
          <t>https://www.stadtwil.ch/storage/c7e05a885ee1a6860975358848101c3f21fe558650ccfc5ba12339d34d3232e9</t>
        </is>
      </c>
      <c r="N101" s="3" t="inlineStr">
        <is>
          <t>2025–2029 (historisch)</t>
        </is>
      </c>
      <c r="O101" s="3" t="inlineStr">
        <is>
          <t>2026-10-14</t>
        </is>
      </c>
      <c r="P101" s="3" t="inlineStr">
        <is>
          <t>Plan-Ist-Vergleich der Planungsgüte</t>
        </is>
      </c>
      <c r="Q101" s="3" t="inlineStr"/>
      <c r="R101" s="3" t="inlineStr"/>
      <c r="S101" s="3" t="inlineStr">
        <is>
          <t>Kanton × Grössenklasse</t>
        </is>
      </c>
      <c r="T101" s="3" t="inlineStr">
        <is>
          <t>Noch nicht bewertet</t>
        </is>
      </c>
      <c r="U101" s="3" t="inlineStr">
        <is>
          <t>Mittel</t>
        </is>
      </c>
      <c r="V101" s="3" t="inlineStr"/>
      <c r="W101" s="3" t="inlineStr"/>
      <c r="X101" s="3" t="inlineStr"/>
      <c r="Y101" s="3" t="inlineStr">
        <is>
          <t>Dokument auswerten; Aktualität und Geltung prüfen</t>
        </is>
      </c>
      <c r="Z101" s="3" t="inlineStr">
        <is>
          <t>Automatische Recherche GitHub Actions (Discovery), Fundstelle siehe Spalte Offizielle Fundstelle</t>
        </is>
      </c>
      <c r="AA101" s="3" t="inlineStr"/>
      <c r="AB101" s="3" t="inlineStr"/>
      <c r="AC101" s="7" t="inlineStr">
        <is>
          <t>https://www.stadtwil.ch/topics/stadt-politik-und-recht/finanzen</t>
        </is>
      </c>
      <c r="AD101" s="3" t="inlineStr">
        <is>
          <t>Verifiziert</t>
        </is>
      </c>
      <c r="AE101" s="3" t="inlineStr">
        <is>
          <t>200</t>
        </is>
      </c>
      <c r="AF101" s="3" t="inlineStr"/>
      <c r="AG101" s="3" t="inlineStr">
        <is>
          <t>PDF</t>
        </is>
      </c>
      <c r="AH101" s="3" t="inlineStr">
        <is>
          <t>Bestätigt</t>
        </is>
      </c>
      <c r="AI101" s="3" t="inlineStr">
        <is>
          <t>Schlüsselwörter 2/2 gefunden (Finanzplan, 2029); Ort/Zuständigkeit: Wil</t>
        </is>
      </c>
      <c r="AJ101" s="3" t="inlineStr">
        <is>
          <t>Finanzplan 2025 – 2029</t>
        </is>
      </c>
      <c r="AK101" s="3" t="inlineStr">
        <is>
          <t>2025, 2029, 2024, 2026, 2028, 2023</t>
        </is>
      </c>
      <c r="AL101" s="3" t="inlineStr">
        <is>
          <t>Mittel (Webseite)</t>
        </is>
      </c>
      <c r="AM101" s="3" t="inlineStr">
        <is>
          <t>2026-10-14 13:55</t>
        </is>
      </c>
      <c r="AN101" s="3" t="inlineStr">
        <is>
          <t>Öffentlich verfügbar und verifiziert</t>
        </is>
      </c>
      <c r="AO101" s="3" t="inlineStr">
        <is>
          <t>2025–2029 (historisch)</t>
        </is>
      </c>
      <c r="AP101" s="3" t="inlineStr">
        <is>
          <t>Belegt Existenz und Zugänglichkeit der Quelle; inhaltliche Aussagen erst nach Auswertung.</t>
        </is>
      </c>
      <c r="AQ101" s="3" t="inlineStr">
        <is>
          <t>Keine Einstufung: Kennzahlen/Befunde noch nicht ausgewertet; Schwellen der Bewertungslogik noch nicht validiert.</t>
        </is>
      </c>
      <c r="AR101" s="3" t="inlineStr">
        <is>
          <t>Nein</t>
        </is>
      </c>
      <c r="AS101" s="3" t="inlineStr">
        <is>
          <t>Gemeindeverwaltung Wil</t>
        </is>
      </c>
      <c r="AT101" s="3" t="inlineStr">
        <is>
          <t>In Prüfung</t>
        </is>
      </c>
      <c r="AU101" s="3" t="inlineStr"/>
      <c r="AV101" s="3" t="inlineStr"/>
      <c r="AW101" s="3" t="inlineStr">
        <is>
          <t>2026-10-14: neu aufgenommen</t>
        </is>
      </c>
    </row>
    <row r="102" ht="43" customHeight="1">
      <c r="A102" s="2" t="inlineStr">
        <is>
          <t>WIL-C2-01</t>
        </is>
      </c>
      <c r="B102" s="15" t="inlineStr">
        <is>
          <t>Gemeinde</t>
        </is>
      </c>
      <c r="C102" s="2" t="inlineStr">
        <is>
          <t>Schweiz</t>
        </is>
      </c>
      <c r="D102" s="2" t="inlineStr">
        <is>
          <t>St. Gallen</t>
        </is>
      </c>
      <c r="E102" s="2" t="inlineStr">
        <is>
          <t>Wil</t>
        </is>
      </c>
      <c r="F102" s="2" t="inlineStr">
        <is>
          <t>C2</t>
        </is>
      </c>
      <c r="G102" s="2" t="inlineStr">
        <is>
          <t>Boden / Liegenschaften</t>
        </is>
      </c>
      <c r="H102" s="2" t="inlineStr">
        <is>
          <t>Nachtrag IV zur Gemeindeordnung (Finanzbefugnisse Liegenschaftsgeschäfte im Finanzvermögen) – kommunale Abstimmung 24.11.2024</t>
        </is>
      </c>
      <c r="I102" s="2" t="inlineStr">
        <is>
          <t>Abstimmungsseite / Resultat</t>
        </is>
      </c>
      <c r="J102" s="2" t="inlineStr">
        <is>
          <t>Webseite</t>
        </is>
      </c>
      <c r="K102" s="2" t="inlineStr">
        <is>
          <t>Volksentscheid (Ergebnis auf Seite prüfen)</t>
        </is>
      </c>
      <c r="L102" s="2" t="inlineStr">
        <is>
          <t>Gemeinde Wil</t>
        </is>
      </c>
      <c r="M102" s="5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nachtrag-iv-zur-gemeindeordnung</t>
        </is>
      </c>
      <c r="N102" s="2" t="inlineStr">
        <is>
          <t>2024</t>
        </is>
      </c>
      <c r="O102" s="2" t="inlineStr">
        <is>
          <t>2026-10-14</t>
        </is>
      </c>
      <c r="P102" s="2" t="inlineStr">
        <is>
          <t>Kompetenzordnung für aktive Bodenpolitik (Kauf/Verkauf im Finanzvermögen) und Volksentscheid dazu</t>
        </is>
      </c>
      <c r="Q102" s="2" t="inlineStr">
        <is>
          <t>Baurechte, Grundstücke, Eigentümerstrategie</t>
        </is>
      </c>
      <c r="R102" s="2" t="inlineStr">
        <is>
          <t>Grundstücksliste / Bilanzanlagen ergänzen</t>
        </is>
      </c>
      <c r="S102" s="2" t="inlineStr">
        <is>
          <t>Kein Peer</t>
        </is>
      </c>
      <c r="T102" s="2" t="inlineStr">
        <is>
          <t>Noch nicht bewertet</t>
        </is>
      </c>
      <c r="U102" s="2" t="inlineStr">
        <is>
          <t>Mittel</t>
        </is>
      </c>
      <c r="V102" s="2" t="inlineStr">
        <is>
          <t>Konkrete kommunale Unterlagen / Datensatz nachfordern</t>
        </is>
      </c>
      <c r="W102" s="2" t="inlineStr">
        <is>
          <t>B; Q1</t>
        </is>
      </c>
      <c r="X102" s="2" t="inlineStr">
        <is>
          <t>Bodenverfügbarkeit</t>
        </is>
      </c>
      <c r="Y102" s="2" t="inlineStr">
        <is>
          <t>Dokument auswerten; Aktualität und Geltung prüfen</t>
        </is>
      </c>
      <c r="Z102" s="2" t="inlineStr">
        <is>
          <t>Automatische Recherche GitHub Actions (Discovery), Fundstelle siehe Spalte Offizielle Fundstelle</t>
        </is>
      </c>
      <c r="AA102" s="2" t="inlineStr">
        <is>
          <t>C5</t>
        </is>
      </c>
      <c r="AB102" s="2" t="inlineStr"/>
      <c r="AC102" s="5" t="inlineStr">
        <is>
          <t>https://www.stadtwil.ch/topics/stadt-politik-und-recht/abstimmungen-und-wahlen/vorlagen/kommunale-vorlagen/22-11-2024-nachtrag-iv-zur-gemeindeordnung</t>
        </is>
      </c>
      <c r="AD102" s="2" t="inlineStr">
        <is>
          <t>Verifiziert</t>
        </is>
      </c>
      <c r="AE102" s="2" t="inlineStr">
        <is>
          <t>200 (HEAD 405)</t>
        </is>
      </c>
      <c r="AF102" s="2" t="inlineStr"/>
      <c r="AG102" s="2" t="inlineStr">
        <is>
          <t>HTML</t>
        </is>
      </c>
      <c r="AH102" s="2" t="inlineStr">
        <is>
          <t>Bestätigt</t>
        </is>
      </c>
      <c r="AI102" s="2" t="inlineStr">
        <is>
          <t>Schlüsselwörter 1/1 gefunden (Nachtrag IV); Ort/Zuständigkeit: Wil</t>
        </is>
      </c>
      <c r="AJ102" s="2" t="inlineStr">
        <is>
          <t>Nachtrag IV zur Gemeindeordnung | Nachtrag IV zur Gemeindeordnung</t>
        </is>
      </c>
      <c r="AK102" s="2" t="inlineStr">
        <is>
          <t>2024, 2025, 2026, 2023, 2028, 2027</t>
        </is>
      </c>
      <c r="AL102" s="2" t="inlineStr">
        <is>
          <t>Mittel (Webseite)</t>
        </is>
      </c>
      <c r="AM102" s="2" t="inlineStr">
        <is>
          <t>2026-10-14 13:53</t>
        </is>
      </c>
      <c r="AN102" s="2" t="inlineStr">
        <is>
          <t>Öffentlich verfügbar und verifiziert</t>
        </is>
      </c>
      <c r="AO102" s="2" t="inlineStr">
        <is>
          <t>2024</t>
        </is>
      </c>
      <c r="AP102" s="2" t="inlineStr">
        <is>
          <t>Belegt Existenz und Zugänglichkeit der Quelle; inhaltliche Aussagen erst nach Auswertung.</t>
        </is>
      </c>
      <c r="AQ102" s="2" t="inlineStr">
        <is>
          <t>Keine Einstufung: Kennzahlen/Befunde noch nicht ausgewertet; Schwellen der Bewertungslogik noch nicht validiert.</t>
        </is>
      </c>
      <c r="AR102" s="2" t="inlineStr">
        <is>
          <t>Ja</t>
        </is>
      </c>
      <c r="AS102" s="2" t="inlineStr">
        <is>
          <t>Gemeindeverwaltung Wil</t>
        </is>
      </c>
      <c r="AT102" s="2" t="inlineStr">
        <is>
          <t>In Prüfung</t>
        </is>
      </c>
      <c r="AU102" s="2" t="inlineStr">
        <is>
          <t>Zuerst gefundener Bericht (stadtwil.ch/_doc/4801870) liefert HTTP 404 (CMS-Umstellung).</t>
        </is>
      </c>
      <c r="AV102" s="2" t="inlineStr"/>
      <c r="AW102" s="2" t="inlineStr">
        <is>
          <t>2026-10-14: Link ersetzt (vorher https://www.stadtwil.ch/political-businesses). Grund: Geschäftsregister-Startseite durch direktes Dokument zur Bodenpolitik ersetzt.</t>
        </is>
      </c>
    </row>
    <row r="103" ht="43" customHeight="1">
      <c r="A103" s="3" t="inlineStr">
        <is>
          <t>WIL-C2-03</t>
        </is>
      </c>
      <c r="B103" s="15" t="inlineStr">
        <is>
          <t>Gemeinde</t>
        </is>
      </c>
      <c r="C103" s="3" t="inlineStr">
        <is>
          <t>Schweiz</t>
        </is>
      </c>
      <c r="D103" s="3" t="inlineStr">
        <is>
          <t>St. Gallen</t>
        </is>
      </c>
      <c r="E103" s="3" t="inlineStr">
        <is>
          <t>Wil</t>
        </is>
      </c>
      <c r="F103" s="3" t="inlineStr">
        <is>
          <t>C2</t>
        </is>
      </c>
      <c r="G103" s="3" t="inlineStr">
        <is>
          <t>Bodenpolitik</t>
        </is>
      </c>
      <c r="H103" s="3" t="inlineStr">
        <is>
          <t>Stadt Wil: aktive Bodenpolitik / Boden- und Immobilienstrategie</t>
        </is>
      </c>
      <c r="I103" s="3" t="inlineStr">
        <is>
          <t>Strategie / Bericht</t>
        </is>
      </c>
      <c r="J103" s="3" t="inlineStr">
        <is>
          <t>Direktes Dokument</t>
        </is>
      </c>
      <c r="K103" s="3" t="inlineStr">
        <is>
          <t>Strategie</t>
        </is>
      </c>
      <c r="L103" s="3" t="inlineStr">
        <is>
          <t>Stadt Wil</t>
        </is>
      </c>
      <c r="M103" s="7" t="inlineStr">
        <is>
          <t>https://www.stadtwil.ch/storage/1e396670eed23bbd41611d92ceaa476797bc97e16fde09c29197453c3b3bc320</t>
        </is>
      </c>
      <c r="N103" s="3" t="inlineStr"/>
      <c r="O103" s="3" t="inlineStr">
        <is>
          <t>2026-10-14</t>
        </is>
      </c>
      <c r="P103" s="3" t="inlineStr"/>
      <c r="Q103" s="3" t="inlineStr"/>
      <c r="R103" s="3" t="inlineStr"/>
      <c r="S103" s="3" t="inlineStr">
        <is>
          <t>Kein Peer-Vergleich</t>
        </is>
      </c>
      <c r="T103" s="3" t="inlineStr">
        <is>
          <t>Noch nicht bewertet</t>
        </is>
      </c>
      <c r="U103" s="3" t="inlineStr">
        <is>
          <t>Niedrig</t>
        </is>
      </c>
      <c r="V103" s="3" t="inlineStr"/>
      <c r="W103" s="3" t="inlineStr"/>
      <c r="X103" s="3" t="inlineStr"/>
      <c r="Y103" s="3" t="inlineStr">
        <is>
          <t>Dokument auswerten; Aktualität und Geltung prüfen</t>
        </is>
      </c>
      <c r="Z103" s="3" t="inlineStr">
        <is>
          <t>Websuche 14.10.2026 (URL im Suchergebnis gefunden)</t>
        </is>
      </c>
      <c r="AA103" s="3" t="inlineStr"/>
      <c r="AB103" s="3" t="inlineStr"/>
      <c r="AC103" s="3" t="inlineStr"/>
      <c r="AD103" s="3" t="inlineStr">
        <is>
          <t>Verifiziert</t>
        </is>
      </c>
      <c r="AE103" s="3" t="inlineStr">
        <is>
          <t>200</t>
        </is>
      </c>
      <c r="AF103" s="3" t="inlineStr"/>
      <c r="AG103" s="3" t="inlineStr">
        <is>
          <t>PDF</t>
        </is>
      </c>
      <c r="AH103" s="3" t="inlineStr">
        <is>
          <t>Bestätigt</t>
        </is>
      </c>
      <c r="AI103" s="3" t="inlineStr">
        <is>
          <t>Schlüsselwörter 1/1 gefunden (Bodenpolitik); Ort/Zuständigkeit: Wil</t>
        </is>
      </c>
      <c r="AJ103" s="3" t="inlineStr">
        <is>
          <t>141 g)gE TI1lll11 1lll\ 1:) T W I L</t>
        </is>
      </c>
      <c r="AK103" s="3" t="inlineStr">
        <is>
          <t>2020, 2017, 2016, 2018, 2019, 2021</t>
        </is>
      </c>
      <c r="AL103" s="3" t="inlineStr">
        <is>
          <t>Mittel (Webseite)</t>
        </is>
      </c>
      <c r="AM103" s="3" t="inlineStr">
        <is>
          <t>2026-10-14 13:55</t>
        </is>
      </c>
      <c r="AN103" s="3" t="inlineStr">
        <is>
          <t>Öffentlich verfügbar und verifiziert</t>
        </is>
      </c>
      <c r="AO103" s="3" t="inlineStr"/>
      <c r="AP103" s="3" t="inlineStr">
        <is>
          <t>Belegt Existenz und Zugänglichkeit der Quelle; inhaltliche Aussagen erst nach Auswertung.</t>
        </is>
      </c>
      <c r="AQ103" s="3" t="inlineStr">
        <is>
          <t>Keine Einstufung: Kennzahlen/Befunde noch nicht ausgewertet; Schwellen der Bewertungslogik noch nicht validiert.</t>
        </is>
      </c>
      <c r="AR103" s="3" t="inlineStr">
        <is>
          <t>Ja</t>
        </is>
      </c>
      <c r="AS103" s="3" t="inlineStr">
        <is>
          <t>Gemeindeverwaltung Wil</t>
        </is>
      </c>
      <c r="AT103" s="3" t="inlineStr">
        <is>
          <t>In Prüfung</t>
        </is>
      </c>
      <c r="AU103" s="3" t="inlineStr">
        <is>
          <t>Unsichere Zuordnung (Suchzusammenfassung).</t>
        </is>
      </c>
      <c r="AV103" s="3" t="inlineStr"/>
      <c r="AW103" s="3" t="inlineStr">
        <is>
          <t>2026-10-14: neu aufgenommen</t>
        </is>
      </c>
    </row>
    <row r="104" ht="43" customHeight="1">
      <c r="A104" s="2" t="inlineStr">
        <is>
          <t>WIL-C3-01</t>
        </is>
      </c>
      <c r="B104" s="15" t="inlineStr">
        <is>
          <t>Gemeinde</t>
        </is>
      </c>
      <c r="C104" s="2" t="inlineStr">
        <is>
          <t>Schweiz</t>
        </is>
      </c>
      <c r="D104" s="2" t="inlineStr">
        <is>
          <t>St. Gallen</t>
        </is>
      </c>
      <c r="E104" s="2" t="inlineStr">
        <is>
          <t>Wil</t>
        </is>
      </c>
      <c r="F104" s="2" t="inlineStr">
        <is>
          <t>C3</t>
        </is>
      </c>
      <c r="G104" s="2" t="inlineStr">
        <is>
          <t>Trägerschaften</t>
        </is>
      </c>
      <c r="H104" s="2" t="inlineStr">
        <is>
          <t>Stadt Wil: Rechtssammlung (Gemeindeordnung, Beteiligungsreglement, TBW-Reglement u. a.)</t>
        </is>
      </c>
      <c r="I104" s="2" t="inlineStr">
        <is>
          <t>Rechtssammlung</t>
        </is>
      </c>
      <c r="J104" s="2" t="inlineStr">
        <is>
          <t>Übersichtsseite</t>
        </is>
      </c>
      <c r="K104" s="2" t="inlineStr">
        <is>
          <t>Kommunales Recht (Sammlung)</t>
        </is>
      </c>
      <c r="L104" s="2" t="inlineStr">
        <is>
          <t>Gemeinde Wil</t>
        </is>
      </c>
      <c r="M104" s="5" t="inlineStr">
        <is>
          <t>https://www.stadtwil.ch/topics/stadt-politik-und-recht/rechtssammlung-1</t>
        </is>
      </c>
      <c r="N104" s="2" t="inlineStr">
        <is>
          <t>Zu prüfen</t>
        </is>
      </c>
      <c r="O104" s="2" t="inlineStr">
        <is>
          <t>2026-10-14</t>
        </is>
      </c>
      <c r="P104" s="2" t="inlineStr">
        <is>
          <t>Dokumentierte Leistungsvereinbarungen und Eignerstrategien</t>
        </is>
      </c>
      <c r="Q104" s="2" t="inlineStr">
        <is>
          <t>Kooperationen, Beteiligungen, Leistungsaufträge</t>
        </is>
      </c>
      <c r="R104" s="2" t="inlineStr">
        <is>
          <t>Trägerschaftslandkarte erstellen</t>
        </is>
      </c>
      <c r="S104" s="2" t="inlineStr">
        <is>
          <t>Qualitativ</t>
        </is>
      </c>
      <c r="T104" s="2" t="inlineStr">
        <is>
          <t>Noch nicht bewertet</t>
        </is>
      </c>
      <c r="U104" s="2" t="inlineStr">
        <is>
          <t>Mittel</t>
        </is>
      </c>
      <c r="V104" s="2" t="inlineStr">
        <is>
          <t>Konkrete kommunale Unterlagen / Datensatz nachfordern</t>
        </is>
      </c>
      <c r="W104" s="2" t="inlineStr">
        <is>
          <t>C2; C5</t>
        </is>
      </c>
      <c r="X104" s="2" t="inlineStr">
        <is>
          <t>Modulträgerschaft</t>
        </is>
      </c>
      <c r="Y104" s="2" t="inlineStr">
        <is>
          <t>Dokument auswerten; Aktualität und Geltung prüfen</t>
        </is>
      </c>
      <c r="Z104" s="2" t="inlineStr">
        <is>
          <t>Automatische Recherche GitHub Actions (Discovery), Fundstelle siehe Spalte Offizielle Fundstelle</t>
        </is>
      </c>
      <c r="AA104" s="2" t="inlineStr"/>
      <c r="AB104" s="2" t="inlineStr"/>
      <c r="AC104" s="2" t="inlineStr"/>
      <c r="AD104" s="2" t="inlineStr">
        <is>
          <t>Verifiziert</t>
        </is>
      </c>
      <c r="AE104" s="2" t="inlineStr">
        <is>
          <t>200 (HEAD 405)</t>
        </is>
      </c>
      <c r="AF104" s="2" t="inlineStr"/>
      <c r="AG104" s="2" t="inlineStr">
        <is>
          <t>HTML</t>
        </is>
      </c>
      <c r="AH104" s="2" t="inlineStr">
        <is>
          <t>Bestätigt</t>
        </is>
      </c>
      <c r="AI104" s="2" t="inlineStr">
        <is>
          <t>Schlüsselwörter 1/1 gefunden (Rechtssammlung); Ort/Zuständigkeit: Wil</t>
        </is>
      </c>
      <c r="AJ104" s="2" t="inlineStr">
        <is>
          <t>Rechtssammlung | Rechtssammlung</t>
        </is>
      </c>
      <c r="AK104" s="2" t="inlineStr">
        <is>
          <t>2024, 2025, 2026, 2023, 2028, 2027</t>
        </is>
      </c>
      <c r="AL104" s="2" t="inlineStr">
        <is>
          <t>Mittel (Webseite)</t>
        </is>
      </c>
      <c r="AM104" s="2" t="inlineStr">
        <is>
          <t>2026-10-14 13:54</t>
        </is>
      </c>
      <c r="AN104" s="2" t="inlineStr">
        <is>
          <t>Öffentlich verfügbar und verifiziert</t>
        </is>
      </c>
      <c r="AO104" s="2" t="inlineStr">
        <is>
          <t>Zu prüfen</t>
        </is>
      </c>
      <c r="AP104" s="2" t="inlineStr">
        <is>
          <t>Belegt Existenz und Zugänglichkeit der Quelle; inhaltliche Aussagen erst nach Auswertung.</t>
        </is>
      </c>
      <c r="AQ104" s="2" t="inlineStr">
        <is>
          <t>Keine Einstufung: Kennzahlen/Befunde noch nicht ausgewertet; Schwellen der Bewertungslogik noch nicht validiert.</t>
        </is>
      </c>
      <c r="AR104" s="2" t="inlineStr">
        <is>
          <t>Ja</t>
        </is>
      </c>
      <c r="AS104" s="2" t="inlineStr">
        <is>
          <t>Gemeindeverwaltung Wil</t>
        </is>
      </c>
      <c r="AT104" s="2" t="inlineStr">
        <is>
          <t>In Prüfung</t>
        </is>
      </c>
      <c r="AU104" s="2" t="inlineStr">
        <is>
          <t>Direktlinks zu Einzelerlassen siehe weitere C3-Zeilen; Suchtreffer /_doc/… liefern HTTP 404.</t>
        </is>
      </c>
      <c r="AV104" s="2" t="inlineStr"/>
      <c r="AW104" s="2" t="inlineStr">
        <is>
          <t>2026-10-14: Link ersetzt (vorher https://www.stadtwil.ch/political-businesses). Grund: Geschäftsregister-Startseite durch Rechtssammlung der Stadt ersetzt.</t>
        </is>
      </c>
    </row>
    <row r="105" ht="43" customHeight="1">
      <c r="A105" s="3" t="inlineStr">
        <is>
          <t>WIL-C3-04</t>
        </is>
      </c>
      <c r="B105" s="15" t="inlineStr">
        <is>
          <t>Gemeinde</t>
        </is>
      </c>
      <c r="C105" s="3" t="inlineStr">
        <is>
          <t>Schweiz</t>
        </is>
      </c>
      <c r="D105" s="3" t="inlineStr">
        <is>
          <t>St. Gallen</t>
        </is>
      </c>
      <c r="E105" s="3" t="inlineStr">
        <is>
          <t>Wil</t>
        </is>
      </c>
      <c r="F105" s="3" t="inlineStr">
        <is>
          <t>C3</t>
        </is>
      </c>
      <c r="G105" s="3" t="inlineStr">
        <is>
          <t>Agglomeration</t>
        </is>
      </c>
      <c r="H105" s="3" t="inlineStr">
        <is>
          <t>Prüfbericht des Bundes zum Agglomerationsprogramm Wil, 4. Generation (22.2.2023)</t>
        </is>
      </c>
      <c r="I105" s="3" t="inlineStr">
        <is>
          <t>Prüfbericht</t>
        </is>
      </c>
      <c r="J105" s="3" t="inlineStr">
        <is>
          <t>Direktes Dokument</t>
        </is>
      </c>
      <c r="K105" s="3" t="inlineStr">
        <is>
          <t>Bundesbeurteilung</t>
        </is>
      </c>
      <c r="L105" s="3" t="inlineStr">
        <is>
          <t>Bundesamt für Raumentwicklung (ARE)</t>
        </is>
      </c>
      <c r="M105" s="7" t="inlineStr">
        <is>
          <t>https://www.are.admin.ch/dam/de/sd-web/1LGAXN34JMxU/Pr%C3%BCfbericht%20Wil4G.pdf</t>
        </is>
      </c>
      <c r="N105" s="3" t="inlineStr">
        <is>
          <t>2023</t>
        </is>
      </c>
      <c r="O105" s="3" t="inlineStr">
        <is>
          <t>2026-10-14</t>
        </is>
      </c>
      <c r="P105" s="3" t="inlineStr">
        <is>
          <t>Regionale Trägerschaft und Umsetzungsreife (Regio Wil)</t>
        </is>
      </c>
      <c r="Q105" s="3" t="inlineStr"/>
      <c r="R105" s="3" t="inlineStr"/>
      <c r="S105" s="3" t="inlineStr">
        <is>
          <t>Kein Peer-Vergleich</t>
        </is>
      </c>
      <c r="T105" s="3" t="inlineStr">
        <is>
          <t>Noch nicht bewertet</t>
        </is>
      </c>
      <c r="U105" s="3" t="inlineStr">
        <is>
          <t>Hoch</t>
        </is>
      </c>
      <c r="V105" s="3" t="inlineStr"/>
      <c r="W105" s="3" t="inlineStr">
        <is>
          <t>B</t>
        </is>
      </c>
      <c r="X105" s="3" t="inlineStr"/>
      <c r="Y105" s="3" t="inlineStr">
        <is>
          <t>Dokument auswerten; Aktualität und Geltung prüfen</t>
        </is>
      </c>
      <c r="Z105" s="3" t="inlineStr">
        <is>
          <t>Websuche 14.10.2026 (URL im Suchergebnis gefunden)</t>
        </is>
      </c>
      <c r="AA105" s="3" t="inlineStr"/>
      <c r="AB105" s="3" t="inlineStr"/>
      <c r="AC105" s="3" t="inlineStr"/>
      <c r="AD105" s="3" t="inlineStr">
        <is>
          <t>Verifiziert</t>
        </is>
      </c>
      <c r="AE105" s="3" t="inlineStr">
        <is>
          <t>200</t>
        </is>
      </c>
      <c r="AF105" s="3" t="inlineStr"/>
      <c r="AG105" s="3" t="inlineStr">
        <is>
          <t>PDF</t>
        </is>
      </c>
      <c r="AH105" s="3" t="inlineStr">
        <is>
          <t>Bestätigt</t>
        </is>
      </c>
      <c r="AI105" s="3" t="inlineStr">
        <is>
          <t>Schlüsselwörter 2/2 gefunden (Prüfbericht, Agglomerationsprogramm); Ort/Zuständigkeit: Wil</t>
        </is>
      </c>
      <c r="AJ105" s="3" t="inlineStr">
        <is>
          <t>Eidgenössisches Departement für Umwelt, Verkehr,</t>
        </is>
      </c>
      <c r="AK105" s="3" t="inlineStr">
        <is>
          <t>2020, 2021, 2024, 2028, 2023, 2027</t>
        </is>
      </c>
      <c r="AL105" s="3" t="inlineStr">
        <is>
          <t>Mittel (CMS-Dokumentlink)</t>
        </is>
      </c>
      <c r="AM105" s="3" t="inlineStr">
        <is>
          <t>2026-10-14 13:56</t>
        </is>
      </c>
      <c r="AN105" s="3" t="inlineStr">
        <is>
          <t>Öffentlich verfügbar und verifiziert</t>
        </is>
      </c>
      <c r="AO105" s="3" t="inlineStr">
        <is>
          <t>2023</t>
        </is>
      </c>
      <c r="AP105" s="3" t="inlineStr">
        <is>
          <t>Belegt Existenz und Zugänglichkeit der Quelle; inhaltliche Aussagen erst nach Auswertung.</t>
        </is>
      </c>
      <c r="AQ105" s="3" t="inlineStr">
        <is>
          <t>Keine Einstufung: Kennzahlen/Befunde noch nicht ausgewertet; Schwellen der Bewertungslogik noch nicht validiert.</t>
        </is>
      </c>
      <c r="AR105" s="3" t="inlineStr">
        <is>
          <t>Ja</t>
        </is>
      </c>
      <c r="AS105" s="3" t="inlineStr">
        <is>
          <t>Gemeindeverwaltung Wil</t>
        </is>
      </c>
      <c r="AT105" s="3" t="inlineStr">
        <is>
          <t>In Prüfung</t>
        </is>
      </c>
      <c r="AU105" s="3" t="inlineStr"/>
      <c r="AV105" s="3" t="inlineStr"/>
      <c r="AW105" s="3" t="inlineStr">
        <is>
          <t>2026-10-14: neu aufgenommen</t>
        </is>
      </c>
    </row>
    <row r="106" ht="43" customHeight="1">
      <c r="A106" s="2" t="inlineStr">
        <is>
          <t>WIL-C3-05</t>
        </is>
      </c>
      <c r="B106" s="15" t="inlineStr">
        <is>
          <t>Gemeinde</t>
        </is>
      </c>
      <c r="C106" s="2" t="inlineStr">
        <is>
          <t>Schweiz</t>
        </is>
      </c>
      <c r="D106" s="2" t="inlineStr">
        <is>
          <t>St. Gallen</t>
        </is>
      </c>
      <c r="E106" s="2" t="inlineStr">
        <is>
          <t>Wil</t>
        </is>
      </c>
      <c r="F106" s="2" t="inlineStr">
        <is>
          <t>C3</t>
        </is>
      </c>
      <c r="G106" s="2" t="inlineStr">
        <is>
          <t>Agglomeration</t>
        </is>
      </c>
      <c r="H106" s="2" t="inlineStr">
        <is>
          <t>Agglomerationsprogramm Wil 5. Generation – Flyer</t>
        </is>
      </c>
      <c r="I106" s="2" t="inlineStr">
        <is>
          <t>Informationsblatt</t>
        </is>
      </c>
      <c r="J106" s="2" t="inlineStr">
        <is>
          <t>Direktes Dokument</t>
        </is>
      </c>
      <c r="K106" s="2" t="inlineStr">
        <is>
          <t>Information</t>
        </is>
      </c>
      <c r="L106" s="2" t="inlineStr">
        <is>
          <t>Kanton St. Gallen / Regio Wil</t>
        </is>
      </c>
      <c r="M106" s="5" t="inlineStr">
        <is>
          <t>https://www.sg.ch/content/dam/sgch/bauen/raumentwicklung/agglomerationsprogramme/Wil%20Flyer%205G.pdf</t>
        </is>
      </c>
      <c r="N106" s="2" t="inlineStr">
        <is>
          <t>2025</t>
        </is>
      </c>
      <c r="O106" s="2" t="inlineStr">
        <is>
          <t>2026-10-14</t>
        </is>
      </c>
      <c r="P106" s="2" t="inlineStr"/>
      <c r="Q106" s="2" t="inlineStr"/>
      <c r="R106" s="2" t="inlineStr"/>
      <c r="S106" s="2" t="inlineStr">
        <is>
          <t>Kein Peer-Vergleich</t>
        </is>
      </c>
      <c r="T106" s="2" t="inlineStr">
        <is>
          <t>Noch nicht bewertet</t>
        </is>
      </c>
      <c r="U106" s="2" t="inlineStr">
        <is>
          <t>Mittel</t>
        </is>
      </c>
      <c r="V106" s="2" t="inlineStr"/>
      <c r="W106" s="2" t="inlineStr"/>
      <c r="X106" s="2" t="inlineStr"/>
      <c r="Y106" s="2" t="inlineStr">
        <is>
          <t>Dokument auswerten; Aktualität und Geltung prüfen</t>
        </is>
      </c>
      <c r="Z106" s="2" t="inlineStr">
        <is>
          <t>Websuche 14.10.2026 (URL im Suchergebnis gefunden)</t>
        </is>
      </c>
      <c r="AA106" s="2" t="inlineStr"/>
      <c r="AB106" s="2" t="inlineStr"/>
      <c r="AC106" s="2" t="inlineStr"/>
      <c r="AD106" s="2" t="inlineStr">
        <is>
          <t>Verifiziert</t>
        </is>
      </c>
      <c r="AE106" s="2" t="inlineStr">
        <is>
          <t>200</t>
        </is>
      </c>
      <c r="AF106" s="2" t="inlineStr"/>
      <c r="AG106" s="2" t="inlineStr">
        <is>
          <t>PDF</t>
        </is>
      </c>
      <c r="AH106" s="2" t="inlineStr">
        <is>
          <t>Bestätigt</t>
        </is>
      </c>
      <c r="AI106" s="2" t="inlineStr">
        <is>
          <t>Schlüsselwörter 1/1 gefunden (Agglomerationsprogramm); Ort/Zuständigkeit: Wil</t>
        </is>
      </c>
      <c r="AJ106" s="2" t="inlineStr">
        <is>
          <t>DAS AGGLOMERATIONS-</t>
        </is>
      </c>
      <c r="AK106" s="2" t="inlineStr">
        <is>
          <t>2015, 2025</t>
        </is>
      </c>
      <c r="AL106" s="2" t="inlineStr">
        <is>
          <t>Mittel (CMS-Dokumentlink)</t>
        </is>
      </c>
      <c r="AM106" s="2" t="inlineStr">
        <is>
          <t>2026-10-14 13:56</t>
        </is>
      </c>
      <c r="AN106" s="2" t="inlineStr">
        <is>
          <t>Öffentlich verfügbar und verifiziert</t>
        </is>
      </c>
      <c r="AO106" s="2" t="inlineStr">
        <is>
          <t>2025</t>
        </is>
      </c>
      <c r="AP106" s="2" t="inlineStr">
        <is>
          <t>Belegt Existenz und Zugänglichkeit der Quelle; inhaltliche Aussagen erst nach Auswertung.</t>
        </is>
      </c>
      <c r="AQ106" s="2" t="inlineStr">
        <is>
          <t>Keine Einstufung: Kennzahlen/Befunde noch nicht ausgewertet; Schwellen der Bewertungslogik noch nicht validiert.</t>
        </is>
      </c>
      <c r="AR106" s="2" t="inlineStr">
        <is>
          <t>Ja</t>
        </is>
      </c>
      <c r="AS106" s="2" t="inlineStr">
        <is>
          <t>Gemeindeverwaltung Wil</t>
        </is>
      </c>
      <c r="AT106" s="2" t="inlineStr">
        <is>
          <t>In Prüfung</t>
        </is>
      </c>
      <c r="AU106" s="2" t="inlineStr"/>
      <c r="AV106" s="2" t="inlineStr"/>
      <c r="AW106" s="2" t="inlineStr">
        <is>
          <t>2026-10-14: neu aufgenommen</t>
        </is>
      </c>
    </row>
    <row r="107" ht="43" customHeight="1">
      <c r="A107" s="3" t="inlineStr">
        <is>
          <t>WIL-C4-01</t>
        </is>
      </c>
      <c r="B107" s="15" t="inlineStr">
        <is>
          <t>Gemeinde</t>
        </is>
      </c>
      <c r="C107" s="3" t="inlineStr">
        <is>
          <t>Schweiz</t>
        </is>
      </c>
      <c r="D107" s="3" t="inlineStr">
        <is>
          <t>St. Gallen</t>
        </is>
      </c>
      <c r="E107" s="3" t="inlineStr">
        <is>
          <t>Wil</t>
        </is>
      </c>
      <c r="F107" s="3" t="inlineStr">
        <is>
          <t>C4</t>
        </is>
      </c>
      <c r="G107" s="3" t="inlineStr">
        <is>
          <t>Verwaltung</t>
        </is>
      </c>
      <c r="H107" s="3" t="inlineStr">
        <is>
          <t>Geschäftsbericht der Stadt Wil 2025</t>
        </is>
      </c>
      <c r="I107" s="3" t="inlineStr">
        <is>
          <t>Geschäftsbericht</t>
        </is>
      </c>
      <c r="J107" s="3" t="inlineStr">
        <is>
          <t>Direktes Dokument</t>
        </is>
      </c>
      <c r="K107" s="3" t="inlineStr">
        <is>
          <t>Rechenschaftsbericht</t>
        </is>
      </c>
      <c r="L107" s="3" t="inlineStr">
        <is>
          <t>Gemeinde Wil</t>
        </is>
      </c>
      <c r="M107" s="7" t="inlineStr">
        <is>
          <t>https://www.stadtwil.ch/storage/ee8bae2cd080dda0bc77e69f99046109dc3e161b3498b17df7581cfe441bc612</t>
        </is>
      </c>
      <c r="N107" s="3" t="inlineStr">
        <is>
          <t>2025</t>
        </is>
      </c>
      <c r="O107" s="3" t="inlineStr">
        <is>
          <t>2026-10-14</t>
        </is>
      </c>
      <c r="P107" s="3" t="inlineStr">
        <is>
          <t>Organisation und Verwaltungsressourcen recherchieren</t>
        </is>
      </c>
      <c r="Q107" s="3" t="inlineStr">
        <is>
          <t>Personal, Projektsteuerung, Beschaffung</t>
        </is>
      </c>
      <c r="R107" s="3" t="inlineStr">
        <is>
          <t>Organigramm / Projektportfolios ergänzen</t>
        </is>
      </c>
      <c r="S107" s="3" t="inlineStr">
        <is>
          <t>Qualitativ</t>
        </is>
      </c>
      <c r="T107" s="3" t="inlineStr">
        <is>
          <t>Noch nicht bewertet</t>
        </is>
      </c>
      <c r="U107" s="3" t="inlineStr">
        <is>
          <t>Hoch</t>
        </is>
      </c>
      <c r="V107" s="3" t="inlineStr">
        <is>
          <t>Konkrete kommunale Unterlagen / Datensatz nachfordern</t>
        </is>
      </c>
      <c r="W107" s="3" t="inlineStr">
        <is>
          <t>Q6; C3</t>
        </is>
      </c>
      <c r="X107" s="3" t="inlineStr">
        <is>
          <t>Verwaltungskapazität</t>
        </is>
      </c>
      <c r="Y107" s="3" t="inlineStr">
        <is>
          <t>Dokument auswerten; Aktualität und Geltung prüfen</t>
        </is>
      </c>
      <c r="Z107" s="3" t="inlineStr">
        <is>
          <t>Automatische Recherche GitHub Actions (Discovery), Fundstelle siehe Spalte Offizielle Fundstelle</t>
        </is>
      </c>
      <c r="AA107" s="3" t="inlineStr">
        <is>
          <t>C3, C5</t>
        </is>
      </c>
      <c r="AB107" s="3" t="inlineStr"/>
      <c r="AC107" s="7" t="inlineStr">
        <is>
          <t>https://www.stadtwil.ch/topics/stadt-politik-und-recht/geschaeftsberichte</t>
        </is>
      </c>
      <c r="AD107" s="3" t="inlineStr">
        <is>
          <t>Verifiziert</t>
        </is>
      </c>
      <c r="AE107" s="3" t="inlineStr">
        <is>
          <t>200</t>
        </is>
      </c>
      <c r="AF107" s="3" t="inlineStr"/>
      <c r="AG107" s="3" t="inlineStr">
        <is>
          <t>PDF</t>
        </is>
      </c>
      <c r="AH107" s="3" t="inlineStr">
        <is>
          <t>Bestätigt</t>
        </is>
      </c>
      <c r="AI107" s="3" t="inlineStr">
        <is>
          <t>Schlüsselwörter 2/2 gefunden (Geschäftsbericht, 2025); Ort/Zuständigkeit: Wil</t>
        </is>
      </c>
      <c r="AJ107" s="3" t="inlineStr">
        <is>
          <t>GESCHÄFTSBERICHT</t>
        </is>
      </c>
      <c r="AK107" s="3" t="inlineStr">
        <is>
          <t>2025, 2026, 2021, 2028, 2030</t>
        </is>
      </c>
      <c r="AL107" s="3" t="inlineStr">
        <is>
          <t>Mittel (Webseite)</t>
        </is>
      </c>
      <c r="AM107" s="3" t="inlineStr">
        <is>
          <t>2026-10-14 13:54</t>
        </is>
      </c>
      <c r="AN107" s="3" t="inlineStr">
        <is>
          <t>Öffentlich verfügbar und verifiziert</t>
        </is>
      </c>
      <c r="AO107" s="3" t="inlineStr">
        <is>
          <t>2025</t>
        </is>
      </c>
      <c r="AP107" s="3" t="inlineStr">
        <is>
          <t>Belegt Existenz und Zugänglichkeit der Quelle; inhaltliche Aussagen erst nach Auswertung. Fundstellen im Dokument (automatisch): Organigramm: nicht gefunden; Stellen: S. 11, 12, 14, 18, 24, 25, 28, 29, 32, 35, 38, 44 …; Personal: S. 25, 28, 29, 39, 51, 73, 81, 84, 90.</t>
        </is>
      </c>
      <c r="AQ107" s="3" t="inlineStr">
        <is>
          <t>Keine Einstufung: Kennzahlen/Befunde noch nicht ausgewertet; Schwellen der Bewertungslogik noch nicht validiert.</t>
        </is>
      </c>
      <c r="AR107" s="3" t="inlineStr">
        <is>
          <t>Ja</t>
        </is>
      </c>
      <c r="AS107" s="3" t="inlineStr">
        <is>
          <t>Gemeindeverwaltung Wil</t>
        </is>
      </c>
      <c r="AT107" s="3" t="inlineStr">
        <is>
          <t>In Prüfung</t>
        </is>
      </c>
      <c r="AU107" s="3" t="inlineStr">
        <is>
          <t>Geschäftsberichte 2008–2024 auf der Fundstelle (Zeitreihe).</t>
        </is>
      </c>
      <c r="AV107" s="3" t="inlineStr"/>
      <c r="AW107" s="3" t="inlineStr">
        <is>
          <t>2026-10-14: Link ersetzt (vorher https://www.stadtwil.ch/). Grund: Startseite durch aktuellen Geschäftsbericht ersetzt.</t>
        </is>
      </c>
    </row>
    <row r="108" ht="43" customHeight="1">
      <c r="A108" s="2" t="inlineStr">
        <is>
          <t>WIL-C5-01</t>
        </is>
      </c>
      <c r="B108" s="15" t="inlineStr">
        <is>
          <t>Gemeinde</t>
        </is>
      </c>
      <c r="C108" s="2" t="inlineStr">
        <is>
          <t>Schweiz</t>
        </is>
      </c>
      <c r="D108" s="2" t="inlineStr">
        <is>
          <t>St. Gallen</t>
        </is>
      </c>
      <c r="E108" s="2" t="inlineStr">
        <is>
          <t>Wil</t>
        </is>
      </c>
      <c r="F108" s="2" t="inlineStr">
        <is>
          <t>C5</t>
        </is>
      </c>
      <c r="G108" s="2" t="inlineStr">
        <is>
          <t>Politische Entscheide</t>
        </is>
      </c>
      <c r="H108" s="2" t="inlineStr">
        <is>
          <t>Legislaturplanung 2025–2028 «wil sind wir» – Bericht an das Stadtparlament</t>
        </is>
      </c>
      <c r="I108" s="2" t="inlineStr">
        <is>
          <t>Legislaturprogramm</t>
        </is>
      </c>
      <c r="J108" s="2" t="inlineStr">
        <is>
          <t>Direktes Dokument</t>
        </is>
      </c>
      <c r="K108" s="2" t="inlineStr">
        <is>
          <t>Politische Zielsetzung</t>
        </is>
      </c>
      <c r="L108" s="2" t="inlineStr">
        <is>
          <t>Gemeinde Wil</t>
        </is>
      </c>
      <c r="M108" s="5" t="inlineStr">
        <is>
          <t>https://www.stadtwil.ch/storage/55dcd744fbd978ce5601e42dc48a7b53cdfe1082b7fecb9c647e6dadc8abf9c7</t>
        </is>
      </c>
      <c r="N108" s="2" t="inlineStr">
        <is>
          <t>2025–2028</t>
        </is>
      </c>
      <c r="O108" s="2" t="inlineStr">
        <is>
          <t>2026-10-14</t>
        </is>
      </c>
      <c r="P108" s="2" t="inlineStr">
        <is>
          <t>Parlamentsgeschäfte, Beschlüsse und offene Vorlagen</t>
        </is>
      </c>
      <c r="Q108" s="2" t="inlineStr">
        <is>
          <t>Entscheidungsstand, Mitwirkung, Konflikte</t>
        </is>
      </c>
      <c r="R108" s="2" t="inlineStr">
        <is>
          <t>Relevante Strategiegeschäfte auswerten</t>
        </is>
      </c>
      <c r="S108" s="2" t="inlineStr">
        <is>
          <t>Qualitativ</t>
        </is>
      </c>
      <c r="T108" s="2" t="inlineStr">
        <is>
          <t>Noch nicht bewertet</t>
        </is>
      </c>
      <c r="U108" s="2" t="inlineStr">
        <is>
          <t>Mittel</t>
        </is>
      </c>
      <c r="V108" s="2" t="inlineStr">
        <is>
          <t>Konkrete kommunale Unterlagen / Datensatz nachfordern</t>
        </is>
      </c>
      <c r="W108" s="2" t="inlineStr">
        <is>
          <t>C3; Q1</t>
        </is>
      </c>
      <c r="X108" s="2" t="inlineStr">
        <is>
          <t>Politische Machbarkeit</t>
        </is>
      </c>
      <c r="Y108" s="2" t="inlineStr">
        <is>
          <t>Dokument auswerten; Aktualität und Geltung prüfen</t>
        </is>
      </c>
      <c r="Z108" s="2" t="inlineStr">
        <is>
          <t>Webrecherche 14.10.2026</t>
        </is>
      </c>
      <c r="AA108" s="2" t="inlineStr"/>
      <c r="AB108" s="2" t="inlineStr"/>
      <c r="AC108" s="2" t="inlineStr"/>
      <c r="AD108" s="2" t="inlineStr">
        <is>
          <t>Verifiziert</t>
        </is>
      </c>
      <c r="AE108" s="2" t="inlineStr">
        <is>
          <t>200</t>
        </is>
      </c>
      <c r="AF108" s="2" t="inlineStr"/>
      <c r="AG108" s="2" t="inlineStr">
        <is>
          <t>PDF</t>
        </is>
      </c>
      <c r="AH108" s="2" t="inlineStr">
        <is>
          <t>Bestätigt</t>
        </is>
      </c>
      <c r="AI108" s="2" t="inlineStr">
        <is>
          <t>Schlüsselwörter 1/1 gefunden (Legislatur); Ort/Zuständigkeit: Wil</t>
        </is>
      </c>
      <c r="AJ108" s="2" t="inlineStr">
        <is>
          <t>Marktgasse 58</t>
        </is>
      </c>
      <c r="AK108" s="2" t="inlineStr">
        <is>
          <t>2025, 2028</t>
        </is>
      </c>
      <c r="AL108" s="2" t="inlineStr">
        <is>
          <t>Mittel (Webseite)</t>
        </is>
      </c>
      <c r="AM108" s="2" t="inlineStr">
        <is>
          <t>2026-10-14 13:54</t>
        </is>
      </c>
      <c r="AN108" s="2" t="inlineStr">
        <is>
          <t>Öffentlich verfügbar und verifiziert</t>
        </is>
      </c>
      <c r="AO108" s="2" t="inlineStr">
        <is>
          <t>2025–2028</t>
        </is>
      </c>
      <c r="AP108" s="2" t="inlineStr">
        <is>
          <t>Belegt Existenz und Zugänglichkeit der Quelle; inhaltliche Aussagen erst nach Auswertung.</t>
        </is>
      </c>
      <c r="AQ108" s="2" t="inlineStr">
        <is>
          <t>Keine Einstufung: Kennzahlen/Befunde noch nicht ausgewertet; Schwellen der Bewertungslogik noch nicht validiert.</t>
        </is>
      </c>
      <c r="AR108" s="2" t="inlineStr">
        <is>
          <t>Nein</t>
        </is>
      </c>
      <c r="AS108" s="2" t="inlineStr">
        <is>
          <t>Gemeindeverwaltung Wil</t>
        </is>
      </c>
      <c r="AT108" s="2" t="inlineStr">
        <is>
          <t>In Prüfung</t>
        </is>
      </c>
      <c r="AU108" s="2" t="inlineStr"/>
      <c r="AV108" s="2" t="inlineStr"/>
      <c r="AW108" s="2" t="inlineStr">
        <is>
          <t>2026-10-14: Link ersetzt (vorher https://www.stadtwil.ch/political-businesses). Grund: Geschäftsregister-Startseite durch Legislaturplanung ersetzt.</t>
        </is>
      </c>
    </row>
    <row r="109" ht="43" customHeight="1">
      <c r="A109" s="3" t="inlineStr">
        <is>
          <t>WIL-C5-02</t>
        </is>
      </c>
      <c r="B109" s="15" t="inlineStr">
        <is>
          <t>Gemeinde</t>
        </is>
      </c>
      <c r="C109" s="3" t="inlineStr">
        <is>
          <t>Schweiz</t>
        </is>
      </c>
      <c r="D109" s="3" t="inlineStr">
        <is>
          <t>St. Gallen</t>
        </is>
      </c>
      <c r="E109" s="3" t="inlineStr">
        <is>
          <t>Wil</t>
        </is>
      </c>
      <c r="F109" s="3" t="inlineStr">
        <is>
          <t>C5</t>
        </is>
      </c>
      <c r="G109" s="3" t="inlineStr">
        <is>
          <t>Ortsplanung / Mitwirkung</t>
        </is>
      </c>
      <c r="H109" s="3" t="inlineStr">
        <is>
          <t>Richtplan Siedlung und Grün-/Freiraum – Planungsbericht inkl. Auszug Stadtentwicklungskonzept (31.3.2026)</t>
        </is>
      </c>
      <c r="I109" s="3" t="inlineStr">
        <is>
          <t>Planungsbericht</t>
        </is>
      </c>
      <c r="J109" s="3" t="inlineStr">
        <is>
          <t>Direktes Dokument</t>
        </is>
      </c>
      <c r="K109" s="3" t="inlineStr">
        <is>
          <t>Behördenverbindliche Planung (Entwurf)</t>
        </is>
      </c>
      <c r="L109" s="3" t="inlineStr">
        <is>
          <t>Stadt Wil</t>
        </is>
      </c>
      <c r="M109" s="7" t="inlineStr">
        <is>
          <t>https://www.stadtwil.ch/storage/533b0557b4e4988a6a4f9af13c0b789fec39837eef83d1e66cd1d3814dbe0acb</t>
        </is>
      </c>
      <c r="N109" s="3" t="inlineStr">
        <is>
          <t>2026</t>
        </is>
      </c>
      <c r="O109" s="3" t="inlineStr">
        <is>
          <t>2026-10-14</t>
        </is>
      </c>
      <c r="P109" s="3" t="inlineStr"/>
      <c r="Q109" s="3" t="inlineStr"/>
      <c r="R109" s="3" t="inlineStr"/>
      <c r="S109" s="3" t="inlineStr">
        <is>
          <t>Kein Peer-Vergleich</t>
        </is>
      </c>
      <c r="T109" s="3" t="inlineStr">
        <is>
          <t>Noch nicht bewertet</t>
        </is>
      </c>
      <c r="U109" s="3" t="inlineStr">
        <is>
          <t>Mittel</t>
        </is>
      </c>
      <c r="V109" s="3" t="inlineStr"/>
      <c r="W109" s="3" t="inlineStr"/>
      <c r="X109" s="3" t="inlineStr"/>
      <c r="Y109" s="3" t="inlineStr">
        <is>
          <t>Dokument auswerten; Aktualität und Geltung prüfen</t>
        </is>
      </c>
      <c r="Z109" s="3" t="inlineStr">
        <is>
          <t>Websuche 14.10.2026 (URL im Suchergebnis gefunden)</t>
        </is>
      </c>
      <c r="AA109" s="3" t="inlineStr">
        <is>
          <t>C2</t>
        </is>
      </c>
      <c r="AB109" s="3" t="inlineStr"/>
      <c r="AC109" s="3" t="inlineStr"/>
      <c r="AD109" s="3" t="inlineStr">
        <is>
          <t>Verifiziert</t>
        </is>
      </c>
      <c r="AE109" s="3" t="inlineStr">
        <is>
          <t>200</t>
        </is>
      </c>
      <c r="AF109" s="3" t="inlineStr"/>
      <c r="AG109" s="3" t="inlineStr">
        <is>
          <t>PDF</t>
        </is>
      </c>
      <c r="AH109" s="3" t="inlineStr">
        <is>
          <t>Bestätigt</t>
        </is>
      </c>
      <c r="AI109" s="3" t="inlineStr">
        <is>
          <t>Schlüsselwörter 1/1 gefunden (Richtplan); Ort/Zuständigkeit: Wil</t>
        </is>
      </c>
      <c r="AJ109" s="3" t="inlineStr">
        <is>
          <t>Richtplan Siedlung</t>
        </is>
      </c>
      <c r="AK109" s="3" t="inlineStr">
        <is>
          <t>2026, 2013, 2024, 2025</t>
        </is>
      </c>
      <c r="AL109" s="3" t="inlineStr">
        <is>
          <t>Mittel (Webseite)</t>
        </is>
      </c>
      <c r="AM109" s="3" t="inlineStr">
        <is>
          <t>2026-10-14 13:56</t>
        </is>
      </c>
      <c r="AN109" s="3" t="inlineStr">
        <is>
          <t>Öffentlich verfügbar und verifiziert</t>
        </is>
      </c>
      <c r="AO109" s="3" t="inlineStr">
        <is>
          <t>2026</t>
        </is>
      </c>
      <c r="AP109" s="3" t="inlineStr">
        <is>
          <t>Belegt Existenz und Zugänglichkeit der Quelle; inhaltliche Aussagen erst nach Auswertung.</t>
        </is>
      </c>
      <c r="AQ109" s="3" t="inlineStr">
        <is>
          <t>Keine Einstufung: Kennzahlen/Befunde noch nicht ausgewertet; Schwellen der Bewertungslogik noch nicht validiert.</t>
        </is>
      </c>
      <c r="AR109" s="3" t="inlineStr">
        <is>
          <t>Nein</t>
        </is>
      </c>
      <c r="AS109" s="3" t="inlineStr">
        <is>
          <t>Gemeindeverwaltung Wil</t>
        </is>
      </c>
      <c r="AT109" s="3" t="inlineStr">
        <is>
          <t>In Prüfung</t>
        </is>
      </c>
      <c r="AU109" s="3" t="inlineStr">
        <is>
          <t>Zuordnung der Hash-URL aus Suchzusammenfassung.</t>
        </is>
      </c>
      <c r="AV109" s="3" t="inlineStr"/>
      <c r="AW109" s="3" t="inlineStr">
        <is>
          <t>2026-10-14: neu aufgenommen</t>
        </is>
      </c>
    </row>
    <row r="110" ht="43" customHeight="1">
      <c r="A110" s="2" t="inlineStr">
        <is>
          <t>WIL-C5-03</t>
        </is>
      </c>
      <c r="B110" s="15" t="inlineStr">
        <is>
          <t>Gemeinde</t>
        </is>
      </c>
      <c r="C110" s="2" t="inlineStr">
        <is>
          <t>Schweiz</t>
        </is>
      </c>
      <c r="D110" s="2" t="inlineStr">
        <is>
          <t>St. Gallen</t>
        </is>
      </c>
      <c r="E110" s="2" t="inlineStr">
        <is>
          <t>Wil</t>
        </is>
      </c>
      <c r="F110" s="2" t="inlineStr">
        <is>
          <t>C5</t>
        </is>
      </c>
      <c r="G110" s="2" t="inlineStr">
        <is>
          <t>Mitwirkung</t>
        </is>
      </c>
      <c r="H110" s="2" t="inlineStr">
        <is>
          <t>Ortsplanungsrevision Wil – Mitwirkung 2025</t>
        </is>
      </c>
      <c r="I110" s="2" t="inlineStr">
        <is>
          <t>Mitwirkungsunterlage</t>
        </is>
      </c>
      <c r="J110" s="2" t="inlineStr">
        <is>
          <t>Direktes Dokument</t>
        </is>
      </c>
      <c r="K110" s="2" t="inlineStr">
        <is>
          <t>Information</t>
        </is>
      </c>
      <c r="L110" s="2" t="inlineStr">
        <is>
          <t>Stadt Wil</t>
        </is>
      </c>
      <c r="M110" s="5" t="inlineStr">
        <is>
          <t>https://www.stadtwil.ch/storage/5d895f1e33cc1b2c352d7bdeb9d93dd5b2333fbff6a1793cd419f387dd4e1e28</t>
        </is>
      </c>
      <c r="N110" s="2" t="inlineStr">
        <is>
          <t>2025</t>
        </is>
      </c>
      <c r="O110" s="2" t="inlineStr">
        <is>
          <t>2026-10-14</t>
        </is>
      </c>
      <c r="P110" s="2" t="inlineStr"/>
      <c r="Q110" s="2" t="inlineStr"/>
      <c r="R110" s="2" t="inlineStr"/>
      <c r="S110" s="2" t="inlineStr">
        <is>
          <t>Kein Peer-Vergleich</t>
        </is>
      </c>
      <c r="T110" s="2" t="inlineStr">
        <is>
          <t>Noch nicht bewertet</t>
        </is>
      </c>
      <c r="U110" s="2" t="inlineStr">
        <is>
          <t>Niedrig</t>
        </is>
      </c>
      <c r="V110" s="2" t="inlineStr"/>
      <c r="W110" s="2" t="inlineStr"/>
      <c r="X110" s="2" t="inlineStr"/>
      <c r="Y110" s="2" t="inlineStr">
        <is>
          <t>Dokument auswerten; Aktualität und Geltung prüfen</t>
        </is>
      </c>
      <c r="Z110" s="2" t="inlineStr">
        <is>
          <t>Websuche 14.10.2026 (URL im Suchergebnis gefunden)</t>
        </is>
      </c>
      <c r="AA110" s="2" t="inlineStr"/>
      <c r="AB110" s="2" t="inlineStr"/>
      <c r="AC110" s="2" t="inlineStr"/>
      <c r="AD110" s="2" t="inlineStr">
        <is>
          <t>Verifiziert</t>
        </is>
      </c>
      <c r="AE110" s="2" t="inlineStr">
        <is>
          <t>200</t>
        </is>
      </c>
      <c r="AF110" s="2" t="inlineStr"/>
      <c r="AG110" s="2" t="inlineStr">
        <is>
          <t>PDF</t>
        </is>
      </c>
      <c r="AH110" s="2" t="inlineStr">
        <is>
          <t>Bestätigt</t>
        </is>
      </c>
      <c r="AI110" s="2" t="inlineStr">
        <is>
          <t>Schlüsselwörter 1/1 gefunden (Mitwirkung); Ort/Zuständigkeit: Wil</t>
        </is>
      </c>
      <c r="AJ110" s="2" t="inlineStr">
        <is>
          <t>v2_OPR_Broschure_210x297mm</t>
        </is>
      </c>
      <c r="AK110" s="2" t="inlineStr">
        <is>
          <t>2025, 2026, 2024, 2027</t>
        </is>
      </c>
      <c r="AL110" s="2" t="inlineStr">
        <is>
          <t>Mittel (Webseite)</t>
        </is>
      </c>
      <c r="AM110" s="2" t="inlineStr">
        <is>
          <t>2026-10-14 13:56</t>
        </is>
      </c>
      <c r="AN110" s="2" t="inlineStr">
        <is>
          <t>Öffentlich verfügbar und verifiziert</t>
        </is>
      </c>
      <c r="AO110" s="2" t="inlineStr">
        <is>
          <t>2025</t>
        </is>
      </c>
      <c r="AP110" s="2" t="inlineStr">
        <is>
          <t>Belegt Existenz und Zugänglichkeit der Quelle; inhaltliche Aussagen erst nach Auswertung.</t>
        </is>
      </c>
      <c r="AQ110" s="2" t="inlineStr">
        <is>
          <t>Keine Einstufung: Kennzahlen/Befunde noch nicht ausgewertet; Schwellen der Bewertungslogik noch nicht validiert.</t>
        </is>
      </c>
      <c r="AR110" s="2" t="inlineStr">
        <is>
          <t>Nein</t>
        </is>
      </c>
      <c r="AS110" s="2" t="inlineStr">
        <is>
          <t>Gemeindeverwaltung Wil</t>
        </is>
      </c>
      <c r="AT110" s="2" t="inlineStr">
        <is>
          <t>In Prüfung</t>
        </is>
      </c>
      <c r="AU110" s="2" t="inlineStr">
        <is>
          <t>Unsichere Zuordnung (Suchzusammenfassung).</t>
        </is>
      </c>
      <c r="AV110" s="2" t="inlineStr"/>
      <c r="AW110" s="2" t="inlineStr">
        <is>
          <t>2026-10-14: neu aufgenommen</t>
        </is>
      </c>
    </row>
  </sheetData>
  <conditionalFormatting sqref="AD2:AD500">
    <cfRule type="cellIs" priority="1" operator="equal" dxfId="0">
      <formula>"Verifiziert"</formula>
    </cfRule>
    <cfRule type="cellIs" priority="2" operator="equal" dxfId="1">
      <formula>"Weiterleitung"</formula>
    </cfRule>
    <cfRule type="cellIs" priority="3" operator="equal" dxfId="2">
      <formula>"Fehler"</formula>
    </cfRule>
    <cfRule type="cellIs" priority="4" operator="equal" dxfId="3">
      <formula>"Nicht prüfbar"</formula>
    </cfRule>
  </conditionalFormatting>
  <conditionalFormatting sqref="AH2:AH500">
    <cfRule type="cellIs" priority="5" operator="equal" dxfId="0">
      <formula>"Bestätigt"</formula>
    </cfRule>
    <cfRule type="cellIs" priority="6" operator="equal" dxfId="1">
      <formula>"Teilweise bestätigt"</formula>
    </cfRule>
    <cfRule type="cellIs" priority="7" operator="equal" dxfId="3">
      <formula>"Offen"</formula>
    </cfRule>
  </conditionalFormatting>
  <dataValidations count="10">
    <dataValidation sqref="B2:B500" showDropDown="0" showInputMessage="0" showErrorMessage="0" allowBlank="1" type="list">
      <formula1>"Bund,Kanton,Gemeinde"</formula1>
    </dataValidation>
    <dataValidation sqref="F2:F500" showDropDown="0" showInputMessage="0" showErrorMessage="0" allowBlank="1" type="list">
      <formula1>"C1,C2,C3,C4,C5"</formula1>
    </dataValidation>
    <dataValidation sqref="T2:T500" showDropDown="0" showInputMessage="0" showErrorMessage="0" allowBlank="1" type="list">
      <formula1>"Noch nicht bewertet,Hoch,Mittel,Gering"</formula1>
    </dataValidation>
    <dataValidation sqref="U2:U500" showDropDown="0" showInputMessage="0" showErrorMessage="0" allowBlank="1" type="list">
      <formula1>"Hoch,Mittel,Niedrig"</formula1>
    </dataValidation>
    <dataValidation sqref="Y2:Y500" showDropDown="0" showInputMessage="0" showErrorMessage="0" allowBlank="1" type="list">
      <formula1>"Dokument auswerten; Aktualität und Geltung prüfen,In Bearbeitung,Geprüft,Nachforderung offen"</formula1>
    </dataValidation>
    <dataValidation sqref="AD2:AD500" showDropDown="0" showInputMessage="0" showErrorMessage="0" allowBlank="1" type="list">
      <formula1>"Verifiziert,Weiterleitung,Fehler,Nicht prüfbar"</formula1>
    </dataValidation>
    <dataValidation sqref="AH2:AH500" showDropDown="0" showInputMessage="0" showErrorMessage="0" allowBlank="1" type="list">
      <formula1>"Bestätigt,Teilweise bestätigt,Offen"</formula1>
    </dataValidation>
    <dataValidation sqref="AN2:AN500" showDropDown="0" showInputMessage="0" showErrorMessage="0" allowBlank="1" type="list">
      <formula1>"Öffentlich verfügbar und verifiziert,Öffentlich verfügbar – noch nicht geprüft,Nicht öffentlich auffindbar,Nur über Gemeindeanfrage erhältlich,Nicht zugänglich / nicht prüfbar"</formula1>
    </dataValidation>
    <dataValidation sqref="AR2:AR500" showDropDown="0" showInputMessage="0" showErrorMessage="0" allowBlank="1" type="list">
      <formula1>"Ja,Nein"</formula1>
    </dataValidation>
    <dataValidation sqref="AT2:AT500" showDropDown="0" showInputMessage="0" showErrorMessage="0" allowBlank="1" type="list">
      <formula1>"Offen,In Prüfung,Abgeschlossen"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AC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AC4" r:id="rId5"/>
    <hyperlink xmlns:r="http://schemas.openxmlformats.org/officeDocument/2006/relationships" ref="M5" r:id="rId6"/>
    <hyperlink xmlns:r="http://schemas.openxmlformats.org/officeDocument/2006/relationships" ref="M6" r:id="rId7"/>
    <hyperlink xmlns:r="http://schemas.openxmlformats.org/officeDocument/2006/relationships" ref="M7" r:id="rId8"/>
    <hyperlink xmlns:r="http://schemas.openxmlformats.org/officeDocument/2006/relationships" ref="M8" r:id="rId9"/>
    <hyperlink xmlns:r="http://schemas.openxmlformats.org/officeDocument/2006/relationships" ref="M9" r:id="rId10"/>
    <hyperlink xmlns:r="http://schemas.openxmlformats.org/officeDocument/2006/relationships" ref="M10" r:id="rId11"/>
    <hyperlink xmlns:r="http://schemas.openxmlformats.org/officeDocument/2006/relationships" ref="M11" r:id="rId12"/>
    <hyperlink xmlns:r="http://schemas.openxmlformats.org/officeDocument/2006/relationships" ref="M12" r:id="rId13"/>
    <hyperlink xmlns:r="http://schemas.openxmlformats.org/officeDocument/2006/relationships" ref="M13" r:id="rId14"/>
    <hyperlink xmlns:r="http://schemas.openxmlformats.org/officeDocument/2006/relationships" ref="M14" r:id="rId15"/>
    <hyperlink xmlns:r="http://schemas.openxmlformats.org/officeDocument/2006/relationships" ref="AC14" r:id="rId16"/>
    <hyperlink xmlns:r="http://schemas.openxmlformats.org/officeDocument/2006/relationships" ref="AF14" r:id="rId17"/>
    <hyperlink xmlns:r="http://schemas.openxmlformats.org/officeDocument/2006/relationships" ref="M15" r:id="rId18"/>
    <hyperlink xmlns:r="http://schemas.openxmlformats.org/officeDocument/2006/relationships" ref="AC15" r:id="rId19"/>
    <hyperlink xmlns:r="http://schemas.openxmlformats.org/officeDocument/2006/relationships" ref="AF15" r:id="rId20"/>
    <hyperlink xmlns:r="http://schemas.openxmlformats.org/officeDocument/2006/relationships" ref="M16" r:id="rId21"/>
    <hyperlink xmlns:r="http://schemas.openxmlformats.org/officeDocument/2006/relationships" ref="AC16" r:id="rId22"/>
    <hyperlink xmlns:r="http://schemas.openxmlformats.org/officeDocument/2006/relationships" ref="M17" r:id="rId23"/>
    <hyperlink xmlns:r="http://schemas.openxmlformats.org/officeDocument/2006/relationships" ref="M18" r:id="rId24"/>
    <hyperlink xmlns:r="http://schemas.openxmlformats.org/officeDocument/2006/relationships" ref="M19" r:id="rId25"/>
    <hyperlink xmlns:r="http://schemas.openxmlformats.org/officeDocument/2006/relationships" ref="M20" r:id="rId26"/>
    <hyperlink xmlns:r="http://schemas.openxmlformats.org/officeDocument/2006/relationships" ref="M21" r:id="rId27"/>
    <hyperlink xmlns:r="http://schemas.openxmlformats.org/officeDocument/2006/relationships" ref="M22" r:id="rId28"/>
    <hyperlink xmlns:r="http://schemas.openxmlformats.org/officeDocument/2006/relationships" ref="M23" r:id="rId29"/>
    <hyperlink xmlns:r="http://schemas.openxmlformats.org/officeDocument/2006/relationships" ref="M24" r:id="rId30"/>
    <hyperlink xmlns:r="http://schemas.openxmlformats.org/officeDocument/2006/relationships" ref="M25" r:id="rId31"/>
    <hyperlink xmlns:r="http://schemas.openxmlformats.org/officeDocument/2006/relationships" ref="M26" r:id="rId32"/>
    <hyperlink xmlns:r="http://schemas.openxmlformats.org/officeDocument/2006/relationships" ref="M27" r:id="rId33"/>
    <hyperlink xmlns:r="http://schemas.openxmlformats.org/officeDocument/2006/relationships" ref="M28" r:id="rId34"/>
    <hyperlink xmlns:r="http://schemas.openxmlformats.org/officeDocument/2006/relationships" ref="M29" r:id="rId35"/>
    <hyperlink xmlns:r="http://schemas.openxmlformats.org/officeDocument/2006/relationships" ref="M30" r:id="rId36"/>
    <hyperlink xmlns:r="http://schemas.openxmlformats.org/officeDocument/2006/relationships" ref="M31" r:id="rId37"/>
    <hyperlink xmlns:r="http://schemas.openxmlformats.org/officeDocument/2006/relationships" ref="M32" r:id="rId38"/>
    <hyperlink xmlns:r="http://schemas.openxmlformats.org/officeDocument/2006/relationships" ref="M33" r:id="rId39"/>
    <hyperlink xmlns:r="http://schemas.openxmlformats.org/officeDocument/2006/relationships" ref="M34" r:id="rId40"/>
    <hyperlink xmlns:r="http://schemas.openxmlformats.org/officeDocument/2006/relationships" ref="M35" r:id="rId41"/>
    <hyperlink xmlns:r="http://schemas.openxmlformats.org/officeDocument/2006/relationships" ref="M36" r:id="rId42"/>
    <hyperlink xmlns:r="http://schemas.openxmlformats.org/officeDocument/2006/relationships" ref="M37" r:id="rId43"/>
    <hyperlink xmlns:r="http://schemas.openxmlformats.org/officeDocument/2006/relationships" ref="M38" r:id="rId44"/>
    <hyperlink xmlns:r="http://schemas.openxmlformats.org/officeDocument/2006/relationships" ref="M39" r:id="rId45"/>
    <hyperlink xmlns:r="http://schemas.openxmlformats.org/officeDocument/2006/relationships" ref="M40" r:id="rId46"/>
    <hyperlink xmlns:r="http://schemas.openxmlformats.org/officeDocument/2006/relationships" ref="M41" r:id="rId47"/>
    <hyperlink xmlns:r="http://schemas.openxmlformats.org/officeDocument/2006/relationships" ref="M42" r:id="rId48"/>
    <hyperlink xmlns:r="http://schemas.openxmlformats.org/officeDocument/2006/relationships" ref="M43" r:id="rId49"/>
    <hyperlink xmlns:r="http://schemas.openxmlformats.org/officeDocument/2006/relationships" ref="M44" r:id="rId50"/>
    <hyperlink xmlns:r="http://schemas.openxmlformats.org/officeDocument/2006/relationships" ref="M45" r:id="rId51"/>
    <hyperlink xmlns:r="http://schemas.openxmlformats.org/officeDocument/2006/relationships" ref="M46" r:id="rId52"/>
    <hyperlink xmlns:r="http://schemas.openxmlformats.org/officeDocument/2006/relationships" ref="M47" r:id="rId53"/>
    <hyperlink xmlns:r="http://schemas.openxmlformats.org/officeDocument/2006/relationships" ref="AC47" r:id="rId54"/>
    <hyperlink xmlns:r="http://schemas.openxmlformats.org/officeDocument/2006/relationships" ref="M48" r:id="rId55"/>
    <hyperlink xmlns:r="http://schemas.openxmlformats.org/officeDocument/2006/relationships" ref="M49" r:id="rId56"/>
    <hyperlink xmlns:r="http://schemas.openxmlformats.org/officeDocument/2006/relationships" ref="AC49" r:id="rId57"/>
    <hyperlink xmlns:r="http://schemas.openxmlformats.org/officeDocument/2006/relationships" ref="M50" r:id="rId58"/>
    <hyperlink xmlns:r="http://schemas.openxmlformats.org/officeDocument/2006/relationships" ref="AC50" r:id="rId59"/>
    <hyperlink xmlns:r="http://schemas.openxmlformats.org/officeDocument/2006/relationships" ref="M51" r:id="rId60"/>
    <hyperlink xmlns:r="http://schemas.openxmlformats.org/officeDocument/2006/relationships" ref="AC51" r:id="rId61"/>
    <hyperlink xmlns:r="http://schemas.openxmlformats.org/officeDocument/2006/relationships" ref="M52" r:id="rId62"/>
    <hyperlink xmlns:r="http://schemas.openxmlformats.org/officeDocument/2006/relationships" ref="AC52" r:id="rId63"/>
    <hyperlink xmlns:r="http://schemas.openxmlformats.org/officeDocument/2006/relationships" ref="M53" r:id="rId64"/>
    <hyperlink xmlns:r="http://schemas.openxmlformats.org/officeDocument/2006/relationships" ref="AC53" r:id="rId65"/>
    <hyperlink xmlns:r="http://schemas.openxmlformats.org/officeDocument/2006/relationships" ref="M54" r:id="rId66"/>
    <hyperlink xmlns:r="http://schemas.openxmlformats.org/officeDocument/2006/relationships" ref="AC54" r:id="rId67"/>
    <hyperlink xmlns:r="http://schemas.openxmlformats.org/officeDocument/2006/relationships" ref="M55" r:id="rId68"/>
    <hyperlink xmlns:r="http://schemas.openxmlformats.org/officeDocument/2006/relationships" ref="M56" r:id="rId69"/>
    <hyperlink xmlns:r="http://schemas.openxmlformats.org/officeDocument/2006/relationships" ref="M57" r:id="rId70"/>
    <hyperlink xmlns:r="http://schemas.openxmlformats.org/officeDocument/2006/relationships" ref="M58" r:id="rId71"/>
    <hyperlink xmlns:r="http://schemas.openxmlformats.org/officeDocument/2006/relationships" ref="M59" r:id="rId72"/>
    <hyperlink xmlns:r="http://schemas.openxmlformats.org/officeDocument/2006/relationships" ref="AC59" r:id="rId73"/>
    <hyperlink xmlns:r="http://schemas.openxmlformats.org/officeDocument/2006/relationships" ref="M60" r:id="rId74"/>
    <hyperlink xmlns:r="http://schemas.openxmlformats.org/officeDocument/2006/relationships" ref="M61" r:id="rId75"/>
    <hyperlink xmlns:r="http://schemas.openxmlformats.org/officeDocument/2006/relationships" ref="M62" r:id="rId76"/>
    <hyperlink xmlns:r="http://schemas.openxmlformats.org/officeDocument/2006/relationships" ref="AC62" r:id="rId77"/>
    <hyperlink xmlns:r="http://schemas.openxmlformats.org/officeDocument/2006/relationships" ref="M63" r:id="rId78"/>
    <hyperlink xmlns:r="http://schemas.openxmlformats.org/officeDocument/2006/relationships" ref="AC63" r:id="rId79"/>
    <hyperlink xmlns:r="http://schemas.openxmlformats.org/officeDocument/2006/relationships" ref="M64" r:id="rId80"/>
    <hyperlink xmlns:r="http://schemas.openxmlformats.org/officeDocument/2006/relationships" ref="M65" r:id="rId81"/>
    <hyperlink xmlns:r="http://schemas.openxmlformats.org/officeDocument/2006/relationships" ref="AC65" r:id="rId82"/>
    <hyperlink xmlns:r="http://schemas.openxmlformats.org/officeDocument/2006/relationships" ref="M66" r:id="rId83"/>
    <hyperlink xmlns:r="http://schemas.openxmlformats.org/officeDocument/2006/relationships" ref="AC66" r:id="rId84"/>
    <hyperlink xmlns:r="http://schemas.openxmlformats.org/officeDocument/2006/relationships" ref="M67" r:id="rId85"/>
    <hyperlink xmlns:r="http://schemas.openxmlformats.org/officeDocument/2006/relationships" ref="AC67" r:id="rId86"/>
    <hyperlink xmlns:r="http://schemas.openxmlformats.org/officeDocument/2006/relationships" ref="M68" r:id="rId87"/>
    <hyperlink xmlns:r="http://schemas.openxmlformats.org/officeDocument/2006/relationships" ref="AC68" r:id="rId88"/>
    <hyperlink xmlns:r="http://schemas.openxmlformats.org/officeDocument/2006/relationships" ref="M69" r:id="rId89"/>
    <hyperlink xmlns:r="http://schemas.openxmlformats.org/officeDocument/2006/relationships" ref="AC69" r:id="rId90"/>
    <hyperlink xmlns:r="http://schemas.openxmlformats.org/officeDocument/2006/relationships" ref="M70" r:id="rId91"/>
    <hyperlink xmlns:r="http://schemas.openxmlformats.org/officeDocument/2006/relationships" ref="AC70" r:id="rId92"/>
    <hyperlink xmlns:r="http://schemas.openxmlformats.org/officeDocument/2006/relationships" ref="M71" r:id="rId93"/>
    <hyperlink xmlns:r="http://schemas.openxmlformats.org/officeDocument/2006/relationships" ref="AC71" r:id="rId94"/>
    <hyperlink xmlns:r="http://schemas.openxmlformats.org/officeDocument/2006/relationships" ref="M72" r:id="rId95"/>
    <hyperlink xmlns:r="http://schemas.openxmlformats.org/officeDocument/2006/relationships" ref="M73" r:id="rId96"/>
    <hyperlink xmlns:r="http://schemas.openxmlformats.org/officeDocument/2006/relationships" ref="M74" r:id="rId97"/>
    <hyperlink xmlns:r="http://schemas.openxmlformats.org/officeDocument/2006/relationships" ref="M75" r:id="rId98"/>
    <hyperlink xmlns:r="http://schemas.openxmlformats.org/officeDocument/2006/relationships" ref="M76" r:id="rId99"/>
    <hyperlink xmlns:r="http://schemas.openxmlformats.org/officeDocument/2006/relationships" ref="M77" r:id="rId100"/>
    <hyperlink xmlns:r="http://schemas.openxmlformats.org/officeDocument/2006/relationships" ref="M78" r:id="rId101"/>
    <hyperlink xmlns:r="http://schemas.openxmlformats.org/officeDocument/2006/relationships" ref="M79" r:id="rId102"/>
    <hyperlink xmlns:r="http://schemas.openxmlformats.org/officeDocument/2006/relationships" ref="AC79" r:id="rId103"/>
    <hyperlink xmlns:r="http://schemas.openxmlformats.org/officeDocument/2006/relationships" ref="M80" r:id="rId104"/>
    <hyperlink xmlns:r="http://schemas.openxmlformats.org/officeDocument/2006/relationships" ref="M81" r:id="rId105"/>
    <hyperlink xmlns:r="http://schemas.openxmlformats.org/officeDocument/2006/relationships" ref="AC81" r:id="rId106"/>
    <hyperlink xmlns:r="http://schemas.openxmlformats.org/officeDocument/2006/relationships" ref="M82" r:id="rId107"/>
    <hyperlink xmlns:r="http://schemas.openxmlformats.org/officeDocument/2006/relationships" ref="M83" r:id="rId108"/>
    <hyperlink xmlns:r="http://schemas.openxmlformats.org/officeDocument/2006/relationships" ref="M84" r:id="rId109"/>
    <hyperlink xmlns:r="http://schemas.openxmlformats.org/officeDocument/2006/relationships" ref="AC84" r:id="rId110"/>
    <hyperlink xmlns:r="http://schemas.openxmlformats.org/officeDocument/2006/relationships" ref="M85" r:id="rId111"/>
    <hyperlink xmlns:r="http://schemas.openxmlformats.org/officeDocument/2006/relationships" ref="M86" r:id="rId112"/>
    <hyperlink xmlns:r="http://schemas.openxmlformats.org/officeDocument/2006/relationships" ref="M87" r:id="rId113"/>
    <hyperlink xmlns:r="http://schemas.openxmlformats.org/officeDocument/2006/relationships" ref="M88" r:id="rId114"/>
    <hyperlink xmlns:r="http://schemas.openxmlformats.org/officeDocument/2006/relationships" ref="M89" r:id="rId115"/>
    <hyperlink xmlns:r="http://schemas.openxmlformats.org/officeDocument/2006/relationships" ref="M90" r:id="rId116"/>
    <hyperlink xmlns:r="http://schemas.openxmlformats.org/officeDocument/2006/relationships" ref="M91" r:id="rId117"/>
    <hyperlink xmlns:r="http://schemas.openxmlformats.org/officeDocument/2006/relationships" ref="M92" r:id="rId118"/>
    <hyperlink xmlns:r="http://schemas.openxmlformats.org/officeDocument/2006/relationships" ref="M93" r:id="rId119"/>
    <hyperlink xmlns:r="http://schemas.openxmlformats.org/officeDocument/2006/relationships" ref="AC93" r:id="rId120"/>
    <hyperlink xmlns:r="http://schemas.openxmlformats.org/officeDocument/2006/relationships" ref="M94" r:id="rId121"/>
    <hyperlink xmlns:r="http://schemas.openxmlformats.org/officeDocument/2006/relationships" ref="AC94" r:id="rId122"/>
    <hyperlink xmlns:r="http://schemas.openxmlformats.org/officeDocument/2006/relationships" ref="M95" r:id="rId123"/>
    <hyperlink xmlns:r="http://schemas.openxmlformats.org/officeDocument/2006/relationships" ref="M96" r:id="rId124"/>
    <hyperlink xmlns:r="http://schemas.openxmlformats.org/officeDocument/2006/relationships" ref="AC96" r:id="rId125"/>
    <hyperlink xmlns:r="http://schemas.openxmlformats.org/officeDocument/2006/relationships" ref="M97" r:id="rId126"/>
    <hyperlink xmlns:r="http://schemas.openxmlformats.org/officeDocument/2006/relationships" ref="AC97" r:id="rId127"/>
    <hyperlink xmlns:r="http://schemas.openxmlformats.org/officeDocument/2006/relationships" ref="M98" r:id="rId128"/>
    <hyperlink xmlns:r="http://schemas.openxmlformats.org/officeDocument/2006/relationships" ref="AC98" r:id="rId129"/>
    <hyperlink xmlns:r="http://schemas.openxmlformats.org/officeDocument/2006/relationships" ref="M99" r:id="rId130"/>
    <hyperlink xmlns:r="http://schemas.openxmlformats.org/officeDocument/2006/relationships" ref="M100" r:id="rId131"/>
    <hyperlink xmlns:r="http://schemas.openxmlformats.org/officeDocument/2006/relationships" ref="AC100" r:id="rId132"/>
    <hyperlink xmlns:r="http://schemas.openxmlformats.org/officeDocument/2006/relationships" ref="M101" r:id="rId133"/>
    <hyperlink xmlns:r="http://schemas.openxmlformats.org/officeDocument/2006/relationships" ref="AC101" r:id="rId134"/>
    <hyperlink xmlns:r="http://schemas.openxmlformats.org/officeDocument/2006/relationships" ref="M102" r:id="rId135"/>
    <hyperlink xmlns:r="http://schemas.openxmlformats.org/officeDocument/2006/relationships" ref="AC102" r:id="rId136"/>
    <hyperlink xmlns:r="http://schemas.openxmlformats.org/officeDocument/2006/relationships" ref="M103" r:id="rId137"/>
    <hyperlink xmlns:r="http://schemas.openxmlformats.org/officeDocument/2006/relationships" ref="M104" r:id="rId138"/>
    <hyperlink xmlns:r="http://schemas.openxmlformats.org/officeDocument/2006/relationships" ref="M105" r:id="rId139"/>
    <hyperlink xmlns:r="http://schemas.openxmlformats.org/officeDocument/2006/relationships" ref="M106" r:id="rId140"/>
    <hyperlink xmlns:r="http://schemas.openxmlformats.org/officeDocument/2006/relationships" ref="M107" r:id="rId141"/>
    <hyperlink xmlns:r="http://schemas.openxmlformats.org/officeDocument/2006/relationships" ref="AC107" r:id="rId142"/>
    <hyperlink xmlns:r="http://schemas.openxmlformats.org/officeDocument/2006/relationships" ref="M108" r:id="rId143"/>
    <hyperlink xmlns:r="http://schemas.openxmlformats.org/officeDocument/2006/relationships" ref="M109" r:id="rId144"/>
    <hyperlink xmlns:r="http://schemas.openxmlformats.org/officeDocument/2006/relationships" ref="M110" r:id="rId145"/>
  </hyperlinks>
  <pageMargins left="0.75" right="0.75" top="1" bottom="1" header="0.5" footer="0.5"/>
  <tableParts count="1">
    <tablePart xmlns:r="http://schemas.openxmlformats.org/officeDocument/2006/relationships" r:id="rId146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X49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2" customWidth="1" min="4" max="4"/>
    <col width="18" customWidth="1" min="5" max="5"/>
    <col width="15" customWidth="1" min="6" max="6"/>
    <col width="24" customWidth="1" min="7" max="7"/>
    <col width="48" customWidth="1" min="8" max="8"/>
    <col width="21" customWidth="1" min="9" max="9"/>
    <col width="28" customWidth="1" min="10" max="10"/>
    <col width="26" customWidth="1" min="11" max="11"/>
    <col width="24" customWidth="1" min="12" max="12"/>
    <col width="45" customWidth="1" min="13" max="13"/>
    <col width="19" customWidth="1" min="14" max="14"/>
    <col width="19" customWidth="1" min="15" max="15"/>
    <col width="54" customWidth="1" min="16" max="16"/>
    <col width="35" customWidth="1" min="17" max="17"/>
    <col width="49" customWidth="1" min="18" max="18"/>
    <col width="32" customWidth="1" min="19" max="19"/>
    <col width="26" customWidth="1" min="20" max="20"/>
    <col width="14" customWidth="1" min="21" max="21"/>
    <col width="44" customWidth="1" min="22" max="22"/>
    <col width="24" customWidth="1" min="23" max="23"/>
    <col width="39" customWidth="1" min="24" max="24"/>
    <col width="40" customWidth="1" min="25" max="25"/>
    <col width="31" customWidth="1" min="26" max="26"/>
    <col width="16" customWidth="1" min="27" max="27"/>
    <col width="18" customWidth="1" min="28" max="28"/>
    <col width="40" customWidth="1" min="29" max="29"/>
    <col width="16" customWidth="1" min="30" max="30"/>
    <col width="12" customWidth="1" min="31" max="31"/>
    <col width="40" customWidth="1" min="32" max="32"/>
    <col width="11" customWidth="1" min="33" max="33"/>
    <col width="18" customWidth="1" min="34" max="34"/>
    <col width="50" customWidth="1" min="35" max="35"/>
    <col width="40" customWidth="1" min="36" max="36"/>
    <col width="18" customWidth="1" min="37" max="37"/>
    <col width="26" customWidth="1" min="38" max="38"/>
    <col width="18" customWidth="1" min="39" max="39"/>
    <col width="30" customWidth="1" min="40" max="40"/>
    <col width="20" customWidth="1" min="41" max="41"/>
    <col width="50" customWidth="1" min="42" max="42"/>
    <col width="44" customWidth="1" min="43" max="43"/>
    <col width="15" customWidth="1" min="44" max="44"/>
    <col width="30" customWidth="1" min="45" max="45"/>
    <col width="16" customWidth="1" min="46" max="46"/>
    <col width="50" customWidth="1" min="47" max="47"/>
    <col width="18" customWidth="1" min="48" max="48"/>
    <col width="50" customWidth="1" min="49" max="49"/>
    <col width="26" customWidth="1" min="50" max="50"/>
  </cols>
  <sheetData>
    <row r="1" ht="36" customHeight="1">
      <c r="A1" s="1" t="inlineStr">
        <is>
          <t>ID</t>
        </is>
      </c>
      <c r="B1" s="1" t="inlineStr">
        <is>
          <t>Ebene</t>
        </is>
      </c>
      <c r="C1" s="1" t="inlineStr">
        <is>
          <t>Schweiz</t>
        </is>
      </c>
      <c r="D1" s="1" t="inlineStr">
        <is>
          <t>Kanton</t>
        </is>
      </c>
      <c r="E1" s="1" t="inlineStr">
        <is>
          <t>Gemeinde</t>
        </is>
      </c>
      <c r="F1" s="1" t="inlineStr">
        <is>
          <t>C-Dimension</t>
        </is>
      </c>
      <c r="G1" s="1" t="inlineStr">
        <is>
          <t>Themenfeld</t>
        </is>
      </c>
      <c r="H1" s="1" t="inlineStr">
        <is>
          <t>Dokument / Datengrundlage</t>
        </is>
      </c>
      <c r="I1" s="1" t="inlineStr">
        <is>
          <t>Dokumenttyp</t>
        </is>
      </c>
      <c r="J1" s="1" t="inlineStr">
        <is>
          <t>Dokumentstatus</t>
        </is>
      </c>
      <c r="K1" s="1" t="inlineStr">
        <is>
          <t>Rechts- / Verbindlichkeitsstatus</t>
        </is>
      </c>
      <c r="L1" s="1" t="inlineStr">
        <is>
          <t>Herausgeber / Zuständigkeit</t>
        </is>
      </c>
      <c r="M1" s="1" t="inlineStr">
        <is>
          <t>Link / Quelle</t>
        </is>
      </c>
      <c r="N1" s="1" t="inlineStr">
        <is>
          <t>Bezugsjahr / Stand</t>
        </is>
      </c>
      <c r="O1" s="1" t="inlineStr">
        <is>
          <t>Aktualität geprüft am</t>
        </is>
      </c>
      <c r="P1" s="1" t="inlineStr">
        <is>
          <t>Konkrete Aussage / Relevanz</t>
        </is>
      </c>
      <c r="Q1" s="1" t="inlineStr">
        <is>
          <t>Kennzahl / Prüfkriterium</t>
        </is>
      </c>
      <c r="R1" s="1" t="inlineStr">
        <is>
          <t>Erhebungs- / Bewertungsmethode</t>
        </is>
      </c>
      <c r="S1" s="1" t="inlineStr">
        <is>
          <t>Vergleichsmassstab</t>
        </is>
      </c>
      <c r="T1" s="1" t="inlineStr">
        <is>
          <t>Reifegrad / Tragfähigkeit</t>
        </is>
      </c>
      <c r="U1" s="1" t="inlineStr">
        <is>
          <t>Confidence</t>
        </is>
      </c>
      <c r="V1" s="1" t="inlineStr">
        <is>
          <t>Datenlücke / Gemeindeanfrage</t>
        </is>
      </c>
      <c r="W1" s="1" t="inlineStr">
        <is>
          <t>Verbindung A / B / Q</t>
        </is>
      </c>
      <c r="X1" s="1" t="inlineStr">
        <is>
          <t>Sprint-2-Verwendung</t>
        </is>
      </c>
      <c r="Y1" s="1" t="inlineStr">
        <is>
          <t>Prüfstatus / nächste Aktion</t>
        </is>
      </c>
      <c r="Z1" s="1" t="inlineStr">
        <is>
          <t>Herkunft / Nachweis</t>
        </is>
      </c>
      <c r="AA1" s="1" t="inlineStr">
        <is>
          <t>Weitere C-Dimensionen</t>
        </is>
      </c>
      <c r="AB1" s="1" t="inlineStr">
        <is>
          <t>Veröffentlichungsdatum</t>
        </is>
      </c>
      <c r="AC1" s="1" t="inlineStr">
        <is>
          <t>Offizielle Fundstelle</t>
        </is>
      </c>
      <c r="AD1" s="1" t="inlineStr">
        <is>
          <t>Linkstatus</t>
        </is>
      </c>
      <c r="AE1" s="1" t="inlineStr">
        <is>
          <t>HTTP-Status</t>
        </is>
      </c>
      <c r="AF1" s="1" t="inlineStr">
        <is>
          <t>Finale URL (nach Weiterleitung)</t>
        </is>
      </c>
      <c r="AG1" s="1" t="inlineStr">
        <is>
          <t>Dateityp</t>
        </is>
      </c>
      <c r="AH1" s="1" t="inlineStr">
        <is>
          <t>Inhaltsprüfung</t>
        </is>
      </c>
      <c r="AI1" s="1" t="inlineStr">
        <is>
          <t>Inhaltsprüfung – Nachweis</t>
        </is>
      </c>
      <c r="AJ1" s="1" t="inlineStr">
        <is>
          <t>Erkannter Dokumenttitel</t>
        </is>
      </c>
      <c r="AK1" s="1" t="inlineStr">
        <is>
          <t>Erkannte Jahresangaben</t>
        </is>
      </c>
      <c r="AL1" s="1" t="inlineStr">
        <is>
          <t>Linkstabilität</t>
        </is>
      </c>
      <c r="AM1" s="1" t="inlineStr">
        <is>
          <t>Letzte Linkprüfung</t>
        </is>
      </c>
      <c r="AN1" s="1" t="inlineStr">
        <is>
          <t>Quellenverfügbarkeit</t>
        </is>
      </c>
      <c r="AO1" s="1" t="inlineStr">
        <is>
          <t>Einheit / Bezugsjahr</t>
        </is>
      </c>
      <c r="AP1" s="1" t="inlineStr">
        <is>
          <t>Prüfnachweis (belegbare Aussage)</t>
        </is>
      </c>
      <c r="AQ1" s="1" t="inlineStr">
        <is>
          <t>Bewertungsbegründung</t>
        </is>
      </c>
      <c r="AR1" s="1" t="inlineStr">
        <is>
          <t>Gemeindeanfrage erforderlich</t>
        </is>
      </c>
      <c r="AS1" s="1" t="inlineStr">
        <is>
          <t>Zuständige Stelle</t>
        </is>
      </c>
      <c r="AT1" s="1" t="inlineStr">
        <is>
          <t>Bearbeitungsstatus</t>
        </is>
      </c>
      <c r="AU1" s="1" t="inlineStr">
        <is>
          <t>Recherchehinweis</t>
        </is>
      </c>
      <c r="AV1" s="1" t="inlineStr">
        <is>
          <t>Gleiche Quelle wie (ID)</t>
        </is>
      </c>
      <c r="AW1" s="1" t="inlineStr">
        <is>
          <t>Änderungsprotokoll</t>
        </is>
      </c>
      <c r="AX1" s="1" t="inlineStr">
        <is>
          <t>Abgleich mit Gesamtübersicht</t>
        </is>
      </c>
    </row>
    <row r="2" ht="43" customHeight="1">
      <c r="A2" s="2" t="inlineStr">
        <is>
          <t>CH-C1-01</t>
        </is>
      </c>
      <c r="B2" s="13" t="inlineStr">
        <is>
          <t>Bund</t>
        </is>
      </c>
      <c r="C2" s="2" t="inlineStr">
        <is>
          <t>Schweiz</t>
        </is>
      </c>
      <c r="D2" s="2" t="inlineStr">
        <is>
          <t>Alle</t>
        </is>
      </c>
      <c r="E2" s="2" t="inlineStr">
        <is>
          <t>Alle</t>
        </is>
      </c>
      <c r="F2" s="2" t="inlineStr">
        <is>
          <t>C1</t>
        </is>
      </c>
      <c r="G2" s="2" t="inlineStr">
        <is>
          <t>Öffentliche Finanzstatistik</t>
        </is>
      </c>
      <c r="H2" s="2" t="inlineStr">
        <is>
          <t>Finanzstatistik: Daten der Eidgenössischen Finanzverwaltung</t>
        </is>
      </c>
      <c r="I2" s="2" t="inlineStr">
        <is>
          <t>Datenportal</t>
        </is>
      </c>
      <c r="J2" s="2" t="inlineStr">
        <is>
          <t>Offizielle Quelle recherchiert</t>
        </is>
      </c>
      <c r="K2" s="2" t="inlineStr">
        <is>
          <t>Orientierung / Datengrundlage</t>
        </is>
      </c>
      <c r="L2" s="2" t="inlineStr">
        <is>
          <t>Bund</t>
        </is>
      </c>
      <c r="M2" s="5" t="inlineStr">
        <is>
          <t>https://www.efv.admin.ch/de/finanzstatistik-daten</t>
        </is>
      </c>
      <c r="N2" s="2" t="inlineStr">
        <is>
          <t>Zu prüfen</t>
        </is>
      </c>
      <c r="O2" s="2" t="inlineStr">
        <is>
          <t>2026-10-14</t>
        </is>
      </c>
      <c r="P2" s="2" t="inlineStr">
        <is>
          <t>Harmonisierte Finanzstatistik als Kontext und methodische Vergleichsbasis</t>
        </is>
      </c>
      <c r="Q2" s="2" t="inlineStr">
        <is>
          <t>Finanzkennzahlen, Ausgaben, Einnahmen</t>
        </is>
      </c>
      <c r="R2" s="2" t="inlineStr">
        <is>
          <t>Zeitreihen und Aufgabenabgrenzung prüfen</t>
        </is>
      </c>
      <c r="S2" s="2" t="inlineStr">
        <is>
          <t>Kanton × Grössenklasse; Richtwerte</t>
        </is>
      </c>
      <c r="T2" s="2" t="inlineStr">
        <is>
          <t>Noch nicht bewertet</t>
        </is>
      </c>
      <c r="U2" s="2" t="inlineStr">
        <is>
          <t>Hoch</t>
        </is>
      </c>
      <c r="V2" s="2" t="inlineStr"/>
      <c r="W2" s="2" t="inlineStr">
        <is>
          <t>A1/A2; C1</t>
        </is>
      </c>
      <c r="X2" s="2" t="inlineStr">
        <is>
          <t>Finanziellen Spielraum und DYN-Korridor plausibilisieren</t>
        </is>
      </c>
      <c r="Y2" s="2" t="inlineStr">
        <is>
          <t>Dokument auswerten; Aktualität und Geltung prüfen</t>
        </is>
      </c>
      <c r="Z2" s="2" t="inlineStr">
        <is>
          <t>Offizielles Bundesportal; methodische Auswahl</t>
        </is>
      </c>
      <c r="AA2" s="2" t="inlineStr"/>
      <c r="AB2" s="2" t="inlineStr"/>
      <c r="AC2" s="5" t="inlineStr">
        <is>
          <t>https://www.efv.admin.ch/</t>
        </is>
      </c>
      <c r="AD2" s="2" t="inlineStr">
        <is>
          <t>Verifiziert</t>
        </is>
      </c>
      <c r="AE2" s="2" t="inlineStr">
        <is>
          <t>200</t>
        </is>
      </c>
      <c r="AF2" s="2" t="inlineStr"/>
      <c r="AG2" s="2" t="inlineStr">
        <is>
          <t>HTML</t>
        </is>
      </c>
      <c r="AH2" s="2" t="inlineStr">
        <is>
          <t>Bestätigt</t>
        </is>
      </c>
      <c r="AI2" s="2" t="inlineStr">
        <is>
          <t>Schlüsselwörter 1/1 gefunden (Finanzstatistik)</t>
        </is>
      </c>
      <c r="AJ2" s="2" t="inlineStr">
        <is>
          <t>Übersicht über die Daten der Finanzstatistik | Übersicht über die Daten der Finanzstatistik</t>
        </is>
      </c>
      <c r="AK2" s="2" t="inlineStr">
        <is>
          <t>2008, 2026, 2025, 2014</t>
        </is>
      </c>
      <c r="AL2" s="2" t="inlineStr">
        <is>
          <t>Mittel (Webseite)</t>
        </is>
      </c>
      <c r="AM2" s="2" t="inlineStr">
        <is>
          <t>2026-10-14 13:53</t>
        </is>
      </c>
      <c r="AN2" s="2" t="inlineStr">
        <is>
          <t>Öffentlich verfügbar und verifiziert</t>
        </is>
      </c>
      <c r="AO2" s="2" t="inlineStr">
        <is>
          <t>Zu prüfen</t>
        </is>
      </c>
      <c r="AP2" s="2" t="inlineStr">
        <is>
          <t>Belegt Existenz und Zugänglichkeit der Quelle; inhaltliche Aussagen erst nach Auswertung.</t>
        </is>
      </c>
      <c r="AQ2" s="2" t="inlineStr">
        <is>
          <t>Keine Einstufung: Kennzahlen/Befunde noch nicht ausgewertet; Schwellen der Bewertungslogik noch nicht validiert.</t>
        </is>
      </c>
      <c r="AR2" s="2" t="inlineStr">
        <is>
          <t>Nein</t>
        </is>
      </c>
      <c r="AS2" s="2" t="inlineStr">
        <is>
          <t>Bund</t>
        </is>
      </c>
      <c r="AT2" s="2" t="inlineStr">
        <is>
          <t>In Prüfung</t>
        </is>
      </c>
      <c r="AU2" s="2" t="inlineStr"/>
      <c r="AV2" s="2" t="inlineStr"/>
      <c r="AW2" s="2" t="inlineStr"/>
      <c r="AX2" s="2">
        <f>IF(ISNA(MATCH($A2,'Gesamtübersicht'!$A:$A,0)),"ID fehlt in Gesamtübersicht",IF(AND(INDEX('Gesamtübersicht'!$H:$H,MATCH($A2,'Gesamtübersicht'!$A:$A,0))&amp;""=$H2&amp;"",INDEX('Gesamtübersicht'!$M:$M,MATCH($A2,'Gesamtübersicht'!$A:$A,0))&amp;""=$M2&amp;"",INDEX('Gesamtübersicht'!$AD:$AD,MATCH($A2,'Gesamtübersicht'!$A:$A,0))&amp;""=$AD2&amp;"",INDEX('Gesamtübersicht'!$AH:$AH,MATCH($A2,'Gesamtübersicht'!$A:$A,0))&amp;""=$AH2&amp;"",INDEX('Gesamtübersicht'!$T:$T,MATCH($A2,'Gesamtübersicht'!$A:$A,0))&amp;""=$T2&amp;""),"OK","Abweichung – Ansicht neu erzeugen"))</f>
        <v/>
      </c>
    </row>
    <row r="3" ht="43" customHeight="1">
      <c r="A3" s="3" t="inlineStr">
        <is>
          <t>CH-C1-02</t>
        </is>
      </c>
      <c r="B3" s="13" t="inlineStr">
        <is>
          <t>Bund</t>
        </is>
      </c>
      <c r="C3" s="3" t="inlineStr">
        <is>
          <t>Schweiz</t>
        </is>
      </c>
      <c r="D3" s="3" t="inlineStr">
        <is>
          <t>Alle</t>
        </is>
      </c>
      <c r="E3" s="3" t="inlineStr">
        <is>
          <t>Alle</t>
        </is>
      </c>
      <c r="F3" s="3" t="inlineStr">
        <is>
          <t>C1</t>
        </is>
      </c>
      <c r="G3" s="3" t="inlineStr">
        <is>
          <t>Rechnungslegung</t>
        </is>
      </c>
      <c r="H3" s="3" t="inlineStr">
        <is>
          <t>EFV: Methodik und Vergleichbarkeit der Finanzstatistik</t>
        </is>
      </c>
      <c r="I3" s="3" t="inlineStr">
        <is>
          <t>Methodik</t>
        </is>
      </c>
      <c r="J3" s="3" t="inlineStr">
        <is>
          <t>Offizielle Quelle recherchiert</t>
        </is>
      </c>
      <c r="K3" s="3" t="inlineStr">
        <is>
          <t>Orientierung / Datengrundlage</t>
        </is>
      </c>
      <c r="L3" s="3" t="inlineStr">
        <is>
          <t>Bund</t>
        </is>
      </c>
      <c r="M3" s="7" t="inlineStr">
        <is>
          <t>https://www.efv.admin.ch/de/was-ist-die-finanzstatistik</t>
        </is>
      </c>
      <c r="N3" s="3" t="inlineStr">
        <is>
          <t>Zu prüfen</t>
        </is>
      </c>
      <c r="O3" s="3" t="inlineStr">
        <is>
          <t>2026-10-14</t>
        </is>
      </c>
      <c r="P3" s="3" t="inlineStr">
        <is>
          <t>Kantonale Aufgabenverteilung begrenzt Vergleichbarkeit</t>
        </is>
      </c>
      <c r="Q3" s="3" t="inlineStr">
        <is>
          <t>HRM / Aufgabenabgrenzung</t>
        </is>
      </c>
      <c r="R3" s="3" t="inlineStr">
        <is>
          <t>Vergleichbarkeit explizit dokumentieren</t>
        </is>
      </c>
      <c r="S3" s="3" t="inlineStr">
        <is>
          <t>Kanton × Grössenklasse</t>
        </is>
      </c>
      <c r="T3" s="3" t="inlineStr">
        <is>
          <t>Noch nicht bewertet</t>
        </is>
      </c>
      <c r="U3" s="3" t="inlineStr">
        <is>
          <t>Hoch</t>
        </is>
      </c>
      <c r="V3" s="3" t="inlineStr"/>
      <c r="W3" s="3" t="inlineStr">
        <is>
          <t>A1; C1</t>
        </is>
      </c>
      <c r="X3" s="3" t="inlineStr">
        <is>
          <t>Vergleichsregeln absichern</t>
        </is>
      </c>
      <c r="Y3" s="3" t="inlineStr">
        <is>
          <t>Dokument auswerten; Aktualität und Geltung prüfen</t>
        </is>
      </c>
      <c r="Z3" s="3" t="inlineStr">
        <is>
          <t>Offizielles Bundesportal; methodische Auswahl</t>
        </is>
      </c>
      <c r="AA3" s="3" t="inlineStr"/>
      <c r="AB3" s="3" t="inlineStr"/>
      <c r="AC3" s="3" t="inlineStr"/>
      <c r="AD3" s="3" t="inlineStr">
        <is>
          <t>Verifiziert</t>
        </is>
      </c>
      <c r="AE3" s="3" t="inlineStr">
        <is>
          <t>200</t>
        </is>
      </c>
      <c r="AF3" s="3" t="inlineStr"/>
      <c r="AG3" s="3" t="inlineStr">
        <is>
          <t>HTML</t>
        </is>
      </c>
      <c r="AH3" s="3" t="inlineStr">
        <is>
          <t>Bestätigt</t>
        </is>
      </c>
      <c r="AI3" s="3" t="inlineStr">
        <is>
          <t>Schlüsselwörter 1/1 gefunden (Finanzstatistik)</t>
        </is>
      </c>
      <c r="AJ3" s="3" t="inlineStr">
        <is>
          <t>Was ist die Finanzstatistik? | Was ist die Finanzstatistik?</t>
        </is>
      </c>
      <c r="AK3" s="3" t="inlineStr">
        <is>
          <t>2014, 2010, 2026, 2024, 2023, 2025</t>
        </is>
      </c>
      <c r="AL3" s="3" t="inlineStr">
        <is>
          <t>Mittel (Webseite)</t>
        </is>
      </c>
      <c r="AM3" s="3" t="inlineStr">
        <is>
          <t>2026-10-14 13:53</t>
        </is>
      </c>
      <c r="AN3" s="3" t="inlineStr">
        <is>
          <t>Öffentlich verfügbar und verifiziert</t>
        </is>
      </c>
      <c r="AO3" s="3" t="inlineStr">
        <is>
          <t>Zu prüfen</t>
        </is>
      </c>
      <c r="AP3" s="3" t="inlineStr">
        <is>
          <t>Belegt Existenz und Zugänglichkeit der Quelle; inhaltliche Aussagen erst nach Auswertung.</t>
        </is>
      </c>
      <c r="AQ3" s="3" t="inlineStr">
        <is>
          <t>Keine Einstufung: Kennzahlen/Befunde noch nicht ausgewertet; Schwellen der Bewertungslogik noch nicht validiert.</t>
        </is>
      </c>
      <c r="AR3" s="3" t="inlineStr">
        <is>
          <t>Nein</t>
        </is>
      </c>
      <c r="AS3" s="3" t="inlineStr">
        <is>
          <t>Bund</t>
        </is>
      </c>
      <c r="AT3" s="3" t="inlineStr">
        <is>
          <t>In Prüfung</t>
        </is>
      </c>
      <c r="AU3" s="3" t="inlineStr"/>
      <c r="AV3" s="3" t="inlineStr"/>
      <c r="AW3" s="3" t="inlineStr"/>
      <c r="AX3" s="3">
        <f>IF(ISNA(MATCH($A3,'Gesamtübersicht'!$A:$A,0)),"ID fehlt in Gesamtübersicht",IF(AND(INDEX('Gesamtübersicht'!$H:$H,MATCH($A3,'Gesamtübersicht'!$A:$A,0))&amp;""=$H3&amp;"",INDEX('Gesamtübersicht'!$M:$M,MATCH($A3,'Gesamtübersicht'!$A:$A,0))&amp;""=$M3&amp;"",INDEX('Gesamtübersicht'!$AD:$AD,MATCH($A3,'Gesamtübersicht'!$A:$A,0))&amp;""=$AD3&amp;"",INDEX('Gesamtübersicht'!$AH:$AH,MATCH($A3,'Gesamtübersicht'!$A:$A,0))&amp;""=$AH3&amp;"",INDEX('Gesamtübersicht'!$T:$T,MATCH($A3,'Gesamtübersicht'!$A:$A,0))&amp;""=$T3&amp;""),"OK","Abweichung – Ansicht neu erzeugen"))</f>
        <v/>
      </c>
    </row>
    <row r="4" ht="43" customHeight="1">
      <c r="A4" s="2" t="inlineStr">
        <is>
          <t>CH-C1-03</t>
        </is>
      </c>
      <c r="B4" s="13" t="inlineStr">
        <is>
          <t>Bund</t>
        </is>
      </c>
      <c r="C4" s="2" t="inlineStr">
        <is>
          <t>Schweiz</t>
        </is>
      </c>
      <c r="D4" s="2" t="inlineStr">
        <is>
          <t>Alle</t>
        </is>
      </c>
      <c r="E4" s="2" t="inlineStr">
        <is>
          <t>Alle</t>
        </is>
      </c>
      <c r="F4" s="2" t="inlineStr">
        <is>
          <t>C1</t>
        </is>
      </c>
      <c r="G4" s="2" t="inlineStr">
        <is>
          <t>Finanzstatistik Methode</t>
        </is>
      </c>
      <c r="H4" s="2" t="inlineStr">
        <is>
          <t>EFV: Methoden der Finanzstatistik (FS-Modell, HRM2-Zuordnung)</t>
        </is>
      </c>
      <c r="I4" s="2" t="inlineStr">
        <is>
          <t>Methodik</t>
        </is>
      </c>
      <c r="J4" s="2" t="inlineStr">
        <is>
          <t>Webseite</t>
        </is>
      </c>
      <c r="K4" s="2" t="inlineStr">
        <is>
          <t>Methodische Grundlage</t>
        </is>
      </c>
      <c r="L4" s="2" t="inlineStr">
        <is>
          <t>Eidgenössische Finanzverwaltung (EFV)</t>
        </is>
      </c>
      <c r="M4" s="5" t="inlineStr">
        <is>
          <t>https://www.efv.admin.ch/de/methoden-finanzstatistik</t>
        </is>
      </c>
      <c r="N4" s="2" t="inlineStr"/>
      <c r="O4" s="2" t="inlineStr">
        <is>
          <t>2026-10-14</t>
        </is>
      </c>
      <c r="P4" s="2" t="inlineStr">
        <is>
          <t>Definitionen der Kennzahlen und HRM2-Abbildung für Vergleichbarkeit</t>
        </is>
      </c>
      <c r="Q4" s="2" t="inlineStr">
        <is>
          <t>Kennzahlendefinitionen</t>
        </is>
      </c>
      <c r="R4" s="2" t="inlineStr"/>
      <c r="S4" s="2" t="inlineStr">
        <is>
          <t>Kanton × Grössenklasse</t>
        </is>
      </c>
      <c r="T4" s="2" t="inlineStr">
        <is>
          <t>Noch nicht bewertet</t>
        </is>
      </c>
      <c r="U4" s="2" t="inlineStr">
        <is>
          <t>Hoch</t>
        </is>
      </c>
      <c r="V4" s="2" t="inlineStr"/>
      <c r="W4" s="2" t="inlineStr">
        <is>
          <t>C1</t>
        </is>
      </c>
      <c r="X4" s="2" t="inlineStr">
        <is>
          <t>Vergleichsregeln C1</t>
        </is>
      </c>
      <c r="Y4" s="2" t="inlineStr">
        <is>
          <t>Dokument auswerten; Aktualität und Geltung prüfen</t>
        </is>
      </c>
      <c r="Z4" s="2" t="inlineStr">
        <is>
          <t>Automatische Recherche GitHub Actions (Discovery), Fundstelle siehe Spalte Offizielle Fundstelle</t>
        </is>
      </c>
      <c r="AA4" s="2" t="inlineStr"/>
      <c r="AB4" s="2" t="inlineStr"/>
      <c r="AC4" s="5" t="inlineStr">
        <is>
          <t>https://www.efv.admin.ch/de/finanzstatistik-daten</t>
        </is>
      </c>
      <c r="AD4" s="2" t="inlineStr">
        <is>
          <t>Verifiziert</t>
        </is>
      </c>
      <c r="AE4" s="2" t="inlineStr">
        <is>
          <t>200</t>
        </is>
      </c>
      <c r="AF4" s="2" t="inlineStr"/>
      <c r="AG4" s="2" t="inlineStr">
        <is>
          <t>HTML</t>
        </is>
      </c>
      <c r="AH4" s="2" t="inlineStr">
        <is>
          <t>Bestätigt</t>
        </is>
      </c>
      <c r="AI4" s="2" t="inlineStr">
        <is>
          <t>Schlüsselwörter 2/2 gefunden (Methode, Finanzstatistik)</t>
        </is>
      </c>
      <c r="AJ4" s="2" t="inlineStr">
        <is>
          <t>Methoden der Finanzstatistik | Methoden der Finanzstatistik</t>
        </is>
      </c>
      <c r="AK4" s="2" t="inlineStr">
        <is>
          <t>2016, 2026, 2015, 2020, 2014, 2025</t>
        </is>
      </c>
      <c r="AL4" s="2" t="inlineStr">
        <is>
          <t>Mittel (Webseite)</t>
        </is>
      </c>
      <c r="AM4" s="2" t="inlineStr">
        <is>
          <t>2026-10-14 13:54</t>
        </is>
      </c>
      <c r="AN4" s="2" t="inlineStr">
        <is>
          <t>Öffentlich verfügbar und verifiziert</t>
        </is>
      </c>
      <c r="AO4" s="2" t="inlineStr"/>
      <c r="AP4" s="2" t="inlineStr">
        <is>
          <t>Belegt Existenz und Zugänglichkeit der Quelle; inhaltliche Aussagen erst nach Auswertung.</t>
        </is>
      </c>
      <c r="AQ4" s="2" t="inlineStr">
        <is>
          <t>Keine Einstufung: Kennzahlen/Befunde noch nicht ausgewertet; Schwellen der Bewertungslogik noch nicht validiert.</t>
        </is>
      </c>
      <c r="AR4" s="2" t="inlineStr">
        <is>
          <t>Nein</t>
        </is>
      </c>
      <c r="AS4" s="2" t="inlineStr">
        <is>
          <t>Eidgenössische Finanzverwaltung (EFV)</t>
        </is>
      </c>
      <c r="AT4" s="2" t="inlineStr">
        <is>
          <t>In Prüfung</t>
        </is>
      </c>
      <c r="AU4" s="2" t="inlineStr">
        <is>
          <t>Früherer PDF-Link zum FS-Methodenband (efv.admin.ch/dam/…) liefert HTTP 502 (Website-Umbau); Methodenseite über EFV-Finanzstatistik ermittelt.</t>
        </is>
      </c>
      <c r="AV4" s="2" t="inlineStr"/>
      <c r="AW4" s="2" t="inlineStr">
        <is>
          <t>2026-10-14: neu aufgenommen</t>
        </is>
      </c>
      <c r="AX4" s="2">
        <f>IF(ISNA(MATCH($A4,'Gesamtübersicht'!$A:$A,0)),"ID fehlt in Gesamtübersicht",IF(AND(INDEX('Gesamtübersicht'!$H:$H,MATCH($A4,'Gesamtübersicht'!$A:$A,0))&amp;""=$H4&amp;"",INDEX('Gesamtübersicht'!$M:$M,MATCH($A4,'Gesamtübersicht'!$A:$A,0))&amp;""=$M4&amp;"",INDEX('Gesamtübersicht'!$AD:$AD,MATCH($A4,'Gesamtübersicht'!$A:$A,0))&amp;""=$AD4&amp;"",INDEX('Gesamtübersicht'!$AH:$AH,MATCH($A4,'Gesamtübersicht'!$A:$A,0))&amp;""=$AH4&amp;"",INDEX('Gesamtübersicht'!$T:$T,MATCH($A4,'Gesamtübersicht'!$A:$A,0))&amp;""=$T4&amp;""),"OK","Abweichung – Ansicht neu erzeugen"))</f>
        <v/>
      </c>
    </row>
    <row r="5" ht="43" customHeight="1">
      <c r="A5" s="3" t="inlineStr">
        <is>
          <t>CH-C1-04</t>
        </is>
      </c>
      <c r="B5" s="13" t="inlineStr">
        <is>
          <t>Bund</t>
        </is>
      </c>
      <c r="C5" s="3" t="inlineStr">
        <is>
          <t>Schweiz</t>
        </is>
      </c>
      <c r="D5" s="3" t="inlineStr">
        <is>
          <t>Alle</t>
        </is>
      </c>
      <c r="E5" s="3" t="inlineStr">
        <is>
          <t>Alle</t>
        </is>
      </c>
      <c r="F5" s="3" t="inlineStr">
        <is>
          <t>C1</t>
        </is>
      </c>
      <c r="G5" s="3" t="inlineStr">
        <is>
          <t>Finanzdaten Gemeinden</t>
        </is>
      </c>
      <c r="H5" s="3" t="inlineStr">
        <is>
          <t>EFV: Detaillierte Daten FS- und GFS-Modell (Open Government Data)</t>
        </is>
      </c>
      <c r="I5" s="3" t="inlineStr">
        <is>
          <t>Datensatz</t>
        </is>
      </c>
      <c r="J5" s="3" t="inlineStr">
        <is>
          <t>Direktes Dokument</t>
        </is>
      </c>
      <c r="K5" s="3" t="inlineStr">
        <is>
          <t>Datengrundlage</t>
        </is>
      </c>
      <c r="L5" s="3" t="inlineStr">
        <is>
          <t>EFV / opendata.swiss</t>
        </is>
      </c>
      <c r="M5" s="7" t="inlineStr">
        <is>
          <t>https://opendata.swiss/en/dataset/detaillierte-daten-fs-und-gfs-modell-standardauswertungen</t>
        </is>
      </c>
      <c r="N5" s="3" t="inlineStr"/>
      <c r="O5" s="3" t="inlineStr">
        <is>
          <t>2026-10-14</t>
        </is>
      </c>
      <c r="P5" s="3" t="inlineStr">
        <is>
          <t>Maschinenlesbare Finanzdaten für Peer-Vergleich</t>
        </is>
      </c>
      <c r="Q5" s="3" t="inlineStr">
        <is>
          <t>Einnahmen, Ausgaben, Schulden</t>
        </is>
      </c>
      <c r="R5" s="3" t="inlineStr"/>
      <c r="S5" s="3" t="inlineStr">
        <is>
          <t>Kanton × Grössenklasse</t>
        </is>
      </c>
      <c r="T5" s="3" t="inlineStr">
        <is>
          <t>Noch nicht bewertet</t>
        </is>
      </c>
      <c r="U5" s="3" t="inlineStr">
        <is>
          <t>Mittel</t>
        </is>
      </c>
      <c r="V5" s="3" t="inlineStr"/>
      <c r="W5" s="3" t="inlineStr"/>
      <c r="X5" s="3" t="inlineStr"/>
      <c r="Y5" s="3" t="inlineStr">
        <is>
          <t>Dokument auswerten; Aktualität und Geltung prüfen</t>
        </is>
      </c>
      <c r="Z5" s="3" t="inlineStr">
        <is>
          <t>Websuche 14.10.2026 (URL im Suchergebnis gefunden)</t>
        </is>
      </c>
      <c r="AA5" s="3" t="inlineStr"/>
      <c r="AB5" s="3" t="inlineStr"/>
      <c r="AC5" s="3" t="inlineStr"/>
      <c r="AD5" s="3" t="inlineStr">
        <is>
          <t>Verifiziert</t>
        </is>
      </c>
      <c r="AE5" s="3" t="inlineStr">
        <is>
          <t>200</t>
        </is>
      </c>
      <c r="AF5" s="3" t="inlineStr"/>
      <c r="AG5" s="3" t="inlineStr">
        <is>
          <t>HTML</t>
        </is>
      </c>
      <c r="AH5" s="3" t="inlineStr">
        <is>
          <t>Bestätigt</t>
        </is>
      </c>
      <c r="AI5" s="3" t="inlineStr">
        <is>
          <t>Schlüsselwörter 2/2 gefunden (FS, GFS)</t>
        </is>
      </c>
      <c r="AJ5" s="3" t="inlineStr">
        <is>
          <t>Detailed data FS and GFS model: Regular tables | opendata.swiss | Detailed data FS and GFS model: Regular tables</t>
        </is>
      </c>
      <c r="AK5" s="3" t="inlineStr">
        <is>
          <t>2008, 2025, 2014, 2023</t>
        </is>
      </c>
      <c r="AL5" s="3" t="inlineStr">
        <is>
          <t>Mittel (Webseite)</t>
        </is>
      </c>
      <c r="AM5" s="3" t="inlineStr">
        <is>
          <t>2026-10-14 13:54</t>
        </is>
      </c>
      <c r="AN5" s="3" t="inlineStr">
        <is>
          <t>Öffentlich verfügbar und verifiziert</t>
        </is>
      </c>
      <c r="AO5" s="3" t="inlineStr"/>
      <c r="AP5" s="3" t="inlineStr">
        <is>
          <t>Belegt Existenz und Zugänglichkeit der Quelle; inhaltliche Aussagen erst nach Auswertung.</t>
        </is>
      </c>
      <c r="AQ5" s="3" t="inlineStr">
        <is>
          <t>Keine Einstufung: Kennzahlen/Befunde noch nicht ausgewertet; Schwellen der Bewertungslogik noch nicht validiert.</t>
        </is>
      </c>
      <c r="AR5" s="3" t="inlineStr">
        <is>
          <t>Nein</t>
        </is>
      </c>
      <c r="AS5" s="3" t="inlineStr">
        <is>
          <t>EFV / opendata.swiss</t>
        </is>
      </c>
      <c r="AT5" s="3" t="inlineStr">
        <is>
          <t>In Prüfung</t>
        </is>
      </c>
      <c r="AU5" s="3" t="inlineStr"/>
      <c r="AV5" s="3" t="inlineStr"/>
      <c r="AW5" s="3" t="inlineStr">
        <is>
          <t>2026-10-14: neu aufgenommen</t>
        </is>
      </c>
      <c r="AX5" s="3">
        <f>IF(ISNA(MATCH($A5,'Gesamtübersicht'!$A:$A,0)),"ID fehlt in Gesamtübersicht",IF(AND(INDEX('Gesamtübersicht'!$H:$H,MATCH($A5,'Gesamtübersicht'!$A:$A,0))&amp;""=$H5&amp;"",INDEX('Gesamtübersicht'!$M:$M,MATCH($A5,'Gesamtübersicht'!$A:$A,0))&amp;""=$M5&amp;"",INDEX('Gesamtübersicht'!$AD:$AD,MATCH($A5,'Gesamtübersicht'!$A:$A,0))&amp;""=$AD5&amp;"",INDEX('Gesamtübersicht'!$AH:$AH,MATCH($A5,'Gesamtübersicht'!$A:$A,0))&amp;""=$AH5&amp;"",INDEX('Gesamtübersicht'!$T:$T,MATCH($A5,'Gesamtübersicht'!$A:$A,0))&amp;""=$T5&amp;""),"OK","Abweichung – Ansicht neu erzeugen"))</f>
        <v/>
      </c>
    </row>
    <row r="6" ht="43" customHeight="1">
      <c r="A6" s="2" t="inlineStr">
        <is>
          <t>CH-C2-01</t>
        </is>
      </c>
      <c r="B6" s="13" t="inlineStr">
        <is>
          <t>Bund</t>
        </is>
      </c>
      <c r="C6" s="2" t="inlineStr">
        <is>
          <t>Schweiz</t>
        </is>
      </c>
      <c r="D6" s="2" t="inlineStr">
        <is>
          <t>Alle</t>
        </is>
      </c>
      <c r="E6" s="2" t="inlineStr">
        <is>
          <t>Alle</t>
        </is>
      </c>
      <c r="F6" s="2" t="inlineStr">
        <is>
          <t>C2</t>
        </is>
      </c>
      <c r="G6" s="2" t="inlineStr">
        <is>
          <t>Eigentumsrechte</t>
        </is>
      </c>
      <c r="H6" s="2" t="inlineStr">
        <is>
          <t>Schweizerisches Zivilgesetzbuch (ZGB)</t>
        </is>
      </c>
      <c r="I6" s="2" t="inlineStr">
        <is>
          <t>Bundesgesetz</t>
        </is>
      </c>
      <c r="J6" s="2" t="inlineStr">
        <is>
          <t>Offizielle Quelle recherchiert</t>
        </is>
      </c>
      <c r="K6" s="2" t="inlineStr">
        <is>
          <t>Bundesgesetz (verbindlich)</t>
        </is>
      </c>
      <c r="L6" s="2" t="inlineStr">
        <is>
          <t>Bund</t>
        </is>
      </c>
      <c r="M6" s="5" t="inlineStr">
        <is>
          <t>https://www.fedlex.admin.ch/eli/cc/24/233_245_233/de</t>
        </is>
      </c>
      <c r="N6" s="2" t="inlineStr">
        <is>
          <t>SR 210, geltende Fassung</t>
        </is>
      </c>
      <c r="O6" s="2" t="inlineStr">
        <is>
          <t>2026-10-14</t>
        </is>
      </c>
      <c r="P6" s="2" t="inlineStr">
        <is>
          <t>Eigentum, Dienstbarkeiten und Baurechte als rechtlicher Rahmen</t>
        </is>
      </c>
      <c r="Q6" s="2" t="inlineStr">
        <is>
          <t>Baurecht, Dienstbarkeit, Eigentum</t>
        </is>
      </c>
      <c r="R6" s="2" t="inlineStr">
        <is>
          <t>Grundbuch und Verträge gemeindespezifisch prüfen</t>
        </is>
      </c>
      <c r="S6" s="2" t="inlineStr">
        <is>
          <t>Kein Peer-Vergleich</t>
        </is>
      </c>
      <c r="T6" s="2" t="inlineStr">
        <is>
          <t>Noch nicht bewertet</t>
        </is>
      </c>
      <c r="U6" s="2" t="inlineStr">
        <is>
          <t>Hoch</t>
        </is>
      </c>
      <c r="V6" s="2" t="inlineStr"/>
      <c r="W6" s="2" t="inlineStr">
        <is>
          <t>B; Q1</t>
        </is>
      </c>
      <c r="X6" s="2" t="inlineStr">
        <is>
          <t>Bodenmobilisierung / Verfügung prüfen</t>
        </is>
      </c>
      <c r="Y6" s="2" t="inlineStr">
        <is>
          <t>Dokument auswerten; Aktualität und Geltung prüfen</t>
        </is>
      </c>
      <c r="Z6" s="2" t="inlineStr">
        <is>
          <t>Offizielles Bundesportal; methodische Auswahl</t>
        </is>
      </c>
      <c r="AA6" s="2" t="inlineStr"/>
      <c r="AB6" s="2" t="inlineStr"/>
      <c r="AC6" s="2" t="inlineStr"/>
      <c r="AD6" s="2" t="inlineStr">
        <is>
          <t>Verifiziert</t>
        </is>
      </c>
      <c r="AE6" s="2" t="inlineStr">
        <is>
          <t>200</t>
        </is>
      </c>
      <c r="AF6" s="2" t="inlineStr"/>
      <c r="AG6" s="2" t="inlineStr">
        <is>
          <t>HTML</t>
        </is>
      </c>
      <c r="AH6" s="2" t="inlineStr">
        <is>
          <t>Bestätigt</t>
        </is>
      </c>
      <c r="AI6" s="2" t="inlineStr">
        <is>
          <t>Titel via Fedlex-SPARQL (https://fedlex.data.admin.ch/eli/cc/24/233_245_233); Schlüsselwörter 1/1 gefunden (Zivilgesetzbuch)</t>
        </is>
      </c>
      <c r="AJ6" s="2" t="inlineStr">
        <is>
          <t>Schweizerisches Zivilgesetzbuch vom 10. Dezember 1907 (ZGB)</t>
        </is>
      </c>
      <c r="AK6" s="2" t="inlineStr"/>
      <c r="AL6" s="2" t="inlineStr">
        <is>
          <t>Hoch (ELI-Permalink)</t>
        </is>
      </c>
      <c r="AM6" s="2" t="inlineStr">
        <is>
          <t>2026-10-14 13:53</t>
        </is>
      </c>
      <c r="AN6" s="2" t="inlineStr">
        <is>
          <t>Öffentlich verfügbar und verifiziert</t>
        </is>
      </c>
      <c r="AO6" s="2" t="inlineStr">
        <is>
          <t>SR 210, geltende Fassung</t>
        </is>
      </c>
      <c r="AP6" s="2" t="inlineStr">
        <is>
          <t>Belegt Existenz und Zugänglichkeit der Quelle; inhaltliche Aussagen erst nach Auswertung.</t>
        </is>
      </c>
      <c r="AQ6" s="2" t="inlineStr">
        <is>
          <t>Keine Einstufung: Kennzahlen/Befunde noch nicht ausgewertet; Schwellen der Bewertungslogik noch nicht validiert.</t>
        </is>
      </c>
      <c r="AR6" s="2" t="inlineStr">
        <is>
          <t>Nein</t>
        </is>
      </c>
      <c r="AS6" s="2" t="inlineStr">
        <is>
          <t>Bund</t>
        </is>
      </c>
      <c r="AT6" s="2" t="inlineStr">
        <is>
          <t>In Prüfung</t>
        </is>
      </c>
      <c r="AU6" s="2" t="inlineStr"/>
      <c r="AV6" s="2" t="inlineStr"/>
      <c r="AW6" s="2" t="inlineStr"/>
      <c r="AX6" s="2">
        <f>IF(ISNA(MATCH($A6,'Gesamtübersicht'!$A:$A,0)),"ID fehlt in Gesamtübersicht",IF(AND(INDEX('Gesamtübersicht'!$H:$H,MATCH($A6,'Gesamtübersicht'!$A:$A,0))&amp;""=$H6&amp;"",INDEX('Gesamtübersicht'!$M:$M,MATCH($A6,'Gesamtübersicht'!$A:$A,0))&amp;""=$M6&amp;"",INDEX('Gesamtübersicht'!$AD:$AD,MATCH($A6,'Gesamtübersicht'!$A:$A,0))&amp;""=$AD6&amp;"",INDEX('Gesamtübersicht'!$AH:$AH,MATCH($A6,'Gesamtübersicht'!$A:$A,0))&amp;""=$AH6&amp;"",INDEX('Gesamtübersicht'!$T:$T,MATCH($A6,'Gesamtübersicht'!$A:$A,0))&amp;""=$T6&amp;""),"OK","Abweichung – Ansicht neu erzeugen"))</f>
        <v/>
      </c>
    </row>
    <row r="7" ht="43" customHeight="1">
      <c r="A7" s="3" t="inlineStr">
        <is>
          <t>CH-C2-02</t>
        </is>
      </c>
      <c r="B7" s="13" t="inlineStr">
        <is>
          <t>Bund</t>
        </is>
      </c>
      <c r="C7" s="3" t="inlineStr">
        <is>
          <t>Schweiz</t>
        </is>
      </c>
      <c r="D7" s="3" t="inlineStr">
        <is>
          <t>Alle</t>
        </is>
      </c>
      <c r="E7" s="3" t="inlineStr">
        <is>
          <t>Alle</t>
        </is>
      </c>
      <c r="F7" s="3" t="inlineStr">
        <is>
          <t>C2</t>
        </is>
      </c>
      <c r="G7" s="3" t="inlineStr">
        <is>
          <t>Raumplanung / Baulandmobilisierung</t>
        </is>
      </c>
      <c r="H7" s="3" t="inlineStr">
        <is>
          <t>Bundesgesetz über die Raumplanung (RPG), SR 700</t>
        </is>
      </c>
      <c r="I7" s="3" t="inlineStr">
        <is>
          <t>Bundesgesetz</t>
        </is>
      </c>
      <c r="J7" s="3" t="inlineStr">
        <is>
          <t>Direktes Dokument</t>
        </is>
      </c>
      <c r="K7" s="3" t="inlineStr">
        <is>
          <t>Bundesgesetz (verbindlich)</t>
        </is>
      </c>
      <c r="L7" s="3" t="inlineStr">
        <is>
          <t>Bund</t>
        </is>
      </c>
      <c r="M7" s="7" t="inlineStr">
        <is>
          <t>https://www.fedlex.admin.ch/eli/cc/1979/1573_1573_1573/de</t>
        </is>
      </c>
      <c r="N7" s="3" t="inlineStr">
        <is>
          <t>SR 700, geltende Fassung</t>
        </is>
      </c>
      <c r="O7" s="3" t="inlineStr">
        <is>
          <t>2026-10-14</t>
        </is>
      </c>
      <c r="P7" s="3" t="inlineStr">
        <is>
          <t>Art. 15a RPG: Förderung der Verfügbarkeit von Bauland; Mehrwertausgleich Art. 5</t>
        </is>
      </c>
      <c r="Q7" s="3" t="inlineStr">
        <is>
          <t>Bauverpflichtung, Mehrwertabgabe</t>
        </is>
      </c>
      <c r="R7" s="3" t="inlineStr"/>
      <c r="S7" s="3" t="inlineStr">
        <is>
          <t>Kein Peer-Vergleich</t>
        </is>
      </c>
      <c r="T7" s="3" t="inlineStr">
        <is>
          <t>Noch nicht bewertet</t>
        </is>
      </c>
      <c r="U7" s="3" t="inlineStr">
        <is>
          <t>Hoch</t>
        </is>
      </c>
      <c r="V7" s="3" t="inlineStr"/>
      <c r="W7" s="3" t="inlineStr">
        <is>
          <t>B; Q1</t>
        </is>
      </c>
      <c r="X7" s="3" t="inlineStr"/>
      <c r="Y7" s="3" t="inlineStr">
        <is>
          <t>Dokument auswerten; Aktualität und Geltung prüfen</t>
        </is>
      </c>
      <c r="Z7" s="3" t="inlineStr">
        <is>
          <t>ELI-Permalink Fedlex; Identität per Fedlex-SPARQL geprüft</t>
        </is>
      </c>
      <c r="AA7" s="3" t="inlineStr"/>
      <c r="AB7" s="3" t="inlineStr"/>
      <c r="AC7" s="3" t="inlineStr"/>
      <c r="AD7" s="3" t="inlineStr">
        <is>
          <t>Verifiziert</t>
        </is>
      </c>
      <c r="AE7" s="3" t="inlineStr">
        <is>
          <t>200</t>
        </is>
      </c>
      <c r="AF7" s="3" t="inlineStr"/>
      <c r="AG7" s="3" t="inlineStr">
        <is>
          <t>HTML</t>
        </is>
      </c>
      <c r="AH7" s="3" t="inlineStr">
        <is>
          <t>Bestätigt</t>
        </is>
      </c>
      <c r="AI7" s="3" t="inlineStr">
        <is>
          <t>Titel via Fedlex-SPARQL (https://fedlex.data.admin.ch/eli/cc/1979/1573_1573_1573); Schlüsselwörter 1/1 gefunden (Raumplanung)</t>
        </is>
      </c>
      <c r="AJ7" s="3" t="inlineStr">
        <is>
          <t>Bundesgesetz vom 22. Juni 1979 über die Raumplanung (Raumplanungsgesetz, RPG) (RPG)</t>
        </is>
      </c>
      <c r="AK7" s="3" t="inlineStr"/>
      <c r="AL7" s="3" t="inlineStr">
        <is>
          <t>Hoch (ELI-Permalink)</t>
        </is>
      </c>
      <c r="AM7" s="3" t="inlineStr">
        <is>
          <t>2026-10-14 13:54</t>
        </is>
      </c>
      <c r="AN7" s="3" t="inlineStr">
        <is>
          <t>Öffentlich verfügbar und verifiziert</t>
        </is>
      </c>
      <c r="AO7" s="3" t="inlineStr">
        <is>
          <t>SR 700, geltende Fassung</t>
        </is>
      </c>
      <c r="AP7" s="3" t="inlineStr">
        <is>
          <t>Belegt Existenz und Zugänglichkeit der Quelle; inhaltliche Aussagen erst nach Auswertung.</t>
        </is>
      </c>
      <c r="AQ7" s="3" t="inlineStr">
        <is>
          <t>Keine Einstufung: Kennzahlen/Befunde noch nicht ausgewertet; Schwellen der Bewertungslogik noch nicht validiert.</t>
        </is>
      </c>
      <c r="AR7" s="3" t="inlineStr">
        <is>
          <t>Nein</t>
        </is>
      </c>
      <c r="AS7" s="3" t="inlineStr">
        <is>
          <t>Bund</t>
        </is>
      </c>
      <c r="AT7" s="3" t="inlineStr">
        <is>
          <t>In Prüfung</t>
        </is>
      </c>
      <c r="AU7" s="3" t="inlineStr"/>
      <c r="AV7" s="3" t="inlineStr"/>
      <c r="AW7" s="3" t="inlineStr">
        <is>
          <t>2026-10-14: neu aufgenommen</t>
        </is>
      </c>
      <c r="AX7" s="3">
        <f>IF(ISNA(MATCH($A7,'Gesamtübersicht'!$A:$A,0)),"ID fehlt in Gesamtübersicht",IF(AND(INDEX('Gesamtübersicht'!$H:$H,MATCH($A7,'Gesamtübersicht'!$A:$A,0))&amp;""=$H7&amp;"",INDEX('Gesamtübersicht'!$M:$M,MATCH($A7,'Gesamtübersicht'!$A:$A,0))&amp;""=$M7&amp;"",INDEX('Gesamtübersicht'!$AD:$AD,MATCH($A7,'Gesamtübersicht'!$A:$A,0))&amp;""=$AD7&amp;"",INDEX('Gesamtübersicht'!$AH:$AH,MATCH($A7,'Gesamtübersicht'!$A:$A,0))&amp;""=$AH7&amp;"",INDEX('Gesamtübersicht'!$T:$T,MATCH($A7,'Gesamtübersicht'!$A:$A,0))&amp;""=$T7&amp;""),"OK","Abweichung – Ansicht neu erzeugen"))</f>
        <v/>
      </c>
    </row>
    <row r="8" ht="43" customHeight="1">
      <c r="A8" s="2" t="inlineStr">
        <is>
          <t>CH-C3-01</t>
        </is>
      </c>
      <c r="B8" s="13" t="inlineStr">
        <is>
          <t>Bund</t>
        </is>
      </c>
      <c r="C8" s="2" t="inlineStr">
        <is>
          <t>Schweiz</t>
        </is>
      </c>
      <c r="D8" s="2" t="inlineStr">
        <is>
          <t>Alle</t>
        </is>
      </c>
      <c r="E8" s="2" t="inlineStr">
        <is>
          <t>Alle</t>
        </is>
      </c>
      <c r="F8" s="2" t="inlineStr">
        <is>
          <t>C3</t>
        </is>
      </c>
      <c r="G8" s="2" t="inlineStr">
        <is>
          <t>Interkommunale Zusammenarbeit</t>
        </is>
      </c>
      <c r="H8" s="2" t="inlineStr">
        <is>
          <t>Bundesverfassung der Schweizerischen Eidgenossenschaft</t>
        </is>
      </c>
      <c r="I8" s="2" t="inlineStr">
        <is>
          <t>Bundesverfassung</t>
        </is>
      </c>
      <c r="J8" s="2" t="inlineStr">
        <is>
          <t>Offizielle Quelle recherchiert</t>
        </is>
      </c>
      <c r="K8" s="2" t="inlineStr">
        <is>
          <t>Bundesverfassung (verbindlich)</t>
        </is>
      </c>
      <c r="L8" s="2" t="inlineStr">
        <is>
          <t>Bund</t>
        </is>
      </c>
      <c r="M8" s="5" t="inlineStr">
        <is>
          <t>https://www.fedlex.admin.ch/eli/cc/1999/404/de</t>
        </is>
      </c>
      <c r="N8" s="2" t="inlineStr">
        <is>
          <t>SR 101, geltende Fassung</t>
        </is>
      </c>
      <c r="O8" s="2" t="inlineStr">
        <is>
          <t>2026-10-14</t>
        </is>
      </c>
      <c r="P8" s="2" t="inlineStr">
        <is>
          <t>Grundlagen von Föderalismus und Gemeindeautonomie; Details kantonal</t>
        </is>
      </c>
      <c r="Q8" s="2" t="inlineStr">
        <is>
          <t>Zuständigkeits- und Kooperationsregeln</t>
        </is>
      </c>
      <c r="R8" s="2" t="inlineStr">
        <is>
          <t>Kantonale Gemeindeerlasse ergänzen</t>
        </is>
      </c>
      <c r="S8" s="2" t="inlineStr">
        <is>
          <t>Qualitative Reifegradskala</t>
        </is>
      </c>
      <c r="T8" s="2" t="inlineStr">
        <is>
          <t>Noch nicht bewertet</t>
        </is>
      </c>
      <c r="U8" s="2" t="inlineStr">
        <is>
          <t>Hoch</t>
        </is>
      </c>
      <c r="V8" s="2" t="inlineStr"/>
      <c r="W8" s="2" t="inlineStr">
        <is>
          <t>Q6; C4</t>
        </is>
      </c>
      <c r="X8" s="2" t="inlineStr">
        <is>
          <t>Trägerschaft und Kooperation beurteilen</t>
        </is>
      </c>
      <c r="Y8" s="2" t="inlineStr">
        <is>
          <t>Dokument auswerten; Aktualität und Geltung prüfen</t>
        </is>
      </c>
      <c r="Z8" s="2" t="inlineStr">
        <is>
          <t>Offizielles Bundesportal; methodische Auswahl</t>
        </is>
      </c>
      <c r="AA8" s="2" t="inlineStr">
        <is>
          <t>C5</t>
        </is>
      </c>
      <c r="AB8" s="2" t="inlineStr"/>
      <c r="AC8" s="2" t="inlineStr"/>
      <c r="AD8" s="2" t="inlineStr">
        <is>
          <t>Verifiziert</t>
        </is>
      </c>
      <c r="AE8" s="2" t="inlineStr">
        <is>
          <t>200</t>
        </is>
      </c>
      <c r="AF8" s="2" t="inlineStr"/>
      <c r="AG8" s="2" t="inlineStr">
        <is>
          <t>HTML</t>
        </is>
      </c>
      <c r="AH8" s="2" t="inlineStr">
        <is>
          <t>Bestätigt</t>
        </is>
      </c>
      <c r="AI8" s="2" t="inlineStr">
        <is>
          <t>Titel via Fedlex-SPARQL (https://fedlex.data.admin.ch/eli/cc/1999/404); Schlüsselwörter 1/1 gefunden (Bundesverfassung)</t>
        </is>
      </c>
      <c r="AJ8" s="2" t="inlineStr">
        <is>
          <t>Bundesverfassung der Schweizerischen Eidgenossenschaft vom 18. April 1999 (BV)</t>
        </is>
      </c>
      <c r="AK8" s="2" t="inlineStr"/>
      <c r="AL8" s="2" t="inlineStr">
        <is>
          <t>Hoch (ELI-Permalink)</t>
        </is>
      </c>
      <c r="AM8" s="2" t="inlineStr">
        <is>
          <t>2026-10-14 13:53</t>
        </is>
      </c>
      <c r="AN8" s="2" t="inlineStr">
        <is>
          <t>Öffentlich verfügbar und verifiziert</t>
        </is>
      </c>
      <c r="AO8" s="2" t="inlineStr">
        <is>
          <t>SR 101, geltende Fassung</t>
        </is>
      </c>
      <c r="AP8" s="2" t="inlineStr">
        <is>
          <t>Belegt Existenz und Zugänglichkeit der Quelle; inhaltliche Aussagen erst nach Auswertung.</t>
        </is>
      </c>
      <c r="AQ8" s="2" t="inlineStr">
        <is>
          <t>Keine Einstufung: Kennzahlen/Befunde noch nicht ausgewertet; Schwellen der Bewertungslogik noch nicht validiert.</t>
        </is>
      </c>
      <c r="AR8" s="2" t="inlineStr">
        <is>
          <t>Nein</t>
        </is>
      </c>
      <c r="AS8" s="2" t="inlineStr">
        <is>
          <t>Bund</t>
        </is>
      </c>
      <c r="AT8" s="2" t="inlineStr">
        <is>
          <t>In Prüfung</t>
        </is>
      </c>
      <c r="AU8" s="2" t="inlineStr"/>
      <c r="AV8" s="2" t="inlineStr">
        <is>
          <t>CH-C5-01</t>
        </is>
      </c>
      <c r="AW8" s="2" t="inlineStr"/>
      <c r="AX8" s="2">
        <f>IF(ISNA(MATCH($A8,'Gesamtübersicht'!$A:$A,0)),"ID fehlt in Gesamtübersicht",IF(AND(INDEX('Gesamtübersicht'!$H:$H,MATCH($A8,'Gesamtübersicht'!$A:$A,0))&amp;""=$H8&amp;"",INDEX('Gesamtübersicht'!$M:$M,MATCH($A8,'Gesamtübersicht'!$A:$A,0))&amp;""=$M8&amp;"",INDEX('Gesamtübersicht'!$AD:$AD,MATCH($A8,'Gesamtübersicht'!$A:$A,0))&amp;""=$AD8&amp;"",INDEX('Gesamtübersicht'!$AH:$AH,MATCH($A8,'Gesamtübersicht'!$A:$A,0))&amp;""=$AH8&amp;"",INDEX('Gesamtübersicht'!$T:$T,MATCH($A8,'Gesamtübersicht'!$A:$A,0))&amp;""=$T8&amp;""),"OK","Abweichung – Ansicht neu erzeugen"))</f>
        <v/>
      </c>
    </row>
    <row r="9" ht="43" customHeight="1">
      <c r="A9" s="3" t="inlineStr">
        <is>
          <t>CH-C4-01</t>
        </is>
      </c>
      <c r="B9" s="13" t="inlineStr">
        <is>
          <t>Bund</t>
        </is>
      </c>
      <c r="C9" s="3" t="inlineStr">
        <is>
          <t>Schweiz</t>
        </is>
      </c>
      <c r="D9" s="3" t="inlineStr">
        <is>
          <t>Alle</t>
        </is>
      </c>
      <c r="E9" s="3" t="inlineStr">
        <is>
          <t>Alle</t>
        </is>
      </c>
      <c r="F9" s="3" t="inlineStr">
        <is>
          <t>C4</t>
        </is>
      </c>
      <c r="G9" s="3" t="inlineStr">
        <is>
          <t>Öffentliche Beschaffung</t>
        </is>
      </c>
      <c r="H9" s="3" t="inlineStr">
        <is>
          <t>Bundesgesetz über das öffentliche Beschaffungswesen (BöB)</t>
        </is>
      </c>
      <c r="I9" s="3" t="inlineStr">
        <is>
          <t>Bundesgesetz</t>
        </is>
      </c>
      <c r="J9" s="3" t="inlineStr">
        <is>
          <t>Offizielle Quelle recherchiert</t>
        </is>
      </c>
      <c r="K9" s="3" t="inlineStr">
        <is>
          <t>Bundesgesetz (verbindlich für Bundesbeschaffungen; Gemeinden: IVöB/kantonales Recht)</t>
        </is>
      </c>
      <c r="L9" s="3" t="inlineStr">
        <is>
          <t>Bund</t>
        </is>
      </c>
      <c r="M9" s="7" t="inlineStr">
        <is>
          <t>https://www.fedlex.admin.ch/eli/cc/2020/126/de</t>
        </is>
      </c>
      <c r="N9" s="3" t="inlineStr">
        <is>
          <t>SR 172.056.1, geltende Fassung</t>
        </is>
      </c>
      <c r="O9" s="3" t="inlineStr">
        <is>
          <t>2026-10-14</t>
        </is>
      </c>
      <c r="P9" s="3" t="inlineStr">
        <is>
          <t>Beschaffungsrechtlicher Orientierungsrahmen; kommunale Geltung kantonal prüfen</t>
        </is>
      </c>
      <c r="Q9" s="3" t="inlineStr">
        <is>
          <t>Beschaffungsprozess, Zuständigkeit</t>
        </is>
      </c>
      <c r="R9" s="3" t="inlineStr">
        <is>
          <t>Kantonales Beschaffungsrecht vorrangig auf Geltung prüfen</t>
        </is>
      </c>
      <c r="S9" s="3" t="inlineStr">
        <is>
          <t>Qualitative Reifegradskala</t>
        </is>
      </c>
      <c r="T9" s="3" t="inlineStr">
        <is>
          <t>Noch nicht bewertet</t>
        </is>
      </c>
      <c r="U9" s="3" t="inlineStr">
        <is>
          <t>Hoch</t>
        </is>
      </c>
      <c r="V9" s="3" t="inlineStr"/>
      <c r="W9" s="3" t="inlineStr">
        <is>
          <t>Q6; C3</t>
        </is>
      </c>
      <c r="X9" s="3" t="inlineStr">
        <is>
          <t>Bestellerkompetenz / Umsetzungsorganisation</t>
        </is>
      </c>
      <c r="Y9" s="3" t="inlineStr">
        <is>
          <t>Dokument auswerten; Aktualität und Geltung prüfen</t>
        </is>
      </c>
      <c r="Z9" s="3" t="inlineStr">
        <is>
          <t>Offizielles Bundesportal; methodische Auswahl</t>
        </is>
      </c>
      <c r="AA9" s="3" t="inlineStr"/>
      <c r="AB9" s="3" t="inlineStr"/>
      <c r="AC9" s="3" t="inlineStr"/>
      <c r="AD9" s="3" t="inlineStr">
        <is>
          <t>Verifiziert</t>
        </is>
      </c>
      <c r="AE9" s="3" t="inlineStr">
        <is>
          <t>200</t>
        </is>
      </c>
      <c r="AF9" s="3" t="inlineStr"/>
      <c r="AG9" s="3" t="inlineStr">
        <is>
          <t>HTML</t>
        </is>
      </c>
      <c r="AH9" s="3" t="inlineStr">
        <is>
          <t>Bestätigt</t>
        </is>
      </c>
      <c r="AI9" s="3" t="inlineStr">
        <is>
          <t>Titel via Fedlex-SPARQL (https://fedlex.data.admin.ch/eli/cc/2020/126); Schlüsselwörter 1/1 gefunden (öffentliche Beschaffungswesen)</t>
        </is>
      </c>
      <c r="AJ9" s="3" t="inlineStr">
        <is>
          <t>Bundesgesetz vom 21. Juni 2019 über das öffentliche Beschaffungswesen (BöB) (BöB)</t>
        </is>
      </c>
      <c r="AK9" s="3" t="inlineStr">
        <is>
          <t>2019</t>
        </is>
      </c>
      <c r="AL9" s="3" t="inlineStr">
        <is>
          <t>Hoch (ELI-Permalink)</t>
        </is>
      </c>
      <c r="AM9" s="3" t="inlineStr">
        <is>
          <t>2026-10-14 13:53</t>
        </is>
      </c>
      <c r="AN9" s="3" t="inlineStr">
        <is>
          <t>Öffentlich verfügbar und verifiziert</t>
        </is>
      </c>
      <c r="AO9" s="3" t="inlineStr">
        <is>
          <t>SR 172.056.1, geltende Fassung</t>
        </is>
      </c>
      <c r="AP9" s="3" t="inlineStr">
        <is>
          <t>Belegt Existenz und Zugänglichkeit der Quelle; inhaltliche Aussagen erst nach Auswertung.</t>
        </is>
      </c>
      <c r="AQ9" s="3" t="inlineStr">
        <is>
          <t>Keine Einstufung: Kennzahlen/Befunde noch nicht ausgewertet; Schwellen der Bewertungslogik noch nicht validiert.</t>
        </is>
      </c>
      <c r="AR9" s="3" t="inlineStr">
        <is>
          <t>Nein</t>
        </is>
      </c>
      <c r="AS9" s="3" t="inlineStr">
        <is>
          <t>Bund</t>
        </is>
      </c>
      <c r="AT9" s="3" t="inlineStr">
        <is>
          <t>In Prüfung</t>
        </is>
      </c>
      <c r="AU9" s="3" t="inlineStr"/>
      <c r="AV9" s="3" t="inlineStr"/>
      <c r="AW9" s="3" t="inlineStr"/>
      <c r="AX9" s="3">
        <f>IF(ISNA(MATCH($A9,'Gesamtübersicht'!$A:$A,0)),"ID fehlt in Gesamtübersicht",IF(AND(INDEX('Gesamtübersicht'!$H:$H,MATCH($A9,'Gesamtübersicht'!$A:$A,0))&amp;""=$H9&amp;"",INDEX('Gesamtübersicht'!$M:$M,MATCH($A9,'Gesamtübersicht'!$A:$A,0))&amp;""=$M9&amp;"",INDEX('Gesamtübersicht'!$AD:$AD,MATCH($A9,'Gesamtübersicht'!$A:$A,0))&amp;""=$AD9&amp;"",INDEX('Gesamtübersicht'!$AH:$AH,MATCH($A9,'Gesamtübersicht'!$A:$A,0))&amp;""=$AH9&amp;"",INDEX('Gesamtübersicht'!$T:$T,MATCH($A9,'Gesamtübersicht'!$A:$A,0))&amp;""=$T9&amp;""),"OK","Abweichung – Ansicht neu erzeugen"))</f>
        <v/>
      </c>
    </row>
    <row r="10" ht="43" customHeight="1">
      <c r="A10" s="2" t="inlineStr">
        <is>
          <t>CH-C4-02</t>
        </is>
      </c>
      <c r="B10" s="13" t="inlineStr">
        <is>
          <t>Bund</t>
        </is>
      </c>
      <c r="C10" s="2" t="inlineStr">
        <is>
          <t>Schweiz</t>
        </is>
      </c>
      <c r="D10" s="2" t="inlineStr">
        <is>
          <t>Alle</t>
        </is>
      </c>
      <c r="E10" s="2" t="inlineStr">
        <is>
          <t>Alle</t>
        </is>
      </c>
      <c r="F10" s="2" t="inlineStr">
        <is>
          <t>C4</t>
        </is>
      </c>
      <c r="G10" s="2" t="inlineStr">
        <is>
          <t>Gemeindekennzahlen</t>
        </is>
      </c>
      <c r="H10" s="2" t="inlineStr">
        <is>
          <t>BFS: Regionalporträts – Kennzahlen aller Gemeinden (Datensatz)</t>
        </is>
      </c>
      <c r="I10" s="2" t="inlineStr">
        <is>
          <t>Datensatz</t>
        </is>
      </c>
      <c r="J10" s="2" t="inlineStr">
        <is>
          <t>Direktes Dokument</t>
        </is>
      </c>
      <c r="K10" s="2" t="inlineStr">
        <is>
          <t>Datengrundlage</t>
        </is>
      </c>
      <c r="L10" s="2" t="inlineStr">
        <is>
          <t>Bundesamt für Statistik (BFS)</t>
        </is>
      </c>
      <c r="M10" s="5" t="inlineStr">
        <is>
          <t>https://ckan.opendata.swiss/dataset/regionalportrats-2021-kennzahlen-aller-gemeinden</t>
        </is>
      </c>
      <c r="N10" s="2" t="inlineStr">
        <is>
          <t>2021 (neuere Ausgabe prüfen)</t>
        </is>
      </c>
      <c r="O10" s="2" t="inlineStr">
        <is>
          <t>2026-10-14</t>
        </is>
      </c>
      <c r="P10" s="2" t="inlineStr">
        <is>
          <t>Strukturdaten (Einwohner, Fläche) zur Bildung der Grössenklassen</t>
        </is>
      </c>
      <c r="Q10" s="2" t="inlineStr"/>
      <c r="R10" s="2" t="inlineStr"/>
      <c r="S10" s="2" t="inlineStr">
        <is>
          <t>Grössenklasse</t>
        </is>
      </c>
      <c r="T10" s="2" t="inlineStr">
        <is>
          <t>Noch nicht bewertet</t>
        </is>
      </c>
      <c r="U10" s="2" t="inlineStr">
        <is>
          <t>Mittel</t>
        </is>
      </c>
      <c r="V10" s="2" t="inlineStr"/>
      <c r="W10" s="2" t="inlineStr"/>
      <c r="X10" s="2" t="inlineStr"/>
      <c r="Y10" s="2" t="inlineStr">
        <is>
          <t>Dokument auswerten; Aktualität und Geltung prüfen</t>
        </is>
      </c>
      <c r="Z10" s="2" t="inlineStr">
        <is>
          <t>Websuche 14.10.2026 (URL im Suchergebnis gefunden)</t>
        </is>
      </c>
      <c r="AA10" s="2" t="inlineStr">
        <is>
          <t>C1</t>
        </is>
      </c>
      <c r="AB10" s="2" t="inlineStr"/>
      <c r="AC10" s="2" t="inlineStr"/>
      <c r="AD10" s="2" t="inlineStr">
        <is>
          <t>Verifiziert</t>
        </is>
      </c>
      <c r="AE10" s="2" t="inlineStr">
        <is>
          <t>200</t>
        </is>
      </c>
      <c r="AF10" s="2" t="inlineStr"/>
      <c r="AG10" s="2" t="inlineStr">
        <is>
          <t>HTML</t>
        </is>
      </c>
      <c r="AH10" s="2" t="inlineStr">
        <is>
          <t>Bestätigt</t>
        </is>
      </c>
      <c r="AI10" s="2" t="inlineStr">
        <is>
          <t>Schlüsselwörter 1/1 gefunden (Regionalporträts)</t>
        </is>
      </c>
      <c r="AJ10" s="2" t="inlineStr">
        <is>
          <t>Regional portraits 2021: key data of all communes - Dataset - opendata.swiss | Regional portraits 2021: key data of all communes</t>
        </is>
      </c>
      <c r="AK10" s="2" t="inlineStr">
        <is>
          <t>2021, 2019, 2004</t>
        </is>
      </c>
      <c r="AL10" s="2" t="inlineStr">
        <is>
          <t>Mittel (Webseite)</t>
        </is>
      </c>
      <c r="AM10" s="2" t="inlineStr">
        <is>
          <t>2026-10-14 13:54</t>
        </is>
      </c>
      <c r="AN10" s="2" t="inlineStr">
        <is>
          <t>Öffentlich verfügbar und verifiziert</t>
        </is>
      </c>
      <c r="AO10" s="2" t="inlineStr">
        <is>
          <t>2021 (neuere Ausgabe prüfen)</t>
        </is>
      </c>
      <c r="AP10" s="2" t="inlineStr">
        <is>
          <t>Belegt Existenz und Zugänglichkeit der Quelle; inhaltliche Aussagen erst nach Auswertung.</t>
        </is>
      </c>
      <c r="AQ10" s="2" t="inlineStr">
        <is>
          <t>Keine Einstufung: Kennzahlen/Befunde noch nicht ausgewertet; Schwellen der Bewertungslogik noch nicht validiert.</t>
        </is>
      </c>
      <c r="AR10" s="2" t="inlineStr">
        <is>
          <t>Nein</t>
        </is>
      </c>
      <c r="AS10" s="2" t="inlineStr">
        <is>
          <t>Bundesamt für Statistik (BFS)</t>
        </is>
      </c>
      <c r="AT10" s="2" t="inlineStr">
        <is>
          <t>In Prüfung</t>
        </is>
      </c>
      <c r="AU10" s="2" t="inlineStr">
        <is>
          <t>Ausgabe 2021; aktuelle Ausgabe beim BFS prüfen.</t>
        </is>
      </c>
      <c r="AV10" s="2" t="inlineStr"/>
      <c r="AW10" s="2" t="inlineStr">
        <is>
          <t>2026-10-14: neu aufgenommen</t>
        </is>
      </c>
      <c r="AX10" s="2">
        <f>IF(ISNA(MATCH($A10,'Gesamtübersicht'!$A:$A,0)),"ID fehlt in Gesamtübersicht",IF(AND(INDEX('Gesamtübersicht'!$H:$H,MATCH($A10,'Gesamtübersicht'!$A:$A,0))&amp;""=$H10&amp;"",INDEX('Gesamtübersicht'!$M:$M,MATCH($A10,'Gesamtübersicht'!$A:$A,0))&amp;""=$M10&amp;"",INDEX('Gesamtübersicht'!$AD:$AD,MATCH($A10,'Gesamtübersicht'!$A:$A,0))&amp;""=$AD10&amp;"",INDEX('Gesamtübersicht'!$AH:$AH,MATCH($A10,'Gesamtübersicht'!$A:$A,0))&amp;""=$AH10&amp;"",INDEX('Gesamtübersicht'!$T:$T,MATCH($A10,'Gesamtübersicht'!$A:$A,0))&amp;""=$T10&amp;""),"OK","Abweichung – Ansicht neu erzeugen"))</f>
        <v/>
      </c>
    </row>
    <row r="11" ht="43" customHeight="1">
      <c r="A11" s="3" t="inlineStr">
        <is>
          <t>CH-C5-01</t>
        </is>
      </c>
      <c r="B11" s="13" t="inlineStr">
        <is>
          <t>Bund</t>
        </is>
      </c>
      <c r="C11" s="3" t="inlineStr">
        <is>
          <t>Schweiz</t>
        </is>
      </c>
      <c r="D11" s="3" t="inlineStr">
        <is>
          <t>Alle</t>
        </is>
      </c>
      <c r="E11" s="3" t="inlineStr">
        <is>
          <t>Alle</t>
        </is>
      </c>
      <c r="F11" s="3" t="inlineStr">
        <is>
          <t>C5</t>
        </is>
      </c>
      <c r="G11" s="3" t="inlineStr">
        <is>
          <t>Politische Rechte</t>
        </is>
      </c>
      <c r="H11" s="3" t="inlineStr">
        <is>
          <t>Bundesverfassung der Schweizerischen Eidgenossenschaft</t>
        </is>
      </c>
      <c r="I11" s="3" t="inlineStr">
        <is>
          <t>Bundesverfassung</t>
        </is>
      </c>
      <c r="J11" s="3" t="inlineStr">
        <is>
          <t>Offizielle Quelle recherchiert</t>
        </is>
      </c>
      <c r="K11" s="3" t="inlineStr">
        <is>
          <t>Bundesverfassung (verbindlich)</t>
        </is>
      </c>
      <c r="L11" s="3" t="inlineStr">
        <is>
          <t>Bund</t>
        </is>
      </c>
      <c r="M11" s="7" t="inlineStr">
        <is>
          <t>https://www.fedlex.admin.ch/eli/cc/1999/404/de</t>
        </is>
      </c>
      <c r="N11" s="3" t="inlineStr">
        <is>
          <t>SR 101, geltende Fassung</t>
        </is>
      </c>
      <c r="O11" s="3" t="inlineStr">
        <is>
          <t>2026-10-14</t>
        </is>
      </c>
      <c r="P11" s="3" t="inlineStr">
        <is>
          <t>Demokratische Grundrechte und Beteiligung; konkrete kommunale Verfahren kantonal</t>
        </is>
      </c>
      <c r="Q11" s="3" t="inlineStr">
        <is>
          <t>Mitwirkung / Legitimation</t>
        </is>
      </c>
      <c r="R11" s="3" t="inlineStr">
        <is>
          <t>Kommunale und kantonale Bestimmungen ergänzen</t>
        </is>
      </c>
      <c r="S11" s="3" t="inlineStr">
        <is>
          <t>Qualitative Reifegradskala</t>
        </is>
      </c>
      <c r="T11" s="3" t="inlineStr">
        <is>
          <t>Noch nicht bewertet</t>
        </is>
      </c>
      <c r="U11" s="3" t="inlineStr">
        <is>
          <t>Hoch</t>
        </is>
      </c>
      <c r="V11" s="3" t="inlineStr"/>
      <c r="W11" s="3" t="inlineStr">
        <is>
          <t>Q1; C3</t>
        </is>
      </c>
      <c r="X11" s="3" t="inlineStr">
        <is>
          <t>Politische Machbarkeit</t>
        </is>
      </c>
      <c r="Y11" s="3" t="inlineStr">
        <is>
          <t>Dokument auswerten; Aktualität und Geltung prüfen</t>
        </is>
      </c>
      <c r="Z11" s="3" t="inlineStr">
        <is>
          <t>Offizielles Bundesportal; methodische Auswahl</t>
        </is>
      </c>
      <c r="AA11" s="3" t="inlineStr">
        <is>
          <t>C3</t>
        </is>
      </c>
      <c r="AB11" s="3" t="inlineStr"/>
      <c r="AC11" s="3" t="inlineStr"/>
      <c r="AD11" s="3" t="inlineStr">
        <is>
          <t>Verifiziert</t>
        </is>
      </c>
      <c r="AE11" s="3" t="inlineStr">
        <is>
          <t>200</t>
        </is>
      </c>
      <c r="AF11" s="3" t="inlineStr"/>
      <c r="AG11" s="3" t="inlineStr">
        <is>
          <t>HTML</t>
        </is>
      </c>
      <c r="AH11" s="3" t="inlineStr">
        <is>
          <t>Bestätigt</t>
        </is>
      </c>
      <c r="AI11" s="3" t="inlineStr">
        <is>
          <t>Titel via Fedlex-SPARQL (https://fedlex.data.admin.ch/eli/cc/1999/404); Schlüsselwörter 1/1 gefunden (Bundesverfassung)</t>
        </is>
      </c>
      <c r="AJ11" s="3" t="inlineStr">
        <is>
          <t>Bundesverfassung der Schweizerischen Eidgenossenschaft vom 18. April 1999 (BV)</t>
        </is>
      </c>
      <c r="AK11" s="3" t="inlineStr"/>
      <c r="AL11" s="3" t="inlineStr">
        <is>
          <t>Hoch (ELI-Permalink)</t>
        </is>
      </c>
      <c r="AM11" s="3" t="inlineStr">
        <is>
          <t>2026-10-14 13:53</t>
        </is>
      </c>
      <c r="AN11" s="3" t="inlineStr">
        <is>
          <t>Öffentlich verfügbar und verifiziert</t>
        </is>
      </c>
      <c r="AO11" s="3" t="inlineStr">
        <is>
          <t>SR 101, geltende Fassung</t>
        </is>
      </c>
      <c r="AP11" s="3" t="inlineStr">
        <is>
          <t>Belegt Existenz und Zugänglichkeit der Quelle; inhaltliche Aussagen erst nach Auswertung.</t>
        </is>
      </c>
      <c r="AQ11" s="3" t="inlineStr">
        <is>
          <t>Keine Einstufung: Kennzahlen/Befunde noch nicht ausgewertet; Schwellen der Bewertungslogik noch nicht validiert.</t>
        </is>
      </c>
      <c r="AR11" s="3" t="inlineStr">
        <is>
          <t>Nein</t>
        </is>
      </c>
      <c r="AS11" s="3" t="inlineStr">
        <is>
          <t>Bund</t>
        </is>
      </c>
      <c r="AT11" s="3" t="inlineStr">
        <is>
          <t>In Prüfung</t>
        </is>
      </c>
      <c r="AU11" s="3" t="inlineStr">
        <is>
          <t>Gleiche Quelle wie CH-C3-01; bewusst doppelt geführt (Zuordnung C5 politische Rechte).</t>
        </is>
      </c>
      <c r="AV11" s="3" t="inlineStr">
        <is>
          <t>CH-C3-01</t>
        </is>
      </c>
      <c r="AW11" s="3" t="inlineStr"/>
      <c r="AX11" s="3">
        <f>IF(ISNA(MATCH($A11,'Gesamtübersicht'!$A:$A,0)),"ID fehlt in Gesamtübersicht",IF(AND(INDEX('Gesamtübersicht'!$H:$H,MATCH($A11,'Gesamtübersicht'!$A:$A,0))&amp;""=$H11&amp;"",INDEX('Gesamtübersicht'!$M:$M,MATCH($A11,'Gesamtübersicht'!$A:$A,0))&amp;""=$M11&amp;"",INDEX('Gesamtübersicht'!$AD:$AD,MATCH($A11,'Gesamtübersicht'!$A:$A,0))&amp;""=$AD11&amp;"",INDEX('Gesamtübersicht'!$AH:$AH,MATCH($A11,'Gesamtübersicht'!$A:$A,0))&amp;""=$AH11&amp;"",INDEX('Gesamtübersicht'!$T:$T,MATCH($A11,'Gesamtübersicht'!$A:$A,0))&amp;""=$T11&amp;""),"OK","Abweichung – Ansicht neu erzeugen"))</f>
        <v/>
      </c>
    </row>
    <row r="12" ht="43" customHeight="1">
      <c r="A12" s="2" t="inlineStr">
        <is>
          <t>UR-C1-01</t>
        </is>
      </c>
      <c r="B12" s="14" t="inlineStr">
        <is>
          <t>Kanton</t>
        </is>
      </c>
      <c r="C12" s="2" t="inlineStr">
        <is>
          <t>Schweiz</t>
        </is>
      </c>
      <c r="D12" s="2" t="inlineStr">
        <is>
          <t>Uri</t>
        </is>
      </c>
      <c r="E12" s="2" t="inlineStr">
        <is>
          <t>Alle</t>
        </is>
      </c>
      <c r="F12" s="2" t="inlineStr">
        <is>
          <t>C1</t>
        </is>
      </c>
      <c r="G12" s="2" t="inlineStr">
        <is>
          <t>Finanzstatistik</t>
        </is>
      </c>
      <c r="H12" s="2" t="inlineStr">
        <is>
          <t>Gemeindefinanzstatistik Uri</t>
        </is>
      </c>
      <c r="I12" s="2" t="inlineStr">
        <is>
          <t>Statistik</t>
        </is>
      </c>
      <c r="J12" s="2" t="inlineStr">
        <is>
          <t>Offizielle Quelle recherchiert</t>
        </is>
      </c>
      <c r="K12" s="2" t="inlineStr">
        <is>
          <t>Orientierung / Datengrundlage</t>
        </is>
      </c>
      <c r="L12" s="2" t="inlineStr">
        <is>
          <t>Kanton Uri</t>
        </is>
      </c>
      <c r="M12" s="5" t="inlineStr">
        <is>
          <t>https://www.ur.ch/publikationen/6680</t>
        </is>
      </c>
      <c r="N12" s="2" t="inlineStr">
        <is>
          <t>Zu prüfen</t>
        </is>
      </c>
      <c r="O12" s="2" t="inlineStr">
        <is>
          <t>2026-10-14</t>
        </is>
      </c>
      <c r="P12" s="2" t="inlineStr">
        <is>
          <t>Kennzahlen aller Urner Gemeinden</t>
        </is>
      </c>
      <c r="Q12" s="2" t="inlineStr">
        <is>
          <t>Selbstfinanzierung, Verschuldung, Investitionen</t>
        </is>
      </c>
      <c r="R12" s="2" t="inlineStr">
        <is>
          <t>Jahreswerte für Seelisberg extrahieren</t>
        </is>
      </c>
      <c r="S12" s="2" t="inlineStr">
        <is>
          <t>Kanton × Grössenklasse / Richtwerte</t>
        </is>
      </c>
      <c r="T12" s="2" t="inlineStr">
        <is>
          <t>Noch nicht bewertet</t>
        </is>
      </c>
      <c r="U12" s="2" t="inlineStr">
        <is>
          <t>Mittel</t>
        </is>
      </c>
      <c r="V12" s="2" t="inlineStr">
        <is>
          <t>Geltende kantonale Detailgrundlage und Datenstand prüfen</t>
        </is>
      </c>
      <c r="W12" s="2" t="inlineStr">
        <is>
          <t>A1; C1</t>
        </is>
      </c>
      <c r="X12" s="2" t="inlineStr">
        <is>
          <t>Finanztragfähigkeit</t>
        </is>
      </c>
      <c r="Y12" s="2" t="inlineStr">
        <is>
          <t>Dokument auswerten; Aktualität und Geltung prüfen</t>
        </is>
      </c>
      <c r="Z12" s="2" t="inlineStr">
        <is>
          <t>Webrecherche 14.10.2026</t>
        </is>
      </c>
      <c r="AA12" s="2" t="inlineStr"/>
      <c r="AB12" s="2" t="inlineStr"/>
      <c r="AC12" s="2" t="inlineStr"/>
      <c r="AD12" s="2" t="inlineStr">
        <is>
          <t>Verifiziert</t>
        </is>
      </c>
      <c r="AE12" s="2" t="inlineStr">
        <is>
          <t>200</t>
        </is>
      </c>
      <c r="AF12" s="2" t="inlineStr"/>
      <c r="AG12" s="2" t="inlineStr">
        <is>
          <t>HTML</t>
        </is>
      </c>
      <c r="AH12" s="2" t="inlineStr">
        <is>
          <t>Bestätigt</t>
        </is>
      </c>
      <c r="AI12" s="2" t="inlineStr">
        <is>
          <t>Schlüsselwörter 1/1 gefunden (Gemeindefinanzstatistik); Ort/Zuständigkeit: Uri</t>
        </is>
      </c>
      <c r="AJ12" s="2" t="inlineStr">
        <is>
          <t>Kanton Uri - Gemeindefinanzstatistik | Kontakt</t>
        </is>
      </c>
      <c r="AK12" s="2" t="inlineStr">
        <is>
          <t>2023, 2025, 2026, 2024, 2022, 2021</t>
        </is>
      </c>
      <c r="AL12" s="2" t="inlineStr">
        <is>
          <t>Mittel (CMS-Dokumentlink)</t>
        </is>
      </c>
      <c r="AM12" s="2" t="inlineStr">
        <is>
          <t>2026-10-14 13:53</t>
        </is>
      </c>
      <c r="AN12" s="2" t="inlineStr">
        <is>
          <t>Öffentlich verfügbar und verifiziert</t>
        </is>
      </c>
      <c r="AO12" s="2" t="inlineStr">
        <is>
          <t>Zu prüfen</t>
        </is>
      </c>
      <c r="AP12" s="2" t="inlineStr">
        <is>
          <t>Belegt Existenz und Zugänglichkeit der Quelle; inhaltliche Aussagen erst nach Auswertung.</t>
        </is>
      </c>
      <c r="AQ12" s="2" t="inlineStr">
        <is>
          <t>Keine Einstufung: Kennzahlen/Befunde noch nicht ausgewertet; Schwellen der Bewertungslogik noch nicht validiert.</t>
        </is>
      </c>
      <c r="AR12" s="2" t="inlineStr">
        <is>
          <t>Nein</t>
        </is>
      </c>
      <c r="AS12" s="2" t="inlineStr">
        <is>
          <t>Kanton Uri</t>
        </is>
      </c>
      <c r="AT12" s="2" t="inlineStr">
        <is>
          <t>In Prüfung</t>
        </is>
      </c>
      <c r="AU12" s="2" t="inlineStr"/>
      <c r="AV12" s="2" t="inlineStr"/>
      <c r="AW12" s="2" t="inlineStr"/>
      <c r="AX12" s="2">
        <f>IF(ISNA(MATCH($A12,'Gesamtübersicht'!$A:$A,0)),"ID fehlt in Gesamtübersicht",IF(AND(INDEX('Gesamtübersicht'!$H:$H,MATCH($A12,'Gesamtübersicht'!$A:$A,0))&amp;""=$H12&amp;"",INDEX('Gesamtübersicht'!$M:$M,MATCH($A12,'Gesamtübersicht'!$A:$A,0))&amp;""=$M12&amp;"",INDEX('Gesamtübersicht'!$AD:$AD,MATCH($A12,'Gesamtübersicht'!$A:$A,0))&amp;""=$AD12&amp;"",INDEX('Gesamtübersicht'!$AH:$AH,MATCH($A12,'Gesamtübersicht'!$A:$A,0))&amp;""=$AH12&amp;"",INDEX('Gesamtübersicht'!$T:$T,MATCH($A12,'Gesamtübersicht'!$A:$A,0))&amp;""=$T12&amp;""),"OK","Abweichung – Ansicht neu erzeugen"))</f>
        <v/>
      </c>
    </row>
    <row r="13" ht="43" customHeight="1">
      <c r="A13" s="3" t="inlineStr">
        <is>
          <t>UR-C1-02</t>
        </is>
      </c>
      <c r="B13" s="14" t="inlineStr">
        <is>
          <t>Kanton</t>
        </is>
      </c>
      <c r="C13" s="3" t="inlineStr">
        <is>
          <t>Schweiz</t>
        </is>
      </c>
      <c r="D13" s="3" t="inlineStr">
        <is>
          <t>Uri</t>
        </is>
      </c>
      <c r="E13" s="3" t="inlineStr">
        <is>
          <t>Alle</t>
        </is>
      </c>
      <c r="F13" s="3" t="inlineStr">
        <is>
          <t>C1</t>
        </is>
      </c>
      <c r="G13" s="3" t="inlineStr">
        <is>
          <t>Steuerkraft</t>
        </is>
      </c>
      <c r="H13" s="3" t="inlineStr">
        <is>
          <t>Steuerstatistiken Kanton Uri</t>
        </is>
      </c>
      <c r="I13" s="3" t="inlineStr">
        <is>
          <t>Statistik</t>
        </is>
      </c>
      <c r="J13" s="3" t="inlineStr">
        <is>
          <t>Offizielle Quelle recherchiert</t>
        </is>
      </c>
      <c r="K13" s="3" t="inlineStr">
        <is>
          <t>Orientierung / Datengrundlage</t>
        </is>
      </c>
      <c r="L13" s="3" t="inlineStr">
        <is>
          <t>Kanton Uri</t>
        </is>
      </c>
      <c r="M13" s="7" t="inlineStr">
        <is>
          <t>https://www.ur.ch/finanzen/1588</t>
        </is>
      </c>
      <c r="N13" s="3" t="inlineStr">
        <is>
          <t>Zu prüfen</t>
        </is>
      </c>
      <c r="O13" s="3" t="inlineStr">
        <is>
          <t>2026-10-14</t>
        </is>
      </c>
      <c r="P13" s="3" t="inlineStr">
        <is>
          <t>Steuerbasis als Kontext zur Finanzkraft</t>
        </is>
      </c>
      <c r="Q13" s="3" t="inlineStr">
        <is>
          <t>Steuerbares Einkommen und Vermögen</t>
        </is>
      </c>
      <c r="R13" s="3" t="inlineStr">
        <is>
          <t>Lias-Daten übernehmen, nicht neu erheben</t>
        </is>
      </c>
      <c r="S13" s="3" t="inlineStr">
        <is>
          <t>Kanton × Grössenklasse</t>
        </is>
      </c>
      <c r="T13" s="3" t="inlineStr">
        <is>
          <t>Noch nicht bewertet</t>
        </is>
      </c>
      <c r="U13" s="3" t="inlineStr">
        <is>
          <t>Mittel</t>
        </is>
      </c>
      <c r="V13" s="3" t="inlineStr">
        <is>
          <t>Geltende kantonale Detailgrundlage und Datenstand prüfen</t>
        </is>
      </c>
      <c r="W13" s="3" t="inlineStr">
        <is>
          <t>A1/A2</t>
        </is>
      </c>
      <c r="X13" s="3" t="inlineStr">
        <is>
          <t>DYN-Finanzkontext</t>
        </is>
      </c>
      <c r="Y13" s="3" t="inlineStr">
        <is>
          <t>Dokument auswerten; Aktualität und Geltung prüfen</t>
        </is>
      </c>
      <c r="Z13" s="3" t="inlineStr">
        <is>
          <t>Webrecherche 14.10.2026</t>
        </is>
      </c>
      <c r="AA13" s="3" t="inlineStr"/>
      <c r="AB13" s="3" t="inlineStr"/>
      <c r="AC13" s="3" t="inlineStr"/>
      <c r="AD13" s="3" t="inlineStr">
        <is>
          <t>Verifiziert</t>
        </is>
      </c>
      <c r="AE13" s="3" t="inlineStr">
        <is>
          <t>200</t>
        </is>
      </c>
      <c r="AF13" s="3" t="inlineStr"/>
      <c r="AG13" s="3" t="inlineStr">
        <is>
          <t>HTML</t>
        </is>
      </c>
      <c r="AH13" s="3" t="inlineStr">
        <is>
          <t>Bestätigt</t>
        </is>
      </c>
      <c r="AI13" s="3" t="inlineStr">
        <is>
          <t>Schlüsselwörter 1/1 gefunden (Steuerstatistik); Ort/Zuständigkeit: Uri</t>
        </is>
      </c>
      <c r="AJ13" s="3" t="inlineStr">
        <is>
          <t>Kanton Uri - Steuerstatistiken | Kontakt</t>
        </is>
      </c>
      <c r="AK13" s="3" t="inlineStr">
        <is>
          <t>2009, 2010, 2011, 2012, 2013, 2014</t>
        </is>
      </c>
      <c r="AL13" s="3" t="inlineStr">
        <is>
          <t>Mittel (Webseite)</t>
        </is>
      </c>
      <c r="AM13" s="3" t="inlineStr">
        <is>
          <t>2026-10-14 13:53</t>
        </is>
      </c>
      <c r="AN13" s="3" t="inlineStr">
        <is>
          <t>Öffentlich verfügbar und verifiziert</t>
        </is>
      </c>
      <c r="AO13" s="3" t="inlineStr">
        <is>
          <t>Zu prüfen</t>
        </is>
      </c>
      <c r="AP13" s="3" t="inlineStr">
        <is>
          <t>Belegt Existenz und Zugänglichkeit der Quelle; inhaltliche Aussagen erst nach Auswertung.</t>
        </is>
      </c>
      <c r="AQ13" s="3" t="inlineStr">
        <is>
          <t>Keine Einstufung: Kennzahlen/Befunde noch nicht ausgewertet; Schwellen der Bewertungslogik noch nicht validiert.</t>
        </is>
      </c>
      <c r="AR13" s="3" t="inlineStr">
        <is>
          <t>Nein</t>
        </is>
      </c>
      <c r="AS13" s="3" t="inlineStr">
        <is>
          <t>Kanton Uri</t>
        </is>
      </c>
      <c r="AT13" s="3" t="inlineStr">
        <is>
          <t>In Prüfung</t>
        </is>
      </c>
      <c r="AU13" s="3" t="inlineStr"/>
      <c r="AV13" s="3" t="inlineStr"/>
      <c r="AW13" s="3" t="inlineStr"/>
      <c r="AX13" s="3">
        <f>IF(ISNA(MATCH($A13,'Gesamtübersicht'!$A:$A,0)),"ID fehlt in Gesamtübersicht",IF(AND(INDEX('Gesamtübersicht'!$H:$H,MATCH($A13,'Gesamtübersicht'!$A:$A,0))&amp;""=$H13&amp;"",INDEX('Gesamtübersicht'!$M:$M,MATCH($A13,'Gesamtübersicht'!$A:$A,0))&amp;""=$M13&amp;"",INDEX('Gesamtübersicht'!$AD:$AD,MATCH($A13,'Gesamtübersicht'!$A:$A,0))&amp;""=$AD13&amp;"",INDEX('Gesamtübersicht'!$AH:$AH,MATCH($A13,'Gesamtübersicht'!$A:$A,0))&amp;""=$AH13&amp;"",INDEX('Gesamtübersicht'!$T:$T,MATCH($A13,'Gesamtübersicht'!$A:$A,0))&amp;""=$T13&amp;""),"OK","Abweichung – Ansicht neu erzeugen"))</f>
        <v/>
      </c>
    </row>
    <row r="14" ht="43" customHeight="1">
      <c r="A14" s="2" t="inlineStr">
        <is>
          <t>UR-C1-03</t>
        </is>
      </c>
      <c r="B14" s="14" t="inlineStr">
        <is>
          <t>Kanton</t>
        </is>
      </c>
      <c r="C14" s="2" t="inlineStr">
        <is>
          <t>Schweiz</t>
        </is>
      </c>
      <c r="D14" s="2" t="inlineStr">
        <is>
          <t>Uri</t>
        </is>
      </c>
      <c r="E14" s="2" t="inlineStr">
        <is>
          <t>Alle</t>
        </is>
      </c>
      <c r="F14" s="2" t="inlineStr">
        <is>
          <t>C1</t>
        </is>
      </c>
      <c r="G14" s="2" t="inlineStr">
        <is>
          <t>Finanzkennzahlen Gemeinden</t>
        </is>
      </c>
      <c r="H14" s="2" t="inlineStr">
        <is>
          <t>Kennzahlen Einwohnergemeinden Uri 2025 (Finanzkontrolle)</t>
        </is>
      </c>
      <c r="I14" s="2" t="inlineStr">
        <is>
          <t>Statistik / Bericht</t>
        </is>
      </c>
      <c r="J14" s="2" t="inlineStr">
        <is>
          <t>Direktes Dokument</t>
        </is>
      </c>
      <c r="K14" s="2" t="inlineStr">
        <is>
          <t>Datengrundlage</t>
        </is>
      </c>
      <c r="L14" s="2" t="inlineStr">
        <is>
          <t>Kanton Uri, Finanzkontrolle</t>
        </is>
      </c>
      <c r="M14" s="5" t="inlineStr">
        <is>
          <t>https://www.ur.ch/_doc/451636</t>
        </is>
      </c>
      <c r="N14" s="2" t="inlineStr">
        <is>
          <t>Rechnungsjahr 2025 (publ. 2026)</t>
        </is>
      </c>
      <c r="O14" s="2" t="inlineStr">
        <is>
          <t>2026-10-14</t>
        </is>
      </c>
      <c r="P14" s="2" t="inlineStr">
        <is>
          <t>Kennzahlen je Urner Gemeinde inkl. Seelisberg (Selbstfinanzierung, Kapitaldienst)</t>
        </is>
      </c>
      <c r="Q14" s="2" t="inlineStr">
        <is>
          <t>Selbstfinanzierungsanteil, Kapitaldienstanteil, Steuern/Kopf</t>
        </is>
      </c>
      <c r="R14" s="2" t="inlineStr"/>
      <c r="S14" s="2" t="inlineStr">
        <is>
          <t>Kanton × Grössenklasse</t>
        </is>
      </c>
      <c r="T14" s="2" t="inlineStr">
        <is>
          <t>Noch nicht bewertet</t>
        </is>
      </c>
      <c r="U14" s="2" t="inlineStr">
        <is>
          <t>Hoch</t>
        </is>
      </c>
      <c r="V14" s="2" t="inlineStr"/>
      <c r="W14" s="2" t="inlineStr">
        <is>
          <t>A1; C1</t>
        </is>
      </c>
      <c r="X14" s="2" t="inlineStr">
        <is>
          <t>Finanztragfähigkeit Seelisberg im Kantonsvergleich</t>
        </is>
      </c>
      <c r="Y14" s="2" t="inlineStr">
        <is>
          <t>Dokument auswerten; Aktualität und Geltung prüfen</t>
        </is>
      </c>
      <c r="Z14" s="2" t="inlineStr">
        <is>
          <t>Websuche 14.10.2026 (URL im Suchergebnis gefunden)</t>
        </is>
      </c>
      <c r="AA14" s="2" t="inlineStr"/>
      <c r="AB14" s="2" t="inlineStr"/>
      <c r="AC14" s="5" t="inlineStr">
        <is>
          <t>https://www.ur.ch/publikationen/6680</t>
        </is>
      </c>
      <c r="AD14" s="2" t="inlineStr">
        <is>
          <t>Weiterleitung</t>
        </is>
      </c>
      <c r="AE14" s="2" t="inlineStr">
        <is>
          <t>200</t>
        </is>
      </c>
      <c r="AF14" s="5" t="inlineStr">
        <is>
          <t>https://www.ur.ch/_docn/451636/Gemeindekennzahlen_2025_signiert.pdf</t>
        </is>
      </c>
      <c r="AG14" s="2" t="inlineStr">
        <is>
          <t>PDF</t>
        </is>
      </c>
      <c r="AH14" s="2" t="inlineStr">
        <is>
          <t>Bestätigt</t>
        </is>
      </c>
      <c r="AI14" s="2" t="inlineStr">
        <is>
          <t>Schlüsselwörter 2/2 gefunden (Kennzahlen, Seelisberg); Ort/Zuständigkeit: Uri</t>
        </is>
      </c>
      <c r="AJ14" s="2" t="inlineStr">
        <is>
          <t>Microsoft Word - Brief Versand Kennzahlen.docx</t>
        </is>
      </c>
      <c r="AK14" s="2" t="inlineStr">
        <is>
          <t>2025, 2026, 2013, 2019, 2024</t>
        </is>
      </c>
      <c r="AL14" s="2" t="inlineStr">
        <is>
          <t>Mittel (Webseite)</t>
        </is>
      </c>
      <c r="AM14" s="2" t="inlineStr">
        <is>
          <t>2026-10-14 13:54</t>
        </is>
      </c>
      <c r="AN14" s="2" t="inlineStr">
        <is>
          <t>Öffentlich verfügbar und verifiziert</t>
        </is>
      </c>
      <c r="AO14" s="2" t="inlineStr">
        <is>
          <t>Rechnungsjahr 2025 (publ. 2026)</t>
        </is>
      </c>
      <c r="AP14" s="2" t="inlineStr">
        <is>
          <t>Belegt Existenz und Zugänglichkeit der Quelle; inhaltliche Aussagen erst nach Auswertung.</t>
        </is>
      </c>
      <c r="AQ14" s="2" t="inlineStr">
        <is>
          <t>Keine Einstufung: Kennzahlen/Befunde noch nicht ausgewertet; Schwellen der Bewertungslogik noch nicht validiert.</t>
        </is>
      </c>
      <c r="AR14" s="2" t="inlineStr">
        <is>
          <t>Nein</t>
        </is>
      </c>
      <c r="AS14" s="2" t="inlineStr">
        <is>
          <t>Kanton Uri, Finanzkontrolle</t>
        </is>
      </c>
      <c r="AT14" s="2" t="inlineStr">
        <is>
          <t>In Prüfung</t>
        </is>
      </c>
      <c r="AU14" s="2" t="inlineStr"/>
      <c r="AV14" s="2" t="inlineStr"/>
      <c r="AW14" s="2" t="inlineStr">
        <is>
          <t>2026-10-14: neu aufgenommen</t>
        </is>
      </c>
      <c r="AX14" s="2">
        <f>IF(ISNA(MATCH($A14,'Gesamtübersicht'!$A:$A,0)),"ID fehlt in Gesamtübersicht",IF(AND(INDEX('Gesamtübersicht'!$H:$H,MATCH($A14,'Gesamtübersicht'!$A:$A,0))&amp;""=$H14&amp;"",INDEX('Gesamtübersicht'!$M:$M,MATCH($A14,'Gesamtübersicht'!$A:$A,0))&amp;""=$M14&amp;"",INDEX('Gesamtübersicht'!$AD:$AD,MATCH($A14,'Gesamtübersicht'!$A:$A,0))&amp;""=$AD14&amp;"",INDEX('Gesamtübersicht'!$AH:$AH,MATCH($A14,'Gesamtübersicht'!$A:$A,0))&amp;""=$AH14&amp;"",INDEX('Gesamtübersicht'!$T:$T,MATCH($A14,'Gesamtübersicht'!$A:$A,0))&amp;""=$T14&amp;""),"OK","Abweichung – Ansicht neu erzeugen"))</f>
        <v/>
      </c>
    </row>
    <row r="15" ht="43" customHeight="1">
      <c r="A15" s="3" t="inlineStr">
        <is>
          <t>UR-C1-04</t>
        </is>
      </c>
      <c r="B15" s="14" t="inlineStr">
        <is>
          <t>Kanton</t>
        </is>
      </c>
      <c r="C15" s="3" t="inlineStr">
        <is>
          <t>Schweiz</t>
        </is>
      </c>
      <c r="D15" s="3" t="inlineStr">
        <is>
          <t>Uri</t>
        </is>
      </c>
      <c r="E15" s="3" t="inlineStr">
        <is>
          <t>Alle</t>
        </is>
      </c>
      <c r="F15" s="3" t="inlineStr">
        <is>
          <t>C1</t>
        </is>
      </c>
      <c r="G15" s="3" t="inlineStr">
        <is>
          <t>Finanzkennzahlen Gemeinden</t>
        </is>
      </c>
      <c r="H15" s="3" t="inlineStr">
        <is>
          <t>Kennzahlen Einwohnergemeinden Uri 2024 (Finanzkontrolle)</t>
        </is>
      </c>
      <c r="I15" s="3" t="inlineStr">
        <is>
          <t>Statistik / Bericht</t>
        </is>
      </c>
      <c r="J15" s="3" t="inlineStr">
        <is>
          <t>Direktes Dokument</t>
        </is>
      </c>
      <c r="K15" s="3" t="inlineStr">
        <is>
          <t>Datengrundlage</t>
        </is>
      </c>
      <c r="L15" s="3" t="inlineStr">
        <is>
          <t>Kanton Uri, Finanzkontrolle</t>
        </is>
      </c>
      <c r="M15" s="7" t="inlineStr">
        <is>
          <t>https://www.ur.ch/_doc/420775</t>
        </is>
      </c>
      <c r="N15" s="3" t="inlineStr">
        <is>
          <t>Rechnungsjahr 2024</t>
        </is>
      </c>
      <c r="O15" s="3" t="inlineStr">
        <is>
          <t>2026-10-14</t>
        </is>
      </c>
      <c r="P15" s="3" t="inlineStr">
        <is>
          <t>Vorjahreswerte für Zeitreihe</t>
        </is>
      </c>
      <c r="Q15" s="3" t="inlineStr">
        <is>
          <t>wie UR-C1-03</t>
        </is>
      </c>
      <c r="R15" s="3" t="inlineStr"/>
      <c r="S15" s="3" t="inlineStr">
        <is>
          <t>Kanton × Grössenklasse</t>
        </is>
      </c>
      <c r="T15" s="3" t="inlineStr">
        <is>
          <t>Noch nicht bewertet</t>
        </is>
      </c>
      <c r="U15" s="3" t="inlineStr">
        <is>
          <t>Hoch</t>
        </is>
      </c>
      <c r="V15" s="3" t="inlineStr"/>
      <c r="W15" s="3" t="inlineStr"/>
      <c r="X15" s="3" t="inlineStr"/>
      <c r="Y15" s="3" t="inlineStr">
        <is>
          <t>Dokument auswerten; Aktualität und Geltung prüfen</t>
        </is>
      </c>
      <c r="Z15" s="3" t="inlineStr">
        <is>
          <t>Websuche 14.10.2026 (URL im Suchergebnis gefunden)</t>
        </is>
      </c>
      <c r="AA15" s="3" t="inlineStr"/>
      <c r="AB15" s="3" t="inlineStr"/>
      <c r="AC15" s="7" t="inlineStr">
        <is>
          <t>https://www.ur.ch/publikationen/6680</t>
        </is>
      </c>
      <c r="AD15" s="3" t="inlineStr">
        <is>
          <t>Weiterleitung</t>
        </is>
      </c>
      <c r="AE15" s="3" t="inlineStr">
        <is>
          <t>200</t>
        </is>
      </c>
      <c r="AF15" s="7" t="inlineStr">
        <is>
          <t>https://www.ur.ch/_docn/420775/Gemeindekennzahlen_2024_signiert.pdf</t>
        </is>
      </c>
      <c r="AG15" s="3" t="inlineStr">
        <is>
          <t>PDF</t>
        </is>
      </c>
      <c r="AH15" s="3" t="inlineStr">
        <is>
          <t>Bestätigt</t>
        </is>
      </c>
      <c r="AI15" s="3" t="inlineStr">
        <is>
          <t>Schlüsselwörter 2/2 gefunden (Kennzahlen, Seelisberg); Ort/Zuständigkeit: Uri</t>
        </is>
      </c>
      <c r="AJ15" s="3" t="inlineStr">
        <is>
          <t>Gemeindekennzahlen 2024_final.xlsx</t>
        </is>
      </c>
      <c r="AK15" s="3" t="inlineStr">
        <is>
          <t>2024, 2025, 2013, 2018</t>
        </is>
      </c>
      <c r="AL15" s="3" t="inlineStr">
        <is>
          <t>Mittel (Webseite)</t>
        </is>
      </c>
      <c r="AM15" s="3" t="inlineStr">
        <is>
          <t>2026-10-14 13:54</t>
        </is>
      </c>
      <c r="AN15" s="3" t="inlineStr">
        <is>
          <t>Öffentlich verfügbar und verifiziert</t>
        </is>
      </c>
      <c r="AO15" s="3" t="inlineStr">
        <is>
          <t>Rechnungsjahr 2024</t>
        </is>
      </c>
      <c r="AP15" s="3" t="inlineStr">
        <is>
          <t>Belegt Existenz und Zugänglichkeit der Quelle; inhaltliche Aussagen erst nach Auswertung.</t>
        </is>
      </c>
      <c r="AQ15" s="3" t="inlineStr">
        <is>
          <t>Keine Einstufung: Kennzahlen/Befunde noch nicht ausgewertet; Schwellen der Bewertungslogik noch nicht validiert.</t>
        </is>
      </c>
      <c r="AR15" s="3" t="inlineStr">
        <is>
          <t>Nein</t>
        </is>
      </c>
      <c r="AS15" s="3" t="inlineStr">
        <is>
          <t>Kanton Uri, Finanzkontrolle</t>
        </is>
      </c>
      <c r="AT15" s="3" t="inlineStr">
        <is>
          <t>In Prüfung</t>
        </is>
      </c>
      <c r="AU15" s="3" t="inlineStr"/>
      <c r="AV15" s="3" t="inlineStr"/>
      <c r="AW15" s="3" t="inlineStr">
        <is>
          <t>2026-10-14: neu aufgenommen</t>
        </is>
      </c>
      <c r="AX15" s="3">
        <f>IF(ISNA(MATCH($A15,'Gesamtübersicht'!$A:$A,0)),"ID fehlt in Gesamtübersicht",IF(AND(INDEX('Gesamtübersicht'!$H:$H,MATCH($A15,'Gesamtübersicht'!$A:$A,0))&amp;""=$H15&amp;"",INDEX('Gesamtübersicht'!$M:$M,MATCH($A15,'Gesamtübersicht'!$A:$A,0))&amp;""=$M15&amp;"",INDEX('Gesamtübersicht'!$AD:$AD,MATCH($A15,'Gesamtübersicht'!$A:$A,0))&amp;""=$AD15&amp;"",INDEX('Gesamtübersicht'!$AH:$AH,MATCH($A15,'Gesamtübersicht'!$A:$A,0))&amp;""=$AH15&amp;"",INDEX('Gesamtübersicht'!$T:$T,MATCH($A15,'Gesamtübersicht'!$A:$A,0))&amp;""=$T15&amp;""),"OK","Abweichung – Ansicht neu erzeugen"))</f>
        <v/>
      </c>
    </row>
    <row r="16" ht="43" customHeight="1">
      <c r="A16" s="2" t="inlineStr">
        <is>
          <t>UR-C1-05</t>
        </is>
      </c>
      <c r="B16" s="14" t="inlineStr">
        <is>
          <t>Kanton</t>
        </is>
      </c>
      <c r="C16" s="2" t="inlineStr">
        <is>
          <t>Schweiz</t>
        </is>
      </c>
      <c r="D16" s="2" t="inlineStr">
        <is>
          <t>Uri</t>
        </is>
      </c>
      <c r="E16" s="2" t="inlineStr">
        <is>
          <t>Alle</t>
        </is>
      </c>
      <c r="F16" s="2" t="inlineStr">
        <is>
          <t>C1</t>
        </is>
      </c>
      <c r="G16" s="2" t="inlineStr">
        <is>
          <t>Rechnungslegung Gemeinden</t>
        </is>
      </c>
      <c r="H16" s="2" t="inlineStr">
        <is>
          <t>Reglement über das Rechnungswesen der Einwohnergemeinden (RRE), RB 3.2115</t>
        </is>
      </c>
      <c r="I16" s="2" t="inlineStr">
        <is>
          <t>Kantonales Reglement</t>
        </is>
      </c>
      <c r="J16" s="2" t="inlineStr">
        <is>
          <t>Direktes Dokument</t>
        </is>
      </c>
      <c r="K16" s="2" t="inlineStr">
        <is>
          <t>Kantonales Recht (verbindlich)</t>
        </is>
      </c>
      <c r="L16" s="2" t="inlineStr">
        <is>
          <t>Regierungsrat Uri</t>
        </is>
      </c>
      <c r="M16" s="5" t="inlineStr">
        <is>
          <t>https://rechtsbuch.ur.ch/api/de/versions/776/pdf_file</t>
        </is>
      </c>
      <c r="N16" s="2" t="inlineStr">
        <is>
          <t>Version 776 (Stand prüfen)</t>
        </is>
      </c>
      <c r="O16" s="2" t="inlineStr">
        <is>
          <t>2026-10-14</t>
        </is>
      </c>
      <c r="P16" s="2" t="inlineStr">
        <is>
          <t>Rechtsgrundlage HRM2 und kantonale Finanzaufsicht über Gemeinden (Uri kennt kein separates FHGG)</t>
        </is>
      </c>
      <c r="Q16" s="2" t="inlineStr"/>
      <c r="R16" s="2" t="inlineStr"/>
      <c r="S16" s="2" t="inlineStr">
        <is>
          <t>Kanton × Grössenklasse</t>
        </is>
      </c>
      <c r="T16" s="2" t="inlineStr">
        <is>
          <t>Noch nicht bewertet</t>
        </is>
      </c>
      <c r="U16" s="2" t="inlineStr">
        <is>
          <t>Hoch</t>
        </is>
      </c>
      <c r="V16" s="2" t="inlineStr"/>
      <c r="W16" s="2" t="inlineStr"/>
      <c r="X16" s="2" t="inlineStr"/>
      <c r="Y16" s="2" t="inlineStr">
        <is>
          <t>Dokument auswerten; Aktualität und Geltung prüfen</t>
        </is>
      </c>
      <c r="Z16" s="2" t="inlineStr">
        <is>
          <t>Websuche 14.10.2026 (URL im Suchergebnis gefunden)</t>
        </is>
      </c>
      <c r="AA16" s="2" t="inlineStr"/>
      <c r="AB16" s="2" t="inlineStr"/>
      <c r="AC16" s="5" t="inlineStr">
        <is>
          <t>https://www.ur.ch/dienstleistungen/3150</t>
        </is>
      </c>
      <c r="AD16" s="2" t="inlineStr">
        <is>
          <t>Verifiziert</t>
        </is>
      </c>
      <c r="AE16" s="2" t="inlineStr">
        <is>
          <t>200</t>
        </is>
      </c>
      <c r="AF16" s="2" t="inlineStr"/>
      <c r="AG16" s="2" t="inlineStr">
        <is>
          <t>PDF</t>
        </is>
      </c>
      <c r="AH16" s="2" t="inlineStr">
        <is>
          <t>Bestätigt</t>
        </is>
      </c>
      <c r="AI16" s="2" t="inlineStr">
        <is>
          <t>Schlüsselwörter 2/2 gefunden (Rechnungswesen, Einwohnergemeinden)</t>
        </is>
      </c>
      <c r="AJ16" s="2" t="inlineStr">
        <is>
          <t>3.2115 - Reglement über das Rechnungswesen der Einwohnergemeinden</t>
        </is>
      </c>
      <c r="AK16" s="2" t="inlineStr">
        <is>
          <t>2010, 2021, 2009, 2008</t>
        </is>
      </c>
      <c r="AL16" s="2" t="inlineStr">
        <is>
          <t>Hoch (Erlassnummer)</t>
        </is>
      </c>
      <c r="AM16" s="2" t="inlineStr">
        <is>
          <t>2026-10-14 13:54</t>
        </is>
      </c>
      <c r="AN16" s="2" t="inlineStr">
        <is>
          <t>Öffentlich verfügbar und verifiziert</t>
        </is>
      </c>
      <c r="AO16" s="2" t="inlineStr">
        <is>
          <t>Version 776 (Stand prüfen)</t>
        </is>
      </c>
      <c r="AP16" s="2" t="inlineStr">
        <is>
          <t>Belegt Existenz und Zugänglichkeit der Quelle; inhaltliche Aussagen erst nach Auswertung.</t>
        </is>
      </c>
      <c r="AQ16" s="2" t="inlineStr">
        <is>
          <t>Keine Einstufung: Kennzahlen/Befunde noch nicht ausgewertet; Schwellen der Bewertungslogik noch nicht validiert.</t>
        </is>
      </c>
      <c r="AR16" s="2" t="inlineStr">
        <is>
          <t>Nein</t>
        </is>
      </c>
      <c r="AS16" s="2" t="inlineStr">
        <is>
          <t>Regierungsrat Uri</t>
        </is>
      </c>
      <c r="AT16" s="2" t="inlineStr">
        <is>
          <t>In Prüfung</t>
        </is>
      </c>
      <c r="AU16" s="2" t="inlineStr">
        <is>
          <t>Versions-PDF: prüfen, ob dies die geltende Fassung ist.</t>
        </is>
      </c>
      <c r="AV16" s="2" t="inlineStr"/>
      <c r="AW16" s="2" t="inlineStr">
        <is>
          <t>2026-10-14: neu aufgenommen</t>
        </is>
      </c>
      <c r="AX16" s="2">
        <f>IF(ISNA(MATCH($A16,'Gesamtübersicht'!$A:$A,0)),"ID fehlt in Gesamtübersicht",IF(AND(INDEX('Gesamtübersicht'!$H:$H,MATCH($A16,'Gesamtübersicht'!$A:$A,0))&amp;""=$H16&amp;"",INDEX('Gesamtübersicht'!$M:$M,MATCH($A16,'Gesamtübersicht'!$A:$A,0))&amp;""=$M16&amp;"",INDEX('Gesamtübersicht'!$AD:$AD,MATCH($A16,'Gesamtübersicht'!$A:$A,0))&amp;""=$AD16&amp;"",INDEX('Gesamtübersicht'!$AH:$AH,MATCH($A16,'Gesamtübersicht'!$A:$A,0))&amp;""=$AH16&amp;"",INDEX('Gesamtübersicht'!$T:$T,MATCH($A16,'Gesamtübersicht'!$A:$A,0))&amp;""=$T16&amp;""),"OK","Abweichung – Ansicht neu erzeugen"))</f>
        <v/>
      </c>
    </row>
    <row r="17" ht="43" customHeight="1">
      <c r="A17" s="3" t="inlineStr">
        <is>
          <t>UR-C1-06</t>
        </is>
      </c>
      <c r="B17" s="14" t="inlineStr">
        <is>
          <t>Kanton</t>
        </is>
      </c>
      <c r="C17" s="3" t="inlineStr">
        <is>
          <t>Schweiz</t>
        </is>
      </c>
      <c r="D17" s="3" t="inlineStr">
        <is>
          <t>Uri</t>
        </is>
      </c>
      <c r="E17" s="3" t="inlineStr">
        <is>
          <t>Alle</t>
        </is>
      </c>
      <c r="F17" s="3" t="inlineStr">
        <is>
          <t>C1</t>
        </is>
      </c>
      <c r="G17" s="3" t="inlineStr">
        <is>
          <t>Finanzausgleich</t>
        </is>
      </c>
      <c r="H17" s="3" t="inlineStr">
        <is>
          <t>Gesetz über den Finanz- und Lastenausgleich zwischen dem Kanton und den Gemeinden (FiLaG), RB 3.2131</t>
        </is>
      </c>
      <c r="I17" s="3" t="inlineStr">
        <is>
          <t>Kantonales Gesetz</t>
        </is>
      </c>
      <c r="J17" s="3" t="inlineStr">
        <is>
          <t>Direktes Dokument</t>
        </is>
      </c>
      <c r="K17" s="3" t="inlineStr">
        <is>
          <t>Kantonales Recht (verbindlich)</t>
        </is>
      </c>
      <c r="L17" s="3" t="inlineStr">
        <is>
          <t>Kanton Uri</t>
        </is>
      </c>
      <c r="M17" s="7" t="inlineStr">
        <is>
          <t>https://rechtsbuch.ur.ch/app/de/texts_of_law/3.2131</t>
        </is>
      </c>
      <c r="N17" s="3" t="inlineStr">
        <is>
          <t>geltende Fassung</t>
        </is>
      </c>
      <c r="O17" s="3" t="inlineStr">
        <is>
          <t>2026-10-14</t>
        </is>
      </c>
      <c r="P17" s="3" t="inlineStr">
        <is>
          <t>Art. 22: Sonderbeitrag an Seelisberg (Abgeschiedenheit); Ressourcen- und Lastenausgleich</t>
        </is>
      </c>
      <c r="Q17" s="3" t="inlineStr">
        <is>
          <t>Ausgleichszahlungen</t>
        </is>
      </c>
      <c r="R17" s="3" t="inlineStr"/>
      <c r="S17" s="3" t="inlineStr">
        <is>
          <t>Kanton × Grössenklasse</t>
        </is>
      </c>
      <c r="T17" s="3" t="inlineStr">
        <is>
          <t>Noch nicht bewertet</t>
        </is>
      </c>
      <c r="U17" s="3" t="inlineStr">
        <is>
          <t>Hoch</t>
        </is>
      </c>
      <c r="V17" s="3" t="inlineStr"/>
      <c r="W17" s="3" t="inlineStr"/>
      <c r="X17" s="3" t="inlineStr"/>
      <c r="Y17" s="3" t="inlineStr">
        <is>
          <t>Dokument auswerten; Aktualität und Geltung prüfen</t>
        </is>
      </c>
      <c r="Z17" s="3" t="inlineStr">
        <is>
          <t>URL nach dokumentiertem Schema der amtlichen Rechtssammlung gebildet; Identität per Runner geprüft</t>
        </is>
      </c>
      <c r="AA17" s="3" t="inlineStr"/>
      <c r="AB17" s="3" t="inlineStr"/>
      <c r="AC17" s="3" t="inlineStr"/>
      <c r="AD17" s="3" t="inlineStr">
        <is>
          <t>Verifiziert</t>
        </is>
      </c>
      <c r="AE17" s="3" t="inlineStr">
        <is>
          <t>200</t>
        </is>
      </c>
      <c r="AF17" s="3" t="inlineStr"/>
      <c r="AG17" s="3" t="inlineStr">
        <is>
          <t>HTML</t>
        </is>
      </c>
      <c r="AH17" s="3" t="inlineStr">
        <is>
          <t>Bestätigt</t>
        </is>
      </c>
      <c r="AI17" s="3" t="inlineStr">
        <is>
          <t>Titel via LexWork-API (https://rechtsbuch.ur.ch/api/de/texts_of_law/3.2131); Schlüsselwörter 1/1 gefunden (Lastenausgleich)</t>
        </is>
      </c>
      <c r="AJ17" s="3" t="inlineStr">
        <is>
          <t>Gesetz über den Finanz- und Lastenausgleich zwischen dem Kanton und den Gemeinden</t>
        </is>
      </c>
      <c r="AK17" s="3" t="inlineStr">
        <is>
          <t>2007, 2026, 2025, 2008</t>
        </is>
      </c>
      <c r="AL17" s="3" t="inlineStr">
        <is>
          <t>Hoch (Erlassnummer)</t>
        </is>
      </c>
      <c r="AM17" s="3" t="inlineStr">
        <is>
          <t>2026-10-14 13:54</t>
        </is>
      </c>
      <c r="AN17" s="3" t="inlineStr">
        <is>
          <t>Öffentlich verfügbar und verifiziert</t>
        </is>
      </c>
      <c r="AO17" s="3" t="inlineStr">
        <is>
          <t>geltende Fassung</t>
        </is>
      </c>
      <c r="AP17" s="3" t="inlineStr">
        <is>
          <t>Belegt Existenz und Zugänglichkeit der Quelle; inhaltliche Aussagen erst nach Auswertung.</t>
        </is>
      </c>
      <c r="AQ17" s="3" t="inlineStr">
        <is>
          <t>Keine Einstufung: Kennzahlen/Befunde noch nicht ausgewertet; Schwellen der Bewertungslogik noch nicht validiert.</t>
        </is>
      </c>
      <c r="AR17" s="3" t="inlineStr">
        <is>
          <t>Nein</t>
        </is>
      </c>
      <c r="AS17" s="3" t="inlineStr">
        <is>
          <t>Kanton Uri</t>
        </is>
      </c>
      <c r="AT17" s="3" t="inlineStr">
        <is>
          <t>In Prüfung</t>
        </is>
      </c>
      <c r="AU17" s="3" t="inlineStr"/>
      <c r="AV17" s="3" t="inlineStr"/>
      <c r="AW17" s="3" t="inlineStr">
        <is>
          <t>2026-10-14: neu aufgenommen</t>
        </is>
      </c>
      <c r="AX17" s="3">
        <f>IF(ISNA(MATCH($A17,'Gesamtübersicht'!$A:$A,0)),"ID fehlt in Gesamtübersicht",IF(AND(INDEX('Gesamtübersicht'!$H:$H,MATCH($A17,'Gesamtübersicht'!$A:$A,0))&amp;""=$H17&amp;"",INDEX('Gesamtübersicht'!$M:$M,MATCH($A17,'Gesamtübersicht'!$A:$A,0))&amp;""=$M17&amp;"",INDEX('Gesamtübersicht'!$AD:$AD,MATCH($A17,'Gesamtübersicht'!$A:$A,0))&amp;""=$AD17&amp;"",INDEX('Gesamtübersicht'!$AH:$AH,MATCH($A17,'Gesamtübersicht'!$A:$A,0))&amp;""=$AH17&amp;"",INDEX('Gesamtübersicht'!$T:$T,MATCH($A17,'Gesamtübersicht'!$A:$A,0))&amp;""=$T17&amp;""),"OK","Abweichung – Ansicht neu erzeugen"))</f>
        <v/>
      </c>
    </row>
    <row r="18" ht="43" customHeight="1">
      <c r="A18" s="2" t="inlineStr">
        <is>
          <t>UR-C1-07</t>
        </is>
      </c>
      <c r="B18" s="14" t="inlineStr">
        <is>
          <t>Kanton</t>
        </is>
      </c>
      <c r="C18" s="2" t="inlineStr">
        <is>
          <t>Schweiz</t>
        </is>
      </c>
      <c r="D18" s="2" t="inlineStr">
        <is>
          <t>Uri</t>
        </is>
      </c>
      <c r="E18" s="2" t="inlineStr">
        <is>
          <t>Alle</t>
        </is>
      </c>
      <c r="F18" s="2" t="inlineStr">
        <is>
          <t>C1</t>
        </is>
      </c>
      <c r="G18" s="2" t="inlineStr">
        <is>
          <t>Finanzausgleich</t>
        </is>
      </c>
      <c r="H18" s="2" t="inlineStr">
        <is>
          <t>Finanz- und Lastenausgleich (FiLa) 2025 – Berechnung je Gemeinde</t>
        </is>
      </c>
      <c r="I18" s="2" t="inlineStr">
        <is>
          <t>Berechnungstabelle</t>
        </is>
      </c>
      <c r="J18" s="2" t="inlineStr">
        <is>
          <t>Direktes Dokument</t>
        </is>
      </c>
      <c r="K18" s="2" t="inlineStr">
        <is>
          <t>Datengrundlage</t>
        </is>
      </c>
      <c r="L18" s="2" t="inlineStr">
        <is>
          <t>Kanton Uri, Finanzdirektion</t>
        </is>
      </c>
      <c r="M18" s="5" t="inlineStr">
        <is>
          <t>https://www.ur.ch/_docn/426685/Berechnung_FiLa_2025.pdf</t>
        </is>
      </c>
      <c r="N18" s="2" t="inlineStr">
        <is>
          <t>2025</t>
        </is>
      </c>
      <c r="O18" s="2" t="inlineStr">
        <is>
          <t>2026-10-14</t>
        </is>
      </c>
      <c r="P18" s="2" t="inlineStr">
        <is>
          <t>Höhe der Ausgleichszahlungen an Seelisberg</t>
        </is>
      </c>
      <c r="Q18" s="2" t="inlineStr">
        <is>
          <t>Ressourcenausgleich, Lastenausgleich CHF</t>
        </is>
      </c>
      <c r="R18" s="2" t="inlineStr"/>
      <c r="S18" s="2" t="inlineStr">
        <is>
          <t>Kanton × Grössenklasse</t>
        </is>
      </c>
      <c r="T18" s="2" t="inlineStr">
        <is>
          <t>Noch nicht bewertet</t>
        </is>
      </c>
      <c r="U18" s="2" t="inlineStr">
        <is>
          <t>Hoch</t>
        </is>
      </c>
      <c r="V18" s="2" t="inlineStr"/>
      <c r="W18" s="2" t="inlineStr"/>
      <c r="X18" s="2" t="inlineStr"/>
      <c r="Y18" s="2" t="inlineStr">
        <is>
          <t>Dokument auswerten; Aktualität und Geltung prüfen</t>
        </is>
      </c>
      <c r="Z18" s="2" t="inlineStr">
        <is>
          <t>Websuche 14.10.2026 (URL im Suchergebnis gefunden)</t>
        </is>
      </c>
      <c r="AA18" s="2" t="inlineStr"/>
      <c r="AB18" s="2" t="inlineStr"/>
      <c r="AC18" s="2" t="inlineStr"/>
      <c r="AD18" s="2" t="inlineStr">
        <is>
          <t>Verifiziert</t>
        </is>
      </c>
      <c r="AE18" s="2" t="inlineStr">
        <is>
          <t>200</t>
        </is>
      </c>
      <c r="AF18" s="2" t="inlineStr"/>
      <c r="AG18" s="2" t="inlineStr">
        <is>
          <t>PDF</t>
        </is>
      </c>
      <c r="AH18" s="2" t="inlineStr">
        <is>
          <t>Bestätigt</t>
        </is>
      </c>
      <c r="AI18" s="2" t="inlineStr">
        <is>
          <t>Schlüsselwörter 2/2 gefunden (2025, Seelisberg); Ort/Zuständigkeit: Uri</t>
        </is>
      </c>
      <c r="AJ18" s="2" t="inlineStr">
        <is>
          <t>FINANZDIREKTION Beilage 2</t>
        </is>
      </c>
      <c r="AK18" s="2" t="inlineStr">
        <is>
          <t>2025, 2024, 2023, 2021, 2015, 2008</t>
        </is>
      </c>
      <c r="AL18" s="2" t="inlineStr">
        <is>
          <t>Mittel (CMS-Dokumentlink)</t>
        </is>
      </c>
      <c r="AM18" s="2" t="inlineStr">
        <is>
          <t>2026-10-14 13:54</t>
        </is>
      </c>
      <c r="AN18" s="2" t="inlineStr">
        <is>
          <t>Öffentlich verfügbar und verifiziert</t>
        </is>
      </c>
      <c r="AO18" s="2" t="inlineStr">
        <is>
          <t>2025</t>
        </is>
      </c>
      <c r="AP18" s="2" t="inlineStr">
        <is>
          <t>Belegt Existenz und Zugänglichkeit der Quelle; inhaltliche Aussagen erst nach Auswertung.</t>
        </is>
      </c>
      <c r="AQ18" s="2" t="inlineStr">
        <is>
          <t>Keine Einstufung: Kennzahlen/Befunde noch nicht ausgewertet; Schwellen der Bewertungslogik noch nicht validiert.</t>
        </is>
      </c>
      <c r="AR18" s="2" t="inlineStr">
        <is>
          <t>Nein</t>
        </is>
      </c>
      <c r="AS18" s="2" t="inlineStr">
        <is>
          <t>Kanton Uri, Finanzdirektion</t>
        </is>
      </c>
      <c r="AT18" s="2" t="inlineStr">
        <is>
          <t>In Prüfung</t>
        </is>
      </c>
      <c r="AU18" s="2" t="inlineStr"/>
      <c r="AV18" s="2" t="inlineStr"/>
      <c r="AW18" s="2" t="inlineStr">
        <is>
          <t>2026-10-14: neu aufgenommen</t>
        </is>
      </c>
      <c r="AX18" s="2">
        <f>IF(ISNA(MATCH($A18,'Gesamtübersicht'!$A:$A,0)),"ID fehlt in Gesamtübersicht",IF(AND(INDEX('Gesamtübersicht'!$H:$H,MATCH($A18,'Gesamtübersicht'!$A:$A,0))&amp;""=$H18&amp;"",INDEX('Gesamtübersicht'!$M:$M,MATCH($A18,'Gesamtübersicht'!$A:$A,0))&amp;""=$M18&amp;"",INDEX('Gesamtübersicht'!$AD:$AD,MATCH($A18,'Gesamtübersicht'!$A:$A,0))&amp;""=$AD18&amp;"",INDEX('Gesamtübersicht'!$AH:$AH,MATCH($A18,'Gesamtübersicht'!$A:$A,0))&amp;""=$AH18&amp;"",INDEX('Gesamtübersicht'!$T:$T,MATCH($A18,'Gesamtübersicht'!$A:$A,0))&amp;""=$T18&amp;""),"OK","Abweichung – Ansicht neu erzeugen"))</f>
        <v/>
      </c>
    </row>
    <row r="19" ht="43" customHeight="1">
      <c r="A19" s="3" t="inlineStr">
        <is>
          <t>UR-C2-01</t>
        </is>
      </c>
      <c r="B19" s="14" t="inlineStr">
        <is>
          <t>Kanton</t>
        </is>
      </c>
      <c r="C19" s="3" t="inlineStr">
        <is>
          <t>Schweiz</t>
        </is>
      </c>
      <c r="D19" s="3" t="inlineStr">
        <is>
          <t>Uri</t>
        </is>
      </c>
      <c r="E19" s="3" t="inlineStr">
        <is>
          <t>Alle</t>
        </is>
      </c>
      <c r="F19" s="3" t="inlineStr">
        <is>
          <t>C2</t>
        </is>
      </c>
      <c r="G19" s="3" t="inlineStr">
        <is>
          <t>Geodaten / Eigentum</t>
        </is>
      </c>
      <c r="H19" s="3" t="inlineStr">
        <is>
          <t>Geoportal Uri: Liegenschaften und Nutzungsplanung</t>
        </is>
      </c>
      <c r="I19" s="3" t="inlineStr">
        <is>
          <t>Geodatenportal</t>
        </is>
      </c>
      <c r="J19" s="3" t="inlineStr">
        <is>
          <t>Offizielle Quelle recherchiert</t>
        </is>
      </c>
      <c r="K19" s="3" t="inlineStr">
        <is>
          <t>Orientierung / Datengrundlage</t>
        </is>
      </c>
      <c r="L19" s="3" t="inlineStr">
        <is>
          <t>Kanton Uri</t>
        </is>
      </c>
      <c r="M19" s="7" t="inlineStr">
        <is>
          <t>https://geo.ur.ch/</t>
        </is>
      </c>
      <c r="N19" s="3" t="inlineStr">
        <is>
          <t>Zu prüfen</t>
        </is>
      </c>
      <c r="O19" s="3" t="inlineStr">
        <is>
          <t>2026-10-14</t>
        </is>
      </c>
      <c r="P19" s="3" t="inlineStr">
        <is>
          <t>Räumliche Parzellenstruktur; kein Nachweis kommunalen Eigentums</t>
        </is>
      </c>
      <c r="Q19" s="3" t="inlineStr">
        <is>
          <t>Parzellen, ÖBA-Zonen</t>
        </is>
      </c>
      <c r="R19" s="3" t="inlineStr">
        <is>
          <t>Luucy übernehmen, Eigentum separat belegen</t>
        </is>
      </c>
      <c r="S19" s="3" t="inlineStr">
        <is>
          <t>Kein Peer</t>
        </is>
      </c>
      <c r="T19" s="3" t="inlineStr">
        <is>
          <t>Noch nicht bewertet</t>
        </is>
      </c>
      <c r="U19" s="3" t="inlineStr">
        <is>
          <t>Mittel</t>
        </is>
      </c>
      <c r="V19" s="3" t="inlineStr">
        <is>
          <t>Geltende kantonale Detailgrundlage und Datenstand prüfen</t>
        </is>
      </c>
      <c r="W19" s="3" t="inlineStr">
        <is>
          <t>B; Q1</t>
        </is>
      </c>
      <c r="X19" s="3" t="inlineStr">
        <is>
          <t>Bodenpotenzial</t>
        </is>
      </c>
      <c r="Y19" s="3" t="inlineStr">
        <is>
          <t>Dokument auswerten; Aktualität und Geltung prüfen</t>
        </is>
      </c>
      <c r="Z19" s="3" t="inlineStr">
        <is>
          <t>Webrecherche 14.10.2026</t>
        </is>
      </c>
      <c r="AA19" s="3" t="inlineStr"/>
      <c r="AB19" s="3" t="inlineStr"/>
      <c r="AC19" s="3" t="inlineStr"/>
      <c r="AD19" s="3" t="inlineStr">
        <is>
          <t>Verifiziert</t>
        </is>
      </c>
      <c r="AE19" s="3" t="inlineStr">
        <is>
          <t>200</t>
        </is>
      </c>
      <c r="AF19" s="3" t="inlineStr"/>
      <c r="AG19" s="3" t="inlineStr">
        <is>
          <t>HTML</t>
        </is>
      </c>
      <c r="AH19" s="3" t="inlineStr">
        <is>
          <t>Bestätigt</t>
        </is>
      </c>
      <c r="AI19" s="3" t="inlineStr">
        <is>
          <t>Schlüsselwörter 1/1 gefunden (Geo); Ort/Zuständigkeit: geo.ur</t>
        </is>
      </c>
      <c r="AJ19" s="3" t="inlineStr">
        <is>
          <t>geo.ur</t>
        </is>
      </c>
      <c r="AK19" s="3" t="inlineStr"/>
      <c r="AL19" s="3" t="inlineStr">
        <is>
          <t>Mittel (Startseite, kein Dokument)</t>
        </is>
      </c>
      <c r="AM19" s="3" t="inlineStr">
        <is>
          <t>2026-10-14 13:53</t>
        </is>
      </c>
      <c r="AN19" s="3" t="inlineStr">
        <is>
          <t>Öffentlich verfügbar und verifiziert</t>
        </is>
      </c>
      <c r="AO19" s="3" t="inlineStr">
        <is>
          <t>Zu prüfen</t>
        </is>
      </c>
      <c r="AP19" s="3" t="inlineStr">
        <is>
          <t>Belegt Existenz und Zugänglichkeit der Quelle; inhaltliche Aussagen erst nach Auswertung.</t>
        </is>
      </c>
      <c r="AQ19" s="3" t="inlineStr">
        <is>
          <t>Keine Einstufung: Kennzahlen/Befunde noch nicht ausgewertet; Schwellen der Bewertungslogik noch nicht validiert.</t>
        </is>
      </c>
      <c r="AR19" s="3" t="inlineStr">
        <is>
          <t>Nein</t>
        </is>
      </c>
      <c r="AS19" s="3" t="inlineStr">
        <is>
          <t>Kanton Uri</t>
        </is>
      </c>
      <c r="AT19" s="3" t="inlineStr">
        <is>
          <t>In Prüfung</t>
        </is>
      </c>
      <c r="AU19" s="3" t="inlineStr">
        <is>
          <t>Kartenportal (JavaScript); Inhaltsprüfung nur eingeschränkt möglich. Kein Eigentumsnachweis.</t>
        </is>
      </c>
      <c r="AV19" s="3" t="inlineStr"/>
      <c r="AW19" s="3" t="inlineStr"/>
      <c r="AX19" s="3">
        <f>IF(ISNA(MATCH($A19,'Gesamtübersicht'!$A:$A,0)),"ID fehlt in Gesamtübersicht",IF(AND(INDEX('Gesamtübersicht'!$H:$H,MATCH($A19,'Gesamtübersicht'!$A:$A,0))&amp;""=$H19&amp;"",INDEX('Gesamtübersicht'!$M:$M,MATCH($A19,'Gesamtübersicht'!$A:$A,0))&amp;""=$M19&amp;"",INDEX('Gesamtübersicht'!$AD:$AD,MATCH($A19,'Gesamtübersicht'!$A:$A,0))&amp;""=$AD19&amp;"",INDEX('Gesamtübersicht'!$AH:$AH,MATCH($A19,'Gesamtübersicht'!$A:$A,0))&amp;""=$AH19&amp;"",INDEX('Gesamtübersicht'!$T:$T,MATCH($A19,'Gesamtübersicht'!$A:$A,0))&amp;""=$T19&amp;""),"OK","Abweichung – Ansicht neu erzeugen"))</f>
        <v/>
      </c>
    </row>
    <row r="20" ht="43" customHeight="1">
      <c r="A20" s="2" t="inlineStr">
        <is>
          <t>UR-C2-02</t>
        </is>
      </c>
      <c r="B20" s="14" t="inlineStr">
        <is>
          <t>Kanton</t>
        </is>
      </c>
      <c r="C20" s="2" t="inlineStr">
        <is>
          <t>Schweiz</t>
        </is>
      </c>
      <c r="D20" s="2" t="inlineStr">
        <is>
          <t>Uri</t>
        </is>
      </c>
      <c r="E20" s="2" t="inlineStr">
        <is>
          <t>Alle</t>
        </is>
      </c>
      <c r="F20" s="2" t="inlineStr">
        <is>
          <t>C2</t>
        </is>
      </c>
      <c r="G20" s="2" t="inlineStr">
        <is>
          <t>Raumplanung / Baulandmobilisierung</t>
        </is>
      </c>
      <c r="H20" s="2" t="inlineStr">
        <is>
          <t>Planungs- und Baugesetz (PBG) des Kantons Uri, RB 40.1111</t>
        </is>
      </c>
      <c r="I20" s="2" t="inlineStr">
        <is>
          <t>Kantonales Gesetz</t>
        </is>
      </c>
      <c r="J20" s="2" t="inlineStr">
        <is>
          <t>Direktes Dokument</t>
        </is>
      </c>
      <c r="K20" s="2" t="inlineStr">
        <is>
          <t>Kantonales Recht (verbindlich)</t>
        </is>
      </c>
      <c r="L20" s="2" t="inlineStr">
        <is>
          <t>Kanton Uri</t>
        </is>
      </c>
      <c r="M20" s="5" t="inlineStr">
        <is>
          <t>https://rechtsbuch.ur.ch/app/de/texts_of_law/40.1111</t>
        </is>
      </c>
      <c r="N20" s="2" t="inlineStr">
        <is>
          <t>geltende Fassung</t>
        </is>
      </c>
      <c r="O20" s="2" t="inlineStr">
        <is>
          <t>2026-10-14</t>
        </is>
      </c>
      <c r="P20" s="2" t="inlineStr">
        <is>
          <t>Bauverpflichtung/Baulandmobilisierung, Mehrwertausgleich</t>
        </is>
      </c>
      <c r="Q20" s="2" t="inlineStr"/>
      <c r="R20" s="2" t="inlineStr"/>
      <c r="S20" s="2" t="inlineStr">
        <is>
          <t>Kein Peer-Vergleich</t>
        </is>
      </c>
      <c r="T20" s="2" t="inlineStr">
        <is>
          <t>Noch nicht bewertet</t>
        </is>
      </c>
      <c r="U20" s="2" t="inlineStr">
        <is>
          <t>Hoch</t>
        </is>
      </c>
      <c r="V20" s="2" t="inlineStr"/>
      <c r="W20" s="2" t="inlineStr">
        <is>
          <t>B; Q1</t>
        </is>
      </c>
      <c r="X20" s="2" t="inlineStr"/>
      <c r="Y20" s="2" t="inlineStr">
        <is>
          <t>Dokument auswerten; Aktualität und Geltung prüfen</t>
        </is>
      </c>
      <c r="Z20" s="2" t="inlineStr">
        <is>
          <t>Websuche 14.10.2026 (URL im Suchergebnis gefunden)</t>
        </is>
      </c>
      <c r="AA20" s="2" t="inlineStr"/>
      <c r="AB20" s="2" t="inlineStr"/>
      <c r="AC20" s="2" t="inlineStr"/>
      <c r="AD20" s="2" t="inlineStr">
        <is>
          <t>Verifiziert</t>
        </is>
      </c>
      <c r="AE20" s="2" t="inlineStr">
        <is>
          <t>200</t>
        </is>
      </c>
      <c r="AF20" s="2" t="inlineStr"/>
      <c r="AG20" s="2" t="inlineStr">
        <is>
          <t>HTML</t>
        </is>
      </c>
      <c r="AH20" s="2" t="inlineStr">
        <is>
          <t>Bestätigt</t>
        </is>
      </c>
      <c r="AI20" s="2" t="inlineStr">
        <is>
          <t>Titel via LexWork-API (https://rechtsbuch.ur.ch/api/de/texts_of_law/40.1111); Schlüsselwörter 1/1 gefunden (Planungs)</t>
        </is>
      </c>
      <c r="AJ20" s="2" t="inlineStr">
        <is>
          <t>Planungs- und Baugesetz</t>
        </is>
      </c>
      <c r="AK20" s="2" t="inlineStr">
        <is>
          <t>2010, 2022, 2012, 2021</t>
        </is>
      </c>
      <c r="AL20" s="2" t="inlineStr">
        <is>
          <t>Hoch (Erlassnummer)</t>
        </is>
      </c>
      <c r="AM20" s="2" t="inlineStr">
        <is>
          <t>2026-10-14 13:54</t>
        </is>
      </c>
      <c r="AN20" s="2" t="inlineStr">
        <is>
          <t>Öffentlich verfügbar und verifiziert</t>
        </is>
      </c>
      <c r="AO20" s="2" t="inlineStr">
        <is>
          <t>geltende Fassung</t>
        </is>
      </c>
      <c r="AP20" s="2" t="inlineStr">
        <is>
          <t>Belegt Existenz und Zugänglichkeit der Quelle; inhaltliche Aussagen erst nach Auswertung.</t>
        </is>
      </c>
      <c r="AQ20" s="2" t="inlineStr">
        <is>
          <t>Keine Einstufung: Kennzahlen/Befunde noch nicht ausgewertet; Schwellen der Bewertungslogik noch nicht validiert.</t>
        </is>
      </c>
      <c r="AR20" s="2" t="inlineStr">
        <is>
          <t>Nein</t>
        </is>
      </c>
      <c r="AS20" s="2" t="inlineStr">
        <is>
          <t>Kanton Uri</t>
        </is>
      </c>
      <c r="AT20" s="2" t="inlineStr">
        <is>
          <t>In Prüfung</t>
        </is>
      </c>
      <c r="AU20" s="2" t="inlineStr"/>
      <c r="AV20" s="2" t="inlineStr"/>
      <c r="AW20" s="2" t="inlineStr">
        <is>
          <t>2026-10-14: neu aufgenommen</t>
        </is>
      </c>
      <c r="AX20" s="2">
        <f>IF(ISNA(MATCH($A20,'Gesamtübersicht'!$A:$A,0)),"ID fehlt in Gesamtübersicht",IF(AND(INDEX('Gesamtübersicht'!$H:$H,MATCH($A20,'Gesamtübersicht'!$A:$A,0))&amp;""=$H20&amp;"",INDEX('Gesamtübersicht'!$M:$M,MATCH($A20,'Gesamtübersicht'!$A:$A,0))&amp;""=$M20&amp;"",INDEX('Gesamtübersicht'!$AD:$AD,MATCH($A20,'Gesamtübersicht'!$A:$A,0))&amp;""=$AD20&amp;"",INDEX('Gesamtübersicht'!$AH:$AH,MATCH($A20,'Gesamtübersicht'!$A:$A,0))&amp;""=$AH20&amp;"",INDEX('Gesamtübersicht'!$T:$T,MATCH($A20,'Gesamtübersicht'!$A:$A,0))&amp;""=$T20&amp;""),"OK","Abweichung – Ansicht neu erzeugen"))</f>
        <v/>
      </c>
    </row>
    <row r="21" ht="43" customHeight="1">
      <c r="A21" s="3" t="inlineStr">
        <is>
          <t>UR-C2-03</t>
        </is>
      </c>
      <c r="B21" s="14" t="inlineStr">
        <is>
          <t>Kanton</t>
        </is>
      </c>
      <c r="C21" s="3" t="inlineStr">
        <is>
          <t>Schweiz</t>
        </is>
      </c>
      <c r="D21" s="3" t="inlineStr">
        <is>
          <t>Uri</t>
        </is>
      </c>
      <c r="E21" s="3" t="inlineStr">
        <is>
          <t>Alle</t>
        </is>
      </c>
      <c r="F21" s="3" t="inlineStr">
        <is>
          <t>C2</t>
        </is>
      </c>
      <c r="G21" s="3" t="inlineStr">
        <is>
          <t>Bauland</t>
        </is>
      </c>
      <c r="H21" s="3" t="inlineStr">
        <is>
          <t>Kanton Uri: Baulanddatenbank (unbebaute Bauzonen, Raum+)</t>
        </is>
      </c>
      <c r="I21" s="3" t="inlineStr">
        <is>
          <t>Datenbank / Webseite</t>
        </is>
      </c>
      <c r="J21" s="3" t="inlineStr">
        <is>
          <t>Webseite</t>
        </is>
      </c>
      <c r="K21" s="3" t="inlineStr">
        <is>
          <t>Information</t>
        </is>
      </c>
      <c r="L21" s="3" t="inlineStr">
        <is>
          <t>Kanton Uri, Amt für Raumentwicklung</t>
        </is>
      </c>
      <c r="M21" s="7" t="inlineStr">
        <is>
          <t>https://www.ur.ch/dienstleistungen/4297</t>
        </is>
      </c>
      <c r="N21" s="3" t="inlineStr"/>
      <c r="O21" s="3" t="inlineStr">
        <is>
          <t>2026-10-14</t>
        </is>
      </c>
      <c r="P21" s="3" t="inlineStr">
        <is>
          <t>Unüberbaute Bauzonenreserven; kein Nachweis kommunalen Eigentums</t>
        </is>
      </c>
      <c r="Q21" s="3" t="inlineStr"/>
      <c r="R21" s="3" t="inlineStr"/>
      <c r="S21" s="3" t="inlineStr">
        <is>
          <t>Kein Peer-Vergleich</t>
        </is>
      </c>
      <c r="T21" s="3" t="inlineStr">
        <is>
          <t>Noch nicht bewertet</t>
        </is>
      </c>
      <c r="U21" s="3" t="inlineStr">
        <is>
          <t>Mittel</t>
        </is>
      </c>
      <c r="V21" s="3" t="inlineStr"/>
      <c r="W21" s="3" t="inlineStr"/>
      <c r="X21" s="3" t="inlineStr"/>
      <c r="Y21" s="3" t="inlineStr">
        <is>
          <t>Dokument auswerten; Aktualität und Geltung prüfen</t>
        </is>
      </c>
      <c r="Z21" s="3" t="inlineStr">
        <is>
          <t>Websuche 14.10.2026 (URL im Suchergebnis gefunden)</t>
        </is>
      </c>
      <c r="AA21" s="3" t="inlineStr"/>
      <c r="AB21" s="3" t="inlineStr"/>
      <c r="AC21" s="3" t="inlineStr"/>
      <c r="AD21" s="3" t="inlineStr">
        <is>
          <t>Verifiziert</t>
        </is>
      </c>
      <c r="AE21" s="3" t="inlineStr">
        <is>
          <t>200</t>
        </is>
      </c>
      <c r="AF21" s="3" t="inlineStr"/>
      <c r="AG21" s="3" t="inlineStr">
        <is>
          <t>HTML</t>
        </is>
      </c>
      <c r="AH21" s="3" t="inlineStr">
        <is>
          <t>Bestätigt</t>
        </is>
      </c>
      <c r="AI21" s="3" t="inlineStr">
        <is>
          <t>Schlüsselwörter 1/1 gefunden (Bauland); Ort/Zuständigkeit: Uri</t>
        </is>
      </c>
      <c r="AJ21" s="3" t="inlineStr">
        <is>
          <t>Kanton Uri - Baulanddatenbank | Kontakt</t>
        </is>
      </c>
      <c r="AK21" s="3" t="inlineStr">
        <is>
          <t>2030, 2023, 2025, 2027, 2026</t>
        </is>
      </c>
      <c r="AL21" s="3" t="inlineStr">
        <is>
          <t>Mittel (Webseite)</t>
        </is>
      </c>
      <c r="AM21" s="3" t="inlineStr">
        <is>
          <t>2026-10-14 13:54</t>
        </is>
      </c>
      <c r="AN21" s="3" t="inlineStr">
        <is>
          <t>Öffentlich verfügbar und verifiziert</t>
        </is>
      </c>
      <c r="AO21" s="3" t="inlineStr"/>
      <c r="AP21" s="3" t="inlineStr">
        <is>
          <t>Belegt Existenz und Zugänglichkeit der Quelle; inhaltliche Aussagen erst nach Auswertung.</t>
        </is>
      </c>
      <c r="AQ21" s="3" t="inlineStr">
        <is>
          <t>Keine Einstufung: Kennzahlen/Befunde noch nicht ausgewertet; Schwellen der Bewertungslogik noch nicht validiert.</t>
        </is>
      </c>
      <c r="AR21" s="3" t="inlineStr">
        <is>
          <t>Nein</t>
        </is>
      </c>
      <c r="AS21" s="3" t="inlineStr">
        <is>
          <t>Kanton Uri, Amt für Raumentwicklung</t>
        </is>
      </c>
      <c r="AT21" s="3" t="inlineStr">
        <is>
          <t>In Prüfung</t>
        </is>
      </c>
      <c r="AU21" s="3" t="inlineStr"/>
      <c r="AV21" s="3" t="inlineStr"/>
      <c r="AW21" s="3" t="inlineStr">
        <is>
          <t>2026-10-14: neu aufgenommen</t>
        </is>
      </c>
      <c r="AX21" s="3">
        <f>IF(ISNA(MATCH($A21,'Gesamtübersicht'!$A:$A,0)),"ID fehlt in Gesamtübersicht",IF(AND(INDEX('Gesamtübersicht'!$H:$H,MATCH($A21,'Gesamtübersicht'!$A:$A,0))&amp;""=$H21&amp;"",INDEX('Gesamtübersicht'!$M:$M,MATCH($A21,'Gesamtübersicht'!$A:$A,0))&amp;""=$M21&amp;"",INDEX('Gesamtübersicht'!$AD:$AD,MATCH($A21,'Gesamtübersicht'!$A:$A,0))&amp;""=$AD21&amp;"",INDEX('Gesamtübersicht'!$AH:$AH,MATCH($A21,'Gesamtübersicht'!$A:$A,0))&amp;""=$AH21&amp;"",INDEX('Gesamtübersicht'!$T:$T,MATCH($A21,'Gesamtübersicht'!$A:$A,0))&amp;""=$T21&amp;""),"OK","Abweichung – Ansicht neu erzeugen"))</f>
        <v/>
      </c>
    </row>
    <row r="22" ht="43" customHeight="1">
      <c r="A22" s="2" t="inlineStr">
        <is>
          <t>UR-C3-01</t>
        </is>
      </c>
      <c r="B22" s="14" t="inlineStr">
        <is>
          <t>Kanton</t>
        </is>
      </c>
      <c r="C22" s="2" t="inlineStr">
        <is>
          <t>Schweiz</t>
        </is>
      </c>
      <c r="D22" s="2" t="inlineStr">
        <is>
          <t>Uri</t>
        </is>
      </c>
      <c r="E22" s="2" t="inlineStr">
        <is>
          <t>Alle</t>
        </is>
      </c>
      <c r="F22" s="2" t="inlineStr">
        <is>
          <t>C3</t>
        </is>
      </c>
      <c r="G22" s="2" t="inlineStr">
        <is>
          <t>Gemeinderecht</t>
        </is>
      </c>
      <c r="H22" s="2" t="inlineStr">
        <is>
          <t>Gemeindegesetz (GEG) des Kantons Uri, RB 1.1111</t>
        </is>
      </c>
      <c r="I22" s="2" t="inlineStr">
        <is>
          <t>Kantonales Gesetz</t>
        </is>
      </c>
      <c r="J22" s="2" t="inlineStr">
        <is>
          <t>Offizielle Quelle recherchiert</t>
        </is>
      </c>
      <c r="K22" s="2" t="inlineStr">
        <is>
          <t>Kantonales Gesetz (verbindlich)</t>
        </is>
      </c>
      <c r="L22" s="2" t="inlineStr">
        <is>
          <t>Kanton Uri</t>
        </is>
      </c>
      <c r="M22" s="5" t="inlineStr">
        <is>
          <t>https://rechtsbuch.ur.ch/app/de/texts_of_law/1.1111</t>
        </is>
      </c>
      <c r="N22" s="2" t="inlineStr">
        <is>
          <t>vom 21.5.2017; geltende Fassung</t>
        </is>
      </c>
      <c r="O22" s="2" t="inlineStr">
        <is>
          <t>2026-10-14</t>
        </is>
      </c>
      <c r="P22" s="2" t="inlineStr">
        <is>
          <t>Gemeinderechtliche Grundlagen und Zuständigkeiten recherchieren</t>
        </is>
      </c>
      <c r="Q22" s="2" t="inlineStr">
        <is>
          <t>Zuständigkeiten / Kooperation</t>
        </is>
      </c>
      <c r="R22" s="2" t="inlineStr">
        <is>
          <t>Konkrete Erlasse und geltende Fassung identifizieren</t>
        </is>
      </c>
      <c r="S22" s="2" t="inlineStr">
        <is>
          <t>Qualitativ</t>
        </is>
      </c>
      <c r="T22" s="2" t="inlineStr">
        <is>
          <t>Noch nicht bewertet</t>
        </is>
      </c>
      <c r="U22" s="2" t="inlineStr">
        <is>
          <t>Mittel</t>
        </is>
      </c>
      <c r="V22" s="2" t="inlineStr">
        <is>
          <t>Geltende kantonale Detailgrundlage und Datenstand prüfen</t>
        </is>
      </c>
      <c r="W22" s="2" t="inlineStr">
        <is>
          <t>Q6; C5</t>
        </is>
      </c>
      <c r="X22" s="2" t="inlineStr">
        <is>
          <t>Governance</t>
        </is>
      </c>
      <c r="Y22" s="2" t="inlineStr">
        <is>
          <t>Dokument auswerten; Aktualität und Geltung prüfen</t>
        </is>
      </c>
      <c r="Z22" s="2" t="inlineStr">
        <is>
          <t>URL nach dokumentiertem Schema der amtlichen Rechtssammlung gebildet; Identität per Runner geprüft</t>
        </is>
      </c>
      <c r="AA22" s="2" t="inlineStr"/>
      <c r="AB22" s="2" t="inlineStr"/>
      <c r="AC22" s="2" t="inlineStr"/>
      <c r="AD22" s="2" t="inlineStr">
        <is>
          <t>Verifiziert</t>
        </is>
      </c>
      <c r="AE22" s="2" t="inlineStr">
        <is>
          <t>200</t>
        </is>
      </c>
      <c r="AF22" s="2" t="inlineStr"/>
      <c r="AG22" s="2" t="inlineStr">
        <is>
          <t>HTML</t>
        </is>
      </c>
      <c r="AH22" s="2" t="inlineStr">
        <is>
          <t>Bestätigt</t>
        </is>
      </c>
      <c r="AI22" s="2" t="inlineStr">
        <is>
          <t>Titel via LexWork-API (https://rechtsbuch.ur.ch/api/de/texts_of_law/1.1111); Schlüsselwörter 1/1 gefunden (Gemeindegesetz)</t>
        </is>
      </c>
      <c r="AJ22" s="2" t="inlineStr">
        <is>
          <t>Gemeindegesetz</t>
        </is>
      </c>
      <c r="AK22" s="2" t="inlineStr">
        <is>
          <t>2017, 2026, 2025</t>
        </is>
      </c>
      <c r="AL22" s="2" t="inlineStr">
        <is>
          <t>Hoch (Erlassnummer)</t>
        </is>
      </c>
      <c r="AM22" s="2" t="inlineStr">
        <is>
          <t>2026-10-14 13:53</t>
        </is>
      </c>
      <c r="AN22" s="2" t="inlineStr">
        <is>
          <t>Öffentlich verfügbar und verifiziert</t>
        </is>
      </c>
      <c r="AO22" s="2" t="inlineStr">
        <is>
          <t>vom 21.5.2017; geltende Fassung</t>
        </is>
      </c>
      <c r="AP22" s="2" t="inlineStr">
        <is>
          <t>Belegt Existenz und Zugänglichkeit der Quelle; inhaltliche Aussagen erst nach Auswertung.</t>
        </is>
      </c>
      <c r="AQ22" s="2" t="inlineStr">
        <is>
          <t>Keine Einstufung: Kennzahlen/Befunde noch nicht ausgewertet; Schwellen der Bewertungslogik noch nicht validiert.</t>
        </is>
      </c>
      <c r="AR22" s="2" t="inlineStr">
        <is>
          <t>Nein</t>
        </is>
      </c>
      <c r="AS22" s="2" t="inlineStr">
        <is>
          <t>Kanton Uri</t>
        </is>
      </c>
      <c r="AT22" s="2" t="inlineStr">
        <is>
          <t>In Prüfung</t>
        </is>
      </c>
      <c r="AU22" s="2" t="inlineStr"/>
      <c r="AV22" s="2" t="inlineStr"/>
      <c r="AW22" s="2" t="inlineStr">
        <is>
          <t>2026-10-14: Link ersetzt (vorher https://rechtsbuch.ur.ch/). Grund: Startseite der Rechtssammlung durch direkten Erlass ersetzt (Gemeindegesetz, RB 1.1111).</t>
        </is>
      </c>
      <c r="AX22" s="2">
        <f>IF(ISNA(MATCH($A22,'Gesamtübersicht'!$A:$A,0)),"ID fehlt in Gesamtübersicht",IF(AND(INDEX('Gesamtübersicht'!$H:$H,MATCH($A22,'Gesamtübersicht'!$A:$A,0))&amp;""=$H22&amp;"",INDEX('Gesamtübersicht'!$M:$M,MATCH($A22,'Gesamtübersicht'!$A:$A,0))&amp;""=$M22&amp;"",INDEX('Gesamtübersicht'!$AD:$AD,MATCH($A22,'Gesamtübersicht'!$A:$A,0))&amp;""=$AD22&amp;"",INDEX('Gesamtübersicht'!$AH:$AH,MATCH($A22,'Gesamtübersicht'!$A:$A,0))&amp;""=$AH22&amp;"",INDEX('Gesamtübersicht'!$T:$T,MATCH($A22,'Gesamtübersicht'!$A:$A,0))&amp;""=$T22&amp;""),"OK","Abweichung – Ansicht neu erzeugen"))</f>
        <v/>
      </c>
    </row>
    <row r="23" ht="43" customHeight="1">
      <c r="A23" s="3" t="inlineStr">
        <is>
          <t>UR-C3-02</t>
        </is>
      </c>
      <c r="B23" s="14" t="inlineStr">
        <is>
          <t>Kanton</t>
        </is>
      </c>
      <c r="C23" s="3" t="inlineStr">
        <is>
          <t>Schweiz</t>
        </is>
      </c>
      <c r="D23" s="3" t="inlineStr">
        <is>
          <t>Uri</t>
        </is>
      </c>
      <c r="E23" s="3" t="inlineStr">
        <is>
          <t>Alle</t>
        </is>
      </c>
      <c r="F23" s="3" t="inlineStr">
        <is>
          <t>C3</t>
        </is>
      </c>
      <c r="G23" s="3" t="inlineStr">
        <is>
          <t>Kantonsverfassung</t>
        </is>
      </c>
      <c r="H23" s="3" t="inlineStr">
        <is>
          <t>Verfassung des Kantons Uri, RB 1.1101</t>
        </is>
      </c>
      <c r="I23" s="3" t="inlineStr">
        <is>
          <t>Kantonsverfassung</t>
        </is>
      </c>
      <c r="J23" s="3" t="inlineStr">
        <is>
          <t>Direktes Dokument</t>
        </is>
      </c>
      <c r="K23" s="3" t="inlineStr">
        <is>
          <t>Kantonales Recht (verbindlich)</t>
        </is>
      </c>
      <c r="L23" s="3" t="inlineStr">
        <is>
          <t>Kanton Uri</t>
        </is>
      </c>
      <c r="M23" s="7" t="inlineStr">
        <is>
          <t>https://rechtsbuch.ur.ch/app/de/texts_of_law/1.1101</t>
        </is>
      </c>
      <c r="N23" s="3" t="inlineStr">
        <is>
          <t>vom 28.10.1984; geltende Fassung</t>
        </is>
      </c>
      <c r="O23" s="3" t="inlineStr">
        <is>
          <t>2026-10-14</t>
        </is>
      </c>
      <c r="P23" s="3" t="inlineStr">
        <is>
          <t>Gemeindeautonomie; Art. 58 Finanzplanung der Gemeinden; Art. 110 Rechtsetzung Gemeinden</t>
        </is>
      </c>
      <c r="Q23" s="3" t="inlineStr"/>
      <c r="R23" s="3" t="inlineStr"/>
      <c r="S23" s="3" t="inlineStr">
        <is>
          <t>Kein Peer-Vergleich</t>
        </is>
      </c>
      <c r="T23" s="3" t="inlineStr">
        <is>
          <t>Noch nicht bewertet</t>
        </is>
      </c>
      <c r="U23" s="3" t="inlineStr">
        <is>
          <t>Hoch</t>
        </is>
      </c>
      <c r="V23" s="3" t="inlineStr"/>
      <c r="W23" s="3" t="inlineStr"/>
      <c r="X23" s="3" t="inlineStr"/>
      <c r="Y23" s="3" t="inlineStr">
        <is>
          <t>Dokument auswerten; Aktualität und Geltung prüfen</t>
        </is>
      </c>
      <c r="Z23" s="3" t="inlineStr">
        <is>
          <t>URL nach dokumentiertem Schema der amtlichen Rechtssammlung gebildet; Identität per Runner geprüft</t>
        </is>
      </c>
      <c r="AA23" s="3" t="inlineStr">
        <is>
          <t>C1, C5</t>
        </is>
      </c>
      <c r="AB23" s="3" t="inlineStr"/>
      <c r="AC23" s="3" t="inlineStr"/>
      <c r="AD23" s="3" t="inlineStr">
        <is>
          <t>Verifiziert</t>
        </is>
      </c>
      <c r="AE23" s="3" t="inlineStr">
        <is>
          <t>200</t>
        </is>
      </c>
      <c r="AF23" s="3" t="inlineStr"/>
      <c r="AG23" s="3" t="inlineStr">
        <is>
          <t>HTML</t>
        </is>
      </c>
      <c r="AH23" s="3" t="inlineStr">
        <is>
          <t>Bestätigt</t>
        </is>
      </c>
      <c r="AI23" s="3" t="inlineStr">
        <is>
          <t>Titel via LexWork-API (https://rechtsbuch.ur.ch/api/de/texts_of_law/1.1101); Schlüsselwörter 1/1 gefunden (Verfassung)</t>
        </is>
      </c>
      <c r="AJ23" s="3" t="inlineStr">
        <is>
          <t>Verfassung des Kantons Uri</t>
        </is>
      </c>
      <c r="AK23" s="3" t="inlineStr">
        <is>
          <t>2023, 2018</t>
        </is>
      </c>
      <c r="AL23" s="3" t="inlineStr">
        <is>
          <t>Hoch (Erlassnummer)</t>
        </is>
      </c>
      <c r="AM23" s="3" t="inlineStr">
        <is>
          <t>2026-10-14 13:54</t>
        </is>
      </c>
      <c r="AN23" s="3" t="inlineStr">
        <is>
          <t>Öffentlich verfügbar und verifiziert</t>
        </is>
      </c>
      <c r="AO23" s="3" t="inlineStr">
        <is>
          <t>vom 28.10.1984; geltende Fassung</t>
        </is>
      </c>
      <c r="AP23" s="3" t="inlineStr">
        <is>
          <t>Belegt Existenz und Zugänglichkeit der Quelle; inhaltliche Aussagen erst nach Auswertung.</t>
        </is>
      </c>
      <c r="AQ23" s="3" t="inlineStr">
        <is>
          <t>Keine Einstufung: Kennzahlen/Befunde noch nicht ausgewertet; Schwellen der Bewertungslogik noch nicht validiert.</t>
        </is>
      </c>
      <c r="AR23" s="3" t="inlineStr">
        <is>
          <t>Nein</t>
        </is>
      </c>
      <c r="AS23" s="3" t="inlineStr">
        <is>
          <t>Kanton Uri</t>
        </is>
      </c>
      <c r="AT23" s="3" t="inlineStr">
        <is>
          <t>In Prüfung</t>
        </is>
      </c>
      <c r="AU23" s="3" t="inlineStr"/>
      <c r="AV23" s="3" t="inlineStr"/>
      <c r="AW23" s="3" t="inlineStr">
        <is>
          <t>2026-10-14: neu aufgenommen</t>
        </is>
      </c>
      <c r="AX23" s="3">
        <f>IF(ISNA(MATCH($A23,'Gesamtübersicht'!$A:$A,0)),"ID fehlt in Gesamtübersicht",IF(AND(INDEX('Gesamtübersicht'!$H:$H,MATCH($A23,'Gesamtübersicht'!$A:$A,0))&amp;""=$H23&amp;"",INDEX('Gesamtübersicht'!$M:$M,MATCH($A23,'Gesamtübersicht'!$A:$A,0))&amp;""=$M23&amp;"",INDEX('Gesamtübersicht'!$AD:$AD,MATCH($A23,'Gesamtübersicht'!$A:$A,0))&amp;""=$AD23&amp;"",INDEX('Gesamtübersicht'!$AH:$AH,MATCH($A23,'Gesamtübersicht'!$A:$A,0))&amp;""=$AH23&amp;"",INDEX('Gesamtübersicht'!$T:$T,MATCH($A23,'Gesamtübersicht'!$A:$A,0))&amp;""=$T23&amp;""),"OK","Abweichung – Ansicht neu erzeugen"))</f>
        <v/>
      </c>
    </row>
    <row r="24" ht="43" customHeight="1">
      <c r="A24" s="2" t="inlineStr">
        <is>
          <t>UR-C4-01</t>
        </is>
      </c>
      <c r="B24" s="14" t="inlineStr">
        <is>
          <t>Kanton</t>
        </is>
      </c>
      <c r="C24" s="2" t="inlineStr">
        <is>
          <t>Schweiz</t>
        </is>
      </c>
      <c r="D24" s="2" t="inlineStr">
        <is>
          <t>Uri</t>
        </is>
      </c>
      <c r="E24" s="2" t="inlineStr">
        <is>
          <t>Alle</t>
        </is>
      </c>
      <c r="F24" s="2" t="inlineStr">
        <is>
          <t>C4</t>
        </is>
      </c>
      <c r="G24" s="2" t="inlineStr">
        <is>
          <t>Verwaltung</t>
        </is>
      </c>
      <c r="H24" s="2" t="inlineStr">
        <is>
          <t>Kanton Uri: Submissionsrecht (IVöB 2019, in Kraft seit 1.6.2023)</t>
        </is>
      </c>
      <c r="I24" s="2" t="inlineStr">
        <is>
          <t>Behördeninformation</t>
        </is>
      </c>
      <c r="J24" s="2" t="inlineStr">
        <is>
          <t>Offizielle Quelle recherchiert</t>
        </is>
      </c>
      <c r="K24" s="2" t="inlineStr">
        <is>
          <t>Information zu verbindlichem Recht</t>
        </is>
      </c>
      <c r="L24" s="2" t="inlineStr">
        <is>
          <t>Kanton Uri</t>
        </is>
      </c>
      <c r="M24" s="5" t="inlineStr">
        <is>
          <t>https://www.ur.ch/dienstleistungen/8444</t>
        </is>
      </c>
      <c r="N24" s="2" t="inlineStr">
        <is>
          <t>Zu prüfen</t>
        </is>
      </c>
      <c r="O24" s="2" t="inlineStr">
        <is>
          <t>2026-10-14</t>
        </is>
      </c>
      <c r="P24" s="2" t="inlineStr">
        <is>
          <t>Rahmenbedingungen und interkommunale Aufgaben</t>
        </is>
      </c>
      <c r="Q24" s="2" t="inlineStr">
        <is>
          <t>Verwaltungsaufgaben / Organisation</t>
        </is>
      </c>
      <c r="R24" s="2" t="inlineStr">
        <is>
          <t>Gemeindespezifische Unterlagen ergänzen</t>
        </is>
      </c>
      <c r="S24" s="2" t="inlineStr">
        <is>
          <t>Qualitativ</t>
        </is>
      </c>
      <c r="T24" s="2" t="inlineStr">
        <is>
          <t>Noch nicht bewertet</t>
        </is>
      </c>
      <c r="U24" s="2" t="inlineStr">
        <is>
          <t>Mittel</t>
        </is>
      </c>
      <c r="V24" s="2" t="inlineStr">
        <is>
          <t>Geltende kantonale Detailgrundlage und Datenstand prüfen</t>
        </is>
      </c>
      <c r="W24" s="2" t="inlineStr">
        <is>
          <t>C3; Q6</t>
        </is>
      </c>
      <c r="X24" s="2" t="inlineStr">
        <is>
          <t>Verwaltungskapazität</t>
        </is>
      </c>
      <c r="Y24" s="2" t="inlineStr">
        <is>
          <t>Dokument auswerten; Aktualität und Geltung prüfen</t>
        </is>
      </c>
      <c r="Z24" s="2" t="inlineStr">
        <is>
          <t>Webrecherche 14.10.2026</t>
        </is>
      </c>
      <c r="AA24" s="2" t="inlineStr"/>
      <c r="AB24" s="2" t="inlineStr"/>
      <c r="AC24" s="2" t="inlineStr"/>
      <c r="AD24" s="2" t="inlineStr">
        <is>
          <t>Verifiziert</t>
        </is>
      </c>
      <c r="AE24" s="2" t="inlineStr">
        <is>
          <t>200</t>
        </is>
      </c>
      <c r="AF24" s="2" t="inlineStr"/>
      <c r="AG24" s="2" t="inlineStr">
        <is>
          <t>HTML</t>
        </is>
      </c>
      <c r="AH24" s="2" t="inlineStr">
        <is>
          <t>Bestätigt</t>
        </is>
      </c>
      <c r="AI24" s="2" t="inlineStr">
        <is>
          <t>Schlüsselwörter 1/1 gefunden (Submission); Ort/Zuständigkeit: Uri</t>
        </is>
      </c>
      <c r="AJ24" s="2" t="inlineStr">
        <is>
          <t>Kanton Uri - Submissionsrecht | Kontakt</t>
        </is>
      </c>
      <c r="AK24" s="2" t="inlineStr">
        <is>
          <t>2023, 2030, 2025, 2027, 2026</t>
        </is>
      </c>
      <c r="AL24" s="2" t="inlineStr">
        <is>
          <t>Mittel (Webseite)</t>
        </is>
      </c>
      <c r="AM24" s="2" t="inlineStr">
        <is>
          <t>2026-10-14 13:53</t>
        </is>
      </c>
      <c r="AN24" s="2" t="inlineStr">
        <is>
          <t>Öffentlich verfügbar und verifiziert</t>
        </is>
      </c>
      <c r="AO24" s="2" t="inlineStr">
        <is>
          <t>Zu prüfen</t>
        </is>
      </c>
      <c r="AP24" s="2" t="inlineStr">
        <is>
          <t>Belegt Existenz und Zugänglichkeit der Quelle; inhaltliche Aussagen erst nach Auswertung.</t>
        </is>
      </c>
      <c r="AQ24" s="2" t="inlineStr">
        <is>
          <t>Keine Einstufung: Kennzahlen/Befunde noch nicht ausgewertet; Schwellen der Bewertungslogik noch nicht validiert.</t>
        </is>
      </c>
      <c r="AR24" s="2" t="inlineStr">
        <is>
          <t>Nein</t>
        </is>
      </c>
      <c r="AS24" s="2" t="inlineStr">
        <is>
          <t>Kanton Uri</t>
        </is>
      </c>
      <c r="AT24" s="2" t="inlineStr">
        <is>
          <t>In Prüfung</t>
        </is>
      </c>
      <c r="AU24" s="2" t="inlineStr"/>
      <c r="AV24" s="2" t="inlineStr"/>
      <c r="AW24" s="2" t="inlineStr">
        <is>
          <t>2026-10-14: Link ersetzt (vorher https://www.ur.ch/). Grund: Allgemeine Startseite ur.ch durch themenspezifische Seite zum Beschaffungsrecht ersetzt.</t>
        </is>
      </c>
      <c r="AX24" s="2">
        <f>IF(ISNA(MATCH($A24,'Gesamtübersicht'!$A:$A,0)),"ID fehlt in Gesamtübersicht",IF(AND(INDEX('Gesamtübersicht'!$H:$H,MATCH($A24,'Gesamtübersicht'!$A:$A,0))&amp;""=$H24&amp;"",INDEX('Gesamtübersicht'!$M:$M,MATCH($A24,'Gesamtübersicht'!$A:$A,0))&amp;""=$M24&amp;"",INDEX('Gesamtübersicht'!$AD:$AD,MATCH($A24,'Gesamtübersicht'!$A:$A,0))&amp;""=$AD24&amp;"",INDEX('Gesamtübersicht'!$AH:$AH,MATCH($A24,'Gesamtübersicht'!$A:$A,0))&amp;""=$AH24&amp;"",INDEX('Gesamtübersicht'!$T:$T,MATCH($A24,'Gesamtübersicht'!$A:$A,0))&amp;""=$T24&amp;""),"OK","Abweichung – Ansicht neu erzeugen"))</f>
        <v/>
      </c>
    </row>
    <row r="25" ht="43" customHeight="1">
      <c r="A25" s="3" t="inlineStr">
        <is>
          <t>UR-C4-02</t>
        </is>
      </c>
      <c r="B25" s="14" t="inlineStr">
        <is>
          <t>Kanton</t>
        </is>
      </c>
      <c r="C25" s="3" t="inlineStr">
        <is>
          <t>Schweiz</t>
        </is>
      </c>
      <c r="D25" s="3" t="inlineStr">
        <is>
          <t>Uri</t>
        </is>
      </c>
      <c r="E25" s="3" t="inlineStr">
        <is>
          <t>Alle</t>
        </is>
      </c>
      <c r="F25" s="3" t="inlineStr">
        <is>
          <t>C4</t>
        </is>
      </c>
      <c r="G25" s="3" t="inlineStr">
        <is>
          <t>Beschaffung</t>
        </is>
      </c>
      <c r="H25" s="3" t="inlineStr">
        <is>
          <t>Interkantonale Vereinbarung über das öffentliche Beschaffungswesen (IVöB 2019), RB 3.3111</t>
        </is>
      </c>
      <c r="I25" s="3" t="inlineStr">
        <is>
          <t>Interkantonales Recht</t>
        </is>
      </c>
      <c r="J25" s="3" t="inlineStr">
        <is>
          <t>Direktes Dokument</t>
        </is>
      </c>
      <c r="K25" s="3" t="inlineStr">
        <is>
          <t>Interkantonales Recht (verbindlich)</t>
        </is>
      </c>
      <c r="L25" s="3" t="inlineStr">
        <is>
          <t>Kanton Uri</t>
        </is>
      </c>
      <c r="M25" s="7" t="inlineStr">
        <is>
          <t>https://rechtsbuch.ur.ch/app/de/texts_of_law/3.3111</t>
        </is>
      </c>
      <c r="N25" s="3" t="inlineStr"/>
      <c r="O25" s="3" t="inlineStr">
        <is>
          <t>2026-10-14</t>
        </is>
      </c>
      <c r="P25" s="3" t="inlineStr">
        <is>
          <t>Beschaffungsrecht für Gemeinden (Schwellenwerte, Verfahren)</t>
        </is>
      </c>
      <c r="Q25" s="3" t="inlineStr"/>
      <c r="R25" s="3" t="inlineStr"/>
      <c r="S25" s="3" t="inlineStr">
        <is>
          <t>Kein Peer-Vergleich</t>
        </is>
      </c>
      <c r="T25" s="3" t="inlineStr">
        <is>
          <t>Noch nicht bewertet</t>
        </is>
      </c>
      <c r="U25" s="3" t="inlineStr">
        <is>
          <t>Hoch</t>
        </is>
      </c>
      <c r="V25" s="3" t="inlineStr"/>
      <c r="W25" s="3" t="inlineStr"/>
      <c r="X25" s="3" t="inlineStr"/>
      <c r="Y25" s="3" t="inlineStr">
        <is>
          <t>Dokument auswerten; Aktualität und Geltung prüfen</t>
        </is>
      </c>
      <c r="Z25" s="3" t="inlineStr">
        <is>
          <t>URL nach dokumentiertem Schema der amtlichen Rechtssammlung gebildet; Identität per Runner geprüft</t>
        </is>
      </c>
      <c r="AA25" s="3" t="inlineStr"/>
      <c r="AB25" s="3" t="inlineStr"/>
      <c r="AC25" s="3" t="inlineStr"/>
      <c r="AD25" s="3" t="inlineStr">
        <is>
          <t>Verifiziert</t>
        </is>
      </c>
      <c r="AE25" s="3" t="inlineStr">
        <is>
          <t>200</t>
        </is>
      </c>
      <c r="AF25" s="3" t="inlineStr"/>
      <c r="AG25" s="3" t="inlineStr">
        <is>
          <t>HTML</t>
        </is>
      </c>
      <c r="AH25" s="3" t="inlineStr">
        <is>
          <t>Bestätigt</t>
        </is>
      </c>
      <c r="AI25" s="3" t="inlineStr">
        <is>
          <t>Titel via LexWork-API (https://rechtsbuch.ur.ch/api/de/texts_of_law/3.3111); Schlüsselwörter 1/1 gefunden (Beschaffungswesen)</t>
        </is>
      </c>
      <c r="AJ25" s="3" t="inlineStr">
        <is>
          <t>Interkantonale Vereinbarung über das öffentliche Beschaffungswesen</t>
        </is>
      </c>
      <c r="AK25" s="3" t="inlineStr">
        <is>
          <t>2023, 2019</t>
        </is>
      </c>
      <c r="AL25" s="3" t="inlineStr">
        <is>
          <t>Hoch (Erlassnummer)</t>
        </is>
      </c>
      <c r="AM25" s="3" t="inlineStr">
        <is>
          <t>2026-10-14 13:54</t>
        </is>
      </c>
      <c r="AN25" s="3" t="inlineStr">
        <is>
          <t>Öffentlich verfügbar und verifiziert</t>
        </is>
      </c>
      <c r="AO25" s="3" t="inlineStr"/>
      <c r="AP25" s="3" t="inlineStr">
        <is>
          <t>Belegt Existenz und Zugänglichkeit der Quelle; inhaltliche Aussagen erst nach Auswertung.</t>
        </is>
      </c>
      <c r="AQ25" s="3" t="inlineStr">
        <is>
          <t>Keine Einstufung: Kennzahlen/Befunde noch nicht ausgewertet; Schwellen der Bewertungslogik noch nicht validiert.</t>
        </is>
      </c>
      <c r="AR25" s="3" t="inlineStr">
        <is>
          <t>Nein</t>
        </is>
      </c>
      <c r="AS25" s="3" t="inlineStr">
        <is>
          <t>Kanton Uri</t>
        </is>
      </c>
      <c r="AT25" s="3" t="inlineStr">
        <is>
          <t>In Prüfung</t>
        </is>
      </c>
      <c r="AU25" s="3" t="inlineStr"/>
      <c r="AV25" s="3" t="inlineStr"/>
      <c r="AW25" s="3" t="inlineStr">
        <is>
          <t>2026-10-14: neu aufgenommen</t>
        </is>
      </c>
      <c r="AX25" s="3">
        <f>IF(ISNA(MATCH($A25,'Gesamtübersicht'!$A:$A,0)),"ID fehlt in Gesamtübersicht",IF(AND(INDEX('Gesamtübersicht'!$H:$H,MATCH($A25,'Gesamtübersicht'!$A:$A,0))&amp;""=$H25&amp;"",INDEX('Gesamtübersicht'!$M:$M,MATCH($A25,'Gesamtübersicht'!$A:$A,0))&amp;""=$M25&amp;"",INDEX('Gesamtübersicht'!$AD:$AD,MATCH($A25,'Gesamtübersicht'!$A:$A,0))&amp;""=$AD25&amp;"",INDEX('Gesamtübersicht'!$AH:$AH,MATCH($A25,'Gesamtübersicht'!$A:$A,0))&amp;""=$AH25&amp;"",INDEX('Gesamtübersicht'!$T:$T,MATCH($A25,'Gesamtübersicht'!$A:$A,0))&amp;""=$T25&amp;""),"OK","Abweichung – Ansicht neu erzeugen"))</f>
        <v/>
      </c>
    </row>
    <row r="26" ht="43" customHeight="1">
      <c r="A26" s="2" t="inlineStr">
        <is>
          <t>UR-C5-01</t>
        </is>
      </c>
      <c r="B26" s="14" t="inlineStr">
        <is>
          <t>Kanton</t>
        </is>
      </c>
      <c r="C26" s="2" t="inlineStr">
        <is>
          <t>Schweiz</t>
        </is>
      </c>
      <c r="D26" s="2" t="inlineStr">
        <is>
          <t>Uri</t>
        </is>
      </c>
      <c r="E26" s="2" t="inlineStr">
        <is>
          <t>Alle</t>
        </is>
      </c>
      <c r="F26" s="2" t="inlineStr">
        <is>
          <t>C5</t>
        </is>
      </c>
      <c r="G26" s="2" t="inlineStr">
        <is>
          <t>Politische Rechte</t>
        </is>
      </c>
      <c r="H26" s="2" t="inlineStr">
        <is>
          <t>Gesetz über die geheimen Wahlen, Abstimmungen und die Volksrechte (WAVG), RB 2.1201</t>
        </is>
      </c>
      <c r="I26" s="2" t="inlineStr">
        <is>
          <t>Kantonales Gesetz</t>
        </is>
      </c>
      <c r="J26" s="2" t="inlineStr">
        <is>
          <t>Offizielle Quelle recherchiert</t>
        </is>
      </c>
      <c r="K26" s="2" t="inlineStr">
        <is>
          <t>Kantonales Gesetz (verbindlich)</t>
        </is>
      </c>
      <c r="L26" s="2" t="inlineStr">
        <is>
          <t>Kanton Uri</t>
        </is>
      </c>
      <c r="M26" s="5" t="inlineStr">
        <is>
          <t>https://rechtsbuch.ur.ch/app/de/texts_of_law/2.1201</t>
        </is>
      </c>
      <c r="N26" s="2" t="inlineStr">
        <is>
          <t>geltende Fassung; Revision hängig (Synopse 2026)</t>
        </is>
      </c>
      <c r="O26" s="2" t="inlineStr">
        <is>
          <t>2026-10-14</t>
        </is>
      </c>
      <c r="P26" s="2" t="inlineStr">
        <is>
          <t>Rechtsrahmen für kommunale Entscheidungen</t>
        </is>
      </c>
      <c r="Q26" s="2" t="inlineStr">
        <is>
          <t>Referendum / Zuständigkeiten</t>
        </is>
      </c>
      <c r="R26" s="2" t="inlineStr">
        <is>
          <t>Gemeindeordnung konkret prüfen</t>
        </is>
      </c>
      <c r="S26" s="2" t="inlineStr">
        <is>
          <t>Qualitativ</t>
        </is>
      </c>
      <c r="T26" s="2" t="inlineStr">
        <is>
          <t>Noch nicht bewertet</t>
        </is>
      </c>
      <c r="U26" s="2" t="inlineStr">
        <is>
          <t>Mittel</t>
        </is>
      </c>
      <c r="V26" s="2" t="inlineStr">
        <is>
          <t>Geltende kantonale Detailgrundlage und Datenstand prüfen</t>
        </is>
      </c>
      <c r="W26" s="2" t="inlineStr">
        <is>
          <t>C3; Q1</t>
        </is>
      </c>
      <c r="X26" s="2" t="inlineStr">
        <is>
          <t>Politische Tragfähigkeit</t>
        </is>
      </c>
      <c r="Y26" s="2" t="inlineStr">
        <is>
          <t>Dokument auswerten; Aktualität und Geltung prüfen</t>
        </is>
      </c>
      <c r="Z26" s="2" t="inlineStr">
        <is>
          <t>URL nach dokumentiertem Schema der amtlichen Rechtssammlung gebildet; Identität per Runner geprüft</t>
        </is>
      </c>
      <c r="AA26" s="2" t="inlineStr"/>
      <c r="AB26" s="2" t="inlineStr"/>
      <c r="AC26" s="2" t="inlineStr"/>
      <c r="AD26" s="2" t="inlineStr">
        <is>
          <t>Verifiziert</t>
        </is>
      </c>
      <c r="AE26" s="2" t="inlineStr">
        <is>
          <t>200</t>
        </is>
      </c>
      <c r="AF26" s="2" t="inlineStr"/>
      <c r="AG26" s="2" t="inlineStr">
        <is>
          <t>HTML</t>
        </is>
      </c>
      <c r="AH26" s="2" t="inlineStr">
        <is>
          <t>Bestätigt</t>
        </is>
      </c>
      <c r="AI26" s="2" t="inlineStr">
        <is>
          <t>Titel via LexWork-API (https://rechtsbuch.ur.ch/api/de/texts_of_law/2.1201); Schlüsselwörter 1/1 gefunden (Wahlen)</t>
        </is>
      </c>
      <c r="AJ26" s="2" t="inlineStr">
        <is>
          <t>Gesetz über die geheimen Wahlen, Abstimmungen und die Volksrechte</t>
        </is>
      </c>
      <c r="AK26" s="2" t="inlineStr">
        <is>
          <t>2010, 2009</t>
        </is>
      </c>
      <c r="AL26" s="2" t="inlineStr">
        <is>
          <t>Hoch (Erlassnummer)</t>
        </is>
      </c>
      <c r="AM26" s="2" t="inlineStr">
        <is>
          <t>2026-10-14 13:53</t>
        </is>
      </c>
      <c r="AN26" s="2" t="inlineStr">
        <is>
          <t>Öffentlich verfügbar und verifiziert</t>
        </is>
      </c>
      <c r="AO26" s="2" t="inlineStr">
        <is>
          <t>geltende Fassung; Revision hängig (Synopse 2026)</t>
        </is>
      </c>
      <c r="AP26" s="2" t="inlineStr">
        <is>
          <t>Belegt Existenz und Zugänglichkeit der Quelle; inhaltliche Aussagen erst nach Auswertung.</t>
        </is>
      </c>
      <c r="AQ26" s="2" t="inlineStr">
        <is>
          <t>Keine Einstufung: Kennzahlen/Befunde noch nicht ausgewertet; Schwellen der Bewertungslogik noch nicht validiert.</t>
        </is>
      </c>
      <c r="AR26" s="2" t="inlineStr">
        <is>
          <t>Nein</t>
        </is>
      </c>
      <c r="AS26" s="2" t="inlineStr">
        <is>
          <t>Kanton Uri</t>
        </is>
      </c>
      <c r="AT26" s="2" t="inlineStr">
        <is>
          <t>In Prüfung</t>
        </is>
      </c>
      <c r="AU26" s="2" t="inlineStr"/>
      <c r="AV26" s="2" t="inlineStr"/>
      <c r="AW26" s="2" t="inlineStr">
        <is>
          <t>2026-10-14: Link ersetzt (vorher https://rechtsbuch.ur.ch/). Grund: Startseite der Rechtssammlung durch direkten Erlass ersetzt (WAVG, RB 2.1201).</t>
        </is>
      </c>
      <c r="AX26" s="2">
        <f>IF(ISNA(MATCH($A26,'Gesamtübersicht'!$A:$A,0)),"ID fehlt in Gesamtübersicht",IF(AND(INDEX('Gesamtübersicht'!$H:$H,MATCH($A26,'Gesamtübersicht'!$A:$A,0))&amp;""=$H26&amp;"",INDEX('Gesamtübersicht'!$M:$M,MATCH($A26,'Gesamtübersicht'!$A:$A,0))&amp;""=$M26&amp;"",INDEX('Gesamtübersicht'!$AD:$AD,MATCH($A26,'Gesamtübersicht'!$A:$A,0))&amp;""=$AD26&amp;"",INDEX('Gesamtübersicht'!$AH:$AH,MATCH($A26,'Gesamtübersicht'!$A:$A,0))&amp;""=$AH26&amp;"",INDEX('Gesamtübersicht'!$T:$T,MATCH($A26,'Gesamtübersicht'!$A:$A,0))&amp;""=$T26&amp;""),"OK","Abweichung – Ansicht neu erzeugen"))</f>
        <v/>
      </c>
    </row>
    <row r="27" ht="43" customHeight="1">
      <c r="A27" s="3" t="inlineStr">
        <is>
          <t>SEE-C1-01</t>
        </is>
      </c>
      <c r="B27" s="15" t="inlineStr">
        <is>
          <t>Gemeinde</t>
        </is>
      </c>
      <c r="C27" s="3" t="inlineStr">
        <is>
          <t>Schweiz</t>
        </is>
      </c>
      <c r="D27" s="3" t="inlineStr">
        <is>
          <t>Uri</t>
        </is>
      </c>
      <c r="E27" s="3" t="inlineStr">
        <is>
          <t>Seelisberg</t>
        </is>
      </c>
      <c r="F27" s="3" t="inlineStr">
        <is>
          <t>C1</t>
        </is>
      </c>
      <c r="G27" s="3" t="inlineStr">
        <is>
          <t>Budget / Jahresrechnung</t>
        </is>
      </c>
      <c r="H27" s="3" t="inlineStr">
        <is>
          <t>Gemeindeversammlung Seelisberg: Budgets, Rechnungen und Protokolle</t>
        </is>
      </c>
      <c r="I27" s="3" t="inlineStr">
        <is>
          <t>Dokumentsammlung</t>
        </is>
      </c>
      <c r="J27" s="3" t="inlineStr">
        <is>
          <t>Offizielle Quelle recherchiert</t>
        </is>
      </c>
      <c r="K27" s="3" t="inlineStr">
        <is>
          <t>Orientierung / Datengrundlage</t>
        </is>
      </c>
      <c r="L27" s="3" t="inlineStr">
        <is>
          <t>Gemeinde Seelisberg</t>
        </is>
      </c>
      <c r="M27" s="7" t="inlineStr">
        <is>
          <t>https://www.seelisberg.ch/politik/gemeindeversammlung</t>
        </is>
      </c>
      <c r="N27" s="3" t="inlineStr">
        <is>
          <t>Zu prüfen</t>
        </is>
      </c>
      <c r="O27" s="3" t="inlineStr">
        <is>
          <t>2026-10-14</t>
        </is>
      </c>
      <c r="P27" s="3" t="inlineStr">
        <is>
          <t>Budget 2026 und Jahresrechnung 2024 über Versammlungsunterlagen</t>
        </is>
      </c>
      <c r="Q27" s="3" t="inlineStr">
        <is>
          <t>Selbstfinanzierungsgrad, Nettoinvestitionen, Nettoschuld</t>
        </is>
      </c>
      <c r="R27" s="3" t="inlineStr">
        <is>
          <t>Dokumente herunterladen und Kennzahlen berechnen</t>
        </is>
      </c>
      <c r="S27" s="3" t="inlineStr">
        <is>
          <t>Kanton × Grössenklasse</t>
        </is>
      </c>
      <c r="T27" s="3" t="inlineStr">
        <is>
          <t>Noch nicht bewertet</t>
        </is>
      </c>
      <c r="U27" s="3" t="inlineStr">
        <is>
          <t>Mittel</t>
        </is>
      </c>
      <c r="V27" s="3" t="inlineStr">
        <is>
          <t>Kennzahlen und Befunde noch extrahieren</t>
        </is>
      </c>
      <c r="W27" s="3" t="inlineStr">
        <is>
          <t>A1; C1</t>
        </is>
      </c>
      <c r="X27" s="3" t="inlineStr">
        <is>
          <t>Finanztragfähigkeit</t>
        </is>
      </c>
      <c r="Y27" s="3" t="inlineStr">
        <is>
          <t>Dokument auswerten; Aktualität und Geltung prüfen</t>
        </is>
      </c>
      <c r="Z27" s="3" t="inlineStr">
        <is>
          <t>Webrecherche 14.10.2026</t>
        </is>
      </c>
      <c r="AA27" s="3" t="inlineStr"/>
      <c r="AB27" s="3" t="inlineStr"/>
      <c r="AC27" s="7" t="inlineStr">
        <is>
          <t>https://www.seelisberg.ch/</t>
        </is>
      </c>
      <c r="AD27" s="3" t="inlineStr">
        <is>
          <t>Verifiziert</t>
        </is>
      </c>
      <c r="AE27" s="3" t="inlineStr">
        <is>
          <t>200</t>
        </is>
      </c>
      <c r="AF27" s="3" t="inlineStr"/>
      <c r="AG27" s="3" t="inlineStr">
        <is>
          <t>HTML</t>
        </is>
      </c>
      <c r="AH27" s="3" t="inlineStr">
        <is>
          <t>Bestätigt</t>
        </is>
      </c>
      <c r="AI27" s="3" t="inlineStr">
        <is>
          <t>Schlüsselwörter 1/1 gefunden (Gemeindeversammlung); Ort/Zuständigkeit: Seelisberg</t>
        </is>
      </c>
      <c r="AJ27" s="3" t="inlineStr">
        <is>
          <t>Gemeinde Seelisberg | Einwohner-Service | Gemeindeversammlung</t>
        </is>
      </c>
      <c r="AK27" s="3" t="inlineStr">
        <is>
          <t>2024, 2023, 2022, 2021, 2025, 2026</t>
        </is>
      </c>
      <c r="AL27" s="3" t="inlineStr">
        <is>
          <t>Mittel (Webseite)</t>
        </is>
      </c>
      <c r="AM27" s="3" t="inlineStr">
        <is>
          <t>2026-10-14 13:53</t>
        </is>
      </c>
      <c r="AN27" s="3" t="inlineStr">
        <is>
          <t>Öffentlich verfügbar und verifiziert</t>
        </is>
      </c>
      <c r="AO27" s="3" t="inlineStr">
        <is>
          <t>Zu prüfen</t>
        </is>
      </c>
      <c r="AP27" s="3" t="inlineStr">
        <is>
          <t>Belegt Existenz und Zugänglichkeit der Quelle; inhaltliche Aussagen erst nach Auswertung.</t>
        </is>
      </c>
      <c r="AQ27" s="3" t="inlineStr">
        <is>
          <t>Keine Einstufung: Kennzahlen/Befunde noch nicht ausgewertet; Schwellen der Bewertungslogik noch nicht validiert.</t>
        </is>
      </c>
      <c r="AR27" s="3" t="inlineStr">
        <is>
          <t>Nein</t>
        </is>
      </c>
      <c r="AS27" s="3" t="inlineStr">
        <is>
          <t>Gemeindeverwaltung Seelisberg</t>
        </is>
      </c>
      <c r="AT27" s="3" t="inlineStr">
        <is>
          <t>In Prüfung</t>
        </is>
      </c>
      <c r="AU27" s="3" t="inlineStr">
        <is>
          <t>Direkte Dokumente: SEE-C1-02 bis SEE-C1-05.</t>
        </is>
      </c>
      <c r="AV27" s="3" t="inlineStr">
        <is>
          <t>SEE-C5-01</t>
        </is>
      </c>
      <c r="AW27" s="3" t="inlineStr"/>
      <c r="AX27" s="3">
        <f>IF(ISNA(MATCH($A27,'Gesamtübersicht'!$A:$A,0)),"ID fehlt in Gesamtübersicht",IF(AND(INDEX('Gesamtübersicht'!$H:$H,MATCH($A27,'Gesamtübersicht'!$A:$A,0))&amp;""=$H27&amp;"",INDEX('Gesamtübersicht'!$M:$M,MATCH($A27,'Gesamtübersicht'!$A:$A,0))&amp;""=$M27&amp;"",INDEX('Gesamtübersicht'!$AD:$AD,MATCH($A27,'Gesamtübersicht'!$A:$A,0))&amp;""=$AD27&amp;"",INDEX('Gesamtübersicht'!$AH:$AH,MATCH($A27,'Gesamtübersicht'!$A:$A,0))&amp;""=$AH27&amp;"",INDEX('Gesamtübersicht'!$T:$T,MATCH($A27,'Gesamtübersicht'!$A:$A,0))&amp;""=$T27&amp;""),"OK","Abweichung – Ansicht neu erzeugen"))</f>
        <v/>
      </c>
    </row>
    <row r="28" ht="43" customHeight="1">
      <c r="A28" s="2" t="inlineStr">
        <is>
          <t>SEE-C1-02</t>
        </is>
      </c>
      <c r="B28" s="15" t="inlineStr">
        <is>
          <t>Gemeinde</t>
        </is>
      </c>
      <c r="C28" s="2" t="inlineStr">
        <is>
          <t>Schweiz</t>
        </is>
      </c>
      <c r="D28" s="2" t="inlineStr">
        <is>
          <t>Uri</t>
        </is>
      </c>
      <c r="E28" s="2" t="inlineStr">
        <is>
          <t>Seelisberg</t>
        </is>
      </c>
      <c r="F28" s="2" t="inlineStr">
        <is>
          <t>C1</t>
        </is>
      </c>
      <c r="G28" s="2" t="inlineStr">
        <is>
          <t>Budget / Finanzplan</t>
        </is>
      </c>
      <c r="H28" s="2" t="inlineStr">
        <is>
          <t>Einladung Gemeindeversammlung November 2025: Traktanden und Botschaften (Budget 2026, Finanzplan 2027–2032, Leitbild)</t>
        </is>
      </c>
      <c r="I28" s="2" t="inlineStr">
        <is>
          <t>Botschaft / Vorlage</t>
        </is>
      </c>
      <c r="J28" s="2" t="inlineStr">
        <is>
          <t>Direktes Dokument</t>
        </is>
      </c>
      <c r="K28" s="2" t="inlineStr">
        <is>
          <t>Beschlussvorlage</t>
        </is>
      </c>
      <c r="L28" s="2" t="inlineStr">
        <is>
          <t>Gemeinde Seelisberg</t>
        </is>
      </c>
      <c r="M28" s="5" t="inlineStr">
        <is>
          <t>https://www.seelisberg.ch/files/pdf/Druckvorlage2_Original_Versammlung-Nov2025_Traktanden-und-Botschaften-gesamt.pdf</t>
        </is>
      </c>
      <c r="N28" s="2" t="inlineStr">
        <is>
          <t>Budget 2026; Finanzplan 2027–2032</t>
        </is>
      </c>
      <c r="O28" s="2" t="inlineStr">
        <is>
          <t>2026-10-14</t>
        </is>
      </c>
      <c r="P28" s="2" t="inlineStr">
        <is>
          <t>Budget 2026, Nettoinvestitionen, Steuerfuss, Finanzplan; Grundlage C1</t>
        </is>
      </c>
      <c r="Q28" s="2" t="inlineStr">
        <is>
          <t>Aufwand/Ertrag, Nettoinvestitionen, Steuerfuss</t>
        </is>
      </c>
      <c r="R28" s="2" t="inlineStr"/>
      <c r="S28" s="2" t="inlineStr">
        <is>
          <t>Kanton × Grössenklasse</t>
        </is>
      </c>
      <c r="T28" s="2" t="inlineStr">
        <is>
          <t>Noch nicht bewertet</t>
        </is>
      </c>
      <c r="U28" s="2" t="inlineStr">
        <is>
          <t>Hoch</t>
        </is>
      </c>
      <c r="V28" s="2" t="inlineStr"/>
      <c r="W28" s="2" t="inlineStr">
        <is>
          <t>A1; C1</t>
        </is>
      </c>
      <c r="X28" s="2" t="inlineStr">
        <is>
          <t>Finanztragfähigkeit</t>
        </is>
      </c>
      <c r="Y28" s="2" t="inlineStr">
        <is>
          <t>Dokument auswerten; Aktualität und Geltung prüfen</t>
        </is>
      </c>
      <c r="Z28" s="2" t="inlineStr">
        <is>
          <t>Websuche 14.10.2026 (URL im Suchergebnis gefunden)</t>
        </is>
      </c>
      <c r="AA28" s="2" t="inlineStr">
        <is>
          <t>C5</t>
        </is>
      </c>
      <c r="AB28" s="2" t="inlineStr"/>
      <c r="AC28" s="5" t="inlineStr">
        <is>
          <t>https://www.seelisberg.ch/politik/gemeindeversammlung</t>
        </is>
      </c>
      <c r="AD28" s="2" t="inlineStr">
        <is>
          <t>Verifiziert</t>
        </is>
      </c>
      <c r="AE28" s="2" t="inlineStr">
        <is>
          <t>200</t>
        </is>
      </c>
      <c r="AF28" s="2" t="inlineStr"/>
      <c r="AG28" s="2" t="inlineStr">
        <is>
          <t>PDF</t>
        </is>
      </c>
      <c r="AH28" s="2" t="inlineStr">
        <is>
          <t>Bestätigt</t>
        </is>
      </c>
      <c r="AI28" s="2" t="inlineStr">
        <is>
          <t>Schlüsselwörter 2/2 gefunden (Budget, 2026); Ort/Zuständigkeit: Seelisberg</t>
        </is>
      </c>
      <c r="AJ28" s="2" t="inlineStr">
        <is>
          <t>E I N L A D U N G Z U R  G E M E I N D E V E R S A M M L U N G</t>
        </is>
      </c>
      <c r="AK28" s="2" t="inlineStr">
        <is>
          <t>2026, 2025, 2024, 2027, 2032, 2020</t>
        </is>
      </c>
      <c r="AL28" s="2" t="inlineStr">
        <is>
          <t>Mittel (CMS-Dokumentlink)</t>
        </is>
      </c>
      <c r="AM28" s="2" t="inlineStr">
        <is>
          <t>2026-10-14 13:54</t>
        </is>
      </c>
      <c r="AN28" s="2" t="inlineStr">
        <is>
          <t>Öffentlich verfügbar und verifiziert</t>
        </is>
      </c>
      <c r="AO28" s="2" t="inlineStr">
        <is>
          <t>Budget 2026; Finanzplan 2027–2032</t>
        </is>
      </c>
      <c r="AP28" s="2" t="inlineStr">
        <is>
          <t>Belegt Existenz und Zugänglichkeit der Quelle; inhaltliche Aussagen erst nach Auswertung. Fundstellen im Dokument (automatisch): Steuerfuss: S. 5; Finanzplan: S. 1, 5; Nettoinvestition: S. 4, 5.</t>
        </is>
      </c>
      <c r="AQ28" s="2" t="inlineStr">
        <is>
          <t>Keine Einstufung: Kennzahlen/Befunde noch nicht ausgewertet; Schwellen der Bewertungslogik noch nicht validiert.</t>
        </is>
      </c>
      <c r="AR28" s="2" t="inlineStr">
        <is>
          <t>Nein</t>
        </is>
      </c>
      <c r="AS28" s="2" t="inlineStr">
        <is>
          <t>Gemeindeverwaltung Seelisberg</t>
        </is>
      </c>
      <c r="AT28" s="2" t="inlineStr">
        <is>
          <t>In Prüfung</t>
        </is>
      </c>
      <c r="AU28" s="2" t="inlineStr"/>
      <c r="AV28" s="2" t="inlineStr"/>
      <c r="AW28" s="2" t="inlineStr">
        <is>
          <t>2026-10-14: neu aufgenommen</t>
        </is>
      </c>
      <c r="AX28" s="2">
        <f>IF(ISNA(MATCH($A28,'Gesamtübersicht'!$A:$A,0)),"ID fehlt in Gesamtübersicht",IF(AND(INDEX('Gesamtübersicht'!$H:$H,MATCH($A28,'Gesamtübersicht'!$A:$A,0))&amp;""=$H28&amp;"",INDEX('Gesamtübersicht'!$M:$M,MATCH($A28,'Gesamtübersicht'!$A:$A,0))&amp;""=$M28&amp;"",INDEX('Gesamtübersicht'!$AD:$AD,MATCH($A28,'Gesamtübersicht'!$A:$A,0))&amp;""=$AD28&amp;"",INDEX('Gesamtübersicht'!$AH:$AH,MATCH($A28,'Gesamtübersicht'!$A:$A,0))&amp;""=$AH28&amp;"",INDEX('Gesamtübersicht'!$T:$T,MATCH($A28,'Gesamtübersicht'!$A:$A,0))&amp;""=$T28&amp;""),"OK","Abweichung – Ansicht neu erzeugen"))</f>
        <v/>
      </c>
    </row>
    <row r="29" ht="43" customHeight="1">
      <c r="A29" s="3" t="inlineStr">
        <is>
          <t>SEE-C1-03</t>
        </is>
      </c>
      <c r="B29" s="15" t="inlineStr">
        <is>
          <t>Gemeinde</t>
        </is>
      </c>
      <c r="C29" s="3" t="inlineStr">
        <is>
          <t>Schweiz</t>
        </is>
      </c>
      <c r="D29" s="3" t="inlineStr">
        <is>
          <t>Uri</t>
        </is>
      </c>
      <c r="E29" s="3" t="inlineStr">
        <is>
          <t>Seelisberg</t>
        </is>
      </c>
      <c r="F29" s="3" t="inlineStr">
        <is>
          <t>C1</t>
        </is>
      </c>
      <c r="G29" s="3" t="inlineStr">
        <is>
          <t>Jahresrechnung</t>
        </is>
      </c>
      <c r="H29" s="3" t="inlineStr">
        <is>
          <t>Jahresrechnung 2024 der Einwohnergemeinde Seelisberg</t>
        </is>
      </c>
      <c r="I29" s="3" t="inlineStr">
        <is>
          <t>Jahresrechnung</t>
        </is>
      </c>
      <c r="J29" s="3" t="inlineStr">
        <is>
          <t>Direktes Dokument</t>
        </is>
      </c>
      <c r="K29" s="3" t="inlineStr">
        <is>
          <t>Beschlossene Jahresrechnung (GV 28.5.2025)</t>
        </is>
      </c>
      <c r="L29" s="3" t="inlineStr">
        <is>
          <t>Gemeinde Seelisberg</t>
        </is>
      </c>
      <c r="M29" s="7" t="inlineStr">
        <is>
          <t>https://www.seelisberg.ch/files/pdf/JR2024_Gde-Seelisberg.pdf</t>
        </is>
      </c>
      <c r="N29" s="3" t="inlineStr">
        <is>
          <t>2024</t>
        </is>
      </c>
      <c r="O29" s="3" t="inlineStr">
        <is>
          <t>2026-10-14</t>
        </is>
      </c>
      <c r="P29" s="3" t="inlineStr">
        <is>
          <t>Erfolgsrechnung, Investitionsrechnung, Bilanz 2024</t>
        </is>
      </c>
      <c r="Q29" s="3" t="inlineStr">
        <is>
          <t>Selbstfinanzierungsgrad, Nettoinvestitionen, Nettoschuld</t>
        </is>
      </c>
      <c r="R29" s="3" t="inlineStr"/>
      <c r="S29" s="3" t="inlineStr">
        <is>
          <t>Kanton × Grössenklasse</t>
        </is>
      </c>
      <c r="T29" s="3" t="inlineStr">
        <is>
          <t>Noch nicht bewertet</t>
        </is>
      </c>
      <c r="U29" s="3" t="inlineStr">
        <is>
          <t>Hoch</t>
        </is>
      </c>
      <c r="V29" s="3" t="inlineStr"/>
      <c r="W29" s="3" t="inlineStr">
        <is>
          <t>A1; C1</t>
        </is>
      </c>
      <c r="X29" s="3" t="inlineStr">
        <is>
          <t>Finanztragfähigkeit</t>
        </is>
      </c>
      <c r="Y29" s="3" t="inlineStr">
        <is>
          <t>Dokument auswerten; Aktualität und Geltung prüfen</t>
        </is>
      </c>
      <c r="Z29" s="3" t="inlineStr">
        <is>
          <t>Automatische Recherche GitHub Actions (Discovery), Fundstelle siehe Spalte Offizielle Fundstelle</t>
        </is>
      </c>
      <c r="AA29" s="3" t="inlineStr"/>
      <c r="AB29" s="3" t="inlineStr"/>
      <c r="AC29" s="7" t="inlineStr">
        <is>
          <t>https://www.seelisberg.ch/politik/budget-rechnung</t>
        </is>
      </c>
      <c r="AD29" s="3" t="inlineStr">
        <is>
          <t>Verifiziert</t>
        </is>
      </c>
      <c r="AE29" s="3" t="inlineStr">
        <is>
          <t>200</t>
        </is>
      </c>
      <c r="AF29" s="3" t="inlineStr"/>
      <c r="AG29" s="3" t="inlineStr">
        <is>
          <t>PDF</t>
        </is>
      </c>
      <c r="AH29" s="3" t="inlineStr">
        <is>
          <t>Bestätigt</t>
        </is>
      </c>
      <c r="AI29" s="3" t="inlineStr">
        <is>
          <t>Schlüsselwörter 2/2 gefunden (Rechnung, 2024); Ort/Zuständigkeit: Seelisberg</t>
        </is>
      </c>
      <c r="AJ29" s="3" t="inlineStr">
        <is>
          <t>GEMEINDE    SEELISBERG</t>
        </is>
      </c>
      <c r="AK29" s="3" t="inlineStr">
        <is>
          <t>2024, 2023, 2025, 2015</t>
        </is>
      </c>
      <c r="AL29" s="3" t="inlineStr">
        <is>
          <t>Mittel (CMS-Dokumentlink)</t>
        </is>
      </c>
      <c r="AM29" s="3" t="inlineStr">
        <is>
          <t>2026-10-14 13:54</t>
        </is>
      </c>
      <c r="AN29" s="3" t="inlineStr">
        <is>
          <t>Öffentlich verfügbar und verifiziert</t>
        </is>
      </c>
      <c r="AO29" s="3" t="inlineStr">
        <is>
          <t>2024</t>
        </is>
      </c>
      <c r="AP29" s="3" t="inlineStr">
        <is>
          <t>Belegt Existenz und Zugänglichkeit der Quelle; inhaltliche Aussagen erst nach Auswertung.</t>
        </is>
      </c>
      <c r="AQ29" s="3" t="inlineStr">
        <is>
          <t>Keine Einstufung: Kennzahlen/Befunde noch nicht ausgewertet; Schwellen der Bewertungslogik noch nicht validiert.</t>
        </is>
      </c>
      <c r="AR29" s="3" t="inlineStr">
        <is>
          <t>Nein</t>
        </is>
      </c>
      <c r="AS29" s="3" t="inlineStr">
        <is>
          <t>Gemeindeverwaltung Seelisberg</t>
        </is>
      </c>
      <c r="AT29" s="3" t="inlineStr">
        <is>
          <t>In Prüfung</t>
        </is>
      </c>
      <c r="AU29" s="3" t="inlineStr">
        <is>
          <t>Jahresrechnung 2025 (GV 29.5.2026) auf der Fundstelle nicht als PDF gefunden.</t>
        </is>
      </c>
      <c r="AV29" s="3" t="inlineStr"/>
      <c r="AW29" s="3" t="inlineStr">
        <is>
          <t>2026-10-14: neu aufgenommen</t>
        </is>
      </c>
      <c r="AX29" s="3">
        <f>IF(ISNA(MATCH($A29,'Gesamtübersicht'!$A:$A,0)),"ID fehlt in Gesamtübersicht",IF(AND(INDEX('Gesamtübersicht'!$H:$H,MATCH($A29,'Gesamtübersicht'!$A:$A,0))&amp;""=$H29&amp;"",INDEX('Gesamtübersicht'!$M:$M,MATCH($A29,'Gesamtübersicht'!$A:$A,0))&amp;""=$M29&amp;"",INDEX('Gesamtübersicht'!$AD:$AD,MATCH($A29,'Gesamtübersicht'!$A:$A,0))&amp;""=$AD29&amp;"",INDEX('Gesamtübersicht'!$AH:$AH,MATCH($A29,'Gesamtübersicht'!$A:$A,0))&amp;""=$AH29&amp;"",INDEX('Gesamtübersicht'!$T:$T,MATCH($A29,'Gesamtübersicht'!$A:$A,0))&amp;""=$T29&amp;""),"OK","Abweichung – Ansicht neu erzeugen"))</f>
        <v/>
      </c>
    </row>
    <row r="30" ht="43" customHeight="1">
      <c r="A30" s="2" t="inlineStr">
        <is>
          <t>SEE-C1-04</t>
        </is>
      </c>
      <c r="B30" s="15" t="inlineStr">
        <is>
          <t>Gemeinde</t>
        </is>
      </c>
      <c r="C30" s="2" t="inlineStr">
        <is>
          <t>Schweiz</t>
        </is>
      </c>
      <c r="D30" s="2" t="inlineStr">
        <is>
          <t>Uri</t>
        </is>
      </c>
      <c r="E30" s="2" t="inlineStr">
        <is>
          <t>Seelisberg</t>
        </is>
      </c>
      <c r="F30" s="2" t="inlineStr">
        <is>
          <t>C1</t>
        </is>
      </c>
      <c r="G30" s="2" t="inlineStr">
        <is>
          <t>Jahresrechnung</t>
        </is>
      </c>
      <c r="H30" s="2" t="inlineStr">
        <is>
          <t>Jahresrechnung 2023 der Einwohnergemeinde Seelisberg</t>
        </is>
      </c>
      <c r="I30" s="2" t="inlineStr">
        <is>
          <t>Jahresrechnung</t>
        </is>
      </c>
      <c r="J30" s="2" t="inlineStr">
        <is>
          <t>Direktes Dokument</t>
        </is>
      </c>
      <c r="K30" s="2" t="inlineStr">
        <is>
          <t>Beschlossene Jahresrechnung</t>
        </is>
      </c>
      <c r="L30" s="2" t="inlineStr">
        <is>
          <t>Gemeinde Seelisberg</t>
        </is>
      </c>
      <c r="M30" s="5" t="inlineStr">
        <is>
          <t>https://www.seelisberg.ch/files/pdf/Jahresrechnung_Gde-Seelisberg_2023.pdf</t>
        </is>
      </c>
      <c r="N30" s="2" t="inlineStr">
        <is>
          <t>2023</t>
        </is>
      </c>
      <c r="O30" s="2" t="inlineStr">
        <is>
          <t>2026-10-14</t>
        </is>
      </c>
      <c r="P30" s="2" t="inlineStr">
        <is>
          <t>Zeitreihe</t>
        </is>
      </c>
      <c r="Q30" s="2" t="inlineStr"/>
      <c r="R30" s="2" t="inlineStr"/>
      <c r="S30" s="2" t="inlineStr">
        <is>
          <t>Kanton × Grössenklasse</t>
        </is>
      </c>
      <c r="T30" s="2" t="inlineStr">
        <is>
          <t>Noch nicht bewertet</t>
        </is>
      </c>
      <c r="U30" s="2" t="inlineStr">
        <is>
          <t>Hoch</t>
        </is>
      </c>
      <c r="V30" s="2" t="inlineStr"/>
      <c r="W30" s="2" t="inlineStr"/>
      <c r="X30" s="2" t="inlineStr"/>
      <c r="Y30" s="2" t="inlineStr">
        <is>
          <t>Dokument auswerten; Aktualität und Geltung prüfen</t>
        </is>
      </c>
      <c r="Z30" s="2" t="inlineStr">
        <is>
          <t>Automatische Recherche GitHub Actions (Discovery), Fundstelle siehe Spalte Offizielle Fundstelle</t>
        </is>
      </c>
      <c r="AA30" s="2" t="inlineStr"/>
      <c r="AB30" s="2" t="inlineStr"/>
      <c r="AC30" s="5" t="inlineStr">
        <is>
          <t>https://www.seelisberg.ch/politik/budget-rechnung</t>
        </is>
      </c>
      <c r="AD30" s="2" t="inlineStr">
        <is>
          <t>Verifiziert</t>
        </is>
      </c>
      <c r="AE30" s="2" t="inlineStr">
        <is>
          <t>200</t>
        </is>
      </c>
      <c r="AF30" s="2" t="inlineStr"/>
      <c r="AG30" s="2" t="inlineStr">
        <is>
          <t>PDF</t>
        </is>
      </c>
      <c r="AH30" s="2" t="inlineStr">
        <is>
          <t>Bestätigt</t>
        </is>
      </c>
      <c r="AI30" s="2" t="inlineStr">
        <is>
          <t>Schlüsselwörter 2/2 gefunden (Rechnung, 2023); Ort/Zuständigkeit: Seelisberg</t>
        </is>
      </c>
      <c r="AJ30" s="2" t="inlineStr">
        <is>
          <t>GEMEINDE    SEELISBERG</t>
        </is>
      </c>
      <c r="AK30" s="2" t="inlineStr">
        <is>
          <t>2023, 2022, 2024, 2015</t>
        </is>
      </c>
      <c r="AL30" s="2" t="inlineStr">
        <is>
          <t>Mittel (CMS-Dokumentlink)</t>
        </is>
      </c>
      <c r="AM30" s="2" t="inlineStr">
        <is>
          <t>2026-10-14 13:54</t>
        </is>
      </c>
      <c r="AN30" s="2" t="inlineStr">
        <is>
          <t>Öffentlich verfügbar und verifiziert</t>
        </is>
      </c>
      <c r="AO30" s="2" t="inlineStr">
        <is>
          <t>2023</t>
        </is>
      </c>
      <c r="AP30" s="2" t="inlineStr">
        <is>
          <t>Belegt Existenz und Zugänglichkeit der Quelle; inhaltliche Aussagen erst nach Auswertung.</t>
        </is>
      </c>
      <c r="AQ30" s="2" t="inlineStr">
        <is>
          <t>Keine Einstufung: Kennzahlen/Befunde noch nicht ausgewertet; Schwellen der Bewertungslogik noch nicht validiert.</t>
        </is>
      </c>
      <c r="AR30" s="2" t="inlineStr">
        <is>
          <t>Nein</t>
        </is>
      </c>
      <c r="AS30" s="2" t="inlineStr">
        <is>
          <t>Gemeindeverwaltung Seelisberg</t>
        </is>
      </c>
      <c r="AT30" s="2" t="inlineStr">
        <is>
          <t>In Prüfung</t>
        </is>
      </c>
      <c r="AU30" s="2" t="inlineStr"/>
      <c r="AV30" s="2" t="inlineStr"/>
      <c r="AW30" s="2" t="inlineStr">
        <is>
          <t>2026-10-14: neu aufgenommen</t>
        </is>
      </c>
      <c r="AX30" s="2">
        <f>IF(ISNA(MATCH($A30,'Gesamtübersicht'!$A:$A,0)),"ID fehlt in Gesamtübersicht",IF(AND(INDEX('Gesamtübersicht'!$H:$H,MATCH($A30,'Gesamtübersicht'!$A:$A,0))&amp;""=$H30&amp;"",INDEX('Gesamtübersicht'!$M:$M,MATCH($A30,'Gesamtübersicht'!$A:$A,0))&amp;""=$M30&amp;"",INDEX('Gesamtübersicht'!$AD:$AD,MATCH($A30,'Gesamtübersicht'!$A:$A,0))&amp;""=$AD30&amp;"",INDEX('Gesamtübersicht'!$AH:$AH,MATCH($A30,'Gesamtübersicht'!$A:$A,0))&amp;""=$AH30&amp;"",INDEX('Gesamtübersicht'!$T:$T,MATCH($A30,'Gesamtübersicht'!$A:$A,0))&amp;""=$T30&amp;""),"OK","Abweichung – Ansicht neu erzeugen"))</f>
        <v/>
      </c>
    </row>
    <row r="31" ht="43" customHeight="1">
      <c r="A31" s="3" t="inlineStr">
        <is>
          <t>SEE-C1-05</t>
        </is>
      </c>
      <c r="B31" s="15" t="inlineStr">
        <is>
          <t>Gemeinde</t>
        </is>
      </c>
      <c r="C31" s="3" t="inlineStr">
        <is>
          <t>Schweiz</t>
        </is>
      </c>
      <c r="D31" s="3" t="inlineStr">
        <is>
          <t>Uri</t>
        </is>
      </c>
      <c r="E31" s="3" t="inlineStr">
        <is>
          <t>Seelisberg</t>
        </is>
      </c>
      <c r="F31" s="3" t="inlineStr">
        <is>
          <t>C1</t>
        </is>
      </c>
      <c r="G31" s="3" t="inlineStr">
        <is>
          <t>Budget</t>
        </is>
      </c>
      <c r="H31" s="3" t="inlineStr">
        <is>
          <t>Budget 2026 der Einwohnergemeinde Seelisberg (Erfolgsrechnung, Gesamtauflage)</t>
        </is>
      </c>
      <c r="I31" s="3" t="inlineStr">
        <is>
          <t>Budget</t>
        </is>
      </c>
      <c r="J31" s="3" t="inlineStr">
        <is>
          <t>Direktes Dokument</t>
        </is>
      </c>
      <c r="K31" s="3" t="inlineStr">
        <is>
          <t>Beschlossenes Budget (GV 28.11.2025)</t>
        </is>
      </c>
      <c r="L31" s="3" t="inlineStr">
        <is>
          <t>Gemeinde Seelisberg</t>
        </is>
      </c>
      <c r="M31" s="7" t="inlineStr">
        <is>
          <t>https://www.seelisberg.ch/files/pdf/Budget-ER-2026_Gesamtauflage_ohne-Bemerkungen_%C3%B6ffentlich.pdf</t>
        </is>
      </c>
      <c r="N31" s="3" t="inlineStr">
        <is>
          <t>2026</t>
        </is>
      </c>
      <c r="O31" s="3" t="inlineStr">
        <is>
          <t>2026-10-14</t>
        </is>
      </c>
      <c r="P31" s="3" t="inlineStr"/>
      <c r="Q31" s="3" t="inlineStr"/>
      <c r="R31" s="3" t="inlineStr"/>
      <c r="S31" s="3" t="inlineStr">
        <is>
          <t>Kanton × Grössenklasse</t>
        </is>
      </c>
      <c r="T31" s="3" t="inlineStr">
        <is>
          <t>Noch nicht bewertet</t>
        </is>
      </c>
      <c r="U31" s="3" t="inlineStr">
        <is>
          <t>Hoch</t>
        </is>
      </c>
      <c r="V31" s="3" t="inlineStr"/>
      <c r="W31" s="3" t="inlineStr"/>
      <c r="X31" s="3" t="inlineStr"/>
      <c r="Y31" s="3" t="inlineStr">
        <is>
          <t>Dokument auswerten; Aktualität und Geltung prüfen</t>
        </is>
      </c>
      <c r="Z31" s="3" t="inlineStr">
        <is>
          <t>Automatische Recherche GitHub Actions (Discovery), Fundstelle siehe Spalte Offizielle Fundstelle</t>
        </is>
      </c>
      <c r="AA31" s="3" t="inlineStr"/>
      <c r="AB31" s="3" t="inlineStr"/>
      <c r="AC31" s="7" t="inlineStr">
        <is>
          <t>https://www.seelisberg.ch/politik/budget-rechnung</t>
        </is>
      </c>
      <c r="AD31" s="3" t="inlineStr">
        <is>
          <t>Verifiziert</t>
        </is>
      </c>
      <c r="AE31" s="3" t="inlineStr">
        <is>
          <t>200</t>
        </is>
      </c>
      <c r="AF31" s="3" t="inlineStr"/>
      <c r="AG31" s="3" t="inlineStr">
        <is>
          <t>PDF</t>
        </is>
      </c>
      <c r="AH31" s="3" t="inlineStr">
        <is>
          <t>Bestätigt</t>
        </is>
      </c>
      <c r="AI31" s="3" t="inlineStr">
        <is>
          <t>Schlüsselwörter 2/2 gefunden (Budget, 2026); Ort/Zuständigkeit: Seelisberg</t>
        </is>
      </c>
      <c r="AJ31" s="3" t="inlineStr">
        <is>
          <t>GEMEINDE  SEELISBERG</t>
        </is>
      </c>
      <c r="AK31" s="3" t="inlineStr">
        <is>
          <t>2026, 2025, 2024</t>
        </is>
      </c>
      <c r="AL31" s="3" t="inlineStr">
        <is>
          <t>Mittel (CMS-Dokumentlink)</t>
        </is>
      </c>
      <c r="AM31" s="3" t="inlineStr">
        <is>
          <t>2026-10-14 13:54</t>
        </is>
      </c>
      <c r="AN31" s="3" t="inlineStr">
        <is>
          <t>Öffentlich verfügbar und verifiziert</t>
        </is>
      </c>
      <c r="AO31" s="3" t="inlineStr">
        <is>
          <t>2026</t>
        </is>
      </c>
      <c r="AP31" s="3" t="inlineStr">
        <is>
          <t>Belegt Existenz und Zugänglichkeit der Quelle; inhaltliche Aussagen erst nach Auswertung.</t>
        </is>
      </c>
      <c r="AQ31" s="3" t="inlineStr">
        <is>
          <t>Keine Einstufung: Kennzahlen/Befunde noch nicht ausgewertet; Schwellen der Bewertungslogik noch nicht validiert.</t>
        </is>
      </c>
      <c r="AR31" s="3" t="inlineStr">
        <is>
          <t>Nein</t>
        </is>
      </c>
      <c r="AS31" s="3" t="inlineStr">
        <is>
          <t>Gemeindeverwaltung Seelisberg</t>
        </is>
      </c>
      <c r="AT31" s="3" t="inlineStr">
        <is>
          <t>In Prüfung</t>
        </is>
      </c>
      <c r="AU31" s="3" t="inlineStr"/>
      <c r="AV31" s="3" t="inlineStr"/>
      <c r="AW31" s="3" t="inlineStr">
        <is>
          <t>2026-10-14: neu aufgenommen</t>
        </is>
      </c>
      <c r="AX31" s="3">
        <f>IF(ISNA(MATCH($A31,'Gesamtübersicht'!$A:$A,0)),"ID fehlt in Gesamtübersicht",IF(AND(INDEX('Gesamtübersicht'!$H:$H,MATCH($A31,'Gesamtübersicht'!$A:$A,0))&amp;""=$H31&amp;"",INDEX('Gesamtübersicht'!$M:$M,MATCH($A31,'Gesamtübersicht'!$A:$A,0))&amp;""=$M31&amp;"",INDEX('Gesamtübersicht'!$AD:$AD,MATCH($A31,'Gesamtübersicht'!$A:$A,0))&amp;""=$AD31&amp;"",INDEX('Gesamtübersicht'!$AH:$AH,MATCH($A31,'Gesamtübersicht'!$A:$A,0))&amp;""=$AH31&amp;"",INDEX('Gesamtübersicht'!$T:$T,MATCH($A31,'Gesamtübersicht'!$A:$A,0))&amp;""=$T31&amp;""),"OK","Abweichung – Ansicht neu erzeugen"))</f>
        <v/>
      </c>
    </row>
    <row r="32" ht="43" customHeight="1">
      <c r="A32" s="2" t="inlineStr">
        <is>
          <t>SEE-C2-01</t>
        </is>
      </c>
      <c r="B32" s="15" t="inlineStr">
        <is>
          <t>Gemeinde</t>
        </is>
      </c>
      <c r="C32" s="2" t="inlineStr">
        <is>
          <t>Schweiz</t>
        </is>
      </c>
      <c r="D32" s="2" t="inlineStr">
        <is>
          <t>Uri</t>
        </is>
      </c>
      <c r="E32" s="2" t="inlineStr">
        <is>
          <t>Seelisberg</t>
        </is>
      </c>
      <c r="F32" s="2" t="inlineStr">
        <is>
          <t>C2</t>
        </is>
      </c>
      <c r="G32" s="2" t="inlineStr">
        <is>
          <t>Boden / Liegenschaften</t>
        </is>
      </c>
      <c r="H32" s="2" t="inlineStr">
        <is>
          <t>Teilrevision Nutzungsplanung und Quartiergestaltungsplanung «Sonnenberg» – Erläuterungsbericht nach Art. 47 RPV (öffentliche Auflage)</t>
        </is>
      </c>
      <c r="I32" s="2" t="inlineStr">
        <is>
          <t>Planungsbericht</t>
        </is>
      </c>
      <c r="J32" s="2" t="inlineStr">
        <is>
          <t>Direktes Dokument</t>
        </is>
      </c>
      <c r="K32" s="2" t="inlineStr">
        <is>
          <t>Planungsbericht (orientierend)</t>
        </is>
      </c>
      <c r="L32" s="2" t="inlineStr">
        <is>
          <t>Gemeinde Seelisberg</t>
        </is>
      </c>
      <c r="M32" s="5" t="inlineStr">
        <is>
          <t>https://www.seelisberg.ch/files/pdf/ERLUTE1.PDF</t>
        </is>
      </c>
      <c r="N32" s="2" t="inlineStr">
        <is>
          <t>Zu prüfen</t>
        </is>
      </c>
      <c r="O32" s="2" t="inlineStr">
        <is>
          <t>2026-10-14</t>
        </is>
      </c>
      <c r="P32" s="2" t="inlineStr">
        <is>
          <t>Planungsgrundlage für das Entwicklungsgebiet Sonnenberg. Kein Nachweis kommunalen Grundeigentums oder eines Baurechts: «Baurecht», «775» und «Erwerb» kommen im Dokumenttext nicht vor (automatische Volltextsuche).</t>
        </is>
      </c>
      <c r="Q32" s="2" t="inlineStr">
        <is>
          <t>Gemeindeeigentum, Baurechte, ÖBA</t>
        </is>
      </c>
      <c r="R32" s="2" t="inlineStr">
        <is>
          <t>Liegenschaftsverzeichnis bei Gemeinde anfragen</t>
        </is>
      </c>
      <c r="S32" s="2" t="inlineStr">
        <is>
          <t>Kein Peer</t>
        </is>
      </c>
      <c r="T32" s="2" t="inlineStr">
        <is>
          <t>Noch nicht bewertet</t>
        </is>
      </c>
      <c r="U32" s="2" t="inlineStr">
        <is>
          <t>Niedrig</t>
        </is>
      </c>
      <c r="V32" s="2" t="inlineStr">
        <is>
          <t>Konkrete kommunale Unterlagen / Datensatz nachfordern</t>
        </is>
      </c>
      <c r="W32" s="2" t="inlineStr">
        <is>
          <t>B; Q1</t>
        </is>
      </c>
      <c r="X32" s="2" t="inlineStr">
        <is>
          <t>Bodenmobilisierung</t>
        </is>
      </c>
      <c r="Y32" s="2" t="inlineStr">
        <is>
          <t>Dokument auswerten; Aktualität und Geltung prüfen</t>
        </is>
      </c>
      <c r="Z32" s="2" t="inlineStr">
        <is>
          <t>Webrecherche 14.10.2026</t>
        </is>
      </c>
      <c r="AA32" s="2" t="inlineStr"/>
      <c r="AB32" s="2" t="inlineStr"/>
      <c r="AC32" s="5" t="inlineStr">
        <is>
          <t>https://www.seelisberg.ch/</t>
        </is>
      </c>
      <c r="AD32" s="2" t="inlineStr">
        <is>
          <t>Verifiziert</t>
        </is>
      </c>
      <c r="AE32" s="2" t="inlineStr">
        <is>
          <t>200</t>
        </is>
      </c>
      <c r="AF32" s="2" t="inlineStr"/>
      <c r="AG32" s="2" t="inlineStr">
        <is>
          <t>PDF</t>
        </is>
      </c>
      <c r="AH32" s="2" t="inlineStr">
        <is>
          <t>Bestätigt</t>
        </is>
      </c>
      <c r="AI32" s="2" t="inlineStr">
        <is>
          <t>Schlüsselwörter 2/2 gefunden (Sonnenberg, Nutzungsplanung); Ort/Zuständigkeit: Seelisberg</t>
        </is>
      </c>
      <c r="AJ32" s="2" t="inlineStr">
        <is>
          <t>Teilrevision N UP und QGP  «Sonnenberg », Gemeinde Seelisberg</t>
        </is>
      </c>
      <c r="AK32" s="2" t="inlineStr">
        <is>
          <t>2024, 2023, 2018</t>
        </is>
      </c>
      <c r="AL32" s="2" t="inlineStr">
        <is>
          <t>Mittel (CMS-Dokumentlink)</t>
        </is>
      </c>
      <c r="AM32" s="2" t="inlineStr">
        <is>
          <t>2026-10-14 13:53</t>
        </is>
      </c>
      <c r="AN32" s="2" t="inlineStr">
        <is>
          <t>Öffentlich verfügbar und verifiziert</t>
        </is>
      </c>
      <c r="AO32" s="2" t="inlineStr">
        <is>
          <t>Zu prüfen</t>
        </is>
      </c>
      <c r="AP32" s="2" t="inlineStr">
        <is>
          <t>Belegt das Planungsverfahren Sonnenberg (Teilrevision NUP/QGP); belegt kein kommunales Grundeigentum. Fundstellen im Dokument (automatisch): Baurecht: nicht gefunden; 775: nicht gefunden; Erwerb: nicht gefunden; Halter: S. 2, 6, 8, 28, 32, 75, 76, 79, 85; Grundeigentümer: S. 32, 48, 70.</t>
        </is>
      </c>
      <c r="AQ32" s="2" t="inlineStr">
        <is>
          <t>Keine Einstufung: Kennzahlen/Befunde noch nicht ausgewertet; Schwellen der Bewertungslogik noch nicht validiert.</t>
        </is>
      </c>
      <c r="AR32" s="2" t="inlineStr">
        <is>
          <t>Ja</t>
        </is>
      </c>
      <c r="AS32" s="2" t="inlineStr">
        <is>
          <t>Gemeindeverwaltung Seelisberg</t>
        </is>
      </c>
      <c r="AT32" s="2" t="inlineStr">
        <is>
          <t>In Prüfung</t>
        </is>
      </c>
      <c r="AU32" s="2" t="inlineStr">
        <is>
          <t>Eine Suchmaschinen-Zusammenfassung nannte einen Erwerb von Parzelle 775 mit Baurecht – im Dokument nicht bestätigt, daher nicht übernommen. Ebenso unbestätigter Sekundärhinweis auf eine Projektbeteiligung der Halter AG: Belegstellen prüfen; allfällige Interessenbindung bei der Auswertung offenlegen. Kein Liegenschaftsverzeichnis öffentlich.</t>
        </is>
      </c>
      <c r="AV32" s="2" t="inlineStr"/>
      <c r="AW32" s="2" t="inlineStr">
        <is>
          <t>2026-10-14: Link ersetzt (vorher https://www.seelisberg.ch/). Grund: Startseite durch direktes Dokument zu Grundeigentum/Baurecht ersetzt.</t>
        </is>
      </c>
      <c r="AX32" s="2">
        <f>IF(ISNA(MATCH($A32,'Gesamtübersicht'!$A:$A,0)),"ID fehlt in Gesamtübersicht",IF(AND(INDEX('Gesamtübersicht'!$H:$H,MATCH($A32,'Gesamtübersicht'!$A:$A,0))&amp;""=$H32&amp;"",INDEX('Gesamtübersicht'!$M:$M,MATCH($A32,'Gesamtübersicht'!$A:$A,0))&amp;""=$M32&amp;"",INDEX('Gesamtübersicht'!$AD:$AD,MATCH($A32,'Gesamtübersicht'!$A:$A,0))&amp;""=$AD32&amp;"",INDEX('Gesamtübersicht'!$AH:$AH,MATCH($A32,'Gesamtübersicht'!$A:$A,0))&amp;""=$AH32&amp;"",INDEX('Gesamtübersicht'!$T:$T,MATCH($A32,'Gesamtübersicht'!$A:$A,0))&amp;""=$T32&amp;""),"OK","Abweichung – Ansicht neu erzeugen"))</f>
        <v/>
      </c>
    </row>
    <row r="33" ht="43" customHeight="1">
      <c r="A33" s="3" t="inlineStr">
        <is>
          <t>SEE-C2-02</t>
        </is>
      </c>
      <c r="B33" s="15" t="inlineStr">
        <is>
          <t>Gemeinde</t>
        </is>
      </c>
      <c r="C33" s="3" t="inlineStr">
        <is>
          <t>Schweiz</t>
        </is>
      </c>
      <c r="D33" s="3" t="inlineStr">
        <is>
          <t>Uri</t>
        </is>
      </c>
      <c r="E33" s="3" t="inlineStr">
        <is>
          <t>Seelisberg</t>
        </is>
      </c>
      <c r="F33" s="3" t="inlineStr">
        <is>
          <t>C2</t>
        </is>
      </c>
      <c r="G33" s="3" t="inlineStr">
        <is>
          <t>Bau- und Zonenordnung</t>
        </is>
      </c>
      <c r="H33" s="3" t="inlineStr">
        <is>
          <t>Bau- und Zonenordnung Seelisberg (BZO)</t>
        </is>
      </c>
      <c r="I33" s="3" t="inlineStr">
        <is>
          <t>Kommunales Reglement</t>
        </is>
      </c>
      <c r="J33" s="3" t="inlineStr">
        <is>
          <t>Direktes Dokument</t>
        </is>
      </c>
      <c r="K33" s="3" t="inlineStr">
        <is>
          <t>Kommunales Recht (verbindlich)</t>
        </is>
      </c>
      <c r="L33" s="3" t="inlineStr">
        <is>
          <t>Gemeinde Seelisberg</t>
        </is>
      </c>
      <c r="M33" s="7" t="inlineStr">
        <is>
          <t>https://www.seelisberg.ch/files/pdf/Bau-und-Zonenordnung-Seelisberg.pdf</t>
        </is>
      </c>
      <c r="N33" s="3" t="inlineStr"/>
      <c r="O33" s="3" t="inlineStr">
        <is>
          <t>2026-10-14</t>
        </is>
      </c>
      <c r="P33" s="3" t="inlineStr">
        <is>
          <t>Zonen und Bauvorschriften; Q-Bezug; kein Eigentumsnachweis</t>
        </is>
      </c>
      <c r="Q33" s="3" t="inlineStr"/>
      <c r="R33" s="3" t="inlineStr"/>
      <c r="S33" s="3" t="inlineStr">
        <is>
          <t>Kein Peer-Vergleich</t>
        </is>
      </c>
      <c r="T33" s="3" t="inlineStr">
        <is>
          <t>Noch nicht bewertet</t>
        </is>
      </c>
      <c r="U33" s="3" t="inlineStr">
        <is>
          <t>Hoch</t>
        </is>
      </c>
      <c r="V33" s="3" t="inlineStr"/>
      <c r="W33" s="3" t="inlineStr">
        <is>
          <t>B; Q1</t>
        </is>
      </c>
      <c r="X33" s="3" t="inlineStr"/>
      <c r="Y33" s="3" t="inlineStr">
        <is>
          <t>Dokument auswerten; Aktualität und Geltung prüfen</t>
        </is>
      </c>
      <c r="Z33" s="3" t="inlineStr">
        <is>
          <t>Websuche 14.10.2026 (URL im Suchergebnis gefunden)</t>
        </is>
      </c>
      <c r="AA33" s="3" t="inlineStr"/>
      <c r="AB33" s="3" t="inlineStr"/>
      <c r="AC33" s="3" t="inlineStr"/>
      <c r="AD33" s="3" t="inlineStr">
        <is>
          <t>Verifiziert</t>
        </is>
      </c>
      <c r="AE33" s="3" t="inlineStr">
        <is>
          <t>200</t>
        </is>
      </c>
      <c r="AF33" s="3" t="inlineStr"/>
      <c r="AG33" s="3" t="inlineStr">
        <is>
          <t>PDF</t>
        </is>
      </c>
      <c r="AH33" s="3" t="inlineStr">
        <is>
          <t>Bestätigt</t>
        </is>
      </c>
      <c r="AI33" s="3" t="inlineStr">
        <is>
          <t>Schlüsselwörter 1/1 gefunden (Zonenordnung); Ort/Zuständigkeit: Seelisberg</t>
        </is>
      </c>
      <c r="AJ33" s="3" t="inlineStr">
        <is>
          <t>GEMEINDE SEELISBERG</t>
        </is>
      </c>
      <c r="AK33" s="3" t="inlineStr">
        <is>
          <t>2023, 2025, 2014, 2015, 2010, 2005</t>
        </is>
      </c>
      <c r="AL33" s="3" t="inlineStr">
        <is>
          <t>Mittel (CMS-Dokumentlink)</t>
        </is>
      </c>
      <c r="AM33" s="3" t="inlineStr">
        <is>
          <t>2026-10-14 13:54</t>
        </is>
      </c>
      <c r="AN33" s="3" t="inlineStr">
        <is>
          <t>Öffentlich verfügbar und verifiziert</t>
        </is>
      </c>
      <c r="AO33" s="3" t="inlineStr"/>
      <c r="AP33" s="3" t="inlineStr">
        <is>
          <t>Belegt Existenz und Zugänglichkeit der Quelle; inhaltliche Aussagen erst nach Auswertung.</t>
        </is>
      </c>
      <c r="AQ33" s="3" t="inlineStr">
        <is>
          <t>Keine Einstufung: Kennzahlen/Befunde noch nicht ausgewertet; Schwellen der Bewertungslogik noch nicht validiert.</t>
        </is>
      </c>
      <c r="AR33" s="3" t="inlineStr">
        <is>
          <t>Ja</t>
        </is>
      </c>
      <c r="AS33" s="3" t="inlineStr">
        <is>
          <t>Gemeindeverwaltung Seelisberg</t>
        </is>
      </c>
      <c r="AT33" s="3" t="inlineStr">
        <is>
          <t>In Prüfung</t>
        </is>
      </c>
      <c r="AU33" s="3" t="inlineStr"/>
      <c r="AV33" s="3" t="inlineStr"/>
      <c r="AW33" s="3" t="inlineStr">
        <is>
          <t>2026-10-14: neu aufgenommen</t>
        </is>
      </c>
      <c r="AX33" s="3">
        <f>IF(ISNA(MATCH($A33,'Gesamtübersicht'!$A:$A,0)),"ID fehlt in Gesamtübersicht",IF(AND(INDEX('Gesamtübersicht'!$H:$H,MATCH($A33,'Gesamtübersicht'!$A:$A,0))&amp;""=$H33&amp;"",INDEX('Gesamtübersicht'!$M:$M,MATCH($A33,'Gesamtübersicht'!$A:$A,0))&amp;""=$M33&amp;"",INDEX('Gesamtübersicht'!$AD:$AD,MATCH($A33,'Gesamtübersicht'!$A:$A,0))&amp;""=$AD33&amp;"",INDEX('Gesamtübersicht'!$AH:$AH,MATCH($A33,'Gesamtübersicht'!$A:$A,0))&amp;""=$AH33&amp;"",INDEX('Gesamtübersicht'!$T:$T,MATCH($A33,'Gesamtübersicht'!$A:$A,0))&amp;""=$T33&amp;""),"OK","Abweichung – Ansicht neu erzeugen"))</f>
        <v/>
      </c>
    </row>
    <row r="34" ht="43" customHeight="1">
      <c r="A34" s="2" t="inlineStr">
        <is>
          <t>SEE-C2-03</t>
        </is>
      </c>
      <c r="B34" s="15" t="inlineStr">
        <is>
          <t>Gemeinde</t>
        </is>
      </c>
      <c r="C34" s="2" t="inlineStr">
        <is>
          <t>Schweiz</t>
        </is>
      </c>
      <c r="D34" s="2" t="inlineStr">
        <is>
          <t>Uri</t>
        </is>
      </c>
      <c r="E34" s="2" t="inlineStr">
        <is>
          <t>Seelisberg</t>
        </is>
      </c>
      <c r="F34" s="2" t="inlineStr">
        <is>
          <t>C2</t>
        </is>
      </c>
      <c r="G34" s="2" t="inlineStr">
        <is>
          <t>Siedlungsentwicklung</t>
        </is>
      </c>
      <c r="H34" s="2" t="inlineStr">
        <is>
          <t>Siedlungsleitbild Seelisberg (Genehmigungsexemplar, 5.10.2022)</t>
        </is>
      </c>
      <c r="I34" s="2" t="inlineStr">
        <is>
          <t>Leitbild / Bericht</t>
        </is>
      </c>
      <c r="J34" s="2" t="inlineStr">
        <is>
          <t>Direktes Dokument</t>
        </is>
      </c>
      <c r="K34" s="2" t="inlineStr">
        <is>
          <t>Behördenverbindliche Planung</t>
        </is>
      </c>
      <c r="L34" s="2" t="inlineStr">
        <is>
          <t>Gemeinderat Seelisberg</t>
        </is>
      </c>
      <c r="M34" s="5" t="inlineStr">
        <is>
          <t>https://www.seelisberg.ch/files/pdf/8_20221005_Bericht_Siedlungsleitbild_Genehmigungsexemplar.pdf</t>
        </is>
      </c>
      <c r="N34" s="2" t="inlineStr">
        <is>
          <t>2022</t>
        </is>
      </c>
      <c r="O34" s="2" t="inlineStr">
        <is>
          <t>2026-10-14</t>
        </is>
      </c>
      <c r="P34" s="2" t="inlineStr">
        <is>
          <t>Strategische Entwicklungsgebiete (Sonnenberg, Chilendorf); Bodenpolitik-Absichten</t>
        </is>
      </c>
      <c r="Q34" s="2" t="inlineStr"/>
      <c r="R34" s="2" t="inlineStr"/>
      <c r="S34" s="2" t="inlineStr">
        <is>
          <t>Kein Peer-Vergleich</t>
        </is>
      </c>
      <c r="T34" s="2" t="inlineStr">
        <is>
          <t>Noch nicht bewertet</t>
        </is>
      </c>
      <c r="U34" s="2" t="inlineStr">
        <is>
          <t>Hoch</t>
        </is>
      </c>
      <c r="V34" s="2" t="inlineStr"/>
      <c r="W34" s="2" t="inlineStr">
        <is>
          <t>B</t>
        </is>
      </c>
      <c r="X34" s="2" t="inlineStr"/>
      <c r="Y34" s="2" t="inlineStr">
        <is>
          <t>Dokument auswerten; Aktualität und Geltung prüfen</t>
        </is>
      </c>
      <c r="Z34" s="2" t="inlineStr">
        <is>
          <t>Websuche 14.10.2026 (URL im Suchergebnis gefunden)</t>
        </is>
      </c>
      <c r="AA34" s="2" t="inlineStr">
        <is>
          <t>C5</t>
        </is>
      </c>
      <c r="AB34" s="2" t="inlineStr"/>
      <c r="AC34" s="2" t="inlineStr"/>
      <c r="AD34" s="2" t="inlineStr">
        <is>
          <t>Verifiziert</t>
        </is>
      </c>
      <c r="AE34" s="2" t="inlineStr">
        <is>
          <t>200</t>
        </is>
      </c>
      <c r="AF34" s="2" t="inlineStr"/>
      <c r="AG34" s="2" t="inlineStr">
        <is>
          <t>PDF</t>
        </is>
      </c>
      <c r="AH34" s="2" t="inlineStr">
        <is>
          <t>Bestätigt</t>
        </is>
      </c>
      <c r="AI34" s="2" t="inlineStr">
        <is>
          <t>Schlüsselwörter 1/1 gefunden (Siedlungsleitbild); Ort/Zuständigkeit: Seelisberg</t>
        </is>
      </c>
      <c r="AJ34" s="2" t="inlineStr">
        <is>
          <t>Seelisberg, Siedlungsleitbild</t>
        </is>
      </c>
      <c r="AK34" s="2" t="inlineStr">
        <is>
          <t>2022, 2021, 2017, 2020, 2019, 2015</t>
        </is>
      </c>
      <c r="AL34" s="2" t="inlineStr">
        <is>
          <t>Mittel (CMS-Dokumentlink)</t>
        </is>
      </c>
      <c r="AM34" s="2" t="inlineStr">
        <is>
          <t>2026-10-14 13:54</t>
        </is>
      </c>
      <c r="AN34" s="2" t="inlineStr">
        <is>
          <t>Öffentlich verfügbar und verifiziert</t>
        </is>
      </c>
      <c r="AO34" s="2" t="inlineStr">
        <is>
          <t>2022</t>
        </is>
      </c>
      <c r="AP34" s="2" t="inlineStr">
        <is>
          <t>Belegt Existenz und Zugänglichkeit der Quelle; inhaltliche Aussagen erst nach Auswertung.</t>
        </is>
      </c>
      <c r="AQ34" s="2" t="inlineStr">
        <is>
          <t>Keine Einstufung: Kennzahlen/Befunde noch nicht ausgewertet; Schwellen der Bewertungslogik noch nicht validiert.</t>
        </is>
      </c>
      <c r="AR34" s="2" t="inlineStr">
        <is>
          <t>Ja</t>
        </is>
      </c>
      <c r="AS34" s="2" t="inlineStr">
        <is>
          <t>Gemeindeverwaltung Seelisberg</t>
        </is>
      </c>
      <c r="AT34" s="2" t="inlineStr">
        <is>
          <t>In Prüfung</t>
        </is>
      </c>
      <c r="AU34" s="2" t="inlineStr"/>
      <c r="AV34" s="2" t="inlineStr"/>
      <c r="AW34" s="2" t="inlineStr">
        <is>
          <t>2026-10-14: neu aufgenommen</t>
        </is>
      </c>
      <c r="AX34" s="2">
        <f>IF(ISNA(MATCH($A34,'Gesamtübersicht'!$A:$A,0)),"ID fehlt in Gesamtübersicht",IF(AND(INDEX('Gesamtübersicht'!$H:$H,MATCH($A34,'Gesamtübersicht'!$A:$A,0))&amp;""=$H34&amp;"",INDEX('Gesamtübersicht'!$M:$M,MATCH($A34,'Gesamtübersicht'!$A:$A,0))&amp;""=$M34&amp;"",INDEX('Gesamtübersicht'!$AD:$AD,MATCH($A34,'Gesamtübersicht'!$A:$A,0))&amp;""=$AD34&amp;"",INDEX('Gesamtübersicht'!$AH:$AH,MATCH($A34,'Gesamtübersicht'!$A:$A,0))&amp;""=$AH34&amp;"",INDEX('Gesamtübersicht'!$T:$T,MATCH($A34,'Gesamtübersicht'!$A:$A,0))&amp;""=$T34&amp;""),"OK","Abweichung – Ansicht neu erzeugen"))</f>
        <v/>
      </c>
    </row>
    <row r="35" ht="43" customHeight="1">
      <c r="A35" s="3" t="inlineStr">
        <is>
          <t>SEE-C2-04</t>
        </is>
      </c>
      <c r="B35" s="15" t="inlineStr">
        <is>
          <t>Gemeinde</t>
        </is>
      </c>
      <c r="C35" s="3" t="inlineStr">
        <is>
          <t>Schweiz</t>
        </is>
      </c>
      <c r="D35" s="3" t="inlineStr">
        <is>
          <t>Uri</t>
        </is>
      </c>
      <c r="E35" s="3" t="inlineStr">
        <is>
          <t>Seelisberg</t>
        </is>
      </c>
      <c r="F35" s="3" t="inlineStr">
        <is>
          <t>C2</t>
        </is>
      </c>
      <c r="G35" s="3" t="inlineStr">
        <is>
          <t>Nutzungsplanung</t>
        </is>
      </c>
      <c r="H35" s="3" t="inlineStr">
        <is>
          <t>Seelisberg: Teilrevision Nutzungsplanung – Erläuterungsbericht (26.5.2023)</t>
        </is>
      </c>
      <c r="I35" s="3" t="inlineStr">
        <is>
          <t>Planungsbericht</t>
        </is>
      </c>
      <c r="J35" s="3" t="inlineStr">
        <is>
          <t>Direktes Dokument</t>
        </is>
      </c>
      <c r="K35" s="3" t="inlineStr">
        <is>
          <t>Planungsbericht</t>
        </is>
      </c>
      <c r="L35" s="3" t="inlineStr">
        <is>
          <t>Gemeinde Seelisberg</t>
        </is>
      </c>
      <c r="M35" s="7" t="inlineStr">
        <is>
          <t>https://www.seelisberg.ch/files/pdf/20230526_Erl%C3%A4uterungsbericht.pdf</t>
        </is>
      </c>
      <c r="N35" s="3" t="inlineStr">
        <is>
          <t>2023</t>
        </is>
      </c>
      <c r="O35" s="3" t="inlineStr">
        <is>
          <t>2026-10-14</t>
        </is>
      </c>
      <c r="P35" s="3" t="inlineStr">
        <is>
          <t>Planerische Flächenverfügbarkeit (≠ Eigentum)</t>
        </is>
      </c>
      <c r="Q35" s="3" t="inlineStr"/>
      <c r="R35" s="3" t="inlineStr"/>
      <c r="S35" s="3" t="inlineStr">
        <is>
          <t>Kein Peer-Vergleich</t>
        </is>
      </c>
      <c r="T35" s="3" t="inlineStr">
        <is>
          <t>Noch nicht bewertet</t>
        </is>
      </c>
      <c r="U35" s="3" t="inlineStr">
        <is>
          <t>Mittel</t>
        </is>
      </c>
      <c r="V35" s="3" t="inlineStr"/>
      <c r="W35" s="3" t="inlineStr">
        <is>
          <t>B</t>
        </is>
      </c>
      <c r="X35" s="3" t="inlineStr"/>
      <c r="Y35" s="3" t="inlineStr">
        <is>
          <t>Dokument auswerten; Aktualität und Geltung prüfen</t>
        </is>
      </c>
      <c r="Z35" s="3" t="inlineStr">
        <is>
          <t>Websuche 14.10.2026 (URL im Suchergebnis gefunden)</t>
        </is>
      </c>
      <c r="AA35" s="3" t="inlineStr"/>
      <c r="AB35" s="3" t="inlineStr"/>
      <c r="AC35" s="3" t="inlineStr"/>
      <c r="AD35" s="3" t="inlineStr">
        <is>
          <t>Verifiziert</t>
        </is>
      </c>
      <c r="AE35" s="3" t="inlineStr">
        <is>
          <t>200</t>
        </is>
      </c>
      <c r="AF35" s="3" t="inlineStr"/>
      <c r="AG35" s="3" t="inlineStr">
        <is>
          <t>PDF</t>
        </is>
      </c>
      <c r="AH35" s="3" t="inlineStr">
        <is>
          <t>Bestätigt</t>
        </is>
      </c>
      <c r="AI35" s="3" t="inlineStr">
        <is>
          <t>Schlüsselwörter 1/1 gefunden (Nutzungsplanung); Ort/Zuständigkeit: Seelisberg</t>
        </is>
      </c>
      <c r="AJ35" s="3" t="inlineStr">
        <is>
          <t>Seelisberg, Teilrevision Nutzungsplanung</t>
        </is>
      </c>
      <c r="AK35" s="3" t="inlineStr">
        <is>
          <t>2021, 2022, 2017, 2023, 2019, 2014</t>
        </is>
      </c>
      <c r="AL35" s="3" t="inlineStr">
        <is>
          <t>Mittel (CMS-Dokumentlink)</t>
        </is>
      </c>
      <c r="AM35" s="3" t="inlineStr">
        <is>
          <t>2026-10-14 13:54</t>
        </is>
      </c>
      <c r="AN35" s="3" t="inlineStr">
        <is>
          <t>Öffentlich verfügbar und verifiziert</t>
        </is>
      </c>
      <c r="AO35" s="3" t="inlineStr">
        <is>
          <t>2023</t>
        </is>
      </c>
      <c r="AP35" s="3" t="inlineStr">
        <is>
          <t>Belegt Existenz und Zugänglichkeit der Quelle; inhaltliche Aussagen erst nach Auswertung.</t>
        </is>
      </c>
      <c r="AQ35" s="3" t="inlineStr">
        <is>
          <t>Keine Einstufung: Kennzahlen/Befunde noch nicht ausgewertet; Schwellen der Bewertungslogik noch nicht validiert.</t>
        </is>
      </c>
      <c r="AR35" s="3" t="inlineStr">
        <is>
          <t>Ja</t>
        </is>
      </c>
      <c r="AS35" s="3" t="inlineStr">
        <is>
          <t>Gemeindeverwaltung Seelisberg</t>
        </is>
      </c>
      <c r="AT35" s="3" t="inlineStr">
        <is>
          <t>In Prüfung</t>
        </is>
      </c>
      <c r="AU35" s="3" t="inlineStr"/>
      <c r="AV35" s="3" t="inlineStr"/>
      <c r="AW35" s="3" t="inlineStr">
        <is>
          <t>2026-10-14: neu aufgenommen</t>
        </is>
      </c>
      <c r="AX35" s="3">
        <f>IF(ISNA(MATCH($A35,'Gesamtübersicht'!$A:$A,0)),"ID fehlt in Gesamtübersicht",IF(AND(INDEX('Gesamtübersicht'!$H:$H,MATCH($A35,'Gesamtübersicht'!$A:$A,0))&amp;""=$H35&amp;"",INDEX('Gesamtübersicht'!$M:$M,MATCH($A35,'Gesamtübersicht'!$A:$A,0))&amp;""=$M35&amp;"",INDEX('Gesamtübersicht'!$AD:$AD,MATCH($A35,'Gesamtübersicht'!$A:$A,0))&amp;""=$AD35&amp;"",INDEX('Gesamtübersicht'!$AH:$AH,MATCH($A35,'Gesamtübersicht'!$A:$A,0))&amp;""=$AH35&amp;"",INDEX('Gesamtübersicht'!$T:$T,MATCH($A35,'Gesamtübersicht'!$A:$A,0))&amp;""=$T35&amp;""),"OK","Abweichung – Ansicht neu erzeugen"))</f>
        <v/>
      </c>
    </row>
    <row r="36" ht="43" customHeight="1">
      <c r="A36" s="2" t="inlineStr">
        <is>
          <t>SEE-C3-01</t>
        </is>
      </c>
      <c r="B36" s="15" t="inlineStr">
        <is>
          <t>Gemeinde</t>
        </is>
      </c>
      <c r="C36" s="2" t="inlineStr">
        <is>
          <t>Schweiz</t>
        </is>
      </c>
      <c r="D36" s="2" t="inlineStr">
        <is>
          <t>Uri</t>
        </is>
      </c>
      <c r="E36" s="2" t="inlineStr">
        <is>
          <t>Seelisberg</t>
        </is>
      </c>
      <c r="F36" s="2" t="inlineStr">
        <is>
          <t>C3</t>
        </is>
      </c>
      <c r="G36" s="2" t="inlineStr">
        <is>
          <t>Gemeindeorganisation</t>
        </is>
      </c>
      <c r="H36" s="2" t="inlineStr">
        <is>
          <t>Seelisberg: Behörden und Kommissionen</t>
        </is>
      </c>
      <c r="I36" s="2" t="inlineStr">
        <is>
          <t>Behördenübersicht</t>
        </is>
      </c>
      <c r="J36" s="2" t="inlineStr">
        <is>
          <t>Offizielle Quelle recherchiert</t>
        </is>
      </c>
      <c r="K36" s="2" t="inlineStr">
        <is>
          <t>Orientierung / Datengrundlage</t>
        </is>
      </c>
      <c r="L36" s="2" t="inlineStr">
        <is>
          <t>Gemeinde Seelisberg</t>
        </is>
      </c>
      <c r="M36" s="5" t="inlineStr">
        <is>
          <t>https://www.seelisberg.ch/politik/beh%C3%B6rden-kommissionen</t>
        </is>
      </c>
      <c r="N36" s="2" t="inlineStr">
        <is>
          <t>Zu prüfen</t>
        </is>
      </c>
      <c r="O36" s="2" t="inlineStr">
        <is>
          <t>2026-10-14</t>
        </is>
      </c>
      <c r="P36" s="2" t="inlineStr">
        <is>
          <t>Behördenstruktur, Räte und Kommissionen</t>
        </is>
      </c>
      <c r="Q36" s="2" t="inlineStr">
        <is>
          <t>Rollen, Zuständigkeiten, Kooperationen</t>
        </is>
      </c>
      <c r="R36" s="2" t="inlineStr">
        <is>
          <t>Akteurskarte und Entscheidungswege erstellen</t>
        </is>
      </c>
      <c r="S36" s="2" t="inlineStr">
        <is>
          <t>Qualitativ</t>
        </is>
      </c>
      <c r="T36" s="2" t="inlineStr">
        <is>
          <t>Noch nicht bewertet</t>
        </is>
      </c>
      <c r="U36" s="2" t="inlineStr">
        <is>
          <t>Mittel</t>
        </is>
      </c>
      <c r="V36" s="2" t="inlineStr">
        <is>
          <t>Kennzahlen und Befunde noch extrahieren</t>
        </is>
      </c>
      <c r="W36" s="2" t="inlineStr">
        <is>
          <t>C4; C5</t>
        </is>
      </c>
      <c r="X36" s="2" t="inlineStr">
        <is>
          <t>Trägerschaft</t>
        </is>
      </c>
      <c r="Y36" s="2" t="inlineStr">
        <is>
          <t>Dokument auswerten; Aktualität und Geltung prüfen</t>
        </is>
      </c>
      <c r="Z36" s="2" t="inlineStr">
        <is>
          <t>Webrecherche 14.10.2026</t>
        </is>
      </c>
      <c r="AA36" s="2" t="inlineStr"/>
      <c r="AB36" s="2" t="inlineStr"/>
      <c r="AC36" s="2" t="inlineStr"/>
      <c r="AD36" s="2" t="inlineStr">
        <is>
          <t>Verifiziert</t>
        </is>
      </c>
      <c r="AE36" s="2" t="inlineStr">
        <is>
          <t>200</t>
        </is>
      </c>
      <c r="AF36" s="2" t="inlineStr"/>
      <c r="AG36" s="2" t="inlineStr">
        <is>
          <t>HTML</t>
        </is>
      </c>
      <c r="AH36" s="2" t="inlineStr">
        <is>
          <t>Bestätigt</t>
        </is>
      </c>
      <c r="AI36" s="2" t="inlineStr">
        <is>
          <t>Schlüsselwörter 1/1 gefunden (Kommission); Ort/Zuständigkeit: Seelisberg</t>
        </is>
      </c>
      <c r="AJ36" s="2" t="inlineStr">
        <is>
          <t>Gemeinde Seelisberg | Einwohner-Service | Behörden und Kommissionen</t>
        </is>
      </c>
      <c r="AK36" s="2" t="inlineStr"/>
      <c r="AL36" s="2" t="inlineStr">
        <is>
          <t>Mittel (Webseite)</t>
        </is>
      </c>
      <c r="AM36" s="2" t="inlineStr">
        <is>
          <t>2026-10-14 13:53</t>
        </is>
      </c>
      <c r="AN36" s="2" t="inlineStr">
        <is>
          <t>Öffentlich verfügbar und verifiziert</t>
        </is>
      </c>
      <c r="AO36" s="2" t="inlineStr">
        <is>
          <t>Zu prüfen</t>
        </is>
      </c>
      <c r="AP36" s="2" t="inlineStr">
        <is>
          <t>Belegt Existenz und Zugänglichkeit der Quelle; inhaltliche Aussagen erst nach Auswertung.</t>
        </is>
      </c>
      <c r="AQ36" s="2" t="inlineStr">
        <is>
          <t>Keine Einstufung: Kennzahlen/Befunde noch nicht ausgewertet; Schwellen der Bewertungslogik noch nicht validiert.</t>
        </is>
      </c>
      <c r="AR36" s="2" t="inlineStr">
        <is>
          <t>Ja</t>
        </is>
      </c>
      <c r="AS36" s="2" t="inlineStr">
        <is>
          <t>Gemeindeverwaltung Seelisberg</t>
        </is>
      </c>
      <c r="AT36" s="2" t="inlineStr">
        <is>
          <t>In Prüfung</t>
        </is>
      </c>
      <c r="AU36" s="2" t="inlineStr"/>
      <c r="AV36" s="2" t="inlineStr">
        <is>
          <t>SEE-C4-01</t>
        </is>
      </c>
      <c r="AW36" s="2" t="inlineStr"/>
      <c r="AX36" s="2">
        <f>IF(ISNA(MATCH($A36,'Gesamtübersicht'!$A:$A,0)),"ID fehlt in Gesamtübersicht",IF(AND(INDEX('Gesamtübersicht'!$H:$H,MATCH($A36,'Gesamtübersicht'!$A:$A,0))&amp;""=$H36&amp;"",INDEX('Gesamtübersicht'!$M:$M,MATCH($A36,'Gesamtübersicht'!$A:$A,0))&amp;""=$M36&amp;"",INDEX('Gesamtübersicht'!$AD:$AD,MATCH($A36,'Gesamtübersicht'!$A:$A,0))&amp;""=$AD36&amp;"",INDEX('Gesamtübersicht'!$AH:$AH,MATCH($A36,'Gesamtübersicht'!$A:$A,0))&amp;""=$AH36&amp;"",INDEX('Gesamtübersicht'!$T:$T,MATCH($A36,'Gesamtübersicht'!$A:$A,0))&amp;""=$T36&amp;""),"OK","Abweichung – Ansicht neu erzeugen"))</f>
        <v/>
      </c>
    </row>
    <row r="37" ht="43" customHeight="1">
      <c r="A37" s="3" t="inlineStr">
        <is>
          <t>SEE-C3-02</t>
        </is>
      </c>
      <c r="B37" s="15" t="inlineStr">
        <is>
          <t>Gemeinde</t>
        </is>
      </c>
      <c r="C37" s="3" t="inlineStr">
        <is>
          <t>Schweiz</t>
        </is>
      </c>
      <c r="D37" s="3" t="inlineStr">
        <is>
          <t>Uri</t>
        </is>
      </c>
      <c r="E37" s="3" t="inlineStr">
        <is>
          <t>Seelisberg</t>
        </is>
      </c>
      <c r="F37" s="3" t="inlineStr">
        <is>
          <t>C3</t>
        </is>
      </c>
      <c r="G37" s="3" t="inlineStr">
        <is>
          <t>Gemeindeordnung</t>
        </is>
      </c>
      <c r="H37" s="3" t="inlineStr">
        <is>
          <t>Gemeindeordnung der Einwohnergemeinde Seelisberg</t>
        </is>
      </c>
      <c r="I37" s="3" t="inlineStr">
        <is>
          <t>Gemeindeordnung</t>
        </is>
      </c>
      <c r="J37" s="3" t="inlineStr">
        <is>
          <t>Direktes Dokument</t>
        </is>
      </c>
      <c r="K37" s="3" t="inlineStr">
        <is>
          <t>Kommunales Recht (verbindlich)</t>
        </is>
      </c>
      <c r="L37" s="3" t="inlineStr">
        <is>
          <t>Gemeinde Seelisberg</t>
        </is>
      </c>
      <c r="M37" s="7" t="inlineStr">
        <is>
          <t>https://www.seelisberg.ch/files/pdf/Gemeindeordnung.pdf</t>
        </is>
      </c>
      <c r="N37" s="3" t="inlineStr"/>
      <c r="O37" s="3" t="inlineStr">
        <is>
          <t>2026-10-14</t>
        </is>
      </c>
      <c r="P37" s="3" t="inlineStr">
        <is>
          <t>Zuständigkeiten Gemeindeversammlung/Gemeinderat, Finanzkompetenzen, Zusammenarbeit</t>
        </is>
      </c>
      <c r="Q37" s="3" t="inlineStr"/>
      <c r="R37" s="3" t="inlineStr"/>
      <c r="S37" s="3" t="inlineStr">
        <is>
          <t>Kein Peer-Vergleich</t>
        </is>
      </c>
      <c r="T37" s="3" t="inlineStr">
        <is>
          <t>Noch nicht bewertet</t>
        </is>
      </c>
      <c r="U37" s="3" t="inlineStr">
        <is>
          <t>Hoch</t>
        </is>
      </c>
      <c r="V37" s="3" t="inlineStr"/>
      <c r="W37" s="3" t="inlineStr"/>
      <c r="X37" s="3" t="inlineStr"/>
      <c r="Y37" s="3" t="inlineStr">
        <is>
          <t>Dokument auswerten; Aktualität und Geltung prüfen</t>
        </is>
      </c>
      <c r="Z37" s="3" t="inlineStr">
        <is>
          <t>Automatische Recherche GitHub Actions (Discovery), Fundstelle siehe Spalte Offizielle Fundstelle</t>
        </is>
      </c>
      <c r="AA37" s="3" t="inlineStr">
        <is>
          <t>C1, C5</t>
        </is>
      </c>
      <c r="AB37" s="3" t="inlineStr"/>
      <c r="AC37" s="7" t="inlineStr">
        <is>
          <t>https://www.seelisberg.ch/politik/rechtssammlung</t>
        </is>
      </c>
      <c r="AD37" s="3" t="inlineStr">
        <is>
          <t>Verifiziert</t>
        </is>
      </c>
      <c r="AE37" s="3" t="inlineStr">
        <is>
          <t>200</t>
        </is>
      </c>
      <c r="AF37" s="3" t="inlineStr"/>
      <c r="AG37" s="3" t="inlineStr">
        <is>
          <t>PDF</t>
        </is>
      </c>
      <c r="AH37" s="3" t="inlineStr">
        <is>
          <t>Bestätigt</t>
        </is>
      </c>
      <c r="AI37" s="3" t="inlineStr">
        <is>
          <t>Schlüsselwörter 1/1 gefunden (Gemeindeordnung); Ort/Zuständigkeit: Seelisberg</t>
        </is>
      </c>
      <c r="AJ37" s="3" t="inlineStr">
        <is>
          <t>GEMEINDE SEELISBERG</t>
        </is>
      </c>
      <c r="AK37" s="3" t="inlineStr">
        <is>
          <t>2018, 2009</t>
        </is>
      </c>
      <c r="AL37" s="3" t="inlineStr">
        <is>
          <t>Mittel (CMS-Dokumentlink)</t>
        </is>
      </c>
      <c r="AM37" s="3" t="inlineStr">
        <is>
          <t>2026-10-14 13:54</t>
        </is>
      </c>
      <c r="AN37" s="3" t="inlineStr">
        <is>
          <t>Öffentlich verfügbar und verifiziert</t>
        </is>
      </c>
      <c r="AO37" s="3" t="inlineStr"/>
      <c r="AP37" s="3" t="inlineStr">
        <is>
          <t>Belegt Existenz und Zugänglichkeit der Quelle; inhaltliche Aussagen erst nach Auswertung. Fundstellen im Dokument (automatisch): Zweckverband: nicht gefunden; Zusammenarbeit: nicht gefunden; Finanzbefugnis: nicht gefunden; Kredit: S. 9.</t>
        </is>
      </c>
      <c r="AQ37" s="3" t="inlineStr">
        <is>
          <t>Keine Einstufung: Kennzahlen/Befunde noch nicht ausgewertet; Schwellen der Bewertungslogik noch nicht validiert.</t>
        </is>
      </c>
      <c r="AR37" s="3" t="inlineStr">
        <is>
          <t>Ja</t>
        </is>
      </c>
      <c r="AS37" s="3" t="inlineStr">
        <is>
          <t>Gemeindeverwaltung Seelisberg</t>
        </is>
      </c>
      <c r="AT37" s="3" t="inlineStr">
        <is>
          <t>In Prüfung</t>
        </is>
      </c>
      <c r="AU37" s="3" t="inlineStr">
        <is>
          <t>Fassungsdatum im Dokument prüfen (zitiert als 27.11.2009).</t>
        </is>
      </c>
      <c r="AV37" s="3" t="inlineStr"/>
      <c r="AW37" s="3" t="inlineStr">
        <is>
          <t>2026-10-14: neu aufgenommen</t>
        </is>
      </c>
      <c r="AX37" s="3">
        <f>IF(ISNA(MATCH($A37,'Gesamtübersicht'!$A:$A,0)),"ID fehlt in Gesamtübersicht",IF(AND(INDEX('Gesamtübersicht'!$H:$H,MATCH($A37,'Gesamtübersicht'!$A:$A,0))&amp;""=$H37&amp;"",INDEX('Gesamtübersicht'!$M:$M,MATCH($A37,'Gesamtübersicht'!$A:$A,0))&amp;""=$M37&amp;"",INDEX('Gesamtübersicht'!$AD:$AD,MATCH($A37,'Gesamtübersicht'!$A:$A,0))&amp;""=$AD37&amp;"",INDEX('Gesamtübersicht'!$AH:$AH,MATCH($A37,'Gesamtübersicht'!$A:$A,0))&amp;""=$AH37&amp;"",INDEX('Gesamtübersicht'!$T:$T,MATCH($A37,'Gesamtübersicht'!$A:$A,0))&amp;""=$T37&amp;""),"OK","Abweichung – Ansicht neu erzeugen"))</f>
        <v/>
      </c>
    </row>
    <row r="38" ht="43" customHeight="1">
      <c r="A38" s="2" t="inlineStr">
        <is>
          <t>SEE-C4-01</t>
        </is>
      </c>
      <c r="B38" s="15" t="inlineStr">
        <is>
          <t>Gemeinde</t>
        </is>
      </c>
      <c r="C38" s="2" t="inlineStr">
        <is>
          <t>Schweiz</t>
        </is>
      </c>
      <c r="D38" s="2" t="inlineStr">
        <is>
          <t>Uri</t>
        </is>
      </c>
      <c r="E38" s="2" t="inlineStr">
        <is>
          <t>Seelisberg</t>
        </is>
      </c>
      <c r="F38" s="2" t="inlineStr">
        <is>
          <t>C4</t>
        </is>
      </c>
      <c r="G38" s="2" t="inlineStr">
        <is>
          <t>Verwaltung</t>
        </is>
      </c>
      <c r="H38" s="2" t="inlineStr">
        <is>
          <t>Seelisberg: Behörden und Kommissionen</t>
        </is>
      </c>
      <c r="I38" s="2" t="inlineStr">
        <is>
          <t>Behördenübersicht</t>
        </is>
      </c>
      <c r="J38" s="2" t="inlineStr">
        <is>
          <t>Offizielle Quelle recherchiert</t>
        </is>
      </c>
      <c r="K38" s="2" t="inlineStr">
        <is>
          <t>Orientierung / Datengrundlage</t>
        </is>
      </c>
      <c r="L38" s="2" t="inlineStr">
        <is>
          <t>Gemeinde Seelisberg</t>
        </is>
      </c>
      <c r="M38" s="5" t="inlineStr">
        <is>
          <t>https://www.seelisberg.ch/politik/beh%C3%B6rden-kommissionen</t>
        </is>
      </c>
      <c r="N38" s="2" t="inlineStr">
        <is>
          <t>Zu prüfen</t>
        </is>
      </c>
      <c r="O38" s="2" t="inlineStr">
        <is>
          <t>2026-10-14</t>
        </is>
      </c>
      <c r="P38" s="2" t="inlineStr">
        <is>
          <t>Erste Übersicht zur kommunalen Aufgabenorganisation</t>
        </is>
      </c>
      <c r="Q38" s="2" t="inlineStr">
        <is>
          <t>Projektleitung, Personal, externe Mandate</t>
        </is>
      </c>
      <c r="R38" s="2" t="inlineStr">
        <is>
          <t>Personal- und Prozessangaben bei Gemeinde anfragen</t>
        </is>
      </c>
      <c r="S38" s="2" t="inlineStr">
        <is>
          <t>Qualitativ</t>
        </is>
      </c>
      <c r="T38" s="2" t="inlineStr">
        <is>
          <t>Noch nicht bewertet</t>
        </is>
      </c>
      <c r="U38" s="2" t="inlineStr">
        <is>
          <t>Mittel</t>
        </is>
      </c>
      <c r="V38" s="2" t="inlineStr">
        <is>
          <t>Kennzahlen und Befunde noch extrahieren</t>
        </is>
      </c>
      <c r="W38" s="2" t="inlineStr">
        <is>
          <t>Q6; C3</t>
        </is>
      </c>
      <c r="X38" s="2" t="inlineStr">
        <is>
          <t>Verwaltungsfähigkeit</t>
        </is>
      </c>
      <c r="Y38" s="2" t="inlineStr">
        <is>
          <t>Dokument auswerten; Aktualität und Geltung prüfen</t>
        </is>
      </c>
      <c r="Z38" s="2" t="inlineStr">
        <is>
          <t>Webrecherche 14.10.2026</t>
        </is>
      </c>
      <c r="AA38" s="2" t="inlineStr"/>
      <c r="AB38" s="2" t="inlineStr"/>
      <c r="AC38" s="2" t="inlineStr"/>
      <c r="AD38" s="2" t="inlineStr">
        <is>
          <t>Verifiziert</t>
        </is>
      </c>
      <c r="AE38" s="2" t="inlineStr">
        <is>
          <t>200</t>
        </is>
      </c>
      <c r="AF38" s="2" t="inlineStr"/>
      <c r="AG38" s="2" t="inlineStr">
        <is>
          <t>HTML</t>
        </is>
      </c>
      <c r="AH38" s="2" t="inlineStr">
        <is>
          <t>Bestätigt</t>
        </is>
      </c>
      <c r="AI38" s="2" t="inlineStr">
        <is>
          <t>Schlüsselwörter 1/1 gefunden (Kommission); Ort/Zuständigkeit: Seelisberg</t>
        </is>
      </c>
      <c r="AJ38" s="2" t="inlineStr">
        <is>
          <t>Gemeinde Seelisberg | Einwohner-Service | Behörden und Kommissionen</t>
        </is>
      </c>
      <c r="AK38" s="2" t="inlineStr"/>
      <c r="AL38" s="2" t="inlineStr">
        <is>
          <t>Mittel (Webseite)</t>
        </is>
      </c>
      <c r="AM38" s="2" t="inlineStr">
        <is>
          <t>2026-10-14 13:53</t>
        </is>
      </c>
      <c r="AN38" s="2" t="inlineStr">
        <is>
          <t>Öffentlich verfügbar und verifiziert</t>
        </is>
      </c>
      <c r="AO38" s="2" t="inlineStr">
        <is>
          <t>Zu prüfen</t>
        </is>
      </c>
      <c r="AP38" s="2" t="inlineStr">
        <is>
          <t>Belegt Existenz und Zugänglichkeit der Quelle; inhaltliche Aussagen erst nach Auswertung.</t>
        </is>
      </c>
      <c r="AQ38" s="2" t="inlineStr">
        <is>
          <t>Keine Einstufung: Kennzahlen/Befunde noch nicht ausgewertet; Schwellen der Bewertungslogik noch nicht validiert.</t>
        </is>
      </c>
      <c r="AR38" s="2" t="inlineStr">
        <is>
          <t>Ja</t>
        </is>
      </c>
      <c r="AS38" s="2" t="inlineStr">
        <is>
          <t>Gemeindeverwaltung Seelisberg</t>
        </is>
      </c>
      <c r="AT38" s="2" t="inlineStr">
        <is>
          <t>In Prüfung</t>
        </is>
      </c>
      <c r="AU38" s="2" t="inlineStr"/>
      <c r="AV38" s="2" t="inlineStr">
        <is>
          <t>SEE-C3-01</t>
        </is>
      </c>
      <c r="AW38" s="2" t="inlineStr"/>
      <c r="AX38" s="2">
        <f>IF(ISNA(MATCH($A38,'Gesamtübersicht'!$A:$A,0)),"ID fehlt in Gesamtübersicht",IF(AND(INDEX('Gesamtübersicht'!$H:$H,MATCH($A38,'Gesamtübersicht'!$A:$A,0))&amp;""=$H38&amp;"",INDEX('Gesamtübersicht'!$M:$M,MATCH($A38,'Gesamtübersicht'!$A:$A,0))&amp;""=$M38&amp;"",INDEX('Gesamtübersicht'!$AD:$AD,MATCH($A38,'Gesamtübersicht'!$A:$A,0))&amp;""=$AD38&amp;"",INDEX('Gesamtübersicht'!$AH:$AH,MATCH($A38,'Gesamtübersicht'!$A:$A,0))&amp;""=$AH38&amp;"",INDEX('Gesamtübersicht'!$T:$T,MATCH($A38,'Gesamtübersicht'!$A:$A,0))&amp;""=$T38&amp;""),"OK","Abweichung – Ansicht neu erzeugen"))</f>
        <v/>
      </c>
    </row>
    <row r="39" ht="43" customHeight="1">
      <c r="A39" s="3" t="inlineStr">
        <is>
          <t>SEE-C4-02</t>
        </is>
      </c>
      <c r="B39" s="15" t="inlineStr">
        <is>
          <t>Gemeinde</t>
        </is>
      </c>
      <c r="C39" s="3" t="inlineStr">
        <is>
          <t>Schweiz</t>
        </is>
      </c>
      <c r="D39" s="3" t="inlineStr">
        <is>
          <t>Uri</t>
        </is>
      </c>
      <c r="E39" s="3" t="inlineStr">
        <is>
          <t>Seelisberg</t>
        </is>
      </c>
      <c r="F39" s="3" t="inlineStr">
        <is>
          <t>C4</t>
        </is>
      </c>
      <c r="G39" s="3" t="inlineStr">
        <is>
          <t>Verwaltungsorganisation</t>
        </is>
      </c>
      <c r="H39" s="3" t="inlineStr">
        <is>
          <t>Gemeinde Seelisberg: Personal der Gemeindeverwaltung</t>
        </is>
      </c>
      <c r="I39" s="3" t="inlineStr">
        <is>
          <t>Webseite</t>
        </is>
      </c>
      <c r="J39" s="3" t="inlineStr">
        <is>
          <t>Webseite</t>
        </is>
      </c>
      <c r="K39" s="3" t="inlineStr">
        <is>
          <t>Information</t>
        </is>
      </c>
      <c r="L39" s="3" t="inlineStr">
        <is>
          <t>Gemeinde Seelisberg</t>
        </is>
      </c>
      <c r="M39" s="7" t="inlineStr">
        <is>
          <t>https://www.seelisberg.ch/personal</t>
        </is>
      </c>
      <c r="N39" s="3" t="inlineStr"/>
      <c r="O39" s="3" t="inlineStr">
        <is>
          <t>2026-10-14</t>
        </is>
      </c>
      <c r="P39" s="3" t="inlineStr">
        <is>
          <t>Übersicht Verwaltungspersonal (Kapazitätsindikator, kein Kompetenznachweis)</t>
        </is>
      </c>
      <c r="Q39" s="3" t="inlineStr"/>
      <c r="R39" s="3" t="inlineStr"/>
      <c r="S39" s="3" t="inlineStr">
        <is>
          <t>Kein Peer-Vergleich</t>
        </is>
      </c>
      <c r="T39" s="3" t="inlineStr">
        <is>
          <t>Noch nicht bewertet</t>
        </is>
      </c>
      <c r="U39" s="3" t="inlineStr">
        <is>
          <t>Mittel</t>
        </is>
      </c>
      <c r="V39" s="3" t="inlineStr"/>
      <c r="W39" s="3" t="inlineStr"/>
      <c r="X39" s="3" t="inlineStr"/>
      <c r="Y39" s="3" t="inlineStr">
        <is>
          <t>Dokument auswerten; Aktualität und Geltung prüfen</t>
        </is>
      </c>
      <c r="Z39" s="3" t="inlineStr">
        <is>
          <t>Websuche 14.10.2026 (URL im Suchergebnis gefunden)</t>
        </is>
      </c>
      <c r="AA39" s="3" t="inlineStr"/>
      <c r="AB39" s="3" t="inlineStr"/>
      <c r="AC39" s="3" t="inlineStr"/>
      <c r="AD39" s="3" t="inlineStr">
        <is>
          <t>Verifiziert</t>
        </is>
      </c>
      <c r="AE39" s="3" t="inlineStr">
        <is>
          <t>200</t>
        </is>
      </c>
      <c r="AF39" s="3" t="inlineStr"/>
      <c r="AG39" s="3" t="inlineStr">
        <is>
          <t>HTML</t>
        </is>
      </c>
      <c r="AH39" s="3" t="inlineStr">
        <is>
          <t>Bestätigt</t>
        </is>
      </c>
      <c r="AI39" s="3" t="inlineStr">
        <is>
          <t>Schlüsselwörter 1/1 gefunden (Verwaltung); Ort/Zuständigkeit: Seelisberg</t>
        </is>
      </c>
      <c r="AJ39" s="3" t="inlineStr">
        <is>
          <t>Gemeinde Seelisberg | Einwohner-Service | Unsere Mitarbeitenden im Überblick</t>
        </is>
      </c>
      <c r="AK39" s="3" t="inlineStr"/>
      <c r="AL39" s="3" t="inlineStr">
        <is>
          <t>Mittel (Webseite)</t>
        </is>
      </c>
      <c r="AM39" s="3" t="inlineStr">
        <is>
          <t>2026-10-14 13:54</t>
        </is>
      </c>
      <c r="AN39" s="3" t="inlineStr">
        <is>
          <t>Öffentlich verfügbar und verifiziert</t>
        </is>
      </c>
      <c r="AO39" s="3" t="inlineStr"/>
      <c r="AP39" s="3" t="inlineStr">
        <is>
          <t>Belegt Existenz und Zugänglichkeit der Quelle; inhaltliche Aussagen erst nach Auswertung.</t>
        </is>
      </c>
      <c r="AQ39" s="3" t="inlineStr">
        <is>
          <t>Keine Einstufung: Kennzahlen/Befunde noch nicht ausgewertet; Schwellen der Bewertungslogik noch nicht validiert.</t>
        </is>
      </c>
      <c r="AR39" s="3" t="inlineStr">
        <is>
          <t>Ja</t>
        </is>
      </c>
      <c r="AS39" s="3" t="inlineStr">
        <is>
          <t>Gemeindeverwaltung Seelisberg</t>
        </is>
      </c>
      <c r="AT39" s="3" t="inlineStr">
        <is>
          <t>In Prüfung</t>
        </is>
      </c>
      <c r="AU39" s="3" t="inlineStr"/>
      <c r="AV39" s="3" t="inlineStr"/>
      <c r="AW39" s="3" t="inlineStr">
        <is>
          <t>2026-10-14: neu aufgenommen</t>
        </is>
      </c>
      <c r="AX39" s="3">
        <f>IF(ISNA(MATCH($A39,'Gesamtübersicht'!$A:$A,0)),"ID fehlt in Gesamtübersicht",IF(AND(INDEX('Gesamtübersicht'!$H:$H,MATCH($A39,'Gesamtübersicht'!$A:$A,0))&amp;""=$H39&amp;"",INDEX('Gesamtübersicht'!$M:$M,MATCH($A39,'Gesamtübersicht'!$A:$A,0))&amp;""=$M39&amp;"",INDEX('Gesamtübersicht'!$AD:$AD,MATCH($A39,'Gesamtübersicht'!$A:$A,0))&amp;""=$AD39&amp;"",INDEX('Gesamtübersicht'!$AH:$AH,MATCH($A39,'Gesamtübersicht'!$A:$A,0))&amp;""=$AH39&amp;"",INDEX('Gesamtübersicht'!$T:$T,MATCH($A39,'Gesamtübersicht'!$A:$A,0))&amp;""=$T39&amp;""),"OK","Abweichung – Ansicht neu erzeugen"))</f>
        <v/>
      </c>
    </row>
    <row r="40" ht="43" customHeight="1">
      <c r="A40" s="2" t="inlineStr">
        <is>
          <t>SEE-C4-03</t>
        </is>
      </c>
      <c r="B40" s="15" t="inlineStr">
        <is>
          <t>Gemeinde</t>
        </is>
      </c>
      <c r="C40" s="2" t="inlineStr">
        <is>
          <t>Schweiz</t>
        </is>
      </c>
      <c r="D40" s="2" t="inlineStr">
        <is>
          <t>Uri</t>
        </is>
      </c>
      <c r="E40" s="2" t="inlineStr">
        <is>
          <t>Seelisberg</t>
        </is>
      </c>
      <c r="F40" s="2" t="inlineStr">
        <is>
          <t>C4</t>
        </is>
      </c>
      <c r="G40" s="2" t="inlineStr">
        <is>
          <t>Personal</t>
        </is>
      </c>
      <c r="H40" s="2" t="inlineStr">
        <is>
          <t>Verordnung über das Personal der Gemeinde Seelisberg</t>
        </is>
      </c>
      <c r="I40" s="2" t="inlineStr">
        <is>
          <t>Kommunale Verordnung</t>
        </is>
      </c>
      <c r="J40" s="2" t="inlineStr">
        <is>
          <t>Direktes Dokument</t>
        </is>
      </c>
      <c r="K40" s="2" t="inlineStr">
        <is>
          <t>Kommunales Recht (verbindlich)</t>
        </is>
      </c>
      <c r="L40" s="2" t="inlineStr">
        <is>
          <t>Gemeinde Seelisberg</t>
        </is>
      </c>
      <c r="M40" s="5" t="inlineStr">
        <is>
          <t>https://www.seelisberg.ch/files/pdf/Verordnung_%C3%BCber_das_Personal.pdf</t>
        </is>
      </c>
      <c r="N40" s="2" t="inlineStr"/>
      <c r="O40" s="2" t="inlineStr">
        <is>
          <t>2026-10-14</t>
        </is>
      </c>
      <c r="P40" s="2" t="inlineStr">
        <is>
          <t>Anstellungsrahmen und Zuständigkeiten im Personalwesen (keine Aussage zu Kapazität)</t>
        </is>
      </c>
      <c r="Q40" s="2" t="inlineStr"/>
      <c r="R40" s="2" t="inlineStr"/>
      <c r="S40" s="2" t="inlineStr">
        <is>
          <t>Kein Peer-Vergleich</t>
        </is>
      </c>
      <c r="T40" s="2" t="inlineStr">
        <is>
          <t>Noch nicht bewertet</t>
        </is>
      </c>
      <c r="U40" s="2" t="inlineStr">
        <is>
          <t>Hoch</t>
        </is>
      </c>
      <c r="V40" s="2" t="inlineStr"/>
      <c r="W40" s="2" t="inlineStr"/>
      <c r="X40" s="2" t="inlineStr"/>
      <c r="Y40" s="2" t="inlineStr">
        <is>
          <t>Dokument auswerten; Aktualität und Geltung prüfen</t>
        </is>
      </c>
      <c r="Z40" s="2" t="inlineStr">
        <is>
          <t>Automatische Recherche GitHub Actions (Discovery), Fundstelle siehe Spalte Offizielle Fundstelle</t>
        </is>
      </c>
      <c r="AA40" s="2" t="inlineStr"/>
      <c r="AB40" s="2" t="inlineStr"/>
      <c r="AC40" s="5" t="inlineStr">
        <is>
          <t>https://www.seelisberg.ch/politik/rechtssammlung</t>
        </is>
      </c>
      <c r="AD40" s="2" t="inlineStr">
        <is>
          <t>Fehler</t>
        </is>
      </c>
      <c r="AE40" s="2" t="inlineStr">
        <is>
          <t>404</t>
        </is>
      </c>
      <c r="AF40" s="2" t="inlineStr"/>
      <c r="AG40" s="2" t="inlineStr"/>
      <c r="AH40" s="2" t="inlineStr">
        <is>
          <t>Offen</t>
        </is>
      </c>
      <c r="AI40" s="2" t="inlineStr">
        <is>
          <t>HTTP 404</t>
        </is>
      </c>
      <c r="AJ40" s="2" t="inlineStr"/>
      <c r="AK40" s="2" t="inlineStr"/>
      <c r="AL40" s="2" t="inlineStr">
        <is>
          <t>Mittel (CMS-Dokumentlink)</t>
        </is>
      </c>
      <c r="AM40" s="2" t="inlineStr">
        <is>
          <t>2026-10-14 13:54</t>
        </is>
      </c>
      <c r="AN40" s="2" t="inlineStr">
        <is>
          <t>Nicht zugänglich / nicht prüfbar</t>
        </is>
      </c>
      <c r="AO40" s="2" t="inlineStr"/>
      <c r="AP40" s="2" t="inlineStr">
        <is>
          <t>Belegt Existenz und Zugänglichkeit der Quelle; inhaltliche Aussagen erst nach Auswertung.</t>
        </is>
      </c>
      <c r="AQ40" s="2" t="inlineStr">
        <is>
          <t>Keine Einstufung: Kennzahlen/Befunde noch nicht ausgewertet; Schwellen der Bewertungslogik noch nicht validiert.</t>
        </is>
      </c>
      <c r="AR40" s="2" t="inlineStr">
        <is>
          <t>Ja</t>
        </is>
      </c>
      <c r="AS40" s="2" t="inlineStr">
        <is>
          <t>Gemeindeverwaltung Seelisberg</t>
        </is>
      </c>
      <c r="AT40" s="2" t="inlineStr">
        <is>
          <t>Offen</t>
        </is>
      </c>
      <c r="AU40" s="2" t="inlineStr">
        <is>
          <t>Link defekt – Ersatz recherchieren</t>
        </is>
      </c>
      <c r="AV40" s="2" t="inlineStr"/>
      <c r="AW40" s="2" t="inlineStr">
        <is>
          <t>2026-10-14: neu aufgenommen</t>
        </is>
      </c>
      <c r="AX40" s="2">
        <f>IF(ISNA(MATCH($A40,'Gesamtübersicht'!$A:$A,0)),"ID fehlt in Gesamtübersicht",IF(AND(INDEX('Gesamtübersicht'!$H:$H,MATCH($A40,'Gesamtübersicht'!$A:$A,0))&amp;""=$H40&amp;"",INDEX('Gesamtübersicht'!$M:$M,MATCH($A40,'Gesamtübersicht'!$A:$A,0))&amp;""=$M40&amp;"",INDEX('Gesamtübersicht'!$AD:$AD,MATCH($A40,'Gesamtübersicht'!$A:$A,0))&amp;""=$AD40&amp;"",INDEX('Gesamtübersicht'!$AH:$AH,MATCH($A40,'Gesamtübersicht'!$A:$A,0))&amp;""=$AH40&amp;"",INDEX('Gesamtübersicht'!$T:$T,MATCH($A40,'Gesamtübersicht'!$A:$A,0))&amp;""=$T40&amp;""),"OK","Abweichung – Ansicht neu erzeugen"))</f>
        <v/>
      </c>
    </row>
    <row r="41" ht="43" customHeight="1">
      <c r="A41" s="3" t="inlineStr">
        <is>
          <t>SEE-C4-04</t>
        </is>
      </c>
      <c r="B41" s="15" t="inlineStr">
        <is>
          <t>Gemeinde</t>
        </is>
      </c>
      <c r="C41" s="3" t="inlineStr">
        <is>
          <t>Schweiz</t>
        </is>
      </c>
      <c r="D41" s="3" t="inlineStr">
        <is>
          <t>Uri</t>
        </is>
      </c>
      <c r="E41" s="3" t="inlineStr">
        <is>
          <t>Seelisberg</t>
        </is>
      </c>
      <c r="F41" s="3" t="inlineStr">
        <is>
          <t>C4</t>
        </is>
      </c>
      <c r="G41" s="3" t="inlineStr">
        <is>
          <t>Behördenorganisation</t>
        </is>
      </c>
      <c r="H41" s="3" t="inlineStr">
        <is>
          <t>Verordnung über das Verfahren in den Behörden der Gemeinde Seelisberg</t>
        </is>
      </c>
      <c r="I41" s="3" t="inlineStr">
        <is>
          <t>Kommunale Verordnung</t>
        </is>
      </c>
      <c r="J41" s="3" t="inlineStr">
        <is>
          <t>Direktes Dokument</t>
        </is>
      </c>
      <c r="K41" s="3" t="inlineStr">
        <is>
          <t>Kommunales Recht (verbindlich)</t>
        </is>
      </c>
      <c r="L41" s="3" t="inlineStr">
        <is>
          <t>Gemeinde Seelisberg</t>
        </is>
      </c>
      <c r="M41" s="7" t="inlineStr">
        <is>
          <t>https://www.seelisberg.ch/files/pdf/Verordnung_%C3%BCber_das_Verfahren_in_den_Beh%C3%B6rden.pdf</t>
        </is>
      </c>
      <c r="N41" s="3" t="inlineStr"/>
      <c r="O41" s="3" t="inlineStr">
        <is>
          <t>2026-10-14</t>
        </is>
      </c>
      <c r="P41" s="3" t="inlineStr">
        <is>
          <t>Arbeitsweise und Beschlussfassung von Gemeinderat und Kommissionen</t>
        </is>
      </c>
      <c r="Q41" s="3" t="inlineStr"/>
      <c r="R41" s="3" t="inlineStr"/>
      <c r="S41" s="3" t="inlineStr">
        <is>
          <t>Kein Peer-Vergleich</t>
        </is>
      </c>
      <c r="T41" s="3" t="inlineStr">
        <is>
          <t>Noch nicht bewertet</t>
        </is>
      </c>
      <c r="U41" s="3" t="inlineStr">
        <is>
          <t>Hoch</t>
        </is>
      </c>
      <c r="V41" s="3" t="inlineStr"/>
      <c r="W41" s="3" t="inlineStr"/>
      <c r="X41" s="3" t="inlineStr"/>
      <c r="Y41" s="3" t="inlineStr">
        <is>
          <t>Dokument auswerten; Aktualität und Geltung prüfen</t>
        </is>
      </c>
      <c r="Z41" s="3" t="inlineStr">
        <is>
          <t>Automatische Recherche GitHub Actions (Discovery), Fundstelle siehe Spalte Offizielle Fundstelle</t>
        </is>
      </c>
      <c r="AA41" s="3" t="inlineStr">
        <is>
          <t>C3</t>
        </is>
      </c>
      <c r="AB41" s="3" t="inlineStr"/>
      <c r="AC41" s="7" t="inlineStr">
        <is>
          <t>https://www.seelisberg.ch/politik/rechtssammlung</t>
        </is>
      </c>
      <c r="AD41" s="3" t="inlineStr">
        <is>
          <t>Fehler</t>
        </is>
      </c>
      <c r="AE41" s="3" t="inlineStr">
        <is>
          <t>404</t>
        </is>
      </c>
      <c r="AF41" s="3" t="inlineStr"/>
      <c r="AG41" s="3" t="inlineStr"/>
      <c r="AH41" s="3" t="inlineStr">
        <is>
          <t>Offen</t>
        </is>
      </c>
      <c r="AI41" s="3" t="inlineStr">
        <is>
          <t>HTTP 404</t>
        </is>
      </c>
      <c r="AJ41" s="3" t="inlineStr"/>
      <c r="AK41" s="3" t="inlineStr"/>
      <c r="AL41" s="3" t="inlineStr">
        <is>
          <t>Mittel (CMS-Dokumentlink)</t>
        </is>
      </c>
      <c r="AM41" s="3" t="inlineStr">
        <is>
          <t>2026-10-14 13:54</t>
        </is>
      </c>
      <c r="AN41" s="3" t="inlineStr">
        <is>
          <t>Nicht zugänglich / nicht prüfbar</t>
        </is>
      </c>
      <c r="AO41" s="3" t="inlineStr"/>
      <c r="AP41" s="3" t="inlineStr">
        <is>
          <t>Belegt Existenz und Zugänglichkeit der Quelle; inhaltliche Aussagen erst nach Auswertung.</t>
        </is>
      </c>
      <c r="AQ41" s="3" t="inlineStr">
        <is>
          <t>Keine Einstufung: Kennzahlen/Befunde noch nicht ausgewertet; Schwellen der Bewertungslogik noch nicht validiert.</t>
        </is>
      </c>
      <c r="AR41" s="3" t="inlineStr">
        <is>
          <t>Ja</t>
        </is>
      </c>
      <c r="AS41" s="3" t="inlineStr">
        <is>
          <t>Gemeindeverwaltung Seelisberg</t>
        </is>
      </c>
      <c r="AT41" s="3" t="inlineStr">
        <is>
          <t>Offen</t>
        </is>
      </c>
      <c r="AU41" s="3" t="inlineStr">
        <is>
          <t>Link defekt – Ersatz recherchieren</t>
        </is>
      </c>
      <c r="AV41" s="3" t="inlineStr"/>
      <c r="AW41" s="3" t="inlineStr">
        <is>
          <t>2026-10-14: neu aufgenommen</t>
        </is>
      </c>
      <c r="AX41" s="3">
        <f>IF(ISNA(MATCH($A41,'Gesamtübersicht'!$A:$A,0)),"ID fehlt in Gesamtübersicht",IF(AND(INDEX('Gesamtübersicht'!$H:$H,MATCH($A41,'Gesamtübersicht'!$A:$A,0))&amp;""=$H41&amp;"",INDEX('Gesamtübersicht'!$M:$M,MATCH($A41,'Gesamtübersicht'!$A:$A,0))&amp;""=$M41&amp;"",INDEX('Gesamtübersicht'!$AD:$AD,MATCH($A41,'Gesamtübersicht'!$A:$A,0))&amp;""=$AD41&amp;"",INDEX('Gesamtübersicht'!$AH:$AH,MATCH($A41,'Gesamtübersicht'!$A:$A,0))&amp;""=$AH41&amp;"",INDEX('Gesamtübersicht'!$T:$T,MATCH($A41,'Gesamtübersicht'!$A:$A,0))&amp;""=$T41&amp;""),"OK","Abweichung – Ansicht neu erzeugen"))</f>
        <v/>
      </c>
    </row>
    <row r="42" ht="43" customHeight="1">
      <c r="A42" s="2" t="inlineStr">
        <is>
          <t>SEE-C5-01</t>
        </is>
      </c>
      <c r="B42" s="15" t="inlineStr">
        <is>
          <t>Gemeinde</t>
        </is>
      </c>
      <c r="C42" s="2" t="inlineStr">
        <is>
          <t>Schweiz</t>
        </is>
      </c>
      <c r="D42" s="2" t="inlineStr">
        <is>
          <t>Uri</t>
        </is>
      </c>
      <c r="E42" s="2" t="inlineStr">
        <is>
          <t>Seelisberg</t>
        </is>
      </c>
      <c r="F42" s="2" t="inlineStr">
        <is>
          <t>C5</t>
        </is>
      </c>
      <c r="G42" s="2" t="inlineStr">
        <is>
          <t>Politische Beschlüsse</t>
        </is>
      </c>
      <c r="H42" s="2" t="inlineStr">
        <is>
          <t>Seelisberg: Gemeindeversammlung und Beschlussprotokolle</t>
        </is>
      </c>
      <c r="I42" s="2" t="inlineStr">
        <is>
          <t>Protokollsammlung</t>
        </is>
      </c>
      <c r="J42" s="2" t="inlineStr">
        <is>
          <t>Offizielle Quelle recherchiert</t>
        </is>
      </c>
      <c r="K42" s="2" t="inlineStr">
        <is>
          <t>Orientierung / Datengrundlage</t>
        </is>
      </c>
      <c r="L42" s="2" t="inlineStr">
        <is>
          <t>Gemeinde Seelisberg</t>
        </is>
      </c>
      <c r="M42" s="5" t="inlineStr">
        <is>
          <t>https://www.seelisberg.ch/politik/gemeindeversammlung</t>
        </is>
      </c>
      <c r="N42" s="2" t="inlineStr">
        <is>
          <t>Zu prüfen</t>
        </is>
      </c>
      <c r="O42" s="2" t="inlineStr">
        <is>
          <t>2026-10-14</t>
        </is>
      </c>
      <c r="P42" s="2" t="inlineStr">
        <is>
          <t>Politische Zuständigkeiten; dokumentierte Ausgabenkompetenzen</t>
        </is>
      </c>
      <c r="Q42" s="2" t="inlineStr">
        <is>
          <t>Mitwirkung, Abstimmungen, Entscheidungsregeln</t>
        </is>
      </c>
      <c r="R42" s="2" t="inlineStr">
        <is>
          <t>Beschlüsse und Gemeindeordnung auswerten</t>
        </is>
      </c>
      <c r="S42" s="2" t="inlineStr">
        <is>
          <t>Qualitativ</t>
        </is>
      </c>
      <c r="T42" s="2" t="inlineStr">
        <is>
          <t>Noch nicht bewertet</t>
        </is>
      </c>
      <c r="U42" s="2" t="inlineStr">
        <is>
          <t>Mittel</t>
        </is>
      </c>
      <c r="V42" s="2" t="inlineStr">
        <is>
          <t>Kennzahlen und Befunde noch extrahieren</t>
        </is>
      </c>
      <c r="W42" s="2" t="inlineStr">
        <is>
          <t>C3; Q1</t>
        </is>
      </c>
      <c r="X42" s="2" t="inlineStr">
        <is>
          <t>Legitimation</t>
        </is>
      </c>
      <c r="Y42" s="2" t="inlineStr">
        <is>
          <t>Dokument auswerten; Aktualität und Geltung prüfen</t>
        </is>
      </c>
      <c r="Z42" s="2" t="inlineStr">
        <is>
          <t>Webrecherche 14.10.2026</t>
        </is>
      </c>
      <c r="AA42" s="2" t="inlineStr"/>
      <c r="AB42" s="2" t="inlineStr"/>
      <c r="AC42" s="2" t="inlineStr"/>
      <c r="AD42" s="2" t="inlineStr">
        <is>
          <t>Verifiziert</t>
        </is>
      </c>
      <c r="AE42" s="2" t="inlineStr">
        <is>
          <t>200</t>
        </is>
      </c>
      <c r="AF42" s="2" t="inlineStr"/>
      <c r="AG42" s="2" t="inlineStr">
        <is>
          <t>HTML</t>
        </is>
      </c>
      <c r="AH42" s="2" t="inlineStr">
        <is>
          <t>Bestätigt</t>
        </is>
      </c>
      <c r="AI42" s="2" t="inlineStr">
        <is>
          <t>Schlüsselwörter 1/1 gefunden (Gemeindeversammlung); Ort/Zuständigkeit: Seelisberg</t>
        </is>
      </c>
      <c r="AJ42" s="2" t="inlineStr">
        <is>
          <t>Gemeinde Seelisberg | Einwohner-Service | Gemeindeversammlung</t>
        </is>
      </c>
      <c r="AK42" s="2" t="inlineStr">
        <is>
          <t>2024, 2023, 2022, 2021, 2025, 2026</t>
        </is>
      </c>
      <c r="AL42" s="2" t="inlineStr">
        <is>
          <t>Mittel (Webseite)</t>
        </is>
      </c>
      <c r="AM42" s="2" t="inlineStr">
        <is>
          <t>2026-10-14 13:53</t>
        </is>
      </c>
      <c r="AN42" s="2" t="inlineStr">
        <is>
          <t>Öffentlich verfügbar und verifiziert</t>
        </is>
      </c>
      <c r="AO42" s="2" t="inlineStr">
        <is>
          <t>Zu prüfen</t>
        </is>
      </c>
      <c r="AP42" s="2" t="inlineStr">
        <is>
          <t>Belegt Existenz und Zugänglichkeit der Quelle; inhaltliche Aussagen erst nach Auswertung.</t>
        </is>
      </c>
      <c r="AQ42" s="2" t="inlineStr">
        <is>
          <t>Keine Einstufung: Kennzahlen/Befunde noch nicht ausgewertet; Schwellen der Bewertungslogik noch nicht validiert.</t>
        </is>
      </c>
      <c r="AR42" s="2" t="inlineStr">
        <is>
          <t>Nein</t>
        </is>
      </c>
      <c r="AS42" s="2" t="inlineStr">
        <is>
          <t>Gemeindeverwaltung Seelisberg</t>
        </is>
      </c>
      <c r="AT42" s="2" t="inlineStr">
        <is>
          <t>In Prüfung</t>
        </is>
      </c>
      <c r="AU42" s="2" t="inlineStr"/>
      <c r="AV42" s="2" t="inlineStr">
        <is>
          <t>SEE-C1-01</t>
        </is>
      </c>
      <c r="AW42" s="2" t="inlineStr"/>
      <c r="AX42" s="2">
        <f>IF(ISNA(MATCH($A42,'Gesamtübersicht'!$A:$A,0)),"ID fehlt in Gesamtübersicht",IF(AND(INDEX('Gesamtübersicht'!$H:$H,MATCH($A42,'Gesamtübersicht'!$A:$A,0))&amp;""=$H42&amp;"",INDEX('Gesamtübersicht'!$M:$M,MATCH($A42,'Gesamtübersicht'!$A:$A,0))&amp;""=$M42&amp;"",INDEX('Gesamtübersicht'!$AD:$AD,MATCH($A42,'Gesamtübersicht'!$A:$A,0))&amp;""=$AD42&amp;"",INDEX('Gesamtübersicht'!$AH:$AH,MATCH($A42,'Gesamtübersicht'!$A:$A,0))&amp;""=$AH42&amp;"",INDEX('Gesamtübersicht'!$T:$T,MATCH($A42,'Gesamtübersicht'!$A:$A,0))&amp;""=$T42&amp;""),"OK","Abweichung – Ansicht neu erzeugen"))</f>
        <v/>
      </c>
    </row>
    <row r="43" ht="43" customHeight="1">
      <c r="A43" s="3" t="inlineStr">
        <is>
          <t>SEE-C5-02</t>
        </is>
      </c>
      <c r="B43" s="15" t="inlineStr">
        <is>
          <t>Gemeinde</t>
        </is>
      </c>
      <c r="C43" s="3" t="inlineStr">
        <is>
          <t>Schweiz</t>
        </is>
      </c>
      <c r="D43" s="3" t="inlineStr">
        <is>
          <t>Uri</t>
        </is>
      </c>
      <c r="E43" s="3" t="inlineStr">
        <is>
          <t>Seelisberg</t>
        </is>
      </c>
      <c r="F43" s="3" t="inlineStr">
        <is>
          <t>C5</t>
        </is>
      </c>
      <c r="G43" s="3" t="inlineStr">
        <is>
          <t>Leitbild</t>
        </is>
      </c>
      <c r="H43" s="3" t="inlineStr">
        <is>
          <t>Gemeinde Seelisberg: Neues Leitbild der Gemeinde (2025)</t>
        </is>
      </c>
      <c r="I43" s="3" t="inlineStr">
        <is>
          <t>Leitbild / Mitteilung</t>
        </is>
      </c>
      <c r="J43" s="3" t="inlineStr">
        <is>
          <t>Webseite</t>
        </is>
      </c>
      <c r="K43" s="3" t="inlineStr">
        <is>
          <t>Politische Zielsetzung</t>
        </is>
      </c>
      <c r="L43" s="3" t="inlineStr">
        <is>
          <t>Gemeinde Seelisberg</t>
        </is>
      </c>
      <c r="M43" s="7" t="inlineStr">
        <is>
          <t>https://www.seelisberg.ch/news/neues-leitbild-der-gemeinde-seelisberg</t>
        </is>
      </c>
      <c r="N43" s="3" t="inlineStr">
        <is>
          <t>2025</t>
        </is>
      </c>
      <c r="O43" s="3" t="inlineStr">
        <is>
          <t>2026-10-14</t>
        </is>
      </c>
      <c r="P43" s="3" t="inlineStr">
        <is>
          <t>Mitwirkungsprozess (Workshop, Umfrage) und Themen; belegt keine Akzeptanz</t>
        </is>
      </c>
      <c r="Q43" s="3" t="inlineStr"/>
      <c r="R43" s="3" t="inlineStr"/>
      <c r="S43" s="3" t="inlineStr">
        <is>
          <t>Kein Peer-Vergleich</t>
        </is>
      </c>
      <c r="T43" s="3" t="inlineStr">
        <is>
          <t>Noch nicht bewertet</t>
        </is>
      </c>
      <c r="U43" s="3" t="inlineStr">
        <is>
          <t>Mittel</t>
        </is>
      </c>
      <c r="V43" s="3" t="inlineStr"/>
      <c r="W43" s="3" t="inlineStr"/>
      <c r="X43" s="3" t="inlineStr"/>
      <c r="Y43" s="3" t="inlineStr">
        <is>
          <t>Dokument auswerten; Aktualität und Geltung prüfen</t>
        </is>
      </c>
      <c r="Z43" s="3" t="inlineStr">
        <is>
          <t>Websuche 14.10.2026 (URL im Suchergebnis gefunden)</t>
        </is>
      </c>
      <c r="AA43" s="3" t="inlineStr"/>
      <c r="AB43" s="3" t="inlineStr"/>
      <c r="AC43" s="7" t="inlineStr">
        <is>
          <t>https://www.seelisberg.ch/ueber-seelisberg/leitbild</t>
        </is>
      </c>
      <c r="AD43" s="3" t="inlineStr">
        <is>
          <t>Verifiziert</t>
        </is>
      </c>
      <c r="AE43" s="3" t="inlineStr">
        <is>
          <t>200</t>
        </is>
      </c>
      <c r="AF43" s="3" t="inlineStr"/>
      <c r="AG43" s="3" t="inlineStr">
        <is>
          <t>HTML</t>
        </is>
      </c>
      <c r="AH43" s="3" t="inlineStr">
        <is>
          <t>Bestätigt</t>
        </is>
      </c>
      <c r="AI43" s="3" t="inlineStr">
        <is>
          <t>Schlüsselwörter 1/1 gefunden (Leitbild); Ort/Zuständigkeit: Seelisberg</t>
        </is>
      </c>
      <c r="AJ43" s="3" t="inlineStr">
        <is>
          <t>Gemeinde Seelisberg | Einwohner-Service | Leitbild der Gemeinde Seelisberg</t>
        </is>
      </c>
      <c r="AK43" s="3" t="inlineStr">
        <is>
          <t>2011, 2025</t>
        </is>
      </c>
      <c r="AL43" s="3" t="inlineStr">
        <is>
          <t>Mittel (Webseite)</t>
        </is>
      </c>
      <c r="AM43" s="3" t="inlineStr">
        <is>
          <t>2026-10-14 13:54</t>
        </is>
      </c>
      <c r="AN43" s="3" t="inlineStr">
        <is>
          <t>Öffentlich verfügbar und verifiziert</t>
        </is>
      </c>
      <c r="AO43" s="3" t="inlineStr">
        <is>
          <t>2025</t>
        </is>
      </c>
      <c r="AP43" s="3" t="inlineStr">
        <is>
          <t>Belegt Existenz und Zugänglichkeit der Quelle; inhaltliche Aussagen erst nach Auswertung.</t>
        </is>
      </c>
      <c r="AQ43" s="3" t="inlineStr">
        <is>
          <t>Keine Einstufung: Kennzahlen/Befunde noch nicht ausgewertet; Schwellen der Bewertungslogik noch nicht validiert.</t>
        </is>
      </c>
      <c r="AR43" s="3" t="inlineStr">
        <is>
          <t>Nein</t>
        </is>
      </c>
      <c r="AS43" s="3" t="inlineStr">
        <is>
          <t>Gemeindeverwaltung Seelisberg</t>
        </is>
      </c>
      <c r="AT43" s="3" t="inlineStr">
        <is>
          <t>In Prüfung</t>
        </is>
      </c>
      <c r="AU43" s="3" t="inlineStr"/>
      <c r="AV43" s="3" t="inlineStr"/>
      <c r="AW43" s="3" t="inlineStr">
        <is>
          <t>2026-10-14: neu aufgenommen</t>
        </is>
      </c>
      <c r="AX43" s="3">
        <f>IF(ISNA(MATCH($A43,'Gesamtübersicht'!$A:$A,0)),"ID fehlt in Gesamtübersicht",IF(AND(INDEX('Gesamtübersicht'!$H:$H,MATCH($A43,'Gesamtübersicht'!$A:$A,0))&amp;""=$H43&amp;"",INDEX('Gesamtübersicht'!$M:$M,MATCH($A43,'Gesamtübersicht'!$A:$A,0))&amp;""=$M43&amp;"",INDEX('Gesamtübersicht'!$AD:$AD,MATCH($A43,'Gesamtübersicht'!$A:$A,0))&amp;""=$AD43&amp;"",INDEX('Gesamtübersicht'!$AH:$AH,MATCH($A43,'Gesamtübersicht'!$A:$A,0))&amp;""=$AH43&amp;"",INDEX('Gesamtübersicht'!$T:$T,MATCH($A43,'Gesamtübersicht'!$A:$A,0))&amp;""=$T43&amp;""),"OK","Abweichung – Ansicht neu erzeugen"))</f>
        <v/>
      </c>
    </row>
    <row r="44" ht="43" customHeight="1">
      <c r="A44" s="2" t="inlineStr">
        <is>
          <t>SEE-C5-03</t>
        </is>
      </c>
      <c r="B44" s="15" t="inlineStr">
        <is>
          <t>Gemeinde</t>
        </is>
      </c>
      <c r="C44" s="2" t="inlineStr">
        <is>
          <t>Schweiz</t>
        </is>
      </c>
      <c r="D44" s="2" t="inlineStr">
        <is>
          <t>Uri</t>
        </is>
      </c>
      <c r="E44" s="2" t="inlineStr">
        <is>
          <t>Seelisberg</t>
        </is>
      </c>
      <c r="F44" s="2" t="inlineStr">
        <is>
          <t>C5</t>
        </is>
      </c>
      <c r="G44" s="2" t="inlineStr">
        <is>
          <t>Beschlussprotokoll</t>
        </is>
      </c>
      <c r="H44" s="2" t="inlineStr">
        <is>
          <t>Beschlussprotokoll Gemeindeversammlung Seelisberg vom 24.11.2023</t>
        </is>
      </c>
      <c r="I44" s="2" t="inlineStr">
        <is>
          <t>Protokoll</t>
        </is>
      </c>
      <c r="J44" s="2" t="inlineStr">
        <is>
          <t>Direktes Dokument</t>
        </is>
      </c>
      <c r="K44" s="2" t="inlineStr">
        <is>
          <t>Beschluss (verbindlich)</t>
        </is>
      </c>
      <c r="L44" s="2" t="inlineStr">
        <is>
          <t>Gemeinde Seelisberg</t>
        </is>
      </c>
      <c r="M44" s="5" t="inlineStr">
        <is>
          <t>https://www.seelisberg.ch/files/pdf/Beschlussprotokoll_GV_24.11.2023.pdf</t>
        </is>
      </c>
      <c r="N44" s="2" t="inlineStr">
        <is>
          <t>2023</t>
        </is>
      </c>
      <c r="O44" s="2" t="inlineStr">
        <is>
          <t>2026-10-14</t>
        </is>
      </c>
      <c r="P44" s="2" t="inlineStr">
        <is>
          <t>Dokumentierte Beschlüsse/Wahlen</t>
        </is>
      </c>
      <c r="Q44" s="2" t="inlineStr"/>
      <c r="R44" s="2" t="inlineStr"/>
      <c r="S44" s="2" t="inlineStr">
        <is>
          <t>Kein Peer-Vergleich</t>
        </is>
      </c>
      <c r="T44" s="2" t="inlineStr">
        <is>
          <t>Noch nicht bewertet</t>
        </is>
      </c>
      <c r="U44" s="2" t="inlineStr">
        <is>
          <t>Hoch</t>
        </is>
      </c>
      <c r="V44" s="2" t="inlineStr"/>
      <c r="W44" s="2" t="inlineStr"/>
      <c r="X44" s="2" t="inlineStr"/>
      <c r="Y44" s="2" t="inlineStr">
        <is>
          <t>Dokument auswerten; Aktualität und Geltung prüfen</t>
        </is>
      </c>
      <c r="Z44" s="2" t="inlineStr">
        <is>
          <t>Websuche 14.10.2026 (URL im Suchergebnis gefunden)</t>
        </is>
      </c>
      <c r="AA44" s="2" t="inlineStr"/>
      <c r="AB44" s="2" t="inlineStr"/>
      <c r="AC44" s="5" t="inlineStr">
        <is>
          <t>https://www.seelisberg.ch/politik/gemeindeversammlung</t>
        </is>
      </c>
      <c r="AD44" s="2" t="inlineStr">
        <is>
          <t>Verifiziert</t>
        </is>
      </c>
      <c r="AE44" s="2" t="inlineStr">
        <is>
          <t>200</t>
        </is>
      </c>
      <c r="AF44" s="2" t="inlineStr"/>
      <c r="AG44" s="2" t="inlineStr">
        <is>
          <t>PDF</t>
        </is>
      </c>
      <c r="AH44" s="2" t="inlineStr">
        <is>
          <t>Bestätigt</t>
        </is>
      </c>
      <c r="AI44" s="2" t="inlineStr">
        <is>
          <t>Schlüsselwörter 1/1 gefunden (Beschluss); Ort/Zuständigkeit: Seelisberg</t>
        </is>
      </c>
      <c r="AJ44" s="2" t="inlineStr">
        <is>
          <t>'GEMEINDESEELISBERG</t>
        </is>
      </c>
      <c r="AK44" s="2" t="inlineStr">
        <is>
          <t>2024, 2023</t>
        </is>
      </c>
      <c r="AL44" s="2" t="inlineStr">
        <is>
          <t>Mittel (CMS-Dokumentlink)</t>
        </is>
      </c>
      <c r="AM44" s="2" t="inlineStr">
        <is>
          <t>2026-10-14 13:54</t>
        </is>
      </c>
      <c r="AN44" s="2" t="inlineStr">
        <is>
          <t>Öffentlich verfügbar und verifiziert</t>
        </is>
      </c>
      <c r="AO44" s="2" t="inlineStr">
        <is>
          <t>2023</t>
        </is>
      </c>
      <c r="AP44" s="2" t="inlineStr">
        <is>
          <t>Belegt Existenz und Zugänglichkeit der Quelle; inhaltliche Aussagen erst nach Auswertung.</t>
        </is>
      </c>
      <c r="AQ44" s="2" t="inlineStr">
        <is>
          <t>Keine Einstufung: Kennzahlen/Befunde noch nicht ausgewertet; Schwellen der Bewertungslogik noch nicht validiert.</t>
        </is>
      </c>
      <c r="AR44" s="2" t="inlineStr">
        <is>
          <t>Nein</t>
        </is>
      </c>
      <c r="AS44" s="2" t="inlineStr">
        <is>
          <t>Gemeindeverwaltung Seelisberg</t>
        </is>
      </c>
      <c r="AT44" s="2" t="inlineStr">
        <is>
          <t>In Prüfung</t>
        </is>
      </c>
      <c r="AU44" s="2" t="inlineStr">
        <is>
          <t>Neuere Protokolle (28.5.2025, 28.11.2025) auf der Fundstelle gelistet; direkter Link per Discovery suchen.</t>
        </is>
      </c>
      <c r="AV44" s="2" t="inlineStr"/>
      <c r="AW44" s="2" t="inlineStr">
        <is>
          <t>2026-10-14: neu aufgenommen</t>
        </is>
      </c>
      <c r="AX44" s="2">
        <f>IF(ISNA(MATCH($A44,'Gesamtübersicht'!$A:$A,0)),"ID fehlt in Gesamtübersicht",IF(AND(INDEX('Gesamtübersicht'!$H:$H,MATCH($A44,'Gesamtübersicht'!$A:$A,0))&amp;""=$H44&amp;"",INDEX('Gesamtübersicht'!$M:$M,MATCH($A44,'Gesamtübersicht'!$A:$A,0))&amp;""=$M44&amp;"",INDEX('Gesamtübersicht'!$AD:$AD,MATCH($A44,'Gesamtübersicht'!$A:$A,0))&amp;""=$AD44&amp;"",INDEX('Gesamtübersicht'!$AH:$AH,MATCH($A44,'Gesamtübersicht'!$A:$A,0))&amp;""=$AH44&amp;"",INDEX('Gesamtübersicht'!$T:$T,MATCH($A44,'Gesamtübersicht'!$A:$A,0))&amp;""=$T44&amp;""),"OK","Abweichung – Ansicht neu erzeugen"))</f>
        <v/>
      </c>
    </row>
    <row r="45" ht="43" customHeight="1">
      <c r="A45" s="3" t="inlineStr">
        <is>
          <t>SEE-C5-04</t>
        </is>
      </c>
      <c r="B45" s="15" t="inlineStr">
        <is>
          <t>Gemeinde</t>
        </is>
      </c>
      <c r="C45" s="3" t="inlineStr">
        <is>
          <t>Schweiz</t>
        </is>
      </c>
      <c r="D45" s="3" t="inlineStr">
        <is>
          <t>Uri</t>
        </is>
      </c>
      <c r="E45" s="3" t="inlineStr">
        <is>
          <t>Seelisberg</t>
        </is>
      </c>
      <c r="F45" s="3" t="inlineStr">
        <is>
          <t>C5</t>
        </is>
      </c>
      <c r="G45" s="3" t="inlineStr">
        <is>
          <t>Beschlussprotokoll</t>
        </is>
      </c>
      <c r="H45" s="3" t="inlineStr">
        <is>
          <t>Beschlussprotokoll Gemeindeversammlung Seelisberg vom 28.11.2025</t>
        </is>
      </c>
      <c r="I45" s="3" t="inlineStr">
        <is>
          <t>Protokoll</t>
        </is>
      </c>
      <c r="J45" s="3" t="inlineStr">
        <is>
          <t>Direktes Dokument</t>
        </is>
      </c>
      <c r="K45" s="3" t="inlineStr">
        <is>
          <t>Beschluss (verbindlich)</t>
        </is>
      </c>
      <c r="L45" s="3" t="inlineStr">
        <is>
          <t>Gemeinde Seelisberg</t>
        </is>
      </c>
      <c r="M45" s="7" t="inlineStr">
        <is>
          <t>https://www.seelisberg.ch/files/pdf/Beschlussprotokoll_GV_28.11.2025.pdf</t>
        </is>
      </c>
      <c r="N45" s="3" t="inlineStr">
        <is>
          <t>2025</t>
        </is>
      </c>
      <c r="O45" s="3" t="inlineStr">
        <is>
          <t>2026-10-14</t>
        </is>
      </c>
      <c r="P45" s="3" t="inlineStr">
        <is>
          <t>Beschlüsse Budget 2026, Leitbild, Verordnungen</t>
        </is>
      </c>
      <c r="Q45" s="3" t="inlineStr"/>
      <c r="R45" s="3" t="inlineStr"/>
      <c r="S45" s="3" t="inlineStr">
        <is>
          <t>Kein Peer-Vergleich</t>
        </is>
      </c>
      <c r="T45" s="3" t="inlineStr">
        <is>
          <t>Noch nicht bewertet</t>
        </is>
      </c>
      <c r="U45" s="3" t="inlineStr">
        <is>
          <t>Hoch</t>
        </is>
      </c>
      <c r="V45" s="3" t="inlineStr"/>
      <c r="W45" s="3" t="inlineStr"/>
      <c r="X45" s="3" t="inlineStr"/>
      <c r="Y45" s="3" t="inlineStr">
        <is>
          <t>Dokument auswerten; Aktualität und Geltung prüfen</t>
        </is>
      </c>
      <c r="Z45" s="3" t="inlineStr">
        <is>
          <t>Automatische Recherche GitHub Actions (Discovery), Fundstelle siehe Spalte Offizielle Fundstelle</t>
        </is>
      </c>
      <c r="AA45" s="3" t="inlineStr">
        <is>
          <t>C1</t>
        </is>
      </c>
      <c r="AB45" s="3" t="inlineStr"/>
      <c r="AC45" s="7" t="inlineStr">
        <is>
          <t>https://www.seelisberg.ch/politik/gemeindeversammlung</t>
        </is>
      </c>
      <c r="AD45" s="3" t="inlineStr">
        <is>
          <t>Verifiziert</t>
        </is>
      </c>
      <c r="AE45" s="3" t="inlineStr">
        <is>
          <t>200</t>
        </is>
      </c>
      <c r="AF45" s="3" t="inlineStr"/>
      <c r="AG45" s="3" t="inlineStr">
        <is>
          <t>PDF</t>
        </is>
      </c>
      <c r="AH45" s="3" t="inlineStr">
        <is>
          <t>Bestätigt</t>
        </is>
      </c>
      <c r="AI45" s="3" t="inlineStr">
        <is>
          <t>Schlüsselwörter 1/1 gefunden (Beschluss); Ort/Zuständigkeit: Seelisberg</t>
        </is>
      </c>
      <c r="AJ45" s="3" t="inlineStr">
        <is>
          <t>(‚LHEIWDESLLLISBERG</t>
        </is>
      </c>
      <c r="AK45" s="3" t="inlineStr">
        <is>
          <t>2024, 2025, 2026</t>
        </is>
      </c>
      <c r="AL45" s="3" t="inlineStr">
        <is>
          <t>Mittel (CMS-Dokumentlink)</t>
        </is>
      </c>
      <c r="AM45" s="3" t="inlineStr">
        <is>
          <t>2026-10-14 13:55</t>
        </is>
      </c>
      <c r="AN45" s="3" t="inlineStr">
        <is>
          <t>Öffentlich verfügbar und verifiziert</t>
        </is>
      </c>
      <c r="AO45" s="3" t="inlineStr">
        <is>
          <t>2025</t>
        </is>
      </c>
      <c r="AP45" s="3" t="inlineStr">
        <is>
          <t>Belegt Existenz und Zugänglichkeit der Quelle; inhaltliche Aussagen erst nach Auswertung.</t>
        </is>
      </c>
      <c r="AQ45" s="3" t="inlineStr">
        <is>
          <t>Keine Einstufung: Kennzahlen/Befunde noch nicht ausgewertet; Schwellen der Bewertungslogik noch nicht validiert.</t>
        </is>
      </c>
      <c r="AR45" s="3" t="inlineStr">
        <is>
          <t>Nein</t>
        </is>
      </c>
      <c r="AS45" s="3" t="inlineStr">
        <is>
          <t>Gemeindeverwaltung Seelisberg</t>
        </is>
      </c>
      <c r="AT45" s="3" t="inlineStr">
        <is>
          <t>In Prüfung</t>
        </is>
      </c>
      <c r="AU45" s="3" t="inlineStr"/>
      <c r="AV45" s="3" t="inlineStr"/>
      <c r="AW45" s="3" t="inlineStr">
        <is>
          <t>2026-10-14: neu aufgenommen</t>
        </is>
      </c>
      <c r="AX45" s="3">
        <f>IF(ISNA(MATCH($A45,'Gesamtübersicht'!$A:$A,0)),"ID fehlt in Gesamtübersicht",IF(AND(INDEX('Gesamtübersicht'!$H:$H,MATCH($A45,'Gesamtübersicht'!$A:$A,0))&amp;""=$H45&amp;"",INDEX('Gesamtübersicht'!$M:$M,MATCH($A45,'Gesamtübersicht'!$A:$A,0))&amp;""=$M45&amp;"",INDEX('Gesamtübersicht'!$AD:$AD,MATCH($A45,'Gesamtübersicht'!$A:$A,0))&amp;""=$AD45&amp;"",INDEX('Gesamtübersicht'!$AH:$AH,MATCH($A45,'Gesamtübersicht'!$A:$A,0))&amp;""=$AH45&amp;"",INDEX('Gesamtübersicht'!$T:$T,MATCH($A45,'Gesamtübersicht'!$A:$A,0))&amp;""=$T45&amp;""),"OK","Abweichung – Ansicht neu erzeugen"))</f>
        <v/>
      </c>
    </row>
    <row r="46" ht="43" customHeight="1">
      <c r="A46" s="2" t="inlineStr">
        <is>
          <t>SEE-C5-05</t>
        </is>
      </c>
      <c r="B46" s="15" t="inlineStr">
        <is>
          <t>Gemeinde</t>
        </is>
      </c>
      <c r="C46" s="2" t="inlineStr">
        <is>
          <t>Schweiz</t>
        </is>
      </c>
      <c r="D46" s="2" t="inlineStr">
        <is>
          <t>Uri</t>
        </is>
      </c>
      <c r="E46" s="2" t="inlineStr">
        <is>
          <t>Seelisberg</t>
        </is>
      </c>
      <c r="F46" s="2" t="inlineStr">
        <is>
          <t>C5</t>
        </is>
      </c>
      <c r="G46" s="2" t="inlineStr">
        <is>
          <t>Beschlussprotokoll</t>
        </is>
      </c>
      <c r="H46" s="2" t="inlineStr">
        <is>
          <t>Beschlussprotokoll Gemeindeversammlung Seelisberg vom 28.5.2025</t>
        </is>
      </c>
      <c r="I46" s="2" t="inlineStr">
        <is>
          <t>Protokoll</t>
        </is>
      </c>
      <c r="J46" s="2" t="inlineStr">
        <is>
          <t>Direktes Dokument</t>
        </is>
      </c>
      <c r="K46" s="2" t="inlineStr">
        <is>
          <t>Beschluss (verbindlich)</t>
        </is>
      </c>
      <c r="L46" s="2" t="inlineStr">
        <is>
          <t>Gemeinde Seelisberg</t>
        </is>
      </c>
      <c r="M46" s="5" t="inlineStr">
        <is>
          <t>https://www.seelisberg.ch/files/pdf/Beschlussprotokoll-GV-Mai-2025.pdf</t>
        </is>
      </c>
      <c r="N46" s="2" t="inlineStr">
        <is>
          <t>2025</t>
        </is>
      </c>
      <c r="O46" s="2" t="inlineStr">
        <is>
          <t>2026-10-14</t>
        </is>
      </c>
      <c r="P46" s="2" t="inlineStr">
        <is>
          <t>Beschluss Jahresrechnung 2024 (44 Stimmberechtigte anwesend)</t>
        </is>
      </c>
      <c r="Q46" s="2" t="inlineStr"/>
      <c r="R46" s="2" t="inlineStr"/>
      <c r="S46" s="2" t="inlineStr">
        <is>
          <t>Kein Peer-Vergleich</t>
        </is>
      </c>
      <c r="T46" s="2" t="inlineStr">
        <is>
          <t>Noch nicht bewertet</t>
        </is>
      </c>
      <c r="U46" s="2" t="inlineStr">
        <is>
          <t>Hoch</t>
        </is>
      </c>
      <c r="V46" s="2" t="inlineStr"/>
      <c r="W46" s="2" t="inlineStr"/>
      <c r="X46" s="2" t="inlineStr"/>
      <c r="Y46" s="2" t="inlineStr">
        <is>
          <t>Dokument auswerten; Aktualität und Geltung prüfen</t>
        </is>
      </c>
      <c r="Z46" s="2" t="inlineStr">
        <is>
          <t>Automatische Recherche GitHub Actions (Discovery), Fundstelle siehe Spalte Offizielle Fundstelle</t>
        </is>
      </c>
      <c r="AA46" s="2" t="inlineStr">
        <is>
          <t>C1</t>
        </is>
      </c>
      <c r="AB46" s="2" t="inlineStr"/>
      <c r="AC46" s="5" t="inlineStr">
        <is>
          <t>https://www.seelisberg.ch/politik/gemeindeversammlung</t>
        </is>
      </c>
      <c r="AD46" s="2" t="inlineStr">
        <is>
          <t>Verifiziert</t>
        </is>
      </c>
      <c r="AE46" s="2" t="inlineStr">
        <is>
          <t>200</t>
        </is>
      </c>
      <c r="AF46" s="2" t="inlineStr"/>
      <c r="AG46" s="2" t="inlineStr">
        <is>
          <t>PDF</t>
        </is>
      </c>
      <c r="AH46" s="2" t="inlineStr">
        <is>
          <t>Bestätigt</t>
        </is>
      </c>
      <c r="AI46" s="2" t="inlineStr">
        <is>
          <t>Schlüsselwörter 2/2 gefunden (Beschluss, 28. Mai 2025); Ort/Zuständigkeit: Seeusberg</t>
        </is>
      </c>
      <c r="AJ46" s="2" t="inlineStr">
        <is>
          <t>GEMEINDESEEUSBERG</t>
        </is>
      </c>
      <c r="AK46" s="2" t="inlineStr">
        <is>
          <t>2024, 2025</t>
        </is>
      </c>
      <c r="AL46" s="2" t="inlineStr">
        <is>
          <t>Mittel (CMS-Dokumentlink)</t>
        </is>
      </c>
      <c r="AM46" s="2" t="inlineStr">
        <is>
          <t>2026-10-14 13:55</t>
        </is>
      </c>
      <c r="AN46" s="2" t="inlineStr">
        <is>
          <t>Öffentlich verfügbar und verifiziert</t>
        </is>
      </c>
      <c r="AO46" s="2" t="inlineStr">
        <is>
          <t>2025</t>
        </is>
      </c>
      <c r="AP46" s="2" t="inlineStr">
        <is>
          <t>Belegt Existenz und Zugänglichkeit der Quelle; inhaltliche Aussagen erst nach Auswertung.</t>
        </is>
      </c>
      <c r="AQ46" s="2" t="inlineStr">
        <is>
          <t>Keine Einstufung: Kennzahlen/Befunde noch nicht ausgewertet; Schwellen der Bewertungslogik noch nicht validiert.</t>
        </is>
      </c>
      <c r="AR46" s="2" t="inlineStr">
        <is>
          <t>Nein</t>
        </is>
      </c>
      <c r="AS46" s="2" t="inlineStr">
        <is>
          <t>Gemeindeverwaltung Seelisberg</t>
        </is>
      </c>
      <c r="AT46" s="2" t="inlineStr">
        <is>
          <t>In Prüfung</t>
        </is>
      </c>
      <c r="AU46" s="2" t="inlineStr">
        <is>
          <t>Textextraktion liest den Kopf als «GEMEINDESEEUSBERG» (Schriftbild); Ortsabgleich toleriert diese Lesart.</t>
        </is>
      </c>
      <c r="AV46" s="2" t="inlineStr"/>
      <c r="AW46" s="2" t="inlineStr">
        <is>
          <t>2026-10-14: neu aufgenommen</t>
        </is>
      </c>
      <c r="AX46" s="2">
        <f>IF(ISNA(MATCH($A46,'Gesamtübersicht'!$A:$A,0)),"ID fehlt in Gesamtübersicht",IF(AND(INDEX('Gesamtübersicht'!$H:$H,MATCH($A46,'Gesamtübersicht'!$A:$A,0))&amp;""=$H46&amp;"",INDEX('Gesamtübersicht'!$M:$M,MATCH($A46,'Gesamtübersicht'!$A:$A,0))&amp;""=$M46&amp;"",INDEX('Gesamtübersicht'!$AD:$AD,MATCH($A46,'Gesamtübersicht'!$A:$A,0))&amp;""=$AD46&amp;"",INDEX('Gesamtübersicht'!$AH:$AH,MATCH($A46,'Gesamtübersicht'!$A:$A,0))&amp;""=$AH46&amp;"",INDEX('Gesamtübersicht'!$T:$T,MATCH($A46,'Gesamtübersicht'!$A:$A,0))&amp;""=$T46&amp;""),"OK","Abweichung – Ansicht neu erzeugen"))</f>
        <v/>
      </c>
    </row>
    <row r="47" ht="43" customHeight="1">
      <c r="A47" s="3" t="inlineStr">
        <is>
          <t>SEE-C5-06</t>
        </is>
      </c>
      <c r="B47" s="15" t="inlineStr">
        <is>
          <t>Gemeinde</t>
        </is>
      </c>
      <c r="C47" s="3" t="inlineStr">
        <is>
          <t>Schweiz</t>
        </is>
      </c>
      <c r="D47" s="3" t="inlineStr">
        <is>
          <t>Uri</t>
        </is>
      </c>
      <c r="E47" s="3" t="inlineStr">
        <is>
          <t>Seelisberg</t>
        </is>
      </c>
      <c r="F47" s="3" t="inlineStr">
        <is>
          <t>C5</t>
        </is>
      </c>
      <c r="G47" s="3" t="inlineStr">
        <is>
          <t>Leitbild</t>
        </is>
      </c>
      <c r="H47" s="3" t="inlineStr">
        <is>
          <t>Leitbild Seelisberg 2025 (Dokument)</t>
        </is>
      </c>
      <c r="I47" s="3" t="inlineStr">
        <is>
          <t>Leitbild</t>
        </is>
      </c>
      <c r="J47" s="3" t="inlineStr">
        <is>
          <t>Direktes Dokument</t>
        </is>
      </c>
      <c r="K47" s="3" t="inlineStr">
        <is>
          <t>Politische Zielsetzung</t>
        </is>
      </c>
      <c r="L47" s="3" t="inlineStr">
        <is>
          <t>Gemeinde Seelisberg</t>
        </is>
      </c>
      <c r="M47" s="7" t="inlineStr">
        <is>
          <t>https://www.seelisberg.ch/files/pdf/ORIGINAL-Leitbild-Seelisberg-2025-f%C3%BCr-Webseite.pdf</t>
        </is>
      </c>
      <c r="N47" s="3" t="inlineStr">
        <is>
          <t>2025</t>
        </is>
      </c>
      <c r="O47" s="3" t="inlineStr">
        <is>
          <t>2026-10-14</t>
        </is>
      </c>
      <c r="P47" s="3" t="inlineStr">
        <is>
          <t>Strategische Ziele (Wohnen, Tourismus, Finanzen); belegt keine Akzeptanz</t>
        </is>
      </c>
      <c r="Q47" s="3" t="inlineStr"/>
      <c r="R47" s="3" t="inlineStr"/>
      <c r="S47" s="3" t="inlineStr">
        <is>
          <t>Kein Peer-Vergleich</t>
        </is>
      </c>
      <c r="T47" s="3" t="inlineStr">
        <is>
          <t>Noch nicht bewertet</t>
        </is>
      </c>
      <c r="U47" s="3" t="inlineStr">
        <is>
          <t>Hoch</t>
        </is>
      </c>
      <c r="V47" s="3" t="inlineStr"/>
      <c r="W47" s="3" t="inlineStr"/>
      <c r="X47" s="3" t="inlineStr"/>
      <c r="Y47" s="3" t="inlineStr">
        <is>
          <t>Dokument auswerten; Aktualität und Geltung prüfen</t>
        </is>
      </c>
      <c r="Z47" s="3" t="inlineStr">
        <is>
          <t>Automatische Recherche GitHub Actions (Discovery), Fundstelle siehe Spalte Offizielle Fundstelle</t>
        </is>
      </c>
      <c r="AA47" s="3" t="inlineStr"/>
      <c r="AB47" s="3" t="inlineStr"/>
      <c r="AC47" s="7" t="inlineStr">
        <is>
          <t>https://www.seelisberg.ch/ueber-seelisberg/leitbild</t>
        </is>
      </c>
      <c r="AD47" s="3" t="inlineStr">
        <is>
          <t>Verifiziert</t>
        </is>
      </c>
      <c r="AE47" s="3" t="inlineStr">
        <is>
          <t>200</t>
        </is>
      </c>
      <c r="AF47" s="3" t="inlineStr"/>
      <c r="AG47" s="3" t="inlineStr">
        <is>
          <t>PDF</t>
        </is>
      </c>
      <c r="AH47" s="3" t="inlineStr">
        <is>
          <t>Bestätigt</t>
        </is>
      </c>
      <c r="AI47" s="3" t="inlineStr">
        <is>
          <t>Schlüsselwörter 1/1 gefunden (Leitbild); Ort/Zuständigkeit: Seelisberg</t>
        </is>
      </c>
      <c r="AJ47" s="3" t="inlineStr">
        <is>
          <t>Leitbild Seelisberg.indd</t>
        </is>
      </c>
      <c r="AK47" s="3" t="inlineStr">
        <is>
          <t>2025</t>
        </is>
      </c>
      <c r="AL47" s="3" t="inlineStr">
        <is>
          <t>Mittel (CMS-Dokumentlink)</t>
        </is>
      </c>
      <c r="AM47" s="3" t="inlineStr">
        <is>
          <t>2026-10-14 13:55</t>
        </is>
      </c>
      <c r="AN47" s="3" t="inlineStr">
        <is>
          <t>Öffentlich verfügbar und verifiziert</t>
        </is>
      </c>
      <c r="AO47" s="3" t="inlineStr">
        <is>
          <t>2025</t>
        </is>
      </c>
      <c r="AP47" s="3" t="inlineStr">
        <is>
          <t>Belegt Existenz und Zugänglichkeit der Quelle; inhaltliche Aussagen erst nach Auswertung.</t>
        </is>
      </c>
      <c r="AQ47" s="3" t="inlineStr">
        <is>
          <t>Keine Einstufung: Kennzahlen/Befunde noch nicht ausgewertet; Schwellen der Bewertungslogik noch nicht validiert.</t>
        </is>
      </c>
      <c r="AR47" s="3" t="inlineStr">
        <is>
          <t>Nein</t>
        </is>
      </c>
      <c r="AS47" s="3" t="inlineStr">
        <is>
          <t>Gemeindeverwaltung Seelisberg</t>
        </is>
      </c>
      <c r="AT47" s="3" t="inlineStr">
        <is>
          <t>In Prüfung</t>
        </is>
      </c>
      <c r="AU47" s="3" t="inlineStr"/>
      <c r="AV47" s="3" t="inlineStr"/>
      <c r="AW47" s="3" t="inlineStr">
        <is>
          <t>2026-10-14: neu aufgenommen</t>
        </is>
      </c>
      <c r="AX47" s="3">
        <f>IF(ISNA(MATCH($A47,'Gesamtübersicht'!$A:$A,0)),"ID fehlt in Gesamtübersicht",IF(AND(INDEX('Gesamtübersicht'!$H:$H,MATCH($A47,'Gesamtübersicht'!$A:$A,0))&amp;""=$H47&amp;"",INDEX('Gesamtübersicht'!$M:$M,MATCH($A47,'Gesamtübersicht'!$A:$A,0))&amp;""=$M47&amp;"",INDEX('Gesamtübersicht'!$AD:$AD,MATCH($A47,'Gesamtübersicht'!$A:$A,0))&amp;""=$AD47&amp;"",INDEX('Gesamtübersicht'!$AH:$AH,MATCH($A47,'Gesamtübersicht'!$A:$A,0))&amp;""=$AH47&amp;"",INDEX('Gesamtübersicht'!$T:$T,MATCH($A47,'Gesamtübersicht'!$A:$A,0))&amp;""=$T47&amp;""),"OK","Abweichung – Ansicht neu erzeugen"))</f>
        <v/>
      </c>
    </row>
    <row r="48" ht="43" customHeight="1">
      <c r="A48" s="2" t="inlineStr">
        <is>
          <t>SEE-C5-07</t>
        </is>
      </c>
      <c r="B48" s="15" t="inlineStr">
        <is>
          <t>Gemeinde</t>
        </is>
      </c>
      <c r="C48" s="2" t="inlineStr">
        <is>
          <t>Schweiz</t>
        </is>
      </c>
      <c r="D48" s="2" t="inlineStr">
        <is>
          <t>Uri</t>
        </is>
      </c>
      <c r="E48" s="2" t="inlineStr">
        <is>
          <t>Seelisberg</t>
        </is>
      </c>
      <c r="F48" s="2" t="inlineStr">
        <is>
          <t>C5</t>
        </is>
      </c>
      <c r="G48" s="2" t="inlineStr">
        <is>
          <t>Abstimmung</t>
        </is>
      </c>
      <c r="H48" s="2" t="inlineStr">
        <is>
          <t>Kommunale Abstimmung Seelisberg vom 8.3.2026 (Unterlage)</t>
        </is>
      </c>
      <c r="I48" s="2" t="inlineStr">
        <is>
          <t>Abstimmungsunterlage</t>
        </is>
      </c>
      <c r="J48" s="2" t="inlineStr">
        <is>
          <t>Direktes Dokument</t>
        </is>
      </c>
      <c r="K48" s="2" t="inlineStr">
        <is>
          <t>Information</t>
        </is>
      </c>
      <c r="L48" s="2" t="inlineStr">
        <is>
          <t>Gemeinde Seelisberg</t>
        </is>
      </c>
      <c r="M48" s="5" t="inlineStr">
        <is>
          <t>https://www.seelisberg.ch/files/pdf/kommunale-Abstimmung-Seelisberg_260308.pdf</t>
        </is>
      </c>
      <c r="N48" s="2" t="inlineStr">
        <is>
          <t>2026</t>
        </is>
      </c>
      <c r="O48" s="2" t="inlineStr">
        <is>
          <t>2026-10-14</t>
        </is>
      </c>
      <c r="P48" s="2" t="inlineStr">
        <is>
          <t>Kommunale Urnenentscheide (Legitimation)</t>
        </is>
      </c>
      <c r="Q48" s="2" t="inlineStr"/>
      <c r="R48" s="2" t="inlineStr"/>
      <c r="S48" s="2" t="inlineStr">
        <is>
          <t>Kein Peer-Vergleich</t>
        </is>
      </c>
      <c r="T48" s="2" t="inlineStr">
        <is>
          <t>Noch nicht bewertet</t>
        </is>
      </c>
      <c r="U48" s="2" t="inlineStr">
        <is>
          <t>Mittel</t>
        </is>
      </c>
      <c r="V48" s="2" t="inlineStr"/>
      <c r="W48" s="2" t="inlineStr"/>
      <c r="X48" s="2" t="inlineStr"/>
      <c r="Y48" s="2" t="inlineStr">
        <is>
          <t>Dokument auswerten; Aktualität und Geltung prüfen</t>
        </is>
      </c>
      <c r="Z48" s="2" t="inlineStr">
        <is>
          <t>Automatische Recherche GitHub Actions (Discovery), Fundstelle siehe Spalte Offizielle Fundstelle</t>
        </is>
      </c>
      <c r="AA48" s="2" t="inlineStr"/>
      <c r="AB48" s="2" t="inlineStr"/>
      <c r="AC48" s="5" t="inlineStr">
        <is>
          <t>https://www.seelisberg.ch/politik/abstimmungen-wahlen</t>
        </is>
      </c>
      <c r="AD48" s="2" t="inlineStr">
        <is>
          <t>Verifiziert</t>
        </is>
      </c>
      <c r="AE48" s="2" t="inlineStr">
        <is>
          <t>200</t>
        </is>
      </c>
      <c r="AF48" s="2" t="inlineStr"/>
      <c r="AG48" s="2" t="inlineStr">
        <is>
          <t>PDF</t>
        </is>
      </c>
      <c r="AH48" s="2" t="inlineStr">
        <is>
          <t>Bestätigt</t>
        </is>
      </c>
      <c r="AI48" s="2" t="inlineStr">
        <is>
          <t>Schlüsselwörter 1/1 gefunden (Abstimmung); Ort/Zuständigkeit: Seelisberg</t>
        </is>
      </c>
      <c r="AJ48" s="2" t="inlineStr">
        <is>
          <t>Seelisberg KANTON</t>
        </is>
      </c>
      <c r="AK48" s="2" t="inlineStr">
        <is>
          <t>2026</t>
        </is>
      </c>
      <c r="AL48" s="2" t="inlineStr">
        <is>
          <t>Mittel (CMS-Dokumentlink)</t>
        </is>
      </c>
      <c r="AM48" s="2" t="inlineStr">
        <is>
          <t>2026-10-14 13:55</t>
        </is>
      </c>
      <c r="AN48" s="2" t="inlineStr">
        <is>
          <t>Öffentlich verfügbar und verifiziert</t>
        </is>
      </c>
      <c r="AO48" s="2" t="inlineStr">
        <is>
          <t>2026</t>
        </is>
      </c>
      <c r="AP48" s="2" t="inlineStr">
        <is>
          <t>Belegt Existenz und Zugänglichkeit der Quelle; inhaltliche Aussagen erst nach Auswertung.</t>
        </is>
      </c>
      <c r="AQ48" s="2" t="inlineStr">
        <is>
          <t>Keine Einstufung: Kennzahlen/Befunde noch nicht ausgewertet; Schwellen der Bewertungslogik noch nicht validiert.</t>
        </is>
      </c>
      <c r="AR48" s="2" t="inlineStr">
        <is>
          <t>Nein</t>
        </is>
      </c>
      <c r="AS48" s="2" t="inlineStr">
        <is>
          <t>Gemeindeverwaltung Seelisberg</t>
        </is>
      </c>
      <c r="AT48" s="2" t="inlineStr">
        <is>
          <t>In Prüfung</t>
        </is>
      </c>
      <c r="AU48" s="2" t="inlineStr"/>
      <c r="AV48" s="2" t="inlineStr"/>
      <c r="AW48" s="2" t="inlineStr">
        <is>
          <t>2026-10-14: neu aufgenommen</t>
        </is>
      </c>
      <c r="AX48" s="2">
        <f>IF(ISNA(MATCH($A48,'Gesamtübersicht'!$A:$A,0)),"ID fehlt in Gesamtübersicht",IF(AND(INDEX('Gesamtübersicht'!$H:$H,MATCH($A48,'Gesamtübersicht'!$A:$A,0))&amp;""=$H48&amp;"",INDEX('Gesamtübersicht'!$M:$M,MATCH($A48,'Gesamtübersicht'!$A:$A,0))&amp;""=$M48&amp;"",INDEX('Gesamtübersicht'!$AD:$AD,MATCH($A48,'Gesamtübersicht'!$A:$A,0))&amp;""=$AD48&amp;"",INDEX('Gesamtübersicht'!$AH:$AH,MATCH($A48,'Gesamtübersicht'!$A:$A,0))&amp;""=$AH48&amp;"",INDEX('Gesamtübersicht'!$T:$T,MATCH($A48,'Gesamtübersicht'!$A:$A,0))&amp;""=$T48&amp;""),"OK","Abweichung – Ansicht neu erzeugen"))</f>
        <v/>
      </c>
    </row>
    <row r="49" ht="43" customHeight="1">
      <c r="A49" s="3" t="inlineStr">
        <is>
          <t>SEE-C5-08</t>
        </is>
      </c>
      <c r="B49" s="15" t="inlineStr">
        <is>
          <t>Gemeinde</t>
        </is>
      </c>
      <c r="C49" s="3" t="inlineStr">
        <is>
          <t>Schweiz</t>
        </is>
      </c>
      <c r="D49" s="3" t="inlineStr">
        <is>
          <t>Uri</t>
        </is>
      </c>
      <c r="E49" s="3" t="inlineStr">
        <is>
          <t>Seelisberg</t>
        </is>
      </c>
      <c r="F49" s="3" t="inlineStr">
        <is>
          <t>C5</t>
        </is>
      </c>
      <c r="G49" s="3" t="inlineStr">
        <is>
          <t>Verfahren Gemeindeversammlung</t>
        </is>
      </c>
      <c r="H49" s="3" t="inlineStr">
        <is>
          <t>Verordnung über das Verfahren an der Gemeindeversammlung Seelisberg</t>
        </is>
      </c>
      <c r="I49" s="3" t="inlineStr">
        <is>
          <t>Kommunale Verordnung</t>
        </is>
      </c>
      <c r="J49" s="3" t="inlineStr">
        <is>
          <t>Direktes Dokument</t>
        </is>
      </c>
      <c r="K49" s="3" t="inlineStr">
        <is>
          <t>Kommunales Recht (verbindlich)</t>
        </is>
      </c>
      <c r="L49" s="3" t="inlineStr">
        <is>
          <t>Gemeinde Seelisberg</t>
        </is>
      </c>
      <c r="M49" s="7" t="inlineStr">
        <is>
          <t>https://www.seelisberg.ch/files/pdf/Verordnung_%C3%BCber_das_Verfahren_an_der_Gemeindeversammlung.pdf</t>
        </is>
      </c>
      <c r="N49" s="3" t="inlineStr"/>
      <c r="O49" s="3" t="inlineStr">
        <is>
          <t>2026-10-14</t>
        </is>
      </c>
      <c r="P49" s="3" t="inlineStr">
        <is>
          <t>Entscheidungsverfahren, Antragsrechte der Stimmberechtigten</t>
        </is>
      </c>
      <c r="Q49" s="3" t="inlineStr"/>
      <c r="R49" s="3" t="inlineStr"/>
      <c r="S49" s="3" t="inlineStr">
        <is>
          <t>Kein Peer-Vergleich</t>
        </is>
      </c>
      <c r="T49" s="3" t="inlineStr">
        <is>
          <t>Noch nicht bewertet</t>
        </is>
      </c>
      <c r="U49" s="3" t="inlineStr">
        <is>
          <t>Hoch</t>
        </is>
      </c>
      <c r="V49" s="3" t="inlineStr"/>
      <c r="W49" s="3" t="inlineStr"/>
      <c r="X49" s="3" t="inlineStr"/>
      <c r="Y49" s="3" t="inlineStr">
        <is>
          <t>Dokument auswerten; Aktualität und Geltung prüfen</t>
        </is>
      </c>
      <c r="Z49" s="3" t="inlineStr">
        <is>
          <t>Automatische Recherche GitHub Actions (Discovery), Fundstelle siehe Spalte Offizielle Fundstelle</t>
        </is>
      </c>
      <c r="AA49" s="3" t="inlineStr"/>
      <c r="AB49" s="3" t="inlineStr"/>
      <c r="AC49" s="7" t="inlineStr">
        <is>
          <t>https://www.seelisberg.ch/politik/rechtssammlung</t>
        </is>
      </c>
      <c r="AD49" s="3" t="inlineStr">
        <is>
          <t>Verifiziert</t>
        </is>
      </c>
      <c r="AE49" s="3" t="inlineStr">
        <is>
          <t>200</t>
        </is>
      </c>
      <c r="AF49" s="3" t="inlineStr"/>
      <c r="AG49" s="3" t="inlineStr">
        <is>
          <t>PDF</t>
        </is>
      </c>
      <c r="AH49" s="3" t="inlineStr">
        <is>
          <t>Bestätigt</t>
        </is>
      </c>
      <c r="AI49" s="3" t="inlineStr">
        <is>
          <t>Schlüsselwörter 2/2 gefunden (Gemeindeversammlung, Verfahren); Ort/Zuständigkeit: Seelisberg</t>
        </is>
      </c>
      <c r="AJ49" s="3" t="inlineStr">
        <is>
          <t>GEMEINDE SEELISBERG</t>
        </is>
      </c>
      <c r="AK49" s="3" t="inlineStr">
        <is>
          <t>2018</t>
        </is>
      </c>
      <c r="AL49" s="3" t="inlineStr">
        <is>
          <t>Mittel (CMS-Dokumentlink)</t>
        </is>
      </c>
      <c r="AM49" s="3" t="inlineStr">
        <is>
          <t>2026-10-14 13:54</t>
        </is>
      </c>
      <c r="AN49" s="3" t="inlineStr">
        <is>
          <t>Öffentlich verfügbar und verifiziert</t>
        </is>
      </c>
      <c r="AO49" s="3" t="inlineStr"/>
      <c r="AP49" s="3" t="inlineStr">
        <is>
          <t>Belegt Existenz und Zugänglichkeit der Quelle; inhaltliche Aussagen erst nach Auswertung.</t>
        </is>
      </c>
      <c r="AQ49" s="3" t="inlineStr">
        <is>
          <t>Keine Einstufung: Kennzahlen/Befunde noch nicht ausgewertet; Schwellen der Bewertungslogik noch nicht validiert.</t>
        </is>
      </c>
      <c r="AR49" s="3" t="inlineStr">
        <is>
          <t>Nein</t>
        </is>
      </c>
      <c r="AS49" s="3" t="inlineStr">
        <is>
          <t>Gemeindeverwaltung Seelisberg</t>
        </is>
      </c>
      <c r="AT49" s="3" t="inlineStr">
        <is>
          <t>In Prüfung</t>
        </is>
      </c>
      <c r="AU49" s="3" t="inlineStr"/>
      <c r="AV49" s="3" t="inlineStr"/>
      <c r="AW49" s="3" t="inlineStr">
        <is>
          <t>2026-10-14: neu aufgenommen</t>
        </is>
      </c>
      <c r="AX49" s="3">
        <f>IF(ISNA(MATCH($A49,'Gesamtübersicht'!$A:$A,0)),"ID fehlt in Gesamtübersicht",IF(AND(INDEX('Gesamtübersicht'!$H:$H,MATCH($A49,'Gesamtübersicht'!$A:$A,0))&amp;""=$H49&amp;"",INDEX('Gesamtübersicht'!$M:$M,MATCH($A49,'Gesamtübersicht'!$A:$A,0))&amp;""=$M49&amp;"",INDEX('Gesamtübersicht'!$AD:$AD,MATCH($A49,'Gesamtübersicht'!$A:$A,0))&amp;""=$AD49&amp;"",INDEX('Gesamtübersicht'!$AH:$AH,MATCH($A49,'Gesamtübersicht'!$A:$A,0))&amp;""=$AH49&amp;"",INDEX('Gesamtübersicht'!$T:$T,MATCH($A49,'Gesamtübersicht'!$A:$A,0))&amp;""=$T49&amp;""),"OK","Abweichung – Ansicht neu erzeugen"))</f>
        <v/>
      </c>
    </row>
  </sheetData>
  <conditionalFormatting sqref="AD2:AD500">
    <cfRule type="cellIs" priority="1" operator="equal" dxfId="0">
      <formula>"Verifiziert"</formula>
    </cfRule>
    <cfRule type="cellIs" priority="2" operator="equal" dxfId="1">
      <formula>"Weiterleitung"</formula>
    </cfRule>
    <cfRule type="cellIs" priority="3" operator="equal" dxfId="2">
      <formula>"Fehler"</formula>
    </cfRule>
    <cfRule type="cellIs" priority="4" operator="equal" dxfId="3">
      <formula>"Nicht prüfbar"</formula>
    </cfRule>
  </conditionalFormatting>
  <conditionalFormatting sqref="AH2:AH500">
    <cfRule type="cellIs" priority="5" operator="equal" dxfId="0">
      <formula>"Bestätigt"</formula>
    </cfRule>
    <cfRule type="cellIs" priority="6" operator="equal" dxfId="1">
      <formula>"Teilweise bestätigt"</formula>
    </cfRule>
    <cfRule type="cellIs" priority="7" operator="equal" dxfId="3">
      <formula>"Offen"</formula>
    </cfRule>
  </conditionalFormatting>
  <dataValidations count="10">
    <dataValidation sqref="B2:B500" showDropDown="0" showInputMessage="0" showErrorMessage="0" allowBlank="1" type="list">
      <formula1>"Bund,Kanton,Gemeinde"</formula1>
    </dataValidation>
    <dataValidation sqref="F2:F500" showDropDown="0" showInputMessage="0" showErrorMessage="0" allowBlank="1" type="list">
      <formula1>"C1,C2,C3,C4,C5"</formula1>
    </dataValidation>
    <dataValidation sqref="T2:T500" showDropDown="0" showInputMessage="0" showErrorMessage="0" allowBlank="1" type="list">
      <formula1>"Noch nicht bewertet,Hoch,Mittel,Gering"</formula1>
    </dataValidation>
    <dataValidation sqref="U2:U500" showDropDown="0" showInputMessage="0" showErrorMessage="0" allowBlank="1" type="list">
      <formula1>"Hoch,Mittel,Niedrig"</formula1>
    </dataValidation>
    <dataValidation sqref="Y2:Y500" showDropDown="0" showInputMessage="0" showErrorMessage="0" allowBlank="1" type="list">
      <formula1>"Dokument auswerten; Aktualität und Geltung prüfen,In Bearbeitung,Geprüft,Nachforderung offen"</formula1>
    </dataValidation>
    <dataValidation sqref="AD2:AD500" showDropDown="0" showInputMessage="0" showErrorMessage="0" allowBlank="1" type="list">
      <formula1>"Verifiziert,Weiterleitung,Fehler,Nicht prüfbar"</formula1>
    </dataValidation>
    <dataValidation sqref="AH2:AH500" showDropDown="0" showInputMessage="0" showErrorMessage="0" allowBlank="1" type="list">
      <formula1>"Bestätigt,Teilweise bestätigt,Offen"</formula1>
    </dataValidation>
    <dataValidation sqref="AN2:AN500" showDropDown="0" showInputMessage="0" showErrorMessage="0" allowBlank="1" type="list">
      <formula1>"Öffentlich verfügbar und verifiziert,Öffentlich verfügbar – noch nicht geprüft,Nicht öffentlich auffindbar,Nur über Gemeindeanfrage erhältlich,Nicht zugänglich / nicht prüfbar"</formula1>
    </dataValidation>
    <dataValidation sqref="AR2:AR500" showDropDown="0" showInputMessage="0" showErrorMessage="0" allowBlank="1" type="list">
      <formula1>"Ja,Nein"</formula1>
    </dataValidation>
    <dataValidation sqref="AT2:AT500" showDropDown="0" showInputMessage="0" showErrorMessage="0" allowBlank="1" type="list">
      <formula1>"Offen,In Prüfung,Abgeschlossen"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AC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AC4" r:id="rId5"/>
    <hyperlink xmlns:r="http://schemas.openxmlformats.org/officeDocument/2006/relationships" ref="M5" r:id="rId6"/>
    <hyperlink xmlns:r="http://schemas.openxmlformats.org/officeDocument/2006/relationships" ref="M6" r:id="rId7"/>
    <hyperlink xmlns:r="http://schemas.openxmlformats.org/officeDocument/2006/relationships" ref="M7" r:id="rId8"/>
    <hyperlink xmlns:r="http://schemas.openxmlformats.org/officeDocument/2006/relationships" ref="M8" r:id="rId9"/>
    <hyperlink xmlns:r="http://schemas.openxmlformats.org/officeDocument/2006/relationships" ref="M9" r:id="rId10"/>
    <hyperlink xmlns:r="http://schemas.openxmlformats.org/officeDocument/2006/relationships" ref="M10" r:id="rId11"/>
    <hyperlink xmlns:r="http://schemas.openxmlformats.org/officeDocument/2006/relationships" ref="M11" r:id="rId12"/>
    <hyperlink xmlns:r="http://schemas.openxmlformats.org/officeDocument/2006/relationships" ref="M12" r:id="rId13"/>
    <hyperlink xmlns:r="http://schemas.openxmlformats.org/officeDocument/2006/relationships" ref="M13" r:id="rId14"/>
    <hyperlink xmlns:r="http://schemas.openxmlformats.org/officeDocument/2006/relationships" ref="M14" r:id="rId15"/>
    <hyperlink xmlns:r="http://schemas.openxmlformats.org/officeDocument/2006/relationships" ref="AC14" r:id="rId16"/>
    <hyperlink xmlns:r="http://schemas.openxmlformats.org/officeDocument/2006/relationships" ref="AF14" r:id="rId17"/>
    <hyperlink xmlns:r="http://schemas.openxmlformats.org/officeDocument/2006/relationships" ref="M15" r:id="rId18"/>
    <hyperlink xmlns:r="http://schemas.openxmlformats.org/officeDocument/2006/relationships" ref="AC15" r:id="rId19"/>
    <hyperlink xmlns:r="http://schemas.openxmlformats.org/officeDocument/2006/relationships" ref="AF15" r:id="rId20"/>
    <hyperlink xmlns:r="http://schemas.openxmlformats.org/officeDocument/2006/relationships" ref="M16" r:id="rId21"/>
    <hyperlink xmlns:r="http://schemas.openxmlformats.org/officeDocument/2006/relationships" ref="AC16" r:id="rId22"/>
    <hyperlink xmlns:r="http://schemas.openxmlformats.org/officeDocument/2006/relationships" ref="M17" r:id="rId23"/>
    <hyperlink xmlns:r="http://schemas.openxmlformats.org/officeDocument/2006/relationships" ref="M18" r:id="rId24"/>
    <hyperlink xmlns:r="http://schemas.openxmlformats.org/officeDocument/2006/relationships" ref="M19" r:id="rId25"/>
    <hyperlink xmlns:r="http://schemas.openxmlformats.org/officeDocument/2006/relationships" ref="M20" r:id="rId26"/>
    <hyperlink xmlns:r="http://schemas.openxmlformats.org/officeDocument/2006/relationships" ref="M21" r:id="rId27"/>
    <hyperlink xmlns:r="http://schemas.openxmlformats.org/officeDocument/2006/relationships" ref="M22" r:id="rId28"/>
    <hyperlink xmlns:r="http://schemas.openxmlformats.org/officeDocument/2006/relationships" ref="M23" r:id="rId29"/>
    <hyperlink xmlns:r="http://schemas.openxmlformats.org/officeDocument/2006/relationships" ref="M24" r:id="rId30"/>
    <hyperlink xmlns:r="http://schemas.openxmlformats.org/officeDocument/2006/relationships" ref="M25" r:id="rId31"/>
    <hyperlink xmlns:r="http://schemas.openxmlformats.org/officeDocument/2006/relationships" ref="M26" r:id="rId32"/>
    <hyperlink xmlns:r="http://schemas.openxmlformats.org/officeDocument/2006/relationships" ref="M27" r:id="rId33"/>
    <hyperlink xmlns:r="http://schemas.openxmlformats.org/officeDocument/2006/relationships" ref="AC27" r:id="rId34"/>
    <hyperlink xmlns:r="http://schemas.openxmlformats.org/officeDocument/2006/relationships" ref="M28" r:id="rId35"/>
    <hyperlink xmlns:r="http://schemas.openxmlformats.org/officeDocument/2006/relationships" ref="AC28" r:id="rId36"/>
    <hyperlink xmlns:r="http://schemas.openxmlformats.org/officeDocument/2006/relationships" ref="M29" r:id="rId37"/>
    <hyperlink xmlns:r="http://schemas.openxmlformats.org/officeDocument/2006/relationships" ref="AC29" r:id="rId38"/>
    <hyperlink xmlns:r="http://schemas.openxmlformats.org/officeDocument/2006/relationships" ref="M30" r:id="rId39"/>
    <hyperlink xmlns:r="http://schemas.openxmlformats.org/officeDocument/2006/relationships" ref="AC30" r:id="rId40"/>
    <hyperlink xmlns:r="http://schemas.openxmlformats.org/officeDocument/2006/relationships" ref="M31" r:id="rId41"/>
    <hyperlink xmlns:r="http://schemas.openxmlformats.org/officeDocument/2006/relationships" ref="AC31" r:id="rId42"/>
    <hyperlink xmlns:r="http://schemas.openxmlformats.org/officeDocument/2006/relationships" ref="M32" r:id="rId43"/>
    <hyperlink xmlns:r="http://schemas.openxmlformats.org/officeDocument/2006/relationships" ref="AC32" r:id="rId44"/>
    <hyperlink xmlns:r="http://schemas.openxmlformats.org/officeDocument/2006/relationships" ref="M33" r:id="rId45"/>
    <hyperlink xmlns:r="http://schemas.openxmlformats.org/officeDocument/2006/relationships" ref="M34" r:id="rId46"/>
    <hyperlink xmlns:r="http://schemas.openxmlformats.org/officeDocument/2006/relationships" ref="M35" r:id="rId47"/>
    <hyperlink xmlns:r="http://schemas.openxmlformats.org/officeDocument/2006/relationships" ref="M36" r:id="rId48"/>
    <hyperlink xmlns:r="http://schemas.openxmlformats.org/officeDocument/2006/relationships" ref="M37" r:id="rId49"/>
    <hyperlink xmlns:r="http://schemas.openxmlformats.org/officeDocument/2006/relationships" ref="AC37" r:id="rId50"/>
    <hyperlink xmlns:r="http://schemas.openxmlformats.org/officeDocument/2006/relationships" ref="M38" r:id="rId51"/>
    <hyperlink xmlns:r="http://schemas.openxmlformats.org/officeDocument/2006/relationships" ref="M39" r:id="rId52"/>
    <hyperlink xmlns:r="http://schemas.openxmlformats.org/officeDocument/2006/relationships" ref="M40" r:id="rId53"/>
    <hyperlink xmlns:r="http://schemas.openxmlformats.org/officeDocument/2006/relationships" ref="AC40" r:id="rId54"/>
    <hyperlink xmlns:r="http://schemas.openxmlformats.org/officeDocument/2006/relationships" ref="M41" r:id="rId55"/>
    <hyperlink xmlns:r="http://schemas.openxmlformats.org/officeDocument/2006/relationships" ref="AC41" r:id="rId56"/>
    <hyperlink xmlns:r="http://schemas.openxmlformats.org/officeDocument/2006/relationships" ref="M42" r:id="rId57"/>
    <hyperlink xmlns:r="http://schemas.openxmlformats.org/officeDocument/2006/relationships" ref="M43" r:id="rId58"/>
    <hyperlink xmlns:r="http://schemas.openxmlformats.org/officeDocument/2006/relationships" ref="AC43" r:id="rId59"/>
    <hyperlink xmlns:r="http://schemas.openxmlformats.org/officeDocument/2006/relationships" ref="M44" r:id="rId60"/>
    <hyperlink xmlns:r="http://schemas.openxmlformats.org/officeDocument/2006/relationships" ref="AC44" r:id="rId61"/>
    <hyperlink xmlns:r="http://schemas.openxmlformats.org/officeDocument/2006/relationships" ref="M45" r:id="rId62"/>
    <hyperlink xmlns:r="http://schemas.openxmlformats.org/officeDocument/2006/relationships" ref="AC45" r:id="rId63"/>
    <hyperlink xmlns:r="http://schemas.openxmlformats.org/officeDocument/2006/relationships" ref="M46" r:id="rId64"/>
    <hyperlink xmlns:r="http://schemas.openxmlformats.org/officeDocument/2006/relationships" ref="AC46" r:id="rId65"/>
    <hyperlink xmlns:r="http://schemas.openxmlformats.org/officeDocument/2006/relationships" ref="M47" r:id="rId66"/>
    <hyperlink xmlns:r="http://schemas.openxmlformats.org/officeDocument/2006/relationships" ref="AC47" r:id="rId67"/>
    <hyperlink xmlns:r="http://schemas.openxmlformats.org/officeDocument/2006/relationships" ref="M48" r:id="rId68"/>
    <hyperlink xmlns:r="http://schemas.openxmlformats.org/officeDocument/2006/relationships" ref="AC48" r:id="rId69"/>
    <hyperlink xmlns:r="http://schemas.openxmlformats.org/officeDocument/2006/relationships" ref="M49" r:id="rId70"/>
    <hyperlink xmlns:r="http://schemas.openxmlformats.org/officeDocument/2006/relationships" ref="AC49" r:id="rId71"/>
  </hyperlinks>
  <pageMargins left="0.75" right="0.75" top="1" bottom="1" header="0.5" footer="0.5"/>
  <tableParts count="1">
    <tablePart xmlns:r="http://schemas.openxmlformats.org/officeDocument/2006/relationships" r:id="rId7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X42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2" customWidth="1" min="4" max="4"/>
    <col width="18" customWidth="1" min="5" max="5"/>
    <col width="15" customWidth="1" min="6" max="6"/>
    <col width="24" customWidth="1" min="7" max="7"/>
    <col width="48" customWidth="1" min="8" max="8"/>
    <col width="21" customWidth="1" min="9" max="9"/>
    <col width="28" customWidth="1" min="10" max="10"/>
    <col width="26" customWidth="1" min="11" max="11"/>
    <col width="24" customWidth="1" min="12" max="12"/>
    <col width="45" customWidth="1" min="13" max="13"/>
    <col width="19" customWidth="1" min="14" max="14"/>
    <col width="19" customWidth="1" min="15" max="15"/>
    <col width="54" customWidth="1" min="16" max="16"/>
    <col width="35" customWidth="1" min="17" max="17"/>
    <col width="49" customWidth="1" min="18" max="18"/>
    <col width="32" customWidth="1" min="19" max="19"/>
    <col width="26" customWidth="1" min="20" max="20"/>
    <col width="14" customWidth="1" min="21" max="21"/>
    <col width="44" customWidth="1" min="22" max="22"/>
    <col width="24" customWidth="1" min="23" max="23"/>
    <col width="39" customWidth="1" min="24" max="24"/>
    <col width="40" customWidth="1" min="25" max="25"/>
    <col width="31" customWidth="1" min="26" max="26"/>
    <col width="16" customWidth="1" min="27" max="27"/>
    <col width="18" customWidth="1" min="28" max="28"/>
    <col width="40" customWidth="1" min="29" max="29"/>
    <col width="16" customWidth="1" min="30" max="30"/>
    <col width="12" customWidth="1" min="31" max="31"/>
    <col width="40" customWidth="1" min="32" max="32"/>
    <col width="11" customWidth="1" min="33" max="33"/>
    <col width="18" customWidth="1" min="34" max="34"/>
    <col width="50" customWidth="1" min="35" max="35"/>
    <col width="40" customWidth="1" min="36" max="36"/>
    <col width="18" customWidth="1" min="37" max="37"/>
    <col width="26" customWidth="1" min="38" max="38"/>
    <col width="18" customWidth="1" min="39" max="39"/>
    <col width="30" customWidth="1" min="40" max="40"/>
    <col width="20" customWidth="1" min="41" max="41"/>
    <col width="50" customWidth="1" min="42" max="42"/>
    <col width="44" customWidth="1" min="43" max="43"/>
    <col width="15" customWidth="1" min="44" max="44"/>
    <col width="30" customWidth="1" min="45" max="45"/>
    <col width="16" customWidth="1" min="46" max="46"/>
    <col width="50" customWidth="1" min="47" max="47"/>
    <col width="18" customWidth="1" min="48" max="48"/>
    <col width="50" customWidth="1" min="49" max="49"/>
    <col width="26" customWidth="1" min="50" max="50"/>
  </cols>
  <sheetData>
    <row r="1" ht="36" customHeight="1">
      <c r="A1" s="1" t="inlineStr">
        <is>
          <t>ID</t>
        </is>
      </c>
      <c r="B1" s="1" t="inlineStr">
        <is>
          <t>Ebene</t>
        </is>
      </c>
      <c r="C1" s="1" t="inlineStr">
        <is>
          <t>Schweiz</t>
        </is>
      </c>
      <c r="D1" s="1" t="inlineStr">
        <is>
          <t>Kanton</t>
        </is>
      </c>
      <c r="E1" s="1" t="inlineStr">
        <is>
          <t>Gemeinde</t>
        </is>
      </c>
      <c r="F1" s="1" t="inlineStr">
        <is>
          <t>C-Dimension</t>
        </is>
      </c>
      <c r="G1" s="1" t="inlineStr">
        <is>
          <t>Themenfeld</t>
        </is>
      </c>
      <c r="H1" s="1" t="inlineStr">
        <is>
          <t>Dokument / Datengrundlage</t>
        </is>
      </c>
      <c r="I1" s="1" t="inlineStr">
        <is>
          <t>Dokumenttyp</t>
        </is>
      </c>
      <c r="J1" s="1" t="inlineStr">
        <is>
          <t>Dokumentstatus</t>
        </is>
      </c>
      <c r="K1" s="1" t="inlineStr">
        <is>
          <t>Rechts- / Verbindlichkeitsstatus</t>
        </is>
      </c>
      <c r="L1" s="1" t="inlineStr">
        <is>
          <t>Herausgeber / Zuständigkeit</t>
        </is>
      </c>
      <c r="M1" s="1" t="inlineStr">
        <is>
          <t>Link / Quelle</t>
        </is>
      </c>
      <c r="N1" s="1" t="inlineStr">
        <is>
          <t>Bezugsjahr / Stand</t>
        </is>
      </c>
      <c r="O1" s="1" t="inlineStr">
        <is>
          <t>Aktualität geprüft am</t>
        </is>
      </c>
      <c r="P1" s="1" t="inlineStr">
        <is>
          <t>Konkrete Aussage / Relevanz</t>
        </is>
      </c>
      <c r="Q1" s="1" t="inlineStr">
        <is>
          <t>Kennzahl / Prüfkriterium</t>
        </is>
      </c>
      <c r="R1" s="1" t="inlineStr">
        <is>
          <t>Erhebungs- / Bewertungsmethode</t>
        </is>
      </c>
      <c r="S1" s="1" t="inlineStr">
        <is>
          <t>Vergleichsmassstab</t>
        </is>
      </c>
      <c r="T1" s="1" t="inlineStr">
        <is>
          <t>Reifegrad / Tragfähigkeit</t>
        </is>
      </c>
      <c r="U1" s="1" t="inlineStr">
        <is>
          <t>Confidence</t>
        </is>
      </c>
      <c r="V1" s="1" t="inlineStr">
        <is>
          <t>Datenlücke / Gemeindeanfrage</t>
        </is>
      </c>
      <c r="W1" s="1" t="inlineStr">
        <is>
          <t>Verbindung A / B / Q</t>
        </is>
      </c>
      <c r="X1" s="1" t="inlineStr">
        <is>
          <t>Sprint-2-Verwendung</t>
        </is>
      </c>
      <c r="Y1" s="1" t="inlineStr">
        <is>
          <t>Prüfstatus / nächste Aktion</t>
        </is>
      </c>
      <c r="Z1" s="1" t="inlineStr">
        <is>
          <t>Herkunft / Nachweis</t>
        </is>
      </c>
      <c r="AA1" s="1" t="inlineStr">
        <is>
          <t>Weitere C-Dimensionen</t>
        </is>
      </c>
      <c r="AB1" s="1" t="inlineStr">
        <is>
          <t>Veröffentlichungsdatum</t>
        </is>
      </c>
      <c r="AC1" s="1" t="inlineStr">
        <is>
          <t>Offizielle Fundstelle</t>
        </is>
      </c>
      <c r="AD1" s="1" t="inlineStr">
        <is>
          <t>Linkstatus</t>
        </is>
      </c>
      <c r="AE1" s="1" t="inlineStr">
        <is>
          <t>HTTP-Status</t>
        </is>
      </c>
      <c r="AF1" s="1" t="inlineStr">
        <is>
          <t>Finale URL (nach Weiterleitung)</t>
        </is>
      </c>
      <c r="AG1" s="1" t="inlineStr">
        <is>
          <t>Dateityp</t>
        </is>
      </c>
      <c r="AH1" s="1" t="inlineStr">
        <is>
          <t>Inhaltsprüfung</t>
        </is>
      </c>
      <c r="AI1" s="1" t="inlineStr">
        <is>
          <t>Inhaltsprüfung – Nachweis</t>
        </is>
      </c>
      <c r="AJ1" s="1" t="inlineStr">
        <is>
          <t>Erkannter Dokumenttitel</t>
        </is>
      </c>
      <c r="AK1" s="1" t="inlineStr">
        <is>
          <t>Erkannte Jahresangaben</t>
        </is>
      </c>
      <c r="AL1" s="1" t="inlineStr">
        <is>
          <t>Linkstabilität</t>
        </is>
      </c>
      <c r="AM1" s="1" t="inlineStr">
        <is>
          <t>Letzte Linkprüfung</t>
        </is>
      </c>
      <c r="AN1" s="1" t="inlineStr">
        <is>
          <t>Quellenverfügbarkeit</t>
        </is>
      </c>
      <c r="AO1" s="1" t="inlineStr">
        <is>
          <t>Einheit / Bezugsjahr</t>
        </is>
      </c>
      <c r="AP1" s="1" t="inlineStr">
        <is>
          <t>Prüfnachweis (belegbare Aussage)</t>
        </is>
      </c>
      <c r="AQ1" s="1" t="inlineStr">
        <is>
          <t>Bewertungsbegründung</t>
        </is>
      </c>
      <c r="AR1" s="1" t="inlineStr">
        <is>
          <t>Gemeindeanfrage erforderlich</t>
        </is>
      </c>
      <c r="AS1" s="1" t="inlineStr">
        <is>
          <t>Zuständige Stelle</t>
        </is>
      </c>
      <c r="AT1" s="1" t="inlineStr">
        <is>
          <t>Bearbeitungsstatus</t>
        </is>
      </c>
      <c r="AU1" s="1" t="inlineStr">
        <is>
          <t>Recherchehinweis</t>
        </is>
      </c>
      <c r="AV1" s="1" t="inlineStr">
        <is>
          <t>Gleiche Quelle wie (ID)</t>
        </is>
      </c>
      <c r="AW1" s="1" t="inlineStr">
        <is>
          <t>Änderungsprotokoll</t>
        </is>
      </c>
      <c r="AX1" s="1" t="inlineStr">
        <is>
          <t>Abgleich mit Gesamtübersicht</t>
        </is>
      </c>
    </row>
    <row r="2" ht="43" customHeight="1">
      <c r="A2" s="2" t="inlineStr">
        <is>
          <t>CH-C1-01</t>
        </is>
      </c>
      <c r="B2" s="13" t="inlineStr">
        <is>
          <t>Bund</t>
        </is>
      </c>
      <c r="C2" s="2" t="inlineStr">
        <is>
          <t>Schweiz</t>
        </is>
      </c>
      <c r="D2" s="2" t="inlineStr">
        <is>
          <t>Alle</t>
        </is>
      </c>
      <c r="E2" s="2" t="inlineStr">
        <is>
          <t>Alle</t>
        </is>
      </c>
      <c r="F2" s="2" t="inlineStr">
        <is>
          <t>C1</t>
        </is>
      </c>
      <c r="G2" s="2" t="inlineStr">
        <is>
          <t>Öffentliche Finanzstatistik</t>
        </is>
      </c>
      <c r="H2" s="2" t="inlineStr">
        <is>
          <t>Finanzstatistik: Daten der Eidgenössischen Finanzverwaltung</t>
        </is>
      </c>
      <c r="I2" s="2" t="inlineStr">
        <is>
          <t>Datenportal</t>
        </is>
      </c>
      <c r="J2" s="2" t="inlineStr">
        <is>
          <t>Offizielle Quelle recherchiert</t>
        </is>
      </c>
      <c r="K2" s="2" t="inlineStr">
        <is>
          <t>Orientierung / Datengrundlage</t>
        </is>
      </c>
      <c r="L2" s="2" t="inlineStr">
        <is>
          <t>Bund</t>
        </is>
      </c>
      <c r="M2" s="5" t="inlineStr">
        <is>
          <t>https://www.efv.admin.ch/de/finanzstatistik-daten</t>
        </is>
      </c>
      <c r="N2" s="2" t="inlineStr">
        <is>
          <t>Zu prüfen</t>
        </is>
      </c>
      <c r="O2" s="2" t="inlineStr">
        <is>
          <t>2026-10-14</t>
        </is>
      </c>
      <c r="P2" s="2" t="inlineStr">
        <is>
          <t>Harmonisierte Finanzstatistik als Kontext und methodische Vergleichsbasis</t>
        </is>
      </c>
      <c r="Q2" s="2" t="inlineStr">
        <is>
          <t>Finanzkennzahlen, Ausgaben, Einnahmen</t>
        </is>
      </c>
      <c r="R2" s="2" t="inlineStr">
        <is>
          <t>Zeitreihen und Aufgabenabgrenzung prüfen</t>
        </is>
      </c>
      <c r="S2" s="2" t="inlineStr">
        <is>
          <t>Kanton × Grössenklasse; Richtwerte</t>
        </is>
      </c>
      <c r="T2" s="2" t="inlineStr">
        <is>
          <t>Noch nicht bewertet</t>
        </is>
      </c>
      <c r="U2" s="2" t="inlineStr">
        <is>
          <t>Hoch</t>
        </is>
      </c>
      <c r="V2" s="2" t="inlineStr"/>
      <c r="W2" s="2" t="inlineStr">
        <is>
          <t>A1/A2; C1</t>
        </is>
      </c>
      <c r="X2" s="2" t="inlineStr">
        <is>
          <t>Finanziellen Spielraum und DYN-Korridor plausibilisieren</t>
        </is>
      </c>
      <c r="Y2" s="2" t="inlineStr">
        <is>
          <t>Dokument auswerten; Aktualität und Geltung prüfen</t>
        </is>
      </c>
      <c r="Z2" s="2" t="inlineStr">
        <is>
          <t>Offizielles Bundesportal; methodische Auswahl</t>
        </is>
      </c>
      <c r="AA2" s="2" t="inlineStr"/>
      <c r="AB2" s="2" t="inlineStr"/>
      <c r="AC2" s="5" t="inlineStr">
        <is>
          <t>https://www.efv.admin.ch/</t>
        </is>
      </c>
      <c r="AD2" s="2" t="inlineStr">
        <is>
          <t>Verifiziert</t>
        </is>
      </c>
      <c r="AE2" s="2" t="inlineStr">
        <is>
          <t>200</t>
        </is>
      </c>
      <c r="AF2" s="2" t="inlineStr"/>
      <c r="AG2" s="2" t="inlineStr">
        <is>
          <t>HTML</t>
        </is>
      </c>
      <c r="AH2" s="2" t="inlineStr">
        <is>
          <t>Bestätigt</t>
        </is>
      </c>
      <c r="AI2" s="2" t="inlineStr">
        <is>
          <t>Schlüsselwörter 1/1 gefunden (Finanzstatistik)</t>
        </is>
      </c>
      <c r="AJ2" s="2" t="inlineStr">
        <is>
          <t>Übersicht über die Daten der Finanzstatistik | Übersicht über die Daten der Finanzstatistik</t>
        </is>
      </c>
      <c r="AK2" s="2" t="inlineStr">
        <is>
          <t>2008, 2026, 2025, 2014</t>
        </is>
      </c>
      <c r="AL2" s="2" t="inlineStr">
        <is>
          <t>Mittel (Webseite)</t>
        </is>
      </c>
      <c r="AM2" s="2" t="inlineStr">
        <is>
          <t>2026-10-14 13:53</t>
        </is>
      </c>
      <c r="AN2" s="2" t="inlineStr">
        <is>
          <t>Öffentlich verfügbar und verifiziert</t>
        </is>
      </c>
      <c r="AO2" s="2" t="inlineStr">
        <is>
          <t>Zu prüfen</t>
        </is>
      </c>
      <c r="AP2" s="2" t="inlineStr">
        <is>
          <t>Belegt Existenz und Zugänglichkeit der Quelle; inhaltliche Aussagen erst nach Auswertung.</t>
        </is>
      </c>
      <c r="AQ2" s="2" t="inlineStr">
        <is>
          <t>Keine Einstufung: Kennzahlen/Befunde noch nicht ausgewertet; Schwellen der Bewertungslogik noch nicht validiert.</t>
        </is>
      </c>
      <c r="AR2" s="2" t="inlineStr">
        <is>
          <t>Nein</t>
        </is>
      </c>
      <c r="AS2" s="2" t="inlineStr">
        <is>
          <t>Bund</t>
        </is>
      </c>
      <c r="AT2" s="2" t="inlineStr">
        <is>
          <t>In Prüfung</t>
        </is>
      </c>
      <c r="AU2" s="2" t="inlineStr"/>
      <c r="AV2" s="2" t="inlineStr"/>
      <c r="AW2" s="2" t="inlineStr"/>
      <c r="AX2" s="2">
        <f>IF(ISNA(MATCH($A2,'Gesamtübersicht'!$A:$A,0)),"ID fehlt in Gesamtübersicht",IF(AND(INDEX('Gesamtübersicht'!$H:$H,MATCH($A2,'Gesamtübersicht'!$A:$A,0))&amp;""=$H2&amp;"",INDEX('Gesamtübersicht'!$M:$M,MATCH($A2,'Gesamtübersicht'!$A:$A,0))&amp;""=$M2&amp;"",INDEX('Gesamtübersicht'!$AD:$AD,MATCH($A2,'Gesamtübersicht'!$A:$A,0))&amp;""=$AD2&amp;"",INDEX('Gesamtübersicht'!$AH:$AH,MATCH($A2,'Gesamtübersicht'!$A:$A,0))&amp;""=$AH2&amp;"",INDEX('Gesamtübersicht'!$T:$T,MATCH($A2,'Gesamtübersicht'!$A:$A,0))&amp;""=$T2&amp;""),"OK","Abweichung – Ansicht neu erzeugen"))</f>
        <v/>
      </c>
    </row>
    <row r="3" ht="43" customHeight="1">
      <c r="A3" s="3" t="inlineStr">
        <is>
          <t>CH-C1-02</t>
        </is>
      </c>
      <c r="B3" s="13" t="inlineStr">
        <is>
          <t>Bund</t>
        </is>
      </c>
      <c r="C3" s="3" t="inlineStr">
        <is>
          <t>Schweiz</t>
        </is>
      </c>
      <c r="D3" s="3" t="inlineStr">
        <is>
          <t>Alle</t>
        </is>
      </c>
      <c r="E3" s="3" t="inlineStr">
        <is>
          <t>Alle</t>
        </is>
      </c>
      <c r="F3" s="3" t="inlineStr">
        <is>
          <t>C1</t>
        </is>
      </c>
      <c r="G3" s="3" t="inlineStr">
        <is>
          <t>Rechnungslegung</t>
        </is>
      </c>
      <c r="H3" s="3" t="inlineStr">
        <is>
          <t>EFV: Methodik und Vergleichbarkeit der Finanzstatistik</t>
        </is>
      </c>
      <c r="I3" s="3" t="inlineStr">
        <is>
          <t>Methodik</t>
        </is>
      </c>
      <c r="J3" s="3" t="inlineStr">
        <is>
          <t>Offizielle Quelle recherchiert</t>
        </is>
      </c>
      <c r="K3" s="3" t="inlineStr">
        <is>
          <t>Orientierung / Datengrundlage</t>
        </is>
      </c>
      <c r="L3" s="3" t="inlineStr">
        <is>
          <t>Bund</t>
        </is>
      </c>
      <c r="M3" s="7" t="inlineStr">
        <is>
          <t>https://www.efv.admin.ch/de/was-ist-die-finanzstatistik</t>
        </is>
      </c>
      <c r="N3" s="3" t="inlineStr">
        <is>
          <t>Zu prüfen</t>
        </is>
      </c>
      <c r="O3" s="3" t="inlineStr">
        <is>
          <t>2026-10-14</t>
        </is>
      </c>
      <c r="P3" s="3" t="inlineStr">
        <is>
          <t>Kantonale Aufgabenverteilung begrenzt Vergleichbarkeit</t>
        </is>
      </c>
      <c r="Q3" s="3" t="inlineStr">
        <is>
          <t>HRM / Aufgabenabgrenzung</t>
        </is>
      </c>
      <c r="R3" s="3" t="inlineStr">
        <is>
          <t>Vergleichbarkeit explizit dokumentieren</t>
        </is>
      </c>
      <c r="S3" s="3" t="inlineStr">
        <is>
          <t>Kanton × Grössenklasse</t>
        </is>
      </c>
      <c r="T3" s="3" t="inlineStr">
        <is>
          <t>Noch nicht bewertet</t>
        </is>
      </c>
      <c r="U3" s="3" t="inlineStr">
        <is>
          <t>Hoch</t>
        </is>
      </c>
      <c r="V3" s="3" t="inlineStr"/>
      <c r="W3" s="3" t="inlineStr">
        <is>
          <t>A1; C1</t>
        </is>
      </c>
      <c r="X3" s="3" t="inlineStr">
        <is>
          <t>Vergleichsregeln absichern</t>
        </is>
      </c>
      <c r="Y3" s="3" t="inlineStr">
        <is>
          <t>Dokument auswerten; Aktualität und Geltung prüfen</t>
        </is>
      </c>
      <c r="Z3" s="3" t="inlineStr">
        <is>
          <t>Offizielles Bundesportal; methodische Auswahl</t>
        </is>
      </c>
      <c r="AA3" s="3" t="inlineStr"/>
      <c r="AB3" s="3" t="inlineStr"/>
      <c r="AC3" s="3" t="inlineStr"/>
      <c r="AD3" s="3" t="inlineStr">
        <is>
          <t>Verifiziert</t>
        </is>
      </c>
      <c r="AE3" s="3" t="inlineStr">
        <is>
          <t>200</t>
        </is>
      </c>
      <c r="AF3" s="3" t="inlineStr"/>
      <c r="AG3" s="3" t="inlineStr">
        <is>
          <t>HTML</t>
        </is>
      </c>
      <c r="AH3" s="3" t="inlineStr">
        <is>
          <t>Bestätigt</t>
        </is>
      </c>
      <c r="AI3" s="3" t="inlineStr">
        <is>
          <t>Schlüsselwörter 1/1 gefunden (Finanzstatistik)</t>
        </is>
      </c>
      <c r="AJ3" s="3" t="inlineStr">
        <is>
          <t>Was ist die Finanzstatistik? | Was ist die Finanzstatistik?</t>
        </is>
      </c>
      <c r="AK3" s="3" t="inlineStr">
        <is>
          <t>2014, 2010, 2026, 2024, 2023, 2025</t>
        </is>
      </c>
      <c r="AL3" s="3" t="inlineStr">
        <is>
          <t>Mittel (Webseite)</t>
        </is>
      </c>
      <c r="AM3" s="3" t="inlineStr">
        <is>
          <t>2026-10-14 13:53</t>
        </is>
      </c>
      <c r="AN3" s="3" t="inlineStr">
        <is>
          <t>Öffentlich verfügbar und verifiziert</t>
        </is>
      </c>
      <c r="AO3" s="3" t="inlineStr">
        <is>
          <t>Zu prüfen</t>
        </is>
      </c>
      <c r="AP3" s="3" t="inlineStr">
        <is>
          <t>Belegt Existenz und Zugänglichkeit der Quelle; inhaltliche Aussagen erst nach Auswertung.</t>
        </is>
      </c>
      <c r="AQ3" s="3" t="inlineStr">
        <is>
          <t>Keine Einstufung: Kennzahlen/Befunde noch nicht ausgewertet; Schwellen der Bewertungslogik noch nicht validiert.</t>
        </is>
      </c>
      <c r="AR3" s="3" t="inlineStr">
        <is>
          <t>Nein</t>
        </is>
      </c>
      <c r="AS3" s="3" t="inlineStr">
        <is>
          <t>Bund</t>
        </is>
      </c>
      <c r="AT3" s="3" t="inlineStr">
        <is>
          <t>In Prüfung</t>
        </is>
      </c>
      <c r="AU3" s="3" t="inlineStr"/>
      <c r="AV3" s="3" t="inlineStr"/>
      <c r="AW3" s="3" t="inlineStr"/>
      <c r="AX3" s="3">
        <f>IF(ISNA(MATCH($A3,'Gesamtübersicht'!$A:$A,0)),"ID fehlt in Gesamtübersicht",IF(AND(INDEX('Gesamtübersicht'!$H:$H,MATCH($A3,'Gesamtübersicht'!$A:$A,0))&amp;""=$H3&amp;"",INDEX('Gesamtübersicht'!$M:$M,MATCH($A3,'Gesamtübersicht'!$A:$A,0))&amp;""=$M3&amp;"",INDEX('Gesamtübersicht'!$AD:$AD,MATCH($A3,'Gesamtübersicht'!$A:$A,0))&amp;""=$AD3&amp;"",INDEX('Gesamtübersicht'!$AH:$AH,MATCH($A3,'Gesamtübersicht'!$A:$A,0))&amp;""=$AH3&amp;"",INDEX('Gesamtübersicht'!$T:$T,MATCH($A3,'Gesamtübersicht'!$A:$A,0))&amp;""=$T3&amp;""),"OK","Abweichung – Ansicht neu erzeugen"))</f>
        <v/>
      </c>
    </row>
    <row r="4" ht="43" customHeight="1">
      <c r="A4" s="2" t="inlineStr">
        <is>
          <t>CH-C1-03</t>
        </is>
      </c>
      <c r="B4" s="13" t="inlineStr">
        <is>
          <t>Bund</t>
        </is>
      </c>
      <c r="C4" s="2" t="inlineStr">
        <is>
          <t>Schweiz</t>
        </is>
      </c>
      <c r="D4" s="2" t="inlineStr">
        <is>
          <t>Alle</t>
        </is>
      </c>
      <c r="E4" s="2" t="inlineStr">
        <is>
          <t>Alle</t>
        </is>
      </c>
      <c r="F4" s="2" t="inlineStr">
        <is>
          <t>C1</t>
        </is>
      </c>
      <c r="G4" s="2" t="inlineStr">
        <is>
          <t>Finanzstatistik Methode</t>
        </is>
      </c>
      <c r="H4" s="2" t="inlineStr">
        <is>
          <t>EFV: Methoden der Finanzstatistik (FS-Modell, HRM2-Zuordnung)</t>
        </is>
      </c>
      <c r="I4" s="2" t="inlineStr">
        <is>
          <t>Methodik</t>
        </is>
      </c>
      <c r="J4" s="2" t="inlineStr">
        <is>
          <t>Webseite</t>
        </is>
      </c>
      <c r="K4" s="2" t="inlineStr">
        <is>
          <t>Methodische Grundlage</t>
        </is>
      </c>
      <c r="L4" s="2" t="inlineStr">
        <is>
          <t>Eidgenössische Finanzverwaltung (EFV)</t>
        </is>
      </c>
      <c r="M4" s="5" t="inlineStr">
        <is>
          <t>https://www.efv.admin.ch/de/methoden-finanzstatistik</t>
        </is>
      </c>
      <c r="N4" s="2" t="inlineStr"/>
      <c r="O4" s="2" t="inlineStr">
        <is>
          <t>2026-10-14</t>
        </is>
      </c>
      <c r="P4" s="2" t="inlineStr">
        <is>
          <t>Definitionen der Kennzahlen und HRM2-Abbildung für Vergleichbarkeit</t>
        </is>
      </c>
      <c r="Q4" s="2" t="inlineStr">
        <is>
          <t>Kennzahlendefinitionen</t>
        </is>
      </c>
      <c r="R4" s="2" t="inlineStr"/>
      <c r="S4" s="2" t="inlineStr">
        <is>
          <t>Kanton × Grössenklasse</t>
        </is>
      </c>
      <c r="T4" s="2" t="inlineStr">
        <is>
          <t>Noch nicht bewertet</t>
        </is>
      </c>
      <c r="U4" s="2" t="inlineStr">
        <is>
          <t>Hoch</t>
        </is>
      </c>
      <c r="V4" s="2" t="inlineStr"/>
      <c r="W4" s="2" t="inlineStr">
        <is>
          <t>C1</t>
        </is>
      </c>
      <c r="X4" s="2" t="inlineStr">
        <is>
          <t>Vergleichsregeln C1</t>
        </is>
      </c>
      <c r="Y4" s="2" t="inlineStr">
        <is>
          <t>Dokument auswerten; Aktualität und Geltung prüfen</t>
        </is>
      </c>
      <c r="Z4" s="2" t="inlineStr">
        <is>
          <t>Automatische Recherche GitHub Actions (Discovery), Fundstelle siehe Spalte Offizielle Fundstelle</t>
        </is>
      </c>
      <c r="AA4" s="2" t="inlineStr"/>
      <c r="AB4" s="2" t="inlineStr"/>
      <c r="AC4" s="5" t="inlineStr">
        <is>
          <t>https://www.efv.admin.ch/de/finanzstatistik-daten</t>
        </is>
      </c>
      <c r="AD4" s="2" t="inlineStr">
        <is>
          <t>Verifiziert</t>
        </is>
      </c>
      <c r="AE4" s="2" t="inlineStr">
        <is>
          <t>200</t>
        </is>
      </c>
      <c r="AF4" s="2" t="inlineStr"/>
      <c r="AG4" s="2" t="inlineStr">
        <is>
          <t>HTML</t>
        </is>
      </c>
      <c r="AH4" s="2" t="inlineStr">
        <is>
          <t>Bestätigt</t>
        </is>
      </c>
      <c r="AI4" s="2" t="inlineStr">
        <is>
          <t>Schlüsselwörter 2/2 gefunden (Methode, Finanzstatistik)</t>
        </is>
      </c>
      <c r="AJ4" s="2" t="inlineStr">
        <is>
          <t>Methoden der Finanzstatistik | Methoden der Finanzstatistik</t>
        </is>
      </c>
      <c r="AK4" s="2" t="inlineStr">
        <is>
          <t>2016, 2026, 2015, 2020, 2014, 2025</t>
        </is>
      </c>
      <c r="AL4" s="2" t="inlineStr">
        <is>
          <t>Mittel (Webseite)</t>
        </is>
      </c>
      <c r="AM4" s="2" t="inlineStr">
        <is>
          <t>2026-10-14 13:54</t>
        </is>
      </c>
      <c r="AN4" s="2" t="inlineStr">
        <is>
          <t>Öffentlich verfügbar und verifiziert</t>
        </is>
      </c>
      <c r="AO4" s="2" t="inlineStr"/>
      <c r="AP4" s="2" t="inlineStr">
        <is>
          <t>Belegt Existenz und Zugänglichkeit der Quelle; inhaltliche Aussagen erst nach Auswertung.</t>
        </is>
      </c>
      <c r="AQ4" s="2" t="inlineStr">
        <is>
          <t>Keine Einstufung: Kennzahlen/Befunde noch nicht ausgewertet; Schwellen der Bewertungslogik noch nicht validiert.</t>
        </is>
      </c>
      <c r="AR4" s="2" t="inlineStr">
        <is>
          <t>Nein</t>
        </is>
      </c>
      <c r="AS4" s="2" t="inlineStr">
        <is>
          <t>Eidgenössische Finanzverwaltung (EFV)</t>
        </is>
      </c>
      <c r="AT4" s="2" t="inlineStr">
        <is>
          <t>In Prüfung</t>
        </is>
      </c>
      <c r="AU4" s="2" t="inlineStr">
        <is>
          <t>Früherer PDF-Link zum FS-Methodenband (efv.admin.ch/dam/…) liefert HTTP 502 (Website-Umbau); Methodenseite über EFV-Finanzstatistik ermittelt.</t>
        </is>
      </c>
      <c r="AV4" s="2" t="inlineStr"/>
      <c r="AW4" s="2" t="inlineStr">
        <is>
          <t>2026-10-14: neu aufgenommen</t>
        </is>
      </c>
      <c r="AX4" s="2">
        <f>IF(ISNA(MATCH($A4,'Gesamtübersicht'!$A:$A,0)),"ID fehlt in Gesamtübersicht",IF(AND(INDEX('Gesamtübersicht'!$H:$H,MATCH($A4,'Gesamtübersicht'!$A:$A,0))&amp;""=$H4&amp;"",INDEX('Gesamtübersicht'!$M:$M,MATCH($A4,'Gesamtübersicht'!$A:$A,0))&amp;""=$M4&amp;"",INDEX('Gesamtübersicht'!$AD:$AD,MATCH($A4,'Gesamtübersicht'!$A:$A,0))&amp;""=$AD4&amp;"",INDEX('Gesamtübersicht'!$AH:$AH,MATCH($A4,'Gesamtübersicht'!$A:$A,0))&amp;""=$AH4&amp;"",INDEX('Gesamtübersicht'!$T:$T,MATCH($A4,'Gesamtübersicht'!$A:$A,0))&amp;""=$T4&amp;""),"OK","Abweichung – Ansicht neu erzeugen"))</f>
        <v/>
      </c>
    </row>
    <row r="5" ht="43" customHeight="1">
      <c r="A5" s="3" t="inlineStr">
        <is>
          <t>CH-C1-04</t>
        </is>
      </c>
      <c r="B5" s="13" t="inlineStr">
        <is>
          <t>Bund</t>
        </is>
      </c>
      <c r="C5" s="3" t="inlineStr">
        <is>
          <t>Schweiz</t>
        </is>
      </c>
      <c r="D5" s="3" t="inlineStr">
        <is>
          <t>Alle</t>
        </is>
      </c>
      <c r="E5" s="3" t="inlineStr">
        <is>
          <t>Alle</t>
        </is>
      </c>
      <c r="F5" s="3" t="inlineStr">
        <is>
          <t>C1</t>
        </is>
      </c>
      <c r="G5" s="3" t="inlineStr">
        <is>
          <t>Finanzdaten Gemeinden</t>
        </is>
      </c>
      <c r="H5" s="3" t="inlineStr">
        <is>
          <t>EFV: Detaillierte Daten FS- und GFS-Modell (Open Government Data)</t>
        </is>
      </c>
      <c r="I5" s="3" t="inlineStr">
        <is>
          <t>Datensatz</t>
        </is>
      </c>
      <c r="J5" s="3" t="inlineStr">
        <is>
          <t>Direktes Dokument</t>
        </is>
      </c>
      <c r="K5" s="3" t="inlineStr">
        <is>
          <t>Datengrundlage</t>
        </is>
      </c>
      <c r="L5" s="3" t="inlineStr">
        <is>
          <t>EFV / opendata.swiss</t>
        </is>
      </c>
      <c r="M5" s="7" t="inlineStr">
        <is>
          <t>https://opendata.swiss/en/dataset/detaillierte-daten-fs-und-gfs-modell-standardauswertungen</t>
        </is>
      </c>
      <c r="N5" s="3" t="inlineStr"/>
      <c r="O5" s="3" t="inlineStr">
        <is>
          <t>2026-10-14</t>
        </is>
      </c>
      <c r="P5" s="3" t="inlineStr">
        <is>
          <t>Maschinenlesbare Finanzdaten für Peer-Vergleich</t>
        </is>
      </c>
      <c r="Q5" s="3" t="inlineStr">
        <is>
          <t>Einnahmen, Ausgaben, Schulden</t>
        </is>
      </c>
      <c r="R5" s="3" t="inlineStr"/>
      <c r="S5" s="3" t="inlineStr">
        <is>
          <t>Kanton × Grössenklasse</t>
        </is>
      </c>
      <c r="T5" s="3" t="inlineStr">
        <is>
          <t>Noch nicht bewertet</t>
        </is>
      </c>
      <c r="U5" s="3" t="inlineStr">
        <is>
          <t>Mittel</t>
        </is>
      </c>
      <c r="V5" s="3" t="inlineStr"/>
      <c r="W5" s="3" t="inlineStr"/>
      <c r="X5" s="3" t="inlineStr"/>
      <c r="Y5" s="3" t="inlineStr">
        <is>
          <t>Dokument auswerten; Aktualität und Geltung prüfen</t>
        </is>
      </c>
      <c r="Z5" s="3" t="inlineStr">
        <is>
          <t>Websuche 14.10.2026 (URL im Suchergebnis gefunden)</t>
        </is>
      </c>
      <c r="AA5" s="3" t="inlineStr"/>
      <c r="AB5" s="3" t="inlineStr"/>
      <c r="AC5" s="3" t="inlineStr"/>
      <c r="AD5" s="3" t="inlineStr">
        <is>
          <t>Verifiziert</t>
        </is>
      </c>
      <c r="AE5" s="3" t="inlineStr">
        <is>
          <t>200</t>
        </is>
      </c>
      <c r="AF5" s="3" t="inlineStr"/>
      <c r="AG5" s="3" t="inlineStr">
        <is>
          <t>HTML</t>
        </is>
      </c>
      <c r="AH5" s="3" t="inlineStr">
        <is>
          <t>Bestätigt</t>
        </is>
      </c>
      <c r="AI5" s="3" t="inlineStr">
        <is>
          <t>Schlüsselwörter 2/2 gefunden (FS, GFS)</t>
        </is>
      </c>
      <c r="AJ5" s="3" t="inlineStr">
        <is>
          <t>Detailed data FS and GFS model: Regular tables | opendata.swiss | Detailed data FS and GFS model: Regular tables</t>
        </is>
      </c>
      <c r="AK5" s="3" t="inlineStr">
        <is>
          <t>2008, 2025, 2014, 2023</t>
        </is>
      </c>
      <c r="AL5" s="3" t="inlineStr">
        <is>
          <t>Mittel (Webseite)</t>
        </is>
      </c>
      <c r="AM5" s="3" t="inlineStr">
        <is>
          <t>2026-10-14 13:54</t>
        </is>
      </c>
      <c r="AN5" s="3" t="inlineStr">
        <is>
          <t>Öffentlich verfügbar und verifiziert</t>
        </is>
      </c>
      <c r="AO5" s="3" t="inlineStr"/>
      <c r="AP5" s="3" t="inlineStr">
        <is>
          <t>Belegt Existenz und Zugänglichkeit der Quelle; inhaltliche Aussagen erst nach Auswertung.</t>
        </is>
      </c>
      <c r="AQ5" s="3" t="inlineStr">
        <is>
          <t>Keine Einstufung: Kennzahlen/Befunde noch nicht ausgewertet; Schwellen der Bewertungslogik noch nicht validiert.</t>
        </is>
      </c>
      <c r="AR5" s="3" t="inlineStr">
        <is>
          <t>Nein</t>
        </is>
      </c>
      <c r="AS5" s="3" t="inlineStr">
        <is>
          <t>EFV / opendata.swiss</t>
        </is>
      </c>
      <c r="AT5" s="3" t="inlineStr">
        <is>
          <t>In Prüfung</t>
        </is>
      </c>
      <c r="AU5" s="3" t="inlineStr"/>
      <c r="AV5" s="3" t="inlineStr"/>
      <c r="AW5" s="3" t="inlineStr">
        <is>
          <t>2026-10-14: neu aufgenommen</t>
        </is>
      </c>
      <c r="AX5" s="3">
        <f>IF(ISNA(MATCH($A5,'Gesamtübersicht'!$A:$A,0)),"ID fehlt in Gesamtübersicht",IF(AND(INDEX('Gesamtübersicht'!$H:$H,MATCH($A5,'Gesamtübersicht'!$A:$A,0))&amp;""=$H5&amp;"",INDEX('Gesamtübersicht'!$M:$M,MATCH($A5,'Gesamtübersicht'!$A:$A,0))&amp;""=$M5&amp;"",INDEX('Gesamtübersicht'!$AD:$AD,MATCH($A5,'Gesamtübersicht'!$A:$A,0))&amp;""=$AD5&amp;"",INDEX('Gesamtübersicht'!$AH:$AH,MATCH($A5,'Gesamtübersicht'!$A:$A,0))&amp;""=$AH5&amp;"",INDEX('Gesamtübersicht'!$T:$T,MATCH($A5,'Gesamtübersicht'!$A:$A,0))&amp;""=$T5&amp;""),"OK","Abweichung – Ansicht neu erzeugen"))</f>
        <v/>
      </c>
    </row>
    <row r="6" ht="43" customHeight="1">
      <c r="A6" s="2" t="inlineStr">
        <is>
          <t>CH-C2-01</t>
        </is>
      </c>
      <c r="B6" s="13" t="inlineStr">
        <is>
          <t>Bund</t>
        </is>
      </c>
      <c r="C6" s="2" t="inlineStr">
        <is>
          <t>Schweiz</t>
        </is>
      </c>
      <c r="D6" s="2" t="inlineStr">
        <is>
          <t>Alle</t>
        </is>
      </c>
      <c r="E6" s="2" t="inlineStr">
        <is>
          <t>Alle</t>
        </is>
      </c>
      <c r="F6" s="2" t="inlineStr">
        <is>
          <t>C2</t>
        </is>
      </c>
      <c r="G6" s="2" t="inlineStr">
        <is>
          <t>Eigentumsrechte</t>
        </is>
      </c>
      <c r="H6" s="2" t="inlineStr">
        <is>
          <t>Schweizerisches Zivilgesetzbuch (ZGB)</t>
        </is>
      </c>
      <c r="I6" s="2" t="inlineStr">
        <is>
          <t>Bundesgesetz</t>
        </is>
      </c>
      <c r="J6" s="2" t="inlineStr">
        <is>
          <t>Offizielle Quelle recherchiert</t>
        </is>
      </c>
      <c r="K6" s="2" t="inlineStr">
        <is>
          <t>Bundesgesetz (verbindlich)</t>
        </is>
      </c>
      <c r="L6" s="2" t="inlineStr">
        <is>
          <t>Bund</t>
        </is>
      </c>
      <c r="M6" s="5" t="inlineStr">
        <is>
          <t>https://www.fedlex.admin.ch/eli/cc/24/233_245_233/de</t>
        </is>
      </c>
      <c r="N6" s="2" t="inlineStr">
        <is>
          <t>SR 210, geltende Fassung</t>
        </is>
      </c>
      <c r="O6" s="2" t="inlineStr">
        <is>
          <t>2026-10-14</t>
        </is>
      </c>
      <c r="P6" s="2" t="inlineStr">
        <is>
          <t>Eigentum, Dienstbarkeiten und Baurechte als rechtlicher Rahmen</t>
        </is>
      </c>
      <c r="Q6" s="2" t="inlineStr">
        <is>
          <t>Baurecht, Dienstbarkeit, Eigentum</t>
        </is>
      </c>
      <c r="R6" s="2" t="inlineStr">
        <is>
          <t>Grundbuch und Verträge gemeindespezifisch prüfen</t>
        </is>
      </c>
      <c r="S6" s="2" t="inlineStr">
        <is>
          <t>Kein Peer-Vergleich</t>
        </is>
      </c>
      <c r="T6" s="2" t="inlineStr">
        <is>
          <t>Noch nicht bewertet</t>
        </is>
      </c>
      <c r="U6" s="2" t="inlineStr">
        <is>
          <t>Hoch</t>
        </is>
      </c>
      <c r="V6" s="2" t="inlineStr"/>
      <c r="W6" s="2" t="inlineStr">
        <is>
          <t>B; Q1</t>
        </is>
      </c>
      <c r="X6" s="2" t="inlineStr">
        <is>
          <t>Bodenmobilisierung / Verfügung prüfen</t>
        </is>
      </c>
      <c r="Y6" s="2" t="inlineStr">
        <is>
          <t>Dokument auswerten; Aktualität und Geltung prüfen</t>
        </is>
      </c>
      <c r="Z6" s="2" t="inlineStr">
        <is>
          <t>Offizielles Bundesportal; methodische Auswahl</t>
        </is>
      </c>
      <c r="AA6" s="2" t="inlineStr"/>
      <c r="AB6" s="2" t="inlineStr"/>
      <c r="AC6" s="2" t="inlineStr"/>
      <c r="AD6" s="2" t="inlineStr">
        <is>
          <t>Verifiziert</t>
        </is>
      </c>
      <c r="AE6" s="2" t="inlineStr">
        <is>
          <t>200</t>
        </is>
      </c>
      <c r="AF6" s="2" t="inlineStr"/>
      <c r="AG6" s="2" t="inlineStr">
        <is>
          <t>HTML</t>
        </is>
      </c>
      <c r="AH6" s="2" t="inlineStr">
        <is>
          <t>Bestätigt</t>
        </is>
      </c>
      <c r="AI6" s="2" t="inlineStr">
        <is>
          <t>Titel via Fedlex-SPARQL (https://fedlex.data.admin.ch/eli/cc/24/233_245_233); Schlüsselwörter 1/1 gefunden (Zivilgesetzbuch)</t>
        </is>
      </c>
      <c r="AJ6" s="2" t="inlineStr">
        <is>
          <t>Schweizerisches Zivilgesetzbuch vom 10. Dezember 1907 (ZGB)</t>
        </is>
      </c>
      <c r="AK6" s="2" t="inlineStr"/>
      <c r="AL6" s="2" t="inlineStr">
        <is>
          <t>Hoch (ELI-Permalink)</t>
        </is>
      </c>
      <c r="AM6" s="2" t="inlineStr">
        <is>
          <t>2026-10-14 13:53</t>
        </is>
      </c>
      <c r="AN6" s="2" t="inlineStr">
        <is>
          <t>Öffentlich verfügbar und verifiziert</t>
        </is>
      </c>
      <c r="AO6" s="2" t="inlineStr">
        <is>
          <t>SR 210, geltende Fassung</t>
        </is>
      </c>
      <c r="AP6" s="2" t="inlineStr">
        <is>
          <t>Belegt Existenz und Zugänglichkeit der Quelle; inhaltliche Aussagen erst nach Auswertung.</t>
        </is>
      </c>
      <c r="AQ6" s="2" t="inlineStr">
        <is>
          <t>Keine Einstufung: Kennzahlen/Befunde noch nicht ausgewertet; Schwellen der Bewertungslogik noch nicht validiert.</t>
        </is>
      </c>
      <c r="AR6" s="2" t="inlineStr">
        <is>
          <t>Nein</t>
        </is>
      </c>
      <c r="AS6" s="2" t="inlineStr">
        <is>
          <t>Bund</t>
        </is>
      </c>
      <c r="AT6" s="2" t="inlineStr">
        <is>
          <t>In Prüfung</t>
        </is>
      </c>
      <c r="AU6" s="2" t="inlineStr"/>
      <c r="AV6" s="2" t="inlineStr"/>
      <c r="AW6" s="2" t="inlineStr"/>
      <c r="AX6" s="2">
        <f>IF(ISNA(MATCH($A6,'Gesamtübersicht'!$A:$A,0)),"ID fehlt in Gesamtübersicht",IF(AND(INDEX('Gesamtübersicht'!$H:$H,MATCH($A6,'Gesamtübersicht'!$A:$A,0))&amp;""=$H6&amp;"",INDEX('Gesamtübersicht'!$M:$M,MATCH($A6,'Gesamtübersicht'!$A:$A,0))&amp;""=$M6&amp;"",INDEX('Gesamtübersicht'!$AD:$AD,MATCH($A6,'Gesamtübersicht'!$A:$A,0))&amp;""=$AD6&amp;"",INDEX('Gesamtübersicht'!$AH:$AH,MATCH($A6,'Gesamtübersicht'!$A:$A,0))&amp;""=$AH6&amp;"",INDEX('Gesamtübersicht'!$T:$T,MATCH($A6,'Gesamtübersicht'!$A:$A,0))&amp;""=$T6&amp;""),"OK","Abweichung – Ansicht neu erzeugen"))</f>
        <v/>
      </c>
    </row>
    <row r="7" ht="43" customHeight="1">
      <c r="A7" s="3" t="inlineStr">
        <is>
          <t>CH-C2-02</t>
        </is>
      </c>
      <c r="B7" s="13" t="inlineStr">
        <is>
          <t>Bund</t>
        </is>
      </c>
      <c r="C7" s="3" t="inlineStr">
        <is>
          <t>Schweiz</t>
        </is>
      </c>
      <c r="D7" s="3" t="inlineStr">
        <is>
          <t>Alle</t>
        </is>
      </c>
      <c r="E7" s="3" t="inlineStr">
        <is>
          <t>Alle</t>
        </is>
      </c>
      <c r="F7" s="3" t="inlineStr">
        <is>
          <t>C2</t>
        </is>
      </c>
      <c r="G7" s="3" t="inlineStr">
        <is>
          <t>Raumplanung / Baulandmobilisierung</t>
        </is>
      </c>
      <c r="H7" s="3" t="inlineStr">
        <is>
          <t>Bundesgesetz über die Raumplanung (RPG), SR 700</t>
        </is>
      </c>
      <c r="I7" s="3" t="inlineStr">
        <is>
          <t>Bundesgesetz</t>
        </is>
      </c>
      <c r="J7" s="3" t="inlineStr">
        <is>
          <t>Direktes Dokument</t>
        </is>
      </c>
      <c r="K7" s="3" t="inlineStr">
        <is>
          <t>Bundesgesetz (verbindlich)</t>
        </is>
      </c>
      <c r="L7" s="3" t="inlineStr">
        <is>
          <t>Bund</t>
        </is>
      </c>
      <c r="M7" s="7" t="inlineStr">
        <is>
          <t>https://www.fedlex.admin.ch/eli/cc/1979/1573_1573_1573/de</t>
        </is>
      </c>
      <c r="N7" s="3" t="inlineStr">
        <is>
          <t>SR 700, geltende Fassung</t>
        </is>
      </c>
      <c r="O7" s="3" t="inlineStr">
        <is>
          <t>2026-10-14</t>
        </is>
      </c>
      <c r="P7" s="3" t="inlineStr">
        <is>
          <t>Art. 15a RPG: Förderung der Verfügbarkeit von Bauland; Mehrwertausgleich Art. 5</t>
        </is>
      </c>
      <c r="Q7" s="3" t="inlineStr">
        <is>
          <t>Bauverpflichtung, Mehrwertabgabe</t>
        </is>
      </c>
      <c r="R7" s="3" t="inlineStr"/>
      <c r="S7" s="3" t="inlineStr">
        <is>
          <t>Kein Peer-Vergleich</t>
        </is>
      </c>
      <c r="T7" s="3" t="inlineStr">
        <is>
          <t>Noch nicht bewertet</t>
        </is>
      </c>
      <c r="U7" s="3" t="inlineStr">
        <is>
          <t>Hoch</t>
        </is>
      </c>
      <c r="V7" s="3" t="inlineStr"/>
      <c r="W7" s="3" t="inlineStr">
        <is>
          <t>B; Q1</t>
        </is>
      </c>
      <c r="X7" s="3" t="inlineStr"/>
      <c r="Y7" s="3" t="inlineStr">
        <is>
          <t>Dokument auswerten; Aktualität und Geltung prüfen</t>
        </is>
      </c>
      <c r="Z7" s="3" t="inlineStr">
        <is>
          <t>ELI-Permalink Fedlex; Identität per Fedlex-SPARQL geprüft</t>
        </is>
      </c>
      <c r="AA7" s="3" t="inlineStr"/>
      <c r="AB7" s="3" t="inlineStr"/>
      <c r="AC7" s="3" t="inlineStr"/>
      <c r="AD7" s="3" t="inlineStr">
        <is>
          <t>Verifiziert</t>
        </is>
      </c>
      <c r="AE7" s="3" t="inlineStr">
        <is>
          <t>200</t>
        </is>
      </c>
      <c r="AF7" s="3" t="inlineStr"/>
      <c r="AG7" s="3" t="inlineStr">
        <is>
          <t>HTML</t>
        </is>
      </c>
      <c r="AH7" s="3" t="inlineStr">
        <is>
          <t>Bestätigt</t>
        </is>
      </c>
      <c r="AI7" s="3" t="inlineStr">
        <is>
          <t>Titel via Fedlex-SPARQL (https://fedlex.data.admin.ch/eli/cc/1979/1573_1573_1573); Schlüsselwörter 1/1 gefunden (Raumplanung)</t>
        </is>
      </c>
      <c r="AJ7" s="3" t="inlineStr">
        <is>
          <t>Bundesgesetz vom 22. Juni 1979 über die Raumplanung (Raumplanungsgesetz, RPG) (RPG)</t>
        </is>
      </c>
      <c r="AK7" s="3" t="inlineStr"/>
      <c r="AL7" s="3" t="inlineStr">
        <is>
          <t>Hoch (ELI-Permalink)</t>
        </is>
      </c>
      <c r="AM7" s="3" t="inlineStr">
        <is>
          <t>2026-10-14 13:54</t>
        </is>
      </c>
      <c r="AN7" s="3" t="inlineStr">
        <is>
          <t>Öffentlich verfügbar und verifiziert</t>
        </is>
      </c>
      <c r="AO7" s="3" t="inlineStr">
        <is>
          <t>SR 700, geltende Fassung</t>
        </is>
      </c>
      <c r="AP7" s="3" t="inlineStr">
        <is>
          <t>Belegt Existenz und Zugänglichkeit der Quelle; inhaltliche Aussagen erst nach Auswertung.</t>
        </is>
      </c>
      <c r="AQ7" s="3" t="inlineStr">
        <is>
          <t>Keine Einstufung: Kennzahlen/Befunde noch nicht ausgewertet; Schwellen der Bewertungslogik noch nicht validiert.</t>
        </is>
      </c>
      <c r="AR7" s="3" t="inlineStr">
        <is>
          <t>Nein</t>
        </is>
      </c>
      <c r="AS7" s="3" t="inlineStr">
        <is>
          <t>Bund</t>
        </is>
      </c>
      <c r="AT7" s="3" t="inlineStr">
        <is>
          <t>In Prüfung</t>
        </is>
      </c>
      <c r="AU7" s="3" t="inlineStr"/>
      <c r="AV7" s="3" t="inlineStr"/>
      <c r="AW7" s="3" t="inlineStr">
        <is>
          <t>2026-10-14: neu aufgenommen</t>
        </is>
      </c>
      <c r="AX7" s="3">
        <f>IF(ISNA(MATCH($A7,'Gesamtübersicht'!$A:$A,0)),"ID fehlt in Gesamtübersicht",IF(AND(INDEX('Gesamtübersicht'!$H:$H,MATCH($A7,'Gesamtübersicht'!$A:$A,0))&amp;""=$H7&amp;"",INDEX('Gesamtübersicht'!$M:$M,MATCH($A7,'Gesamtübersicht'!$A:$A,0))&amp;""=$M7&amp;"",INDEX('Gesamtübersicht'!$AD:$AD,MATCH($A7,'Gesamtübersicht'!$A:$A,0))&amp;""=$AD7&amp;"",INDEX('Gesamtübersicht'!$AH:$AH,MATCH($A7,'Gesamtübersicht'!$A:$A,0))&amp;""=$AH7&amp;"",INDEX('Gesamtübersicht'!$T:$T,MATCH($A7,'Gesamtübersicht'!$A:$A,0))&amp;""=$T7&amp;""),"OK","Abweichung – Ansicht neu erzeugen"))</f>
        <v/>
      </c>
    </row>
    <row r="8" ht="43" customHeight="1">
      <c r="A8" s="2" t="inlineStr">
        <is>
          <t>CH-C3-01</t>
        </is>
      </c>
      <c r="B8" s="13" t="inlineStr">
        <is>
          <t>Bund</t>
        </is>
      </c>
      <c r="C8" s="2" t="inlineStr">
        <is>
          <t>Schweiz</t>
        </is>
      </c>
      <c r="D8" s="2" t="inlineStr">
        <is>
          <t>Alle</t>
        </is>
      </c>
      <c r="E8" s="2" t="inlineStr">
        <is>
          <t>Alle</t>
        </is>
      </c>
      <c r="F8" s="2" t="inlineStr">
        <is>
          <t>C3</t>
        </is>
      </c>
      <c r="G8" s="2" t="inlineStr">
        <is>
          <t>Interkommunale Zusammenarbeit</t>
        </is>
      </c>
      <c r="H8" s="2" t="inlineStr">
        <is>
          <t>Bundesverfassung der Schweizerischen Eidgenossenschaft</t>
        </is>
      </c>
      <c r="I8" s="2" t="inlineStr">
        <is>
          <t>Bundesverfassung</t>
        </is>
      </c>
      <c r="J8" s="2" t="inlineStr">
        <is>
          <t>Offizielle Quelle recherchiert</t>
        </is>
      </c>
      <c r="K8" s="2" t="inlineStr">
        <is>
          <t>Bundesverfassung (verbindlich)</t>
        </is>
      </c>
      <c r="L8" s="2" t="inlineStr">
        <is>
          <t>Bund</t>
        </is>
      </c>
      <c r="M8" s="5" t="inlineStr">
        <is>
          <t>https://www.fedlex.admin.ch/eli/cc/1999/404/de</t>
        </is>
      </c>
      <c r="N8" s="2" t="inlineStr">
        <is>
          <t>SR 101, geltende Fassung</t>
        </is>
      </c>
      <c r="O8" s="2" t="inlineStr">
        <is>
          <t>2026-10-14</t>
        </is>
      </c>
      <c r="P8" s="2" t="inlineStr">
        <is>
          <t>Grundlagen von Föderalismus und Gemeindeautonomie; Details kantonal</t>
        </is>
      </c>
      <c r="Q8" s="2" t="inlineStr">
        <is>
          <t>Zuständigkeits- und Kooperationsregeln</t>
        </is>
      </c>
      <c r="R8" s="2" t="inlineStr">
        <is>
          <t>Kantonale Gemeindeerlasse ergänzen</t>
        </is>
      </c>
      <c r="S8" s="2" t="inlineStr">
        <is>
          <t>Qualitative Reifegradskala</t>
        </is>
      </c>
      <c r="T8" s="2" t="inlineStr">
        <is>
          <t>Noch nicht bewertet</t>
        </is>
      </c>
      <c r="U8" s="2" t="inlineStr">
        <is>
          <t>Hoch</t>
        </is>
      </c>
      <c r="V8" s="2" t="inlineStr"/>
      <c r="W8" s="2" t="inlineStr">
        <is>
          <t>Q6; C4</t>
        </is>
      </c>
      <c r="X8" s="2" t="inlineStr">
        <is>
          <t>Trägerschaft und Kooperation beurteilen</t>
        </is>
      </c>
      <c r="Y8" s="2" t="inlineStr">
        <is>
          <t>Dokument auswerten; Aktualität und Geltung prüfen</t>
        </is>
      </c>
      <c r="Z8" s="2" t="inlineStr">
        <is>
          <t>Offizielles Bundesportal; methodische Auswahl</t>
        </is>
      </c>
      <c r="AA8" s="2" t="inlineStr">
        <is>
          <t>C5</t>
        </is>
      </c>
      <c r="AB8" s="2" t="inlineStr"/>
      <c r="AC8" s="2" t="inlineStr"/>
      <c r="AD8" s="2" t="inlineStr">
        <is>
          <t>Verifiziert</t>
        </is>
      </c>
      <c r="AE8" s="2" t="inlineStr">
        <is>
          <t>200</t>
        </is>
      </c>
      <c r="AF8" s="2" t="inlineStr"/>
      <c r="AG8" s="2" t="inlineStr">
        <is>
          <t>HTML</t>
        </is>
      </c>
      <c r="AH8" s="2" t="inlineStr">
        <is>
          <t>Bestätigt</t>
        </is>
      </c>
      <c r="AI8" s="2" t="inlineStr">
        <is>
          <t>Titel via Fedlex-SPARQL (https://fedlex.data.admin.ch/eli/cc/1999/404); Schlüsselwörter 1/1 gefunden (Bundesverfassung)</t>
        </is>
      </c>
      <c r="AJ8" s="2" t="inlineStr">
        <is>
          <t>Bundesverfassung der Schweizerischen Eidgenossenschaft vom 18. April 1999 (BV)</t>
        </is>
      </c>
      <c r="AK8" s="2" t="inlineStr"/>
      <c r="AL8" s="2" t="inlineStr">
        <is>
          <t>Hoch (ELI-Permalink)</t>
        </is>
      </c>
      <c r="AM8" s="2" t="inlineStr">
        <is>
          <t>2026-10-14 13:53</t>
        </is>
      </c>
      <c r="AN8" s="2" t="inlineStr">
        <is>
          <t>Öffentlich verfügbar und verifiziert</t>
        </is>
      </c>
      <c r="AO8" s="2" t="inlineStr">
        <is>
          <t>SR 101, geltende Fassung</t>
        </is>
      </c>
      <c r="AP8" s="2" t="inlineStr">
        <is>
          <t>Belegt Existenz und Zugänglichkeit der Quelle; inhaltliche Aussagen erst nach Auswertung.</t>
        </is>
      </c>
      <c r="AQ8" s="2" t="inlineStr">
        <is>
          <t>Keine Einstufung: Kennzahlen/Befunde noch nicht ausgewertet; Schwellen der Bewertungslogik noch nicht validiert.</t>
        </is>
      </c>
      <c r="AR8" s="2" t="inlineStr">
        <is>
          <t>Nein</t>
        </is>
      </c>
      <c r="AS8" s="2" t="inlineStr">
        <is>
          <t>Bund</t>
        </is>
      </c>
      <c r="AT8" s="2" t="inlineStr">
        <is>
          <t>In Prüfung</t>
        </is>
      </c>
      <c r="AU8" s="2" t="inlineStr"/>
      <c r="AV8" s="2" t="inlineStr">
        <is>
          <t>CH-C5-01</t>
        </is>
      </c>
      <c r="AW8" s="2" t="inlineStr"/>
      <c r="AX8" s="2">
        <f>IF(ISNA(MATCH($A8,'Gesamtübersicht'!$A:$A,0)),"ID fehlt in Gesamtübersicht",IF(AND(INDEX('Gesamtübersicht'!$H:$H,MATCH($A8,'Gesamtübersicht'!$A:$A,0))&amp;""=$H8&amp;"",INDEX('Gesamtübersicht'!$M:$M,MATCH($A8,'Gesamtübersicht'!$A:$A,0))&amp;""=$M8&amp;"",INDEX('Gesamtübersicht'!$AD:$AD,MATCH($A8,'Gesamtübersicht'!$A:$A,0))&amp;""=$AD8&amp;"",INDEX('Gesamtübersicht'!$AH:$AH,MATCH($A8,'Gesamtübersicht'!$A:$A,0))&amp;""=$AH8&amp;"",INDEX('Gesamtübersicht'!$T:$T,MATCH($A8,'Gesamtübersicht'!$A:$A,0))&amp;""=$T8&amp;""),"OK","Abweichung – Ansicht neu erzeugen"))</f>
        <v/>
      </c>
    </row>
    <row r="9" ht="43" customHeight="1">
      <c r="A9" s="3" t="inlineStr">
        <is>
          <t>CH-C4-01</t>
        </is>
      </c>
      <c r="B9" s="13" t="inlineStr">
        <is>
          <t>Bund</t>
        </is>
      </c>
      <c r="C9" s="3" t="inlineStr">
        <is>
          <t>Schweiz</t>
        </is>
      </c>
      <c r="D9" s="3" t="inlineStr">
        <is>
          <t>Alle</t>
        </is>
      </c>
      <c r="E9" s="3" t="inlineStr">
        <is>
          <t>Alle</t>
        </is>
      </c>
      <c r="F9" s="3" t="inlineStr">
        <is>
          <t>C4</t>
        </is>
      </c>
      <c r="G9" s="3" t="inlineStr">
        <is>
          <t>Öffentliche Beschaffung</t>
        </is>
      </c>
      <c r="H9" s="3" t="inlineStr">
        <is>
          <t>Bundesgesetz über das öffentliche Beschaffungswesen (BöB)</t>
        </is>
      </c>
      <c r="I9" s="3" t="inlineStr">
        <is>
          <t>Bundesgesetz</t>
        </is>
      </c>
      <c r="J9" s="3" t="inlineStr">
        <is>
          <t>Offizielle Quelle recherchiert</t>
        </is>
      </c>
      <c r="K9" s="3" t="inlineStr">
        <is>
          <t>Bundesgesetz (verbindlich für Bundesbeschaffungen; Gemeinden: IVöB/kantonales Recht)</t>
        </is>
      </c>
      <c r="L9" s="3" t="inlineStr">
        <is>
          <t>Bund</t>
        </is>
      </c>
      <c r="M9" s="7" t="inlineStr">
        <is>
          <t>https://www.fedlex.admin.ch/eli/cc/2020/126/de</t>
        </is>
      </c>
      <c r="N9" s="3" t="inlineStr">
        <is>
          <t>SR 172.056.1, geltende Fassung</t>
        </is>
      </c>
      <c r="O9" s="3" t="inlineStr">
        <is>
          <t>2026-10-14</t>
        </is>
      </c>
      <c r="P9" s="3" t="inlineStr">
        <is>
          <t>Beschaffungsrechtlicher Orientierungsrahmen; kommunale Geltung kantonal prüfen</t>
        </is>
      </c>
      <c r="Q9" s="3" t="inlineStr">
        <is>
          <t>Beschaffungsprozess, Zuständigkeit</t>
        </is>
      </c>
      <c r="R9" s="3" t="inlineStr">
        <is>
          <t>Kantonales Beschaffungsrecht vorrangig auf Geltung prüfen</t>
        </is>
      </c>
      <c r="S9" s="3" t="inlineStr">
        <is>
          <t>Qualitative Reifegradskala</t>
        </is>
      </c>
      <c r="T9" s="3" t="inlineStr">
        <is>
          <t>Noch nicht bewertet</t>
        </is>
      </c>
      <c r="U9" s="3" t="inlineStr">
        <is>
          <t>Hoch</t>
        </is>
      </c>
      <c r="V9" s="3" t="inlineStr"/>
      <c r="W9" s="3" t="inlineStr">
        <is>
          <t>Q6; C3</t>
        </is>
      </c>
      <c r="X9" s="3" t="inlineStr">
        <is>
          <t>Bestellerkompetenz / Umsetzungsorganisation</t>
        </is>
      </c>
      <c r="Y9" s="3" t="inlineStr">
        <is>
          <t>Dokument auswerten; Aktualität und Geltung prüfen</t>
        </is>
      </c>
      <c r="Z9" s="3" t="inlineStr">
        <is>
          <t>Offizielles Bundesportal; methodische Auswahl</t>
        </is>
      </c>
      <c r="AA9" s="3" t="inlineStr"/>
      <c r="AB9" s="3" t="inlineStr"/>
      <c r="AC9" s="3" t="inlineStr"/>
      <c r="AD9" s="3" t="inlineStr">
        <is>
          <t>Verifiziert</t>
        </is>
      </c>
      <c r="AE9" s="3" t="inlineStr">
        <is>
          <t>200</t>
        </is>
      </c>
      <c r="AF9" s="3" t="inlineStr"/>
      <c r="AG9" s="3" t="inlineStr">
        <is>
          <t>HTML</t>
        </is>
      </c>
      <c r="AH9" s="3" t="inlineStr">
        <is>
          <t>Bestätigt</t>
        </is>
      </c>
      <c r="AI9" s="3" t="inlineStr">
        <is>
          <t>Titel via Fedlex-SPARQL (https://fedlex.data.admin.ch/eli/cc/2020/126); Schlüsselwörter 1/1 gefunden (öffentliche Beschaffungswesen)</t>
        </is>
      </c>
      <c r="AJ9" s="3" t="inlineStr">
        <is>
          <t>Bundesgesetz vom 21. Juni 2019 über das öffentliche Beschaffungswesen (BöB) (BöB)</t>
        </is>
      </c>
      <c r="AK9" s="3" t="inlineStr">
        <is>
          <t>2019</t>
        </is>
      </c>
      <c r="AL9" s="3" t="inlineStr">
        <is>
          <t>Hoch (ELI-Permalink)</t>
        </is>
      </c>
      <c r="AM9" s="3" t="inlineStr">
        <is>
          <t>2026-10-14 13:53</t>
        </is>
      </c>
      <c r="AN9" s="3" t="inlineStr">
        <is>
          <t>Öffentlich verfügbar und verifiziert</t>
        </is>
      </c>
      <c r="AO9" s="3" t="inlineStr">
        <is>
          <t>SR 172.056.1, geltende Fassung</t>
        </is>
      </c>
      <c r="AP9" s="3" t="inlineStr">
        <is>
          <t>Belegt Existenz und Zugänglichkeit der Quelle; inhaltliche Aussagen erst nach Auswertung.</t>
        </is>
      </c>
      <c r="AQ9" s="3" t="inlineStr">
        <is>
          <t>Keine Einstufung: Kennzahlen/Befunde noch nicht ausgewertet; Schwellen der Bewertungslogik noch nicht validiert.</t>
        </is>
      </c>
      <c r="AR9" s="3" t="inlineStr">
        <is>
          <t>Nein</t>
        </is>
      </c>
      <c r="AS9" s="3" t="inlineStr">
        <is>
          <t>Bund</t>
        </is>
      </c>
      <c r="AT9" s="3" t="inlineStr">
        <is>
          <t>In Prüfung</t>
        </is>
      </c>
      <c r="AU9" s="3" t="inlineStr"/>
      <c r="AV9" s="3" t="inlineStr"/>
      <c r="AW9" s="3" t="inlineStr"/>
      <c r="AX9" s="3">
        <f>IF(ISNA(MATCH($A9,'Gesamtübersicht'!$A:$A,0)),"ID fehlt in Gesamtübersicht",IF(AND(INDEX('Gesamtübersicht'!$H:$H,MATCH($A9,'Gesamtübersicht'!$A:$A,0))&amp;""=$H9&amp;"",INDEX('Gesamtübersicht'!$M:$M,MATCH($A9,'Gesamtübersicht'!$A:$A,0))&amp;""=$M9&amp;"",INDEX('Gesamtübersicht'!$AD:$AD,MATCH($A9,'Gesamtübersicht'!$A:$A,0))&amp;""=$AD9&amp;"",INDEX('Gesamtübersicht'!$AH:$AH,MATCH($A9,'Gesamtübersicht'!$A:$A,0))&amp;""=$AH9&amp;"",INDEX('Gesamtübersicht'!$T:$T,MATCH($A9,'Gesamtübersicht'!$A:$A,0))&amp;""=$T9&amp;""),"OK","Abweichung – Ansicht neu erzeugen"))</f>
        <v/>
      </c>
    </row>
    <row r="10" ht="43" customHeight="1">
      <c r="A10" s="2" t="inlineStr">
        <is>
          <t>CH-C4-02</t>
        </is>
      </c>
      <c r="B10" s="13" t="inlineStr">
        <is>
          <t>Bund</t>
        </is>
      </c>
      <c r="C10" s="2" t="inlineStr">
        <is>
          <t>Schweiz</t>
        </is>
      </c>
      <c r="D10" s="2" t="inlineStr">
        <is>
          <t>Alle</t>
        </is>
      </c>
      <c r="E10" s="2" t="inlineStr">
        <is>
          <t>Alle</t>
        </is>
      </c>
      <c r="F10" s="2" t="inlineStr">
        <is>
          <t>C4</t>
        </is>
      </c>
      <c r="G10" s="2" t="inlineStr">
        <is>
          <t>Gemeindekennzahlen</t>
        </is>
      </c>
      <c r="H10" s="2" t="inlineStr">
        <is>
          <t>BFS: Regionalporträts – Kennzahlen aller Gemeinden (Datensatz)</t>
        </is>
      </c>
      <c r="I10" s="2" t="inlineStr">
        <is>
          <t>Datensatz</t>
        </is>
      </c>
      <c r="J10" s="2" t="inlineStr">
        <is>
          <t>Direktes Dokument</t>
        </is>
      </c>
      <c r="K10" s="2" t="inlineStr">
        <is>
          <t>Datengrundlage</t>
        </is>
      </c>
      <c r="L10" s="2" t="inlineStr">
        <is>
          <t>Bundesamt für Statistik (BFS)</t>
        </is>
      </c>
      <c r="M10" s="5" t="inlineStr">
        <is>
          <t>https://ckan.opendata.swiss/dataset/regionalportrats-2021-kennzahlen-aller-gemeinden</t>
        </is>
      </c>
      <c r="N10" s="2" t="inlineStr">
        <is>
          <t>2021 (neuere Ausgabe prüfen)</t>
        </is>
      </c>
      <c r="O10" s="2" t="inlineStr">
        <is>
          <t>2026-10-14</t>
        </is>
      </c>
      <c r="P10" s="2" t="inlineStr">
        <is>
          <t>Strukturdaten (Einwohner, Fläche) zur Bildung der Grössenklassen</t>
        </is>
      </c>
      <c r="Q10" s="2" t="inlineStr"/>
      <c r="R10" s="2" t="inlineStr"/>
      <c r="S10" s="2" t="inlineStr">
        <is>
          <t>Grössenklasse</t>
        </is>
      </c>
      <c r="T10" s="2" t="inlineStr">
        <is>
          <t>Noch nicht bewertet</t>
        </is>
      </c>
      <c r="U10" s="2" t="inlineStr">
        <is>
          <t>Mittel</t>
        </is>
      </c>
      <c r="V10" s="2" t="inlineStr"/>
      <c r="W10" s="2" t="inlineStr"/>
      <c r="X10" s="2" t="inlineStr"/>
      <c r="Y10" s="2" t="inlineStr">
        <is>
          <t>Dokument auswerten; Aktualität und Geltung prüfen</t>
        </is>
      </c>
      <c r="Z10" s="2" t="inlineStr">
        <is>
          <t>Websuche 14.10.2026 (URL im Suchergebnis gefunden)</t>
        </is>
      </c>
      <c r="AA10" s="2" t="inlineStr">
        <is>
          <t>C1</t>
        </is>
      </c>
      <c r="AB10" s="2" t="inlineStr"/>
      <c r="AC10" s="2" t="inlineStr"/>
      <c r="AD10" s="2" t="inlineStr">
        <is>
          <t>Verifiziert</t>
        </is>
      </c>
      <c r="AE10" s="2" t="inlineStr">
        <is>
          <t>200</t>
        </is>
      </c>
      <c r="AF10" s="2" t="inlineStr"/>
      <c r="AG10" s="2" t="inlineStr">
        <is>
          <t>HTML</t>
        </is>
      </c>
      <c r="AH10" s="2" t="inlineStr">
        <is>
          <t>Bestätigt</t>
        </is>
      </c>
      <c r="AI10" s="2" t="inlineStr">
        <is>
          <t>Schlüsselwörter 1/1 gefunden (Regionalporträts)</t>
        </is>
      </c>
      <c r="AJ10" s="2" t="inlineStr">
        <is>
          <t>Regional portraits 2021: key data of all communes - Dataset - opendata.swiss | Regional portraits 2021: key data of all communes</t>
        </is>
      </c>
      <c r="AK10" s="2" t="inlineStr">
        <is>
          <t>2021, 2019, 2004</t>
        </is>
      </c>
      <c r="AL10" s="2" t="inlineStr">
        <is>
          <t>Mittel (Webseite)</t>
        </is>
      </c>
      <c r="AM10" s="2" t="inlineStr">
        <is>
          <t>2026-10-14 13:54</t>
        </is>
      </c>
      <c r="AN10" s="2" t="inlineStr">
        <is>
          <t>Öffentlich verfügbar und verifiziert</t>
        </is>
      </c>
      <c r="AO10" s="2" t="inlineStr">
        <is>
          <t>2021 (neuere Ausgabe prüfen)</t>
        </is>
      </c>
      <c r="AP10" s="2" t="inlineStr">
        <is>
          <t>Belegt Existenz und Zugänglichkeit der Quelle; inhaltliche Aussagen erst nach Auswertung.</t>
        </is>
      </c>
      <c r="AQ10" s="2" t="inlineStr">
        <is>
          <t>Keine Einstufung: Kennzahlen/Befunde noch nicht ausgewertet; Schwellen der Bewertungslogik noch nicht validiert.</t>
        </is>
      </c>
      <c r="AR10" s="2" t="inlineStr">
        <is>
          <t>Nein</t>
        </is>
      </c>
      <c r="AS10" s="2" t="inlineStr">
        <is>
          <t>Bundesamt für Statistik (BFS)</t>
        </is>
      </c>
      <c r="AT10" s="2" t="inlineStr">
        <is>
          <t>In Prüfung</t>
        </is>
      </c>
      <c r="AU10" s="2" t="inlineStr">
        <is>
          <t>Ausgabe 2021; aktuelle Ausgabe beim BFS prüfen.</t>
        </is>
      </c>
      <c r="AV10" s="2" t="inlineStr"/>
      <c r="AW10" s="2" t="inlineStr">
        <is>
          <t>2026-10-14: neu aufgenommen</t>
        </is>
      </c>
      <c r="AX10" s="2">
        <f>IF(ISNA(MATCH($A10,'Gesamtübersicht'!$A:$A,0)),"ID fehlt in Gesamtübersicht",IF(AND(INDEX('Gesamtübersicht'!$H:$H,MATCH($A10,'Gesamtübersicht'!$A:$A,0))&amp;""=$H10&amp;"",INDEX('Gesamtübersicht'!$M:$M,MATCH($A10,'Gesamtübersicht'!$A:$A,0))&amp;""=$M10&amp;"",INDEX('Gesamtübersicht'!$AD:$AD,MATCH($A10,'Gesamtübersicht'!$A:$A,0))&amp;""=$AD10&amp;"",INDEX('Gesamtübersicht'!$AH:$AH,MATCH($A10,'Gesamtübersicht'!$A:$A,0))&amp;""=$AH10&amp;"",INDEX('Gesamtübersicht'!$T:$T,MATCH($A10,'Gesamtübersicht'!$A:$A,0))&amp;""=$T10&amp;""),"OK","Abweichung – Ansicht neu erzeugen"))</f>
        <v/>
      </c>
    </row>
    <row r="11" ht="43" customHeight="1">
      <c r="A11" s="3" t="inlineStr">
        <is>
          <t>CH-C5-01</t>
        </is>
      </c>
      <c r="B11" s="13" t="inlineStr">
        <is>
          <t>Bund</t>
        </is>
      </c>
      <c r="C11" s="3" t="inlineStr">
        <is>
          <t>Schweiz</t>
        </is>
      </c>
      <c r="D11" s="3" t="inlineStr">
        <is>
          <t>Alle</t>
        </is>
      </c>
      <c r="E11" s="3" t="inlineStr">
        <is>
          <t>Alle</t>
        </is>
      </c>
      <c r="F11" s="3" t="inlineStr">
        <is>
          <t>C5</t>
        </is>
      </c>
      <c r="G11" s="3" t="inlineStr">
        <is>
          <t>Politische Rechte</t>
        </is>
      </c>
      <c r="H11" s="3" t="inlineStr">
        <is>
          <t>Bundesverfassung der Schweizerischen Eidgenossenschaft</t>
        </is>
      </c>
      <c r="I11" s="3" t="inlineStr">
        <is>
          <t>Bundesverfassung</t>
        </is>
      </c>
      <c r="J11" s="3" t="inlineStr">
        <is>
          <t>Offizielle Quelle recherchiert</t>
        </is>
      </c>
      <c r="K11" s="3" t="inlineStr">
        <is>
          <t>Bundesverfassung (verbindlich)</t>
        </is>
      </c>
      <c r="L11" s="3" t="inlineStr">
        <is>
          <t>Bund</t>
        </is>
      </c>
      <c r="M11" s="7" t="inlineStr">
        <is>
          <t>https://www.fedlex.admin.ch/eli/cc/1999/404/de</t>
        </is>
      </c>
      <c r="N11" s="3" t="inlineStr">
        <is>
          <t>SR 101, geltende Fassung</t>
        </is>
      </c>
      <c r="O11" s="3" t="inlineStr">
        <is>
          <t>2026-10-14</t>
        </is>
      </c>
      <c r="P11" s="3" t="inlineStr">
        <is>
          <t>Demokratische Grundrechte und Beteiligung; konkrete kommunale Verfahren kantonal</t>
        </is>
      </c>
      <c r="Q11" s="3" t="inlineStr">
        <is>
          <t>Mitwirkung / Legitimation</t>
        </is>
      </c>
      <c r="R11" s="3" t="inlineStr">
        <is>
          <t>Kommunale und kantonale Bestimmungen ergänzen</t>
        </is>
      </c>
      <c r="S11" s="3" t="inlineStr">
        <is>
          <t>Qualitative Reifegradskala</t>
        </is>
      </c>
      <c r="T11" s="3" t="inlineStr">
        <is>
          <t>Noch nicht bewertet</t>
        </is>
      </c>
      <c r="U11" s="3" t="inlineStr">
        <is>
          <t>Hoch</t>
        </is>
      </c>
      <c r="V11" s="3" t="inlineStr"/>
      <c r="W11" s="3" t="inlineStr">
        <is>
          <t>Q1; C3</t>
        </is>
      </c>
      <c r="X11" s="3" t="inlineStr">
        <is>
          <t>Politische Machbarkeit</t>
        </is>
      </c>
      <c r="Y11" s="3" t="inlineStr">
        <is>
          <t>Dokument auswerten; Aktualität und Geltung prüfen</t>
        </is>
      </c>
      <c r="Z11" s="3" t="inlineStr">
        <is>
          <t>Offizielles Bundesportal; methodische Auswahl</t>
        </is>
      </c>
      <c r="AA11" s="3" t="inlineStr">
        <is>
          <t>C3</t>
        </is>
      </c>
      <c r="AB11" s="3" t="inlineStr"/>
      <c r="AC11" s="3" t="inlineStr"/>
      <c r="AD11" s="3" t="inlineStr">
        <is>
          <t>Verifiziert</t>
        </is>
      </c>
      <c r="AE11" s="3" t="inlineStr">
        <is>
          <t>200</t>
        </is>
      </c>
      <c r="AF11" s="3" t="inlineStr"/>
      <c r="AG11" s="3" t="inlineStr">
        <is>
          <t>HTML</t>
        </is>
      </c>
      <c r="AH11" s="3" t="inlineStr">
        <is>
          <t>Bestätigt</t>
        </is>
      </c>
      <c r="AI11" s="3" t="inlineStr">
        <is>
          <t>Titel via Fedlex-SPARQL (https://fedlex.data.admin.ch/eli/cc/1999/404); Schlüsselwörter 1/1 gefunden (Bundesverfassung)</t>
        </is>
      </c>
      <c r="AJ11" s="3" t="inlineStr">
        <is>
          <t>Bundesverfassung der Schweizerischen Eidgenossenschaft vom 18. April 1999 (BV)</t>
        </is>
      </c>
      <c r="AK11" s="3" t="inlineStr"/>
      <c r="AL11" s="3" t="inlineStr">
        <is>
          <t>Hoch (ELI-Permalink)</t>
        </is>
      </c>
      <c r="AM11" s="3" t="inlineStr">
        <is>
          <t>2026-10-14 13:53</t>
        </is>
      </c>
      <c r="AN11" s="3" t="inlineStr">
        <is>
          <t>Öffentlich verfügbar und verifiziert</t>
        </is>
      </c>
      <c r="AO11" s="3" t="inlineStr">
        <is>
          <t>SR 101, geltende Fassung</t>
        </is>
      </c>
      <c r="AP11" s="3" t="inlineStr">
        <is>
          <t>Belegt Existenz und Zugänglichkeit der Quelle; inhaltliche Aussagen erst nach Auswertung.</t>
        </is>
      </c>
      <c r="AQ11" s="3" t="inlineStr">
        <is>
          <t>Keine Einstufung: Kennzahlen/Befunde noch nicht ausgewertet; Schwellen der Bewertungslogik noch nicht validiert.</t>
        </is>
      </c>
      <c r="AR11" s="3" t="inlineStr">
        <is>
          <t>Nein</t>
        </is>
      </c>
      <c r="AS11" s="3" t="inlineStr">
        <is>
          <t>Bund</t>
        </is>
      </c>
      <c r="AT11" s="3" t="inlineStr">
        <is>
          <t>In Prüfung</t>
        </is>
      </c>
      <c r="AU11" s="3" t="inlineStr">
        <is>
          <t>Gleiche Quelle wie CH-C3-01; bewusst doppelt geführt (Zuordnung C5 politische Rechte).</t>
        </is>
      </c>
      <c r="AV11" s="3" t="inlineStr">
        <is>
          <t>CH-C3-01</t>
        </is>
      </c>
      <c r="AW11" s="3" t="inlineStr"/>
      <c r="AX11" s="3">
        <f>IF(ISNA(MATCH($A11,'Gesamtübersicht'!$A:$A,0)),"ID fehlt in Gesamtübersicht",IF(AND(INDEX('Gesamtübersicht'!$H:$H,MATCH($A11,'Gesamtübersicht'!$A:$A,0))&amp;""=$H11&amp;"",INDEX('Gesamtübersicht'!$M:$M,MATCH($A11,'Gesamtübersicht'!$A:$A,0))&amp;""=$M11&amp;"",INDEX('Gesamtübersicht'!$AD:$AD,MATCH($A11,'Gesamtübersicht'!$A:$A,0))&amp;""=$AD11&amp;"",INDEX('Gesamtübersicht'!$AH:$AH,MATCH($A11,'Gesamtübersicht'!$A:$A,0))&amp;""=$AH11&amp;"",INDEX('Gesamtübersicht'!$T:$T,MATCH($A11,'Gesamtübersicht'!$A:$A,0))&amp;""=$T11&amp;""),"OK","Abweichung – Ansicht neu erzeugen"))</f>
        <v/>
      </c>
    </row>
    <row r="12" ht="43" customHeight="1">
      <c r="A12" s="2" t="inlineStr">
        <is>
          <t>BL-C1-01</t>
        </is>
      </c>
      <c r="B12" s="14" t="inlineStr">
        <is>
          <t>Kanton</t>
        </is>
      </c>
      <c r="C12" s="2" t="inlineStr">
        <is>
          <t>Schweiz</t>
        </is>
      </c>
      <c r="D12" s="2" t="inlineStr">
        <is>
          <t>Basel-Landschaft</t>
        </is>
      </c>
      <c r="E12" s="2" t="inlineStr">
        <is>
          <t>Alle</t>
        </is>
      </c>
      <c r="F12" s="2" t="inlineStr">
        <is>
          <t>C1</t>
        </is>
      </c>
      <c r="G12" s="2" t="inlineStr">
        <is>
          <t>Gemeindefinanzen</t>
        </is>
      </c>
      <c r="H12" s="2" t="inlineStr">
        <is>
          <t>Statistik Basel-Landschaft: Gemeindefinanzen / Finanzausgleich</t>
        </is>
      </c>
      <c r="I12" s="2" t="inlineStr">
        <is>
          <t>Statistik</t>
        </is>
      </c>
      <c r="J12" s="2" t="inlineStr">
        <is>
          <t>Offizielle Quelle recherchiert</t>
        </is>
      </c>
      <c r="K12" s="2" t="inlineStr">
        <is>
          <t>Orientierung / Datengrundlage</t>
        </is>
      </c>
      <c r="L12" s="2" t="inlineStr">
        <is>
          <t>Kanton Basel-Landschaft</t>
        </is>
      </c>
      <c r="M12" s="5" t="inlineStr">
        <is>
          <t>https://statistik.bl.ch/web_portal/18_5</t>
        </is>
      </c>
      <c r="N12" s="2" t="inlineStr">
        <is>
          <t>Zu prüfen</t>
        </is>
      </c>
      <c r="O12" s="2" t="inlineStr">
        <is>
          <t>2026-10-14</t>
        </is>
      </c>
      <c r="P12" s="2" t="inlineStr">
        <is>
          <t>Finanz- und Finanzausgleichsdaten nach Gemeinde</t>
        </is>
      </c>
      <c r="Q12" s="2" t="inlineStr">
        <is>
          <t>Finanzausgleich, Finanzkennzahlen</t>
        </is>
      </c>
      <c r="R12" s="2" t="inlineStr">
        <is>
          <t>Münchenstein herausfiltern</t>
        </is>
      </c>
      <c r="S12" s="2" t="inlineStr">
        <is>
          <t>Kanton × Grössenklasse</t>
        </is>
      </c>
      <c r="T12" s="2" t="inlineStr">
        <is>
          <t>Noch nicht bewertet</t>
        </is>
      </c>
      <c r="U12" s="2" t="inlineStr">
        <is>
          <t>Mittel</t>
        </is>
      </c>
      <c r="V12" s="2" t="inlineStr">
        <is>
          <t>Geltende kantonale Detailgrundlage und Datenstand prüfen</t>
        </is>
      </c>
      <c r="W12" s="2" t="inlineStr">
        <is>
          <t>A1; C1</t>
        </is>
      </c>
      <c r="X12" s="2" t="inlineStr">
        <is>
          <t>Finanztragfähigkeit</t>
        </is>
      </c>
      <c r="Y12" s="2" t="inlineStr">
        <is>
          <t>Dokument auswerten; Aktualität und Geltung prüfen</t>
        </is>
      </c>
      <c r="Z12" s="2" t="inlineStr">
        <is>
          <t>Webrecherche 14.10.2026</t>
        </is>
      </c>
      <c r="AA12" s="2" t="inlineStr"/>
      <c r="AB12" s="2" t="inlineStr"/>
      <c r="AC12" s="2" t="inlineStr"/>
      <c r="AD12" s="2" t="inlineStr">
        <is>
          <t>Verifiziert</t>
        </is>
      </c>
      <c r="AE12" s="2" t="inlineStr">
        <is>
          <t>200</t>
        </is>
      </c>
      <c r="AF12" s="2" t="inlineStr"/>
      <c r="AG12" s="2" t="inlineStr">
        <is>
          <t>HTML</t>
        </is>
      </c>
      <c r="AH12" s="2" t="inlineStr">
        <is>
          <t>Bestätigt</t>
        </is>
      </c>
      <c r="AI12" s="2" t="inlineStr">
        <is>
          <t>Schlüsselwörter 1/1 gefunden (Gemeindefinanzen); Ort/Zuständigkeit: Basel-Landschaft, Baselland</t>
        </is>
      </c>
      <c r="AJ12" s="2" t="inlineStr">
        <is>
          <t>Statistik Baselland</t>
        </is>
      </c>
      <c r="AK12" s="2" t="inlineStr">
        <is>
          <t>2026, 2025, 2024, 2023, 2022, 2021</t>
        </is>
      </c>
      <c r="AL12" s="2" t="inlineStr">
        <is>
          <t>Mittel (Webseite)</t>
        </is>
      </c>
      <c r="AM12" s="2" t="inlineStr">
        <is>
          <t>2026-10-14 13:53</t>
        </is>
      </c>
      <c r="AN12" s="2" t="inlineStr">
        <is>
          <t>Öffentlich verfügbar und verifiziert</t>
        </is>
      </c>
      <c r="AO12" s="2" t="inlineStr">
        <is>
          <t>Zu prüfen</t>
        </is>
      </c>
      <c r="AP12" s="2" t="inlineStr">
        <is>
          <t>Belegt Existenz und Zugänglichkeit der Quelle; inhaltliche Aussagen erst nach Auswertung.</t>
        </is>
      </c>
      <c r="AQ12" s="2" t="inlineStr">
        <is>
          <t>Keine Einstufung: Kennzahlen/Befunde noch nicht ausgewertet; Schwellen der Bewertungslogik noch nicht validiert.</t>
        </is>
      </c>
      <c r="AR12" s="2" t="inlineStr">
        <is>
          <t>Nein</t>
        </is>
      </c>
      <c r="AS12" s="2" t="inlineStr">
        <is>
          <t>Kanton Basel-Landschaft</t>
        </is>
      </c>
      <c r="AT12" s="2" t="inlineStr">
        <is>
          <t>In Prüfung</t>
        </is>
      </c>
      <c r="AU12" s="2" t="inlineStr"/>
      <c r="AV12" s="2" t="inlineStr"/>
      <c r="AW12" s="2" t="inlineStr"/>
      <c r="AX12" s="2">
        <f>IF(ISNA(MATCH($A12,'Gesamtübersicht'!$A:$A,0)),"ID fehlt in Gesamtübersicht",IF(AND(INDEX('Gesamtübersicht'!$H:$H,MATCH($A12,'Gesamtübersicht'!$A:$A,0))&amp;""=$H12&amp;"",INDEX('Gesamtübersicht'!$M:$M,MATCH($A12,'Gesamtübersicht'!$A:$A,0))&amp;""=$M12&amp;"",INDEX('Gesamtübersicht'!$AD:$AD,MATCH($A12,'Gesamtübersicht'!$A:$A,0))&amp;""=$AD12&amp;"",INDEX('Gesamtübersicht'!$AH:$AH,MATCH($A12,'Gesamtübersicht'!$A:$A,0))&amp;""=$AH12&amp;"",INDEX('Gesamtübersicht'!$T:$T,MATCH($A12,'Gesamtübersicht'!$A:$A,0))&amp;""=$T12&amp;""),"OK","Abweichung – Ansicht neu erzeugen"))</f>
        <v/>
      </c>
    </row>
    <row r="13" ht="43" customHeight="1">
      <c r="A13" s="3" t="inlineStr">
        <is>
          <t>BL-C1-02</t>
        </is>
      </c>
      <c r="B13" s="14" t="inlineStr">
        <is>
          <t>Kanton</t>
        </is>
      </c>
      <c r="C13" s="3" t="inlineStr">
        <is>
          <t>Schweiz</t>
        </is>
      </c>
      <c r="D13" s="3" t="inlineStr">
        <is>
          <t>Basel-Landschaft</t>
        </is>
      </c>
      <c r="E13" s="3" t="inlineStr">
        <is>
          <t>Alle</t>
        </is>
      </c>
      <c r="F13" s="3" t="inlineStr">
        <is>
          <t>C1</t>
        </is>
      </c>
      <c r="G13" s="3" t="inlineStr">
        <is>
          <t>Rechnungslegung</t>
        </is>
      </c>
      <c r="H13" s="3" t="inlineStr">
        <is>
          <t>Gemeindefinanzen BL: Rechnungslegung und Excel-Vorlagen</t>
        </is>
      </c>
      <c r="I13" s="3" t="inlineStr">
        <is>
          <t>Arbeitshilfe</t>
        </is>
      </c>
      <c r="J13" s="3" t="inlineStr">
        <is>
          <t>Offizielle Quelle recherchiert</t>
        </is>
      </c>
      <c r="K13" s="3" t="inlineStr">
        <is>
          <t>Orientierung / Datengrundlage</t>
        </is>
      </c>
      <c r="L13" s="3" t="inlineStr">
        <is>
          <t>Kanton Basel-Landschaft</t>
        </is>
      </c>
      <c r="M13" s="7" t="inlineStr">
        <is>
          <t>https://www.baselland.ch/politik-und-behorden/gemeinden/gemeindefinanzen/rechnungslegung-einwohnergemeinden/excel-vorlagen</t>
        </is>
      </c>
      <c r="N13" s="3" t="inlineStr">
        <is>
          <t>Zu prüfen</t>
        </is>
      </c>
      <c r="O13" s="3" t="inlineStr">
        <is>
          <t>14.10.2026</t>
        </is>
      </c>
      <c r="P13" s="3" t="inlineStr">
        <is>
          <t>HRM2-Struktur, Bilanz und Investitionsrechnung</t>
        </is>
      </c>
      <c r="Q13" s="3" t="inlineStr">
        <is>
          <t>Investitionen / Bilanz</t>
        </is>
      </c>
      <c r="R13" s="3" t="inlineStr">
        <is>
          <t>Jahresrechnung nach einheitlichem Raster auswerten</t>
        </is>
      </c>
      <c r="S13" s="3" t="inlineStr">
        <is>
          <t>Kanton × Grössenklasse</t>
        </is>
      </c>
      <c r="T13" s="3" t="inlineStr">
        <is>
          <t>Noch nicht bewertet</t>
        </is>
      </c>
      <c r="U13" s="3" t="inlineStr">
        <is>
          <t>Mittel</t>
        </is>
      </c>
      <c r="V13" s="3" t="inlineStr">
        <is>
          <t>Geltende kantonale Detailgrundlage und Datenstand prüfen</t>
        </is>
      </c>
      <c r="W13" s="3" t="inlineStr">
        <is>
          <t>C1</t>
        </is>
      </c>
      <c r="X13" s="3" t="inlineStr">
        <is>
          <t>Vergleichbarkeit</t>
        </is>
      </c>
      <c r="Y13" s="3" t="inlineStr">
        <is>
          <t>Dokument auswerten; Aktualität und Geltung prüfen</t>
        </is>
      </c>
      <c r="Z13" s="3" t="inlineStr">
        <is>
          <t>Webrecherche 14.10.2026</t>
        </is>
      </c>
      <c r="AA13" s="3" t="inlineStr"/>
      <c r="AB13" s="3" t="inlineStr"/>
      <c r="AC13" s="3" t="inlineStr"/>
      <c r="AD13" s="3" t="inlineStr">
        <is>
          <t>Nicht prüfbar</t>
        </is>
      </c>
      <c r="AE13" s="3" t="inlineStr">
        <is>
          <t>403</t>
        </is>
      </c>
      <c r="AF13" s="3" t="inlineStr"/>
      <c r="AG13" s="3" t="inlineStr"/>
      <c r="AH13" s="3" t="inlineStr">
        <is>
          <t>Offen</t>
        </is>
      </c>
      <c r="AI13" s="3" t="inlineStr">
        <is>
          <t>Zugriff verweigert/gedrosselt (HTTP 403); keine Umgehung versucht</t>
        </is>
      </c>
      <c r="AJ13" s="3" t="inlineStr"/>
      <c r="AK13" s="3" t="inlineStr"/>
      <c r="AL13" s="3" t="inlineStr">
        <is>
          <t>Mittel (Webseite)</t>
        </is>
      </c>
      <c r="AM13" s="3" t="inlineStr">
        <is>
          <t>2026-10-14 13:53</t>
        </is>
      </c>
      <c r="AN13" s="3" t="inlineStr">
        <is>
          <t>Nicht zugänglich / nicht prüfbar</t>
        </is>
      </c>
      <c r="AO13" s="3" t="inlineStr">
        <is>
          <t>Zu prüfen</t>
        </is>
      </c>
      <c r="AP13" s="3" t="inlineStr">
        <is>
          <t>Belegt Existenz und Zugänglichkeit der Quelle; inhaltliche Aussagen erst nach Auswertung.</t>
        </is>
      </c>
      <c r="AQ13" s="3" t="inlineStr">
        <is>
          <t>Keine Einstufung: Kennzahlen/Befunde noch nicht ausgewertet; Schwellen der Bewertungslogik noch nicht validiert.</t>
        </is>
      </c>
      <c r="AR13" s="3" t="inlineStr">
        <is>
          <t>Nein</t>
        </is>
      </c>
      <c r="AS13" s="3" t="inlineStr">
        <is>
          <t>Kanton Basel-Landschaft</t>
        </is>
      </c>
      <c r="AT13" s="3" t="inlineStr">
        <is>
          <t>Offen</t>
        </is>
      </c>
      <c r="AU13" s="3" t="inlineStr">
        <is>
          <t>Automatisch nicht prüfbar – manuell im Browser prüfen</t>
        </is>
      </c>
      <c r="AV13" s="3" t="inlineStr"/>
      <c r="AW13" s="3" t="inlineStr"/>
      <c r="AX13" s="3">
        <f>IF(ISNA(MATCH($A13,'Gesamtübersicht'!$A:$A,0)),"ID fehlt in Gesamtübersicht",IF(AND(INDEX('Gesamtübersicht'!$H:$H,MATCH($A13,'Gesamtübersicht'!$A:$A,0))&amp;""=$H13&amp;"",INDEX('Gesamtübersicht'!$M:$M,MATCH($A13,'Gesamtübersicht'!$A:$A,0))&amp;""=$M13&amp;"",INDEX('Gesamtübersicht'!$AD:$AD,MATCH($A13,'Gesamtübersicht'!$A:$A,0))&amp;""=$AD13&amp;"",INDEX('Gesamtübersicht'!$AH:$AH,MATCH($A13,'Gesamtübersicht'!$A:$A,0))&amp;""=$AH13&amp;"",INDEX('Gesamtübersicht'!$T:$T,MATCH($A13,'Gesamtübersicht'!$A:$A,0))&amp;""=$T13&amp;""),"OK","Abweichung – Ansicht neu erzeugen"))</f>
        <v/>
      </c>
    </row>
    <row r="14" ht="43" customHeight="1">
      <c r="A14" s="2" t="inlineStr">
        <is>
          <t>BL-C1-03</t>
        </is>
      </c>
      <c r="B14" s="14" t="inlineStr">
        <is>
          <t>Kanton</t>
        </is>
      </c>
      <c r="C14" s="2" t="inlineStr">
        <is>
          <t>Schweiz</t>
        </is>
      </c>
      <c r="D14" s="2" t="inlineStr">
        <is>
          <t>Basel-Landschaft</t>
        </is>
      </c>
      <c r="E14" s="2" t="inlineStr">
        <is>
          <t>Alle</t>
        </is>
      </c>
      <c r="F14" s="2" t="inlineStr">
        <is>
          <t>C1</t>
        </is>
      </c>
      <c r="G14" s="2" t="inlineStr">
        <is>
          <t>Rechnungslegung Gemeinden</t>
        </is>
      </c>
      <c r="H14" s="2" t="inlineStr">
        <is>
          <t>Kanton BL: Gemeindefinanzen (Rechtsgrundlagen, Finanzausgleich, Rechnungslegung)</t>
        </is>
      </c>
      <c r="I14" s="2" t="inlineStr">
        <is>
          <t>Behördeninformation</t>
        </is>
      </c>
      <c r="J14" s="2" t="inlineStr">
        <is>
          <t>Webseite</t>
        </is>
      </c>
      <c r="K14" s="2" t="inlineStr">
        <is>
          <t>Information</t>
        </is>
      </c>
      <c r="L14" s="2" t="inlineStr">
        <is>
          <t>Kanton Basel-Landschaft, Finanz- und Kirchendirektion</t>
        </is>
      </c>
      <c r="M14" s="5" t="inlineStr">
        <is>
          <t>https://www.baselland.ch/politik-und-behorden/gemeinden/gemeindefinanzen</t>
        </is>
      </c>
      <c r="N14" s="2" t="inlineStr"/>
      <c r="O14" s="2" t="inlineStr">
        <is>
          <t>2026-10-14</t>
        </is>
      </c>
      <c r="P14" s="2" t="inlineStr">
        <is>
          <t>Einstieg zu Finanzhandbuch, Rechtsgrundlagen und Finanzausgleich</t>
        </is>
      </c>
      <c r="Q14" s="2" t="inlineStr"/>
      <c r="R14" s="2" t="inlineStr"/>
      <c r="S14" s="2" t="inlineStr">
        <is>
          <t>Kanton × Grössenklasse</t>
        </is>
      </c>
      <c r="T14" s="2" t="inlineStr">
        <is>
          <t>Noch nicht bewertet</t>
        </is>
      </c>
      <c r="U14" s="2" t="inlineStr">
        <is>
          <t>Mittel</t>
        </is>
      </c>
      <c r="V14" s="2" t="inlineStr"/>
      <c r="W14" s="2" t="inlineStr"/>
      <c r="X14" s="2" t="inlineStr"/>
      <c r="Y14" s="2" t="inlineStr">
        <is>
          <t>Dokument auswerten; Aktualität und Geltung prüfen</t>
        </is>
      </c>
      <c r="Z14" s="2" t="inlineStr">
        <is>
          <t>Websuche 14.10.2026 (URL im Suchergebnis gefunden)</t>
        </is>
      </c>
      <c r="AA14" s="2" t="inlineStr"/>
      <c r="AB14" s="2" t="inlineStr"/>
      <c r="AC14" s="2" t="inlineStr"/>
      <c r="AD14" s="2" t="inlineStr">
        <is>
          <t>Nicht prüfbar</t>
        </is>
      </c>
      <c r="AE14" s="2" t="inlineStr">
        <is>
          <t>403</t>
        </is>
      </c>
      <c r="AF14" s="2" t="inlineStr"/>
      <c r="AG14" s="2" t="inlineStr"/>
      <c r="AH14" s="2" t="inlineStr">
        <is>
          <t>Offen</t>
        </is>
      </c>
      <c r="AI14" s="2" t="inlineStr">
        <is>
          <t>Zugriff verweigert/gedrosselt (HTTP 403); keine Umgehung versucht</t>
        </is>
      </c>
      <c r="AJ14" s="2" t="inlineStr"/>
      <c r="AK14" s="2" t="inlineStr"/>
      <c r="AL14" s="2" t="inlineStr">
        <is>
          <t>Mittel (Webseite)</t>
        </is>
      </c>
      <c r="AM14" s="2" t="inlineStr">
        <is>
          <t>2026-10-14 13:54</t>
        </is>
      </c>
      <c r="AN14" s="2" t="inlineStr">
        <is>
          <t>Nicht zugänglich / nicht prüfbar</t>
        </is>
      </c>
      <c r="AO14" s="2" t="inlineStr"/>
      <c r="AP14" s="2" t="inlineStr">
        <is>
          <t>Belegt Existenz und Zugänglichkeit der Quelle; inhaltliche Aussagen erst nach Auswertung.</t>
        </is>
      </c>
      <c r="AQ14" s="2" t="inlineStr">
        <is>
          <t>Keine Einstufung: Kennzahlen/Befunde noch nicht ausgewertet; Schwellen der Bewertungslogik noch nicht validiert.</t>
        </is>
      </c>
      <c r="AR14" s="2" t="inlineStr">
        <is>
          <t>Nein</t>
        </is>
      </c>
      <c r="AS14" s="2" t="inlineStr">
        <is>
          <t>Kanton Basel-Landschaft, Finanz- und Kirchendirektion</t>
        </is>
      </c>
      <c r="AT14" s="2" t="inlineStr">
        <is>
          <t>Offen</t>
        </is>
      </c>
      <c r="AU14" s="2" t="inlineStr">
        <is>
          <t>Automatisch nicht prüfbar – manuell im Browser prüfen</t>
        </is>
      </c>
      <c r="AV14" s="2" t="inlineStr"/>
      <c r="AW14" s="2" t="inlineStr">
        <is>
          <t>2026-10-14: neu aufgenommen</t>
        </is>
      </c>
      <c r="AX14" s="2">
        <f>IF(ISNA(MATCH($A14,'Gesamtübersicht'!$A:$A,0)),"ID fehlt in Gesamtübersicht",IF(AND(INDEX('Gesamtübersicht'!$H:$H,MATCH($A14,'Gesamtübersicht'!$A:$A,0))&amp;""=$H14&amp;"",INDEX('Gesamtübersicht'!$M:$M,MATCH($A14,'Gesamtübersicht'!$A:$A,0))&amp;""=$M14&amp;"",INDEX('Gesamtübersicht'!$AD:$AD,MATCH($A14,'Gesamtübersicht'!$A:$A,0))&amp;""=$AD14&amp;"",INDEX('Gesamtübersicht'!$AH:$AH,MATCH($A14,'Gesamtübersicht'!$A:$A,0))&amp;""=$AH14&amp;"",INDEX('Gesamtübersicht'!$T:$T,MATCH($A14,'Gesamtübersicht'!$A:$A,0))&amp;""=$T14&amp;""),"OK","Abweichung – Ansicht neu erzeugen"))</f>
        <v/>
      </c>
    </row>
    <row r="15" ht="43" customHeight="1">
      <c r="A15" s="3" t="inlineStr">
        <is>
          <t>BL-C1-05</t>
        </is>
      </c>
      <c r="B15" s="14" t="inlineStr">
        <is>
          <t>Kanton</t>
        </is>
      </c>
      <c r="C15" s="3" t="inlineStr">
        <is>
          <t>Schweiz</t>
        </is>
      </c>
      <c r="D15" s="3" t="inlineStr">
        <is>
          <t>Basel-Landschaft</t>
        </is>
      </c>
      <c r="E15" s="3" t="inlineStr">
        <is>
          <t>Alle</t>
        </is>
      </c>
      <c r="F15" s="3" t="inlineStr">
        <is>
          <t>C1</t>
        </is>
      </c>
      <c r="G15" s="3" t="inlineStr">
        <is>
          <t>Finanzstatistik Gemeinden</t>
        </is>
      </c>
      <c r="H15" s="3" t="inlineStr">
        <is>
          <t>Statistisches Amt BL: Webartikel Gemeindefinanzen 2023 (18.9.2024)</t>
        </is>
      </c>
      <c r="I15" s="3" t="inlineStr">
        <is>
          <t>Statistischer Bericht</t>
        </is>
      </c>
      <c r="J15" s="3" t="inlineStr">
        <is>
          <t>Webseite</t>
        </is>
      </c>
      <c r="K15" s="3" t="inlineStr">
        <is>
          <t>Information</t>
        </is>
      </c>
      <c r="L15" s="3" t="inlineStr">
        <is>
          <t>Statistisches Amt Basel-Landschaft</t>
        </is>
      </c>
      <c r="M15" s="7" t="inlineStr">
        <is>
          <t>https://www.baselland.ch/politik-und-behorden/direktionen/finanz-und-kirchendirektion/daten-statistik/abteilung-statistik/publikationen-und-statistiken/finanzen-und-steuern/webartikel-vom-18-09-2024-gemeindefinanzen-2023</t>
        </is>
      </c>
      <c r="N15" s="3" t="inlineStr">
        <is>
          <t>2023</t>
        </is>
      </c>
      <c r="O15" s="3" t="inlineStr">
        <is>
          <t>2026-10-14</t>
        </is>
      </c>
      <c r="P15" s="3" t="inlineStr">
        <is>
          <t>Kantonaler Überblick Ergebnis/Eigenkapital der Gemeinden</t>
        </is>
      </c>
      <c r="Q15" s="3" t="inlineStr"/>
      <c r="R15" s="3" t="inlineStr"/>
      <c r="S15" s="3" t="inlineStr">
        <is>
          <t>Kanton × Grössenklasse</t>
        </is>
      </c>
      <c r="T15" s="3" t="inlineStr">
        <is>
          <t>Noch nicht bewertet</t>
        </is>
      </c>
      <c r="U15" s="3" t="inlineStr">
        <is>
          <t>Mittel</t>
        </is>
      </c>
      <c r="V15" s="3" t="inlineStr"/>
      <c r="W15" s="3" t="inlineStr"/>
      <c r="X15" s="3" t="inlineStr"/>
      <c r="Y15" s="3" t="inlineStr">
        <is>
          <t>Dokument auswerten; Aktualität und Geltung prüfen</t>
        </is>
      </c>
      <c r="Z15" s="3" t="inlineStr">
        <is>
          <t>Websuche 14.10.2026 (URL im Suchergebnis gefunden)</t>
        </is>
      </c>
      <c r="AA15" s="3" t="inlineStr"/>
      <c r="AB15" s="3" t="inlineStr"/>
      <c r="AC15" s="3" t="inlineStr"/>
      <c r="AD15" s="3" t="inlineStr">
        <is>
          <t>Nicht prüfbar</t>
        </is>
      </c>
      <c r="AE15" s="3" t="inlineStr">
        <is>
          <t>403</t>
        </is>
      </c>
      <c r="AF15" s="3" t="inlineStr"/>
      <c r="AG15" s="3" t="inlineStr"/>
      <c r="AH15" s="3" t="inlineStr">
        <is>
          <t>Offen</t>
        </is>
      </c>
      <c r="AI15" s="3" t="inlineStr">
        <is>
          <t>Zugriff verweigert/gedrosselt (HTTP 403); keine Umgehung versucht</t>
        </is>
      </c>
      <c r="AJ15" s="3" t="inlineStr"/>
      <c r="AK15" s="3" t="inlineStr"/>
      <c r="AL15" s="3" t="inlineStr">
        <is>
          <t>Mittel (Webseite)</t>
        </is>
      </c>
      <c r="AM15" s="3" t="inlineStr">
        <is>
          <t>2026-10-14 13:54</t>
        </is>
      </c>
      <c r="AN15" s="3" t="inlineStr">
        <is>
          <t>Nicht zugänglich / nicht prüfbar</t>
        </is>
      </c>
      <c r="AO15" s="3" t="inlineStr">
        <is>
          <t>2023</t>
        </is>
      </c>
      <c r="AP15" s="3" t="inlineStr">
        <is>
          <t>Belegt Existenz und Zugänglichkeit der Quelle; inhaltliche Aussagen erst nach Auswertung.</t>
        </is>
      </c>
      <c r="AQ15" s="3" t="inlineStr">
        <is>
          <t>Keine Einstufung: Kennzahlen/Befunde noch nicht ausgewertet; Schwellen der Bewertungslogik noch nicht validiert.</t>
        </is>
      </c>
      <c r="AR15" s="3" t="inlineStr">
        <is>
          <t>Nein</t>
        </is>
      </c>
      <c r="AS15" s="3" t="inlineStr">
        <is>
          <t>Statistisches Amt Basel-Landschaft</t>
        </is>
      </c>
      <c r="AT15" s="3" t="inlineStr">
        <is>
          <t>Offen</t>
        </is>
      </c>
      <c r="AU15" s="3" t="inlineStr">
        <is>
          <t>Automatisch nicht prüfbar – manuell im Browser prüfen</t>
        </is>
      </c>
      <c r="AV15" s="3" t="inlineStr"/>
      <c r="AW15" s="3" t="inlineStr">
        <is>
          <t>2026-10-14: neu aufgenommen</t>
        </is>
      </c>
      <c r="AX15" s="3">
        <f>IF(ISNA(MATCH($A15,'Gesamtübersicht'!$A:$A,0)),"ID fehlt in Gesamtübersicht",IF(AND(INDEX('Gesamtübersicht'!$H:$H,MATCH($A15,'Gesamtübersicht'!$A:$A,0))&amp;""=$H15&amp;"",INDEX('Gesamtübersicht'!$M:$M,MATCH($A15,'Gesamtübersicht'!$A:$A,0))&amp;""=$M15&amp;"",INDEX('Gesamtübersicht'!$AD:$AD,MATCH($A15,'Gesamtübersicht'!$A:$A,0))&amp;""=$AD15&amp;"",INDEX('Gesamtübersicht'!$AH:$AH,MATCH($A15,'Gesamtübersicht'!$A:$A,0))&amp;""=$AH15&amp;"",INDEX('Gesamtübersicht'!$T:$T,MATCH($A15,'Gesamtübersicht'!$A:$A,0))&amp;""=$T15&amp;""),"OK","Abweichung – Ansicht neu erzeugen"))</f>
        <v/>
      </c>
    </row>
    <row r="16" ht="43" customHeight="1">
      <c r="A16" s="2" t="inlineStr">
        <is>
          <t>BL-C1-06</t>
        </is>
      </c>
      <c r="B16" s="14" t="inlineStr">
        <is>
          <t>Kanton</t>
        </is>
      </c>
      <c r="C16" s="2" t="inlineStr">
        <is>
          <t>Schweiz</t>
        </is>
      </c>
      <c r="D16" s="2" t="inlineStr">
        <is>
          <t>Basel-Landschaft</t>
        </is>
      </c>
      <c r="E16" s="2" t="inlineStr">
        <is>
          <t>Alle</t>
        </is>
      </c>
      <c r="F16" s="2" t="inlineStr">
        <is>
          <t>C1</t>
        </is>
      </c>
      <c r="G16" s="2" t="inlineStr">
        <is>
          <t>Finanzausgleich</t>
        </is>
      </c>
      <c r="H16" s="2" t="inlineStr">
        <is>
          <t>Finanzausgleichsgesetz (FAG) Basel-Landschaft, SGS 185</t>
        </is>
      </c>
      <c r="I16" s="2" t="inlineStr">
        <is>
          <t>Kantonales Gesetz</t>
        </is>
      </c>
      <c r="J16" s="2" t="inlineStr">
        <is>
          <t>Direktes Dokument</t>
        </is>
      </c>
      <c r="K16" s="2" t="inlineStr">
        <is>
          <t>Kantonales Recht (verbindlich)</t>
        </is>
      </c>
      <c r="L16" s="2" t="inlineStr">
        <is>
          <t>Kanton Basel-Landschaft</t>
        </is>
      </c>
      <c r="M16" s="5" t="inlineStr">
        <is>
          <t>https://bl.clex.ch/app/de/texts_of_law/185</t>
        </is>
      </c>
      <c r="N16" s="2" t="inlineStr"/>
      <c r="O16" s="2" t="inlineStr">
        <is>
          <t>2026-10-14</t>
        </is>
      </c>
      <c r="P16" s="2" t="inlineStr">
        <is>
          <t>Ressourcen- und Lastenausgleich; Münchenstein als Geber/Nehmer prüfen</t>
        </is>
      </c>
      <c r="Q16" s="2" t="inlineStr"/>
      <c r="R16" s="2" t="inlineStr"/>
      <c r="S16" s="2" t="inlineStr">
        <is>
          <t>Kanton × Grössenklasse</t>
        </is>
      </c>
      <c r="T16" s="2" t="inlineStr">
        <is>
          <t>Noch nicht bewertet</t>
        </is>
      </c>
      <c r="U16" s="2" t="inlineStr">
        <is>
          <t>Hoch</t>
        </is>
      </c>
      <c r="V16" s="2" t="inlineStr"/>
      <c r="W16" s="2" t="inlineStr"/>
      <c r="X16" s="2" t="inlineStr"/>
      <c r="Y16" s="2" t="inlineStr">
        <is>
          <t>Dokument auswerten; Aktualität und Geltung prüfen</t>
        </is>
      </c>
      <c r="Z16" s="2" t="inlineStr">
        <is>
          <t>URL nach dokumentiertem Schema der amtlichen Rechtssammlung gebildet; Identität per Runner geprüft</t>
        </is>
      </c>
      <c r="AA16" s="2" t="inlineStr"/>
      <c r="AB16" s="2" t="inlineStr"/>
      <c r="AC16" s="2" t="inlineStr"/>
      <c r="AD16" s="2" t="inlineStr">
        <is>
          <t>Verifiziert</t>
        </is>
      </c>
      <c r="AE16" s="2" t="inlineStr">
        <is>
          <t>200</t>
        </is>
      </c>
      <c r="AF16" s="2" t="inlineStr"/>
      <c r="AG16" s="2" t="inlineStr">
        <is>
          <t>HTML</t>
        </is>
      </c>
      <c r="AH16" s="2" t="inlineStr">
        <is>
          <t>Bestätigt</t>
        </is>
      </c>
      <c r="AI16" s="2" t="inlineStr">
        <is>
          <t>Titel via LexWork-API (https://bl.clex.ch/api/de/texts_of_law/185); Schlüsselwörter 1/1 gefunden (Finanzausgleich)</t>
        </is>
      </c>
      <c r="AJ16" s="2" t="inlineStr">
        <is>
          <t>Finanzausgleichsgesetz</t>
        </is>
      </c>
      <c r="AK16" s="2" t="inlineStr">
        <is>
          <t>2023, 2009, 2010, 2024, 2025, 2026</t>
        </is>
      </c>
      <c r="AL16" s="2" t="inlineStr">
        <is>
          <t>Hoch (Erlassnummer)</t>
        </is>
      </c>
      <c r="AM16" s="2" t="inlineStr">
        <is>
          <t>2026-10-14 13:54</t>
        </is>
      </c>
      <c r="AN16" s="2" t="inlineStr">
        <is>
          <t>Öffentlich verfügbar und verifiziert</t>
        </is>
      </c>
      <c r="AO16" s="2" t="inlineStr"/>
      <c r="AP16" s="2" t="inlineStr">
        <is>
          <t>Belegt Existenz und Zugänglichkeit der Quelle; inhaltliche Aussagen erst nach Auswertung.</t>
        </is>
      </c>
      <c r="AQ16" s="2" t="inlineStr">
        <is>
          <t>Keine Einstufung: Kennzahlen/Befunde noch nicht ausgewertet; Schwellen der Bewertungslogik noch nicht validiert.</t>
        </is>
      </c>
      <c r="AR16" s="2" t="inlineStr">
        <is>
          <t>Nein</t>
        </is>
      </c>
      <c r="AS16" s="2" t="inlineStr">
        <is>
          <t>Kanton Basel-Landschaft</t>
        </is>
      </c>
      <c r="AT16" s="2" t="inlineStr">
        <is>
          <t>In Prüfung</t>
        </is>
      </c>
      <c r="AU16" s="2" t="inlineStr"/>
      <c r="AV16" s="2" t="inlineStr"/>
      <c r="AW16" s="2" t="inlineStr">
        <is>
          <t>2026-10-14: neu aufgenommen</t>
        </is>
      </c>
      <c r="AX16" s="2">
        <f>IF(ISNA(MATCH($A16,'Gesamtübersicht'!$A:$A,0)),"ID fehlt in Gesamtübersicht",IF(AND(INDEX('Gesamtübersicht'!$H:$H,MATCH($A16,'Gesamtübersicht'!$A:$A,0))&amp;""=$H16&amp;"",INDEX('Gesamtübersicht'!$M:$M,MATCH($A16,'Gesamtübersicht'!$A:$A,0))&amp;""=$M16&amp;"",INDEX('Gesamtübersicht'!$AD:$AD,MATCH($A16,'Gesamtübersicht'!$A:$A,0))&amp;""=$AD16&amp;"",INDEX('Gesamtübersicht'!$AH:$AH,MATCH($A16,'Gesamtübersicht'!$A:$A,0))&amp;""=$AH16&amp;"",INDEX('Gesamtübersicht'!$T:$T,MATCH($A16,'Gesamtübersicht'!$A:$A,0))&amp;""=$T16&amp;""),"OK","Abweichung – Ansicht neu erzeugen"))</f>
        <v/>
      </c>
    </row>
    <row r="17" ht="43" customHeight="1">
      <c r="A17" s="3" t="inlineStr">
        <is>
          <t>BL-C2-01</t>
        </is>
      </c>
      <c r="B17" s="14" t="inlineStr">
        <is>
          <t>Kanton</t>
        </is>
      </c>
      <c r="C17" s="3" t="inlineStr">
        <is>
          <t>Schweiz</t>
        </is>
      </c>
      <c r="D17" s="3" t="inlineStr">
        <is>
          <t>Basel-Landschaft</t>
        </is>
      </c>
      <c r="E17" s="3" t="inlineStr">
        <is>
          <t>Alle</t>
        </is>
      </c>
      <c r="F17" s="3" t="inlineStr">
        <is>
          <t>C2</t>
        </is>
      </c>
      <c r="G17" s="3" t="inlineStr">
        <is>
          <t>Geodaten</t>
        </is>
      </c>
      <c r="H17" s="3" t="inlineStr">
        <is>
          <t>Geoportal Basel-Landschaft</t>
        </is>
      </c>
      <c r="I17" s="3" t="inlineStr">
        <is>
          <t>Geodatenportal</t>
        </is>
      </c>
      <c r="J17" s="3" t="inlineStr">
        <is>
          <t>Offizielle Quelle recherchiert</t>
        </is>
      </c>
      <c r="K17" s="3" t="inlineStr">
        <is>
          <t>Orientierung / Datengrundlage</t>
        </is>
      </c>
      <c r="L17" s="3" t="inlineStr">
        <is>
          <t>Kanton Basel-Landschaft</t>
        </is>
      </c>
      <c r="M17" s="7" t="inlineStr">
        <is>
          <t>https://geoview.bl.ch/</t>
        </is>
      </c>
      <c r="N17" s="3" t="inlineStr">
        <is>
          <t>Zu prüfen</t>
        </is>
      </c>
      <c r="O17" s="3" t="inlineStr">
        <is>
          <t>2026-10-14</t>
        </is>
      </c>
      <c r="P17" s="3" t="inlineStr">
        <is>
          <t>Parzellen- und Zoneninformationen; Eigentum gesondert nachweisen</t>
        </is>
      </c>
      <c r="Q17" s="3" t="inlineStr">
        <is>
          <t>ÖBA, Parzellenstruktur</t>
        </is>
      </c>
      <c r="R17" s="3" t="inlineStr">
        <is>
          <t>Luucy übernehmen; Eigentümerdaten abgleichen</t>
        </is>
      </c>
      <c r="S17" s="3" t="inlineStr">
        <is>
          <t>Kein Peer</t>
        </is>
      </c>
      <c r="T17" s="3" t="inlineStr">
        <is>
          <t>Noch nicht bewertet</t>
        </is>
      </c>
      <c r="U17" s="3" t="inlineStr">
        <is>
          <t>Mittel</t>
        </is>
      </c>
      <c r="V17" s="3" t="inlineStr">
        <is>
          <t>Geltende kantonale Detailgrundlage und Datenstand prüfen</t>
        </is>
      </c>
      <c r="W17" s="3" t="inlineStr">
        <is>
          <t>B; Q1</t>
        </is>
      </c>
      <c r="X17" s="3" t="inlineStr">
        <is>
          <t>Bodenverfügbarkeit</t>
        </is>
      </c>
      <c r="Y17" s="3" t="inlineStr">
        <is>
          <t>Dokument auswerten; Aktualität und Geltung prüfen</t>
        </is>
      </c>
      <c r="Z17" s="3" t="inlineStr">
        <is>
          <t>Webrecherche 14.10.2026</t>
        </is>
      </c>
      <c r="AA17" s="3" t="inlineStr"/>
      <c r="AB17" s="3" t="inlineStr"/>
      <c r="AC17" s="3" t="inlineStr"/>
      <c r="AD17" s="3" t="inlineStr">
        <is>
          <t>Verifiziert</t>
        </is>
      </c>
      <c r="AE17" s="3" t="inlineStr">
        <is>
          <t>200</t>
        </is>
      </c>
      <c r="AF17" s="3" t="inlineStr"/>
      <c r="AG17" s="3" t="inlineStr">
        <is>
          <t>HTML</t>
        </is>
      </c>
      <c r="AH17" s="3" t="inlineStr">
        <is>
          <t>Bestätigt</t>
        </is>
      </c>
      <c r="AI17" s="3" t="inlineStr">
        <is>
          <t>Schlüsselwörter 1/1 gefunden (GeoView); Ort/Zuständigkeit: BL, geoview</t>
        </is>
      </c>
      <c r="AJ17" s="3" t="inlineStr">
        <is>
          <t>GeoView BL</t>
        </is>
      </c>
      <c r="AK17" s="3" t="inlineStr">
        <is>
          <t>2011, 2001</t>
        </is>
      </c>
      <c r="AL17" s="3" t="inlineStr">
        <is>
          <t>Mittel (Startseite, kein Dokument)</t>
        </is>
      </c>
      <c r="AM17" s="3" t="inlineStr">
        <is>
          <t>2026-10-14 13:53</t>
        </is>
      </c>
      <c r="AN17" s="3" t="inlineStr">
        <is>
          <t>Öffentlich verfügbar und verifiziert</t>
        </is>
      </c>
      <c r="AO17" s="3" t="inlineStr">
        <is>
          <t>Zu prüfen</t>
        </is>
      </c>
      <c r="AP17" s="3" t="inlineStr">
        <is>
          <t>Belegt Existenz und Zugänglichkeit der Quelle; inhaltliche Aussagen erst nach Auswertung.</t>
        </is>
      </c>
      <c r="AQ17" s="3" t="inlineStr">
        <is>
          <t>Keine Einstufung: Kennzahlen/Befunde noch nicht ausgewertet; Schwellen der Bewertungslogik noch nicht validiert.</t>
        </is>
      </c>
      <c r="AR17" s="3" t="inlineStr">
        <is>
          <t>Nein</t>
        </is>
      </c>
      <c r="AS17" s="3" t="inlineStr">
        <is>
          <t>Kanton Basel-Landschaft</t>
        </is>
      </c>
      <c r="AT17" s="3" t="inlineStr">
        <is>
          <t>In Prüfung</t>
        </is>
      </c>
      <c r="AU17" s="3" t="inlineStr">
        <is>
          <t>Kartenportal (JavaScript); kein Eigentumsnachweis.</t>
        </is>
      </c>
      <c r="AV17" s="3" t="inlineStr"/>
      <c r="AW17" s="3" t="inlineStr"/>
      <c r="AX17" s="3">
        <f>IF(ISNA(MATCH($A17,'Gesamtübersicht'!$A:$A,0)),"ID fehlt in Gesamtübersicht",IF(AND(INDEX('Gesamtübersicht'!$H:$H,MATCH($A17,'Gesamtübersicht'!$A:$A,0))&amp;""=$H17&amp;"",INDEX('Gesamtübersicht'!$M:$M,MATCH($A17,'Gesamtübersicht'!$A:$A,0))&amp;""=$M17&amp;"",INDEX('Gesamtübersicht'!$AD:$AD,MATCH($A17,'Gesamtübersicht'!$A:$A,0))&amp;""=$AD17&amp;"",INDEX('Gesamtübersicht'!$AH:$AH,MATCH($A17,'Gesamtübersicht'!$A:$A,0))&amp;""=$AH17&amp;"",INDEX('Gesamtübersicht'!$T:$T,MATCH($A17,'Gesamtübersicht'!$A:$A,0))&amp;""=$T17&amp;""),"OK","Abweichung – Ansicht neu erzeugen"))</f>
        <v/>
      </c>
    </row>
    <row r="18" ht="43" customHeight="1">
      <c r="A18" s="2" t="inlineStr">
        <is>
          <t>BL-C2-02</t>
        </is>
      </c>
      <c r="B18" s="14" t="inlineStr">
        <is>
          <t>Kanton</t>
        </is>
      </c>
      <c r="C18" s="2" t="inlineStr">
        <is>
          <t>Schweiz</t>
        </is>
      </c>
      <c r="D18" s="2" t="inlineStr">
        <is>
          <t>Basel-Landschaft</t>
        </is>
      </c>
      <c r="E18" s="2" t="inlineStr">
        <is>
          <t>Alle</t>
        </is>
      </c>
      <c r="F18" s="2" t="inlineStr">
        <is>
          <t>C2</t>
        </is>
      </c>
      <c r="G18" s="2" t="inlineStr">
        <is>
          <t>Raumplanung / Baulandmobilisierung</t>
        </is>
      </c>
      <c r="H18" s="2" t="inlineStr">
        <is>
          <t>Raumplanungs- und Baugesetz (RBG) Basel-Landschaft, SGS 400</t>
        </is>
      </c>
      <c r="I18" s="2" t="inlineStr">
        <is>
          <t>Kantonales Gesetz</t>
        </is>
      </c>
      <c r="J18" s="2" t="inlineStr">
        <is>
          <t>Direktes Dokument</t>
        </is>
      </c>
      <c r="K18" s="2" t="inlineStr">
        <is>
          <t>Kantonales Recht (verbindlich)</t>
        </is>
      </c>
      <c r="L18" s="2" t="inlineStr">
        <is>
          <t>Kanton Basel-Landschaft</t>
        </is>
      </c>
      <c r="M18" s="5" t="inlineStr">
        <is>
          <t>https://bl.clex.ch/app/de/texts_of_law/400</t>
        </is>
      </c>
      <c r="N18" s="2" t="inlineStr">
        <is>
          <t>vom 8.1.1998; geltende Fassung</t>
        </is>
      </c>
      <c r="O18" s="2" t="inlineStr">
        <is>
          <t>2026-10-14</t>
        </is>
      </c>
      <c r="P18" s="2" t="inlineStr">
        <is>
          <t>Mehrwertabgabe, Quartierplanung, Mitwirkung § 7 RBG</t>
        </is>
      </c>
      <c r="Q18" s="2" t="inlineStr"/>
      <c r="R18" s="2" t="inlineStr"/>
      <c r="S18" s="2" t="inlineStr">
        <is>
          <t>Kein Peer-Vergleich</t>
        </is>
      </c>
      <c r="T18" s="2" t="inlineStr">
        <is>
          <t>Noch nicht bewertet</t>
        </is>
      </c>
      <c r="U18" s="2" t="inlineStr">
        <is>
          <t>Hoch</t>
        </is>
      </c>
      <c r="V18" s="2" t="inlineStr"/>
      <c r="W18" s="2" t="inlineStr">
        <is>
          <t>B; Q1</t>
        </is>
      </c>
      <c r="X18" s="2" t="inlineStr"/>
      <c r="Y18" s="2" t="inlineStr">
        <is>
          <t>Dokument auswerten; Aktualität und Geltung prüfen</t>
        </is>
      </c>
      <c r="Z18" s="2" t="inlineStr">
        <is>
          <t>Websuche 14.10.2026 (URL im Suchergebnis gefunden)</t>
        </is>
      </c>
      <c r="AA18" s="2" t="inlineStr">
        <is>
          <t>C5</t>
        </is>
      </c>
      <c r="AB18" s="2" t="inlineStr"/>
      <c r="AC18" s="2" t="inlineStr"/>
      <c r="AD18" s="2" t="inlineStr">
        <is>
          <t>Verifiziert</t>
        </is>
      </c>
      <c r="AE18" s="2" t="inlineStr">
        <is>
          <t>200</t>
        </is>
      </c>
      <c r="AF18" s="2" t="inlineStr"/>
      <c r="AG18" s="2" t="inlineStr">
        <is>
          <t>HTML</t>
        </is>
      </c>
      <c r="AH18" s="2" t="inlineStr">
        <is>
          <t>Bestätigt</t>
        </is>
      </c>
      <c r="AI18" s="2" t="inlineStr">
        <is>
          <t>Titel via LexWork-API (https://bl.clex.ch/api/de/texts_of_law/400); Schlüsselwörter 1/1 gefunden (Raumplanungs)</t>
        </is>
      </c>
      <c r="AJ18" s="2" t="inlineStr">
        <is>
          <t>Raumplanungs- und Baugesetz</t>
        </is>
      </c>
      <c r="AK18" s="2" t="inlineStr">
        <is>
          <t>2024, 2023</t>
        </is>
      </c>
      <c r="AL18" s="2" t="inlineStr">
        <is>
          <t>Hoch (Erlassnummer)</t>
        </is>
      </c>
      <c r="AM18" s="2" t="inlineStr">
        <is>
          <t>2026-10-14 13:54</t>
        </is>
      </c>
      <c r="AN18" s="2" t="inlineStr">
        <is>
          <t>Öffentlich verfügbar und verifiziert</t>
        </is>
      </c>
      <c r="AO18" s="2" t="inlineStr">
        <is>
          <t>vom 8.1.1998; geltende Fassung</t>
        </is>
      </c>
      <c r="AP18" s="2" t="inlineStr">
        <is>
          <t>Belegt Existenz und Zugänglichkeit der Quelle; inhaltliche Aussagen erst nach Auswertung.</t>
        </is>
      </c>
      <c r="AQ18" s="2" t="inlineStr">
        <is>
          <t>Keine Einstufung: Kennzahlen/Befunde noch nicht ausgewertet; Schwellen der Bewertungslogik noch nicht validiert.</t>
        </is>
      </c>
      <c r="AR18" s="2" t="inlineStr">
        <is>
          <t>Nein</t>
        </is>
      </c>
      <c r="AS18" s="2" t="inlineStr">
        <is>
          <t>Kanton Basel-Landschaft</t>
        </is>
      </c>
      <c r="AT18" s="2" t="inlineStr">
        <is>
          <t>In Prüfung</t>
        </is>
      </c>
      <c r="AU18" s="2" t="inlineStr"/>
      <c r="AV18" s="2" t="inlineStr"/>
      <c r="AW18" s="2" t="inlineStr">
        <is>
          <t>2026-10-14: neu aufgenommen</t>
        </is>
      </c>
      <c r="AX18" s="2">
        <f>IF(ISNA(MATCH($A18,'Gesamtübersicht'!$A:$A,0)),"ID fehlt in Gesamtübersicht",IF(AND(INDEX('Gesamtübersicht'!$H:$H,MATCH($A18,'Gesamtübersicht'!$A:$A,0))&amp;""=$H18&amp;"",INDEX('Gesamtübersicht'!$M:$M,MATCH($A18,'Gesamtübersicht'!$A:$A,0))&amp;""=$M18&amp;"",INDEX('Gesamtübersicht'!$AD:$AD,MATCH($A18,'Gesamtübersicht'!$A:$A,0))&amp;""=$AD18&amp;"",INDEX('Gesamtübersicht'!$AH:$AH,MATCH($A18,'Gesamtübersicht'!$A:$A,0))&amp;""=$AH18&amp;"",INDEX('Gesamtübersicht'!$T:$T,MATCH($A18,'Gesamtübersicht'!$A:$A,0))&amp;""=$T18&amp;""),"OK","Abweichung – Ansicht neu erzeugen"))</f>
        <v/>
      </c>
    </row>
    <row r="19" ht="43" customHeight="1">
      <c r="A19" s="3" t="inlineStr">
        <is>
          <t>BL-C3-01</t>
        </is>
      </c>
      <c r="B19" s="14" t="inlineStr">
        <is>
          <t>Kanton</t>
        </is>
      </c>
      <c r="C19" s="3" t="inlineStr">
        <is>
          <t>Schweiz</t>
        </is>
      </c>
      <c r="D19" s="3" t="inlineStr">
        <is>
          <t>Basel-Landschaft</t>
        </is>
      </c>
      <c r="E19" s="3" t="inlineStr">
        <is>
          <t>Alle</t>
        </is>
      </c>
      <c r="F19" s="3" t="inlineStr">
        <is>
          <t>C3</t>
        </is>
      </c>
      <c r="G19" s="3" t="inlineStr">
        <is>
          <t>Gemeinderecht</t>
        </is>
      </c>
      <c r="H19" s="3" t="inlineStr">
        <is>
          <t>Gemeindegesetz (GemG) Basel-Landschaft, SGS 180</t>
        </is>
      </c>
      <c r="I19" s="3" t="inlineStr">
        <is>
          <t>Kantonales Gesetz</t>
        </is>
      </c>
      <c r="J19" s="3" t="inlineStr">
        <is>
          <t>Offizielle Quelle recherchiert</t>
        </is>
      </c>
      <c r="K19" s="3" t="inlineStr">
        <is>
          <t>Kantonales Gesetz (verbindlich)</t>
        </is>
      </c>
      <c r="L19" s="3" t="inlineStr">
        <is>
          <t>Kanton Basel-Landschaft</t>
        </is>
      </c>
      <c r="M19" s="7" t="inlineStr">
        <is>
          <t>https://bl.clex.ch/app/de/texts_of_law/180</t>
        </is>
      </c>
      <c r="N19" s="3" t="inlineStr">
        <is>
          <t>vom 28.5.1970; geltende Fassung</t>
        </is>
      </c>
      <c r="O19" s="3" t="inlineStr">
        <is>
          <t>2026-10-14</t>
        </is>
      </c>
      <c r="P19" s="3" t="inlineStr">
        <is>
          <t>Gemeinderecht und Kooperationsinstrumente</t>
        </is>
      </c>
      <c r="Q19" s="3" t="inlineStr">
        <is>
          <t>Gemeindeordnung / Kooperation</t>
        </is>
      </c>
      <c r="R19" s="3" t="inlineStr">
        <is>
          <t>Relevante Normen konkret auswählen</t>
        </is>
      </c>
      <c r="S19" s="3" t="inlineStr">
        <is>
          <t>Qualitativ</t>
        </is>
      </c>
      <c r="T19" s="3" t="inlineStr">
        <is>
          <t>Noch nicht bewertet</t>
        </is>
      </c>
      <c r="U19" s="3" t="inlineStr">
        <is>
          <t>Mittel</t>
        </is>
      </c>
      <c r="V19" s="3" t="inlineStr">
        <is>
          <t>Geltende kantonale Detailgrundlage und Datenstand prüfen</t>
        </is>
      </c>
      <c r="W19" s="3" t="inlineStr">
        <is>
          <t>C4; C5</t>
        </is>
      </c>
      <c r="X19" s="3" t="inlineStr">
        <is>
          <t>Trägerschaft</t>
        </is>
      </c>
      <c r="Y19" s="3" t="inlineStr">
        <is>
          <t>Dokument auswerten; Aktualität und Geltung prüfen</t>
        </is>
      </c>
      <c r="Z19" s="3" t="inlineStr">
        <is>
          <t>Websuche 14.10.2026 (URL im Suchergebnis gefunden)</t>
        </is>
      </c>
      <c r="AA19" s="3" t="inlineStr"/>
      <c r="AB19" s="3" t="inlineStr"/>
      <c r="AC19" s="3" t="inlineStr"/>
      <c r="AD19" s="3" t="inlineStr">
        <is>
          <t>Verifiziert</t>
        </is>
      </c>
      <c r="AE19" s="3" t="inlineStr">
        <is>
          <t>200</t>
        </is>
      </c>
      <c r="AF19" s="3" t="inlineStr"/>
      <c r="AG19" s="3" t="inlineStr">
        <is>
          <t>HTML</t>
        </is>
      </c>
      <c r="AH19" s="3" t="inlineStr">
        <is>
          <t>Bestätigt</t>
        </is>
      </c>
      <c r="AI19" s="3" t="inlineStr">
        <is>
          <t>Titel via LexWork-API (https://bl.clex.ch/api/de/texts_of_law/180); Schlüsselwörter 1/1 gefunden (Gemeinden)</t>
        </is>
      </c>
      <c r="AJ19" s="3" t="inlineStr">
        <is>
          <t>Gesetz über die Organisation und die Verwaltung der Gemeinden</t>
        </is>
      </c>
      <c r="AK19" s="3" t="inlineStr">
        <is>
          <t>2026, 2008, 2004, 2005, 2009</t>
        </is>
      </c>
      <c r="AL19" s="3" t="inlineStr">
        <is>
          <t>Hoch (Erlassnummer)</t>
        </is>
      </c>
      <c r="AM19" s="3" t="inlineStr">
        <is>
          <t>2026-10-14 13:53</t>
        </is>
      </c>
      <c r="AN19" s="3" t="inlineStr">
        <is>
          <t>Öffentlich verfügbar und verifiziert</t>
        </is>
      </c>
      <c r="AO19" s="3" t="inlineStr">
        <is>
          <t>vom 28.5.1970; geltende Fassung</t>
        </is>
      </c>
      <c r="AP19" s="3" t="inlineStr">
        <is>
          <t>Belegt Existenz und Zugänglichkeit der Quelle; inhaltliche Aussagen erst nach Auswertung.</t>
        </is>
      </c>
      <c r="AQ19" s="3" t="inlineStr">
        <is>
          <t>Keine Einstufung: Kennzahlen/Befunde noch nicht ausgewertet; Schwellen der Bewertungslogik noch nicht validiert.</t>
        </is>
      </c>
      <c r="AR19" s="3" t="inlineStr">
        <is>
          <t>Nein</t>
        </is>
      </c>
      <c r="AS19" s="3" t="inlineStr">
        <is>
          <t>Kanton Basel-Landschaft</t>
        </is>
      </c>
      <c r="AT19" s="3" t="inlineStr">
        <is>
          <t>In Prüfung</t>
        </is>
      </c>
      <c r="AU19" s="3" t="inlineStr"/>
      <c r="AV19" s="3" t="inlineStr"/>
      <c r="AW19" s="3" t="inlineStr">
        <is>
          <t>2026-10-14: Link ersetzt (vorher https://bl.clex.ch/). Grund: Startseite der Gesetzessammlung durch direkten Erlass ersetzt (Gemeindegesetz SGS 180).</t>
        </is>
      </c>
      <c r="AX19" s="3">
        <f>IF(ISNA(MATCH($A19,'Gesamtübersicht'!$A:$A,0)),"ID fehlt in Gesamtübersicht",IF(AND(INDEX('Gesamtübersicht'!$H:$H,MATCH($A19,'Gesamtübersicht'!$A:$A,0))&amp;""=$H19&amp;"",INDEX('Gesamtübersicht'!$M:$M,MATCH($A19,'Gesamtübersicht'!$A:$A,0))&amp;""=$M19&amp;"",INDEX('Gesamtübersicht'!$AD:$AD,MATCH($A19,'Gesamtübersicht'!$A:$A,0))&amp;""=$AD19&amp;"",INDEX('Gesamtübersicht'!$AH:$AH,MATCH($A19,'Gesamtübersicht'!$A:$A,0))&amp;""=$AH19&amp;"",INDEX('Gesamtübersicht'!$T:$T,MATCH($A19,'Gesamtübersicht'!$A:$A,0))&amp;""=$T19&amp;""),"OK","Abweichung – Ansicht neu erzeugen"))</f>
        <v/>
      </c>
    </row>
    <row r="20" ht="43" customHeight="1">
      <c r="A20" s="2" t="inlineStr">
        <is>
          <t>BL-C3-02</t>
        </is>
      </c>
      <c r="B20" s="14" t="inlineStr">
        <is>
          <t>Kanton</t>
        </is>
      </c>
      <c r="C20" s="2" t="inlineStr">
        <is>
          <t>Schweiz</t>
        </is>
      </c>
      <c r="D20" s="2" t="inlineStr">
        <is>
          <t>Basel-Landschaft</t>
        </is>
      </c>
      <c r="E20" s="2" t="inlineStr">
        <is>
          <t>Alle</t>
        </is>
      </c>
      <c r="F20" s="2" t="inlineStr">
        <is>
          <t>C3</t>
        </is>
      </c>
      <c r="G20" s="2" t="inlineStr">
        <is>
          <t>Regionale Kooperation</t>
        </is>
      </c>
      <c r="H20" s="2" t="inlineStr">
        <is>
          <t>Medienmitteilung Kanton BL: Birsstadt erhält den Wakkerpreis (Verein Birsstadt, Raumkonzept Birsstadt 2035)</t>
        </is>
      </c>
      <c r="I20" s="2" t="inlineStr">
        <is>
          <t>Medienmitteilung</t>
        </is>
      </c>
      <c r="J20" s="2" t="inlineStr">
        <is>
          <t>Webseite</t>
        </is>
      </c>
      <c r="K20" s="2" t="inlineStr">
        <is>
          <t>Information</t>
        </is>
      </c>
      <c r="L20" s="2" t="inlineStr">
        <is>
          <t>Kanton Basel-Landschaft, Bau- und Umweltschutzdirektion</t>
        </is>
      </c>
      <c r="M20" s="5" t="inlineStr">
        <is>
          <t>https://www.baselland.ch/politik-und-behorden/direktionen/bau-und-umweltschutzdirektion/medienmitteilungen/ausgezeichnete-agglomeration-birsstadt-erhaelt-den-wakkerpreis</t>
        </is>
      </c>
      <c r="N20" s="2" t="inlineStr"/>
      <c r="O20" s="2" t="inlineStr">
        <is>
          <t>2026-10-14</t>
        </is>
      </c>
      <c r="P20" s="2" t="inlineStr">
        <is>
          <t>Belegt interkommunale Kooperation Birsstadt (10 Gemeinden inkl. Münchenstein)</t>
        </is>
      </c>
      <c r="Q20" s="2" t="inlineStr"/>
      <c r="R20" s="2" t="inlineStr"/>
      <c r="S20" s="2" t="inlineStr">
        <is>
          <t>Kein Peer-Vergleich</t>
        </is>
      </c>
      <c r="T20" s="2" t="inlineStr">
        <is>
          <t>Noch nicht bewertet</t>
        </is>
      </c>
      <c r="U20" s="2" t="inlineStr">
        <is>
          <t>Mittel</t>
        </is>
      </c>
      <c r="V20" s="2" t="inlineStr"/>
      <c r="W20" s="2" t="inlineStr"/>
      <c r="X20" s="2" t="inlineStr"/>
      <c r="Y20" s="2" t="inlineStr">
        <is>
          <t>Dokument auswerten; Aktualität und Geltung prüfen</t>
        </is>
      </c>
      <c r="Z20" s="2" t="inlineStr">
        <is>
          <t>Websuche 14.10.2026 (URL im Suchergebnis gefunden)</t>
        </is>
      </c>
      <c r="AA20" s="2" t="inlineStr"/>
      <c r="AB20" s="2" t="inlineStr"/>
      <c r="AC20" s="2" t="inlineStr"/>
      <c r="AD20" s="2" t="inlineStr">
        <is>
          <t>Nicht prüfbar</t>
        </is>
      </c>
      <c r="AE20" s="2" t="inlineStr">
        <is>
          <t>403</t>
        </is>
      </c>
      <c r="AF20" s="2" t="inlineStr"/>
      <c r="AG20" s="2" t="inlineStr"/>
      <c r="AH20" s="2" t="inlineStr">
        <is>
          <t>Offen</t>
        </is>
      </c>
      <c r="AI20" s="2" t="inlineStr">
        <is>
          <t>Zugriff verweigert/gedrosselt (HTTP 403); keine Umgehung versucht</t>
        </is>
      </c>
      <c r="AJ20" s="2" t="inlineStr"/>
      <c r="AK20" s="2" t="inlineStr"/>
      <c r="AL20" s="2" t="inlineStr">
        <is>
          <t>Mittel (Webseite)</t>
        </is>
      </c>
      <c r="AM20" s="2" t="inlineStr">
        <is>
          <t>2026-10-14 13:54</t>
        </is>
      </c>
      <c r="AN20" s="2" t="inlineStr">
        <is>
          <t>Nicht zugänglich / nicht prüfbar</t>
        </is>
      </c>
      <c r="AO20" s="2" t="inlineStr"/>
      <c r="AP20" s="2" t="inlineStr">
        <is>
          <t>Belegt Existenz und Zugänglichkeit der Quelle; inhaltliche Aussagen erst nach Auswertung.</t>
        </is>
      </c>
      <c r="AQ20" s="2" t="inlineStr">
        <is>
          <t>Keine Einstufung: Kennzahlen/Befunde noch nicht ausgewertet; Schwellen der Bewertungslogik noch nicht validiert.</t>
        </is>
      </c>
      <c r="AR20" s="2" t="inlineStr">
        <is>
          <t>Nein</t>
        </is>
      </c>
      <c r="AS20" s="2" t="inlineStr">
        <is>
          <t>Kanton Basel-Landschaft, Bau- und Umweltschutzdirektion</t>
        </is>
      </c>
      <c r="AT20" s="2" t="inlineStr">
        <is>
          <t>Offen</t>
        </is>
      </c>
      <c r="AU20" s="2" t="inlineStr">
        <is>
          <t>Automatisch nicht prüfbar – manuell im Browser prüfen</t>
        </is>
      </c>
      <c r="AV20" s="2" t="inlineStr"/>
      <c r="AW20" s="2" t="inlineStr">
        <is>
          <t>2026-10-14: neu aufgenommen</t>
        </is>
      </c>
      <c r="AX20" s="2">
        <f>IF(ISNA(MATCH($A20,'Gesamtübersicht'!$A:$A,0)),"ID fehlt in Gesamtübersicht",IF(AND(INDEX('Gesamtübersicht'!$H:$H,MATCH($A20,'Gesamtübersicht'!$A:$A,0))&amp;""=$H20&amp;"",INDEX('Gesamtübersicht'!$M:$M,MATCH($A20,'Gesamtübersicht'!$A:$A,0))&amp;""=$M20&amp;"",INDEX('Gesamtübersicht'!$AD:$AD,MATCH($A20,'Gesamtübersicht'!$A:$A,0))&amp;""=$AD20&amp;"",INDEX('Gesamtübersicht'!$AH:$AH,MATCH($A20,'Gesamtübersicht'!$A:$A,0))&amp;""=$AH20&amp;"",INDEX('Gesamtübersicht'!$T:$T,MATCH($A20,'Gesamtübersicht'!$A:$A,0))&amp;""=$T20&amp;""),"OK","Abweichung – Ansicht neu erzeugen"))</f>
        <v/>
      </c>
    </row>
    <row r="21" ht="43" customHeight="1">
      <c r="A21" s="3" t="inlineStr">
        <is>
          <t>BL-C4-01</t>
        </is>
      </c>
      <c r="B21" s="14" t="inlineStr">
        <is>
          <t>Kanton</t>
        </is>
      </c>
      <c r="C21" s="3" t="inlineStr">
        <is>
          <t>Schweiz</t>
        </is>
      </c>
      <c r="D21" s="3" t="inlineStr">
        <is>
          <t>Basel-Landschaft</t>
        </is>
      </c>
      <c r="E21" s="3" t="inlineStr">
        <is>
          <t>Alle</t>
        </is>
      </c>
      <c r="F21" s="3" t="inlineStr">
        <is>
          <t>C4</t>
        </is>
      </c>
      <c r="G21" s="3" t="inlineStr">
        <is>
          <t>Verwaltung</t>
        </is>
      </c>
      <c r="H21" s="3" t="inlineStr">
        <is>
          <t>Kanton Basel-Landschaft: Gemeindefachstellen</t>
        </is>
      </c>
      <c r="I21" s="3" t="inlineStr">
        <is>
          <t>Behördenportal</t>
        </is>
      </c>
      <c r="J21" s="3" t="inlineStr">
        <is>
          <t>Offizielle Quelle recherchiert</t>
        </is>
      </c>
      <c r="K21" s="3" t="inlineStr">
        <is>
          <t>Orientierung / Datengrundlage</t>
        </is>
      </c>
      <c r="L21" s="3" t="inlineStr">
        <is>
          <t>Kanton Basel-Landschaft</t>
        </is>
      </c>
      <c r="M21" s="7" t="inlineStr">
        <is>
          <t>https://www.baselland.ch/politik-und-behorden/gemeinden</t>
        </is>
      </c>
      <c r="N21" s="3" t="inlineStr">
        <is>
          <t>Zu prüfen</t>
        </is>
      </c>
      <c r="O21" s="3" t="inlineStr">
        <is>
          <t>14.10.2026</t>
        </is>
      </c>
      <c r="P21" s="3" t="inlineStr">
        <is>
          <t>Fachliche Rahmenbedingungen für Gemeindeverwaltung</t>
        </is>
      </c>
      <c r="Q21" s="3" t="inlineStr">
        <is>
          <t>Organisation / Kompetenzen</t>
        </is>
      </c>
      <c r="R21" s="3" t="inlineStr">
        <is>
          <t>Kommunale Organisationsdokumente ergänzen</t>
        </is>
      </c>
      <c r="S21" s="3" t="inlineStr">
        <is>
          <t>Qualitativ</t>
        </is>
      </c>
      <c r="T21" s="3" t="inlineStr">
        <is>
          <t>Noch nicht bewertet</t>
        </is>
      </c>
      <c r="U21" s="3" t="inlineStr">
        <is>
          <t>Mittel</t>
        </is>
      </c>
      <c r="V21" s="3" t="inlineStr">
        <is>
          <t>Geltende kantonale Detailgrundlage und Datenstand prüfen</t>
        </is>
      </c>
      <c r="W21" s="3" t="inlineStr">
        <is>
          <t>Q6</t>
        </is>
      </c>
      <c r="X21" s="3" t="inlineStr">
        <is>
          <t>Bestellerkompetenz</t>
        </is>
      </c>
      <c r="Y21" s="3" t="inlineStr">
        <is>
          <t>Dokument auswerten; Aktualität und Geltung prüfen</t>
        </is>
      </c>
      <c r="Z21" s="3" t="inlineStr">
        <is>
          <t>Webrecherche 14.10.2026</t>
        </is>
      </c>
      <c r="AA21" s="3" t="inlineStr"/>
      <c r="AB21" s="3" t="inlineStr"/>
      <c r="AC21" s="3" t="inlineStr"/>
      <c r="AD21" s="3" t="inlineStr">
        <is>
          <t>Nicht prüfbar</t>
        </is>
      </c>
      <c r="AE21" s="3" t="inlineStr">
        <is>
          <t>403</t>
        </is>
      </c>
      <c r="AF21" s="3" t="inlineStr"/>
      <c r="AG21" s="3" t="inlineStr"/>
      <c r="AH21" s="3" t="inlineStr">
        <is>
          <t>Offen</t>
        </is>
      </c>
      <c r="AI21" s="3" t="inlineStr">
        <is>
          <t>Zugriff verweigert/gedrosselt (HTTP 403); keine Umgehung versucht</t>
        </is>
      </c>
      <c r="AJ21" s="3" t="inlineStr"/>
      <c r="AK21" s="3" t="inlineStr"/>
      <c r="AL21" s="3" t="inlineStr">
        <is>
          <t>Mittel (Webseite)</t>
        </is>
      </c>
      <c r="AM21" s="3" t="inlineStr">
        <is>
          <t>2026-10-14 13:53</t>
        </is>
      </c>
      <c r="AN21" s="3" t="inlineStr">
        <is>
          <t>Nicht zugänglich / nicht prüfbar</t>
        </is>
      </c>
      <c r="AO21" s="3" t="inlineStr">
        <is>
          <t>Zu prüfen</t>
        </is>
      </c>
      <c r="AP21" s="3" t="inlineStr">
        <is>
          <t>Belegt Existenz und Zugänglichkeit der Quelle; inhaltliche Aussagen erst nach Auswertung.</t>
        </is>
      </c>
      <c r="AQ21" s="3" t="inlineStr">
        <is>
          <t>Keine Einstufung: Kennzahlen/Befunde noch nicht ausgewertet; Schwellen der Bewertungslogik noch nicht validiert.</t>
        </is>
      </c>
      <c r="AR21" s="3" t="inlineStr">
        <is>
          <t>Nein</t>
        </is>
      </c>
      <c r="AS21" s="3" t="inlineStr">
        <is>
          <t>Kanton Basel-Landschaft</t>
        </is>
      </c>
      <c r="AT21" s="3" t="inlineStr">
        <is>
          <t>Offen</t>
        </is>
      </c>
      <c r="AU21" s="3" t="inlineStr">
        <is>
          <t>Automatisch nicht prüfbar – manuell im Browser prüfen</t>
        </is>
      </c>
      <c r="AV21" s="3" t="inlineStr"/>
      <c r="AW21" s="3" t="inlineStr"/>
      <c r="AX21" s="3">
        <f>IF(ISNA(MATCH($A21,'Gesamtübersicht'!$A:$A,0)),"ID fehlt in Gesamtübersicht",IF(AND(INDEX('Gesamtübersicht'!$H:$H,MATCH($A21,'Gesamtübersicht'!$A:$A,0))&amp;""=$H21&amp;"",INDEX('Gesamtübersicht'!$M:$M,MATCH($A21,'Gesamtübersicht'!$A:$A,0))&amp;""=$M21&amp;"",INDEX('Gesamtübersicht'!$AD:$AD,MATCH($A21,'Gesamtübersicht'!$A:$A,0))&amp;""=$AD21&amp;"",INDEX('Gesamtübersicht'!$AH:$AH,MATCH($A21,'Gesamtübersicht'!$A:$A,0))&amp;""=$AH21&amp;"",INDEX('Gesamtübersicht'!$T:$T,MATCH($A21,'Gesamtübersicht'!$A:$A,0))&amp;""=$T21&amp;""),"OK","Abweichung – Ansicht neu erzeugen"))</f>
        <v/>
      </c>
    </row>
    <row r="22" ht="43" customHeight="1">
      <c r="A22" s="2" t="inlineStr">
        <is>
          <t>BL-C4-02</t>
        </is>
      </c>
      <c r="B22" s="14" t="inlineStr">
        <is>
          <t>Kanton</t>
        </is>
      </c>
      <c r="C22" s="2" t="inlineStr">
        <is>
          <t>Schweiz</t>
        </is>
      </c>
      <c r="D22" s="2" t="inlineStr">
        <is>
          <t>Basel-Landschaft</t>
        </is>
      </c>
      <c r="E22" s="2" t="inlineStr">
        <is>
          <t>Alle</t>
        </is>
      </c>
      <c r="F22" s="2" t="inlineStr">
        <is>
          <t>C4</t>
        </is>
      </c>
      <c r="G22" s="2" t="inlineStr">
        <is>
          <t>Beschaffung</t>
        </is>
      </c>
      <c r="H22" s="2" t="inlineStr">
        <is>
          <t>Verordnung zum Einführungsgesetz zur IVöB (Vo EG IVöB) Basel-Landschaft, SGS 420.11</t>
        </is>
      </c>
      <c r="I22" s="2" t="inlineStr">
        <is>
          <t>Kantonale Verordnung</t>
        </is>
      </c>
      <c r="J22" s="2" t="inlineStr">
        <is>
          <t>Direktes Dokument</t>
        </is>
      </c>
      <c r="K22" s="2" t="inlineStr">
        <is>
          <t>Kantonales Recht (verbindlich)</t>
        </is>
      </c>
      <c r="L22" s="2" t="inlineStr">
        <is>
          <t>Kanton Basel-Landschaft</t>
        </is>
      </c>
      <c r="M22" s="5" t="inlineStr">
        <is>
          <t>https://bl.clex.ch/app/de/texts_of_law/420.11</t>
        </is>
      </c>
      <c r="N22" s="2" t="inlineStr"/>
      <c r="O22" s="2" t="inlineStr">
        <is>
          <t>2026-10-14</t>
        </is>
      </c>
      <c r="P22" s="2" t="inlineStr">
        <is>
          <t>Beschaffungsrecht für Gemeinden ab 1.1.2024</t>
        </is>
      </c>
      <c r="Q22" s="2" t="inlineStr"/>
      <c r="R22" s="2" t="inlineStr"/>
      <c r="S22" s="2" t="inlineStr">
        <is>
          <t>Kein Peer-Vergleich</t>
        </is>
      </c>
      <c r="T22" s="2" t="inlineStr">
        <is>
          <t>Noch nicht bewertet</t>
        </is>
      </c>
      <c r="U22" s="2" t="inlineStr">
        <is>
          <t>Hoch</t>
        </is>
      </c>
      <c r="V22" s="2" t="inlineStr"/>
      <c r="W22" s="2" t="inlineStr"/>
      <c r="X22" s="2" t="inlineStr"/>
      <c r="Y22" s="2" t="inlineStr">
        <is>
          <t>Dokument auswerten; Aktualität und Geltung prüfen</t>
        </is>
      </c>
      <c r="Z22" s="2" t="inlineStr">
        <is>
          <t>URL nach dokumentiertem Schema der amtlichen Rechtssammlung gebildet; Identität per Runner geprüft</t>
        </is>
      </c>
      <c r="AA22" s="2" t="inlineStr"/>
      <c r="AB22" s="2" t="inlineStr"/>
      <c r="AC22" s="2" t="inlineStr"/>
      <c r="AD22" s="2" t="inlineStr">
        <is>
          <t>Verifiziert</t>
        </is>
      </c>
      <c r="AE22" s="2" t="inlineStr">
        <is>
          <t>200</t>
        </is>
      </c>
      <c r="AF22" s="2" t="inlineStr"/>
      <c r="AG22" s="2" t="inlineStr">
        <is>
          <t>HTML</t>
        </is>
      </c>
      <c r="AH22" s="2" t="inlineStr">
        <is>
          <t>Bestätigt</t>
        </is>
      </c>
      <c r="AI22" s="2" t="inlineStr">
        <is>
          <t>Titel via LexWork-API (https://bl.clex.ch/api/de/texts_of_law/420.11); Schlüsselwörter 1/1 gefunden (Beschaffung)</t>
        </is>
      </c>
      <c r="AJ22" s="2" t="inlineStr">
        <is>
          <t>Verordnung zum Einführungsgesetz zur Interkantonalen Vereinbarung über das öffentliche Beschaffungswesen</t>
        </is>
      </c>
      <c r="AK22" s="2" t="inlineStr">
        <is>
          <t>2026, 2023, 2024, 2022</t>
        </is>
      </c>
      <c r="AL22" s="2" t="inlineStr">
        <is>
          <t>Hoch (Erlassnummer)</t>
        </is>
      </c>
      <c r="AM22" s="2" t="inlineStr">
        <is>
          <t>2026-10-14 13:54</t>
        </is>
      </c>
      <c r="AN22" s="2" t="inlineStr">
        <is>
          <t>Öffentlich verfügbar und verifiziert</t>
        </is>
      </c>
      <c r="AO22" s="2" t="inlineStr"/>
      <c r="AP22" s="2" t="inlineStr">
        <is>
          <t>Belegt Existenz und Zugänglichkeit der Quelle; inhaltliche Aussagen erst nach Auswertung.</t>
        </is>
      </c>
      <c r="AQ22" s="2" t="inlineStr">
        <is>
          <t>Keine Einstufung: Kennzahlen/Befunde noch nicht ausgewertet; Schwellen der Bewertungslogik noch nicht validiert.</t>
        </is>
      </c>
      <c r="AR22" s="2" t="inlineStr">
        <is>
          <t>Nein</t>
        </is>
      </c>
      <c r="AS22" s="2" t="inlineStr">
        <is>
          <t>Kanton Basel-Landschaft</t>
        </is>
      </c>
      <c r="AT22" s="2" t="inlineStr">
        <is>
          <t>In Prüfung</t>
        </is>
      </c>
      <c r="AU22" s="2" t="inlineStr"/>
      <c r="AV22" s="2" t="inlineStr"/>
      <c r="AW22" s="2" t="inlineStr">
        <is>
          <t>2026-10-14: neu aufgenommen</t>
        </is>
      </c>
      <c r="AX22" s="2">
        <f>IF(ISNA(MATCH($A22,'Gesamtübersicht'!$A:$A,0)),"ID fehlt in Gesamtübersicht",IF(AND(INDEX('Gesamtübersicht'!$H:$H,MATCH($A22,'Gesamtübersicht'!$A:$A,0))&amp;""=$H22&amp;"",INDEX('Gesamtübersicht'!$M:$M,MATCH($A22,'Gesamtübersicht'!$A:$A,0))&amp;""=$M22&amp;"",INDEX('Gesamtübersicht'!$AD:$AD,MATCH($A22,'Gesamtübersicht'!$A:$A,0))&amp;""=$AD22&amp;"",INDEX('Gesamtübersicht'!$AH:$AH,MATCH($A22,'Gesamtübersicht'!$A:$A,0))&amp;""=$AH22&amp;"",INDEX('Gesamtübersicht'!$T:$T,MATCH($A22,'Gesamtübersicht'!$A:$A,0))&amp;""=$T22&amp;""),"OK","Abweichung – Ansicht neu erzeugen"))</f>
        <v/>
      </c>
    </row>
    <row r="23" ht="43" customHeight="1">
      <c r="A23" s="3" t="inlineStr">
        <is>
          <t>BL-C5-01</t>
        </is>
      </c>
      <c r="B23" s="14" t="inlineStr">
        <is>
          <t>Kanton</t>
        </is>
      </c>
      <c r="C23" s="3" t="inlineStr">
        <is>
          <t>Schweiz</t>
        </is>
      </c>
      <c r="D23" s="3" t="inlineStr">
        <is>
          <t>Basel-Landschaft</t>
        </is>
      </c>
      <c r="E23" s="3" t="inlineStr">
        <is>
          <t>Alle</t>
        </is>
      </c>
      <c r="F23" s="3" t="inlineStr">
        <is>
          <t>C5</t>
        </is>
      </c>
      <c r="G23" s="3" t="inlineStr">
        <is>
          <t>Mitwirkung</t>
        </is>
      </c>
      <c r="H23" s="3" t="inlineStr">
        <is>
          <t>Gesetz über die politischen Rechte (GpR) Basel-Landschaft, SGS 120</t>
        </is>
      </c>
      <c r="I23" s="3" t="inlineStr">
        <is>
          <t>Kantonales Gesetz</t>
        </is>
      </c>
      <c r="J23" s="3" t="inlineStr">
        <is>
          <t>Offizielle Quelle recherchiert</t>
        </is>
      </c>
      <c r="K23" s="3" t="inlineStr">
        <is>
          <t>Kantonales Gesetz (verbindlich)</t>
        </is>
      </c>
      <c r="L23" s="3" t="inlineStr">
        <is>
          <t>Kanton Basel-Landschaft</t>
        </is>
      </c>
      <c r="M23" s="7" t="inlineStr">
        <is>
          <t>https://bl.clex.ch/app/de/texts_of_law/120</t>
        </is>
      </c>
      <c r="N23" s="3" t="inlineStr">
        <is>
          <t>vom 7.9.1981; geltende Fassung</t>
        </is>
      </c>
      <c r="O23" s="3" t="inlineStr">
        <is>
          <t>2026-10-14</t>
        </is>
      </c>
      <c r="P23" s="3" t="inlineStr">
        <is>
          <t>Rechtsrahmen von Gemeindeversammlung und Mitwirkung</t>
        </is>
      </c>
      <c r="Q23" s="3" t="inlineStr">
        <is>
          <t>Entscheidungswege</t>
        </is>
      </c>
      <c r="R23" s="3" t="inlineStr">
        <is>
          <t>Gemeindeordnung und Beschlüsse prüfen</t>
        </is>
      </c>
      <c r="S23" s="3" t="inlineStr">
        <is>
          <t>Qualitativ</t>
        </is>
      </c>
      <c r="T23" s="3" t="inlineStr">
        <is>
          <t>Noch nicht bewertet</t>
        </is>
      </c>
      <c r="U23" s="3" t="inlineStr">
        <is>
          <t>Mittel</t>
        </is>
      </c>
      <c r="V23" s="3" t="inlineStr">
        <is>
          <t>Geltende kantonale Detailgrundlage und Datenstand prüfen</t>
        </is>
      </c>
      <c r="W23" s="3" t="inlineStr">
        <is>
          <t>C3</t>
        </is>
      </c>
      <c r="X23" s="3" t="inlineStr">
        <is>
          <t>Politische Machbarkeit</t>
        </is>
      </c>
      <c r="Y23" s="3" t="inlineStr">
        <is>
          <t>Dokument auswerten; Aktualität und Geltung prüfen</t>
        </is>
      </c>
      <c r="Z23" s="3" t="inlineStr">
        <is>
          <t>URL nach dokumentiertem Schema der amtlichen Rechtssammlung gebildet; Identität per Runner geprüft</t>
        </is>
      </c>
      <c r="AA23" s="3" t="inlineStr"/>
      <c r="AB23" s="3" t="inlineStr"/>
      <c r="AC23" s="3" t="inlineStr"/>
      <c r="AD23" s="3" t="inlineStr">
        <is>
          <t>Verifiziert</t>
        </is>
      </c>
      <c r="AE23" s="3" t="inlineStr">
        <is>
          <t>200</t>
        </is>
      </c>
      <c r="AF23" s="3" t="inlineStr"/>
      <c r="AG23" s="3" t="inlineStr">
        <is>
          <t>HTML</t>
        </is>
      </c>
      <c r="AH23" s="3" t="inlineStr">
        <is>
          <t>Bestätigt</t>
        </is>
      </c>
      <c r="AI23" s="3" t="inlineStr">
        <is>
          <t>Titel via LexWork-API (https://bl.clex.ch/api/de/texts_of_law/120); Schlüsselwörter 1/1 gefunden (politischen Rechte)</t>
        </is>
      </c>
      <c r="AJ23" s="3" t="inlineStr">
        <is>
          <t>Gesetz über die politischen Rechte</t>
        </is>
      </c>
      <c r="AK23" s="3" t="inlineStr">
        <is>
          <t>2025, 2024, 2014, 2006</t>
        </is>
      </c>
      <c r="AL23" s="3" t="inlineStr">
        <is>
          <t>Hoch (Erlassnummer)</t>
        </is>
      </c>
      <c r="AM23" s="3" t="inlineStr">
        <is>
          <t>2026-10-14 13:53</t>
        </is>
      </c>
      <c r="AN23" s="3" t="inlineStr">
        <is>
          <t>Öffentlich verfügbar und verifiziert</t>
        </is>
      </c>
      <c r="AO23" s="3" t="inlineStr">
        <is>
          <t>vom 7.9.1981; geltende Fassung</t>
        </is>
      </c>
      <c r="AP23" s="3" t="inlineStr">
        <is>
          <t>Belegt Existenz und Zugänglichkeit der Quelle; inhaltliche Aussagen erst nach Auswertung.</t>
        </is>
      </c>
      <c r="AQ23" s="3" t="inlineStr">
        <is>
          <t>Keine Einstufung: Kennzahlen/Befunde noch nicht ausgewertet; Schwellen der Bewertungslogik noch nicht validiert.</t>
        </is>
      </c>
      <c r="AR23" s="3" t="inlineStr">
        <is>
          <t>Nein</t>
        </is>
      </c>
      <c r="AS23" s="3" t="inlineStr">
        <is>
          <t>Kanton Basel-Landschaft</t>
        </is>
      </c>
      <c r="AT23" s="3" t="inlineStr">
        <is>
          <t>In Prüfung</t>
        </is>
      </c>
      <c r="AU23" s="3" t="inlineStr"/>
      <c r="AV23" s="3" t="inlineStr"/>
      <c r="AW23" s="3" t="inlineStr">
        <is>
          <t>2026-10-14: Link ersetzt (vorher https://bl.clex.ch/). Grund: Startseite der Gesetzessammlung durch direkten Erlass ersetzt (GpR SGS 120).</t>
        </is>
      </c>
      <c r="AX23" s="3">
        <f>IF(ISNA(MATCH($A23,'Gesamtübersicht'!$A:$A,0)),"ID fehlt in Gesamtübersicht",IF(AND(INDEX('Gesamtübersicht'!$H:$H,MATCH($A23,'Gesamtübersicht'!$A:$A,0))&amp;""=$H23&amp;"",INDEX('Gesamtübersicht'!$M:$M,MATCH($A23,'Gesamtübersicht'!$A:$A,0))&amp;""=$M23&amp;"",INDEX('Gesamtübersicht'!$AD:$AD,MATCH($A23,'Gesamtübersicht'!$A:$A,0))&amp;""=$AD23&amp;"",INDEX('Gesamtübersicht'!$AH:$AH,MATCH($A23,'Gesamtübersicht'!$A:$A,0))&amp;""=$AH23&amp;"",INDEX('Gesamtübersicht'!$T:$T,MATCH($A23,'Gesamtübersicht'!$A:$A,0))&amp;""=$T23&amp;""),"OK","Abweichung – Ansicht neu erzeugen"))</f>
        <v/>
      </c>
    </row>
    <row r="24" ht="43" customHeight="1">
      <c r="A24" s="2" t="inlineStr">
        <is>
          <t>MUE-C1-01</t>
        </is>
      </c>
      <c r="B24" s="15" t="inlineStr">
        <is>
          <t>Gemeinde</t>
        </is>
      </c>
      <c r="C24" s="2" t="inlineStr">
        <is>
          <t>Schweiz</t>
        </is>
      </c>
      <c r="D24" s="2" t="inlineStr">
        <is>
          <t>Basel-Landschaft</t>
        </is>
      </c>
      <c r="E24" s="2" t="inlineStr">
        <is>
          <t>Münchenstein</t>
        </is>
      </c>
      <c r="F24" s="2" t="inlineStr">
        <is>
          <t>C1</t>
        </is>
      </c>
      <c r="G24" s="2" t="inlineStr">
        <is>
          <t>Finanzplanung</t>
        </is>
      </c>
      <c r="H24" s="2" t="inlineStr">
        <is>
          <t>Aufgaben- und Finanzplan 2025–2029 Münchenstein</t>
        </is>
      </c>
      <c r="I24" s="2" t="inlineStr">
        <is>
          <t>Finanzplan</t>
        </is>
      </c>
      <c r="J24" s="2" t="inlineStr">
        <is>
          <t>Offizielle Quelle recherchiert</t>
        </is>
      </c>
      <c r="K24" s="2" t="inlineStr">
        <is>
          <t>Orientierung / Datengrundlage</t>
        </is>
      </c>
      <c r="L24" s="2" t="inlineStr">
        <is>
          <t>Gemeinde Münchenstein</t>
        </is>
      </c>
      <c r="M24" s="5" t="inlineStr">
        <is>
          <t>https://www.muenchenstein.ch/publikationen/523378</t>
        </is>
      </c>
      <c r="N24" s="2" t="inlineStr">
        <is>
          <t>Zu prüfen</t>
        </is>
      </c>
      <c r="O24" s="2" t="inlineStr">
        <is>
          <t>2026-10-14</t>
        </is>
      </c>
      <c r="P24" s="2" t="inlineStr">
        <is>
          <t>Mehrjährige Finanz- und Aufgabenplanung</t>
        </is>
      </c>
      <c r="Q24" s="2" t="inlineStr">
        <is>
          <t>Investitionsprogramm, Finanzierungsbedarf</t>
        </is>
      </c>
      <c r="R24" s="2" t="inlineStr">
        <is>
          <t>Finanzplan und Jahresrechnung vergleichen</t>
        </is>
      </c>
      <c r="S24" s="2" t="inlineStr">
        <is>
          <t>Kanton × Grössenklasse</t>
        </is>
      </c>
      <c r="T24" s="2" t="inlineStr">
        <is>
          <t>Noch nicht bewertet</t>
        </is>
      </c>
      <c r="U24" s="2" t="inlineStr">
        <is>
          <t>Mittel</t>
        </is>
      </c>
      <c r="V24" s="2" t="inlineStr">
        <is>
          <t>Kennzahlen und Befunde noch extrahieren</t>
        </is>
      </c>
      <c r="W24" s="2" t="inlineStr">
        <is>
          <t>A1; C1</t>
        </is>
      </c>
      <c r="X24" s="2" t="inlineStr">
        <is>
          <t>Investitionspfad</t>
        </is>
      </c>
      <c r="Y24" s="2" t="inlineStr">
        <is>
          <t>Dokument auswerten; Aktualität und Geltung prüfen</t>
        </is>
      </c>
      <c r="Z24" s="2" t="inlineStr">
        <is>
          <t>Webrecherche 14.10.2026</t>
        </is>
      </c>
      <c r="AA24" s="2" t="inlineStr"/>
      <c r="AB24" s="2" t="inlineStr"/>
      <c r="AC24" s="2" t="inlineStr"/>
      <c r="AD24" s="2" t="inlineStr">
        <is>
          <t>Verifiziert</t>
        </is>
      </c>
      <c r="AE24" s="2" t="inlineStr">
        <is>
          <t>200</t>
        </is>
      </c>
      <c r="AF24" s="2" t="inlineStr"/>
      <c r="AG24" s="2" t="inlineStr">
        <is>
          <t>HTML</t>
        </is>
      </c>
      <c r="AH24" s="2" t="inlineStr">
        <is>
          <t>Bestätigt</t>
        </is>
      </c>
      <c r="AI24" s="2" t="inlineStr">
        <is>
          <t>Schlüsselwörter 1/1 gefunden (Finanzplan); Ort/Zuständigkeit: Münchenstein</t>
        </is>
      </c>
      <c r="AJ24" s="2" t="inlineStr">
        <is>
          <t>Münchenstein  - Aufgaben- &amp;amp; Finanzplan 2025-2029 | Kopfzeile</t>
        </is>
      </c>
      <c r="AK24" s="2" t="inlineStr">
        <is>
          <t>2025, 2029, 2024, 2026</t>
        </is>
      </c>
      <c r="AL24" s="2" t="inlineStr">
        <is>
          <t>Mittel (CMS-Dokumentlink)</t>
        </is>
      </c>
      <c r="AM24" s="2" t="inlineStr">
        <is>
          <t>2026-10-14 13:53</t>
        </is>
      </c>
      <c r="AN24" s="2" t="inlineStr">
        <is>
          <t>Öffentlich verfügbar und verifiziert</t>
        </is>
      </c>
      <c r="AO24" s="2" t="inlineStr">
        <is>
          <t>Zu prüfen</t>
        </is>
      </c>
      <c r="AP24" s="2" t="inlineStr">
        <is>
          <t>Belegt Existenz und Zugänglichkeit der Quelle; inhaltliche Aussagen erst nach Auswertung.</t>
        </is>
      </c>
      <c r="AQ24" s="2" t="inlineStr">
        <is>
          <t>Keine Einstufung: Kennzahlen/Befunde noch nicht ausgewertet; Schwellen der Bewertungslogik noch nicht validiert.</t>
        </is>
      </c>
      <c r="AR24" s="2" t="inlineStr">
        <is>
          <t>Nein</t>
        </is>
      </c>
      <c r="AS24" s="2" t="inlineStr">
        <is>
          <t>Gemeindeverwaltung Münchenstein</t>
        </is>
      </c>
      <c r="AT24" s="2" t="inlineStr">
        <is>
          <t>In Prüfung</t>
        </is>
      </c>
      <c r="AU24" s="2" t="inlineStr"/>
      <c r="AV24" s="2" t="inlineStr"/>
      <c r="AW24" s="2" t="inlineStr"/>
      <c r="AX24" s="2">
        <f>IF(ISNA(MATCH($A24,'Gesamtübersicht'!$A:$A,0)),"ID fehlt in Gesamtübersicht",IF(AND(INDEX('Gesamtübersicht'!$H:$H,MATCH($A24,'Gesamtübersicht'!$A:$A,0))&amp;""=$H24&amp;"",INDEX('Gesamtübersicht'!$M:$M,MATCH($A24,'Gesamtübersicht'!$A:$A,0))&amp;""=$M24&amp;"",INDEX('Gesamtübersicht'!$AD:$AD,MATCH($A24,'Gesamtübersicht'!$A:$A,0))&amp;""=$AD24&amp;"",INDEX('Gesamtübersicht'!$AH:$AH,MATCH($A24,'Gesamtübersicht'!$A:$A,0))&amp;""=$AH24&amp;"",INDEX('Gesamtübersicht'!$T:$T,MATCH($A24,'Gesamtübersicht'!$A:$A,0))&amp;""=$T24&amp;""),"OK","Abweichung – Ansicht neu erzeugen"))</f>
        <v/>
      </c>
    </row>
    <row r="25" ht="43" customHeight="1">
      <c r="A25" s="3" t="inlineStr">
        <is>
          <t>MUE-C1-02</t>
        </is>
      </c>
      <c r="B25" s="15" t="inlineStr">
        <is>
          <t>Gemeinde</t>
        </is>
      </c>
      <c r="C25" s="3" t="inlineStr">
        <is>
          <t>Schweiz</t>
        </is>
      </c>
      <c r="D25" s="3" t="inlineStr">
        <is>
          <t>Basel-Landschaft</t>
        </is>
      </c>
      <c r="E25" s="3" t="inlineStr">
        <is>
          <t>Münchenstein</t>
        </is>
      </c>
      <c r="F25" s="3" t="inlineStr">
        <is>
          <t>C1</t>
        </is>
      </c>
      <c r="G25" s="3" t="inlineStr">
        <is>
          <t>Jahresrechnung</t>
        </is>
      </c>
      <c r="H25" s="3" t="inlineStr">
        <is>
          <t>Bericht zur Jahresrechnung 2025 der Einwohnergemeinde Münchenstein</t>
        </is>
      </c>
      <c r="I25" s="3" t="inlineStr">
        <is>
          <t>Jahresrechnung</t>
        </is>
      </c>
      <c r="J25" s="3" t="inlineStr">
        <is>
          <t>Publikationsseite mit PDF</t>
        </is>
      </c>
      <c r="K25" s="3" t="inlineStr">
        <is>
          <t>Beschlossene Jahresrechnung (Gemeindeversammlung 15.6.2026)</t>
        </is>
      </c>
      <c r="L25" s="3" t="inlineStr">
        <is>
          <t>Gemeinde Münchenstein</t>
        </is>
      </c>
      <c r="M25" s="7" t="inlineStr">
        <is>
          <t>https://www.muenchenstein.ch/publikationen/621658</t>
        </is>
      </c>
      <c r="N25" s="3" t="inlineStr">
        <is>
          <t>2025</t>
        </is>
      </c>
      <c r="O25" s="3" t="inlineStr">
        <is>
          <t>2026-10-14</t>
        </is>
      </c>
      <c r="P25" s="3" t="inlineStr">
        <is>
          <t>Einstieg zur Beschaffung Jahresrechnung 2025 und Budget 2026</t>
        </is>
      </c>
      <c r="Q25" s="3" t="inlineStr">
        <is>
          <t>Selbstfinanzierung, Nettoinvestitionen</t>
        </is>
      </c>
      <c r="R25" s="3" t="inlineStr">
        <is>
          <t>Konkrete Publikation ermitteln</t>
        </is>
      </c>
      <c r="S25" s="3" t="inlineStr">
        <is>
          <t>Kanton × Grössenklasse</t>
        </is>
      </c>
      <c r="T25" s="3" t="inlineStr">
        <is>
          <t>Noch nicht bewertet</t>
        </is>
      </c>
      <c r="U25" s="3" t="inlineStr">
        <is>
          <t>Mittel</t>
        </is>
      </c>
      <c r="V25" s="3" t="inlineStr">
        <is>
          <t>Konkrete kommunale Unterlagen / Datensatz nachfordern</t>
        </is>
      </c>
      <c r="W25" s="3" t="inlineStr">
        <is>
          <t>C1</t>
        </is>
      </c>
      <c r="X25" s="3" t="inlineStr">
        <is>
          <t>Finanztragfähigkeit</t>
        </is>
      </c>
      <c r="Y25" s="3" t="inlineStr">
        <is>
          <t>Dokument auswerten; Aktualität und Geltung prüfen</t>
        </is>
      </c>
      <c r="Z25" s="3" t="inlineStr">
        <is>
          <t>Webrecherche 14.10.2026</t>
        </is>
      </c>
      <c r="AA25" s="3" t="inlineStr"/>
      <c r="AB25" s="3" t="inlineStr"/>
      <c r="AC25" s="3" t="inlineStr"/>
      <c r="AD25" s="3" t="inlineStr">
        <is>
          <t>Verifiziert</t>
        </is>
      </c>
      <c r="AE25" s="3" t="inlineStr">
        <is>
          <t>200</t>
        </is>
      </c>
      <c r="AF25" s="3" t="inlineStr"/>
      <c r="AG25" s="3" t="inlineStr">
        <is>
          <t>HTML</t>
        </is>
      </c>
      <c r="AH25" s="3" t="inlineStr">
        <is>
          <t>Bestätigt</t>
        </is>
      </c>
      <c r="AI25" s="3" t="inlineStr">
        <is>
          <t>Schlüsselwörter 1/1 gefunden (Jahresrechnung 2025); Ort/Zuständigkeit: Münchenstein</t>
        </is>
      </c>
      <c r="AJ25" s="3" t="inlineStr">
        <is>
          <t>Münchenstein  - Bericht zur Jahresrechnung 2025 | Kopfzeile</t>
        </is>
      </c>
      <c r="AK25" s="3" t="inlineStr">
        <is>
          <t>2025, 2026</t>
        </is>
      </c>
      <c r="AL25" s="3" t="inlineStr">
        <is>
          <t>Mittel (CMS-Dokumentlink)</t>
        </is>
      </c>
      <c r="AM25" s="3" t="inlineStr">
        <is>
          <t>2026-10-14 13:53</t>
        </is>
      </c>
      <c r="AN25" s="3" t="inlineStr">
        <is>
          <t>Öffentlich verfügbar und verifiziert</t>
        </is>
      </c>
      <c r="AO25" s="3" t="inlineStr">
        <is>
          <t>2025</t>
        </is>
      </c>
      <c r="AP25" s="3" t="inlineStr">
        <is>
          <t>Belegt Existenz und Zugänglichkeit der Quelle; inhaltliche Aussagen erst nach Auswertung.</t>
        </is>
      </c>
      <c r="AQ25" s="3" t="inlineStr">
        <is>
          <t>Keine Einstufung: Kennzahlen/Befunde noch nicht ausgewertet; Schwellen der Bewertungslogik noch nicht validiert.</t>
        </is>
      </c>
      <c r="AR25" s="3" t="inlineStr">
        <is>
          <t>Nein</t>
        </is>
      </c>
      <c r="AS25" s="3" t="inlineStr">
        <is>
          <t>Gemeindeverwaltung Münchenstein</t>
        </is>
      </c>
      <c r="AT25" s="3" t="inlineStr">
        <is>
          <t>In Prüfung</t>
        </is>
      </c>
      <c r="AU25" s="3" t="inlineStr"/>
      <c r="AV25" s="3" t="inlineStr"/>
      <c r="AW25" s="3" t="inlineStr">
        <is>
          <t>2026-10-14: Link ersetzt (vorher https://www.muenchenstein.ch/). Grund: Startseite durch Publikationsseite der Jahresrechnung 2025 ersetzt.</t>
        </is>
      </c>
      <c r="AX25" s="3">
        <f>IF(ISNA(MATCH($A25,'Gesamtübersicht'!$A:$A,0)),"ID fehlt in Gesamtübersicht",IF(AND(INDEX('Gesamtübersicht'!$H:$H,MATCH($A25,'Gesamtübersicht'!$A:$A,0))&amp;""=$H25&amp;"",INDEX('Gesamtübersicht'!$M:$M,MATCH($A25,'Gesamtübersicht'!$A:$A,0))&amp;""=$M25&amp;"",INDEX('Gesamtübersicht'!$AD:$AD,MATCH($A25,'Gesamtübersicht'!$A:$A,0))&amp;""=$AD25&amp;"",INDEX('Gesamtübersicht'!$AH:$AH,MATCH($A25,'Gesamtübersicht'!$A:$A,0))&amp;""=$AH25&amp;"",INDEX('Gesamtübersicht'!$T:$T,MATCH($A25,'Gesamtübersicht'!$A:$A,0))&amp;""=$T25&amp;""),"OK","Abweichung – Ansicht neu erzeugen"))</f>
        <v/>
      </c>
    </row>
    <row r="26" ht="43" customHeight="1">
      <c r="A26" s="2" t="inlineStr">
        <is>
          <t>MUE-C1-03</t>
        </is>
      </c>
      <c r="B26" s="15" t="inlineStr">
        <is>
          <t>Gemeinde</t>
        </is>
      </c>
      <c r="C26" s="2" t="inlineStr">
        <is>
          <t>Schweiz</t>
        </is>
      </c>
      <c r="D26" s="2" t="inlineStr">
        <is>
          <t>Basel-Landschaft</t>
        </is>
      </c>
      <c r="E26" s="2" t="inlineStr">
        <is>
          <t>Münchenstein</t>
        </is>
      </c>
      <c r="F26" s="2" t="inlineStr">
        <is>
          <t>C1</t>
        </is>
      </c>
      <c r="G26" s="2" t="inlineStr">
        <is>
          <t>Jahresrechnung</t>
        </is>
      </c>
      <c r="H26" s="2" t="inlineStr">
        <is>
          <t>Bericht zur Jahresrechnung 2024 der Einwohnergemeinde Münchenstein</t>
        </is>
      </c>
      <c r="I26" s="2" t="inlineStr">
        <is>
          <t>Jahresrechnung</t>
        </is>
      </c>
      <c r="J26" s="2" t="inlineStr">
        <is>
          <t>Publikationsseite mit PDF</t>
        </is>
      </c>
      <c r="K26" s="2" t="inlineStr">
        <is>
          <t>Beschlossene Jahresrechnung</t>
        </is>
      </c>
      <c r="L26" s="2" t="inlineStr">
        <is>
          <t>Gemeinde Münchenstein</t>
        </is>
      </c>
      <c r="M26" s="5" t="inlineStr">
        <is>
          <t>https://www.muenchenstein.ch/publikationen/556069</t>
        </is>
      </c>
      <c r="N26" s="2" t="inlineStr">
        <is>
          <t>2024</t>
        </is>
      </c>
      <c r="O26" s="2" t="inlineStr">
        <is>
          <t>2026-10-14</t>
        </is>
      </c>
      <c r="P26" s="2" t="inlineStr">
        <is>
          <t>Ergebnis, Investitionen, Bilanz 2024 (Zeitreihe)</t>
        </is>
      </c>
      <c r="Q26" s="2" t="inlineStr"/>
      <c r="R26" s="2" t="inlineStr"/>
      <c r="S26" s="2" t="inlineStr">
        <is>
          <t>Kanton × Grössenklasse</t>
        </is>
      </c>
      <c r="T26" s="2" t="inlineStr">
        <is>
          <t>Noch nicht bewertet</t>
        </is>
      </c>
      <c r="U26" s="2" t="inlineStr">
        <is>
          <t>Mittel</t>
        </is>
      </c>
      <c r="V26" s="2" t="inlineStr"/>
      <c r="W26" s="2" t="inlineStr"/>
      <c r="X26" s="2" t="inlineStr"/>
      <c r="Y26" s="2" t="inlineStr">
        <is>
          <t>Dokument auswerten; Aktualität und Geltung prüfen</t>
        </is>
      </c>
      <c r="Z26" s="2" t="inlineStr">
        <is>
          <t>Websuche 14.10.2026 (URL im Suchergebnis gefunden)</t>
        </is>
      </c>
      <c r="AA26" s="2" t="inlineStr"/>
      <c r="AB26" s="2" t="inlineStr"/>
      <c r="AC26" s="2" t="inlineStr"/>
      <c r="AD26" s="2" t="inlineStr">
        <is>
          <t>Verifiziert</t>
        </is>
      </c>
      <c r="AE26" s="2" t="inlineStr">
        <is>
          <t>200</t>
        </is>
      </c>
      <c r="AF26" s="2" t="inlineStr"/>
      <c r="AG26" s="2" t="inlineStr">
        <is>
          <t>HTML</t>
        </is>
      </c>
      <c r="AH26" s="2" t="inlineStr">
        <is>
          <t>Bestätigt</t>
        </is>
      </c>
      <c r="AI26" s="2" t="inlineStr">
        <is>
          <t>Schlüsselwörter 1/1 gefunden (Jahresrechnung 2024); Ort/Zuständigkeit: Münchenstein</t>
        </is>
      </c>
      <c r="AJ26" s="2" t="inlineStr">
        <is>
          <t>Münchenstein  - Bericht zur Jahresrechnung 2024 | Kopfzeile</t>
        </is>
      </c>
      <c r="AK26" s="2" t="inlineStr">
        <is>
          <t>2024, 2025, 2026</t>
        </is>
      </c>
      <c r="AL26" s="2" t="inlineStr">
        <is>
          <t>Mittel (CMS-Dokumentlink)</t>
        </is>
      </c>
      <c r="AM26" s="2" t="inlineStr">
        <is>
          <t>2026-10-14 13:55</t>
        </is>
      </c>
      <c r="AN26" s="2" t="inlineStr">
        <is>
          <t>Öffentlich verfügbar und verifiziert</t>
        </is>
      </c>
      <c r="AO26" s="2" t="inlineStr">
        <is>
          <t>2024</t>
        </is>
      </c>
      <c r="AP26" s="2" t="inlineStr">
        <is>
          <t>Belegt Existenz und Zugänglichkeit der Quelle; inhaltliche Aussagen erst nach Auswertung.</t>
        </is>
      </c>
      <c r="AQ26" s="2" t="inlineStr">
        <is>
          <t>Keine Einstufung: Kennzahlen/Befunde noch nicht ausgewertet; Schwellen der Bewertungslogik noch nicht validiert.</t>
        </is>
      </c>
      <c r="AR26" s="2" t="inlineStr">
        <is>
          <t>Nein</t>
        </is>
      </c>
      <c r="AS26" s="2" t="inlineStr">
        <is>
          <t>Gemeindeverwaltung Münchenstein</t>
        </is>
      </c>
      <c r="AT26" s="2" t="inlineStr">
        <is>
          <t>In Prüfung</t>
        </is>
      </c>
      <c r="AU26" s="2" t="inlineStr"/>
      <c r="AV26" s="2" t="inlineStr"/>
      <c r="AW26" s="2" t="inlineStr">
        <is>
          <t>2026-10-14: neu aufgenommen</t>
        </is>
      </c>
      <c r="AX26" s="2">
        <f>IF(ISNA(MATCH($A26,'Gesamtübersicht'!$A:$A,0)),"ID fehlt in Gesamtübersicht",IF(AND(INDEX('Gesamtübersicht'!$H:$H,MATCH($A26,'Gesamtübersicht'!$A:$A,0))&amp;""=$H26&amp;"",INDEX('Gesamtübersicht'!$M:$M,MATCH($A26,'Gesamtübersicht'!$A:$A,0))&amp;""=$M26&amp;"",INDEX('Gesamtübersicht'!$AD:$AD,MATCH($A26,'Gesamtübersicht'!$A:$A,0))&amp;""=$AD26&amp;"",INDEX('Gesamtübersicht'!$AH:$AH,MATCH($A26,'Gesamtübersicht'!$A:$A,0))&amp;""=$AH26&amp;"",INDEX('Gesamtübersicht'!$T:$T,MATCH($A26,'Gesamtübersicht'!$A:$A,0))&amp;""=$T26&amp;""),"OK","Abweichung – Ansicht neu erzeugen"))</f>
        <v/>
      </c>
    </row>
    <row r="27" ht="43" customHeight="1">
      <c r="A27" s="3" t="inlineStr">
        <is>
          <t>MUE-C1-04</t>
        </is>
      </c>
      <c r="B27" s="15" t="inlineStr">
        <is>
          <t>Gemeinde</t>
        </is>
      </c>
      <c r="C27" s="3" t="inlineStr">
        <is>
          <t>Schweiz</t>
        </is>
      </c>
      <c r="D27" s="3" t="inlineStr">
        <is>
          <t>Basel-Landschaft</t>
        </is>
      </c>
      <c r="E27" s="3" t="inlineStr">
        <is>
          <t>Münchenstein</t>
        </is>
      </c>
      <c r="F27" s="3" t="inlineStr">
        <is>
          <t>C1</t>
        </is>
      </c>
      <c r="G27" s="3" t="inlineStr">
        <is>
          <t>Budget</t>
        </is>
      </c>
      <c r="H27" s="3" t="inlineStr">
        <is>
          <t>Budget 2025 der Einwohnergemeinde Münchenstein</t>
        </is>
      </c>
      <c r="I27" s="3" t="inlineStr">
        <is>
          <t>Budget</t>
        </is>
      </c>
      <c r="J27" s="3" t="inlineStr">
        <is>
          <t>Publikationsseite mit PDF</t>
        </is>
      </c>
      <c r="K27" s="3" t="inlineStr">
        <is>
          <t>Beschlossenes Budget</t>
        </is>
      </c>
      <c r="L27" s="3" t="inlineStr">
        <is>
          <t>Gemeinde Münchenstein</t>
        </is>
      </c>
      <c r="M27" s="7" t="inlineStr">
        <is>
          <t>https://www.muenchenstein.ch/publikationen/523381</t>
        </is>
      </c>
      <c r="N27" s="3" t="inlineStr">
        <is>
          <t>2025</t>
        </is>
      </c>
      <c r="O27" s="3" t="inlineStr">
        <is>
          <t>2026-10-14</t>
        </is>
      </c>
      <c r="P27" s="3" t="inlineStr"/>
      <c r="Q27" s="3" t="inlineStr"/>
      <c r="R27" s="3" t="inlineStr"/>
      <c r="S27" s="3" t="inlineStr">
        <is>
          <t>Kanton × Grössenklasse</t>
        </is>
      </c>
      <c r="T27" s="3" t="inlineStr">
        <is>
          <t>Noch nicht bewertet</t>
        </is>
      </c>
      <c r="U27" s="3" t="inlineStr">
        <is>
          <t>Mittel</t>
        </is>
      </c>
      <c r="V27" s="3" t="inlineStr"/>
      <c r="W27" s="3" t="inlineStr"/>
      <c r="X27" s="3" t="inlineStr"/>
      <c r="Y27" s="3" t="inlineStr">
        <is>
          <t>Dokument auswerten; Aktualität und Geltung prüfen</t>
        </is>
      </c>
      <c r="Z27" s="3" t="inlineStr">
        <is>
          <t>Websuche 14.10.2026 (URL im Suchergebnis gefunden)</t>
        </is>
      </c>
      <c r="AA27" s="3" t="inlineStr"/>
      <c r="AB27" s="3" t="inlineStr"/>
      <c r="AC27" s="3" t="inlineStr"/>
      <c r="AD27" s="3" t="inlineStr">
        <is>
          <t>Verifiziert</t>
        </is>
      </c>
      <c r="AE27" s="3" t="inlineStr">
        <is>
          <t>200</t>
        </is>
      </c>
      <c r="AF27" s="3" t="inlineStr"/>
      <c r="AG27" s="3" t="inlineStr">
        <is>
          <t>HTML</t>
        </is>
      </c>
      <c r="AH27" s="3" t="inlineStr">
        <is>
          <t>Bestätigt</t>
        </is>
      </c>
      <c r="AI27" s="3" t="inlineStr">
        <is>
          <t>Schlüsselwörter 1/1 gefunden (Budget 2025); Ort/Zuständigkeit: Münchenstein</t>
        </is>
      </c>
      <c r="AJ27" s="3" t="inlineStr">
        <is>
          <t>Münchenstein  - Budget 2025 | Kopfzeile</t>
        </is>
      </c>
      <c r="AK27" s="3" t="inlineStr">
        <is>
          <t>2025, 2024, 2026</t>
        </is>
      </c>
      <c r="AL27" s="3" t="inlineStr">
        <is>
          <t>Mittel (CMS-Dokumentlink)</t>
        </is>
      </c>
      <c r="AM27" s="3" t="inlineStr">
        <is>
          <t>2026-10-14 13:55</t>
        </is>
      </c>
      <c r="AN27" s="3" t="inlineStr">
        <is>
          <t>Öffentlich verfügbar und verifiziert</t>
        </is>
      </c>
      <c r="AO27" s="3" t="inlineStr">
        <is>
          <t>2025</t>
        </is>
      </c>
      <c r="AP27" s="3" t="inlineStr">
        <is>
          <t>Belegt Existenz und Zugänglichkeit der Quelle; inhaltliche Aussagen erst nach Auswertung.</t>
        </is>
      </c>
      <c r="AQ27" s="3" t="inlineStr">
        <is>
          <t>Keine Einstufung: Kennzahlen/Befunde noch nicht ausgewertet; Schwellen der Bewertungslogik noch nicht validiert.</t>
        </is>
      </c>
      <c r="AR27" s="3" t="inlineStr">
        <is>
          <t>Nein</t>
        </is>
      </c>
      <c r="AS27" s="3" t="inlineStr">
        <is>
          <t>Gemeindeverwaltung Münchenstein</t>
        </is>
      </c>
      <c r="AT27" s="3" t="inlineStr">
        <is>
          <t>In Prüfung</t>
        </is>
      </c>
      <c r="AU27" s="3" t="inlineStr"/>
      <c r="AV27" s="3" t="inlineStr"/>
      <c r="AW27" s="3" t="inlineStr">
        <is>
          <t>2026-10-14: neu aufgenommen</t>
        </is>
      </c>
      <c r="AX27" s="3">
        <f>IF(ISNA(MATCH($A27,'Gesamtübersicht'!$A:$A,0)),"ID fehlt in Gesamtübersicht",IF(AND(INDEX('Gesamtübersicht'!$H:$H,MATCH($A27,'Gesamtübersicht'!$A:$A,0))&amp;""=$H27&amp;"",INDEX('Gesamtübersicht'!$M:$M,MATCH($A27,'Gesamtübersicht'!$A:$A,0))&amp;""=$M27&amp;"",INDEX('Gesamtübersicht'!$AD:$AD,MATCH($A27,'Gesamtübersicht'!$A:$A,0))&amp;""=$AD27&amp;"",INDEX('Gesamtübersicht'!$AH:$AH,MATCH($A27,'Gesamtübersicht'!$A:$A,0))&amp;""=$AH27&amp;"",INDEX('Gesamtübersicht'!$T:$T,MATCH($A27,'Gesamtübersicht'!$A:$A,0))&amp;""=$T27&amp;""),"OK","Abweichung – Ansicht neu erzeugen"))</f>
        <v/>
      </c>
    </row>
    <row r="28" ht="43" customHeight="1">
      <c r="A28" s="2" t="inlineStr">
        <is>
          <t>MUE-C1-05</t>
        </is>
      </c>
      <c r="B28" s="15" t="inlineStr">
        <is>
          <t>Gemeinde</t>
        </is>
      </c>
      <c r="C28" s="2" t="inlineStr">
        <is>
          <t>Schweiz</t>
        </is>
      </c>
      <c r="D28" s="2" t="inlineStr">
        <is>
          <t>Basel-Landschaft</t>
        </is>
      </c>
      <c r="E28" s="2" t="inlineStr">
        <is>
          <t>Münchenstein</t>
        </is>
      </c>
      <c r="F28" s="2" t="inlineStr">
        <is>
          <t>C1</t>
        </is>
      </c>
      <c r="G28" s="2" t="inlineStr">
        <is>
          <t>Budget / Finanzplan</t>
        </is>
      </c>
      <c r="H28" s="2" t="inlineStr">
        <is>
          <t>Gemeindeversammlung 8.12.2025: Budgetbericht 2026 und Bericht zum Aufgaben- und Finanzplan 2026–2030</t>
        </is>
      </c>
      <c r="I28" s="2" t="inlineStr">
        <is>
          <t>Sitzungsseite mit Unterlagen</t>
        </is>
      </c>
      <c r="J28" s="2" t="inlineStr">
        <is>
          <t>Sitzungsseite mit PDF</t>
        </is>
      </c>
      <c r="K28" s="2" t="inlineStr">
        <is>
          <t>Beschlussvorlage</t>
        </is>
      </c>
      <c r="L28" s="2" t="inlineStr">
        <is>
          <t>Gemeinde Münchenstein</t>
        </is>
      </c>
      <c r="M28" s="5" t="inlineStr">
        <is>
          <t>https://www.muenchenstein.ch/sitzung/5729137</t>
        </is>
      </c>
      <c r="N28" s="2" t="inlineStr">
        <is>
          <t>2026 / 2026–2030</t>
        </is>
      </c>
      <c r="O28" s="2" t="inlineStr">
        <is>
          <t>2026-10-14</t>
        </is>
      </c>
      <c r="P28" s="2" t="inlineStr">
        <is>
          <t>Aktuellstes Budget und AFP inkl. Investitionsplanung</t>
        </is>
      </c>
      <c r="Q28" s="2" t="inlineStr"/>
      <c r="R28" s="2" t="inlineStr"/>
      <c r="S28" s="2" t="inlineStr">
        <is>
          <t>Kanton × Grössenklasse</t>
        </is>
      </c>
      <c r="T28" s="2" t="inlineStr">
        <is>
          <t>Noch nicht bewertet</t>
        </is>
      </c>
      <c r="U28" s="2" t="inlineStr">
        <is>
          <t>Mittel</t>
        </is>
      </c>
      <c r="V28" s="2" t="inlineStr"/>
      <c r="W28" s="2" t="inlineStr"/>
      <c r="X28" s="2" t="inlineStr"/>
      <c r="Y28" s="2" t="inlineStr">
        <is>
          <t>Dokument auswerten; Aktualität und Geltung prüfen</t>
        </is>
      </c>
      <c r="Z28" s="2" t="inlineStr">
        <is>
          <t>Websuche 14.10.2026 (URL im Suchergebnis gefunden)</t>
        </is>
      </c>
      <c r="AA28" s="2" t="inlineStr">
        <is>
          <t>C5</t>
        </is>
      </c>
      <c r="AB28" s="2" t="inlineStr"/>
      <c r="AC28" s="2" t="inlineStr"/>
      <c r="AD28" s="2" t="inlineStr">
        <is>
          <t>Verifiziert</t>
        </is>
      </c>
      <c r="AE28" s="2" t="inlineStr">
        <is>
          <t>200</t>
        </is>
      </c>
      <c r="AF28" s="2" t="inlineStr"/>
      <c r="AG28" s="2" t="inlineStr">
        <is>
          <t>HTML</t>
        </is>
      </c>
      <c r="AH28" s="2" t="inlineStr">
        <is>
          <t>Bestätigt</t>
        </is>
      </c>
      <c r="AI28" s="2" t="inlineStr">
        <is>
          <t>Schlüsselwörter 2/2 gefunden (Budget, 2026); Ort/Zuständigkeit: Münchenstein</t>
        </is>
      </c>
      <c r="AJ28" s="2" t="inlineStr">
        <is>
          <t>Münchenstein  - Gemeindeversammlung | Kopfzeile</t>
        </is>
      </c>
      <c r="AK28" s="2" t="inlineStr">
        <is>
          <t>2026, 2025, 2030</t>
        </is>
      </c>
      <c r="AL28" s="2" t="inlineStr">
        <is>
          <t>Mittel (Webseite)</t>
        </is>
      </c>
      <c r="AM28" s="2" t="inlineStr">
        <is>
          <t>2026-10-14 13:55</t>
        </is>
      </c>
      <c r="AN28" s="2" t="inlineStr">
        <is>
          <t>Öffentlich verfügbar und verifiziert</t>
        </is>
      </c>
      <c r="AO28" s="2" t="inlineStr">
        <is>
          <t>2026 / 2026–2030</t>
        </is>
      </c>
      <c r="AP28" s="2" t="inlineStr">
        <is>
          <t>Belegt Existenz und Zugänglichkeit der Quelle; inhaltliche Aussagen erst nach Auswertung.</t>
        </is>
      </c>
      <c r="AQ28" s="2" t="inlineStr">
        <is>
          <t>Keine Einstufung: Kennzahlen/Befunde noch nicht ausgewertet; Schwellen der Bewertungslogik noch nicht validiert.</t>
        </is>
      </c>
      <c r="AR28" s="2" t="inlineStr">
        <is>
          <t>Nein</t>
        </is>
      </c>
      <c r="AS28" s="2" t="inlineStr">
        <is>
          <t>Gemeindeverwaltung Münchenstein</t>
        </is>
      </c>
      <c r="AT28" s="2" t="inlineStr">
        <is>
          <t>In Prüfung</t>
        </is>
      </c>
      <c r="AU28" s="2" t="inlineStr"/>
      <c r="AV28" s="2" t="inlineStr"/>
      <c r="AW28" s="2" t="inlineStr">
        <is>
          <t>2026-10-14: neu aufgenommen</t>
        </is>
      </c>
      <c r="AX28" s="2">
        <f>IF(ISNA(MATCH($A28,'Gesamtübersicht'!$A:$A,0)),"ID fehlt in Gesamtübersicht",IF(AND(INDEX('Gesamtübersicht'!$H:$H,MATCH($A28,'Gesamtübersicht'!$A:$A,0))&amp;""=$H28&amp;"",INDEX('Gesamtübersicht'!$M:$M,MATCH($A28,'Gesamtübersicht'!$A:$A,0))&amp;""=$M28&amp;"",INDEX('Gesamtübersicht'!$AD:$AD,MATCH($A28,'Gesamtübersicht'!$A:$A,0))&amp;""=$AD28&amp;"",INDEX('Gesamtübersicht'!$AH:$AH,MATCH($A28,'Gesamtübersicht'!$A:$A,0))&amp;""=$AH28&amp;"",INDEX('Gesamtübersicht'!$T:$T,MATCH($A28,'Gesamtübersicht'!$A:$A,0))&amp;""=$T28&amp;""),"OK","Abweichung – Ansicht neu erzeugen"))</f>
        <v/>
      </c>
    </row>
    <row r="29" ht="43" customHeight="1">
      <c r="A29" s="3" t="inlineStr">
        <is>
          <t>MUE-C1-06</t>
        </is>
      </c>
      <c r="B29" s="15" t="inlineStr">
        <is>
          <t>Gemeinde</t>
        </is>
      </c>
      <c r="C29" s="3" t="inlineStr">
        <is>
          <t>Schweiz</t>
        </is>
      </c>
      <c r="D29" s="3" t="inlineStr">
        <is>
          <t>Basel-Landschaft</t>
        </is>
      </c>
      <c r="E29" s="3" t="inlineStr">
        <is>
          <t>Münchenstein</t>
        </is>
      </c>
      <c r="F29" s="3" t="inlineStr">
        <is>
          <t>C1</t>
        </is>
      </c>
      <c r="G29" s="3" t="inlineStr">
        <is>
          <t>Finanzplanung</t>
        </is>
      </c>
      <c r="H29" s="3" t="inlineStr">
        <is>
          <t>Aufgaben- &amp; Finanzplan der Einwohnergemeinde Münchenstein 2023–2027</t>
        </is>
      </c>
      <c r="I29" s="3" t="inlineStr">
        <is>
          <t>Finanzplan</t>
        </is>
      </c>
      <c r="J29" s="3" t="inlineStr">
        <is>
          <t>Direktes Dokument</t>
        </is>
      </c>
      <c r="K29" s="3" t="inlineStr">
        <is>
          <t>Planungsinstrument (Kenntnisnahme)</t>
        </is>
      </c>
      <c r="L29" s="3" t="inlineStr">
        <is>
          <t>Gemeinde Münchenstein</t>
        </is>
      </c>
      <c r="M29" s="7" t="inlineStr">
        <is>
          <t>https://www.muenchenstein.ch/_docn/4130681/Bericht_Aufgaben__Finanzplan_2023-2027_publiziert.pdf</t>
        </is>
      </c>
      <c r="N29" s="3" t="inlineStr">
        <is>
          <t>2023–2027 (historisch)</t>
        </is>
      </c>
      <c r="O29" s="3" t="inlineStr">
        <is>
          <t>2026-10-14</t>
        </is>
      </c>
      <c r="P29" s="3" t="inlineStr">
        <is>
          <t>Baurechtszinsen, Investitionen, Bilanzüberschuss-Prognose</t>
        </is>
      </c>
      <c r="Q29" s="3" t="inlineStr"/>
      <c r="R29" s="3" t="inlineStr"/>
      <c r="S29" s="3" t="inlineStr">
        <is>
          <t>Kanton × Grössenklasse</t>
        </is>
      </c>
      <c r="T29" s="3" t="inlineStr">
        <is>
          <t>Noch nicht bewertet</t>
        </is>
      </c>
      <c r="U29" s="3" t="inlineStr">
        <is>
          <t>Hoch</t>
        </is>
      </c>
      <c r="V29" s="3" t="inlineStr"/>
      <c r="W29" s="3" t="inlineStr"/>
      <c r="X29" s="3" t="inlineStr"/>
      <c r="Y29" s="3" t="inlineStr">
        <is>
          <t>Dokument auswerten; Aktualität und Geltung prüfen</t>
        </is>
      </c>
      <c r="Z29" s="3" t="inlineStr">
        <is>
          <t>Websuche 14.10.2026 (URL im Suchergebnis gefunden)</t>
        </is>
      </c>
      <c r="AA29" s="3" t="inlineStr"/>
      <c r="AB29" s="3" t="inlineStr"/>
      <c r="AC29" s="3" t="inlineStr"/>
      <c r="AD29" s="3" t="inlineStr">
        <is>
          <t>Verifiziert</t>
        </is>
      </c>
      <c r="AE29" s="3" t="inlineStr">
        <is>
          <t>200</t>
        </is>
      </c>
      <c r="AF29" s="3" t="inlineStr"/>
      <c r="AG29" s="3" t="inlineStr">
        <is>
          <t>PDF</t>
        </is>
      </c>
      <c r="AH29" s="3" t="inlineStr">
        <is>
          <t>Bestätigt</t>
        </is>
      </c>
      <c r="AI29" s="3" t="inlineStr">
        <is>
          <t>Schlüsselwörter 2/2 gefunden (Finanzplan, 2023); Ort/Zuständigkeit: Münchenstein</t>
        </is>
      </c>
      <c r="AJ29" s="3" t="inlineStr">
        <is>
          <t>untitled</t>
        </is>
      </c>
      <c r="AK29" s="3" t="inlineStr">
        <is>
          <t>2023, 2022, 2027, 2021, 2020, 2025</t>
        </is>
      </c>
      <c r="AL29" s="3" t="inlineStr">
        <is>
          <t>Mittel (CMS-Dokumentlink)</t>
        </is>
      </c>
      <c r="AM29" s="3" t="inlineStr">
        <is>
          <t>2026-10-14 13:55</t>
        </is>
      </c>
      <c r="AN29" s="3" t="inlineStr">
        <is>
          <t>Öffentlich verfügbar und verifiziert</t>
        </is>
      </c>
      <c r="AO29" s="3" t="inlineStr">
        <is>
          <t>2023–2027 (historisch)</t>
        </is>
      </c>
      <c r="AP29" s="3" t="inlineStr">
        <is>
          <t>Belegt Existenz und Zugänglichkeit der Quelle; inhaltliche Aussagen erst nach Auswertung. Fundstellen im Dokument (automatisch): Baurechtszins: S. 14, 27, 35.</t>
        </is>
      </c>
      <c r="AQ29" s="3" t="inlineStr">
        <is>
          <t>Keine Einstufung: Kennzahlen/Befunde noch nicht ausgewertet; Schwellen der Bewertungslogik noch nicht validiert.</t>
        </is>
      </c>
      <c r="AR29" s="3" t="inlineStr">
        <is>
          <t>Nein</t>
        </is>
      </c>
      <c r="AS29" s="3" t="inlineStr">
        <is>
          <t>Gemeindeverwaltung Münchenstein</t>
        </is>
      </c>
      <c r="AT29" s="3" t="inlineStr">
        <is>
          <t>In Prüfung</t>
        </is>
      </c>
      <c r="AU29" s="3" t="inlineStr">
        <is>
          <t>Ältere Fassung; aktuelle AFP 2026–2030 siehe MUE-C1-05.</t>
        </is>
      </c>
      <c r="AV29" s="3" t="inlineStr"/>
      <c r="AW29" s="3" t="inlineStr">
        <is>
          <t>2026-10-14: neu aufgenommen</t>
        </is>
      </c>
      <c r="AX29" s="3">
        <f>IF(ISNA(MATCH($A29,'Gesamtübersicht'!$A:$A,0)),"ID fehlt in Gesamtübersicht",IF(AND(INDEX('Gesamtübersicht'!$H:$H,MATCH($A29,'Gesamtübersicht'!$A:$A,0))&amp;""=$H29&amp;"",INDEX('Gesamtübersicht'!$M:$M,MATCH($A29,'Gesamtübersicht'!$A:$A,0))&amp;""=$M29&amp;"",INDEX('Gesamtübersicht'!$AD:$AD,MATCH($A29,'Gesamtübersicht'!$A:$A,0))&amp;""=$AD29&amp;"",INDEX('Gesamtübersicht'!$AH:$AH,MATCH($A29,'Gesamtübersicht'!$A:$A,0))&amp;""=$AH29&amp;"",INDEX('Gesamtübersicht'!$T:$T,MATCH($A29,'Gesamtübersicht'!$A:$A,0))&amp;""=$T29&amp;""),"OK","Abweichung – Ansicht neu erzeugen"))</f>
        <v/>
      </c>
    </row>
    <row r="30" ht="43" customHeight="1">
      <c r="A30" s="2" t="inlineStr">
        <is>
          <t>MUE-C2-01</t>
        </is>
      </c>
      <c r="B30" s="15" t="inlineStr">
        <is>
          <t>Gemeinde</t>
        </is>
      </c>
      <c r="C30" s="2" t="inlineStr">
        <is>
          <t>Schweiz</t>
        </is>
      </c>
      <c r="D30" s="2" t="inlineStr">
        <is>
          <t>Basel-Landschaft</t>
        </is>
      </c>
      <c r="E30" s="2" t="inlineStr">
        <is>
          <t>Münchenstein</t>
        </is>
      </c>
      <c r="F30" s="2" t="inlineStr">
        <is>
          <t>C2</t>
        </is>
      </c>
      <c r="G30" s="2" t="inlineStr">
        <is>
          <t>Boden / Liegenschaften</t>
        </is>
      </c>
      <c r="H30" s="2" t="inlineStr">
        <is>
          <t>Ratschlag Gemeindeversammlung 16.3.2015 (Landverkauf Parzelle 799; Grundsätze aktive Landpolitik / Baurecht)</t>
        </is>
      </c>
      <c r="I30" s="2" t="inlineStr">
        <is>
          <t>Ratschlag / Vorlage</t>
        </is>
      </c>
      <c r="J30" s="2" t="inlineStr">
        <is>
          <t>Direktes Dokument</t>
        </is>
      </c>
      <c r="K30" s="2" t="inlineStr">
        <is>
          <t>Beschlussvorlage (historisch)</t>
        </is>
      </c>
      <c r="L30" s="2" t="inlineStr">
        <is>
          <t>Gemeinde Münchenstein</t>
        </is>
      </c>
      <c r="M30" s="5" t="inlineStr">
        <is>
          <t>https://www.muenchenstein.ch/_docn/1059619/2015.03.16_Ratschlag_Homepage.pdf</t>
        </is>
      </c>
      <c r="N30" s="2" t="inlineStr">
        <is>
          <t>2015</t>
        </is>
      </c>
      <c r="O30" s="2" t="inlineStr">
        <is>
          <t>2026-10-14</t>
        </is>
      </c>
      <c r="P30" s="2" t="inlineStr">
        <is>
          <t>Dokumentiert Grundsätze der kommunalen Landpolitik (Verkauf vs. Baurecht); historische Grundlage</t>
        </is>
      </c>
      <c r="Q30" s="2" t="inlineStr">
        <is>
          <t>ÖBA, Grundstücke, Baurechte</t>
        </is>
      </c>
      <c r="R30" s="2" t="inlineStr">
        <is>
          <t>Liegenschaftsverzeichnis anfragen</t>
        </is>
      </c>
      <c r="S30" s="2" t="inlineStr">
        <is>
          <t>Kein Peer</t>
        </is>
      </c>
      <c r="T30" s="2" t="inlineStr">
        <is>
          <t>Noch nicht bewertet</t>
        </is>
      </c>
      <c r="U30" s="2" t="inlineStr">
        <is>
          <t>Mittel</t>
        </is>
      </c>
      <c r="V30" s="2" t="inlineStr">
        <is>
          <t>Konkrete kommunale Unterlagen / Datensatz nachfordern</t>
        </is>
      </c>
      <c r="W30" s="2" t="inlineStr">
        <is>
          <t>B; Q1</t>
        </is>
      </c>
      <c r="X30" s="2" t="inlineStr">
        <is>
          <t>Bodenmobilisierung</t>
        </is>
      </c>
      <c r="Y30" s="2" t="inlineStr">
        <is>
          <t>Dokument auswerten; Aktualität und Geltung prüfen</t>
        </is>
      </c>
      <c r="Z30" s="2" t="inlineStr">
        <is>
          <t>Webrecherche 14.10.2026</t>
        </is>
      </c>
      <c r="AA30" s="2" t="inlineStr"/>
      <c r="AB30" s="2" t="inlineStr"/>
      <c r="AC30" s="2" t="inlineStr"/>
      <c r="AD30" s="2" t="inlineStr">
        <is>
          <t>Verifiziert</t>
        </is>
      </c>
      <c r="AE30" s="2" t="inlineStr">
        <is>
          <t>200</t>
        </is>
      </c>
      <c r="AF30" s="2" t="inlineStr"/>
      <c r="AG30" s="2" t="inlineStr">
        <is>
          <t>PDF</t>
        </is>
      </c>
      <c r="AH30" s="2" t="inlineStr">
        <is>
          <t>Bestätigt</t>
        </is>
      </c>
      <c r="AI30" s="2" t="inlineStr">
        <is>
          <t>Schlüsselwörter 2/2 gefunden (Ratschlag, Baurecht); Ort/Zuständigkeit: Münchenstein</t>
        </is>
      </c>
      <c r="AJ30" s="2" t="inlineStr">
        <is>
          <t>Ratschlag</t>
        </is>
      </c>
      <c r="AK30" s="2" t="inlineStr">
        <is>
          <t>2014, 2015, 2016, 2030, 2012, 2006</t>
        </is>
      </c>
      <c r="AL30" s="2" t="inlineStr">
        <is>
          <t>Mittel (CMS-Dokumentlink)</t>
        </is>
      </c>
      <c r="AM30" s="2" t="inlineStr">
        <is>
          <t>2026-10-14 13:53</t>
        </is>
      </c>
      <c r="AN30" s="2" t="inlineStr">
        <is>
          <t>Öffentlich verfügbar und verifiziert</t>
        </is>
      </c>
      <c r="AO30" s="2" t="inlineStr">
        <is>
          <t>2015</t>
        </is>
      </c>
      <c r="AP30" s="2" t="inlineStr">
        <is>
          <t>Belegt Existenz und Zugänglichkeit der Quelle; inhaltliche Aussagen erst nach Auswertung. Fundstellen im Dokument (automatisch): Baurecht: S. 5, 15, 17, 18, 19, 20, 26, 27, 41; Landpolitik: S. 4, 5, 41.</t>
        </is>
      </c>
      <c r="AQ30" s="2" t="inlineStr">
        <is>
          <t>Keine Einstufung: Kennzahlen/Befunde noch nicht ausgewertet; Schwellen der Bewertungslogik noch nicht validiert.</t>
        </is>
      </c>
      <c r="AR30" s="2" t="inlineStr">
        <is>
          <t>Ja</t>
        </is>
      </c>
      <c r="AS30" s="2" t="inlineStr">
        <is>
          <t>Gemeindeverwaltung Münchenstein</t>
        </is>
      </c>
      <c r="AT30" s="2" t="inlineStr">
        <is>
          <t>In Prüfung</t>
        </is>
      </c>
      <c r="AU30" s="2" t="inlineStr">
        <is>
          <t>Historisches Dokument (2015); aktuelle Liegenschaftsstrategie nicht öffentlich gefunden.</t>
        </is>
      </c>
      <c r="AV30" s="2" t="inlineStr"/>
      <c r="AW30" s="2" t="inlineStr">
        <is>
          <t>2026-10-14: Link ersetzt (vorher https://www.muenchenstein.ch/). Grund: Startseite durch direktes Dokument zur Landpolitik ersetzt.</t>
        </is>
      </c>
      <c r="AX30" s="2">
        <f>IF(ISNA(MATCH($A30,'Gesamtübersicht'!$A:$A,0)),"ID fehlt in Gesamtübersicht",IF(AND(INDEX('Gesamtübersicht'!$H:$H,MATCH($A30,'Gesamtübersicht'!$A:$A,0))&amp;""=$H30&amp;"",INDEX('Gesamtübersicht'!$M:$M,MATCH($A30,'Gesamtübersicht'!$A:$A,0))&amp;""=$M30&amp;"",INDEX('Gesamtübersicht'!$AD:$AD,MATCH($A30,'Gesamtübersicht'!$A:$A,0))&amp;""=$AD30&amp;"",INDEX('Gesamtübersicht'!$AH:$AH,MATCH($A30,'Gesamtübersicht'!$A:$A,0))&amp;""=$AH30&amp;"",INDEX('Gesamtübersicht'!$T:$T,MATCH($A30,'Gesamtübersicht'!$A:$A,0))&amp;""=$T30&amp;""),"OK","Abweichung – Ansicht neu erzeugen"))</f>
        <v/>
      </c>
    </row>
    <row r="31" ht="43" customHeight="1">
      <c r="A31" s="3" t="inlineStr">
        <is>
          <t>MUE-C2-02</t>
        </is>
      </c>
      <c r="B31" s="15" t="inlineStr">
        <is>
          <t>Gemeinde</t>
        </is>
      </c>
      <c r="C31" s="3" t="inlineStr">
        <is>
          <t>Schweiz</t>
        </is>
      </c>
      <c r="D31" s="3" t="inlineStr">
        <is>
          <t>Basel-Landschaft</t>
        </is>
      </c>
      <c r="E31" s="3" t="inlineStr">
        <is>
          <t>Münchenstein</t>
        </is>
      </c>
      <c r="F31" s="3" t="inlineStr">
        <is>
          <t>C2</t>
        </is>
      </c>
      <c r="G31" s="3" t="inlineStr">
        <is>
          <t>Zonenvorschriften / Mehrwertabgabe</t>
        </is>
      </c>
      <c r="H31" s="3" t="inlineStr">
        <is>
          <t>Zonenreglement Siedlung Münchenstein</t>
        </is>
      </c>
      <c r="I31" s="3" t="inlineStr">
        <is>
          <t>Kommunales Reglement</t>
        </is>
      </c>
      <c r="J31" s="3" t="inlineStr">
        <is>
          <t>Direktes Dokument</t>
        </is>
      </c>
      <c r="K31" s="3" t="inlineStr">
        <is>
          <t>Kommunales Recht (verbindlich)</t>
        </is>
      </c>
      <c r="L31" s="3" t="inlineStr">
        <is>
          <t>Gemeinde Münchenstein</t>
        </is>
      </c>
      <c r="M31" s="7" t="inlineStr">
        <is>
          <t>https://www.muenchenstein.ch/_docn/1199675/Zonenreglement_Siedlung.pdf</t>
        </is>
      </c>
      <c r="N31" s="3" t="inlineStr"/>
      <c r="O31" s="3" t="inlineStr">
        <is>
          <t>2026-10-14</t>
        </is>
      </c>
      <c r="P31" s="3" t="inlineStr">
        <is>
          <t>Mehrwertabgabe und Zonenordnung; kein Eigentumsnachweis</t>
        </is>
      </c>
      <c r="Q31" s="3" t="inlineStr"/>
      <c r="R31" s="3" t="inlineStr"/>
      <c r="S31" s="3" t="inlineStr">
        <is>
          <t>Kein Peer-Vergleich</t>
        </is>
      </c>
      <c r="T31" s="3" t="inlineStr">
        <is>
          <t>Noch nicht bewertet</t>
        </is>
      </c>
      <c r="U31" s="3" t="inlineStr">
        <is>
          <t>Hoch</t>
        </is>
      </c>
      <c r="V31" s="3" t="inlineStr"/>
      <c r="W31" s="3" t="inlineStr">
        <is>
          <t>B; Q1</t>
        </is>
      </c>
      <c r="X31" s="3" t="inlineStr"/>
      <c r="Y31" s="3" t="inlineStr">
        <is>
          <t>Dokument auswerten; Aktualität und Geltung prüfen</t>
        </is>
      </c>
      <c r="Z31" s="3" t="inlineStr">
        <is>
          <t>Websuche 14.10.2026 (URL im Suchergebnis gefunden)</t>
        </is>
      </c>
      <c r="AA31" s="3" t="inlineStr"/>
      <c r="AB31" s="3" t="inlineStr"/>
      <c r="AC31" s="7" t="inlineStr">
        <is>
          <t>https://www.muenchenstein.ch/reglemente/10743</t>
        </is>
      </c>
      <c r="AD31" s="3" t="inlineStr">
        <is>
          <t>Verifiziert</t>
        </is>
      </c>
      <c r="AE31" s="3" t="inlineStr">
        <is>
          <t>200</t>
        </is>
      </c>
      <c r="AF31" s="3" t="inlineStr"/>
      <c r="AG31" s="3" t="inlineStr">
        <is>
          <t>PDF</t>
        </is>
      </c>
      <c r="AH31" s="3" t="inlineStr">
        <is>
          <t>Bestätigt</t>
        </is>
      </c>
      <c r="AI31" s="3" t="inlineStr">
        <is>
          <t>Schlüsselwörter 1/1 gefunden (Zonenreglement); Ort/Zuständigkeit: Münchenstein</t>
        </is>
      </c>
      <c r="AJ31" s="3" t="inlineStr">
        <is>
          <t>43026_Reg01_Beschlussfassung2</t>
        </is>
      </c>
      <c r="AK31" s="3" t="inlineStr">
        <is>
          <t>2000, 2016, 2003, 2004</t>
        </is>
      </c>
      <c r="AL31" s="3" t="inlineStr">
        <is>
          <t>Mittel (CMS-Dokumentlink)</t>
        </is>
      </c>
      <c r="AM31" s="3" t="inlineStr">
        <is>
          <t>2026-10-14 13:55</t>
        </is>
      </c>
      <c r="AN31" s="3" t="inlineStr">
        <is>
          <t>Öffentlich verfügbar und verifiziert</t>
        </is>
      </c>
      <c r="AO31" s="3" t="inlineStr"/>
      <c r="AP31" s="3" t="inlineStr">
        <is>
          <t>Belegt Existenz und Zugänglichkeit der Quelle; inhaltliche Aussagen erst nach Auswertung.</t>
        </is>
      </c>
      <c r="AQ31" s="3" t="inlineStr">
        <is>
          <t>Keine Einstufung: Kennzahlen/Befunde noch nicht ausgewertet; Schwellen der Bewertungslogik noch nicht validiert.</t>
        </is>
      </c>
      <c r="AR31" s="3" t="inlineStr">
        <is>
          <t>Ja</t>
        </is>
      </c>
      <c r="AS31" s="3" t="inlineStr">
        <is>
          <t>Gemeindeverwaltung Münchenstein</t>
        </is>
      </c>
      <c r="AT31" s="3" t="inlineStr">
        <is>
          <t>In Prüfung</t>
        </is>
      </c>
      <c r="AU31" s="3" t="inlineStr"/>
      <c r="AV31" s="3" t="inlineStr"/>
      <c r="AW31" s="3" t="inlineStr">
        <is>
          <t>2026-10-14: neu aufgenommen</t>
        </is>
      </c>
      <c r="AX31" s="3">
        <f>IF(ISNA(MATCH($A31,'Gesamtübersicht'!$A:$A,0)),"ID fehlt in Gesamtübersicht",IF(AND(INDEX('Gesamtübersicht'!$H:$H,MATCH($A31,'Gesamtübersicht'!$A:$A,0))&amp;""=$H31&amp;"",INDEX('Gesamtübersicht'!$M:$M,MATCH($A31,'Gesamtübersicht'!$A:$A,0))&amp;""=$M31&amp;"",INDEX('Gesamtübersicht'!$AD:$AD,MATCH($A31,'Gesamtübersicht'!$A:$A,0))&amp;""=$AD31&amp;"",INDEX('Gesamtübersicht'!$AH:$AH,MATCH($A31,'Gesamtübersicht'!$A:$A,0))&amp;""=$AH31&amp;"",INDEX('Gesamtübersicht'!$T:$T,MATCH($A31,'Gesamtübersicht'!$A:$A,0))&amp;""=$T31&amp;""),"OK","Abweichung – Ansicht neu erzeugen"))</f>
        <v/>
      </c>
    </row>
    <row r="32" ht="43" customHeight="1">
      <c r="A32" s="2" t="inlineStr">
        <is>
          <t>MUE-C2-03</t>
        </is>
      </c>
      <c r="B32" s="15" t="inlineStr">
        <is>
          <t>Gemeinde</t>
        </is>
      </c>
      <c r="C32" s="2" t="inlineStr">
        <is>
          <t>Schweiz</t>
        </is>
      </c>
      <c r="D32" s="2" t="inlineStr">
        <is>
          <t>Basel-Landschaft</t>
        </is>
      </c>
      <c r="E32" s="2" t="inlineStr">
        <is>
          <t>Münchenstein</t>
        </is>
      </c>
      <c r="F32" s="2" t="inlineStr">
        <is>
          <t>C2</t>
        </is>
      </c>
      <c r="G32" s="2" t="inlineStr">
        <is>
          <t>Liegenschaftsverkäufe / Baurecht</t>
        </is>
      </c>
      <c r="H32" s="2" t="inlineStr">
        <is>
          <t>Ratschlag Gemeindeversammlung 12.3.2018 (Baurechtszinsen, Liegenschaftsverkäufe)</t>
        </is>
      </c>
      <c r="I32" s="2" t="inlineStr">
        <is>
          <t>Ratschlag / Vorlage</t>
        </is>
      </c>
      <c r="J32" s="2" t="inlineStr">
        <is>
          <t>Direktes Dokument</t>
        </is>
      </c>
      <c r="K32" s="2" t="inlineStr">
        <is>
          <t>Beschlussvorlage (historisch)</t>
        </is>
      </c>
      <c r="L32" s="2" t="inlineStr">
        <is>
          <t>Gemeinde Münchenstein</t>
        </is>
      </c>
      <c r="M32" s="5" t="inlineStr">
        <is>
          <t>https://www.muenchenstein.ch/_docn/1591897/2018.03.12_Ratschlag_GzD.pdf</t>
        </is>
      </c>
      <c r="N32" s="2" t="inlineStr">
        <is>
          <t>2018</t>
        </is>
      </c>
      <c r="O32" s="2" t="inlineStr">
        <is>
          <t>2026-10-14</t>
        </is>
      </c>
      <c r="P32" s="2" t="inlineStr">
        <is>
          <t>Bedeutung von Baurechtszinsen und Landverkäufen für den Haushalt</t>
        </is>
      </c>
      <c r="Q32" s="2" t="inlineStr"/>
      <c r="R32" s="2" t="inlineStr"/>
      <c r="S32" s="2" t="inlineStr">
        <is>
          <t>Kein Peer-Vergleich</t>
        </is>
      </c>
      <c r="T32" s="2" t="inlineStr">
        <is>
          <t>Noch nicht bewertet</t>
        </is>
      </c>
      <c r="U32" s="2" t="inlineStr">
        <is>
          <t>Mittel</t>
        </is>
      </c>
      <c r="V32" s="2" t="inlineStr"/>
      <c r="W32" s="2" t="inlineStr"/>
      <c r="X32" s="2" t="inlineStr"/>
      <c r="Y32" s="2" t="inlineStr">
        <is>
          <t>Dokument auswerten; Aktualität und Geltung prüfen</t>
        </is>
      </c>
      <c r="Z32" s="2" t="inlineStr">
        <is>
          <t>Websuche 14.10.2026 (URL im Suchergebnis gefunden)</t>
        </is>
      </c>
      <c r="AA32" s="2" t="inlineStr">
        <is>
          <t>C1</t>
        </is>
      </c>
      <c r="AB32" s="2" t="inlineStr"/>
      <c r="AC32" s="2" t="inlineStr"/>
      <c r="AD32" s="2" t="inlineStr">
        <is>
          <t>Verifiziert</t>
        </is>
      </c>
      <c r="AE32" s="2" t="inlineStr">
        <is>
          <t>200</t>
        </is>
      </c>
      <c r="AF32" s="2" t="inlineStr"/>
      <c r="AG32" s="2" t="inlineStr">
        <is>
          <t>PDF</t>
        </is>
      </c>
      <c r="AH32" s="2" t="inlineStr">
        <is>
          <t>Bestätigt</t>
        </is>
      </c>
      <c r="AI32" s="2" t="inlineStr">
        <is>
          <t>Schlüsselwörter 1/1 gefunden (Ratschlag); Ort/Zuständigkeit: Münchenstein</t>
        </is>
      </c>
      <c r="AJ32" s="2" t="inlineStr">
        <is>
          <t>46670_1_Mstein_Ratschlag.indd</t>
        </is>
      </c>
      <c r="AK32" s="2" t="inlineStr">
        <is>
          <t>2017, 2018, 2015, 2016, 2014, 2011</t>
        </is>
      </c>
      <c r="AL32" s="2" t="inlineStr">
        <is>
          <t>Mittel (CMS-Dokumentlink)</t>
        </is>
      </c>
      <c r="AM32" s="2" t="inlineStr">
        <is>
          <t>2026-10-14 13:55</t>
        </is>
      </c>
      <c r="AN32" s="2" t="inlineStr">
        <is>
          <t>Öffentlich verfügbar und verifiziert</t>
        </is>
      </c>
      <c r="AO32" s="2" t="inlineStr">
        <is>
          <t>2018</t>
        </is>
      </c>
      <c r="AP32" s="2" t="inlineStr">
        <is>
          <t>Belegt Existenz und Zugänglichkeit der Quelle; inhaltliche Aussagen erst nach Auswertung.</t>
        </is>
      </c>
      <c r="AQ32" s="2" t="inlineStr">
        <is>
          <t>Keine Einstufung: Kennzahlen/Befunde noch nicht ausgewertet; Schwellen der Bewertungslogik noch nicht validiert.</t>
        </is>
      </c>
      <c r="AR32" s="2" t="inlineStr">
        <is>
          <t>Ja</t>
        </is>
      </c>
      <c r="AS32" s="2" t="inlineStr">
        <is>
          <t>Gemeindeverwaltung Münchenstein</t>
        </is>
      </c>
      <c r="AT32" s="2" t="inlineStr">
        <is>
          <t>In Prüfung</t>
        </is>
      </c>
      <c r="AU32" s="2" t="inlineStr"/>
      <c r="AV32" s="2" t="inlineStr"/>
      <c r="AW32" s="2" t="inlineStr">
        <is>
          <t>2026-10-14: neu aufgenommen</t>
        </is>
      </c>
      <c r="AX32" s="2">
        <f>IF(ISNA(MATCH($A32,'Gesamtübersicht'!$A:$A,0)),"ID fehlt in Gesamtübersicht",IF(AND(INDEX('Gesamtübersicht'!$H:$H,MATCH($A32,'Gesamtübersicht'!$A:$A,0))&amp;""=$H32&amp;"",INDEX('Gesamtübersicht'!$M:$M,MATCH($A32,'Gesamtübersicht'!$A:$A,0))&amp;""=$M32&amp;"",INDEX('Gesamtübersicht'!$AD:$AD,MATCH($A32,'Gesamtübersicht'!$A:$A,0))&amp;""=$AD32&amp;"",INDEX('Gesamtübersicht'!$AH:$AH,MATCH($A32,'Gesamtübersicht'!$A:$A,0))&amp;""=$AH32&amp;"",INDEX('Gesamtübersicht'!$T:$T,MATCH($A32,'Gesamtübersicht'!$A:$A,0))&amp;""=$T32&amp;""),"OK","Abweichung – Ansicht neu erzeugen"))</f>
        <v/>
      </c>
    </row>
    <row r="33" ht="43" customHeight="1">
      <c r="A33" s="3" t="inlineStr">
        <is>
          <t>MUE-C3-01</t>
        </is>
      </c>
      <c r="B33" s="15" t="inlineStr">
        <is>
          <t>Gemeinde</t>
        </is>
      </c>
      <c r="C33" s="3" t="inlineStr">
        <is>
          <t>Schweiz</t>
        </is>
      </c>
      <c r="D33" s="3" t="inlineStr">
        <is>
          <t>Basel-Landschaft</t>
        </is>
      </c>
      <c r="E33" s="3" t="inlineStr">
        <is>
          <t>Münchenstein</t>
        </is>
      </c>
      <c r="F33" s="3" t="inlineStr">
        <is>
          <t>C3</t>
        </is>
      </c>
      <c r="G33" s="3" t="inlineStr">
        <is>
          <t>Governance</t>
        </is>
      </c>
      <c r="H33" s="3" t="inlineStr">
        <is>
          <t>Gemeindeordnung der Einwohnergemeinde Münchenstein (Stand 1.1.2013)</t>
        </is>
      </c>
      <c r="I33" s="3" t="inlineStr">
        <is>
          <t>Gemeindeordnung</t>
        </is>
      </c>
      <c r="J33" s="3" t="inlineStr">
        <is>
          <t>Direktes Dokument</t>
        </is>
      </c>
      <c r="K33" s="3" t="inlineStr">
        <is>
          <t>Kommunales Recht (verbindlich)</t>
        </is>
      </c>
      <c r="L33" s="3" t="inlineStr">
        <is>
          <t>Gemeinde Münchenstein</t>
        </is>
      </c>
      <c r="M33" s="7" t="inlineStr">
        <is>
          <t>https://www.muenchenstein.ch/_docn/2430218/20180713_Gemeindeordnung_Stand_01.01.2013_publiziert_sw.pdf</t>
        </is>
      </c>
      <c r="N33" s="3" t="inlineStr">
        <is>
          <t>vom 13.9.1999, Stand 1.1.2013</t>
        </is>
      </c>
      <c r="O33" s="3" t="inlineStr">
        <is>
          <t>2026-10-14</t>
        </is>
      </c>
      <c r="P33" s="3" t="inlineStr">
        <is>
          <t>Behörden, Kooperationen und Projektorganisation recherchieren</t>
        </is>
      </c>
      <c r="Q33" s="3" t="inlineStr">
        <is>
          <t>Trägerschaften, Zweckverbände</t>
        </is>
      </c>
      <c r="R33" s="3" t="inlineStr">
        <is>
          <t>Organigramm und Kooperationsverträge anfragen</t>
        </is>
      </c>
      <c r="S33" s="3" t="inlineStr">
        <is>
          <t>Qualitativ</t>
        </is>
      </c>
      <c r="T33" s="3" t="inlineStr">
        <is>
          <t>Noch nicht bewertet</t>
        </is>
      </c>
      <c r="U33" s="3" t="inlineStr">
        <is>
          <t>Hoch</t>
        </is>
      </c>
      <c r="V33" s="3" t="inlineStr">
        <is>
          <t>Konkrete kommunale Unterlagen / Datensatz nachfordern</t>
        </is>
      </c>
      <c r="W33" s="3" t="inlineStr">
        <is>
          <t>C4; C5</t>
        </is>
      </c>
      <c r="X33" s="3" t="inlineStr">
        <is>
          <t>Governance</t>
        </is>
      </c>
      <c r="Y33" s="3" t="inlineStr">
        <is>
          <t>Dokument auswerten; Aktualität und Geltung prüfen</t>
        </is>
      </c>
      <c r="Z33" s="3" t="inlineStr">
        <is>
          <t>Webrecherche 14.10.2026</t>
        </is>
      </c>
      <c r="AA33" s="3" t="inlineStr">
        <is>
          <t>C5</t>
        </is>
      </c>
      <c r="AB33" s="3" t="inlineStr"/>
      <c r="AC33" s="7" t="inlineStr">
        <is>
          <t>https://www.muenchenstein.ch/reglemente/7140</t>
        </is>
      </c>
      <c r="AD33" s="3" t="inlineStr">
        <is>
          <t>Verifiziert</t>
        </is>
      </c>
      <c r="AE33" s="3" t="inlineStr">
        <is>
          <t>200</t>
        </is>
      </c>
      <c r="AF33" s="3" t="inlineStr"/>
      <c r="AG33" s="3" t="inlineStr">
        <is>
          <t>PDF</t>
        </is>
      </c>
      <c r="AH33" s="3" t="inlineStr">
        <is>
          <t>Bestätigt</t>
        </is>
      </c>
      <c r="AI33" s="3" t="inlineStr">
        <is>
          <t>Schlüsselwörter 2/2 gefunden (Gemeindeordnung, Gemeindekommission); Ort/Zuständigkeit: Münchenstein</t>
        </is>
      </c>
      <c r="AJ33" s="3" t="inlineStr">
        <is>
          <t>Rechtssammlung</t>
        </is>
      </c>
      <c r="AK33" s="3" t="inlineStr">
        <is>
          <t>2013, 2011, 2008, 2000, 2014, 2012</t>
        </is>
      </c>
      <c r="AL33" s="3" t="inlineStr">
        <is>
          <t>Mittel (CMS-Dokumentlink)</t>
        </is>
      </c>
      <c r="AM33" s="3" t="inlineStr">
        <is>
          <t>2026-10-14 13:53</t>
        </is>
      </c>
      <c r="AN33" s="3" t="inlineStr">
        <is>
          <t>Öffentlich verfügbar und verifiziert</t>
        </is>
      </c>
      <c r="AO33" s="3" t="inlineStr">
        <is>
          <t>vom 13.9.1999, Stand 1.1.2013</t>
        </is>
      </c>
      <c r="AP33" s="3" t="inlineStr">
        <is>
          <t>Belegt Existenz und Zugänglichkeit der Quelle; inhaltliche Aussagen erst nach Auswertung.</t>
        </is>
      </c>
      <c r="AQ33" s="3" t="inlineStr">
        <is>
          <t>Keine Einstufung: Kennzahlen/Befunde noch nicht ausgewertet; Schwellen der Bewertungslogik noch nicht validiert.</t>
        </is>
      </c>
      <c r="AR33" s="3" t="inlineStr">
        <is>
          <t>Ja</t>
        </is>
      </c>
      <c r="AS33" s="3" t="inlineStr">
        <is>
          <t>Gemeindeverwaltung Münchenstein</t>
        </is>
      </c>
      <c r="AT33" s="3" t="inlineStr">
        <is>
          <t>In Prüfung</t>
        </is>
      </c>
      <c r="AU33" s="3" t="inlineStr">
        <is>
          <t>Prüfen, ob neuere Fassung existiert (Einwohnerrat-Diskussion).</t>
        </is>
      </c>
      <c r="AV33" s="3" t="inlineStr"/>
      <c r="AW33" s="3" t="inlineStr">
        <is>
          <t>2026-10-14: Link ersetzt (vorher https://www.muenchenstein.ch/). Grund: Startseite durch Gemeindeordnung ersetzt.</t>
        </is>
      </c>
      <c r="AX33" s="3">
        <f>IF(ISNA(MATCH($A33,'Gesamtübersicht'!$A:$A,0)),"ID fehlt in Gesamtübersicht",IF(AND(INDEX('Gesamtübersicht'!$H:$H,MATCH($A33,'Gesamtübersicht'!$A:$A,0))&amp;""=$H33&amp;"",INDEX('Gesamtübersicht'!$M:$M,MATCH($A33,'Gesamtübersicht'!$A:$A,0))&amp;""=$M33&amp;"",INDEX('Gesamtübersicht'!$AD:$AD,MATCH($A33,'Gesamtübersicht'!$A:$A,0))&amp;""=$AD33&amp;"",INDEX('Gesamtübersicht'!$AH:$AH,MATCH($A33,'Gesamtübersicht'!$A:$A,0))&amp;""=$AH33&amp;"",INDEX('Gesamtübersicht'!$T:$T,MATCH($A33,'Gesamtübersicht'!$A:$A,0))&amp;""=$T33&amp;""),"OK","Abweichung – Ansicht neu erzeugen"))</f>
        <v/>
      </c>
    </row>
    <row r="34" ht="43" customHeight="1">
      <c r="A34" s="2" t="inlineStr">
        <is>
          <t>MUE-C3-02</t>
        </is>
      </c>
      <c r="B34" s="15" t="inlineStr">
        <is>
          <t>Gemeinde</t>
        </is>
      </c>
      <c r="C34" s="2" t="inlineStr">
        <is>
          <t>Schweiz</t>
        </is>
      </c>
      <c r="D34" s="2" t="inlineStr">
        <is>
          <t>Basel-Landschaft</t>
        </is>
      </c>
      <c r="E34" s="2" t="inlineStr">
        <is>
          <t>Münchenstein</t>
        </is>
      </c>
      <c r="F34" s="2" t="inlineStr">
        <is>
          <t>C3</t>
        </is>
      </c>
      <c r="G34" s="2" t="inlineStr">
        <is>
          <t>Leistungsvereinbarung / Kooperation</t>
        </is>
      </c>
      <c r="H34" s="2" t="inlineStr">
        <is>
          <t>Ratschlag Gemeindeversammlung 15.6.2026 (u. a. Leistungsvereinbarung Spitex Birseck, Jahresrechnung 2025)</t>
        </is>
      </c>
      <c r="I34" s="2" t="inlineStr">
        <is>
          <t>Ratschlag / Vorlage</t>
        </is>
      </c>
      <c r="J34" s="2" t="inlineStr">
        <is>
          <t>Direktes Dokument</t>
        </is>
      </c>
      <c r="K34" s="2" t="inlineStr">
        <is>
          <t>Beschlussvorlage</t>
        </is>
      </c>
      <c r="L34" s="2" t="inlineStr">
        <is>
          <t>Gemeinde Münchenstein</t>
        </is>
      </c>
      <c r="M34" s="5" t="inlineStr">
        <is>
          <t>https://www.muenchenstein.ch/_docn/6998503/Ratschlag_Gemeindeversammlung_Montag,_15._Juni_2026.pdf</t>
        </is>
      </c>
      <c r="N34" s="2" t="inlineStr">
        <is>
          <t>2026</t>
        </is>
      </c>
      <c r="O34" s="2" t="inlineStr">
        <is>
          <t>2026-10-14</t>
        </is>
      </c>
      <c r="P34" s="2" t="inlineStr">
        <is>
          <t>Interkommunale Leistungsvereinbarung und Kostenteiler</t>
        </is>
      </c>
      <c r="Q34" s="2" t="inlineStr"/>
      <c r="R34" s="2" t="inlineStr"/>
      <c r="S34" s="2" t="inlineStr">
        <is>
          <t>Kein Peer-Vergleich</t>
        </is>
      </c>
      <c r="T34" s="2" t="inlineStr">
        <is>
          <t>Noch nicht bewertet</t>
        </is>
      </c>
      <c r="U34" s="2" t="inlineStr">
        <is>
          <t>Hoch</t>
        </is>
      </c>
      <c r="V34" s="2" t="inlineStr"/>
      <c r="W34" s="2" t="inlineStr"/>
      <c r="X34" s="2" t="inlineStr"/>
      <c r="Y34" s="2" t="inlineStr">
        <is>
          <t>Dokument auswerten; Aktualität und Geltung prüfen</t>
        </is>
      </c>
      <c r="Z34" s="2" t="inlineStr">
        <is>
          <t>Websuche 14.10.2026 (URL im Suchergebnis gefunden)</t>
        </is>
      </c>
      <c r="AA34" s="2" t="inlineStr">
        <is>
          <t>C1, C5</t>
        </is>
      </c>
      <c r="AB34" s="2" t="inlineStr"/>
      <c r="AC34" s="2" t="inlineStr"/>
      <c r="AD34" s="2" t="inlineStr">
        <is>
          <t>Verifiziert</t>
        </is>
      </c>
      <c r="AE34" s="2" t="inlineStr">
        <is>
          <t>200</t>
        </is>
      </c>
      <c r="AF34" s="2" t="inlineStr"/>
      <c r="AG34" s="2" t="inlineStr">
        <is>
          <t>PDF</t>
        </is>
      </c>
      <c r="AH34" s="2" t="inlineStr">
        <is>
          <t>Bestätigt</t>
        </is>
      </c>
      <c r="AI34" s="2" t="inlineStr">
        <is>
          <t>Schlüsselwörter 2/2 gefunden (Ratschlag, Spitex); Ort/Zuständigkeit: Münchenstein</t>
        </is>
      </c>
      <c r="AJ34" s="2" t="inlineStr">
        <is>
          <t>2009/2</t>
        </is>
      </c>
      <c r="AK34" s="2" t="inlineStr">
        <is>
          <t>2025, 2026, 2024, 2027, 2009, 2028</t>
        </is>
      </c>
      <c r="AL34" s="2" t="inlineStr">
        <is>
          <t>Mittel (CMS-Dokumentlink)</t>
        </is>
      </c>
      <c r="AM34" s="2" t="inlineStr">
        <is>
          <t>2026-10-14 13:55</t>
        </is>
      </c>
      <c r="AN34" s="2" t="inlineStr">
        <is>
          <t>Öffentlich verfügbar und verifiziert</t>
        </is>
      </c>
      <c r="AO34" s="2" t="inlineStr">
        <is>
          <t>2026</t>
        </is>
      </c>
      <c r="AP34" s="2" t="inlineStr">
        <is>
          <t>Belegt Existenz und Zugänglichkeit der Quelle; inhaltliche Aussagen erst nach Auswertung.</t>
        </is>
      </c>
      <c r="AQ34" s="2" t="inlineStr">
        <is>
          <t>Keine Einstufung: Kennzahlen/Befunde noch nicht ausgewertet; Schwellen der Bewertungslogik noch nicht validiert.</t>
        </is>
      </c>
      <c r="AR34" s="2" t="inlineStr">
        <is>
          <t>Ja</t>
        </is>
      </c>
      <c r="AS34" s="2" t="inlineStr">
        <is>
          <t>Gemeindeverwaltung Münchenstein</t>
        </is>
      </c>
      <c r="AT34" s="2" t="inlineStr">
        <is>
          <t>In Prüfung</t>
        </is>
      </c>
      <c r="AU34" s="2" t="inlineStr"/>
      <c r="AV34" s="2" t="inlineStr"/>
      <c r="AW34" s="2" t="inlineStr">
        <is>
          <t>2026-10-14: neu aufgenommen</t>
        </is>
      </c>
      <c r="AX34" s="2">
        <f>IF(ISNA(MATCH($A34,'Gesamtübersicht'!$A:$A,0)),"ID fehlt in Gesamtübersicht",IF(AND(INDEX('Gesamtübersicht'!$H:$H,MATCH($A34,'Gesamtübersicht'!$A:$A,0))&amp;""=$H34&amp;"",INDEX('Gesamtübersicht'!$M:$M,MATCH($A34,'Gesamtübersicht'!$A:$A,0))&amp;""=$M34&amp;"",INDEX('Gesamtübersicht'!$AD:$AD,MATCH($A34,'Gesamtübersicht'!$A:$A,0))&amp;""=$AD34&amp;"",INDEX('Gesamtübersicht'!$AH:$AH,MATCH($A34,'Gesamtübersicht'!$A:$A,0))&amp;""=$AH34&amp;"",INDEX('Gesamtübersicht'!$T:$T,MATCH($A34,'Gesamtübersicht'!$A:$A,0))&amp;""=$T34&amp;""),"OK","Abweichung – Ansicht neu erzeugen"))</f>
        <v/>
      </c>
    </row>
    <row r="35" ht="43" customHeight="1">
      <c r="A35" s="3" t="inlineStr">
        <is>
          <t>MUE-C4-01</t>
        </is>
      </c>
      <c r="B35" s="15" t="inlineStr">
        <is>
          <t>Gemeinde</t>
        </is>
      </c>
      <c r="C35" s="3" t="inlineStr">
        <is>
          <t>Schweiz</t>
        </is>
      </c>
      <c r="D35" s="3" t="inlineStr">
        <is>
          <t>Basel-Landschaft</t>
        </is>
      </c>
      <c r="E35" s="3" t="inlineStr">
        <is>
          <t>Münchenstein</t>
        </is>
      </c>
      <c r="F35" s="3" t="inlineStr">
        <is>
          <t>C4</t>
        </is>
      </c>
      <c r="G35" s="3" t="inlineStr">
        <is>
          <t>Verwaltung</t>
        </is>
      </c>
      <c r="H35" s="3" t="inlineStr">
        <is>
          <t>Gemeinde Münchenstein: Organisation und Organigramm der Verwaltung</t>
        </is>
      </c>
      <c r="I35" s="3" t="inlineStr">
        <is>
          <t>Organigramm / Webseite</t>
        </is>
      </c>
      <c r="J35" s="3" t="inlineStr">
        <is>
          <t>Webseite</t>
        </is>
      </c>
      <c r="K35" s="3" t="inlineStr">
        <is>
          <t>Information</t>
        </is>
      </c>
      <c r="L35" s="3" t="inlineStr">
        <is>
          <t>Gemeinde Münchenstein</t>
        </is>
      </c>
      <c r="M35" s="7" t="inlineStr">
        <is>
          <t>https://www.muenchenstein.ch/organisationuorganigramm</t>
        </is>
      </c>
      <c r="N35" s="3" t="inlineStr">
        <is>
          <t>Zu prüfen</t>
        </is>
      </c>
      <c r="O35" s="3" t="inlineStr">
        <is>
          <t>2026-10-14</t>
        </is>
      </c>
      <c r="P35" s="3" t="inlineStr">
        <is>
          <t>Verwaltungsorganisation und Zuständigkeiten</t>
        </is>
      </c>
      <c r="Q35" s="3" t="inlineStr">
        <is>
          <t>Personal, Projekte, Prozesse</t>
        </is>
      </c>
      <c r="R35" s="3" t="inlineStr">
        <is>
          <t>Organigramm / Ressourcen abfragen</t>
        </is>
      </c>
      <c r="S35" s="3" t="inlineStr">
        <is>
          <t>Qualitativ</t>
        </is>
      </c>
      <c r="T35" s="3" t="inlineStr">
        <is>
          <t>Noch nicht bewertet</t>
        </is>
      </c>
      <c r="U35" s="3" t="inlineStr">
        <is>
          <t>Mittel</t>
        </is>
      </c>
      <c r="V35" s="3" t="inlineStr">
        <is>
          <t>Konkrete kommunale Unterlagen / Datensatz nachfordern</t>
        </is>
      </c>
      <c r="W35" s="3" t="inlineStr">
        <is>
          <t>Q6</t>
        </is>
      </c>
      <c r="X35" s="3" t="inlineStr">
        <is>
          <t>Bestellerfähigkeit</t>
        </is>
      </c>
      <c r="Y35" s="3" t="inlineStr">
        <is>
          <t>Dokument auswerten; Aktualität und Geltung prüfen</t>
        </is>
      </c>
      <c r="Z35" s="3" t="inlineStr">
        <is>
          <t>Webrecherche 14.10.2026</t>
        </is>
      </c>
      <c r="AA35" s="3" t="inlineStr"/>
      <c r="AB35" s="3" t="inlineStr"/>
      <c r="AC35" s="3" t="inlineStr"/>
      <c r="AD35" s="3" t="inlineStr">
        <is>
          <t>Verifiziert</t>
        </is>
      </c>
      <c r="AE35" s="3" t="inlineStr">
        <is>
          <t>200</t>
        </is>
      </c>
      <c r="AF35" s="3" t="inlineStr"/>
      <c r="AG35" s="3" t="inlineStr">
        <is>
          <t>HTML</t>
        </is>
      </c>
      <c r="AH35" s="3" t="inlineStr">
        <is>
          <t>Bestätigt</t>
        </is>
      </c>
      <c r="AI35" s="3" t="inlineStr">
        <is>
          <t>Schlüsselwörter 1/1 gefunden (Organigramm); Ort/Zuständigkeit: Münchenstein</t>
        </is>
      </c>
      <c r="AJ35" s="3" t="inlineStr">
        <is>
          <t>Münchenstein  - Organisation Gemeinde Münchenstein | Kopfzeile</t>
        </is>
      </c>
      <c r="AK35" s="3" t="inlineStr">
        <is>
          <t>2026</t>
        </is>
      </c>
      <c r="AL35" s="3" t="inlineStr">
        <is>
          <t>Mittel (Webseite)</t>
        </is>
      </c>
      <c r="AM35" s="3" t="inlineStr">
        <is>
          <t>2026-10-14 13:53</t>
        </is>
      </c>
      <c r="AN35" s="3" t="inlineStr">
        <is>
          <t>Öffentlich verfügbar und verifiziert</t>
        </is>
      </c>
      <c r="AO35" s="3" t="inlineStr">
        <is>
          <t>Zu prüfen</t>
        </is>
      </c>
      <c r="AP35" s="3" t="inlineStr">
        <is>
          <t>Belegt Existenz und Zugänglichkeit der Quelle; inhaltliche Aussagen erst nach Auswertung.</t>
        </is>
      </c>
      <c r="AQ35" s="3" t="inlineStr">
        <is>
          <t>Keine Einstufung: Kennzahlen/Befunde noch nicht ausgewertet; Schwellen der Bewertungslogik noch nicht validiert.</t>
        </is>
      </c>
      <c r="AR35" s="3" t="inlineStr">
        <is>
          <t>Ja</t>
        </is>
      </c>
      <c r="AS35" s="3" t="inlineStr">
        <is>
          <t>Gemeindeverwaltung Münchenstein</t>
        </is>
      </c>
      <c r="AT35" s="3" t="inlineStr">
        <is>
          <t>In Prüfung</t>
        </is>
      </c>
      <c r="AU35" s="3" t="inlineStr"/>
      <c r="AV35" s="3" t="inlineStr"/>
      <c r="AW35" s="3" t="inlineStr">
        <is>
          <t>2026-10-14: Link ersetzt (vorher https://www.muenchenstein.ch/). Grund: Startseite durch Organigrammseite ersetzt.</t>
        </is>
      </c>
      <c r="AX35" s="3">
        <f>IF(ISNA(MATCH($A35,'Gesamtübersicht'!$A:$A,0)),"ID fehlt in Gesamtübersicht",IF(AND(INDEX('Gesamtübersicht'!$H:$H,MATCH($A35,'Gesamtübersicht'!$A:$A,0))&amp;""=$H35&amp;"",INDEX('Gesamtübersicht'!$M:$M,MATCH($A35,'Gesamtübersicht'!$A:$A,0))&amp;""=$M35&amp;"",INDEX('Gesamtübersicht'!$AD:$AD,MATCH($A35,'Gesamtübersicht'!$A:$A,0))&amp;""=$AD35&amp;"",INDEX('Gesamtübersicht'!$AH:$AH,MATCH($A35,'Gesamtübersicht'!$A:$A,0))&amp;""=$AH35&amp;"",INDEX('Gesamtübersicht'!$T:$T,MATCH($A35,'Gesamtübersicht'!$A:$A,0))&amp;""=$T35&amp;""),"OK","Abweichung – Ansicht neu erzeugen"))</f>
        <v/>
      </c>
    </row>
    <row r="36" ht="43" customHeight="1">
      <c r="A36" s="2" t="inlineStr">
        <is>
          <t>MUE-C4-02</t>
        </is>
      </c>
      <c r="B36" s="15" t="inlineStr">
        <is>
          <t>Gemeinde</t>
        </is>
      </c>
      <c r="C36" s="2" t="inlineStr">
        <is>
          <t>Schweiz</t>
        </is>
      </c>
      <c r="D36" s="2" t="inlineStr">
        <is>
          <t>Basel-Landschaft</t>
        </is>
      </c>
      <c r="E36" s="2" t="inlineStr">
        <is>
          <t>Münchenstein</t>
        </is>
      </c>
      <c r="F36" s="2" t="inlineStr">
        <is>
          <t>C4</t>
        </is>
      </c>
      <c r="G36" s="2" t="inlineStr">
        <is>
          <t>Personal</t>
        </is>
      </c>
      <c r="H36" s="2" t="inlineStr">
        <is>
          <t>Personalreglement der Einwohnergemeinde Münchenstein (Genehmigungsfassung 23.6.2022)</t>
        </is>
      </c>
      <c r="I36" s="2" t="inlineStr">
        <is>
          <t>Kommunales Reglement</t>
        </is>
      </c>
      <c r="J36" s="2" t="inlineStr">
        <is>
          <t>Direktes Dokument</t>
        </is>
      </c>
      <c r="K36" s="2" t="inlineStr">
        <is>
          <t>Kommunales Recht (verbindlich)</t>
        </is>
      </c>
      <c r="L36" s="2" t="inlineStr">
        <is>
          <t>Gemeinde Münchenstein</t>
        </is>
      </c>
      <c r="M36" s="5" t="inlineStr">
        <is>
          <t>https://www.muenchenstein.ch/_docn/3794018/Bereinigtes_Personalreglement_Genehmigungsfassung_per_23._Juni_2022.pdf</t>
        </is>
      </c>
      <c r="N36" s="2" t="inlineStr">
        <is>
          <t>in Kraft 1.1.2023</t>
        </is>
      </c>
      <c r="O36" s="2" t="inlineStr">
        <is>
          <t>2026-10-14</t>
        </is>
      </c>
      <c r="P36" s="2" t="inlineStr"/>
      <c r="Q36" s="2" t="inlineStr"/>
      <c r="R36" s="2" t="inlineStr"/>
      <c r="S36" s="2" t="inlineStr">
        <is>
          <t>Kein Peer-Vergleich</t>
        </is>
      </c>
      <c r="T36" s="2" t="inlineStr">
        <is>
          <t>Noch nicht bewertet</t>
        </is>
      </c>
      <c r="U36" s="2" t="inlineStr">
        <is>
          <t>Hoch</t>
        </is>
      </c>
      <c r="V36" s="2" t="inlineStr"/>
      <c r="W36" s="2" t="inlineStr"/>
      <c r="X36" s="2" t="inlineStr"/>
      <c r="Y36" s="2" t="inlineStr">
        <is>
          <t>Dokument auswerten; Aktualität und Geltung prüfen</t>
        </is>
      </c>
      <c r="Z36" s="2" t="inlineStr">
        <is>
          <t>Websuche 14.10.2026 (URL im Suchergebnis gefunden)</t>
        </is>
      </c>
      <c r="AA36" s="2" t="inlineStr"/>
      <c r="AB36" s="2" t="inlineStr"/>
      <c r="AC36" s="5" t="inlineStr">
        <is>
          <t>https://www.muenchenstein.ch/reglemente/402889</t>
        </is>
      </c>
      <c r="AD36" s="2" t="inlineStr">
        <is>
          <t>Verifiziert</t>
        </is>
      </c>
      <c r="AE36" s="2" t="inlineStr">
        <is>
          <t>200</t>
        </is>
      </c>
      <c r="AF36" s="2" t="inlineStr"/>
      <c r="AG36" s="2" t="inlineStr">
        <is>
          <t>PDF</t>
        </is>
      </c>
      <c r="AH36" s="2" t="inlineStr">
        <is>
          <t>Bestätigt</t>
        </is>
      </c>
      <c r="AI36" s="2" t="inlineStr">
        <is>
          <t>Schlüsselwörter 1/1 gefunden (Personalreglement); Ort/Zuständigkeit: Münchenstein</t>
        </is>
      </c>
      <c r="AJ36" s="2" t="inlineStr">
        <is>
          <t>Rechtssammlung</t>
        </is>
      </c>
      <c r="AK36" s="2" t="inlineStr">
        <is>
          <t>2022, 2011, 2013</t>
        </is>
      </c>
      <c r="AL36" s="2" t="inlineStr">
        <is>
          <t>Mittel (CMS-Dokumentlink)</t>
        </is>
      </c>
      <c r="AM36" s="2" t="inlineStr">
        <is>
          <t>2026-10-14 13:55</t>
        </is>
      </c>
      <c r="AN36" s="2" t="inlineStr">
        <is>
          <t>Öffentlich verfügbar und verifiziert</t>
        </is>
      </c>
      <c r="AO36" s="2" t="inlineStr">
        <is>
          <t>in Kraft 1.1.2023</t>
        </is>
      </c>
      <c r="AP36" s="2" t="inlineStr">
        <is>
          <t>Belegt Existenz und Zugänglichkeit der Quelle; inhaltliche Aussagen erst nach Auswertung.</t>
        </is>
      </c>
      <c r="AQ36" s="2" t="inlineStr">
        <is>
          <t>Keine Einstufung: Kennzahlen/Befunde noch nicht ausgewertet; Schwellen der Bewertungslogik noch nicht validiert.</t>
        </is>
      </c>
      <c r="AR36" s="2" t="inlineStr">
        <is>
          <t>Ja</t>
        </is>
      </c>
      <c r="AS36" s="2" t="inlineStr">
        <is>
          <t>Gemeindeverwaltung Münchenstein</t>
        </is>
      </c>
      <c r="AT36" s="2" t="inlineStr">
        <is>
          <t>In Prüfung</t>
        </is>
      </c>
      <c r="AU36" s="2" t="inlineStr"/>
      <c r="AV36" s="2" t="inlineStr"/>
      <c r="AW36" s="2" t="inlineStr">
        <is>
          <t>2026-10-14: neu aufgenommen</t>
        </is>
      </c>
      <c r="AX36" s="2">
        <f>IF(ISNA(MATCH($A36,'Gesamtübersicht'!$A:$A,0)),"ID fehlt in Gesamtübersicht",IF(AND(INDEX('Gesamtübersicht'!$H:$H,MATCH($A36,'Gesamtübersicht'!$A:$A,0))&amp;""=$H36&amp;"",INDEX('Gesamtübersicht'!$M:$M,MATCH($A36,'Gesamtübersicht'!$A:$A,0))&amp;""=$M36&amp;"",INDEX('Gesamtübersicht'!$AD:$AD,MATCH($A36,'Gesamtübersicht'!$A:$A,0))&amp;""=$AD36&amp;"",INDEX('Gesamtübersicht'!$AH:$AH,MATCH($A36,'Gesamtübersicht'!$A:$A,0))&amp;""=$AH36&amp;"",INDEX('Gesamtübersicht'!$T:$T,MATCH($A36,'Gesamtübersicht'!$A:$A,0))&amp;""=$T36&amp;""),"OK","Abweichung – Ansicht neu erzeugen"))</f>
        <v/>
      </c>
    </row>
    <row r="37" ht="43" customHeight="1">
      <c r="A37" s="3" t="inlineStr">
        <is>
          <t>MUE-C4-03</t>
        </is>
      </c>
      <c r="B37" s="15" t="inlineStr">
        <is>
          <t>Gemeinde</t>
        </is>
      </c>
      <c r="C37" s="3" t="inlineStr">
        <is>
          <t>Schweiz</t>
        </is>
      </c>
      <c r="D37" s="3" t="inlineStr">
        <is>
          <t>Basel-Landschaft</t>
        </is>
      </c>
      <c r="E37" s="3" t="inlineStr">
        <is>
          <t>Münchenstein</t>
        </is>
      </c>
      <c r="F37" s="3" t="inlineStr">
        <is>
          <t>C4</t>
        </is>
      </c>
      <c r="G37" s="3" t="inlineStr">
        <is>
          <t>Verwaltungsorganisation</t>
        </is>
      </c>
      <c r="H37" s="3" t="inlineStr">
        <is>
          <t>Verwaltungs- und Organisationsreglement der Einwohnergemeinde Münchenstein</t>
        </is>
      </c>
      <c r="I37" s="3" t="inlineStr">
        <is>
          <t>Kommunales Reglement</t>
        </is>
      </c>
      <c r="J37" s="3" t="inlineStr">
        <is>
          <t>Reglementsseite mit PDF</t>
        </is>
      </c>
      <c r="K37" s="3" t="inlineStr">
        <is>
          <t>Kommunales Recht (verbindlich)</t>
        </is>
      </c>
      <c r="L37" s="3" t="inlineStr">
        <is>
          <t>Gemeinde Münchenstein</t>
        </is>
      </c>
      <c r="M37" s="7" t="inlineStr">
        <is>
          <t>https://www.muenchenstein.ch/reglemente/7208</t>
        </is>
      </c>
      <c r="N37" s="3" t="inlineStr">
        <is>
          <t>Stand 1.1.2000</t>
        </is>
      </c>
      <c r="O37" s="3" t="inlineStr">
        <is>
          <t>2026-10-14</t>
        </is>
      </c>
      <c r="P37" s="3" t="inlineStr"/>
      <c r="Q37" s="3" t="inlineStr"/>
      <c r="R37" s="3" t="inlineStr"/>
      <c r="S37" s="3" t="inlineStr">
        <is>
          <t>Kein Peer-Vergleich</t>
        </is>
      </c>
      <c r="T37" s="3" t="inlineStr">
        <is>
          <t>Noch nicht bewertet</t>
        </is>
      </c>
      <c r="U37" s="3" t="inlineStr">
        <is>
          <t>Mittel</t>
        </is>
      </c>
      <c r="V37" s="3" t="inlineStr"/>
      <c r="W37" s="3" t="inlineStr"/>
      <c r="X37" s="3" t="inlineStr"/>
      <c r="Y37" s="3" t="inlineStr">
        <is>
          <t>Dokument auswerten; Aktualität und Geltung prüfen</t>
        </is>
      </c>
      <c r="Z37" s="3" t="inlineStr">
        <is>
          <t>Websuche 14.10.2026 (URL im Suchergebnis gefunden)</t>
        </is>
      </c>
      <c r="AA37" s="3" t="inlineStr">
        <is>
          <t>C3</t>
        </is>
      </c>
      <c r="AB37" s="3" t="inlineStr"/>
      <c r="AC37" s="3" t="inlineStr"/>
      <c r="AD37" s="3" t="inlineStr">
        <is>
          <t>Verifiziert</t>
        </is>
      </c>
      <c r="AE37" s="3" t="inlineStr">
        <is>
          <t>200</t>
        </is>
      </c>
      <c r="AF37" s="3" t="inlineStr"/>
      <c r="AG37" s="3" t="inlineStr">
        <is>
          <t>HTML</t>
        </is>
      </c>
      <c r="AH37" s="3" t="inlineStr">
        <is>
          <t>Bestätigt</t>
        </is>
      </c>
      <c r="AI37" s="3" t="inlineStr">
        <is>
          <t>Schlüsselwörter 1/1 gefunden (Organisationsreglement); Ort/Zuständigkeit: Münchenstein</t>
        </is>
      </c>
      <c r="AJ37" s="3" t="inlineStr">
        <is>
          <t>Münchenstein  - Verwaltungs- und Organisationsreglement | Kopfzeile</t>
        </is>
      </c>
      <c r="AK37" s="3" t="inlineStr">
        <is>
          <t>2000, 2026</t>
        </is>
      </c>
      <c r="AL37" s="3" t="inlineStr">
        <is>
          <t>Mittel (Webseite)</t>
        </is>
      </c>
      <c r="AM37" s="3" t="inlineStr">
        <is>
          <t>2026-10-14 13:55</t>
        </is>
      </c>
      <c r="AN37" s="3" t="inlineStr">
        <is>
          <t>Öffentlich verfügbar und verifiziert</t>
        </is>
      </c>
      <c r="AO37" s="3" t="inlineStr">
        <is>
          <t>Stand 1.1.2000</t>
        </is>
      </c>
      <c r="AP37" s="3" t="inlineStr">
        <is>
          <t>Belegt Existenz und Zugänglichkeit der Quelle; inhaltliche Aussagen erst nach Auswertung.</t>
        </is>
      </c>
      <c r="AQ37" s="3" t="inlineStr">
        <is>
          <t>Keine Einstufung: Kennzahlen/Befunde noch nicht ausgewertet; Schwellen der Bewertungslogik noch nicht validiert.</t>
        </is>
      </c>
      <c r="AR37" s="3" t="inlineStr">
        <is>
          <t>Ja</t>
        </is>
      </c>
      <c r="AS37" s="3" t="inlineStr">
        <is>
          <t>Gemeindeverwaltung Münchenstein</t>
        </is>
      </c>
      <c r="AT37" s="3" t="inlineStr">
        <is>
          <t>In Prüfung</t>
        </is>
      </c>
      <c r="AU37" s="3" t="inlineStr"/>
      <c r="AV37" s="3" t="inlineStr"/>
      <c r="AW37" s="3" t="inlineStr">
        <is>
          <t>2026-10-14: neu aufgenommen</t>
        </is>
      </c>
      <c r="AX37" s="3">
        <f>IF(ISNA(MATCH($A37,'Gesamtübersicht'!$A:$A,0)),"ID fehlt in Gesamtübersicht",IF(AND(INDEX('Gesamtübersicht'!$H:$H,MATCH($A37,'Gesamtübersicht'!$A:$A,0))&amp;""=$H37&amp;"",INDEX('Gesamtübersicht'!$M:$M,MATCH($A37,'Gesamtübersicht'!$A:$A,0))&amp;""=$M37&amp;"",INDEX('Gesamtübersicht'!$AD:$AD,MATCH($A37,'Gesamtübersicht'!$A:$A,0))&amp;""=$AD37&amp;"",INDEX('Gesamtübersicht'!$AH:$AH,MATCH($A37,'Gesamtübersicht'!$A:$A,0))&amp;""=$AH37&amp;"",INDEX('Gesamtübersicht'!$T:$T,MATCH($A37,'Gesamtübersicht'!$A:$A,0))&amp;""=$T37&amp;""),"OK","Abweichung – Ansicht neu erzeugen"))</f>
        <v/>
      </c>
    </row>
    <row r="38" ht="43" customHeight="1">
      <c r="A38" s="2" t="inlineStr">
        <is>
          <t>MUE-C5-01</t>
        </is>
      </c>
      <c r="B38" s="15" t="inlineStr">
        <is>
          <t>Gemeinde</t>
        </is>
      </c>
      <c r="C38" s="2" t="inlineStr">
        <is>
          <t>Schweiz</t>
        </is>
      </c>
      <c r="D38" s="2" t="inlineStr">
        <is>
          <t>Basel-Landschaft</t>
        </is>
      </c>
      <c r="E38" s="2" t="inlineStr">
        <is>
          <t>Münchenstein</t>
        </is>
      </c>
      <c r="F38" s="2" t="inlineStr">
        <is>
          <t>C5</t>
        </is>
      </c>
      <c r="G38" s="2" t="inlineStr">
        <is>
          <t>Politik / Mitwirkung</t>
        </is>
      </c>
      <c r="H38" s="2" t="inlineStr">
        <is>
          <t>Legislaturziele 2024–2028 des Gemeinderats Münchenstein</t>
        </is>
      </c>
      <c r="I38" s="2" t="inlineStr">
        <is>
          <t>Legislaturprogramm</t>
        </is>
      </c>
      <c r="J38" s="2" t="inlineStr">
        <is>
          <t>Webseite</t>
        </is>
      </c>
      <c r="K38" s="2" t="inlineStr">
        <is>
          <t>Politische Zielsetzung (behördenverbindlich, nicht rechtsverbindlich)</t>
        </is>
      </c>
      <c r="L38" s="2" t="inlineStr">
        <is>
          <t>Gemeinde Münchenstein</t>
        </is>
      </c>
      <c r="M38" s="5" t="inlineStr">
        <is>
          <t>https://www.muenchenstein.ch/legislaturziele</t>
        </is>
      </c>
      <c r="N38" s="2" t="inlineStr">
        <is>
          <t>2024–2028</t>
        </is>
      </c>
      <c r="O38" s="2" t="inlineStr">
        <is>
          <t>2026-10-14</t>
        </is>
      </c>
      <c r="P38" s="2" t="inlineStr">
        <is>
          <t>Gemeindeversammlung und kommunale Beschlüsse</t>
        </is>
      </c>
      <c r="Q38" s="2" t="inlineStr">
        <is>
          <t>Beschlüsse, Mitwirkung, Interessen</t>
        </is>
      </c>
      <c r="R38" s="2" t="inlineStr">
        <is>
          <t>Protokolle und politische Geschäfte identifizieren</t>
        </is>
      </c>
      <c r="S38" s="2" t="inlineStr">
        <is>
          <t>Qualitativ</t>
        </is>
      </c>
      <c r="T38" s="2" t="inlineStr">
        <is>
          <t>Noch nicht bewertet</t>
        </is>
      </c>
      <c r="U38" s="2" t="inlineStr">
        <is>
          <t>Mittel</t>
        </is>
      </c>
      <c r="V38" s="2" t="inlineStr">
        <is>
          <t>Konkrete kommunale Unterlagen / Datensatz nachfordern</t>
        </is>
      </c>
      <c r="W38" s="2" t="inlineStr">
        <is>
          <t>C3</t>
        </is>
      </c>
      <c r="X38" s="2" t="inlineStr">
        <is>
          <t>Legitimation</t>
        </is>
      </c>
      <c r="Y38" s="2" t="inlineStr">
        <is>
          <t>Dokument auswerten; Aktualität und Geltung prüfen</t>
        </is>
      </c>
      <c r="Z38" s="2" t="inlineStr">
        <is>
          <t>Webrecherche 14.10.2026</t>
        </is>
      </c>
      <c r="AA38" s="2" t="inlineStr"/>
      <c r="AB38" s="2" t="inlineStr"/>
      <c r="AC38" s="2" t="inlineStr"/>
      <c r="AD38" s="2" t="inlineStr">
        <is>
          <t>Verifiziert</t>
        </is>
      </c>
      <c r="AE38" s="2" t="inlineStr">
        <is>
          <t>200</t>
        </is>
      </c>
      <c r="AF38" s="2" t="inlineStr"/>
      <c r="AG38" s="2" t="inlineStr">
        <is>
          <t>HTML</t>
        </is>
      </c>
      <c r="AH38" s="2" t="inlineStr">
        <is>
          <t>Bestätigt</t>
        </is>
      </c>
      <c r="AI38" s="2" t="inlineStr">
        <is>
          <t>Schlüsselwörter 1/1 gefunden (Legislatur); Ort/Zuständigkeit: Münchenstein</t>
        </is>
      </c>
      <c r="AJ38" s="2" t="inlineStr">
        <is>
          <t>Münchenstein  - Legislaturziele 2024 bis 2028 | Kopfzeile</t>
        </is>
      </c>
      <c r="AK38" s="2" t="inlineStr">
        <is>
          <t>2024, 2028, 2025, 2029, 2004, 2011</t>
        </is>
      </c>
      <c r="AL38" s="2" t="inlineStr">
        <is>
          <t>Mittel (Webseite)</t>
        </is>
      </c>
      <c r="AM38" s="2" t="inlineStr">
        <is>
          <t>2026-10-14 13:53</t>
        </is>
      </c>
      <c r="AN38" s="2" t="inlineStr">
        <is>
          <t>Öffentlich verfügbar und verifiziert</t>
        </is>
      </c>
      <c r="AO38" s="2" t="inlineStr">
        <is>
          <t>2024–2028</t>
        </is>
      </c>
      <c r="AP38" s="2" t="inlineStr">
        <is>
          <t>Belegt Existenz und Zugänglichkeit der Quelle; inhaltliche Aussagen erst nach Auswertung.</t>
        </is>
      </c>
      <c r="AQ38" s="2" t="inlineStr">
        <is>
          <t>Keine Einstufung: Kennzahlen/Befunde noch nicht ausgewertet; Schwellen der Bewertungslogik noch nicht validiert.</t>
        </is>
      </c>
      <c r="AR38" s="2" t="inlineStr">
        <is>
          <t>Nein</t>
        </is>
      </c>
      <c r="AS38" s="2" t="inlineStr">
        <is>
          <t>Gemeindeverwaltung Münchenstein</t>
        </is>
      </c>
      <c r="AT38" s="2" t="inlineStr">
        <is>
          <t>In Prüfung</t>
        </is>
      </c>
      <c r="AU38" s="2" t="inlineStr"/>
      <c r="AV38" s="2" t="inlineStr"/>
      <c r="AW38" s="2" t="inlineStr">
        <is>
          <t>2026-10-14: Link ersetzt (vorher https://www.muenchenstein.ch/). Grund: Startseite durch Legislaturziele ersetzt.</t>
        </is>
      </c>
      <c r="AX38" s="2">
        <f>IF(ISNA(MATCH($A38,'Gesamtübersicht'!$A:$A,0)),"ID fehlt in Gesamtübersicht",IF(AND(INDEX('Gesamtübersicht'!$H:$H,MATCH($A38,'Gesamtübersicht'!$A:$A,0))&amp;""=$H38&amp;"",INDEX('Gesamtübersicht'!$M:$M,MATCH($A38,'Gesamtübersicht'!$A:$A,0))&amp;""=$M38&amp;"",INDEX('Gesamtübersicht'!$AD:$AD,MATCH($A38,'Gesamtübersicht'!$A:$A,0))&amp;""=$AD38&amp;"",INDEX('Gesamtübersicht'!$AH:$AH,MATCH($A38,'Gesamtübersicht'!$A:$A,0))&amp;""=$AH38&amp;"",INDEX('Gesamtübersicht'!$T:$T,MATCH($A38,'Gesamtübersicht'!$A:$A,0))&amp;""=$T38&amp;""),"OK","Abweichung – Ansicht neu erzeugen"))</f>
        <v/>
      </c>
    </row>
    <row r="39" ht="43" customHeight="1">
      <c r="A39" s="3" t="inlineStr">
        <is>
          <t>MUE-C5-02</t>
        </is>
      </c>
      <c r="B39" s="15" t="inlineStr">
        <is>
          <t>Gemeinde</t>
        </is>
      </c>
      <c r="C39" s="3" t="inlineStr">
        <is>
          <t>Schweiz</t>
        </is>
      </c>
      <c r="D39" s="3" t="inlineStr">
        <is>
          <t>Basel-Landschaft</t>
        </is>
      </c>
      <c r="E39" s="3" t="inlineStr">
        <is>
          <t>Münchenstein</t>
        </is>
      </c>
      <c r="F39" s="3" t="inlineStr">
        <is>
          <t>C5</t>
        </is>
      </c>
      <c r="G39" s="3" t="inlineStr">
        <is>
          <t>Protokoll</t>
        </is>
      </c>
      <c r="H39" s="3" t="inlineStr">
        <is>
          <t>Protokoll Gemeindeversammlung Münchenstein 13.6.2024</t>
        </is>
      </c>
      <c r="I39" s="3" t="inlineStr">
        <is>
          <t>Protokoll</t>
        </is>
      </c>
      <c r="J39" s="3" t="inlineStr">
        <is>
          <t>Direktes Dokument</t>
        </is>
      </c>
      <c r="K39" s="3" t="inlineStr">
        <is>
          <t>Beschluss (verbindlich)</t>
        </is>
      </c>
      <c r="L39" s="3" t="inlineStr">
        <is>
          <t>Gemeinde Münchenstein</t>
        </is>
      </c>
      <c r="M39" s="7" t="inlineStr">
        <is>
          <t>https://www.muenchenstein.ch/_docn/5478214/Protokoll_Gemeindeversammlung_13._Juni_2024_definitiv.pdf</t>
        </is>
      </c>
      <c r="N39" s="3" t="inlineStr">
        <is>
          <t>2024</t>
        </is>
      </c>
      <c r="O39" s="3" t="inlineStr">
        <is>
          <t>2026-10-14</t>
        </is>
      </c>
      <c r="P39" s="3" t="inlineStr">
        <is>
          <t>Beschlüsse, Stimmverhalten, Bericht Legislaturziele 2020–2024</t>
        </is>
      </c>
      <c r="Q39" s="3" t="inlineStr"/>
      <c r="R39" s="3" t="inlineStr"/>
      <c r="S39" s="3" t="inlineStr">
        <is>
          <t>Kein Peer-Vergleich</t>
        </is>
      </c>
      <c r="T39" s="3" t="inlineStr">
        <is>
          <t>Noch nicht bewertet</t>
        </is>
      </c>
      <c r="U39" s="3" t="inlineStr">
        <is>
          <t>Hoch</t>
        </is>
      </c>
      <c r="V39" s="3" t="inlineStr"/>
      <c r="W39" s="3" t="inlineStr"/>
      <c r="X39" s="3" t="inlineStr"/>
      <c r="Y39" s="3" t="inlineStr">
        <is>
          <t>Dokument auswerten; Aktualität und Geltung prüfen</t>
        </is>
      </c>
      <c r="Z39" s="3" t="inlineStr">
        <is>
          <t>Websuche 14.10.2026 (URL im Suchergebnis gefunden)</t>
        </is>
      </c>
      <c r="AA39" s="3" t="inlineStr"/>
      <c r="AB39" s="3" t="inlineStr"/>
      <c r="AC39" s="3" t="inlineStr"/>
      <c r="AD39" s="3" t="inlineStr">
        <is>
          <t>Verifiziert</t>
        </is>
      </c>
      <c r="AE39" s="3" t="inlineStr">
        <is>
          <t>200</t>
        </is>
      </c>
      <c r="AF39" s="3" t="inlineStr"/>
      <c r="AG39" s="3" t="inlineStr">
        <is>
          <t>PDF</t>
        </is>
      </c>
      <c r="AH39" s="3" t="inlineStr">
        <is>
          <t>Bestätigt</t>
        </is>
      </c>
      <c r="AI39" s="3" t="inlineStr">
        <is>
          <t>Schlüsselwörter 2/2 gefunden (Protokoll, Gemeindeversammlung); Ort/Zuständigkeit: Münchenstein</t>
        </is>
      </c>
      <c r="AJ39" s="3" t="inlineStr">
        <is>
          <t>Protokoll Gemeindeversammlung 13. Juni 2024</t>
        </is>
      </c>
      <c r="AK39" s="3" t="inlineStr">
        <is>
          <t>2023, 2024, 2020, 2028, 2021, 2019</t>
        </is>
      </c>
      <c r="AL39" s="3" t="inlineStr">
        <is>
          <t>Mittel (CMS-Dokumentlink)</t>
        </is>
      </c>
      <c r="AM39" s="3" t="inlineStr">
        <is>
          <t>2026-10-14 13:55</t>
        </is>
      </c>
      <c r="AN39" s="3" t="inlineStr">
        <is>
          <t>Öffentlich verfügbar und verifiziert</t>
        </is>
      </c>
      <c r="AO39" s="3" t="inlineStr">
        <is>
          <t>2024</t>
        </is>
      </c>
      <c r="AP39" s="3" t="inlineStr">
        <is>
          <t>Belegt Existenz und Zugänglichkeit der Quelle; inhaltliche Aussagen erst nach Auswertung.</t>
        </is>
      </c>
      <c r="AQ39" s="3" t="inlineStr">
        <is>
          <t>Keine Einstufung: Kennzahlen/Befunde noch nicht ausgewertet; Schwellen der Bewertungslogik noch nicht validiert.</t>
        </is>
      </c>
      <c r="AR39" s="3" t="inlineStr">
        <is>
          <t>Nein</t>
        </is>
      </c>
      <c r="AS39" s="3" t="inlineStr">
        <is>
          <t>Gemeindeverwaltung Münchenstein</t>
        </is>
      </c>
      <c r="AT39" s="3" t="inlineStr">
        <is>
          <t>In Prüfung</t>
        </is>
      </c>
      <c r="AU39" s="3" t="inlineStr"/>
      <c r="AV39" s="3" t="inlineStr"/>
      <c r="AW39" s="3" t="inlineStr">
        <is>
          <t>2026-10-14: neu aufgenommen</t>
        </is>
      </c>
      <c r="AX39" s="3">
        <f>IF(ISNA(MATCH($A39,'Gesamtübersicht'!$A:$A,0)),"ID fehlt in Gesamtübersicht",IF(AND(INDEX('Gesamtübersicht'!$H:$H,MATCH($A39,'Gesamtübersicht'!$A:$A,0))&amp;""=$H39&amp;"",INDEX('Gesamtübersicht'!$M:$M,MATCH($A39,'Gesamtübersicht'!$A:$A,0))&amp;""=$M39&amp;"",INDEX('Gesamtübersicht'!$AD:$AD,MATCH($A39,'Gesamtübersicht'!$A:$A,0))&amp;""=$AD39&amp;"",INDEX('Gesamtübersicht'!$AH:$AH,MATCH($A39,'Gesamtübersicht'!$A:$A,0))&amp;""=$AH39&amp;"",INDEX('Gesamtübersicht'!$T:$T,MATCH($A39,'Gesamtübersicht'!$A:$A,0))&amp;""=$T39&amp;""),"OK","Abweichung – Ansicht neu erzeugen"))</f>
        <v/>
      </c>
    </row>
    <row r="40" ht="43" customHeight="1">
      <c r="A40" s="2" t="inlineStr">
        <is>
          <t>MUE-C5-03</t>
        </is>
      </c>
      <c r="B40" s="15" t="inlineStr">
        <is>
          <t>Gemeinde</t>
        </is>
      </c>
      <c r="C40" s="2" t="inlineStr">
        <is>
          <t>Schweiz</t>
        </is>
      </c>
      <c r="D40" s="2" t="inlineStr">
        <is>
          <t>Basel-Landschaft</t>
        </is>
      </c>
      <c r="E40" s="2" t="inlineStr">
        <is>
          <t>Münchenstein</t>
        </is>
      </c>
      <c r="F40" s="2" t="inlineStr">
        <is>
          <t>C5</t>
        </is>
      </c>
      <c r="G40" s="2" t="inlineStr">
        <is>
          <t>Beschlüsse</t>
        </is>
      </c>
      <c r="H40" s="2" t="inlineStr">
        <is>
          <t>Beschlüsse der Gemeindeversammlung vom 8.12.2025 (Budget 2026, AFP 2026–2030)</t>
        </is>
      </c>
      <c r="I40" s="2" t="inlineStr">
        <is>
          <t>Beschlussmitteilung</t>
        </is>
      </c>
      <c r="J40" s="2" t="inlineStr">
        <is>
          <t>Webseite</t>
        </is>
      </c>
      <c r="K40" s="2" t="inlineStr">
        <is>
          <t>Beschluss (verbindlich)</t>
        </is>
      </c>
      <c r="L40" s="2" t="inlineStr">
        <is>
          <t>Gemeinde Münchenstein</t>
        </is>
      </c>
      <c r="M40" s="5" t="inlineStr">
        <is>
          <t>https://www.muenchenstein.ch/politikinformationen/2666993</t>
        </is>
      </c>
      <c r="N40" s="2" t="inlineStr">
        <is>
          <t>2025</t>
        </is>
      </c>
      <c r="O40" s="2" t="inlineStr">
        <is>
          <t>2026-10-14</t>
        </is>
      </c>
      <c r="P40" s="2" t="inlineStr">
        <is>
          <t>Beschlussstand, Teilnehmerzahl (Legitimationsindikator)</t>
        </is>
      </c>
      <c r="Q40" s="2" t="inlineStr"/>
      <c r="R40" s="2" t="inlineStr"/>
      <c r="S40" s="2" t="inlineStr">
        <is>
          <t>Kein Peer-Vergleich</t>
        </is>
      </c>
      <c r="T40" s="2" t="inlineStr">
        <is>
          <t>Noch nicht bewertet</t>
        </is>
      </c>
      <c r="U40" s="2" t="inlineStr">
        <is>
          <t>Mittel</t>
        </is>
      </c>
      <c r="V40" s="2" t="inlineStr"/>
      <c r="W40" s="2" t="inlineStr"/>
      <c r="X40" s="2" t="inlineStr"/>
      <c r="Y40" s="2" t="inlineStr">
        <is>
          <t>Dokument auswerten; Aktualität und Geltung prüfen</t>
        </is>
      </c>
      <c r="Z40" s="2" t="inlineStr">
        <is>
          <t>Websuche 14.10.2026 (URL im Suchergebnis gefunden)</t>
        </is>
      </c>
      <c r="AA40" s="2" t="inlineStr">
        <is>
          <t>C1</t>
        </is>
      </c>
      <c r="AB40" s="2" t="inlineStr"/>
      <c r="AC40" s="2" t="inlineStr"/>
      <c r="AD40" s="2" t="inlineStr">
        <is>
          <t>Verifiziert</t>
        </is>
      </c>
      <c r="AE40" s="2" t="inlineStr">
        <is>
          <t>200</t>
        </is>
      </c>
      <c r="AF40" s="2" t="inlineStr"/>
      <c r="AG40" s="2" t="inlineStr">
        <is>
          <t>HTML</t>
        </is>
      </c>
      <c r="AH40" s="2" t="inlineStr">
        <is>
          <t>Bestätigt</t>
        </is>
      </c>
      <c r="AI40" s="2" t="inlineStr">
        <is>
          <t>Schlüsselwörter 2/2 gefunden (Gemeindeversammlung, Budget); Ort/Zuständigkeit: Münchenstein</t>
        </is>
      </c>
      <c r="AJ40" s="2" t="inlineStr">
        <is>
          <t>Münchenstein  - Beschlüsse der Gemeindeversammlung vom 8. Dezember 2025 | Kopfzeile</t>
        </is>
      </c>
      <c r="AK40" s="2" t="inlineStr">
        <is>
          <t>2025, 2026, 2030</t>
        </is>
      </c>
      <c r="AL40" s="2" t="inlineStr">
        <is>
          <t>Mittel (Webseite)</t>
        </is>
      </c>
      <c r="AM40" s="2" t="inlineStr">
        <is>
          <t>2026-10-14 13:55</t>
        </is>
      </c>
      <c r="AN40" s="2" t="inlineStr">
        <is>
          <t>Öffentlich verfügbar und verifiziert</t>
        </is>
      </c>
      <c r="AO40" s="2" t="inlineStr">
        <is>
          <t>2025</t>
        </is>
      </c>
      <c r="AP40" s="2" t="inlineStr">
        <is>
          <t>Belegt Existenz und Zugänglichkeit der Quelle; inhaltliche Aussagen erst nach Auswertung.</t>
        </is>
      </c>
      <c r="AQ40" s="2" t="inlineStr">
        <is>
          <t>Keine Einstufung: Kennzahlen/Befunde noch nicht ausgewertet; Schwellen der Bewertungslogik noch nicht validiert.</t>
        </is>
      </c>
      <c r="AR40" s="2" t="inlineStr">
        <is>
          <t>Nein</t>
        </is>
      </c>
      <c r="AS40" s="2" t="inlineStr">
        <is>
          <t>Gemeindeverwaltung Münchenstein</t>
        </is>
      </c>
      <c r="AT40" s="2" t="inlineStr">
        <is>
          <t>In Prüfung</t>
        </is>
      </c>
      <c r="AU40" s="2" t="inlineStr"/>
      <c r="AV40" s="2" t="inlineStr"/>
      <c r="AW40" s="2" t="inlineStr">
        <is>
          <t>2026-10-14: neu aufgenommen</t>
        </is>
      </c>
      <c r="AX40" s="2">
        <f>IF(ISNA(MATCH($A40,'Gesamtübersicht'!$A:$A,0)),"ID fehlt in Gesamtübersicht",IF(AND(INDEX('Gesamtübersicht'!$H:$H,MATCH($A40,'Gesamtübersicht'!$A:$A,0))&amp;""=$H40&amp;"",INDEX('Gesamtübersicht'!$M:$M,MATCH($A40,'Gesamtübersicht'!$A:$A,0))&amp;""=$M40&amp;"",INDEX('Gesamtübersicht'!$AD:$AD,MATCH($A40,'Gesamtübersicht'!$A:$A,0))&amp;""=$AD40&amp;"",INDEX('Gesamtübersicht'!$AH:$AH,MATCH($A40,'Gesamtübersicht'!$A:$A,0))&amp;""=$AH40&amp;"",INDEX('Gesamtübersicht'!$T:$T,MATCH($A40,'Gesamtübersicht'!$A:$A,0))&amp;""=$T40&amp;""),"OK","Abweichung – Ansicht neu erzeugen"))</f>
        <v/>
      </c>
    </row>
    <row r="41" ht="43" customHeight="1">
      <c r="A41" s="3" t="inlineStr">
        <is>
          <t>MUE-C5-04</t>
        </is>
      </c>
      <c r="B41" s="15" t="inlineStr">
        <is>
          <t>Gemeinde</t>
        </is>
      </c>
      <c r="C41" s="3" t="inlineStr">
        <is>
          <t>Schweiz</t>
        </is>
      </c>
      <c r="D41" s="3" t="inlineStr">
        <is>
          <t>Basel-Landschaft</t>
        </is>
      </c>
      <c r="E41" s="3" t="inlineStr">
        <is>
          <t>Münchenstein</t>
        </is>
      </c>
      <c r="F41" s="3" t="inlineStr">
        <is>
          <t>C5</t>
        </is>
      </c>
      <c r="G41" s="3" t="inlineStr">
        <is>
          <t>Mitwirkung</t>
        </is>
      </c>
      <c r="H41" s="3" t="inlineStr">
        <is>
          <t>Quartierplanung Spenglerpark – Mitwirkungsbericht (2019)</t>
        </is>
      </c>
      <c r="I41" s="3" t="inlineStr">
        <is>
          <t>Mitwirkungsbericht</t>
        </is>
      </c>
      <c r="J41" s="3" t="inlineStr">
        <is>
          <t>Direktes Dokument</t>
        </is>
      </c>
      <c r="K41" s="3" t="inlineStr">
        <is>
          <t>Bericht</t>
        </is>
      </c>
      <c r="L41" s="3" t="inlineStr">
        <is>
          <t>Gemeinde Münchenstein</t>
        </is>
      </c>
      <c r="M41" s="7" t="inlineStr">
        <is>
          <t>https://www.muenchenstein.ch/_docn/2359339/43037_Ber05_Mitwirkungsbericht_VerabschiedungGR_Unterschrieben_20190924_korr.pdf</t>
        </is>
      </c>
      <c r="N41" s="3" t="inlineStr">
        <is>
          <t>2019</t>
        </is>
      </c>
      <c r="O41" s="3" t="inlineStr">
        <is>
          <t>2026-10-14</t>
        </is>
      </c>
      <c r="P41" s="3" t="inlineStr">
        <is>
          <t>Mitwirkungspraxis und Einwendungen bei Arealentwicklung</t>
        </is>
      </c>
      <c r="Q41" s="3" t="inlineStr"/>
      <c r="R41" s="3" t="inlineStr"/>
      <c r="S41" s="3" t="inlineStr">
        <is>
          <t>Kein Peer-Vergleich</t>
        </is>
      </c>
      <c r="T41" s="3" t="inlineStr">
        <is>
          <t>Noch nicht bewertet</t>
        </is>
      </c>
      <c r="U41" s="3" t="inlineStr">
        <is>
          <t>Hoch</t>
        </is>
      </c>
      <c r="V41" s="3" t="inlineStr"/>
      <c r="W41" s="3" t="inlineStr"/>
      <c r="X41" s="3" t="inlineStr"/>
      <c r="Y41" s="3" t="inlineStr">
        <is>
          <t>Dokument auswerten; Aktualität und Geltung prüfen</t>
        </is>
      </c>
      <c r="Z41" s="3" t="inlineStr">
        <is>
          <t>Websuche 14.10.2026 (URL im Suchergebnis gefunden)</t>
        </is>
      </c>
      <c r="AA41" s="3" t="inlineStr">
        <is>
          <t>C2</t>
        </is>
      </c>
      <c r="AB41" s="3" t="inlineStr"/>
      <c r="AC41" s="3" t="inlineStr"/>
      <c r="AD41" s="3" t="inlineStr">
        <is>
          <t>Verifiziert</t>
        </is>
      </c>
      <c r="AE41" s="3" t="inlineStr">
        <is>
          <t>200</t>
        </is>
      </c>
      <c r="AF41" s="3" t="inlineStr"/>
      <c r="AG41" s="3" t="inlineStr">
        <is>
          <t>PDF</t>
        </is>
      </c>
      <c r="AH41" s="3" t="inlineStr">
        <is>
          <t>Bestätigt</t>
        </is>
      </c>
      <c r="AI41" s="3" t="inlineStr">
        <is>
          <t>Schlüsselwörter 2/2 gefunden (Mitwirkung, Spenglerpark); Ort/Zuständigkeit: Münchenstein</t>
        </is>
      </c>
      <c r="AJ41" s="3" t="inlineStr">
        <is>
          <t>Quartierplanung "Bruggstrasse"</t>
        </is>
      </c>
      <c r="AK41" s="3" t="inlineStr">
        <is>
          <t>2019, 2017</t>
        </is>
      </c>
      <c r="AL41" s="3" t="inlineStr">
        <is>
          <t>Mittel (CMS-Dokumentlink)</t>
        </is>
      </c>
      <c r="AM41" s="3" t="inlineStr">
        <is>
          <t>2026-10-14 13:55</t>
        </is>
      </c>
      <c r="AN41" s="3" t="inlineStr">
        <is>
          <t>Öffentlich verfügbar und verifiziert</t>
        </is>
      </c>
      <c r="AO41" s="3" t="inlineStr">
        <is>
          <t>2019</t>
        </is>
      </c>
      <c r="AP41" s="3" t="inlineStr">
        <is>
          <t>Belegt Existenz und Zugänglichkeit der Quelle; inhaltliche Aussagen erst nach Auswertung.</t>
        </is>
      </c>
      <c r="AQ41" s="3" t="inlineStr">
        <is>
          <t>Keine Einstufung: Kennzahlen/Befunde noch nicht ausgewertet; Schwellen der Bewertungslogik noch nicht validiert.</t>
        </is>
      </c>
      <c r="AR41" s="3" t="inlineStr">
        <is>
          <t>Nein</t>
        </is>
      </c>
      <c r="AS41" s="3" t="inlineStr">
        <is>
          <t>Gemeindeverwaltung Münchenstein</t>
        </is>
      </c>
      <c r="AT41" s="3" t="inlineStr">
        <is>
          <t>In Prüfung</t>
        </is>
      </c>
      <c r="AU41" s="3" t="inlineStr"/>
      <c r="AV41" s="3" t="inlineStr"/>
      <c r="AW41" s="3" t="inlineStr">
        <is>
          <t>2026-10-14: neu aufgenommen</t>
        </is>
      </c>
      <c r="AX41" s="3">
        <f>IF(ISNA(MATCH($A41,'Gesamtübersicht'!$A:$A,0)),"ID fehlt in Gesamtübersicht",IF(AND(INDEX('Gesamtübersicht'!$H:$H,MATCH($A41,'Gesamtübersicht'!$A:$A,0))&amp;""=$H41&amp;"",INDEX('Gesamtübersicht'!$M:$M,MATCH($A41,'Gesamtübersicht'!$A:$A,0))&amp;""=$M41&amp;"",INDEX('Gesamtübersicht'!$AD:$AD,MATCH($A41,'Gesamtübersicht'!$A:$A,0))&amp;""=$AD41&amp;"",INDEX('Gesamtübersicht'!$AH:$AH,MATCH($A41,'Gesamtübersicht'!$A:$A,0))&amp;""=$AH41&amp;"",INDEX('Gesamtübersicht'!$T:$T,MATCH($A41,'Gesamtübersicht'!$A:$A,0))&amp;""=$T41&amp;""),"OK","Abweichung – Ansicht neu erzeugen"))</f>
        <v/>
      </c>
    </row>
    <row r="42" ht="43" customHeight="1">
      <c r="A42" s="2" t="inlineStr">
        <is>
          <t>MUE-C5-05</t>
        </is>
      </c>
      <c r="B42" s="15" t="inlineStr">
        <is>
          <t>Gemeinde</t>
        </is>
      </c>
      <c r="C42" s="2" t="inlineStr">
        <is>
          <t>Schweiz</t>
        </is>
      </c>
      <c r="D42" s="2" t="inlineStr">
        <is>
          <t>Basel-Landschaft</t>
        </is>
      </c>
      <c r="E42" s="2" t="inlineStr">
        <is>
          <t>Münchenstein</t>
        </is>
      </c>
      <c r="F42" s="2" t="inlineStr">
        <is>
          <t>C5</t>
        </is>
      </c>
      <c r="G42" s="2" t="inlineStr">
        <is>
          <t>Politische Gremien</t>
        </is>
      </c>
      <c r="H42" s="2" t="inlineStr">
        <is>
          <t>Gemeindekommission Münchenstein (§ 88 GemG)</t>
        </is>
      </c>
      <c r="I42" s="2" t="inlineStr">
        <is>
          <t>Behördenseite</t>
        </is>
      </c>
      <c r="J42" s="2" t="inlineStr">
        <is>
          <t>Webseite</t>
        </is>
      </c>
      <c r="K42" s="2" t="inlineStr">
        <is>
          <t>Information</t>
        </is>
      </c>
      <c r="L42" s="2" t="inlineStr">
        <is>
          <t>Gemeinde Münchenstein</t>
        </is>
      </c>
      <c r="M42" s="5" t="inlineStr">
        <is>
          <t>https://www.muenchenstein.ch/behoerden/2838</t>
        </is>
      </c>
      <c r="N42" s="2" t="inlineStr"/>
      <c r="O42" s="2" t="inlineStr">
        <is>
          <t>2026-10-14</t>
        </is>
      </c>
      <c r="P42" s="2" t="inlineStr"/>
      <c r="Q42" s="2" t="inlineStr"/>
      <c r="R42" s="2" t="inlineStr"/>
      <c r="S42" s="2" t="inlineStr">
        <is>
          <t>Kein Peer-Vergleich</t>
        </is>
      </c>
      <c r="T42" s="2" t="inlineStr">
        <is>
          <t>Noch nicht bewertet</t>
        </is>
      </c>
      <c r="U42" s="2" t="inlineStr">
        <is>
          <t>Mittel</t>
        </is>
      </c>
      <c r="V42" s="2" t="inlineStr"/>
      <c r="W42" s="2" t="inlineStr"/>
      <c r="X42" s="2" t="inlineStr"/>
      <c r="Y42" s="2" t="inlineStr">
        <is>
          <t>Dokument auswerten; Aktualität und Geltung prüfen</t>
        </is>
      </c>
      <c r="Z42" s="2" t="inlineStr">
        <is>
          <t>Websuche 14.10.2026 (URL im Suchergebnis gefunden)</t>
        </is>
      </c>
      <c r="AA42" s="2" t="inlineStr">
        <is>
          <t>C3</t>
        </is>
      </c>
      <c r="AB42" s="2" t="inlineStr"/>
      <c r="AC42" s="2" t="inlineStr"/>
      <c r="AD42" s="2" t="inlineStr">
        <is>
          <t>Verifiziert</t>
        </is>
      </c>
      <c r="AE42" s="2" t="inlineStr">
        <is>
          <t>200</t>
        </is>
      </c>
      <c r="AF42" s="2" t="inlineStr"/>
      <c r="AG42" s="2" t="inlineStr">
        <is>
          <t>HTML</t>
        </is>
      </c>
      <c r="AH42" s="2" t="inlineStr">
        <is>
          <t>Bestätigt</t>
        </is>
      </c>
      <c r="AI42" s="2" t="inlineStr">
        <is>
          <t>Schlüsselwörter 1/1 gefunden (Gemeindekommission); Ort/Zuständigkeit: Münchenstein</t>
        </is>
      </c>
      <c r="AJ42" s="2" t="inlineStr">
        <is>
          <t>Münchenstein  - Gemeindekommission | Kopfzeile</t>
        </is>
      </c>
      <c r="AK42" s="2" t="inlineStr">
        <is>
          <t>2026</t>
        </is>
      </c>
      <c r="AL42" s="2" t="inlineStr">
        <is>
          <t>Mittel (Webseite)</t>
        </is>
      </c>
      <c r="AM42" s="2" t="inlineStr">
        <is>
          <t>2026-10-14 13:55</t>
        </is>
      </c>
      <c r="AN42" s="2" t="inlineStr">
        <is>
          <t>Öffentlich verfügbar und verifiziert</t>
        </is>
      </c>
      <c r="AO42" s="2" t="inlineStr"/>
      <c r="AP42" s="2" t="inlineStr">
        <is>
          <t>Belegt Existenz und Zugänglichkeit der Quelle; inhaltliche Aussagen erst nach Auswertung.</t>
        </is>
      </c>
      <c r="AQ42" s="2" t="inlineStr">
        <is>
          <t>Keine Einstufung: Kennzahlen/Befunde noch nicht ausgewertet; Schwellen der Bewertungslogik noch nicht validiert.</t>
        </is>
      </c>
      <c r="AR42" s="2" t="inlineStr">
        <is>
          <t>Nein</t>
        </is>
      </c>
      <c r="AS42" s="2" t="inlineStr">
        <is>
          <t>Gemeindeverwaltung Münchenstein</t>
        </is>
      </c>
      <c r="AT42" s="2" t="inlineStr">
        <is>
          <t>In Prüfung</t>
        </is>
      </c>
      <c r="AU42" s="2" t="inlineStr"/>
      <c r="AV42" s="2" t="inlineStr"/>
      <c r="AW42" s="2" t="inlineStr">
        <is>
          <t>2026-10-14: neu aufgenommen</t>
        </is>
      </c>
      <c r="AX42" s="2">
        <f>IF(ISNA(MATCH($A42,'Gesamtübersicht'!$A:$A,0)),"ID fehlt in Gesamtübersicht",IF(AND(INDEX('Gesamtübersicht'!$H:$H,MATCH($A42,'Gesamtübersicht'!$A:$A,0))&amp;""=$H42&amp;"",INDEX('Gesamtübersicht'!$M:$M,MATCH($A42,'Gesamtübersicht'!$A:$A,0))&amp;""=$M42&amp;"",INDEX('Gesamtübersicht'!$AD:$AD,MATCH($A42,'Gesamtübersicht'!$A:$A,0))&amp;""=$AD42&amp;"",INDEX('Gesamtübersicht'!$AH:$AH,MATCH($A42,'Gesamtübersicht'!$A:$A,0))&amp;""=$AH42&amp;"",INDEX('Gesamtübersicht'!$T:$T,MATCH($A42,'Gesamtübersicht'!$A:$A,0))&amp;""=$T42&amp;""),"OK","Abweichung – Ansicht neu erzeugen"))</f>
        <v/>
      </c>
    </row>
  </sheetData>
  <conditionalFormatting sqref="AD2:AD500">
    <cfRule type="cellIs" priority="1" operator="equal" dxfId="0">
      <formula>"Verifiziert"</formula>
    </cfRule>
    <cfRule type="cellIs" priority="2" operator="equal" dxfId="1">
      <formula>"Weiterleitung"</formula>
    </cfRule>
    <cfRule type="cellIs" priority="3" operator="equal" dxfId="2">
      <formula>"Fehler"</formula>
    </cfRule>
    <cfRule type="cellIs" priority="4" operator="equal" dxfId="3">
      <formula>"Nicht prüfbar"</formula>
    </cfRule>
  </conditionalFormatting>
  <conditionalFormatting sqref="AH2:AH500">
    <cfRule type="cellIs" priority="5" operator="equal" dxfId="0">
      <formula>"Bestätigt"</formula>
    </cfRule>
    <cfRule type="cellIs" priority="6" operator="equal" dxfId="1">
      <formula>"Teilweise bestätigt"</formula>
    </cfRule>
    <cfRule type="cellIs" priority="7" operator="equal" dxfId="3">
      <formula>"Offen"</formula>
    </cfRule>
  </conditionalFormatting>
  <dataValidations count="10">
    <dataValidation sqref="B2:B500" showDropDown="0" showInputMessage="0" showErrorMessage="0" allowBlank="1" type="list">
      <formula1>"Bund,Kanton,Gemeinde"</formula1>
    </dataValidation>
    <dataValidation sqref="F2:F500" showDropDown="0" showInputMessage="0" showErrorMessage="0" allowBlank="1" type="list">
      <formula1>"C1,C2,C3,C4,C5"</formula1>
    </dataValidation>
    <dataValidation sqref="T2:T500" showDropDown="0" showInputMessage="0" showErrorMessage="0" allowBlank="1" type="list">
      <formula1>"Noch nicht bewertet,Hoch,Mittel,Gering"</formula1>
    </dataValidation>
    <dataValidation sqref="U2:U500" showDropDown="0" showInputMessage="0" showErrorMessage="0" allowBlank="1" type="list">
      <formula1>"Hoch,Mittel,Niedrig"</formula1>
    </dataValidation>
    <dataValidation sqref="Y2:Y500" showDropDown="0" showInputMessage="0" showErrorMessage="0" allowBlank="1" type="list">
      <formula1>"Dokument auswerten; Aktualität und Geltung prüfen,In Bearbeitung,Geprüft,Nachforderung offen"</formula1>
    </dataValidation>
    <dataValidation sqref="AD2:AD500" showDropDown="0" showInputMessage="0" showErrorMessage="0" allowBlank="1" type="list">
      <formula1>"Verifiziert,Weiterleitung,Fehler,Nicht prüfbar"</formula1>
    </dataValidation>
    <dataValidation sqref="AH2:AH500" showDropDown="0" showInputMessage="0" showErrorMessage="0" allowBlank="1" type="list">
      <formula1>"Bestätigt,Teilweise bestätigt,Offen"</formula1>
    </dataValidation>
    <dataValidation sqref="AN2:AN500" showDropDown="0" showInputMessage="0" showErrorMessage="0" allowBlank="1" type="list">
      <formula1>"Öffentlich verfügbar und verifiziert,Öffentlich verfügbar – noch nicht geprüft,Nicht öffentlich auffindbar,Nur über Gemeindeanfrage erhältlich,Nicht zugänglich / nicht prüfbar"</formula1>
    </dataValidation>
    <dataValidation sqref="AR2:AR500" showDropDown="0" showInputMessage="0" showErrorMessage="0" allowBlank="1" type="list">
      <formula1>"Ja,Nein"</formula1>
    </dataValidation>
    <dataValidation sqref="AT2:AT500" showDropDown="0" showInputMessage="0" showErrorMessage="0" allowBlank="1" type="list">
      <formula1>"Offen,In Prüfung,Abgeschlossen"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AC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AC4" r:id="rId5"/>
    <hyperlink xmlns:r="http://schemas.openxmlformats.org/officeDocument/2006/relationships" ref="M5" r:id="rId6"/>
    <hyperlink xmlns:r="http://schemas.openxmlformats.org/officeDocument/2006/relationships" ref="M6" r:id="rId7"/>
    <hyperlink xmlns:r="http://schemas.openxmlformats.org/officeDocument/2006/relationships" ref="M7" r:id="rId8"/>
    <hyperlink xmlns:r="http://schemas.openxmlformats.org/officeDocument/2006/relationships" ref="M8" r:id="rId9"/>
    <hyperlink xmlns:r="http://schemas.openxmlformats.org/officeDocument/2006/relationships" ref="M9" r:id="rId10"/>
    <hyperlink xmlns:r="http://schemas.openxmlformats.org/officeDocument/2006/relationships" ref="M10" r:id="rId11"/>
    <hyperlink xmlns:r="http://schemas.openxmlformats.org/officeDocument/2006/relationships" ref="M11" r:id="rId12"/>
    <hyperlink xmlns:r="http://schemas.openxmlformats.org/officeDocument/2006/relationships" ref="M12" r:id="rId13"/>
    <hyperlink xmlns:r="http://schemas.openxmlformats.org/officeDocument/2006/relationships" ref="M13" r:id="rId14"/>
    <hyperlink xmlns:r="http://schemas.openxmlformats.org/officeDocument/2006/relationships" ref="M14" r:id="rId15"/>
    <hyperlink xmlns:r="http://schemas.openxmlformats.org/officeDocument/2006/relationships" ref="M15" r:id="rId16"/>
    <hyperlink xmlns:r="http://schemas.openxmlformats.org/officeDocument/2006/relationships" ref="M16" r:id="rId17"/>
    <hyperlink xmlns:r="http://schemas.openxmlformats.org/officeDocument/2006/relationships" ref="M17" r:id="rId18"/>
    <hyperlink xmlns:r="http://schemas.openxmlformats.org/officeDocument/2006/relationships" ref="M18" r:id="rId19"/>
    <hyperlink xmlns:r="http://schemas.openxmlformats.org/officeDocument/2006/relationships" ref="M19" r:id="rId20"/>
    <hyperlink xmlns:r="http://schemas.openxmlformats.org/officeDocument/2006/relationships" ref="M20" r:id="rId21"/>
    <hyperlink xmlns:r="http://schemas.openxmlformats.org/officeDocument/2006/relationships" ref="M21" r:id="rId22"/>
    <hyperlink xmlns:r="http://schemas.openxmlformats.org/officeDocument/2006/relationships" ref="M22" r:id="rId23"/>
    <hyperlink xmlns:r="http://schemas.openxmlformats.org/officeDocument/2006/relationships" ref="M23" r:id="rId24"/>
    <hyperlink xmlns:r="http://schemas.openxmlformats.org/officeDocument/2006/relationships" ref="M24" r:id="rId25"/>
    <hyperlink xmlns:r="http://schemas.openxmlformats.org/officeDocument/2006/relationships" ref="M25" r:id="rId26"/>
    <hyperlink xmlns:r="http://schemas.openxmlformats.org/officeDocument/2006/relationships" ref="M26" r:id="rId27"/>
    <hyperlink xmlns:r="http://schemas.openxmlformats.org/officeDocument/2006/relationships" ref="M27" r:id="rId28"/>
    <hyperlink xmlns:r="http://schemas.openxmlformats.org/officeDocument/2006/relationships" ref="M28" r:id="rId29"/>
    <hyperlink xmlns:r="http://schemas.openxmlformats.org/officeDocument/2006/relationships" ref="M29" r:id="rId30"/>
    <hyperlink xmlns:r="http://schemas.openxmlformats.org/officeDocument/2006/relationships" ref="M30" r:id="rId31"/>
    <hyperlink xmlns:r="http://schemas.openxmlformats.org/officeDocument/2006/relationships" ref="M31" r:id="rId32"/>
    <hyperlink xmlns:r="http://schemas.openxmlformats.org/officeDocument/2006/relationships" ref="AC31" r:id="rId33"/>
    <hyperlink xmlns:r="http://schemas.openxmlformats.org/officeDocument/2006/relationships" ref="M32" r:id="rId34"/>
    <hyperlink xmlns:r="http://schemas.openxmlformats.org/officeDocument/2006/relationships" ref="M33" r:id="rId35"/>
    <hyperlink xmlns:r="http://schemas.openxmlformats.org/officeDocument/2006/relationships" ref="AC33" r:id="rId36"/>
    <hyperlink xmlns:r="http://schemas.openxmlformats.org/officeDocument/2006/relationships" ref="M34" r:id="rId37"/>
    <hyperlink xmlns:r="http://schemas.openxmlformats.org/officeDocument/2006/relationships" ref="M35" r:id="rId38"/>
    <hyperlink xmlns:r="http://schemas.openxmlformats.org/officeDocument/2006/relationships" ref="M36" r:id="rId39"/>
    <hyperlink xmlns:r="http://schemas.openxmlformats.org/officeDocument/2006/relationships" ref="AC36" r:id="rId40"/>
    <hyperlink xmlns:r="http://schemas.openxmlformats.org/officeDocument/2006/relationships" ref="M37" r:id="rId41"/>
    <hyperlink xmlns:r="http://schemas.openxmlformats.org/officeDocument/2006/relationships" ref="M38" r:id="rId42"/>
    <hyperlink xmlns:r="http://schemas.openxmlformats.org/officeDocument/2006/relationships" ref="M39" r:id="rId43"/>
    <hyperlink xmlns:r="http://schemas.openxmlformats.org/officeDocument/2006/relationships" ref="M40" r:id="rId44"/>
    <hyperlink xmlns:r="http://schemas.openxmlformats.org/officeDocument/2006/relationships" ref="M41" r:id="rId45"/>
    <hyperlink xmlns:r="http://schemas.openxmlformats.org/officeDocument/2006/relationships" ref="M42" r:id="rId46"/>
  </hyperlinks>
  <pageMargins left="0.75" right="0.75" top="1" bottom="1" header="0.5" footer="0.5"/>
  <tableParts count="1">
    <tablePart xmlns:r="http://schemas.openxmlformats.org/officeDocument/2006/relationships" r:id="rId47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X41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22" customWidth="1" min="4" max="4"/>
    <col width="18" customWidth="1" min="5" max="5"/>
    <col width="15" customWidth="1" min="6" max="6"/>
    <col width="24" customWidth="1" min="7" max="7"/>
    <col width="48" customWidth="1" min="8" max="8"/>
    <col width="21" customWidth="1" min="9" max="9"/>
    <col width="28" customWidth="1" min="10" max="10"/>
    <col width="26" customWidth="1" min="11" max="11"/>
    <col width="24" customWidth="1" min="12" max="12"/>
    <col width="45" customWidth="1" min="13" max="13"/>
    <col width="19" customWidth="1" min="14" max="14"/>
    <col width="19" customWidth="1" min="15" max="15"/>
    <col width="54" customWidth="1" min="16" max="16"/>
    <col width="35" customWidth="1" min="17" max="17"/>
    <col width="49" customWidth="1" min="18" max="18"/>
    <col width="32" customWidth="1" min="19" max="19"/>
    <col width="26" customWidth="1" min="20" max="20"/>
    <col width="14" customWidth="1" min="21" max="21"/>
    <col width="44" customWidth="1" min="22" max="22"/>
    <col width="24" customWidth="1" min="23" max="23"/>
    <col width="39" customWidth="1" min="24" max="24"/>
    <col width="40" customWidth="1" min="25" max="25"/>
    <col width="31" customWidth="1" min="26" max="26"/>
    <col width="16" customWidth="1" min="27" max="27"/>
    <col width="18" customWidth="1" min="28" max="28"/>
    <col width="40" customWidth="1" min="29" max="29"/>
    <col width="16" customWidth="1" min="30" max="30"/>
    <col width="12" customWidth="1" min="31" max="31"/>
    <col width="40" customWidth="1" min="32" max="32"/>
    <col width="11" customWidth="1" min="33" max="33"/>
    <col width="18" customWidth="1" min="34" max="34"/>
    <col width="50" customWidth="1" min="35" max="35"/>
    <col width="40" customWidth="1" min="36" max="36"/>
    <col width="18" customWidth="1" min="37" max="37"/>
    <col width="26" customWidth="1" min="38" max="38"/>
    <col width="18" customWidth="1" min="39" max="39"/>
    <col width="30" customWidth="1" min="40" max="40"/>
    <col width="20" customWidth="1" min="41" max="41"/>
    <col width="50" customWidth="1" min="42" max="42"/>
    <col width="44" customWidth="1" min="43" max="43"/>
    <col width="15" customWidth="1" min="44" max="44"/>
    <col width="30" customWidth="1" min="45" max="45"/>
    <col width="16" customWidth="1" min="46" max="46"/>
    <col width="50" customWidth="1" min="47" max="47"/>
    <col width="18" customWidth="1" min="48" max="48"/>
    <col width="50" customWidth="1" min="49" max="49"/>
    <col width="26" customWidth="1" min="50" max="50"/>
  </cols>
  <sheetData>
    <row r="1" ht="36" customHeight="1">
      <c r="A1" s="1" t="inlineStr">
        <is>
          <t>ID</t>
        </is>
      </c>
      <c r="B1" s="1" t="inlineStr">
        <is>
          <t>Ebene</t>
        </is>
      </c>
      <c r="C1" s="1" t="inlineStr">
        <is>
          <t>Schweiz</t>
        </is>
      </c>
      <c r="D1" s="1" t="inlineStr">
        <is>
          <t>Kanton</t>
        </is>
      </c>
      <c r="E1" s="1" t="inlineStr">
        <is>
          <t>Gemeinde</t>
        </is>
      </c>
      <c r="F1" s="1" t="inlineStr">
        <is>
          <t>C-Dimension</t>
        </is>
      </c>
      <c r="G1" s="1" t="inlineStr">
        <is>
          <t>Themenfeld</t>
        </is>
      </c>
      <c r="H1" s="1" t="inlineStr">
        <is>
          <t>Dokument / Datengrundlage</t>
        </is>
      </c>
      <c r="I1" s="1" t="inlineStr">
        <is>
          <t>Dokumenttyp</t>
        </is>
      </c>
      <c r="J1" s="1" t="inlineStr">
        <is>
          <t>Dokumentstatus</t>
        </is>
      </c>
      <c r="K1" s="1" t="inlineStr">
        <is>
          <t>Rechts- / Verbindlichkeitsstatus</t>
        </is>
      </c>
      <c r="L1" s="1" t="inlineStr">
        <is>
          <t>Herausgeber / Zuständigkeit</t>
        </is>
      </c>
      <c r="M1" s="1" t="inlineStr">
        <is>
          <t>Link / Quelle</t>
        </is>
      </c>
      <c r="N1" s="1" t="inlineStr">
        <is>
          <t>Bezugsjahr / Stand</t>
        </is>
      </c>
      <c r="O1" s="1" t="inlineStr">
        <is>
          <t>Aktualität geprüft am</t>
        </is>
      </c>
      <c r="P1" s="1" t="inlineStr">
        <is>
          <t>Konkrete Aussage / Relevanz</t>
        </is>
      </c>
      <c r="Q1" s="1" t="inlineStr">
        <is>
          <t>Kennzahl / Prüfkriterium</t>
        </is>
      </c>
      <c r="R1" s="1" t="inlineStr">
        <is>
          <t>Erhebungs- / Bewertungsmethode</t>
        </is>
      </c>
      <c r="S1" s="1" t="inlineStr">
        <is>
          <t>Vergleichsmassstab</t>
        </is>
      </c>
      <c r="T1" s="1" t="inlineStr">
        <is>
          <t>Reifegrad / Tragfähigkeit</t>
        </is>
      </c>
      <c r="U1" s="1" t="inlineStr">
        <is>
          <t>Confidence</t>
        </is>
      </c>
      <c r="V1" s="1" t="inlineStr">
        <is>
          <t>Datenlücke / Gemeindeanfrage</t>
        </is>
      </c>
      <c r="W1" s="1" t="inlineStr">
        <is>
          <t>Verbindung A / B / Q</t>
        </is>
      </c>
      <c r="X1" s="1" t="inlineStr">
        <is>
          <t>Sprint-2-Verwendung</t>
        </is>
      </c>
      <c r="Y1" s="1" t="inlineStr">
        <is>
          <t>Prüfstatus / nächste Aktion</t>
        </is>
      </c>
      <c r="Z1" s="1" t="inlineStr">
        <is>
          <t>Herkunft / Nachweis</t>
        </is>
      </c>
      <c r="AA1" s="1" t="inlineStr">
        <is>
          <t>Weitere C-Dimensionen</t>
        </is>
      </c>
      <c r="AB1" s="1" t="inlineStr">
        <is>
          <t>Veröffentlichungsdatum</t>
        </is>
      </c>
      <c r="AC1" s="1" t="inlineStr">
        <is>
          <t>Offizielle Fundstelle</t>
        </is>
      </c>
      <c r="AD1" s="1" t="inlineStr">
        <is>
          <t>Linkstatus</t>
        </is>
      </c>
      <c r="AE1" s="1" t="inlineStr">
        <is>
          <t>HTTP-Status</t>
        </is>
      </c>
      <c r="AF1" s="1" t="inlineStr">
        <is>
          <t>Finale URL (nach Weiterleitung)</t>
        </is>
      </c>
      <c r="AG1" s="1" t="inlineStr">
        <is>
          <t>Dateityp</t>
        </is>
      </c>
      <c r="AH1" s="1" t="inlineStr">
        <is>
          <t>Inhaltsprüfung</t>
        </is>
      </c>
      <c r="AI1" s="1" t="inlineStr">
        <is>
          <t>Inhaltsprüfung – Nachweis</t>
        </is>
      </c>
      <c r="AJ1" s="1" t="inlineStr">
        <is>
          <t>Erkannter Dokumenttitel</t>
        </is>
      </c>
      <c r="AK1" s="1" t="inlineStr">
        <is>
          <t>Erkannte Jahresangaben</t>
        </is>
      </c>
      <c r="AL1" s="1" t="inlineStr">
        <is>
          <t>Linkstabilität</t>
        </is>
      </c>
      <c r="AM1" s="1" t="inlineStr">
        <is>
          <t>Letzte Linkprüfung</t>
        </is>
      </c>
      <c r="AN1" s="1" t="inlineStr">
        <is>
          <t>Quellenverfügbarkeit</t>
        </is>
      </c>
      <c r="AO1" s="1" t="inlineStr">
        <is>
          <t>Einheit / Bezugsjahr</t>
        </is>
      </c>
      <c r="AP1" s="1" t="inlineStr">
        <is>
          <t>Prüfnachweis (belegbare Aussage)</t>
        </is>
      </c>
      <c r="AQ1" s="1" t="inlineStr">
        <is>
          <t>Bewertungsbegründung</t>
        </is>
      </c>
      <c r="AR1" s="1" t="inlineStr">
        <is>
          <t>Gemeindeanfrage erforderlich</t>
        </is>
      </c>
      <c r="AS1" s="1" t="inlineStr">
        <is>
          <t>Zuständige Stelle</t>
        </is>
      </c>
      <c r="AT1" s="1" t="inlineStr">
        <is>
          <t>Bearbeitungsstatus</t>
        </is>
      </c>
      <c r="AU1" s="1" t="inlineStr">
        <is>
          <t>Recherchehinweis</t>
        </is>
      </c>
      <c r="AV1" s="1" t="inlineStr">
        <is>
          <t>Gleiche Quelle wie (ID)</t>
        </is>
      </c>
      <c r="AW1" s="1" t="inlineStr">
        <is>
          <t>Änderungsprotokoll</t>
        </is>
      </c>
      <c r="AX1" s="1" t="inlineStr">
        <is>
          <t>Abgleich mit Gesamtübersicht</t>
        </is>
      </c>
    </row>
    <row r="2" ht="43" customHeight="1">
      <c r="A2" s="2" t="inlineStr">
        <is>
          <t>CH-C1-01</t>
        </is>
      </c>
      <c r="B2" s="13" t="inlineStr">
        <is>
          <t>Bund</t>
        </is>
      </c>
      <c r="C2" s="2" t="inlineStr">
        <is>
          <t>Schweiz</t>
        </is>
      </c>
      <c r="D2" s="2" t="inlineStr">
        <is>
          <t>Alle</t>
        </is>
      </c>
      <c r="E2" s="2" t="inlineStr">
        <is>
          <t>Alle</t>
        </is>
      </c>
      <c r="F2" s="2" t="inlineStr">
        <is>
          <t>C1</t>
        </is>
      </c>
      <c r="G2" s="2" t="inlineStr">
        <is>
          <t>Öffentliche Finanzstatistik</t>
        </is>
      </c>
      <c r="H2" s="2" t="inlineStr">
        <is>
          <t>Finanzstatistik: Daten der Eidgenössischen Finanzverwaltung</t>
        </is>
      </c>
      <c r="I2" s="2" t="inlineStr">
        <is>
          <t>Datenportal</t>
        </is>
      </c>
      <c r="J2" s="2" t="inlineStr">
        <is>
          <t>Offizielle Quelle recherchiert</t>
        </is>
      </c>
      <c r="K2" s="2" t="inlineStr">
        <is>
          <t>Orientierung / Datengrundlage</t>
        </is>
      </c>
      <c r="L2" s="2" t="inlineStr">
        <is>
          <t>Bund</t>
        </is>
      </c>
      <c r="M2" s="5" t="inlineStr">
        <is>
          <t>https://www.efv.admin.ch/de/finanzstatistik-daten</t>
        </is>
      </c>
      <c r="N2" s="2" t="inlineStr">
        <is>
          <t>Zu prüfen</t>
        </is>
      </c>
      <c r="O2" s="2" t="inlineStr">
        <is>
          <t>2026-10-14</t>
        </is>
      </c>
      <c r="P2" s="2" t="inlineStr">
        <is>
          <t>Harmonisierte Finanzstatistik als Kontext und methodische Vergleichsbasis</t>
        </is>
      </c>
      <c r="Q2" s="2" t="inlineStr">
        <is>
          <t>Finanzkennzahlen, Ausgaben, Einnahmen</t>
        </is>
      </c>
      <c r="R2" s="2" t="inlineStr">
        <is>
          <t>Zeitreihen und Aufgabenabgrenzung prüfen</t>
        </is>
      </c>
      <c r="S2" s="2" t="inlineStr">
        <is>
          <t>Kanton × Grössenklasse; Richtwerte</t>
        </is>
      </c>
      <c r="T2" s="2" t="inlineStr">
        <is>
          <t>Noch nicht bewertet</t>
        </is>
      </c>
      <c r="U2" s="2" t="inlineStr">
        <is>
          <t>Hoch</t>
        </is>
      </c>
      <c r="V2" s="2" t="inlineStr"/>
      <c r="W2" s="2" t="inlineStr">
        <is>
          <t>A1/A2; C1</t>
        </is>
      </c>
      <c r="X2" s="2" t="inlineStr">
        <is>
          <t>Finanziellen Spielraum und DYN-Korridor plausibilisieren</t>
        </is>
      </c>
      <c r="Y2" s="2" t="inlineStr">
        <is>
          <t>Dokument auswerten; Aktualität und Geltung prüfen</t>
        </is>
      </c>
      <c r="Z2" s="2" t="inlineStr">
        <is>
          <t>Offizielles Bundesportal; methodische Auswahl</t>
        </is>
      </c>
      <c r="AA2" s="2" t="inlineStr"/>
      <c r="AB2" s="2" t="inlineStr"/>
      <c r="AC2" s="5" t="inlineStr">
        <is>
          <t>https://www.efv.admin.ch/</t>
        </is>
      </c>
      <c r="AD2" s="2" t="inlineStr">
        <is>
          <t>Verifiziert</t>
        </is>
      </c>
      <c r="AE2" s="2" t="inlineStr">
        <is>
          <t>200</t>
        </is>
      </c>
      <c r="AF2" s="2" t="inlineStr"/>
      <c r="AG2" s="2" t="inlineStr">
        <is>
          <t>HTML</t>
        </is>
      </c>
      <c r="AH2" s="2" t="inlineStr">
        <is>
          <t>Bestätigt</t>
        </is>
      </c>
      <c r="AI2" s="2" t="inlineStr">
        <is>
          <t>Schlüsselwörter 1/1 gefunden (Finanzstatistik)</t>
        </is>
      </c>
      <c r="AJ2" s="2" t="inlineStr">
        <is>
          <t>Übersicht über die Daten der Finanzstatistik | Übersicht über die Daten der Finanzstatistik</t>
        </is>
      </c>
      <c r="AK2" s="2" t="inlineStr">
        <is>
          <t>2008, 2026, 2025, 2014</t>
        </is>
      </c>
      <c r="AL2" s="2" t="inlineStr">
        <is>
          <t>Mittel (Webseite)</t>
        </is>
      </c>
      <c r="AM2" s="2" t="inlineStr">
        <is>
          <t>2026-10-14 13:53</t>
        </is>
      </c>
      <c r="AN2" s="2" t="inlineStr">
        <is>
          <t>Öffentlich verfügbar und verifiziert</t>
        </is>
      </c>
      <c r="AO2" s="2" t="inlineStr">
        <is>
          <t>Zu prüfen</t>
        </is>
      </c>
      <c r="AP2" s="2" t="inlineStr">
        <is>
          <t>Belegt Existenz und Zugänglichkeit der Quelle; inhaltliche Aussagen erst nach Auswertung.</t>
        </is>
      </c>
      <c r="AQ2" s="2" t="inlineStr">
        <is>
          <t>Keine Einstufung: Kennzahlen/Befunde noch nicht ausgewertet; Schwellen der Bewertungslogik noch nicht validiert.</t>
        </is>
      </c>
      <c r="AR2" s="2" t="inlineStr">
        <is>
          <t>Nein</t>
        </is>
      </c>
      <c r="AS2" s="2" t="inlineStr">
        <is>
          <t>Bund</t>
        </is>
      </c>
      <c r="AT2" s="2" t="inlineStr">
        <is>
          <t>In Prüfung</t>
        </is>
      </c>
      <c r="AU2" s="2" t="inlineStr"/>
      <c r="AV2" s="2" t="inlineStr"/>
      <c r="AW2" s="2" t="inlineStr"/>
      <c r="AX2" s="2">
        <f>IF(ISNA(MATCH($A2,'Gesamtübersicht'!$A:$A,0)),"ID fehlt in Gesamtübersicht",IF(AND(INDEX('Gesamtübersicht'!$H:$H,MATCH($A2,'Gesamtübersicht'!$A:$A,0))&amp;""=$H2&amp;"",INDEX('Gesamtübersicht'!$M:$M,MATCH($A2,'Gesamtübersicht'!$A:$A,0))&amp;""=$M2&amp;"",INDEX('Gesamtübersicht'!$AD:$AD,MATCH($A2,'Gesamtübersicht'!$A:$A,0))&amp;""=$AD2&amp;"",INDEX('Gesamtübersicht'!$AH:$AH,MATCH($A2,'Gesamtübersicht'!$A:$A,0))&amp;""=$AH2&amp;"",INDEX('Gesamtübersicht'!$T:$T,MATCH($A2,'Gesamtübersicht'!$A:$A,0))&amp;""=$T2&amp;""),"OK","Abweichung – Ansicht neu erzeugen"))</f>
        <v/>
      </c>
    </row>
    <row r="3" ht="43" customHeight="1">
      <c r="A3" s="3" t="inlineStr">
        <is>
          <t>CH-C1-02</t>
        </is>
      </c>
      <c r="B3" s="13" t="inlineStr">
        <is>
          <t>Bund</t>
        </is>
      </c>
      <c r="C3" s="3" t="inlineStr">
        <is>
          <t>Schweiz</t>
        </is>
      </c>
      <c r="D3" s="3" t="inlineStr">
        <is>
          <t>Alle</t>
        </is>
      </c>
      <c r="E3" s="3" t="inlineStr">
        <is>
          <t>Alle</t>
        </is>
      </c>
      <c r="F3" s="3" t="inlineStr">
        <is>
          <t>C1</t>
        </is>
      </c>
      <c r="G3" s="3" t="inlineStr">
        <is>
          <t>Rechnungslegung</t>
        </is>
      </c>
      <c r="H3" s="3" t="inlineStr">
        <is>
          <t>EFV: Methodik und Vergleichbarkeit der Finanzstatistik</t>
        </is>
      </c>
      <c r="I3" s="3" t="inlineStr">
        <is>
          <t>Methodik</t>
        </is>
      </c>
      <c r="J3" s="3" t="inlineStr">
        <is>
          <t>Offizielle Quelle recherchiert</t>
        </is>
      </c>
      <c r="K3" s="3" t="inlineStr">
        <is>
          <t>Orientierung / Datengrundlage</t>
        </is>
      </c>
      <c r="L3" s="3" t="inlineStr">
        <is>
          <t>Bund</t>
        </is>
      </c>
      <c r="M3" s="7" t="inlineStr">
        <is>
          <t>https://www.efv.admin.ch/de/was-ist-die-finanzstatistik</t>
        </is>
      </c>
      <c r="N3" s="3" t="inlineStr">
        <is>
          <t>Zu prüfen</t>
        </is>
      </c>
      <c r="O3" s="3" t="inlineStr">
        <is>
          <t>2026-10-14</t>
        </is>
      </c>
      <c r="P3" s="3" t="inlineStr">
        <is>
          <t>Kantonale Aufgabenverteilung begrenzt Vergleichbarkeit</t>
        </is>
      </c>
      <c r="Q3" s="3" t="inlineStr">
        <is>
          <t>HRM / Aufgabenabgrenzung</t>
        </is>
      </c>
      <c r="R3" s="3" t="inlineStr">
        <is>
          <t>Vergleichbarkeit explizit dokumentieren</t>
        </is>
      </c>
      <c r="S3" s="3" t="inlineStr">
        <is>
          <t>Kanton × Grössenklasse</t>
        </is>
      </c>
      <c r="T3" s="3" t="inlineStr">
        <is>
          <t>Noch nicht bewertet</t>
        </is>
      </c>
      <c r="U3" s="3" t="inlineStr">
        <is>
          <t>Hoch</t>
        </is>
      </c>
      <c r="V3" s="3" t="inlineStr"/>
      <c r="W3" s="3" t="inlineStr">
        <is>
          <t>A1; C1</t>
        </is>
      </c>
      <c r="X3" s="3" t="inlineStr">
        <is>
          <t>Vergleichsregeln absichern</t>
        </is>
      </c>
      <c r="Y3" s="3" t="inlineStr">
        <is>
          <t>Dokument auswerten; Aktualität und Geltung prüfen</t>
        </is>
      </c>
      <c r="Z3" s="3" t="inlineStr">
        <is>
          <t>Offizielles Bundesportal; methodische Auswahl</t>
        </is>
      </c>
      <c r="AA3" s="3" t="inlineStr"/>
      <c r="AB3" s="3" t="inlineStr"/>
      <c r="AC3" s="3" t="inlineStr"/>
      <c r="AD3" s="3" t="inlineStr">
        <is>
          <t>Verifiziert</t>
        </is>
      </c>
      <c r="AE3" s="3" t="inlineStr">
        <is>
          <t>200</t>
        </is>
      </c>
      <c r="AF3" s="3" t="inlineStr"/>
      <c r="AG3" s="3" t="inlineStr">
        <is>
          <t>HTML</t>
        </is>
      </c>
      <c r="AH3" s="3" t="inlineStr">
        <is>
          <t>Bestätigt</t>
        </is>
      </c>
      <c r="AI3" s="3" t="inlineStr">
        <is>
          <t>Schlüsselwörter 1/1 gefunden (Finanzstatistik)</t>
        </is>
      </c>
      <c r="AJ3" s="3" t="inlineStr">
        <is>
          <t>Was ist die Finanzstatistik? | Was ist die Finanzstatistik?</t>
        </is>
      </c>
      <c r="AK3" s="3" t="inlineStr">
        <is>
          <t>2014, 2010, 2026, 2024, 2023, 2025</t>
        </is>
      </c>
      <c r="AL3" s="3" t="inlineStr">
        <is>
          <t>Mittel (Webseite)</t>
        </is>
      </c>
      <c r="AM3" s="3" t="inlineStr">
        <is>
          <t>2026-10-14 13:53</t>
        </is>
      </c>
      <c r="AN3" s="3" t="inlineStr">
        <is>
          <t>Öffentlich verfügbar und verifiziert</t>
        </is>
      </c>
      <c r="AO3" s="3" t="inlineStr">
        <is>
          <t>Zu prüfen</t>
        </is>
      </c>
      <c r="AP3" s="3" t="inlineStr">
        <is>
          <t>Belegt Existenz und Zugänglichkeit der Quelle; inhaltliche Aussagen erst nach Auswertung.</t>
        </is>
      </c>
      <c r="AQ3" s="3" t="inlineStr">
        <is>
          <t>Keine Einstufung: Kennzahlen/Befunde noch nicht ausgewertet; Schwellen der Bewertungslogik noch nicht validiert.</t>
        </is>
      </c>
      <c r="AR3" s="3" t="inlineStr">
        <is>
          <t>Nein</t>
        </is>
      </c>
      <c r="AS3" s="3" t="inlineStr">
        <is>
          <t>Bund</t>
        </is>
      </c>
      <c r="AT3" s="3" t="inlineStr">
        <is>
          <t>In Prüfung</t>
        </is>
      </c>
      <c r="AU3" s="3" t="inlineStr"/>
      <c r="AV3" s="3" t="inlineStr"/>
      <c r="AW3" s="3" t="inlineStr"/>
      <c r="AX3" s="3">
        <f>IF(ISNA(MATCH($A3,'Gesamtübersicht'!$A:$A,0)),"ID fehlt in Gesamtübersicht",IF(AND(INDEX('Gesamtübersicht'!$H:$H,MATCH($A3,'Gesamtübersicht'!$A:$A,0))&amp;""=$H3&amp;"",INDEX('Gesamtübersicht'!$M:$M,MATCH($A3,'Gesamtübersicht'!$A:$A,0))&amp;""=$M3&amp;"",INDEX('Gesamtübersicht'!$AD:$AD,MATCH($A3,'Gesamtübersicht'!$A:$A,0))&amp;""=$AD3&amp;"",INDEX('Gesamtübersicht'!$AH:$AH,MATCH($A3,'Gesamtübersicht'!$A:$A,0))&amp;""=$AH3&amp;"",INDEX('Gesamtübersicht'!$T:$T,MATCH($A3,'Gesamtübersicht'!$A:$A,0))&amp;""=$T3&amp;""),"OK","Abweichung – Ansicht neu erzeugen"))</f>
        <v/>
      </c>
    </row>
    <row r="4" ht="43" customHeight="1">
      <c r="A4" s="2" t="inlineStr">
        <is>
          <t>CH-C1-03</t>
        </is>
      </c>
      <c r="B4" s="13" t="inlineStr">
        <is>
          <t>Bund</t>
        </is>
      </c>
      <c r="C4" s="2" t="inlineStr">
        <is>
          <t>Schweiz</t>
        </is>
      </c>
      <c r="D4" s="2" t="inlineStr">
        <is>
          <t>Alle</t>
        </is>
      </c>
      <c r="E4" s="2" t="inlineStr">
        <is>
          <t>Alle</t>
        </is>
      </c>
      <c r="F4" s="2" t="inlineStr">
        <is>
          <t>C1</t>
        </is>
      </c>
      <c r="G4" s="2" t="inlineStr">
        <is>
          <t>Finanzstatistik Methode</t>
        </is>
      </c>
      <c r="H4" s="2" t="inlineStr">
        <is>
          <t>EFV: Methoden der Finanzstatistik (FS-Modell, HRM2-Zuordnung)</t>
        </is>
      </c>
      <c r="I4" s="2" t="inlineStr">
        <is>
          <t>Methodik</t>
        </is>
      </c>
      <c r="J4" s="2" t="inlineStr">
        <is>
          <t>Webseite</t>
        </is>
      </c>
      <c r="K4" s="2" t="inlineStr">
        <is>
          <t>Methodische Grundlage</t>
        </is>
      </c>
      <c r="L4" s="2" t="inlineStr">
        <is>
          <t>Eidgenössische Finanzverwaltung (EFV)</t>
        </is>
      </c>
      <c r="M4" s="5" t="inlineStr">
        <is>
          <t>https://www.efv.admin.ch/de/methoden-finanzstatistik</t>
        </is>
      </c>
      <c r="N4" s="2" t="inlineStr"/>
      <c r="O4" s="2" t="inlineStr">
        <is>
          <t>2026-10-14</t>
        </is>
      </c>
      <c r="P4" s="2" t="inlineStr">
        <is>
          <t>Definitionen der Kennzahlen und HRM2-Abbildung für Vergleichbarkeit</t>
        </is>
      </c>
      <c r="Q4" s="2" t="inlineStr">
        <is>
          <t>Kennzahlendefinitionen</t>
        </is>
      </c>
      <c r="R4" s="2" t="inlineStr"/>
      <c r="S4" s="2" t="inlineStr">
        <is>
          <t>Kanton × Grössenklasse</t>
        </is>
      </c>
      <c r="T4" s="2" t="inlineStr">
        <is>
          <t>Noch nicht bewertet</t>
        </is>
      </c>
      <c r="U4" s="2" t="inlineStr">
        <is>
          <t>Hoch</t>
        </is>
      </c>
      <c r="V4" s="2" t="inlineStr"/>
      <c r="W4" s="2" t="inlineStr">
        <is>
          <t>C1</t>
        </is>
      </c>
      <c r="X4" s="2" t="inlineStr">
        <is>
          <t>Vergleichsregeln C1</t>
        </is>
      </c>
      <c r="Y4" s="2" t="inlineStr">
        <is>
          <t>Dokument auswerten; Aktualität und Geltung prüfen</t>
        </is>
      </c>
      <c r="Z4" s="2" t="inlineStr">
        <is>
          <t>Automatische Recherche GitHub Actions (Discovery), Fundstelle siehe Spalte Offizielle Fundstelle</t>
        </is>
      </c>
      <c r="AA4" s="2" t="inlineStr"/>
      <c r="AB4" s="2" t="inlineStr"/>
      <c r="AC4" s="5" t="inlineStr">
        <is>
          <t>https://www.efv.admin.ch/de/finanzstatistik-daten</t>
        </is>
      </c>
      <c r="AD4" s="2" t="inlineStr">
        <is>
          <t>Verifiziert</t>
        </is>
      </c>
      <c r="AE4" s="2" t="inlineStr">
        <is>
          <t>200</t>
        </is>
      </c>
      <c r="AF4" s="2" t="inlineStr"/>
      <c r="AG4" s="2" t="inlineStr">
        <is>
          <t>HTML</t>
        </is>
      </c>
      <c r="AH4" s="2" t="inlineStr">
        <is>
          <t>Bestätigt</t>
        </is>
      </c>
      <c r="AI4" s="2" t="inlineStr">
        <is>
          <t>Schlüsselwörter 2/2 gefunden (Methode, Finanzstatistik)</t>
        </is>
      </c>
      <c r="AJ4" s="2" t="inlineStr">
        <is>
          <t>Methoden der Finanzstatistik | Methoden der Finanzstatistik</t>
        </is>
      </c>
      <c r="AK4" s="2" t="inlineStr">
        <is>
          <t>2016, 2026, 2015, 2020, 2014, 2025</t>
        </is>
      </c>
      <c r="AL4" s="2" t="inlineStr">
        <is>
          <t>Mittel (Webseite)</t>
        </is>
      </c>
      <c r="AM4" s="2" t="inlineStr">
        <is>
          <t>2026-10-14 13:54</t>
        </is>
      </c>
      <c r="AN4" s="2" t="inlineStr">
        <is>
          <t>Öffentlich verfügbar und verifiziert</t>
        </is>
      </c>
      <c r="AO4" s="2" t="inlineStr"/>
      <c r="AP4" s="2" t="inlineStr">
        <is>
          <t>Belegt Existenz und Zugänglichkeit der Quelle; inhaltliche Aussagen erst nach Auswertung.</t>
        </is>
      </c>
      <c r="AQ4" s="2" t="inlineStr">
        <is>
          <t>Keine Einstufung: Kennzahlen/Befunde noch nicht ausgewertet; Schwellen der Bewertungslogik noch nicht validiert.</t>
        </is>
      </c>
      <c r="AR4" s="2" t="inlineStr">
        <is>
          <t>Nein</t>
        </is>
      </c>
      <c r="AS4" s="2" t="inlineStr">
        <is>
          <t>Eidgenössische Finanzverwaltung (EFV)</t>
        </is>
      </c>
      <c r="AT4" s="2" t="inlineStr">
        <is>
          <t>In Prüfung</t>
        </is>
      </c>
      <c r="AU4" s="2" t="inlineStr">
        <is>
          <t>Früherer PDF-Link zum FS-Methodenband (efv.admin.ch/dam/…) liefert HTTP 502 (Website-Umbau); Methodenseite über EFV-Finanzstatistik ermittelt.</t>
        </is>
      </c>
      <c r="AV4" s="2" t="inlineStr"/>
      <c r="AW4" s="2" t="inlineStr">
        <is>
          <t>2026-10-14: neu aufgenommen</t>
        </is>
      </c>
      <c r="AX4" s="2">
        <f>IF(ISNA(MATCH($A4,'Gesamtübersicht'!$A:$A,0)),"ID fehlt in Gesamtübersicht",IF(AND(INDEX('Gesamtübersicht'!$H:$H,MATCH($A4,'Gesamtübersicht'!$A:$A,0))&amp;""=$H4&amp;"",INDEX('Gesamtübersicht'!$M:$M,MATCH($A4,'Gesamtübersicht'!$A:$A,0))&amp;""=$M4&amp;"",INDEX('Gesamtübersicht'!$AD:$AD,MATCH($A4,'Gesamtübersicht'!$A:$A,0))&amp;""=$AD4&amp;"",INDEX('Gesamtübersicht'!$AH:$AH,MATCH($A4,'Gesamtübersicht'!$A:$A,0))&amp;""=$AH4&amp;"",INDEX('Gesamtübersicht'!$T:$T,MATCH($A4,'Gesamtübersicht'!$A:$A,0))&amp;""=$T4&amp;""),"OK","Abweichung – Ansicht neu erzeugen"))</f>
        <v/>
      </c>
    </row>
    <row r="5" ht="43" customHeight="1">
      <c r="A5" s="3" t="inlineStr">
        <is>
          <t>CH-C1-04</t>
        </is>
      </c>
      <c r="B5" s="13" t="inlineStr">
        <is>
          <t>Bund</t>
        </is>
      </c>
      <c r="C5" s="3" t="inlineStr">
        <is>
          <t>Schweiz</t>
        </is>
      </c>
      <c r="D5" s="3" t="inlineStr">
        <is>
          <t>Alle</t>
        </is>
      </c>
      <c r="E5" s="3" t="inlineStr">
        <is>
          <t>Alle</t>
        </is>
      </c>
      <c r="F5" s="3" t="inlineStr">
        <is>
          <t>C1</t>
        </is>
      </c>
      <c r="G5" s="3" t="inlineStr">
        <is>
          <t>Finanzdaten Gemeinden</t>
        </is>
      </c>
      <c r="H5" s="3" t="inlineStr">
        <is>
          <t>EFV: Detaillierte Daten FS- und GFS-Modell (Open Government Data)</t>
        </is>
      </c>
      <c r="I5" s="3" t="inlineStr">
        <is>
          <t>Datensatz</t>
        </is>
      </c>
      <c r="J5" s="3" t="inlineStr">
        <is>
          <t>Direktes Dokument</t>
        </is>
      </c>
      <c r="K5" s="3" t="inlineStr">
        <is>
          <t>Datengrundlage</t>
        </is>
      </c>
      <c r="L5" s="3" t="inlineStr">
        <is>
          <t>EFV / opendata.swiss</t>
        </is>
      </c>
      <c r="M5" s="7" t="inlineStr">
        <is>
          <t>https://opendata.swiss/en/dataset/detaillierte-daten-fs-und-gfs-modell-standardauswertungen</t>
        </is>
      </c>
      <c r="N5" s="3" t="inlineStr"/>
      <c r="O5" s="3" t="inlineStr">
        <is>
          <t>2026-10-14</t>
        </is>
      </c>
      <c r="P5" s="3" t="inlineStr">
        <is>
          <t>Maschinenlesbare Finanzdaten für Peer-Vergleich</t>
        </is>
      </c>
      <c r="Q5" s="3" t="inlineStr">
        <is>
          <t>Einnahmen, Ausgaben, Schulden</t>
        </is>
      </c>
      <c r="R5" s="3" t="inlineStr"/>
      <c r="S5" s="3" t="inlineStr">
        <is>
          <t>Kanton × Grössenklasse</t>
        </is>
      </c>
      <c r="T5" s="3" t="inlineStr">
        <is>
          <t>Noch nicht bewertet</t>
        </is>
      </c>
      <c r="U5" s="3" t="inlineStr">
        <is>
          <t>Mittel</t>
        </is>
      </c>
      <c r="V5" s="3" t="inlineStr"/>
      <c r="W5" s="3" t="inlineStr"/>
      <c r="X5" s="3" t="inlineStr"/>
      <c r="Y5" s="3" t="inlineStr">
        <is>
          <t>Dokument auswerten; Aktualität und Geltung prüfen</t>
        </is>
      </c>
      <c r="Z5" s="3" t="inlineStr">
        <is>
          <t>Websuche 14.10.2026 (URL im Suchergebnis gefunden)</t>
        </is>
      </c>
      <c r="AA5" s="3" t="inlineStr"/>
      <c r="AB5" s="3" t="inlineStr"/>
      <c r="AC5" s="3" t="inlineStr"/>
      <c r="AD5" s="3" t="inlineStr">
        <is>
          <t>Verifiziert</t>
        </is>
      </c>
      <c r="AE5" s="3" t="inlineStr">
        <is>
          <t>200</t>
        </is>
      </c>
      <c r="AF5" s="3" t="inlineStr"/>
      <c r="AG5" s="3" t="inlineStr">
        <is>
          <t>HTML</t>
        </is>
      </c>
      <c r="AH5" s="3" t="inlineStr">
        <is>
          <t>Bestätigt</t>
        </is>
      </c>
      <c r="AI5" s="3" t="inlineStr">
        <is>
          <t>Schlüsselwörter 2/2 gefunden (FS, GFS)</t>
        </is>
      </c>
      <c r="AJ5" s="3" t="inlineStr">
        <is>
          <t>Detailed data FS and GFS model: Regular tables | opendata.swiss | Detailed data FS and GFS model: Regular tables</t>
        </is>
      </c>
      <c r="AK5" s="3" t="inlineStr">
        <is>
          <t>2008, 2025, 2014, 2023</t>
        </is>
      </c>
      <c r="AL5" s="3" t="inlineStr">
        <is>
          <t>Mittel (Webseite)</t>
        </is>
      </c>
      <c r="AM5" s="3" t="inlineStr">
        <is>
          <t>2026-10-14 13:54</t>
        </is>
      </c>
      <c r="AN5" s="3" t="inlineStr">
        <is>
          <t>Öffentlich verfügbar und verifiziert</t>
        </is>
      </c>
      <c r="AO5" s="3" t="inlineStr"/>
      <c r="AP5" s="3" t="inlineStr">
        <is>
          <t>Belegt Existenz und Zugänglichkeit der Quelle; inhaltliche Aussagen erst nach Auswertung.</t>
        </is>
      </c>
      <c r="AQ5" s="3" t="inlineStr">
        <is>
          <t>Keine Einstufung: Kennzahlen/Befunde noch nicht ausgewertet; Schwellen der Bewertungslogik noch nicht validiert.</t>
        </is>
      </c>
      <c r="AR5" s="3" t="inlineStr">
        <is>
          <t>Nein</t>
        </is>
      </c>
      <c r="AS5" s="3" t="inlineStr">
        <is>
          <t>EFV / opendata.swiss</t>
        </is>
      </c>
      <c r="AT5" s="3" t="inlineStr">
        <is>
          <t>In Prüfung</t>
        </is>
      </c>
      <c r="AU5" s="3" t="inlineStr"/>
      <c r="AV5" s="3" t="inlineStr"/>
      <c r="AW5" s="3" t="inlineStr">
        <is>
          <t>2026-10-14: neu aufgenommen</t>
        </is>
      </c>
      <c r="AX5" s="3">
        <f>IF(ISNA(MATCH($A5,'Gesamtübersicht'!$A:$A,0)),"ID fehlt in Gesamtübersicht",IF(AND(INDEX('Gesamtübersicht'!$H:$H,MATCH($A5,'Gesamtübersicht'!$A:$A,0))&amp;""=$H5&amp;"",INDEX('Gesamtübersicht'!$M:$M,MATCH($A5,'Gesamtübersicht'!$A:$A,0))&amp;""=$M5&amp;"",INDEX('Gesamtübersicht'!$AD:$AD,MATCH($A5,'Gesamtübersicht'!$A:$A,0))&amp;""=$AD5&amp;"",INDEX('Gesamtübersicht'!$AH:$AH,MATCH($A5,'Gesamtübersicht'!$A:$A,0))&amp;""=$AH5&amp;"",INDEX('Gesamtübersicht'!$T:$T,MATCH($A5,'Gesamtübersicht'!$A:$A,0))&amp;""=$T5&amp;""),"OK","Abweichung – Ansicht neu erzeugen"))</f>
        <v/>
      </c>
    </row>
    <row r="6" ht="43" customHeight="1">
      <c r="A6" s="2" t="inlineStr">
        <is>
          <t>CH-C2-01</t>
        </is>
      </c>
      <c r="B6" s="13" t="inlineStr">
        <is>
          <t>Bund</t>
        </is>
      </c>
      <c r="C6" s="2" t="inlineStr">
        <is>
          <t>Schweiz</t>
        </is>
      </c>
      <c r="D6" s="2" t="inlineStr">
        <is>
          <t>Alle</t>
        </is>
      </c>
      <c r="E6" s="2" t="inlineStr">
        <is>
          <t>Alle</t>
        </is>
      </c>
      <c r="F6" s="2" t="inlineStr">
        <is>
          <t>C2</t>
        </is>
      </c>
      <c r="G6" s="2" t="inlineStr">
        <is>
          <t>Eigentumsrechte</t>
        </is>
      </c>
      <c r="H6" s="2" t="inlineStr">
        <is>
          <t>Schweizerisches Zivilgesetzbuch (ZGB)</t>
        </is>
      </c>
      <c r="I6" s="2" t="inlineStr">
        <is>
          <t>Bundesgesetz</t>
        </is>
      </c>
      <c r="J6" s="2" t="inlineStr">
        <is>
          <t>Offizielle Quelle recherchiert</t>
        </is>
      </c>
      <c r="K6" s="2" t="inlineStr">
        <is>
          <t>Bundesgesetz (verbindlich)</t>
        </is>
      </c>
      <c r="L6" s="2" t="inlineStr">
        <is>
          <t>Bund</t>
        </is>
      </c>
      <c r="M6" s="5" t="inlineStr">
        <is>
          <t>https://www.fedlex.admin.ch/eli/cc/24/233_245_233/de</t>
        </is>
      </c>
      <c r="N6" s="2" t="inlineStr">
        <is>
          <t>SR 210, geltende Fassung</t>
        </is>
      </c>
      <c r="O6" s="2" t="inlineStr">
        <is>
          <t>2026-10-14</t>
        </is>
      </c>
      <c r="P6" s="2" t="inlineStr">
        <is>
          <t>Eigentum, Dienstbarkeiten und Baurechte als rechtlicher Rahmen</t>
        </is>
      </c>
      <c r="Q6" s="2" t="inlineStr">
        <is>
          <t>Baurecht, Dienstbarkeit, Eigentum</t>
        </is>
      </c>
      <c r="R6" s="2" t="inlineStr">
        <is>
          <t>Grundbuch und Verträge gemeindespezifisch prüfen</t>
        </is>
      </c>
      <c r="S6" s="2" t="inlineStr">
        <is>
          <t>Kein Peer-Vergleich</t>
        </is>
      </c>
      <c r="T6" s="2" t="inlineStr">
        <is>
          <t>Noch nicht bewertet</t>
        </is>
      </c>
      <c r="U6" s="2" t="inlineStr">
        <is>
          <t>Hoch</t>
        </is>
      </c>
      <c r="V6" s="2" t="inlineStr"/>
      <c r="W6" s="2" t="inlineStr">
        <is>
          <t>B; Q1</t>
        </is>
      </c>
      <c r="X6" s="2" t="inlineStr">
        <is>
          <t>Bodenmobilisierung / Verfügung prüfen</t>
        </is>
      </c>
      <c r="Y6" s="2" t="inlineStr">
        <is>
          <t>Dokument auswerten; Aktualität und Geltung prüfen</t>
        </is>
      </c>
      <c r="Z6" s="2" t="inlineStr">
        <is>
          <t>Offizielles Bundesportal; methodische Auswahl</t>
        </is>
      </c>
      <c r="AA6" s="2" t="inlineStr"/>
      <c r="AB6" s="2" t="inlineStr"/>
      <c r="AC6" s="2" t="inlineStr"/>
      <c r="AD6" s="2" t="inlineStr">
        <is>
          <t>Verifiziert</t>
        </is>
      </c>
      <c r="AE6" s="2" t="inlineStr">
        <is>
          <t>200</t>
        </is>
      </c>
      <c r="AF6" s="2" t="inlineStr"/>
      <c r="AG6" s="2" t="inlineStr">
        <is>
          <t>HTML</t>
        </is>
      </c>
      <c r="AH6" s="2" t="inlineStr">
        <is>
          <t>Bestätigt</t>
        </is>
      </c>
      <c r="AI6" s="2" t="inlineStr">
        <is>
          <t>Titel via Fedlex-SPARQL (https://fedlex.data.admin.ch/eli/cc/24/233_245_233); Schlüsselwörter 1/1 gefunden (Zivilgesetzbuch)</t>
        </is>
      </c>
      <c r="AJ6" s="2" t="inlineStr">
        <is>
          <t>Schweizerisches Zivilgesetzbuch vom 10. Dezember 1907 (ZGB)</t>
        </is>
      </c>
      <c r="AK6" s="2" t="inlineStr"/>
      <c r="AL6" s="2" t="inlineStr">
        <is>
          <t>Hoch (ELI-Permalink)</t>
        </is>
      </c>
      <c r="AM6" s="2" t="inlineStr">
        <is>
          <t>2026-10-14 13:53</t>
        </is>
      </c>
      <c r="AN6" s="2" t="inlineStr">
        <is>
          <t>Öffentlich verfügbar und verifiziert</t>
        </is>
      </c>
      <c r="AO6" s="2" t="inlineStr">
        <is>
          <t>SR 210, geltende Fassung</t>
        </is>
      </c>
      <c r="AP6" s="2" t="inlineStr">
        <is>
          <t>Belegt Existenz und Zugänglichkeit der Quelle; inhaltliche Aussagen erst nach Auswertung.</t>
        </is>
      </c>
      <c r="AQ6" s="2" t="inlineStr">
        <is>
          <t>Keine Einstufung: Kennzahlen/Befunde noch nicht ausgewertet; Schwellen der Bewertungslogik noch nicht validiert.</t>
        </is>
      </c>
      <c r="AR6" s="2" t="inlineStr">
        <is>
          <t>Nein</t>
        </is>
      </c>
      <c r="AS6" s="2" t="inlineStr">
        <is>
          <t>Bund</t>
        </is>
      </c>
      <c r="AT6" s="2" t="inlineStr">
        <is>
          <t>In Prüfung</t>
        </is>
      </c>
      <c r="AU6" s="2" t="inlineStr"/>
      <c r="AV6" s="2" t="inlineStr"/>
      <c r="AW6" s="2" t="inlineStr"/>
      <c r="AX6" s="2">
        <f>IF(ISNA(MATCH($A6,'Gesamtübersicht'!$A:$A,0)),"ID fehlt in Gesamtübersicht",IF(AND(INDEX('Gesamtübersicht'!$H:$H,MATCH($A6,'Gesamtübersicht'!$A:$A,0))&amp;""=$H6&amp;"",INDEX('Gesamtübersicht'!$M:$M,MATCH($A6,'Gesamtübersicht'!$A:$A,0))&amp;""=$M6&amp;"",INDEX('Gesamtübersicht'!$AD:$AD,MATCH($A6,'Gesamtübersicht'!$A:$A,0))&amp;""=$AD6&amp;"",INDEX('Gesamtübersicht'!$AH:$AH,MATCH($A6,'Gesamtübersicht'!$A:$A,0))&amp;""=$AH6&amp;"",INDEX('Gesamtübersicht'!$T:$T,MATCH($A6,'Gesamtübersicht'!$A:$A,0))&amp;""=$T6&amp;""),"OK","Abweichung – Ansicht neu erzeugen"))</f>
        <v/>
      </c>
    </row>
    <row r="7" ht="43" customHeight="1">
      <c r="A7" s="3" t="inlineStr">
        <is>
          <t>CH-C2-02</t>
        </is>
      </c>
      <c r="B7" s="13" t="inlineStr">
        <is>
          <t>Bund</t>
        </is>
      </c>
      <c r="C7" s="3" t="inlineStr">
        <is>
          <t>Schweiz</t>
        </is>
      </c>
      <c r="D7" s="3" t="inlineStr">
        <is>
          <t>Alle</t>
        </is>
      </c>
      <c r="E7" s="3" t="inlineStr">
        <is>
          <t>Alle</t>
        </is>
      </c>
      <c r="F7" s="3" t="inlineStr">
        <is>
          <t>C2</t>
        </is>
      </c>
      <c r="G7" s="3" t="inlineStr">
        <is>
          <t>Raumplanung / Baulandmobilisierung</t>
        </is>
      </c>
      <c r="H7" s="3" t="inlineStr">
        <is>
          <t>Bundesgesetz über die Raumplanung (RPG), SR 700</t>
        </is>
      </c>
      <c r="I7" s="3" t="inlineStr">
        <is>
          <t>Bundesgesetz</t>
        </is>
      </c>
      <c r="J7" s="3" t="inlineStr">
        <is>
          <t>Direktes Dokument</t>
        </is>
      </c>
      <c r="K7" s="3" t="inlineStr">
        <is>
          <t>Bundesgesetz (verbindlich)</t>
        </is>
      </c>
      <c r="L7" s="3" t="inlineStr">
        <is>
          <t>Bund</t>
        </is>
      </c>
      <c r="M7" s="7" t="inlineStr">
        <is>
          <t>https://www.fedlex.admin.ch/eli/cc/1979/1573_1573_1573/de</t>
        </is>
      </c>
      <c r="N7" s="3" t="inlineStr">
        <is>
          <t>SR 700, geltende Fassung</t>
        </is>
      </c>
      <c r="O7" s="3" t="inlineStr">
        <is>
          <t>2026-10-14</t>
        </is>
      </c>
      <c r="P7" s="3" t="inlineStr">
        <is>
          <t>Art. 15a RPG: Förderung der Verfügbarkeit von Bauland; Mehrwertausgleich Art. 5</t>
        </is>
      </c>
      <c r="Q7" s="3" t="inlineStr">
        <is>
          <t>Bauverpflichtung, Mehrwertabgabe</t>
        </is>
      </c>
      <c r="R7" s="3" t="inlineStr"/>
      <c r="S7" s="3" t="inlineStr">
        <is>
          <t>Kein Peer-Vergleich</t>
        </is>
      </c>
      <c r="T7" s="3" t="inlineStr">
        <is>
          <t>Noch nicht bewertet</t>
        </is>
      </c>
      <c r="U7" s="3" t="inlineStr">
        <is>
          <t>Hoch</t>
        </is>
      </c>
      <c r="V7" s="3" t="inlineStr"/>
      <c r="W7" s="3" t="inlineStr">
        <is>
          <t>B; Q1</t>
        </is>
      </c>
      <c r="X7" s="3" t="inlineStr"/>
      <c r="Y7" s="3" t="inlineStr">
        <is>
          <t>Dokument auswerten; Aktualität und Geltung prüfen</t>
        </is>
      </c>
      <c r="Z7" s="3" t="inlineStr">
        <is>
          <t>ELI-Permalink Fedlex; Identität per Fedlex-SPARQL geprüft</t>
        </is>
      </c>
      <c r="AA7" s="3" t="inlineStr"/>
      <c r="AB7" s="3" t="inlineStr"/>
      <c r="AC7" s="3" t="inlineStr"/>
      <c r="AD7" s="3" t="inlineStr">
        <is>
          <t>Verifiziert</t>
        </is>
      </c>
      <c r="AE7" s="3" t="inlineStr">
        <is>
          <t>200</t>
        </is>
      </c>
      <c r="AF7" s="3" t="inlineStr"/>
      <c r="AG7" s="3" t="inlineStr">
        <is>
          <t>HTML</t>
        </is>
      </c>
      <c r="AH7" s="3" t="inlineStr">
        <is>
          <t>Bestätigt</t>
        </is>
      </c>
      <c r="AI7" s="3" t="inlineStr">
        <is>
          <t>Titel via Fedlex-SPARQL (https://fedlex.data.admin.ch/eli/cc/1979/1573_1573_1573); Schlüsselwörter 1/1 gefunden (Raumplanung)</t>
        </is>
      </c>
      <c r="AJ7" s="3" t="inlineStr">
        <is>
          <t>Bundesgesetz vom 22. Juni 1979 über die Raumplanung (Raumplanungsgesetz, RPG) (RPG)</t>
        </is>
      </c>
      <c r="AK7" s="3" t="inlineStr"/>
      <c r="AL7" s="3" t="inlineStr">
        <is>
          <t>Hoch (ELI-Permalink)</t>
        </is>
      </c>
      <c r="AM7" s="3" t="inlineStr">
        <is>
          <t>2026-10-14 13:54</t>
        </is>
      </c>
      <c r="AN7" s="3" t="inlineStr">
        <is>
          <t>Öffentlich verfügbar und verifiziert</t>
        </is>
      </c>
      <c r="AO7" s="3" t="inlineStr">
        <is>
          <t>SR 700, geltende Fassung</t>
        </is>
      </c>
      <c r="AP7" s="3" t="inlineStr">
        <is>
          <t>Belegt Existenz und Zugänglichkeit der Quelle; inhaltliche Aussagen erst nach Auswertung.</t>
        </is>
      </c>
      <c r="AQ7" s="3" t="inlineStr">
        <is>
          <t>Keine Einstufung: Kennzahlen/Befunde noch nicht ausgewertet; Schwellen der Bewertungslogik noch nicht validiert.</t>
        </is>
      </c>
      <c r="AR7" s="3" t="inlineStr">
        <is>
          <t>Nein</t>
        </is>
      </c>
      <c r="AS7" s="3" t="inlineStr">
        <is>
          <t>Bund</t>
        </is>
      </c>
      <c r="AT7" s="3" t="inlineStr">
        <is>
          <t>In Prüfung</t>
        </is>
      </c>
      <c r="AU7" s="3" t="inlineStr"/>
      <c r="AV7" s="3" t="inlineStr"/>
      <c r="AW7" s="3" t="inlineStr">
        <is>
          <t>2026-10-14: neu aufgenommen</t>
        </is>
      </c>
      <c r="AX7" s="3">
        <f>IF(ISNA(MATCH($A7,'Gesamtübersicht'!$A:$A,0)),"ID fehlt in Gesamtübersicht",IF(AND(INDEX('Gesamtübersicht'!$H:$H,MATCH($A7,'Gesamtübersicht'!$A:$A,0))&amp;""=$H7&amp;"",INDEX('Gesamtübersicht'!$M:$M,MATCH($A7,'Gesamtübersicht'!$A:$A,0))&amp;""=$M7&amp;"",INDEX('Gesamtübersicht'!$AD:$AD,MATCH($A7,'Gesamtübersicht'!$A:$A,0))&amp;""=$AD7&amp;"",INDEX('Gesamtübersicht'!$AH:$AH,MATCH($A7,'Gesamtübersicht'!$A:$A,0))&amp;""=$AH7&amp;"",INDEX('Gesamtübersicht'!$T:$T,MATCH($A7,'Gesamtübersicht'!$A:$A,0))&amp;""=$T7&amp;""),"OK","Abweichung – Ansicht neu erzeugen"))</f>
        <v/>
      </c>
    </row>
    <row r="8" ht="43" customHeight="1">
      <c r="A8" s="2" t="inlineStr">
        <is>
          <t>CH-C3-01</t>
        </is>
      </c>
      <c r="B8" s="13" t="inlineStr">
        <is>
          <t>Bund</t>
        </is>
      </c>
      <c r="C8" s="2" t="inlineStr">
        <is>
          <t>Schweiz</t>
        </is>
      </c>
      <c r="D8" s="2" t="inlineStr">
        <is>
          <t>Alle</t>
        </is>
      </c>
      <c r="E8" s="2" t="inlineStr">
        <is>
          <t>Alle</t>
        </is>
      </c>
      <c r="F8" s="2" t="inlineStr">
        <is>
          <t>C3</t>
        </is>
      </c>
      <c r="G8" s="2" t="inlineStr">
        <is>
          <t>Interkommunale Zusammenarbeit</t>
        </is>
      </c>
      <c r="H8" s="2" t="inlineStr">
        <is>
          <t>Bundesverfassung der Schweizerischen Eidgenossenschaft</t>
        </is>
      </c>
      <c r="I8" s="2" t="inlineStr">
        <is>
          <t>Bundesverfassung</t>
        </is>
      </c>
      <c r="J8" s="2" t="inlineStr">
        <is>
          <t>Offizielle Quelle recherchiert</t>
        </is>
      </c>
      <c r="K8" s="2" t="inlineStr">
        <is>
          <t>Bundesverfassung (verbindlich)</t>
        </is>
      </c>
      <c r="L8" s="2" t="inlineStr">
        <is>
          <t>Bund</t>
        </is>
      </c>
      <c r="M8" s="5" t="inlineStr">
        <is>
          <t>https://www.fedlex.admin.ch/eli/cc/1999/404/de</t>
        </is>
      </c>
      <c r="N8" s="2" t="inlineStr">
        <is>
          <t>SR 101, geltende Fassung</t>
        </is>
      </c>
      <c r="O8" s="2" t="inlineStr">
        <is>
          <t>2026-10-14</t>
        </is>
      </c>
      <c r="P8" s="2" t="inlineStr">
        <is>
          <t>Grundlagen von Föderalismus und Gemeindeautonomie; Details kantonal</t>
        </is>
      </c>
      <c r="Q8" s="2" t="inlineStr">
        <is>
          <t>Zuständigkeits- und Kooperationsregeln</t>
        </is>
      </c>
      <c r="R8" s="2" t="inlineStr">
        <is>
          <t>Kantonale Gemeindeerlasse ergänzen</t>
        </is>
      </c>
      <c r="S8" s="2" t="inlineStr">
        <is>
          <t>Qualitative Reifegradskala</t>
        </is>
      </c>
      <c r="T8" s="2" t="inlineStr">
        <is>
          <t>Noch nicht bewertet</t>
        </is>
      </c>
      <c r="U8" s="2" t="inlineStr">
        <is>
          <t>Hoch</t>
        </is>
      </c>
      <c r="V8" s="2" t="inlineStr"/>
      <c r="W8" s="2" t="inlineStr">
        <is>
          <t>Q6; C4</t>
        </is>
      </c>
      <c r="X8" s="2" t="inlineStr">
        <is>
          <t>Trägerschaft und Kooperation beurteilen</t>
        </is>
      </c>
      <c r="Y8" s="2" t="inlineStr">
        <is>
          <t>Dokument auswerten; Aktualität und Geltung prüfen</t>
        </is>
      </c>
      <c r="Z8" s="2" t="inlineStr">
        <is>
          <t>Offizielles Bundesportal; methodische Auswahl</t>
        </is>
      </c>
      <c r="AA8" s="2" t="inlineStr">
        <is>
          <t>C5</t>
        </is>
      </c>
      <c r="AB8" s="2" t="inlineStr"/>
      <c r="AC8" s="2" t="inlineStr"/>
      <c r="AD8" s="2" t="inlineStr">
        <is>
          <t>Verifiziert</t>
        </is>
      </c>
      <c r="AE8" s="2" t="inlineStr">
        <is>
          <t>200</t>
        </is>
      </c>
      <c r="AF8" s="2" t="inlineStr"/>
      <c r="AG8" s="2" t="inlineStr">
        <is>
          <t>HTML</t>
        </is>
      </c>
      <c r="AH8" s="2" t="inlineStr">
        <is>
          <t>Bestätigt</t>
        </is>
      </c>
      <c r="AI8" s="2" t="inlineStr">
        <is>
          <t>Titel via Fedlex-SPARQL (https://fedlex.data.admin.ch/eli/cc/1999/404); Schlüsselwörter 1/1 gefunden (Bundesverfassung)</t>
        </is>
      </c>
      <c r="AJ8" s="2" t="inlineStr">
        <is>
          <t>Bundesverfassung der Schweizerischen Eidgenossenschaft vom 18. April 1999 (BV)</t>
        </is>
      </c>
      <c r="AK8" s="2" t="inlineStr"/>
      <c r="AL8" s="2" t="inlineStr">
        <is>
          <t>Hoch (ELI-Permalink)</t>
        </is>
      </c>
      <c r="AM8" s="2" t="inlineStr">
        <is>
          <t>2026-10-14 13:53</t>
        </is>
      </c>
      <c r="AN8" s="2" t="inlineStr">
        <is>
          <t>Öffentlich verfügbar und verifiziert</t>
        </is>
      </c>
      <c r="AO8" s="2" t="inlineStr">
        <is>
          <t>SR 101, geltende Fassung</t>
        </is>
      </c>
      <c r="AP8" s="2" t="inlineStr">
        <is>
          <t>Belegt Existenz und Zugänglichkeit der Quelle; inhaltliche Aussagen erst nach Auswertung.</t>
        </is>
      </c>
      <c r="AQ8" s="2" t="inlineStr">
        <is>
          <t>Keine Einstufung: Kennzahlen/Befunde noch nicht ausgewertet; Schwellen der Bewertungslogik noch nicht validiert.</t>
        </is>
      </c>
      <c r="AR8" s="2" t="inlineStr">
        <is>
          <t>Nein</t>
        </is>
      </c>
      <c r="AS8" s="2" t="inlineStr">
        <is>
          <t>Bund</t>
        </is>
      </c>
      <c r="AT8" s="2" t="inlineStr">
        <is>
          <t>In Prüfung</t>
        </is>
      </c>
      <c r="AU8" s="2" t="inlineStr"/>
      <c r="AV8" s="2" t="inlineStr">
        <is>
          <t>CH-C5-01</t>
        </is>
      </c>
      <c r="AW8" s="2" t="inlineStr"/>
      <c r="AX8" s="2">
        <f>IF(ISNA(MATCH($A8,'Gesamtübersicht'!$A:$A,0)),"ID fehlt in Gesamtübersicht",IF(AND(INDEX('Gesamtübersicht'!$H:$H,MATCH($A8,'Gesamtübersicht'!$A:$A,0))&amp;""=$H8&amp;"",INDEX('Gesamtübersicht'!$M:$M,MATCH($A8,'Gesamtübersicht'!$A:$A,0))&amp;""=$M8&amp;"",INDEX('Gesamtübersicht'!$AD:$AD,MATCH($A8,'Gesamtübersicht'!$A:$A,0))&amp;""=$AD8&amp;"",INDEX('Gesamtübersicht'!$AH:$AH,MATCH($A8,'Gesamtübersicht'!$A:$A,0))&amp;""=$AH8&amp;"",INDEX('Gesamtübersicht'!$T:$T,MATCH($A8,'Gesamtübersicht'!$A:$A,0))&amp;""=$T8&amp;""),"OK","Abweichung – Ansicht neu erzeugen"))</f>
        <v/>
      </c>
    </row>
    <row r="9" ht="43" customHeight="1">
      <c r="A9" s="3" t="inlineStr">
        <is>
          <t>CH-C4-01</t>
        </is>
      </c>
      <c r="B9" s="13" t="inlineStr">
        <is>
          <t>Bund</t>
        </is>
      </c>
      <c r="C9" s="3" t="inlineStr">
        <is>
          <t>Schweiz</t>
        </is>
      </c>
      <c r="D9" s="3" t="inlineStr">
        <is>
          <t>Alle</t>
        </is>
      </c>
      <c r="E9" s="3" t="inlineStr">
        <is>
          <t>Alle</t>
        </is>
      </c>
      <c r="F9" s="3" t="inlineStr">
        <is>
          <t>C4</t>
        </is>
      </c>
      <c r="G9" s="3" t="inlineStr">
        <is>
          <t>Öffentliche Beschaffung</t>
        </is>
      </c>
      <c r="H9" s="3" t="inlineStr">
        <is>
          <t>Bundesgesetz über das öffentliche Beschaffungswesen (BöB)</t>
        </is>
      </c>
      <c r="I9" s="3" t="inlineStr">
        <is>
          <t>Bundesgesetz</t>
        </is>
      </c>
      <c r="J9" s="3" t="inlineStr">
        <is>
          <t>Offizielle Quelle recherchiert</t>
        </is>
      </c>
      <c r="K9" s="3" t="inlineStr">
        <is>
          <t>Bundesgesetz (verbindlich für Bundesbeschaffungen; Gemeinden: IVöB/kantonales Recht)</t>
        </is>
      </c>
      <c r="L9" s="3" t="inlineStr">
        <is>
          <t>Bund</t>
        </is>
      </c>
      <c r="M9" s="7" t="inlineStr">
        <is>
          <t>https://www.fedlex.admin.ch/eli/cc/2020/126/de</t>
        </is>
      </c>
      <c r="N9" s="3" t="inlineStr">
        <is>
          <t>SR 172.056.1, geltende Fassung</t>
        </is>
      </c>
      <c r="O9" s="3" t="inlineStr">
        <is>
          <t>2026-10-14</t>
        </is>
      </c>
      <c r="P9" s="3" t="inlineStr">
        <is>
          <t>Beschaffungsrechtlicher Orientierungsrahmen; kommunale Geltung kantonal prüfen</t>
        </is>
      </c>
      <c r="Q9" s="3" t="inlineStr">
        <is>
          <t>Beschaffungsprozess, Zuständigkeit</t>
        </is>
      </c>
      <c r="R9" s="3" t="inlineStr">
        <is>
          <t>Kantonales Beschaffungsrecht vorrangig auf Geltung prüfen</t>
        </is>
      </c>
      <c r="S9" s="3" t="inlineStr">
        <is>
          <t>Qualitative Reifegradskala</t>
        </is>
      </c>
      <c r="T9" s="3" t="inlineStr">
        <is>
          <t>Noch nicht bewertet</t>
        </is>
      </c>
      <c r="U9" s="3" t="inlineStr">
        <is>
          <t>Hoch</t>
        </is>
      </c>
      <c r="V9" s="3" t="inlineStr"/>
      <c r="W9" s="3" t="inlineStr">
        <is>
          <t>Q6; C3</t>
        </is>
      </c>
      <c r="X9" s="3" t="inlineStr">
        <is>
          <t>Bestellerkompetenz / Umsetzungsorganisation</t>
        </is>
      </c>
      <c r="Y9" s="3" t="inlineStr">
        <is>
          <t>Dokument auswerten; Aktualität und Geltung prüfen</t>
        </is>
      </c>
      <c r="Z9" s="3" t="inlineStr">
        <is>
          <t>Offizielles Bundesportal; methodische Auswahl</t>
        </is>
      </c>
      <c r="AA9" s="3" t="inlineStr"/>
      <c r="AB9" s="3" t="inlineStr"/>
      <c r="AC9" s="3" t="inlineStr"/>
      <c r="AD9" s="3" t="inlineStr">
        <is>
          <t>Verifiziert</t>
        </is>
      </c>
      <c r="AE9" s="3" t="inlineStr">
        <is>
          <t>200</t>
        </is>
      </c>
      <c r="AF9" s="3" t="inlineStr"/>
      <c r="AG9" s="3" t="inlineStr">
        <is>
          <t>HTML</t>
        </is>
      </c>
      <c r="AH9" s="3" t="inlineStr">
        <is>
          <t>Bestätigt</t>
        </is>
      </c>
      <c r="AI9" s="3" t="inlineStr">
        <is>
          <t>Titel via Fedlex-SPARQL (https://fedlex.data.admin.ch/eli/cc/2020/126); Schlüsselwörter 1/1 gefunden (öffentliche Beschaffungswesen)</t>
        </is>
      </c>
      <c r="AJ9" s="3" t="inlineStr">
        <is>
          <t>Bundesgesetz vom 21. Juni 2019 über das öffentliche Beschaffungswesen (BöB) (BöB)</t>
        </is>
      </c>
      <c r="AK9" s="3" t="inlineStr">
        <is>
          <t>2019</t>
        </is>
      </c>
      <c r="AL9" s="3" t="inlineStr">
        <is>
          <t>Hoch (ELI-Permalink)</t>
        </is>
      </c>
      <c r="AM9" s="3" t="inlineStr">
        <is>
          <t>2026-10-14 13:53</t>
        </is>
      </c>
      <c r="AN9" s="3" t="inlineStr">
        <is>
          <t>Öffentlich verfügbar und verifiziert</t>
        </is>
      </c>
      <c r="AO9" s="3" t="inlineStr">
        <is>
          <t>SR 172.056.1, geltende Fassung</t>
        </is>
      </c>
      <c r="AP9" s="3" t="inlineStr">
        <is>
          <t>Belegt Existenz und Zugänglichkeit der Quelle; inhaltliche Aussagen erst nach Auswertung.</t>
        </is>
      </c>
      <c r="AQ9" s="3" t="inlineStr">
        <is>
          <t>Keine Einstufung: Kennzahlen/Befunde noch nicht ausgewertet; Schwellen der Bewertungslogik noch nicht validiert.</t>
        </is>
      </c>
      <c r="AR9" s="3" t="inlineStr">
        <is>
          <t>Nein</t>
        </is>
      </c>
      <c r="AS9" s="3" t="inlineStr">
        <is>
          <t>Bund</t>
        </is>
      </c>
      <c r="AT9" s="3" t="inlineStr">
        <is>
          <t>In Prüfung</t>
        </is>
      </c>
      <c r="AU9" s="3" t="inlineStr"/>
      <c r="AV9" s="3" t="inlineStr"/>
      <c r="AW9" s="3" t="inlineStr"/>
      <c r="AX9" s="3">
        <f>IF(ISNA(MATCH($A9,'Gesamtübersicht'!$A:$A,0)),"ID fehlt in Gesamtübersicht",IF(AND(INDEX('Gesamtübersicht'!$H:$H,MATCH($A9,'Gesamtübersicht'!$A:$A,0))&amp;""=$H9&amp;"",INDEX('Gesamtübersicht'!$M:$M,MATCH($A9,'Gesamtübersicht'!$A:$A,0))&amp;""=$M9&amp;"",INDEX('Gesamtübersicht'!$AD:$AD,MATCH($A9,'Gesamtübersicht'!$A:$A,0))&amp;""=$AD9&amp;"",INDEX('Gesamtübersicht'!$AH:$AH,MATCH($A9,'Gesamtübersicht'!$A:$A,0))&amp;""=$AH9&amp;"",INDEX('Gesamtübersicht'!$T:$T,MATCH($A9,'Gesamtübersicht'!$A:$A,0))&amp;""=$T9&amp;""),"OK","Abweichung – Ansicht neu erzeugen"))</f>
        <v/>
      </c>
    </row>
    <row r="10" ht="43" customHeight="1">
      <c r="A10" s="2" t="inlineStr">
        <is>
          <t>CH-C4-02</t>
        </is>
      </c>
      <c r="B10" s="13" t="inlineStr">
        <is>
          <t>Bund</t>
        </is>
      </c>
      <c r="C10" s="2" t="inlineStr">
        <is>
          <t>Schweiz</t>
        </is>
      </c>
      <c r="D10" s="2" t="inlineStr">
        <is>
          <t>Alle</t>
        </is>
      </c>
      <c r="E10" s="2" t="inlineStr">
        <is>
          <t>Alle</t>
        </is>
      </c>
      <c r="F10" s="2" t="inlineStr">
        <is>
          <t>C4</t>
        </is>
      </c>
      <c r="G10" s="2" t="inlineStr">
        <is>
          <t>Gemeindekennzahlen</t>
        </is>
      </c>
      <c r="H10" s="2" t="inlineStr">
        <is>
          <t>BFS: Regionalporträts – Kennzahlen aller Gemeinden (Datensatz)</t>
        </is>
      </c>
      <c r="I10" s="2" t="inlineStr">
        <is>
          <t>Datensatz</t>
        </is>
      </c>
      <c r="J10" s="2" t="inlineStr">
        <is>
          <t>Direktes Dokument</t>
        </is>
      </c>
      <c r="K10" s="2" t="inlineStr">
        <is>
          <t>Datengrundlage</t>
        </is>
      </c>
      <c r="L10" s="2" t="inlineStr">
        <is>
          <t>Bundesamt für Statistik (BFS)</t>
        </is>
      </c>
      <c r="M10" s="5" t="inlineStr">
        <is>
          <t>https://ckan.opendata.swiss/dataset/regionalportrats-2021-kennzahlen-aller-gemeinden</t>
        </is>
      </c>
      <c r="N10" s="2" t="inlineStr">
        <is>
          <t>2021 (neuere Ausgabe prüfen)</t>
        </is>
      </c>
      <c r="O10" s="2" t="inlineStr">
        <is>
          <t>2026-10-14</t>
        </is>
      </c>
      <c r="P10" s="2" t="inlineStr">
        <is>
          <t>Strukturdaten (Einwohner, Fläche) zur Bildung der Grössenklassen</t>
        </is>
      </c>
      <c r="Q10" s="2" t="inlineStr"/>
      <c r="R10" s="2" t="inlineStr"/>
      <c r="S10" s="2" t="inlineStr">
        <is>
          <t>Grössenklasse</t>
        </is>
      </c>
      <c r="T10" s="2" t="inlineStr">
        <is>
          <t>Noch nicht bewertet</t>
        </is>
      </c>
      <c r="U10" s="2" t="inlineStr">
        <is>
          <t>Mittel</t>
        </is>
      </c>
      <c r="V10" s="2" t="inlineStr"/>
      <c r="W10" s="2" t="inlineStr"/>
      <c r="X10" s="2" t="inlineStr"/>
      <c r="Y10" s="2" t="inlineStr">
        <is>
          <t>Dokument auswerten; Aktualität und Geltung prüfen</t>
        </is>
      </c>
      <c r="Z10" s="2" t="inlineStr">
        <is>
          <t>Websuche 14.10.2026 (URL im Suchergebnis gefunden)</t>
        </is>
      </c>
      <c r="AA10" s="2" t="inlineStr">
        <is>
          <t>C1</t>
        </is>
      </c>
      <c r="AB10" s="2" t="inlineStr"/>
      <c r="AC10" s="2" t="inlineStr"/>
      <c r="AD10" s="2" t="inlineStr">
        <is>
          <t>Verifiziert</t>
        </is>
      </c>
      <c r="AE10" s="2" t="inlineStr">
        <is>
          <t>200</t>
        </is>
      </c>
      <c r="AF10" s="2" t="inlineStr"/>
      <c r="AG10" s="2" t="inlineStr">
        <is>
          <t>HTML</t>
        </is>
      </c>
      <c r="AH10" s="2" t="inlineStr">
        <is>
          <t>Bestätigt</t>
        </is>
      </c>
      <c r="AI10" s="2" t="inlineStr">
        <is>
          <t>Schlüsselwörter 1/1 gefunden (Regionalporträts)</t>
        </is>
      </c>
      <c r="AJ10" s="2" t="inlineStr">
        <is>
          <t>Regional portraits 2021: key data of all communes - Dataset - opendata.swiss | Regional portraits 2021: key data of all communes</t>
        </is>
      </c>
      <c r="AK10" s="2" t="inlineStr">
        <is>
          <t>2021, 2019, 2004</t>
        </is>
      </c>
      <c r="AL10" s="2" t="inlineStr">
        <is>
          <t>Mittel (Webseite)</t>
        </is>
      </c>
      <c r="AM10" s="2" t="inlineStr">
        <is>
          <t>2026-10-14 13:54</t>
        </is>
      </c>
      <c r="AN10" s="2" t="inlineStr">
        <is>
          <t>Öffentlich verfügbar und verifiziert</t>
        </is>
      </c>
      <c r="AO10" s="2" t="inlineStr">
        <is>
          <t>2021 (neuere Ausgabe prüfen)</t>
        </is>
      </c>
      <c r="AP10" s="2" t="inlineStr">
        <is>
          <t>Belegt Existenz und Zugänglichkeit der Quelle; inhaltliche Aussagen erst nach Auswertung.</t>
        </is>
      </c>
      <c r="AQ10" s="2" t="inlineStr">
        <is>
          <t>Keine Einstufung: Kennzahlen/Befunde noch nicht ausgewertet; Schwellen der Bewertungslogik noch nicht validiert.</t>
        </is>
      </c>
      <c r="AR10" s="2" t="inlineStr">
        <is>
          <t>Nein</t>
        </is>
      </c>
      <c r="AS10" s="2" t="inlineStr">
        <is>
          <t>Bundesamt für Statistik (BFS)</t>
        </is>
      </c>
      <c r="AT10" s="2" t="inlineStr">
        <is>
          <t>In Prüfung</t>
        </is>
      </c>
      <c r="AU10" s="2" t="inlineStr">
        <is>
          <t>Ausgabe 2021; aktuelle Ausgabe beim BFS prüfen.</t>
        </is>
      </c>
      <c r="AV10" s="2" t="inlineStr"/>
      <c r="AW10" s="2" t="inlineStr">
        <is>
          <t>2026-10-14: neu aufgenommen</t>
        </is>
      </c>
      <c r="AX10" s="2">
        <f>IF(ISNA(MATCH($A10,'Gesamtübersicht'!$A:$A,0)),"ID fehlt in Gesamtübersicht",IF(AND(INDEX('Gesamtübersicht'!$H:$H,MATCH($A10,'Gesamtübersicht'!$A:$A,0))&amp;""=$H10&amp;"",INDEX('Gesamtübersicht'!$M:$M,MATCH($A10,'Gesamtübersicht'!$A:$A,0))&amp;""=$M10&amp;"",INDEX('Gesamtübersicht'!$AD:$AD,MATCH($A10,'Gesamtübersicht'!$A:$A,0))&amp;""=$AD10&amp;"",INDEX('Gesamtübersicht'!$AH:$AH,MATCH($A10,'Gesamtübersicht'!$A:$A,0))&amp;""=$AH10&amp;"",INDEX('Gesamtübersicht'!$T:$T,MATCH($A10,'Gesamtübersicht'!$A:$A,0))&amp;""=$T10&amp;""),"OK","Abweichung – Ansicht neu erzeugen"))</f>
        <v/>
      </c>
    </row>
    <row r="11" ht="43" customHeight="1">
      <c r="A11" s="3" t="inlineStr">
        <is>
          <t>CH-C5-01</t>
        </is>
      </c>
      <c r="B11" s="13" t="inlineStr">
        <is>
          <t>Bund</t>
        </is>
      </c>
      <c r="C11" s="3" t="inlineStr">
        <is>
          <t>Schweiz</t>
        </is>
      </c>
      <c r="D11" s="3" t="inlineStr">
        <is>
          <t>Alle</t>
        </is>
      </c>
      <c r="E11" s="3" t="inlineStr">
        <is>
          <t>Alle</t>
        </is>
      </c>
      <c r="F11" s="3" t="inlineStr">
        <is>
          <t>C5</t>
        </is>
      </c>
      <c r="G11" s="3" t="inlineStr">
        <is>
          <t>Politische Rechte</t>
        </is>
      </c>
      <c r="H11" s="3" t="inlineStr">
        <is>
          <t>Bundesverfassung der Schweizerischen Eidgenossenschaft</t>
        </is>
      </c>
      <c r="I11" s="3" t="inlineStr">
        <is>
          <t>Bundesverfassung</t>
        </is>
      </c>
      <c r="J11" s="3" t="inlineStr">
        <is>
          <t>Offizielle Quelle recherchiert</t>
        </is>
      </c>
      <c r="K11" s="3" t="inlineStr">
        <is>
          <t>Bundesverfassung (verbindlich)</t>
        </is>
      </c>
      <c r="L11" s="3" t="inlineStr">
        <is>
          <t>Bund</t>
        </is>
      </c>
      <c r="M11" s="7" t="inlineStr">
        <is>
          <t>https://www.fedlex.admin.ch/eli/cc/1999/404/de</t>
        </is>
      </c>
      <c r="N11" s="3" t="inlineStr">
        <is>
          <t>SR 101, geltende Fassung</t>
        </is>
      </c>
      <c r="O11" s="3" t="inlineStr">
        <is>
          <t>2026-10-14</t>
        </is>
      </c>
      <c r="P11" s="3" t="inlineStr">
        <is>
          <t>Demokratische Grundrechte und Beteiligung; konkrete kommunale Verfahren kantonal</t>
        </is>
      </c>
      <c r="Q11" s="3" t="inlineStr">
        <is>
          <t>Mitwirkung / Legitimation</t>
        </is>
      </c>
      <c r="R11" s="3" t="inlineStr">
        <is>
          <t>Kommunale und kantonale Bestimmungen ergänzen</t>
        </is>
      </c>
      <c r="S11" s="3" t="inlineStr">
        <is>
          <t>Qualitative Reifegradskala</t>
        </is>
      </c>
      <c r="T11" s="3" t="inlineStr">
        <is>
          <t>Noch nicht bewertet</t>
        </is>
      </c>
      <c r="U11" s="3" t="inlineStr">
        <is>
          <t>Hoch</t>
        </is>
      </c>
      <c r="V11" s="3" t="inlineStr"/>
      <c r="W11" s="3" t="inlineStr">
        <is>
          <t>Q1; C3</t>
        </is>
      </c>
      <c r="X11" s="3" t="inlineStr">
        <is>
          <t>Politische Machbarkeit</t>
        </is>
      </c>
      <c r="Y11" s="3" t="inlineStr">
        <is>
          <t>Dokument auswerten; Aktualität und Geltung prüfen</t>
        </is>
      </c>
      <c r="Z11" s="3" t="inlineStr">
        <is>
          <t>Offizielles Bundesportal; methodische Auswahl</t>
        </is>
      </c>
      <c r="AA11" s="3" t="inlineStr">
        <is>
          <t>C3</t>
        </is>
      </c>
      <c r="AB11" s="3" t="inlineStr"/>
      <c r="AC11" s="3" t="inlineStr"/>
      <c r="AD11" s="3" t="inlineStr">
        <is>
          <t>Verifiziert</t>
        </is>
      </c>
      <c r="AE11" s="3" t="inlineStr">
        <is>
          <t>200</t>
        </is>
      </c>
      <c r="AF11" s="3" t="inlineStr"/>
      <c r="AG11" s="3" t="inlineStr">
        <is>
          <t>HTML</t>
        </is>
      </c>
      <c r="AH11" s="3" t="inlineStr">
        <is>
          <t>Bestätigt</t>
        </is>
      </c>
      <c r="AI11" s="3" t="inlineStr">
        <is>
          <t>Titel via Fedlex-SPARQL (https://fedlex.data.admin.ch/eli/cc/1999/404); Schlüsselwörter 1/1 gefunden (Bundesverfassung)</t>
        </is>
      </c>
      <c r="AJ11" s="3" t="inlineStr">
        <is>
          <t>Bundesverfassung der Schweizerischen Eidgenossenschaft vom 18. April 1999 (BV)</t>
        </is>
      </c>
      <c r="AK11" s="3" t="inlineStr"/>
      <c r="AL11" s="3" t="inlineStr">
        <is>
          <t>Hoch (ELI-Permalink)</t>
        </is>
      </c>
      <c r="AM11" s="3" t="inlineStr">
        <is>
          <t>2026-10-14 13:53</t>
        </is>
      </c>
      <c r="AN11" s="3" t="inlineStr">
        <is>
          <t>Öffentlich verfügbar und verifiziert</t>
        </is>
      </c>
      <c r="AO11" s="3" t="inlineStr">
        <is>
          <t>SR 101, geltende Fassung</t>
        </is>
      </c>
      <c r="AP11" s="3" t="inlineStr">
        <is>
          <t>Belegt Existenz und Zugänglichkeit der Quelle; inhaltliche Aussagen erst nach Auswertung.</t>
        </is>
      </c>
      <c r="AQ11" s="3" t="inlineStr">
        <is>
          <t>Keine Einstufung: Kennzahlen/Befunde noch nicht ausgewertet; Schwellen der Bewertungslogik noch nicht validiert.</t>
        </is>
      </c>
      <c r="AR11" s="3" t="inlineStr">
        <is>
          <t>Nein</t>
        </is>
      </c>
      <c r="AS11" s="3" t="inlineStr">
        <is>
          <t>Bund</t>
        </is>
      </c>
      <c r="AT11" s="3" t="inlineStr">
        <is>
          <t>In Prüfung</t>
        </is>
      </c>
      <c r="AU11" s="3" t="inlineStr">
        <is>
          <t>Gleiche Quelle wie CH-C3-01; bewusst doppelt geführt (Zuordnung C5 politische Rechte).</t>
        </is>
      </c>
      <c r="AV11" s="3" t="inlineStr">
        <is>
          <t>CH-C3-01</t>
        </is>
      </c>
      <c r="AW11" s="3" t="inlineStr"/>
      <c r="AX11" s="3">
        <f>IF(ISNA(MATCH($A11,'Gesamtübersicht'!$A:$A,0)),"ID fehlt in Gesamtübersicht",IF(AND(INDEX('Gesamtübersicht'!$H:$H,MATCH($A11,'Gesamtübersicht'!$A:$A,0))&amp;""=$H11&amp;"",INDEX('Gesamtübersicht'!$M:$M,MATCH($A11,'Gesamtübersicht'!$A:$A,0))&amp;""=$M11&amp;"",INDEX('Gesamtübersicht'!$AD:$AD,MATCH($A11,'Gesamtübersicht'!$A:$A,0))&amp;""=$AD11&amp;"",INDEX('Gesamtübersicht'!$AH:$AH,MATCH($A11,'Gesamtübersicht'!$A:$A,0))&amp;""=$AH11&amp;"",INDEX('Gesamtübersicht'!$T:$T,MATCH($A11,'Gesamtübersicht'!$A:$A,0))&amp;""=$T11&amp;""),"OK","Abweichung – Ansicht neu erzeugen"))</f>
        <v/>
      </c>
    </row>
    <row r="12" ht="43" customHeight="1">
      <c r="A12" s="2" t="inlineStr">
        <is>
          <t>SG-C1-01</t>
        </is>
      </c>
      <c r="B12" s="14" t="inlineStr">
        <is>
          <t>Kanton</t>
        </is>
      </c>
      <c r="C12" s="2" t="inlineStr">
        <is>
          <t>Schweiz</t>
        </is>
      </c>
      <c r="D12" s="2" t="inlineStr">
        <is>
          <t>St. Gallen</t>
        </is>
      </c>
      <c r="E12" s="2" t="inlineStr">
        <is>
          <t>Alle</t>
        </is>
      </c>
      <c r="F12" s="2" t="inlineStr">
        <is>
          <t>C1</t>
        </is>
      </c>
      <c r="G12" s="2" t="inlineStr">
        <is>
          <t>Gemeindefinanzen</t>
        </is>
      </c>
      <c r="H12" s="2" t="inlineStr">
        <is>
          <t>Kanton St. Gallen, Amt für Gemeinden: Rechnungslegung (RMSG) / Gemeindefinanzen</t>
        </is>
      </c>
      <c r="I12" s="2" t="inlineStr">
        <is>
          <t>Behördeninformation</t>
        </is>
      </c>
      <c r="J12" s="2" t="inlineStr">
        <is>
          <t>Offizielle Quelle recherchiert</t>
        </is>
      </c>
      <c r="K12" s="2" t="inlineStr">
        <is>
          <t>Orientierung / Datengrundlage</t>
        </is>
      </c>
      <c r="L12" s="2" t="inlineStr">
        <is>
          <t>Kanton St. Gallen, Amt für Gemeinden</t>
        </is>
      </c>
      <c r="M12" s="5" t="inlineStr">
        <is>
          <t>https://www.sg.ch/politik-verwaltung/gemeinden/gemeindefinanzen/rechnungslegung--rmsg-.html</t>
        </is>
      </c>
      <c r="N12" s="2" t="inlineStr">
        <is>
          <t>Zu prüfen</t>
        </is>
      </c>
      <c r="O12" s="2" t="inlineStr">
        <is>
          <t>2026-10-14</t>
        </is>
      </c>
      <c r="P12" s="2" t="inlineStr">
        <is>
          <t>Finanzdaten als kantonaler Einstieg</t>
        </is>
      </c>
      <c r="Q12" s="2" t="inlineStr">
        <is>
          <t>Selbstfinanzierung, Verschuldung</t>
        </is>
      </c>
      <c r="R12" s="2" t="inlineStr">
        <is>
          <t>SG- und Wil-Werte mit kantonaler Rechnungslegung abgleichen</t>
        </is>
      </c>
      <c r="S12" s="2" t="inlineStr">
        <is>
          <t>Kanton × Grössenklasse</t>
        </is>
      </c>
      <c r="T12" s="2" t="inlineStr">
        <is>
          <t>Noch nicht bewertet</t>
        </is>
      </c>
      <c r="U12" s="2" t="inlineStr">
        <is>
          <t>Mittel</t>
        </is>
      </c>
      <c r="V12" s="2" t="inlineStr">
        <is>
          <t>Geltende kantonale Detailgrundlage und Datenstand prüfen</t>
        </is>
      </c>
      <c r="W12" s="2" t="inlineStr">
        <is>
          <t>A1; C1</t>
        </is>
      </c>
      <c r="X12" s="2" t="inlineStr">
        <is>
          <t>Finanztragfähigkeit</t>
        </is>
      </c>
      <c r="Y12" s="2" t="inlineStr">
        <is>
          <t>Dokument auswerten; Aktualität und Geltung prüfen</t>
        </is>
      </c>
      <c r="Z12" s="2" t="inlineStr">
        <is>
          <t>Webrecherche 14.10.2026</t>
        </is>
      </c>
      <c r="AA12" s="2" t="inlineStr"/>
      <c r="AB12" s="2" t="inlineStr"/>
      <c r="AC12" s="2" t="inlineStr"/>
      <c r="AD12" s="2" t="inlineStr">
        <is>
          <t>Verifiziert</t>
        </is>
      </c>
      <c r="AE12" s="2" t="inlineStr">
        <is>
          <t>200</t>
        </is>
      </c>
      <c r="AF12" s="2" t="inlineStr"/>
      <c r="AG12" s="2" t="inlineStr">
        <is>
          <t>HTML</t>
        </is>
      </c>
      <c r="AH12" s="2" t="inlineStr">
        <is>
          <t>Bestätigt</t>
        </is>
      </c>
      <c r="AI12" s="2" t="inlineStr">
        <is>
          <t>Schlüsselwörter 1/1 gefunden (Rechnungslegung); Ort/Zuständigkeit: St. Gallen, St.Gallen</t>
        </is>
      </c>
      <c r="AJ12" s="2" t="inlineStr">
        <is>
          <t>Rechnungslegung (RMSG) | sg.ch | Rechnungslegung (RMSG)</t>
        </is>
      </c>
      <c r="AK12" s="2" t="inlineStr">
        <is>
          <t>2017, 2021, 2026, 2022, 2020, 2025</t>
        </is>
      </c>
      <c r="AL12" s="2" t="inlineStr">
        <is>
          <t>Mittel (Webseite)</t>
        </is>
      </c>
      <c r="AM12" s="2" t="inlineStr">
        <is>
          <t>2026-10-14 13:53</t>
        </is>
      </c>
      <c r="AN12" s="2" t="inlineStr">
        <is>
          <t>Öffentlich verfügbar und verifiziert</t>
        </is>
      </c>
      <c r="AO12" s="2" t="inlineStr">
        <is>
          <t>Zu prüfen</t>
        </is>
      </c>
      <c r="AP12" s="2" t="inlineStr">
        <is>
          <t>Belegt Existenz und Zugänglichkeit der Quelle; inhaltliche Aussagen erst nach Auswertung.</t>
        </is>
      </c>
      <c r="AQ12" s="2" t="inlineStr">
        <is>
          <t>Keine Einstufung: Kennzahlen/Befunde noch nicht ausgewertet; Schwellen der Bewertungslogik noch nicht validiert.</t>
        </is>
      </c>
      <c r="AR12" s="2" t="inlineStr">
        <is>
          <t>Nein</t>
        </is>
      </c>
      <c r="AS12" s="2" t="inlineStr">
        <is>
          <t>Kanton St. Gallen, Amt für Gemeinden</t>
        </is>
      </c>
      <c r="AT12" s="2" t="inlineStr">
        <is>
          <t>In Prüfung</t>
        </is>
      </c>
      <c r="AU12" s="2" t="inlineStr"/>
      <c r="AV12" s="2" t="inlineStr"/>
      <c r="AW12" s="2" t="inlineStr">
        <is>
          <t>2026-10-14: Link ersetzt (vorher https://www.efv.admin.ch/de/finanzstatistik-daten). Grund: Herausgeber «Kanton St. Gallen» passte nicht zum EFV-Bundeslink (Dublette zu CH-C1-01); durch kantonale Fundstelle ersetzt.</t>
        </is>
      </c>
      <c r="AX12" s="2">
        <f>IF(ISNA(MATCH($A12,'Gesamtübersicht'!$A:$A,0)),"ID fehlt in Gesamtübersicht",IF(AND(INDEX('Gesamtübersicht'!$H:$H,MATCH($A12,'Gesamtübersicht'!$A:$A,0))&amp;""=$H12&amp;"",INDEX('Gesamtübersicht'!$M:$M,MATCH($A12,'Gesamtübersicht'!$A:$A,0))&amp;""=$M12&amp;"",INDEX('Gesamtübersicht'!$AD:$AD,MATCH($A12,'Gesamtübersicht'!$A:$A,0))&amp;""=$AD12&amp;"",INDEX('Gesamtübersicht'!$AH:$AH,MATCH($A12,'Gesamtübersicht'!$A:$A,0))&amp;""=$AH12&amp;"",INDEX('Gesamtübersicht'!$T:$T,MATCH($A12,'Gesamtübersicht'!$A:$A,0))&amp;""=$T12&amp;""),"OK","Abweichung – Ansicht neu erzeugen"))</f>
        <v/>
      </c>
    </row>
    <row r="13" ht="43" customHeight="1">
      <c r="A13" s="3" t="inlineStr">
        <is>
          <t>SG-C1-02</t>
        </is>
      </c>
      <c r="B13" s="14" t="inlineStr">
        <is>
          <t>Kanton</t>
        </is>
      </c>
      <c r="C13" s="3" t="inlineStr">
        <is>
          <t>Schweiz</t>
        </is>
      </c>
      <c r="D13" s="3" t="inlineStr">
        <is>
          <t>St. Gallen</t>
        </is>
      </c>
      <c r="E13" s="3" t="inlineStr">
        <is>
          <t>Alle</t>
        </is>
      </c>
      <c r="F13" s="3" t="inlineStr">
        <is>
          <t>C1</t>
        </is>
      </c>
      <c r="G13" s="3" t="inlineStr">
        <is>
          <t>Finanzausgleich</t>
        </is>
      </c>
      <c r="H13" s="3" t="inlineStr">
        <is>
          <t>Finanzausgleichsgesetz St. Gallen, sGS 813.1</t>
        </is>
      </c>
      <c r="I13" s="3" t="inlineStr">
        <is>
          <t>Kantonales Gesetz</t>
        </is>
      </c>
      <c r="J13" s="3" t="inlineStr">
        <is>
          <t>Direktes Dokument</t>
        </is>
      </c>
      <c r="K13" s="3" t="inlineStr">
        <is>
          <t>Kantonales Recht (verbindlich)</t>
        </is>
      </c>
      <c r="L13" s="3" t="inlineStr">
        <is>
          <t>Kanton St. Gallen</t>
        </is>
      </c>
      <c r="M13" s="7" t="inlineStr">
        <is>
          <t>https://www.gesetzessammlung.sg.ch/app/de/texts_of_law/813.1</t>
        </is>
      </c>
      <c r="N13" s="3" t="inlineStr"/>
      <c r="O13" s="3" t="inlineStr">
        <is>
          <t>2026-10-14</t>
        </is>
      </c>
      <c r="P13" s="3" t="inlineStr"/>
      <c r="Q13" s="3" t="inlineStr"/>
      <c r="R13" s="3" t="inlineStr"/>
      <c r="S13" s="3" t="inlineStr">
        <is>
          <t>Kanton × Grössenklasse</t>
        </is>
      </c>
      <c r="T13" s="3" t="inlineStr">
        <is>
          <t>Noch nicht bewertet</t>
        </is>
      </c>
      <c r="U13" s="3" t="inlineStr">
        <is>
          <t>Hoch</t>
        </is>
      </c>
      <c r="V13" s="3" t="inlineStr"/>
      <c r="W13" s="3" t="inlineStr"/>
      <c r="X13" s="3" t="inlineStr"/>
      <c r="Y13" s="3" t="inlineStr">
        <is>
          <t>Dokument auswerten; Aktualität und Geltung prüfen</t>
        </is>
      </c>
      <c r="Z13" s="3" t="inlineStr">
        <is>
          <t>URL nach dokumentiertem Schema der amtlichen Rechtssammlung gebildet; Identität per Runner geprüft</t>
        </is>
      </c>
      <c r="AA13" s="3" t="inlineStr"/>
      <c r="AB13" s="3" t="inlineStr"/>
      <c r="AC13" s="3" t="inlineStr"/>
      <c r="AD13" s="3" t="inlineStr">
        <is>
          <t>Verifiziert</t>
        </is>
      </c>
      <c r="AE13" s="3" t="inlineStr">
        <is>
          <t>200</t>
        </is>
      </c>
      <c r="AF13" s="3" t="inlineStr"/>
      <c r="AG13" s="3" t="inlineStr">
        <is>
          <t>HTML</t>
        </is>
      </c>
      <c r="AH13" s="3" t="inlineStr">
        <is>
          <t>Bestätigt</t>
        </is>
      </c>
      <c r="AI13" s="3" t="inlineStr">
        <is>
          <t>Titel via LexWork-API (https://www.gesetzessammlung.sg.ch/api/de/texts_of_law/813.1); Schlüsselwörter 1/1 gefunden (Finanzausgleich)</t>
        </is>
      </c>
      <c r="AJ13" s="3" t="inlineStr">
        <is>
          <t>Finanzausgleichsgesetz</t>
        </is>
      </c>
      <c r="AK13" s="3" t="inlineStr">
        <is>
          <t>2021, 2007, 2008, 2006, 2001</t>
        </is>
      </c>
      <c r="AL13" s="3" t="inlineStr">
        <is>
          <t>Hoch (Erlassnummer)</t>
        </is>
      </c>
      <c r="AM13" s="3" t="inlineStr">
        <is>
          <t>2026-10-14 13:56</t>
        </is>
      </c>
      <c r="AN13" s="3" t="inlineStr">
        <is>
          <t>Öffentlich verfügbar und verifiziert</t>
        </is>
      </c>
      <c r="AO13" s="3" t="inlineStr"/>
      <c r="AP13" s="3" t="inlineStr">
        <is>
          <t>Belegt Existenz und Zugänglichkeit der Quelle; inhaltliche Aussagen erst nach Auswertung.</t>
        </is>
      </c>
      <c r="AQ13" s="3" t="inlineStr">
        <is>
          <t>Keine Einstufung: Kennzahlen/Befunde noch nicht ausgewertet; Schwellen der Bewertungslogik noch nicht validiert.</t>
        </is>
      </c>
      <c r="AR13" s="3" t="inlineStr">
        <is>
          <t>Nein</t>
        </is>
      </c>
      <c r="AS13" s="3" t="inlineStr">
        <is>
          <t>Kanton St. Gallen</t>
        </is>
      </c>
      <c r="AT13" s="3" t="inlineStr">
        <is>
          <t>In Prüfung</t>
        </is>
      </c>
      <c r="AU13" s="3" t="inlineStr"/>
      <c r="AV13" s="3" t="inlineStr"/>
      <c r="AW13" s="3" t="inlineStr">
        <is>
          <t>2026-10-14: neu aufgenommen</t>
        </is>
      </c>
      <c r="AX13" s="3">
        <f>IF(ISNA(MATCH($A13,'Gesamtübersicht'!$A:$A,0)),"ID fehlt in Gesamtübersicht",IF(AND(INDEX('Gesamtübersicht'!$H:$H,MATCH($A13,'Gesamtübersicht'!$A:$A,0))&amp;""=$H13&amp;"",INDEX('Gesamtübersicht'!$M:$M,MATCH($A13,'Gesamtübersicht'!$A:$A,0))&amp;""=$M13&amp;"",INDEX('Gesamtübersicht'!$AD:$AD,MATCH($A13,'Gesamtübersicht'!$A:$A,0))&amp;""=$AD13&amp;"",INDEX('Gesamtübersicht'!$AH:$AH,MATCH($A13,'Gesamtübersicht'!$A:$A,0))&amp;""=$AH13&amp;"",INDEX('Gesamtübersicht'!$T:$T,MATCH($A13,'Gesamtübersicht'!$A:$A,0))&amp;""=$T13&amp;""),"OK","Abweichung – Ansicht neu erzeugen"))</f>
        <v/>
      </c>
    </row>
    <row r="14" ht="43" customHeight="1">
      <c r="A14" s="2" t="inlineStr">
        <is>
          <t>SG-C1-03</t>
        </is>
      </c>
      <c r="B14" s="14" t="inlineStr">
        <is>
          <t>Kanton</t>
        </is>
      </c>
      <c r="C14" s="2" t="inlineStr">
        <is>
          <t>Schweiz</t>
        </is>
      </c>
      <c r="D14" s="2" t="inlineStr">
        <is>
          <t>St. Gallen</t>
        </is>
      </c>
      <c r="E14" s="2" t="inlineStr">
        <is>
          <t>Alle</t>
        </is>
      </c>
      <c r="F14" s="2" t="inlineStr">
        <is>
          <t>C1</t>
        </is>
      </c>
      <c r="G14" s="2" t="inlineStr">
        <is>
          <t>Rechnungslegung Gemeinden</t>
        </is>
      </c>
      <c r="H14" s="2" t="inlineStr">
        <is>
          <t>Verordnung über den Finanzhaushalt der Gemeinden (FHGV) St. Gallen, sGS 151.53</t>
        </is>
      </c>
      <c r="I14" s="2" t="inlineStr">
        <is>
          <t>Kantonale Verordnung</t>
        </is>
      </c>
      <c r="J14" s="2" t="inlineStr">
        <is>
          <t>Direktes Dokument</t>
        </is>
      </c>
      <c r="K14" s="2" t="inlineStr">
        <is>
          <t>Kantonales Recht (verbindlich)</t>
        </is>
      </c>
      <c r="L14" s="2" t="inlineStr">
        <is>
          <t>Kanton St. Gallen</t>
        </is>
      </c>
      <c r="M14" s="5" t="inlineStr">
        <is>
          <t>https://www.gesetzessammlung.sg.ch/app/de/texts_of_law/151.53</t>
        </is>
      </c>
      <c r="N14" s="2" t="inlineStr"/>
      <c r="O14" s="2" t="inlineStr">
        <is>
          <t>2026-10-14</t>
        </is>
      </c>
      <c r="P14" s="2" t="inlineStr"/>
      <c r="Q14" s="2" t="inlineStr"/>
      <c r="R14" s="2" t="inlineStr"/>
      <c r="S14" s="2" t="inlineStr">
        <is>
          <t>Kanton × Grössenklasse</t>
        </is>
      </c>
      <c r="T14" s="2" t="inlineStr">
        <is>
          <t>Noch nicht bewertet</t>
        </is>
      </c>
      <c r="U14" s="2" t="inlineStr">
        <is>
          <t>Hoch</t>
        </is>
      </c>
      <c r="V14" s="2" t="inlineStr"/>
      <c r="W14" s="2" t="inlineStr"/>
      <c r="X14" s="2" t="inlineStr"/>
      <c r="Y14" s="2" t="inlineStr">
        <is>
          <t>Dokument auswerten; Aktualität und Geltung prüfen</t>
        </is>
      </c>
      <c r="Z14" s="2" t="inlineStr">
        <is>
          <t>URL nach dokumentiertem Schema der amtlichen Rechtssammlung gebildet; Identität per Runner geprüft</t>
        </is>
      </c>
      <c r="AA14" s="2" t="inlineStr"/>
      <c r="AB14" s="2" t="inlineStr"/>
      <c r="AC14" s="2" t="inlineStr"/>
      <c r="AD14" s="2" t="inlineStr">
        <is>
          <t>Verifiziert</t>
        </is>
      </c>
      <c r="AE14" s="2" t="inlineStr">
        <is>
          <t>200</t>
        </is>
      </c>
      <c r="AF14" s="2" t="inlineStr"/>
      <c r="AG14" s="2" t="inlineStr">
        <is>
          <t>HTML</t>
        </is>
      </c>
      <c r="AH14" s="2" t="inlineStr">
        <is>
          <t>Bestätigt</t>
        </is>
      </c>
      <c r="AI14" s="2" t="inlineStr">
        <is>
          <t>Titel via LexWork-API (https://www.gesetzessammlung.sg.ch/api/de/texts_of_law/151.53); Schlüsselwörter 1/1 gefunden (Finanzhaushalt)</t>
        </is>
      </c>
      <c r="AJ14" s="2" t="inlineStr">
        <is>
          <t>Verordnung über den Finanzhaushalt der Gemeinden</t>
        </is>
      </c>
      <c r="AK14" s="2" t="inlineStr">
        <is>
          <t>2019, 2017, 2009</t>
        </is>
      </c>
      <c r="AL14" s="2" t="inlineStr">
        <is>
          <t>Hoch (Erlassnummer)</t>
        </is>
      </c>
      <c r="AM14" s="2" t="inlineStr">
        <is>
          <t>2026-10-14 13:56</t>
        </is>
      </c>
      <c r="AN14" s="2" t="inlineStr">
        <is>
          <t>Öffentlich verfügbar und verifiziert</t>
        </is>
      </c>
      <c r="AO14" s="2" t="inlineStr"/>
      <c r="AP14" s="2" t="inlineStr">
        <is>
          <t>Belegt Existenz und Zugänglichkeit der Quelle; inhaltliche Aussagen erst nach Auswertung.</t>
        </is>
      </c>
      <c r="AQ14" s="2" t="inlineStr">
        <is>
          <t>Keine Einstufung: Kennzahlen/Befunde noch nicht ausgewertet; Schwellen der Bewertungslogik noch nicht validiert.</t>
        </is>
      </c>
      <c r="AR14" s="2" t="inlineStr">
        <is>
          <t>Nein</t>
        </is>
      </c>
      <c r="AS14" s="2" t="inlineStr">
        <is>
          <t>Kanton St. Gallen</t>
        </is>
      </c>
      <c r="AT14" s="2" t="inlineStr">
        <is>
          <t>In Prüfung</t>
        </is>
      </c>
      <c r="AU14" s="2" t="inlineStr"/>
      <c r="AV14" s="2" t="inlineStr"/>
      <c r="AW14" s="2" t="inlineStr">
        <is>
          <t>2026-10-14: neu aufgenommen</t>
        </is>
      </c>
      <c r="AX14" s="2">
        <f>IF(ISNA(MATCH($A14,'Gesamtübersicht'!$A:$A,0)),"ID fehlt in Gesamtübersicht",IF(AND(INDEX('Gesamtübersicht'!$H:$H,MATCH($A14,'Gesamtübersicht'!$A:$A,0))&amp;""=$H14&amp;"",INDEX('Gesamtübersicht'!$M:$M,MATCH($A14,'Gesamtübersicht'!$A:$A,0))&amp;""=$M14&amp;"",INDEX('Gesamtübersicht'!$AD:$AD,MATCH($A14,'Gesamtübersicht'!$A:$A,0))&amp;""=$AD14&amp;"",INDEX('Gesamtübersicht'!$AH:$AH,MATCH($A14,'Gesamtübersicht'!$A:$A,0))&amp;""=$AH14&amp;"",INDEX('Gesamtübersicht'!$T:$T,MATCH($A14,'Gesamtübersicht'!$A:$A,0))&amp;""=$T14&amp;""),"OK","Abweichung – Ansicht neu erzeugen"))</f>
        <v/>
      </c>
    </row>
    <row r="15" ht="43" customHeight="1">
      <c r="A15" s="3" t="inlineStr">
        <is>
          <t>SG-C2-01</t>
        </is>
      </c>
      <c r="B15" s="14" t="inlineStr">
        <is>
          <t>Kanton</t>
        </is>
      </c>
      <c r="C15" s="3" t="inlineStr">
        <is>
          <t>Schweiz</t>
        </is>
      </c>
      <c r="D15" s="3" t="inlineStr">
        <is>
          <t>St. Gallen</t>
        </is>
      </c>
      <c r="E15" s="3" t="inlineStr">
        <is>
          <t>Alle</t>
        </is>
      </c>
      <c r="F15" s="3" t="inlineStr">
        <is>
          <t>C2</t>
        </is>
      </c>
      <c r="G15" s="3" t="inlineStr">
        <is>
          <t>Geodaten</t>
        </is>
      </c>
      <c r="H15" s="3" t="inlineStr">
        <is>
          <t>Geoportal Kanton St. Gallen / geoportal.ch</t>
        </is>
      </c>
      <c r="I15" s="3" t="inlineStr">
        <is>
          <t>Geodatenportal</t>
        </is>
      </c>
      <c r="J15" s="3" t="inlineStr">
        <is>
          <t>Offizielle Quelle recherchiert</t>
        </is>
      </c>
      <c r="K15" s="3" t="inlineStr">
        <is>
          <t>Orientierung / Datengrundlage</t>
        </is>
      </c>
      <c r="L15" s="3" t="inlineStr">
        <is>
          <t>Kanton St. Gallen</t>
        </is>
      </c>
      <c r="M15" s="7" t="inlineStr">
        <is>
          <t>https://www.geoportal.ch/</t>
        </is>
      </c>
      <c r="N15" s="3" t="inlineStr">
        <is>
          <t>Zu prüfen</t>
        </is>
      </c>
      <c r="O15" s="3" t="inlineStr">
        <is>
          <t>2026-10-14</t>
        </is>
      </c>
      <c r="P15" s="3" t="inlineStr">
        <is>
          <t>Parzellen und Nutzungsplanung; Eigentum gesondert nachweisen</t>
        </is>
      </c>
      <c r="Q15" s="3" t="inlineStr">
        <is>
          <t>Parzellen / ÖBA</t>
        </is>
      </c>
      <c r="R15" s="3" t="inlineStr">
        <is>
          <t>Luucy-Layer verwenden</t>
        </is>
      </c>
      <c r="S15" s="3" t="inlineStr">
        <is>
          <t>Kein Peer</t>
        </is>
      </c>
      <c r="T15" s="3" t="inlineStr">
        <is>
          <t>Noch nicht bewertet</t>
        </is>
      </c>
      <c r="U15" s="3" t="inlineStr">
        <is>
          <t>Mittel</t>
        </is>
      </c>
      <c r="V15" s="3" t="inlineStr">
        <is>
          <t>Geltende kantonale Detailgrundlage und Datenstand prüfen</t>
        </is>
      </c>
      <c r="W15" s="3" t="inlineStr">
        <is>
          <t>B; Q1</t>
        </is>
      </c>
      <c r="X15" s="3" t="inlineStr">
        <is>
          <t>Bodenpotenzial</t>
        </is>
      </c>
      <c r="Y15" s="3" t="inlineStr">
        <is>
          <t>Dokument auswerten; Aktualität und Geltung prüfen</t>
        </is>
      </c>
      <c r="Z15" s="3" t="inlineStr">
        <is>
          <t>Webrecherche 14.10.2026</t>
        </is>
      </c>
      <c r="AA15" s="3" t="inlineStr"/>
      <c r="AB15" s="3" t="inlineStr"/>
      <c r="AC15" s="3" t="inlineStr"/>
      <c r="AD15" s="3" t="inlineStr">
        <is>
          <t>Verifiziert</t>
        </is>
      </c>
      <c r="AE15" s="3" t="inlineStr">
        <is>
          <t>200</t>
        </is>
      </c>
      <c r="AF15" s="3" t="inlineStr"/>
      <c r="AG15" s="3" t="inlineStr">
        <is>
          <t>HTML</t>
        </is>
      </c>
      <c r="AH15" s="3" t="inlineStr">
        <is>
          <t>Bestätigt</t>
        </is>
      </c>
      <c r="AI15" s="3" t="inlineStr">
        <is>
          <t>Schlüsselwörter 1/1 gefunden (geoportal)</t>
        </is>
      </c>
      <c r="AJ15" s="3" t="inlineStr">
        <is>
          <t>Geoportal</t>
        </is>
      </c>
      <c r="AK15" s="3" t="inlineStr"/>
      <c r="AL15" s="3" t="inlineStr">
        <is>
          <t>Mittel (Startseite, kein Dokument)</t>
        </is>
      </c>
      <c r="AM15" s="3" t="inlineStr">
        <is>
          <t>2026-10-14 13:53</t>
        </is>
      </c>
      <c r="AN15" s="3" t="inlineStr">
        <is>
          <t>Öffentlich verfügbar und verifiziert</t>
        </is>
      </c>
      <c r="AO15" s="3" t="inlineStr">
        <is>
          <t>Zu prüfen</t>
        </is>
      </c>
      <c r="AP15" s="3" t="inlineStr">
        <is>
          <t>Belegt Existenz und Zugänglichkeit der Quelle; inhaltliche Aussagen erst nach Auswertung.</t>
        </is>
      </c>
      <c r="AQ15" s="3" t="inlineStr">
        <is>
          <t>Keine Einstufung: Kennzahlen/Befunde noch nicht ausgewertet; Schwellen der Bewertungslogik noch nicht validiert.</t>
        </is>
      </c>
      <c r="AR15" s="3" t="inlineStr">
        <is>
          <t>Nein</t>
        </is>
      </c>
      <c r="AS15" s="3" t="inlineStr">
        <is>
          <t>Kanton St. Gallen</t>
        </is>
      </c>
      <c r="AT15" s="3" t="inlineStr">
        <is>
          <t>In Prüfung</t>
        </is>
      </c>
      <c r="AU15" s="3" t="inlineStr">
        <is>
          <t>Kartenportal (JavaScript); kein Eigentumsnachweis.</t>
        </is>
      </c>
      <c r="AV15" s="3" t="inlineStr"/>
      <c r="AW15" s="3" t="inlineStr"/>
      <c r="AX15" s="3">
        <f>IF(ISNA(MATCH($A15,'Gesamtübersicht'!$A:$A,0)),"ID fehlt in Gesamtübersicht",IF(AND(INDEX('Gesamtübersicht'!$H:$H,MATCH($A15,'Gesamtübersicht'!$A:$A,0))&amp;""=$H15&amp;"",INDEX('Gesamtübersicht'!$M:$M,MATCH($A15,'Gesamtübersicht'!$A:$A,0))&amp;""=$M15&amp;"",INDEX('Gesamtübersicht'!$AD:$AD,MATCH($A15,'Gesamtübersicht'!$A:$A,0))&amp;""=$AD15&amp;"",INDEX('Gesamtübersicht'!$AH:$AH,MATCH($A15,'Gesamtübersicht'!$A:$A,0))&amp;""=$AH15&amp;"",INDEX('Gesamtübersicht'!$T:$T,MATCH($A15,'Gesamtübersicht'!$A:$A,0))&amp;""=$T15&amp;""),"OK","Abweichung – Ansicht neu erzeugen"))</f>
        <v/>
      </c>
    </row>
    <row r="16" ht="43" customHeight="1">
      <c r="A16" s="2" t="inlineStr">
        <is>
          <t>SG-C2-02</t>
        </is>
      </c>
      <c r="B16" s="14" t="inlineStr">
        <is>
          <t>Kanton</t>
        </is>
      </c>
      <c r="C16" s="2" t="inlineStr">
        <is>
          <t>Schweiz</t>
        </is>
      </c>
      <c r="D16" s="2" t="inlineStr">
        <is>
          <t>St. Gallen</t>
        </is>
      </c>
      <c r="E16" s="2" t="inlineStr">
        <is>
          <t>Alle</t>
        </is>
      </c>
      <c r="F16" s="2" t="inlineStr">
        <is>
          <t>C2</t>
        </is>
      </c>
      <c r="G16" s="2" t="inlineStr">
        <is>
          <t>Arealentwicklung</t>
        </is>
      </c>
      <c r="H16" s="2" t="inlineStr">
        <is>
          <t>WILWEST: Grundstücksgeschäft Kanton St. Gallen (Verkauf an Kanton Thurgau) – Kantonsratsvorlage</t>
        </is>
      </c>
      <c r="I16" s="2" t="inlineStr">
        <is>
          <t>Botschaft / Beschluss</t>
        </is>
      </c>
      <c r="J16" s="2" t="inlineStr">
        <is>
          <t>Direktes Dokument</t>
        </is>
      </c>
      <c r="K16" s="2" t="inlineStr">
        <is>
          <t>Beschluss (Volksabstimmung 2026)</t>
        </is>
      </c>
      <c r="L16" s="2" t="inlineStr">
        <is>
          <t>Kanton St. Gallen</t>
        </is>
      </c>
      <c r="M16" s="5" t="inlineStr">
        <is>
          <t>https://www.ratsinfo.sg.ch//media/documents/published/signed/8b158b37-2fff-4d5d-b018-ef035f08732e.pdf</t>
        </is>
      </c>
      <c r="N16" s="2" t="inlineStr"/>
      <c r="O16" s="2" t="inlineStr">
        <is>
          <t>2026-10-14</t>
        </is>
      </c>
      <c r="P16" s="2" t="inlineStr">
        <is>
          <t>Kantonales Grundeigentum im Entwicklungsgebiet WILWEST (nicht städtisches Eigentum)</t>
        </is>
      </c>
      <c r="Q16" s="2" t="inlineStr"/>
      <c r="R16" s="2" t="inlineStr"/>
      <c r="S16" s="2" t="inlineStr">
        <is>
          <t>Kein Peer-Vergleich</t>
        </is>
      </c>
      <c r="T16" s="2" t="inlineStr">
        <is>
          <t>Noch nicht bewertet</t>
        </is>
      </c>
      <c r="U16" s="2" t="inlineStr">
        <is>
          <t>Mittel</t>
        </is>
      </c>
      <c r="V16" s="2" t="inlineStr"/>
      <c r="W16" s="2" t="inlineStr">
        <is>
          <t>B</t>
        </is>
      </c>
      <c r="X16" s="2" t="inlineStr"/>
      <c r="Y16" s="2" t="inlineStr">
        <is>
          <t>Dokument auswerten; Aktualität und Geltung prüfen</t>
        </is>
      </c>
      <c r="Z16" s="2" t="inlineStr">
        <is>
          <t>Websuche 14.10.2026 (URL im Suchergebnis gefunden)</t>
        </is>
      </c>
      <c r="AA16" s="2" t="inlineStr"/>
      <c r="AB16" s="2" t="inlineStr"/>
      <c r="AC16" s="2" t="inlineStr"/>
      <c r="AD16" s="2" t="inlineStr">
        <is>
          <t>Verifiziert</t>
        </is>
      </c>
      <c r="AE16" s="2" t="inlineStr">
        <is>
          <t>200</t>
        </is>
      </c>
      <c r="AF16" s="2" t="inlineStr"/>
      <c r="AG16" s="2" t="inlineStr">
        <is>
          <t>PDF</t>
        </is>
      </c>
      <c r="AH16" s="2" t="inlineStr">
        <is>
          <t>Bestätigt</t>
        </is>
      </c>
      <c r="AI16" s="2" t="inlineStr">
        <is>
          <t>Schlüsselwörter 1/1 gefunden (WILWEST); Ort/Zuständigkeit: Wil</t>
        </is>
      </c>
      <c r="AJ16" s="2" t="inlineStr">
        <is>
          <t>Kantonsrat St.Gallen 51.26.15</t>
        </is>
      </c>
      <c r="AK16" s="2" t="inlineStr">
        <is>
          <t>2026, 2022, 2023, 2025, 2011, 2021</t>
        </is>
      </c>
      <c r="AL16" s="2" t="inlineStr">
        <is>
          <t>Mittel (CMS-Dokumentlink)</t>
        </is>
      </c>
      <c r="AM16" s="2" t="inlineStr">
        <is>
          <t>2026-10-14 13:55</t>
        </is>
      </c>
      <c r="AN16" s="2" t="inlineStr">
        <is>
          <t>Öffentlich verfügbar und verifiziert</t>
        </is>
      </c>
      <c r="AO16" s="2" t="inlineStr"/>
      <c r="AP16" s="2" t="inlineStr">
        <is>
          <t>Belegt Existenz und Zugänglichkeit der Quelle; inhaltliche Aussagen erst nach Auswertung.</t>
        </is>
      </c>
      <c r="AQ16" s="2" t="inlineStr">
        <is>
          <t>Keine Einstufung: Kennzahlen/Befunde noch nicht ausgewertet; Schwellen der Bewertungslogik noch nicht validiert.</t>
        </is>
      </c>
      <c r="AR16" s="2" t="inlineStr">
        <is>
          <t>Nein</t>
        </is>
      </c>
      <c r="AS16" s="2" t="inlineStr">
        <is>
          <t>Kanton St. Gallen</t>
        </is>
      </c>
      <c r="AT16" s="2" t="inlineStr">
        <is>
          <t>In Prüfung</t>
        </is>
      </c>
      <c r="AU16" s="2" t="inlineStr"/>
      <c r="AV16" s="2" t="inlineStr"/>
      <c r="AW16" s="2" t="inlineStr">
        <is>
          <t>2026-10-14: neu aufgenommen</t>
        </is>
      </c>
      <c r="AX16" s="2">
        <f>IF(ISNA(MATCH($A16,'Gesamtübersicht'!$A:$A,0)),"ID fehlt in Gesamtübersicht",IF(AND(INDEX('Gesamtübersicht'!$H:$H,MATCH($A16,'Gesamtübersicht'!$A:$A,0))&amp;""=$H16&amp;"",INDEX('Gesamtübersicht'!$M:$M,MATCH($A16,'Gesamtübersicht'!$A:$A,0))&amp;""=$M16&amp;"",INDEX('Gesamtübersicht'!$AD:$AD,MATCH($A16,'Gesamtübersicht'!$A:$A,0))&amp;""=$AD16&amp;"",INDEX('Gesamtübersicht'!$AH:$AH,MATCH($A16,'Gesamtübersicht'!$A:$A,0))&amp;""=$AH16&amp;"",INDEX('Gesamtübersicht'!$T:$T,MATCH($A16,'Gesamtübersicht'!$A:$A,0))&amp;""=$T16&amp;""),"OK","Abweichung – Ansicht neu erzeugen"))</f>
        <v/>
      </c>
    </row>
    <row r="17" ht="43" customHeight="1">
      <c r="A17" s="3" t="inlineStr">
        <is>
          <t>SG-C2-03</t>
        </is>
      </c>
      <c r="B17" s="14" t="inlineStr">
        <is>
          <t>Kanton</t>
        </is>
      </c>
      <c r="C17" s="3" t="inlineStr">
        <is>
          <t>Schweiz</t>
        </is>
      </c>
      <c r="D17" s="3" t="inlineStr">
        <is>
          <t>St. Gallen</t>
        </is>
      </c>
      <c r="E17" s="3" t="inlineStr">
        <is>
          <t>Alle</t>
        </is>
      </c>
      <c r="F17" s="3" t="inlineStr">
        <is>
          <t>C2</t>
        </is>
      </c>
      <c r="G17" s="3" t="inlineStr">
        <is>
          <t>Raumplanung / Baulandmobilisierung</t>
        </is>
      </c>
      <c r="H17" s="3" t="inlineStr">
        <is>
          <t>Planungs- und Baugesetz (PBG) St. Gallen, sGS 731.1</t>
        </is>
      </c>
      <c r="I17" s="3" t="inlineStr">
        <is>
          <t>Kantonales Gesetz</t>
        </is>
      </c>
      <c r="J17" s="3" t="inlineStr">
        <is>
          <t>Direktes Dokument</t>
        </is>
      </c>
      <c r="K17" s="3" t="inlineStr">
        <is>
          <t>Kantonales Recht (verbindlich)</t>
        </is>
      </c>
      <c r="L17" s="3" t="inlineStr">
        <is>
          <t>Kanton St. Gallen</t>
        </is>
      </c>
      <c r="M17" s="7" t="inlineStr">
        <is>
          <t>https://www.gesetzessammlung.sg.ch/app/de/texts_of_law/731.1</t>
        </is>
      </c>
      <c r="N17" s="3" t="inlineStr"/>
      <c r="O17" s="3" t="inlineStr">
        <is>
          <t>2026-10-14</t>
        </is>
      </c>
      <c r="P17" s="3" t="inlineStr">
        <is>
          <t>Ortsplanungsrevision bis 2027, Bauverpflichtung, Mehrwertabgabe</t>
        </is>
      </c>
      <c r="Q17" s="3" t="inlineStr"/>
      <c r="R17" s="3" t="inlineStr"/>
      <c r="S17" s="3" t="inlineStr">
        <is>
          <t>Kein Peer-Vergleich</t>
        </is>
      </c>
      <c r="T17" s="3" t="inlineStr">
        <is>
          <t>Noch nicht bewertet</t>
        </is>
      </c>
      <c r="U17" s="3" t="inlineStr">
        <is>
          <t>Hoch</t>
        </is>
      </c>
      <c r="V17" s="3" t="inlineStr"/>
      <c r="W17" s="3" t="inlineStr">
        <is>
          <t>B; Q1</t>
        </is>
      </c>
      <c r="X17" s="3" t="inlineStr"/>
      <c r="Y17" s="3" t="inlineStr">
        <is>
          <t>Dokument auswerten; Aktualität und Geltung prüfen</t>
        </is>
      </c>
      <c r="Z17" s="3" t="inlineStr">
        <is>
          <t>URL nach dokumentiertem Schema der amtlichen Rechtssammlung gebildet; Identität per Runner geprüft</t>
        </is>
      </c>
      <c r="AA17" s="3" t="inlineStr"/>
      <c r="AB17" s="3" t="inlineStr"/>
      <c r="AC17" s="3" t="inlineStr"/>
      <c r="AD17" s="3" t="inlineStr">
        <is>
          <t>Verifiziert</t>
        </is>
      </c>
      <c r="AE17" s="3" t="inlineStr">
        <is>
          <t>200</t>
        </is>
      </c>
      <c r="AF17" s="3" t="inlineStr"/>
      <c r="AG17" s="3" t="inlineStr">
        <is>
          <t>HTML</t>
        </is>
      </c>
      <c r="AH17" s="3" t="inlineStr">
        <is>
          <t>Bestätigt</t>
        </is>
      </c>
      <c r="AI17" s="3" t="inlineStr">
        <is>
          <t>Titel via LexWork-API (https://www.gesetzessammlung.sg.ch/api/de/texts_of_law/731.1); Schlüsselwörter 1/1 gefunden (Planungs)</t>
        </is>
      </c>
      <c r="AJ17" s="3" t="inlineStr">
        <is>
          <t>Planungs- und Baugesetz</t>
        </is>
      </c>
      <c r="AK17" s="3" t="inlineStr">
        <is>
          <t>2026, 2016, 2017, 2027, 2015</t>
        </is>
      </c>
      <c r="AL17" s="3" t="inlineStr">
        <is>
          <t>Hoch (Erlassnummer)</t>
        </is>
      </c>
      <c r="AM17" s="3" t="inlineStr">
        <is>
          <t>2026-10-14 13:55</t>
        </is>
      </c>
      <c r="AN17" s="3" t="inlineStr">
        <is>
          <t>Öffentlich verfügbar und verifiziert</t>
        </is>
      </c>
      <c r="AO17" s="3" t="inlineStr"/>
      <c r="AP17" s="3" t="inlineStr">
        <is>
          <t>Belegt Existenz und Zugänglichkeit der Quelle; inhaltliche Aussagen erst nach Auswertung.</t>
        </is>
      </c>
      <c r="AQ17" s="3" t="inlineStr">
        <is>
          <t>Keine Einstufung: Kennzahlen/Befunde noch nicht ausgewertet; Schwellen der Bewertungslogik noch nicht validiert.</t>
        </is>
      </c>
      <c r="AR17" s="3" t="inlineStr">
        <is>
          <t>Nein</t>
        </is>
      </c>
      <c r="AS17" s="3" t="inlineStr">
        <is>
          <t>Kanton St. Gallen</t>
        </is>
      </c>
      <c r="AT17" s="3" t="inlineStr">
        <is>
          <t>In Prüfung</t>
        </is>
      </c>
      <c r="AU17" s="3" t="inlineStr"/>
      <c r="AV17" s="3" t="inlineStr"/>
      <c r="AW17" s="3" t="inlineStr">
        <is>
          <t>2026-10-14: neu aufgenommen</t>
        </is>
      </c>
      <c r="AX17" s="3">
        <f>IF(ISNA(MATCH($A17,'Gesamtübersicht'!$A:$A,0)),"ID fehlt in Gesamtübersicht",IF(AND(INDEX('Gesamtübersicht'!$H:$H,MATCH($A17,'Gesamtübersicht'!$A:$A,0))&amp;""=$H17&amp;"",INDEX('Gesamtübersicht'!$M:$M,MATCH($A17,'Gesamtübersicht'!$A:$A,0))&amp;""=$M17&amp;"",INDEX('Gesamtübersicht'!$AD:$AD,MATCH($A17,'Gesamtübersicht'!$A:$A,0))&amp;""=$AD17&amp;"",INDEX('Gesamtübersicht'!$AH:$AH,MATCH($A17,'Gesamtübersicht'!$A:$A,0))&amp;""=$AH17&amp;"",INDEX('Gesamtübersicht'!$T:$T,MATCH($A17,'Gesamtübersicht'!$A:$A,0))&amp;""=$T17&amp;""),"OK","Abweichung – Ansicht neu erzeugen"))</f>
        <v/>
      </c>
    </row>
    <row r="18" ht="43" customHeight="1">
      <c r="A18" s="2" t="inlineStr">
        <is>
          <t>SG-C3-01</t>
        </is>
      </c>
      <c r="B18" s="14" t="inlineStr">
        <is>
          <t>Kanton</t>
        </is>
      </c>
      <c r="C18" s="2" t="inlineStr">
        <is>
          <t>Schweiz</t>
        </is>
      </c>
      <c r="D18" s="2" t="inlineStr">
        <is>
          <t>St. Gallen</t>
        </is>
      </c>
      <c r="E18" s="2" t="inlineStr">
        <is>
          <t>Alle</t>
        </is>
      </c>
      <c r="F18" s="2" t="inlineStr">
        <is>
          <t>C3</t>
        </is>
      </c>
      <c r="G18" s="2" t="inlineStr">
        <is>
          <t>Gemeinderecht</t>
        </is>
      </c>
      <c r="H18" s="2" t="inlineStr">
        <is>
          <t>Gemeindegesetz (GG) St. Gallen, sGS 151.2</t>
        </is>
      </c>
      <c r="I18" s="2" t="inlineStr">
        <is>
          <t>Kantonales Gesetz</t>
        </is>
      </c>
      <c r="J18" s="2" t="inlineStr">
        <is>
          <t>Offizielle Quelle recherchiert</t>
        </is>
      </c>
      <c r="K18" s="2" t="inlineStr">
        <is>
          <t>Kantonales Gesetz (verbindlich)</t>
        </is>
      </c>
      <c r="L18" s="2" t="inlineStr">
        <is>
          <t>Kanton St. Gallen</t>
        </is>
      </c>
      <c r="M18" s="5" t="inlineStr">
        <is>
          <t>https://www.gesetzessammlung.sg.ch/app/de/texts_of_law/151.2</t>
        </is>
      </c>
      <c r="N18" s="2" t="inlineStr">
        <is>
          <t>vom 21.4.2009; geltende Fassung</t>
        </is>
      </c>
      <c r="O18" s="2" t="inlineStr">
        <is>
          <t>2026-10-14</t>
        </is>
      </c>
      <c r="P18" s="2" t="inlineStr">
        <is>
          <t>Gemeinderecht und öffentlich-rechtliche Kooperation</t>
        </is>
      </c>
      <c r="Q18" s="2" t="inlineStr">
        <is>
          <t>Zuständigkeiten / Trägerschaften</t>
        </is>
      </c>
      <c r="R18" s="2" t="inlineStr">
        <is>
          <t>Geltende Erlasse ermitteln</t>
        </is>
      </c>
      <c r="S18" s="2" t="inlineStr">
        <is>
          <t>Qualitativ</t>
        </is>
      </c>
      <c r="T18" s="2" t="inlineStr">
        <is>
          <t>Noch nicht bewertet</t>
        </is>
      </c>
      <c r="U18" s="2" t="inlineStr">
        <is>
          <t>Mittel</t>
        </is>
      </c>
      <c r="V18" s="2" t="inlineStr">
        <is>
          <t>Geltende kantonale Detailgrundlage und Datenstand prüfen</t>
        </is>
      </c>
      <c r="W18" s="2" t="inlineStr">
        <is>
          <t>C5; Q6</t>
        </is>
      </c>
      <c r="X18" s="2" t="inlineStr">
        <is>
          <t>Governance</t>
        </is>
      </c>
      <c r="Y18" s="2" t="inlineStr">
        <is>
          <t>Dokument auswerten; Aktualität und Geltung prüfen</t>
        </is>
      </c>
      <c r="Z18" s="2" t="inlineStr">
        <is>
          <t>URL nach dokumentiertem Schema der amtlichen Rechtssammlung gebildet; Identität per Runner geprüft</t>
        </is>
      </c>
      <c r="AA18" s="2" t="inlineStr">
        <is>
          <t>C1</t>
        </is>
      </c>
      <c r="AB18" s="2" t="inlineStr"/>
      <c r="AC18" s="2" t="inlineStr"/>
      <c r="AD18" s="2" t="inlineStr">
        <is>
          <t>Verifiziert</t>
        </is>
      </c>
      <c r="AE18" s="2" t="inlineStr">
        <is>
          <t>200</t>
        </is>
      </c>
      <c r="AF18" s="2" t="inlineStr"/>
      <c r="AG18" s="2" t="inlineStr">
        <is>
          <t>HTML</t>
        </is>
      </c>
      <c r="AH18" s="2" t="inlineStr">
        <is>
          <t>Bestätigt</t>
        </is>
      </c>
      <c r="AI18" s="2" t="inlineStr">
        <is>
          <t>Titel via LexWork-API (https://www.gesetzessammlung.sg.ch/api/de/texts_of_law/151.2); Schlüsselwörter 1/1 gefunden (Gemeindegesetz)</t>
        </is>
      </c>
      <c r="AJ18" s="2" t="inlineStr">
        <is>
          <t>Gemeindegesetz</t>
        </is>
      </c>
      <c r="AK18" s="2" t="inlineStr">
        <is>
          <t>2009, 2026, 2010, 2025, 2018, 2008</t>
        </is>
      </c>
      <c r="AL18" s="2" t="inlineStr">
        <is>
          <t>Hoch (Erlassnummer)</t>
        </is>
      </c>
      <c r="AM18" s="2" t="inlineStr">
        <is>
          <t>2026-10-14 13:53</t>
        </is>
      </c>
      <c r="AN18" s="2" t="inlineStr">
        <is>
          <t>Öffentlich verfügbar und verifiziert</t>
        </is>
      </c>
      <c r="AO18" s="2" t="inlineStr">
        <is>
          <t>vom 21.4.2009; geltende Fassung</t>
        </is>
      </c>
      <c r="AP18" s="2" t="inlineStr">
        <is>
          <t>Belegt Existenz und Zugänglichkeit der Quelle; inhaltliche Aussagen erst nach Auswertung.</t>
        </is>
      </c>
      <c r="AQ18" s="2" t="inlineStr">
        <is>
          <t>Keine Einstufung: Kennzahlen/Befunde noch nicht ausgewertet; Schwellen der Bewertungslogik noch nicht validiert.</t>
        </is>
      </c>
      <c r="AR18" s="2" t="inlineStr">
        <is>
          <t>Nein</t>
        </is>
      </c>
      <c r="AS18" s="2" t="inlineStr">
        <is>
          <t>Kanton St. Gallen</t>
        </is>
      </c>
      <c r="AT18" s="2" t="inlineStr">
        <is>
          <t>In Prüfung</t>
        </is>
      </c>
      <c r="AU18" s="2" t="inlineStr"/>
      <c r="AV18" s="2" t="inlineStr"/>
      <c r="AW18" s="2" t="inlineStr">
        <is>
          <t>2026-10-14: Link ersetzt (vorher https://www.gesetzessammlung.sg.ch/). Grund: Startseite der Gesetzessammlung durch direkten Erlass ersetzt (Gemeindegesetz sGS 151.2).</t>
        </is>
      </c>
      <c r="AX18" s="2">
        <f>IF(ISNA(MATCH($A18,'Gesamtübersicht'!$A:$A,0)),"ID fehlt in Gesamtübersicht",IF(AND(INDEX('Gesamtübersicht'!$H:$H,MATCH($A18,'Gesamtübersicht'!$A:$A,0))&amp;""=$H18&amp;"",INDEX('Gesamtübersicht'!$M:$M,MATCH($A18,'Gesamtübersicht'!$A:$A,0))&amp;""=$M18&amp;"",INDEX('Gesamtübersicht'!$AD:$AD,MATCH($A18,'Gesamtübersicht'!$A:$A,0))&amp;""=$AD18&amp;"",INDEX('Gesamtübersicht'!$AH:$AH,MATCH($A18,'Gesamtübersicht'!$A:$A,0))&amp;""=$AH18&amp;"",INDEX('Gesamtübersicht'!$T:$T,MATCH($A18,'Gesamtübersicht'!$A:$A,0))&amp;""=$T18&amp;""),"OK","Abweichung – Ansicht neu erzeugen"))</f>
        <v/>
      </c>
    </row>
    <row r="19" ht="43" customHeight="1">
      <c r="A19" s="3" t="inlineStr">
        <is>
          <t>SG-C4-01</t>
        </is>
      </c>
      <c r="B19" s="14" t="inlineStr">
        <is>
          <t>Kanton</t>
        </is>
      </c>
      <c r="C19" s="3" t="inlineStr">
        <is>
          <t>Schweiz</t>
        </is>
      </c>
      <c r="D19" s="3" t="inlineStr">
        <is>
          <t>St. Gallen</t>
        </is>
      </c>
      <c r="E19" s="3" t="inlineStr">
        <is>
          <t>Alle</t>
        </is>
      </c>
      <c r="F19" s="3" t="inlineStr">
        <is>
          <t>C4</t>
        </is>
      </c>
      <c r="G19" s="3" t="inlineStr">
        <is>
          <t>Verwaltung</t>
        </is>
      </c>
      <c r="H19" s="3" t="inlineStr">
        <is>
          <t>Kanton St. Gallen: offizielles Behördenportal</t>
        </is>
      </c>
      <c r="I19" s="3" t="inlineStr">
        <is>
          <t>Behördenportal</t>
        </is>
      </c>
      <c r="J19" s="3" t="inlineStr">
        <is>
          <t>Offizielle Quelle recherchiert</t>
        </is>
      </c>
      <c r="K19" s="3" t="inlineStr">
        <is>
          <t>Orientierung / Datengrundlage</t>
        </is>
      </c>
      <c r="L19" s="3" t="inlineStr">
        <is>
          <t>Kanton St. Gallen</t>
        </is>
      </c>
      <c r="M19" s="7" t="inlineStr">
        <is>
          <t>https://www.sg.ch/</t>
        </is>
      </c>
      <c r="N19" s="3" t="inlineStr">
        <is>
          <t>Zu prüfen</t>
        </is>
      </c>
      <c r="O19" s="3" t="inlineStr">
        <is>
          <t>2026-10-14</t>
        </is>
      </c>
      <c r="P19" s="3" t="inlineStr">
        <is>
          <t>Verwaltungs- und Gemeindeorganisation</t>
        </is>
      </c>
      <c r="Q19" s="3" t="inlineStr">
        <is>
          <t>Aufgaben / Kompetenzen</t>
        </is>
      </c>
      <c r="R19" s="3" t="inlineStr">
        <is>
          <t>Wil-Organisation ergänzen</t>
        </is>
      </c>
      <c r="S19" s="3" t="inlineStr">
        <is>
          <t>Qualitativ</t>
        </is>
      </c>
      <c r="T19" s="3" t="inlineStr">
        <is>
          <t>Noch nicht bewertet</t>
        </is>
      </c>
      <c r="U19" s="3" t="inlineStr">
        <is>
          <t>Mittel</t>
        </is>
      </c>
      <c r="V19" s="3" t="inlineStr">
        <is>
          <t>Geltende kantonale Detailgrundlage und Datenstand prüfen</t>
        </is>
      </c>
      <c r="W19" s="3" t="inlineStr">
        <is>
          <t>Q6; C3</t>
        </is>
      </c>
      <c r="X19" s="3" t="inlineStr">
        <is>
          <t>Verwaltungskapazität</t>
        </is>
      </c>
      <c r="Y19" s="3" t="inlineStr">
        <is>
          <t>Dokument auswerten; Aktualität und Geltung prüfen</t>
        </is>
      </c>
      <c r="Z19" s="3" t="inlineStr">
        <is>
          <t>Webrecherche 14.10.2026</t>
        </is>
      </c>
      <c r="AA19" s="3" t="inlineStr"/>
      <c r="AB19" s="3" t="inlineStr"/>
      <c r="AC19" s="3" t="inlineStr"/>
      <c r="AD19" s="3" t="inlineStr">
        <is>
          <t>Verifiziert</t>
        </is>
      </c>
      <c r="AE19" s="3" t="inlineStr">
        <is>
          <t>200</t>
        </is>
      </c>
      <c r="AF19" s="3" t="inlineStr"/>
      <c r="AG19" s="3" t="inlineStr">
        <is>
          <t>HTML</t>
        </is>
      </c>
      <c r="AH19" s="3" t="inlineStr">
        <is>
          <t>Bestätigt</t>
        </is>
      </c>
      <c r="AI19" s="3" t="inlineStr">
        <is>
          <t>Schlüsselwörter 1/1 gefunden (St.Gallen); Ort/Zuständigkeit: St. Gallen, St.Gallen</t>
        </is>
      </c>
      <c r="AJ19" s="3" t="inlineStr">
        <is>
          <t>Portal Kanton St.Gallen | sg.ch | Alles im Kanton St.Gallen finden</t>
        </is>
      </c>
      <c r="AK19" s="3" t="inlineStr">
        <is>
          <t>2026, 2030, 2028</t>
        </is>
      </c>
      <c r="AL19" s="3" t="inlineStr">
        <is>
          <t>Mittel (Startseite, kein Dokument)</t>
        </is>
      </c>
      <c r="AM19" s="3" t="inlineStr">
        <is>
          <t>2026-10-14 13:53</t>
        </is>
      </c>
      <c r="AN19" s="3" t="inlineStr">
        <is>
          <t>Öffentlich verfügbar und verifiziert</t>
        </is>
      </c>
      <c r="AO19" s="3" t="inlineStr">
        <is>
          <t>Zu prüfen</t>
        </is>
      </c>
      <c r="AP19" s="3" t="inlineStr">
        <is>
          <t>Belegt Existenz und Zugänglichkeit der Quelle; inhaltliche Aussagen erst nach Auswertung.</t>
        </is>
      </c>
      <c r="AQ19" s="3" t="inlineStr">
        <is>
          <t>Keine Einstufung: Kennzahlen/Befunde noch nicht ausgewertet; Schwellen der Bewertungslogik noch nicht validiert.</t>
        </is>
      </c>
      <c r="AR19" s="3" t="inlineStr">
        <is>
          <t>Nein</t>
        </is>
      </c>
      <c r="AS19" s="3" t="inlineStr">
        <is>
          <t>Kanton St. Gallen</t>
        </is>
      </c>
      <c r="AT19" s="3" t="inlineStr">
        <is>
          <t>In Prüfung</t>
        </is>
      </c>
      <c r="AU19" s="3" t="inlineStr"/>
      <c r="AV19" s="3" t="inlineStr"/>
      <c r="AW19" s="3" t="inlineStr"/>
      <c r="AX19" s="3">
        <f>IF(ISNA(MATCH($A19,'Gesamtübersicht'!$A:$A,0)),"ID fehlt in Gesamtübersicht",IF(AND(INDEX('Gesamtübersicht'!$H:$H,MATCH($A19,'Gesamtübersicht'!$A:$A,0))&amp;""=$H19&amp;"",INDEX('Gesamtübersicht'!$M:$M,MATCH($A19,'Gesamtübersicht'!$A:$A,0))&amp;""=$M19&amp;"",INDEX('Gesamtübersicht'!$AD:$AD,MATCH($A19,'Gesamtübersicht'!$A:$A,0))&amp;""=$AD19&amp;"",INDEX('Gesamtübersicht'!$AH:$AH,MATCH($A19,'Gesamtübersicht'!$A:$A,0))&amp;""=$AH19&amp;"",INDEX('Gesamtübersicht'!$T:$T,MATCH($A19,'Gesamtübersicht'!$A:$A,0))&amp;""=$T19&amp;""),"OK","Abweichung – Ansicht neu erzeugen"))</f>
        <v/>
      </c>
    </row>
    <row r="20" ht="43" customHeight="1">
      <c r="A20" s="2" t="inlineStr">
        <is>
          <t>SG-C4-02</t>
        </is>
      </c>
      <c r="B20" s="14" t="inlineStr">
        <is>
          <t>Kanton</t>
        </is>
      </c>
      <c r="C20" s="2" t="inlineStr">
        <is>
          <t>Schweiz</t>
        </is>
      </c>
      <c r="D20" s="2" t="inlineStr">
        <is>
          <t>St. Gallen</t>
        </is>
      </c>
      <c r="E20" s="2" t="inlineStr">
        <is>
          <t>Alle</t>
        </is>
      </c>
      <c r="F20" s="2" t="inlineStr">
        <is>
          <t>C4</t>
        </is>
      </c>
      <c r="G20" s="2" t="inlineStr">
        <is>
          <t>Beschaffung</t>
        </is>
      </c>
      <c r="H20" s="2" t="inlineStr">
        <is>
          <t>Einführungsgesetz zur IVöB St. Gallen, sGS 841.1</t>
        </is>
      </c>
      <c r="I20" s="2" t="inlineStr">
        <is>
          <t>Kantonales Gesetz</t>
        </is>
      </c>
      <c r="J20" s="2" t="inlineStr">
        <is>
          <t>Direktes Dokument</t>
        </is>
      </c>
      <c r="K20" s="2" t="inlineStr">
        <is>
          <t>Kantonales Recht (verbindlich)</t>
        </is>
      </c>
      <c r="L20" s="2" t="inlineStr">
        <is>
          <t>Kanton St. Gallen</t>
        </is>
      </c>
      <c r="M20" s="5" t="inlineStr">
        <is>
          <t>https://www.gesetzessammlung.sg.ch/app/de/texts_of_law/841.1</t>
        </is>
      </c>
      <c r="N20" s="2" t="inlineStr"/>
      <c r="O20" s="2" t="inlineStr">
        <is>
          <t>2026-10-14</t>
        </is>
      </c>
      <c r="P20" s="2" t="inlineStr"/>
      <c r="Q20" s="2" t="inlineStr"/>
      <c r="R20" s="2" t="inlineStr"/>
      <c r="S20" s="2" t="inlineStr">
        <is>
          <t>Kein Peer-Vergleich</t>
        </is>
      </c>
      <c r="T20" s="2" t="inlineStr">
        <is>
          <t>Noch nicht bewertet</t>
        </is>
      </c>
      <c r="U20" s="2" t="inlineStr">
        <is>
          <t>Hoch</t>
        </is>
      </c>
      <c r="V20" s="2" t="inlineStr"/>
      <c r="W20" s="2" t="inlineStr"/>
      <c r="X20" s="2" t="inlineStr"/>
      <c r="Y20" s="2" t="inlineStr">
        <is>
          <t>Dokument auswerten; Aktualität und Geltung prüfen</t>
        </is>
      </c>
      <c r="Z20" s="2" t="inlineStr">
        <is>
          <t>URL nach dokumentiertem Schema der amtlichen Rechtssammlung gebildet; Identität per Runner geprüft</t>
        </is>
      </c>
      <c r="AA20" s="2" t="inlineStr"/>
      <c r="AB20" s="2" t="inlineStr"/>
      <c r="AC20" s="5" t="inlineStr">
        <is>
          <t>https://www.sg.ch/recht/beschaffungswesen/neues_beschaffungsrecht_2023/</t>
        </is>
      </c>
      <c r="AD20" s="2" t="inlineStr">
        <is>
          <t>Verifiziert</t>
        </is>
      </c>
      <c r="AE20" s="2" t="inlineStr">
        <is>
          <t>200</t>
        </is>
      </c>
      <c r="AF20" s="2" t="inlineStr"/>
      <c r="AG20" s="2" t="inlineStr">
        <is>
          <t>HTML</t>
        </is>
      </c>
      <c r="AH20" s="2" t="inlineStr">
        <is>
          <t>Bestätigt</t>
        </is>
      </c>
      <c r="AI20" s="2" t="inlineStr">
        <is>
          <t>Titel via LexWork-API (https://www.gesetzessammlung.sg.ch/api/de/texts_of_law/841.1); Schlüsselwörter 1/1 gefunden (Beschaffung)</t>
        </is>
      </c>
      <c r="AJ20" s="2" t="inlineStr">
        <is>
          <t>Einführungsgesetz zur Interkantonalen Vereinbarung über das öffentliche Beschaffungswesen aus dem Jahr 2019</t>
        </is>
      </c>
      <c r="AK20" s="2" t="inlineStr">
        <is>
          <t>2023, 2022, 2019, 2002, 2001</t>
        </is>
      </c>
      <c r="AL20" s="2" t="inlineStr">
        <is>
          <t>Hoch (Erlassnummer)</t>
        </is>
      </c>
      <c r="AM20" s="2" t="inlineStr">
        <is>
          <t>2026-10-14 13:56</t>
        </is>
      </c>
      <c r="AN20" s="2" t="inlineStr">
        <is>
          <t>Öffentlich verfügbar und verifiziert</t>
        </is>
      </c>
      <c r="AO20" s="2" t="inlineStr"/>
      <c r="AP20" s="2" t="inlineStr">
        <is>
          <t>Belegt Existenz und Zugänglichkeit der Quelle; inhaltliche Aussagen erst nach Auswertung.</t>
        </is>
      </c>
      <c r="AQ20" s="2" t="inlineStr">
        <is>
          <t>Keine Einstufung: Kennzahlen/Befunde noch nicht ausgewertet; Schwellen der Bewertungslogik noch nicht validiert.</t>
        </is>
      </c>
      <c r="AR20" s="2" t="inlineStr">
        <is>
          <t>Nein</t>
        </is>
      </c>
      <c r="AS20" s="2" t="inlineStr">
        <is>
          <t>Kanton St. Gallen</t>
        </is>
      </c>
      <c r="AT20" s="2" t="inlineStr">
        <is>
          <t>In Prüfung</t>
        </is>
      </c>
      <c r="AU20" s="2" t="inlineStr"/>
      <c r="AV20" s="2" t="inlineStr"/>
      <c r="AW20" s="2" t="inlineStr">
        <is>
          <t>2026-10-14: neu aufgenommen</t>
        </is>
      </c>
      <c r="AX20" s="2">
        <f>IF(ISNA(MATCH($A20,'Gesamtübersicht'!$A:$A,0)),"ID fehlt in Gesamtübersicht",IF(AND(INDEX('Gesamtübersicht'!$H:$H,MATCH($A20,'Gesamtübersicht'!$A:$A,0))&amp;""=$H20&amp;"",INDEX('Gesamtübersicht'!$M:$M,MATCH($A20,'Gesamtübersicht'!$A:$A,0))&amp;""=$M20&amp;"",INDEX('Gesamtübersicht'!$AD:$AD,MATCH($A20,'Gesamtübersicht'!$A:$A,0))&amp;""=$AD20&amp;"",INDEX('Gesamtübersicht'!$AH:$AH,MATCH($A20,'Gesamtübersicht'!$A:$A,0))&amp;""=$AH20&amp;"",INDEX('Gesamtübersicht'!$T:$T,MATCH($A20,'Gesamtübersicht'!$A:$A,0))&amp;""=$T20&amp;""),"OK","Abweichung – Ansicht neu erzeugen"))</f>
        <v/>
      </c>
    </row>
    <row r="21" ht="43" customHeight="1">
      <c r="A21" s="3" t="inlineStr">
        <is>
          <t>SG-C5-01</t>
        </is>
      </c>
      <c r="B21" s="14" t="inlineStr">
        <is>
          <t>Kanton</t>
        </is>
      </c>
      <c r="C21" s="3" t="inlineStr">
        <is>
          <t>Schweiz</t>
        </is>
      </c>
      <c r="D21" s="3" t="inlineStr">
        <is>
          <t>St. Gallen</t>
        </is>
      </c>
      <c r="E21" s="3" t="inlineStr">
        <is>
          <t>Alle</t>
        </is>
      </c>
      <c r="F21" s="3" t="inlineStr">
        <is>
          <t>C5</t>
        </is>
      </c>
      <c r="G21" s="3" t="inlineStr">
        <is>
          <t>Politische Rechte</t>
        </is>
      </c>
      <c r="H21" s="3" t="inlineStr">
        <is>
          <t>Gesetz über Referendum und Initiative (RIG) St. Gallen, sGS 125.1</t>
        </is>
      </c>
      <c r="I21" s="3" t="inlineStr">
        <is>
          <t>Kantonales Gesetz</t>
        </is>
      </c>
      <c r="J21" s="3" t="inlineStr">
        <is>
          <t>Offizielle Quelle recherchiert</t>
        </is>
      </c>
      <c r="K21" s="3" t="inlineStr">
        <is>
          <t>Kantonales Gesetz (verbindlich)</t>
        </is>
      </c>
      <c r="L21" s="3" t="inlineStr">
        <is>
          <t>Kanton St. Gallen</t>
        </is>
      </c>
      <c r="M21" s="7" t="inlineStr">
        <is>
          <t>https://www.gesetzessammlung.sg.ch/app/de/texts_of_law/125.1</t>
        </is>
      </c>
      <c r="N21" s="3" t="inlineStr">
        <is>
          <t>geltende Fassung</t>
        </is>
      </c>
      <c r="O21" s="3" t="inlineStr">
        <is>
          <t>2026-10-14</t>
        </is>
      </c>
      <c r="P21" s="3" t="inlineStr">
        <is>
          <t>Kommunale demokratische Verfahren</t>
        </is>
      </c>
      <c r="Q21" s="3" t="inlineStr">
        <is>
          <t>Legitimation / Referenden</t>
        </is>
      </c>
      <c r="R21" s="3" t="inlineStr">
        <is>
          <t>Gemeindeordnung und Ratsgeschäfte auswerten</t>
        </is>
      </c>
      <c r="S21" s="3" t="inlineStr">
        <is>
          <t>Qualitativ</t>
        </is>
      </c>
      <c r="T21" s="3" t="inlineStr">
        <is>
          <t>Noch nicht bewertet</t>
        </is>
      </c>
      <c r="U21" s="3" t="inlineStr">
        <is>
          <t>Mittel</t>
        </is>
      </c>
      <c r="V21" s="3" t="inlineStr">
        <is>
          <t>Geltende kantonale Detailgrundlage und Datenstand prüfen</t>
        </is>
      </c>
      <c r="W21" s="3" t="inlineStr">
        <is>
          <t>C3</t>
        </is>
      </c>
      <c r="X21" s="3" t="inlineStr">
        <is>
          <t>Politische Machbarkeit</t>
        </is>
      </c>
      <c r="Y21" s="3" t="inlineStr">
        <is>
          <t>Dokument auswerten; Aktualität und Geltung prüfen</t>
        </is>
      </c>
      <c r="Z21" s="3" t="inlineStr">
        <is>
          <t>URL nach dokumentiertem Schema der amtlichen Rechtssammlung gebildet; Identität per Runner geprüft</t>
        </is>
      </c>
      <c r="AA21" s="3" t="inlineStr"/>
      <c r="AB21" s="3" t="inlineStr"/>
      <c r="AC21" s="3" t="inlineStr"/>
      <c r="AD21" s="3" t="inlineStr">
        <is>
          <t>Verifiziert</t>
        </is>
      </c>
      <c r="AE21" s="3" t="inlineStr">
        <is>
          <t>200</t>
        </is>
      </c>
      <c r="AF21" s="3" t="inlineStr"/>
      <c r="AG21" s="3" t="inlineStr">
        <is>
          <t>HTML</t>
        </is>
      </c>
      <c r="AH21" s="3" t="inlineStr">
        <is>
          <t>Bestätigt</t>
        </is>
      </c>
      <c r="AI21" s="3" t="inlineStr">
        <is>
          <t>Titel via LexWork-API (https://www.gesetzessammlung.sg.ch/api/de/texts_of_law/125.1); Schlüsselwörter 1/1 gefunden (Referendum)</t>
        </is>
      </c>
      <c r="AJ21" s="3" t="inlineStr">
        <is>
          <t>Gesetz über Referendum und Initiative</t>
        </is>
      </c>
      <c r="AK21" s="3" t="inlineStr">
        <is>
          <t>2026, 2025, 2008</t>
        </is>
      </c>
      <c r="AL21" s="3" t="inlineStr">
        <is>
          <t>Hoch (Erlassnummer)</t>
        </is>
      </c>
      <c r="AM21" s="3" t="inlineStr">
        <is>
          <t>2026-10-14 13:53</t>
        </is>
      </c>
      <c r="AN21" s="3" t="inlineStr">
        <is>
          <t>Öffentlich verfügbar und verifiziert</t>
        </is>
      </c>
      <c r="AO21" s="3" t="inlineStr">
        <is>
          <t>geltende Fassung</t>
        </is>
      </c>
      <c r="AP21" s="3" t="inlineStr">
        <is>
          <t>Belegt Existenz und Zugänglichkeit der Quelle; inhaltliche Aussagen erst nach Auswertung.</t>
        </is>
      </c>
      <c r="AQ21" s="3" t="inlineStr">
        <is>
          <t>Keine Einstufung: Kennzahlen/Befunde noch nicht ausgewertet; Schwellen der Bewertungslogik noch nicht validiert.</t>
        </is>
      </c>
      <c r="AR21" s="3" t="inlineStr">
        <is>
          <t>Nein</t>
        </is>
      </c>
      <c r="AS21" s="3" t="inlineStr">
        <is>
          <t>Kanton St. Gallen</t>
        </is>
      </c>
      <c r="AT21" s="3" t="inlineStr">
        <is>
          <t>In Prüfung</t>
        </is>
      </c>
      <c r="AU21" s="3" t="inlineStr"/>
      <c r="AV21" s="3" t="inlineStr"/>
      <c r="AW21" s="3" t="inlineStr">
        <is>
          <t>2026-10-14: Link ersetzt (vorher https://www.gesetzessammlung.sg.ch/). Grund: Startseite der Gesetzessammlung durch direkten Erlass ersetzt (RIG sGS 125.1).</t>
        </is>
      </c>
      <c r="AX21" s="3">
        <f>IF(ISNA(MATCH($A21,'Gesamtübersicht'!$A:$A,0)),"ID fehlt in Gesamtübersicht",IF(AND(INDEX('Gesamtübersicht'!$H:$H,MATCH($A21,'Gesamtübersicht'!$A:$A,0))&amp;""=$H21&amp;"",INDEX('Gesamtübersicht'!$M:$M,MATCH($A21,'Gesamtübersicht'!$A:$A,0))&amp;""=$M21&amp;"",INDEX('Gesamtübersicht'!$AD:$AD,MATCH($A21,'Gesamtübersicht'!$A:$A,0))&amp;""=$AD21&amp;"",INDEX('Gesamtübersicht'!$AH:$AH,MATCH($A21,'Gesamtübersicht'!$A:$A,0))&amp;""=$AH21&amp;"",INDEX('Gesamtübersicht'!$T:$T,MATCH($A21,'Gesamtübersicht'!$A:$A,0))&amp;""=$T21&amp;""),"OK","Abweichung – Ansicht neu erzeugen"))</f>
        <v/>
      </c>
    </row>
    <row r="22" ht="43" customHeight="1">
      <c r="A22" s="2" t="inlineStr">
        <is>
          <t>WIL-C1-01</t>
        </is>
      </c>
      <c r="B22" s="15" t="inlineStr">
        <is>
          <t>Gemeinde</t>
        </is>
      </c>
      <c r="C22" s="2" t="inlineStr">
        <is>
          <t>Schweiz</t>
        </is>
      </c>
      <c r="D22" s="2" t="inlineStr">
        <is>
          <t>St. Gallen</t>
        </is>
      </c>
      <c r="E22" s="2" t="inlineStr">
        <is>
          <t>Wil</t>
        </is>
      </c>
      <c r="F22" s="2" t="inlineStr">
        <is>
          <t>C1</t>
        </is>
      </c>
      <c r="G22" s="2" t="inlineStr">
        <is>
          <t>Finanzdaten</t>
        </is>
      </c>
      <c r="H22" s="2" t="inlineStr">
        <is>
          <t>Stadt Wil: Finanzen, Budgets, Jahresrechnungen und Finanzpläne</t>
        </is>
      </c>
      <c r="I22" s="2" t="inlineStr">
        <is>
          <t>Dokumentsammlung</t>
        </is>
      </c>
      <c r="J22" s="2" t="inlineStr">
        <is>
          <t>Offizielle Quelle recherchiert</t>
        </is>
      </c>
      <c r="K22" s="2" t="inlineStr">
        <is>
          <t>Orientierung / Datengrundlage</t>
        </is>
      </c>
      <c r="L22" s="2" t="inlineStr">
        <is>
          <t>Gemeinde Wil</t>
        </is>
      </c>
      <c r="M22" s="5" t="inlineStr">
        <is>
          <t>https://www.stadtwil.ch/topics/stadt-politik-und-recht/finanzen</t>
        </is>
      </c>
      <c r="N22" s="2" t="inlineStr">
        <is>
          <t>Zu prüfen</t>
        </is>
      </c>
      <c r="O22" s="2" t="inlineStr">
        <is>
          <t>2026-10-14</t>
        </is>
      </c>
      <c r="P22" s="2" t="inlineStr">
        <is>
          <t>Jahresrechnung 2025, Budget 2026, Finanz- und Investitionsplan 2026–2030</t>
        </is>
      </c>
      <c r="Q22" s="2" t="inlineStr">
        <is>
          <t>Verschuldung, Selbstfinanzierung, Investitionsbedarf</t>
        </is>
      </c>
      <c r="R22" s="2" t="inlineStr">
        <is>
          <t>Zeitreihe und Planjahre auswerten</t>
        </is>
      </c>
      <c r="S22" s="2" t="inlineStr">
        <is>
          <t>Kanton × Grössenklasse</t>
        </is>
      </c>
      <c r="T22" s="2" t="inlineStr">
        <is>
          <t>Noch nicht bewertet</t>
        </is>
      </c>
      <c r="U22" s="2" t="inlineStr">
        <is>
          <t>Mittel</t>
        </is>
      </c>
      <c r="V22" s="2" t="inlineStr">
        <is>
          <t>Kennzahlen und Befunde noch extrahieren</t>
        </is>
      </c>
      <c r="W22" s="2" t="inlineStr">
        <is>
          <t>A1; C1</t>
        </is>
      </c>
      <c r="X22" s="2" t="inlineStr">
        <is>
          <t>Finanztragfähigkeit</t>
        </is>
      </c>
      <c r="Y22" s="2" t="inlineStr">
        <is>
          <t>Dokument auswerten; Aktualität und Geltung prüfen</t>
        </is>
      </c>
      <c r="Z22" s="2" t="inlineStr">
        <is>
          <t>Webrecherche 14.10.2026</t>
        </is>
      </c>
      <c r="AA22" s="2" t="inlineStr"/>
      <c r="AB22" s="2" t="inlineStr"/>
      <c r="AC22" s="2" t="inlineStr"/>
      <c r="AD22" s="2" t="inlineStr">
        <is>
          <t>Verifiziert</t>
        </is>
      </c>
      <c r="AE22" s="2" t="inlineStr">
        <is>
          <t>200 (HEAD 405)</t>
        </is>
      </c>
      <c r="AF22" s="2" t="inlineStr"/>
      <c r="AG22" s="2" t="inlineStr">
        <is>
          <t>HTML</t>
        </is>
      </c>
      <c r="AH22" s="2" t="inlineStr">
        <is>
          <t>Bestätigt</t>
        </is>
      </c>
      <c r="AI22" s="2" t="inlineStr">
        <is>
          <t>Schlüsselwörter 1/1 gefunden (Finanzen); Ort/Zuständigkeit: Wil</t>
        </is>
      </c>
      <c r="AJ22" s="2" t="inlineStr">
        <is>
          <t>Finanzen | Finanzen</t>
        </is>
      </c>
      <c r="AK22" s="2" t="inlineStr">
        <is>
          <t>2024, 2025, 2023, 2026, 2028, 2027</t>
        </is>
      </c>
      <c r="AL22" s="2" t="inlineStr">
        <is>
          <t>Mittel (Webseite)</t>
        </is>
      </c>
      <c r="AM22" s="2" t="inlineStr">
        <is>
          <t>2026-10-14 13:53</t>
        </is>
      </c>
      <c r="AN22" s="2" t="inlineStr">
        <is>
          <t>Öffentlich verfügbar und verifiziert</t>
        </is>
      </c>
      <c r="AO22" s="2" t="inlineStr">
        <is>
          <t>Zu prüfen</t>
        </is>
      </c>
      <c r="AP22" s="2" t="inlineStr">
        <is>
          <t>Belegt Existenz und Zugänglichkeit der Quelle; inhaltliche Aussagen erst nach Auswertung.</t>
        </is>
      </c>
      <c r="AQ22" s="2" t="inlineStr">
        <is>
          <t>Keine Einstufung: Kennzahlen/Befunde noch nicht ausgewertet; Schwellen der Bewertungslogik noch nicht validiert.</t>
        </is>
      </c>
      <c r="AR22" s="2" t="inlineStr">
        <is>
          <t>Nein</t>
        </is>
      </c>
      <c r="AS22" s="2" t="inlineStr">
        <is>
          <t>Gemeindeverwaltung Wil</t>
        </is>
      </c>
      <c r="AT22" s="2" t="inlineStr">
        <is>
          <t>In Prüfung</t>
        </is>
      </c>
      <c r="AU22" s="2" t="inlineStr"/>
      <c r="AV22" s="2" t="inlineStr"/>
      <c r="AW22" s="2" t="inlineStr"/>
      <c r="AX22" s="2">
        <f>IF(ISNA(MATCH($A22,'Gesamtübersicht'!$A:$A,0)),"ID fehlt in Gesamtübersicht",IF(AND(INDEX('Gesamtübersicht'!$H:$H,MATCH($A22,'Gesamtübersicht'!$A:$A,0))&amp;""=$H22&amp;"",INDEX('Gesamtübersicht'!$M:$M,MATCH($A22,'Gesamtübersicht'!$A:$A,0))&amp;""=$M22&amp;"",INDEX('Gesamtübersicht'!$AD:$AD,MATCH($A22,'Gesamtübersicht'!$A:$A,0))&amp;""=$AD22&amp;"",INDEX('Gesamtübersicht'!$AH:$AH,MATCH($A22,'Gesamtübersicht'!$A:$A,0))&amp;""=$AH22&amp;"",INDEX('Gesamtübersicht'!$T:$T,MATCH($A22,'Gesamtübersicht'!$A:$A,0))&amp;""=$T22&amp;""),"OK","Abweichung – Ansicht neu erzeugen"))</f>
        <v/>
      </c>
    </row>
    <row r="23" ht="43" customHeight="1">
      <c r="A23" s="3" t="inlineStr">
        <is>
          <t>WIL-C1-02</t>
        </is>
      </c>
      <c r="B23" s="15" t="inlineStr">
        <is>
          <t>Gemeinde</t>
        </is>
      </c>
      <c r="C23" s="3" t="inlineStr">
        <is>
          <t>Schweiz</t>
        </is>
      </c>
      <c r="D23" s="3" t="inlineStr">
        <is>
          <t>St. Gallen</t>
        </is>
      </c>
      <c r="E23" s="3" t="inlineStr">
        <is>
          <t>Wil</t>
        </is>
      </c>
      <c r="F23" s="3" t="inlineStr">
        <is>
          <t>C1</t>
        </is>
      </c>
      <c r="G23" s="3" t="inlineStr">
        <is>
          <t>Jahresrechnung</t>
        </is>
      </c>
      <c r="H23" s="3" t="inlineStr">
        <is>
          <t>Jahresrechnung 2025 Stadt Wil: politisches Geschäft</t>
        </is>
      </c>
      <c r="I23" s="3" t="inlineStr">
        <is>
          <t>Geschäft mit Anlagen</t>
        </is>
      </c>
      <c r="J23" s="3" t="inlineStr">
        <is>
          <t>Offizielle Quelle recherchiert</t>
        </is>
      </c>
      <c r="K23" s="3" t="inlineStr">
        <is>
          <t>Orientierung / Datengrundlage</t>
        </is>
      </c>
      <c r="L23" s="3" t="inlineStr">
        <is>
          <t>Gemeinde Wil</t>
        </is>
      </c>
      <c r="M23" s="7" t="inlineStr">
        <is>
          <t>https://www.stadtwil.ch/political-business/28da2d58a16b4b85b0504eeaa7e396dc</t>
        </is>
      </c>
      <c r="N23" s="3" t="inlineStr">
        <is>
          <t>Zu prüfen</t>
        </is>
      </c>
      <c r="O23" s="3" t="inlineStr">
        <is>
          <t>2026-10-14</t>
        </is>
      </c>
      <c r="P23" s="3" t="inlineStr">
        <is>
          <t>Beschluss und Anlagen zur Jahresrechnung 2025</t>
        </is>
      </c>
      <c r="Q23" s="3" t="inlineStr">
        <is>
          <t>Bilanz, Investitionsrechnung</t>
        </is>
      </c>
      <c r="R23" s="3" t="inlineStr">
        <is>
          <t>Anlagen herunterladen und Kennzahlen prüfen</t>
        </is>
      </c>
      <c r="S23" s="3" t="inlineStr">
        <is>
          <t>Kanton × Grössenklasse</t>
        </is>
      </c>
      <c r="T23" s="3" t="inlineStr">
        <is>
          <t>Noch nicht bewertet</t>
        </is>
      </c>
      <c r="U23" s="3" t="inlineStr">
        <is>
          <t>Mittel</t>
        </is>
      </c>
      <c r="V23" s="3" t="inlineStr">
        <is>
          <t>Kennzahlen und Befunde noch extrahieren</t>
        </is>
      </c>
      <c r="W23" s="3" t="inlineStr">
        <is>
          <t>C1</t>
        </is>
      </c>
      <c r="X23" s="3" t="inlineStr">
        <is>
          <t>Finanzbasis</t>
        </is>
      </c>
      <c r="Y23" s="3" t="inlineStr">
        <is>
          <t>Dokument auswerten; Aktualität und Geltung prüfen</t>
        </is>
      </c>
      <c r="Z23" s="3" t="inlineStr">
        <is>
          <t>Webrecherche 14.10.2026</t>
        </is>
      </c>
      <c r="AA23" s="3" t="inlineStr"/>
      <c r="AB23" s="3" t="inlineStr"/>
      <c r="AC23" s="3" t="inlineStr"/>
      <c r="AD23" s="3" t="inlineStr">
        <is>
          <t>Verifiziert</t>
        </is>
      </c>
      <c r="AE23" s="3" t="inlineStr">
        <is>
          <t>200 (HEAD 405)</t>
        </is>
      </c>
      <c r="AF23" s="3" t="inlineStr"/>
      <c r="AG23" s="3" t="inlineStr">
        <is>
          <t>HTML</t>
        </is>
      </c>
      <c r="AH23" s="3" t="inlineStr">
        <is>
          <t>Bestätigt</t>
        </is>
      </c>
      <c r="AI23" s="3" t="inlineStr">
        <is>
          <t>Schlüsselwörter 1/1 gefunden (Jahresrechnung); Ort/Zuständigkeit: Wil</t>
        </is>
      </c>
      <c r="AJ23" s="3" t="inlineStr">
        <is>
          <t>Jahresrechnung 2025 Stadt Wil | Jahresrechnung 2025 Stadt Wil</t>
        </is>
      </c>
      <c r="AK23" s="3" t="inlineStr">
        <is>
          <t>2024, 2025, 2026, 2023, 2028, 2027</t>
        </is>
      </c>
      <c r="AL23" s="3" t="inlineStr">
        <is>
          <t>Mittel (Webseite)</t>
        </is>
      </c>
      <c r="AM23" s="3" t="inlineStr">
        <is>
          <t>2026-10-14 13:53</t>
        </is>
      </c>
      <c r="AN23" s="3" t="inlineStr">
        <is>
          <t>Öffentlich verfügbar und verifiziert</t>
        </is>
      </c>
      <c r="AO23" s="3" t="inlineStr">
        <is>
          <t>Zu prüfen</t>
        </is>
      </c>
      <c r="AP23" s="3" t="inlineStr">
        <is>
          <t>Belegt Existenz und Zugänglichkeit der Quelle; inhaltliche Aussagen erst nach Auswertung.</t>
        </is>
      </c>
      <c r="AQ23" s="3" t="inlineStr">
        <is>
          <t>Keine Einstufung: Kennzahlen/Befunde noch nicht ausgewertet; Schwellen der Bewertungslogik noch nicht validiert.</t>
        </is>
      </c>
      <c r="AR23" s="3" t="inlineStr">
        <is>
          <t>Nein</t>
        </is>
      </c>
      <c r="AS23" s="3" t="inlineStr">
        <is>
          <t>Gemeindeverwaltung Wil</t>
        </is>
      </c>
      <c r="AT23" s="3" t="inlineStr">
        <is>
          <t>In Prüfung</t>
        </is>
      </c>
      <c r="AU23" s="3" t="inlineStr"/>
      <c r="AV23" s="3" t="inlineStr"/>
      <c r="AW23" s="3" t="inlineStr"/>
      <c r="AX23" s="3">
        <f>IF(ISNA(MATCH($A23,'Gesamtübersicht'!$A:$A,0)),"ID fehlt in Gesamtübersicht",IF(AND(INDEX('Gesamtübersicht'!$H:$H,MATCH($A23,'Gesamtübersicht'!$A:$A,0))&amp;""=$H23&amp;"",INDEX('Gesamtübersicht'!$M:$M,MATCH($A23,'Gesamtübersicht'!$A:$A,0))&amp;""=$M23&amp;"",INDEX('Gesamtübersicht'!$AD:$AD,MATCH($A23,'Gesamtübersicht'!$A:$A,0))&amp;""=$AD23&amp;"",INDEX('Gesamtübersicht'!$AH:$AH,MATCH($A23,'Gesamtübersicht'!$A:$A,0))&amp;""=$AH23&amp;"",INDEX('Gesamtübersicht'!$T:$T,MATCH($A23,'Gesamtübersicht'!$A:$A,0))&amp;""=$T23&amp;""),"OK","Abweichung – Ansicht neu erzeugen"))</f>
        <v/>
      </c>
    </row>
    <row r="24" ht="43" customHeight="1">
      <c r="A24" s="2" t="inlineStr">
        <is>
          <t>WIL-C1-03</t>
        </is>
      </c>
      <c r="B24" s="15" t="inlineStr">
        <is>
          <t>Gemeinde</t>
        </is>
      </c>
      <c r="C24" s="2" t="inlineStr">
        <is>
          <t>Schweiz</t>
        </is>
      </c>
      <c r="D24" s="2" t="inlineStr">
        <is>
          <t>St. Gallen</t>
        </is>
      </c>
      <c r="E24" s="2" t="inlineStr">
        <is>
          <t>Wil</t>
        </is>
      </c>
      <c r="F24" s="2" t="inlineStr">
        <is>
          <t>C1</t>
        </is>
      </c>
      <c r="G24" s="2" t="inlineStr">
        <is>
          <t>Jahresrechnung</t>
        </is>
      </c>
      <c r="H24" s="2" t="inlineStr">
        <is>
          <t>Jahresrechnung 2023 der Stadt Wil</t>
        </is>
      </c>
      <c r="I24" s="2" t="inlineStr">
        <is>
          <t>Jahresrechnung</t>
        </is>
      </c>
      <c r="J24" s="2" t="inlineStr">
        <is>
          <t>Direktes Dokument</t>
        </is>
      </c>
      <c r="K24" s="2" t="inlineStr">
        <is>
          <t>Beschlossene Jahresrechnung</t>
        </is>
      </c>
      <c r="L24" s="2" t="inlineStr">
        <is>
          <t>Stadt Wil</t>
        </is>
      </c>
      <c r="M24" s="5" t="inlineStr">
        <is>
          <t>https://www.stadtwil.ch/storage/46c11db85e782dc122cd9a61cc291529509f659681277125f8b019bce5a31b9c</t>
        </is>
      </c>
      <c r="N24" s="2" t="inlineStr">
        <is>
          <t>2023</t>
        </is>
      </c>
      <c r="O24" s="2" t="inlineStr">
        <is>
          <t>2026-10-14</t>
        </is>
      </c>
      <c r="P24" s="2" t="inlineStr"/>
      <c r="Q24" s="2" t="inlineStr"/>
      <c r="R24" s="2" t="inlineStr"/>
      <c r="S24" s="2" t="inlineStr">
        <is>
          <t>Kanton × Grössenklasse</t>
        </is>
      </c>
      <c r="T24" s="2" t="inlineStr">
        <is>
          <t>Noch nicht bewertet</t>
        </is>
      </c>
      <c r="U24" s="2" t="inlineStr">
        <is>
          <t>Hoch</t>
        </is>
      </c>
      <c r="V24" s="2" t="inlineStr"/>
      <c r="W24" s="2" t="inlineStr"/>
      <c r="X24" s="2" t="inlineStr"/>
      <c r="Y24" s="2" t="inlineStr">
        <is>
          <t>Dokument auswerten; Aktualität und Geltung prüfen</t>
        </is>
      </c>
      <c r="Z24" s="2" t="inlineStr">
        <is>
          <t>Automatische Recherche GitHub Actions (Discovery), Fundstelle siehe Spalte Offizielle Fundstelle</t>
        </is>
      </c>
      <c r="AA24" s="2" t="inlineStr"/>
      <c r="AB24" s="2" t="inlineStr"/>
      <c r="AC24" s="5" t="inlineStr">
        <is>
          <t>https://www.stadtwil.ch/topics/stadt-politik-und-recht/finanzen</t>
        </is>
      </c>
      <c r="AD24" s="2" t="inlineStr">
        <is>
          <t>Verifiziert</t>
        </is>
      </c>
      <c r="AE24" s="2" t="inlineStr">
        <is>
          <t>200</t>
        </is>
      </c>
      <c r="AF24" s="2" t="inlineStr"/>
      <c r="AG24" s="2" t="inlineStr">
        <is>
          <t>PDF</t>
        </is>
      </c>
      <c r="AH24" s="2" t="inlineStr">
        <is>
          <t>Bestätigt</t>
        </is>
      </c>
      <c r="AI24" s="2" t="inlineStr">
        <is>
          <t>Schlüsselwörter 2/2 gefunden (Rechnung, 2023); Ort/Zuständigkeit: Wil</t>
        </is>
      </c>
      <c r="AJ24" s="2" t="inlineStr">
        <is>
          <t>Rechnung 2023 - Kurzfassung</t>
        </is>
      </c>
      <c r="AK24" s="2" t="inlineStr">
        <is>
          <t>2023, 2021, 2022, 2019, 2020, 2017</t>
        </is>
      </c>
      <c r="AL24" s="2" t="inlineStr">
        <is>
          <t>Mittel (Webseite)</t>
        </is>
      </c>
      <c r="AM24" s="2" t="inlineStr">
        <is>
          <t>2026-10-14 13:55</t>
        </is>
      </c>
      <c r="AN24" s="2" t="inlineStr">
        <is>
          <t>Öffentlich verfügbar und verifiziert</t>
        </is>
      </c>
      <c r="AO24" s="2" t="inlineStr">
        <is>
          <t>2023</t>
        </is>
      </c>
      <c r="AP24" s="2" t="inlineStr">
        <is>
          <t>Belegt Existenz und Zugänglichkeit der Quelle; inhaltliche Aussagen erst nach Auswertung.</t>
        </is>
      </c>
      <c r="AQ24" s="2" t="inlineStr">
        <is>
          <t>Keine Einstufung: Kennzahlen/Befunde noch nicht ausgewertet; Schwellen der Bewertungslogik noch nicht validiert.</t>
        </is>
      </c>
      <c r="AR24" s="2" t="inlineStr">
        <is>
          <t>Nein</t>
        </is>
      </c>
      <c r="AS24" s="2" t="inlineStr">
        <is>
          <t>Gemeindeverwaltung Wil</t>
        </is>
      </c>
      <c r="AT24" s="2" t="inlineStr">
        <is>
          <t>In Prüfung</t>
        </is>
      </c>
      <c r="AU24" s="2" t="inlineStr">
        <is>
          <t>Frühere Adresse /_docn/5050942/… liefert HTTP 404 (CMS-Umstellung); Link über Finanzseite der Stadt ermittelt.</t>
        </is>
      </c>
      <c r="AV24" s="2" t="inlineStr"/>
      <c r="AW24" s="2" t="inlineStr">
        <is>
          <t>2026-10-14: neu aufgenommen</t>
        </is>
      </c>
      <c r="AX24" s="2">
        <f>IF(ISNA(MATCH($A24,'Gesamtübersicht'!$A:$A,0)),"ID fehlt in Gesamtübersicht",IF(AND(INDEX('Gesamtübersicht'!$H:$H,MATCH($A24,'Gesamtübersicht'!$A:$A,0))&amp;""=$H24&amp;"",INDEX('Gesamtübersicht'!$M:$M,MATCH($A24,'Gesamtübersicht'!$A:$A,0))&amp;""=$M24&amp;"",INDEX('Gesamtübersicht'!$AD:$AD,MATCH($A24,'Gesamtübersicht'!$A:$A,0))&amp;""=$AD24&amp;"",INDEX('Gesamtübersicht'!$AH:$AH,MATCH($A24,'Gesamtübersicht'!$A:$A,0))&amp;""=$AH24&amp;"",INDEX('Gesamtübersicht'!$T:$T,MATCH($A24,'Gesamtübersicht'!$A:$A,0))&amp;""=$T24&amp;""),"OK","Abweichung – Ansicht neu erzeugen"))</f>
        <v/>
      </c>
    </row>
    <row r="25" ht="43" customHeight="1">
      <c r="A25" s="3" t="inlineStr">
        <is>
          <t>WIL-C1-04</t>
        </is>
      </c>
      <c r="B25" s="15" t="inlineStr">
        <is>
          <t>Gemeinde</t>
        </is>
      </c>
      <c r="C25" s="3" t="inlineStr">
        <is>
          <t>Schweiz</t>
        </is>
      </c>
      <c r="D25" s="3" t="inlineStr">
        <is>
          <t>St. Gallen</t>
        </is>
      </c>
      <c r="E25" s="3" t="inlineStr">
        <is>
          <t>Wil</t>
        </is>
      </c>
      <c r="F25" s="3" t="inlineStr">
        <is>
          <t>C1</t>
        </is>
      </c>
      <c r="G25" s="3" t="inlineStr">
        <is>
          <t>Jahresrechnung</t>
        </is>
      </c>
      <c r="H25" s="3" t="inlineStr">
        <is>
          <t>Jahresrechnung 2024 der Stadt Wil</t>
        </is>
      </c>
      <c r="I25" s="3" t="inlineStr">
        <is>
          <t>Jahresrechnung</t>
        </is>
      </c>
      <c r="J25" s="3" t="inlineStr">
        <is>
          <t>Direktes Dokument</t>
        </is>
      </c>
      <c r="K25" s="3" t="inlineStr">
        <is>
          <t>Beschlussvorlage</t>
        </is>
      </c>
      <c r="L25" s="3" t="inlineStr">
        <is>
          <t>Stadt Wil</t>
        </is>
      </c>
      <c r="M25" s="7" t="inlineStr">
        <is>
          <t>https://www.stadtwil.ch/storage/0f0d7ad95464bf91a72506e63d2aae1d5c18327f9bff4bf34b8400c36999b277</t>
        </is>
      </c>
      <c r="N25" s="3" t="inlineStr">
        <is>
          <t>2024</t>
        </is>
      </c>
      <c r="O25" s="3" t="inlineStr">
        <is>
          <t>2026-10-14</t>
        </is>
      </c>
      <c r="P25" s="3" t="inlineStr"/>
      <c r="Q25" s="3" t="inlineStr"/>
      <c r="R25" s="3" t="inlineStr"/>
      <c r="S25" s="3" t="inlineStr">
        <is>
          <t>Kanton × Grössenklasse</t>
        </is>
      </c>
      <c r="T25" s="3" t="inlineStr">
        <is>
          <t>Noch nicht bewertet</t>
        </is>
      </c>
      <c r="U25" s="3" t="inlineStr">
        <is>
          <t>Hoch</t>
        </is>
      </c>
      <c r="V25" s="3" t="inlineStr"/>
      <c r="W25" s="3" t="inlineStr"/>
      <c r="X25" s="3" t="inlineStr"/>
      <c r="Y25" s="3" t="inlineStr">
        <is>
          <t>Dokument auswerten; Aktualität und Geltung prüfen</t>
        </is>
      </c>
      <c r="Z25" s="3" t="inlineStr">
        <is>
          <t>Automatische Recherche GitHub Actions (Discovery), Fundstelle siehe Spalte Offizielle Fundstelle</t>
        </is>
      </c>
      <c r="AA25" s="3" t="inlineStr"/>
      <c r="AB25" s="3" t="inlineStr"/>
      <c r="AC25" s="7" t="inlineStr">
        <is>
          <t>https://www.stadtwil.ch/topics/stadt-politik-und-recht/finanzen</t>
        </is>
      </c>
      <c r="AD25" s="3" t="inlineStr">
        <is>
          <t>Verifiziert</t>
        </is>
      </c>
      <c r="AE25" s="3" t="inlineStr">
        <is>
          <t>200</t>
        </is>
      </c>
      <c r="AF25" s="3" t="inlineStr"/>
      <c r="AG25" s="3" t="inlineStr">
        <is>
          <t>PDF</t>
        </is>
      </c>
      <c r="AH25" s="3" t="inlineStr">
        <is>
          <t>Bestätigt</t>
        </is>
      </c>
      <c r="AI25" s="3" t="inlineStr">
        <is>
          <t>Schlüsselwörter 2/2 gefunden (Rechnung, 2024); Ort/Zuständigkeit: Wil</t>
        </is>
      </c>
      <c r="AJ25" s="3" t="inlineStr">
        <is>
          <t>Rechnung 2024 - Kurzfassung</t>
        </is>
      </c>
      <c r="AK25" s="3" t="inlineStr">
        <is>
          <t>2024, 2021, 2023, 2018, 2019, 2022</t>
        </is>
      </c>
      <c r="AL25" s="3" t="inlineStr">
        <is>
          <t>Mittel (Webseite)</t>
        </is>
      </c>
      <c r="AM25" s="3" t="inlineStr">
        <is>
          <t>2026-10-14 13:55</t>
        </is>
      </c>
      <c r="AN25" s="3" t="inlineStr">
        <is>
          <t>Öffentlich verfügbar und verifiziert</t>
        </is>
      </c>
      <c r="AO25" s="3" t="inlineStr">
        <is>
          <t>2024</t>
        </is>
      </c>
      <c r="AP25" s="3" t="inlineStr">
        <is>
          <t>Belegt Existenz und Zugänglichkeit der Quelle; inhaltliche Aussagen erst nach Auswertung.</t>
        </is>
      </c>
      <c r="AQ25" s="3" t="inlineStr">
        <is>
          <t>Keine Einstufung: Kennzahlen/Befunde noch nicht ausgewertet; Schwellen der Bewertungslogik noch nicht validiert.</t>
        </is>
      </c>
      <c r="AR25" s="3" t="inlineStr">
        <is>
          <t>Nein</t>
        </is>
      </c>
      <c r="AS25" s="3" t="inlineStr">
        <is>
          <t>Gemeindeverwaltung Wil</t>
        </is>
      </c>
      <c r="AT25" s="3" t="inlineStr">
        <is>
          <t>In Prüfung</t>
        </is>
      </c>
      <c r="AU25" s="3" t="inlineStr">
        <is>
          <t>Frühere Adresse /_doc/5592973 liefert HTTP 404 (CMS-Umstellung); Link über Finanzseite der Stadt ermittelt.</t>
        </is>
      </c>
      <c r="AV25" s="3" t="inlineStr"/>
      <c r="AW25" s="3" t="inlineStr">
        <is>
          <t>2026-10-14: neu aufgenommen</t>
        </is>
      </c>
      <c r="AX25" s="3">
        <f>IF(ISNA(MATCH($A25,'Gesamtübersicht'!$A:$A,0)),"ID fehlt in Gesamtübersicht",IF(AND(INDEX('Gesamtübersicht'!$H:$H,MATCH($A25,'Gesamtübersicht'!$A:$A,0))&amp;""=$H25&amp;"",INDEX('Gesamtübersicht'!$M:$M,MATCH($A25,'Gesamtübersicht'!$A:$A,0))&amp;""=$M25&amp;"",INDEX('Gesamtübersicht'!$AD:$AD,MATCH($A25,'Gesamtübersicht'!$A:$A,0))&amp;""=$AD25&amp;"",INDEX('Gesamtübersicht'!$AH:$AH,MATCH($A25,'Gesamtübersicht'!$A:$A,0))&amp;""=$AH25&amp;"",INDEX('Gesamtübersicht'!$T:$T,MATCH($A25,'Gesamtübersicht'!$A:$A,0))&amp;""=$T25&amp;""),"OK","Abweichung – Ansicht neu erzeugen"))</f>
        <v/>
      </c>
    </row>
    <row r="26" ht="43" customHeight="1">
      <c r="A26" s="2" t="inlineStr">
        <is>
          <t>WIL-C1-05</t>
        </is>
      </c>
      <c r="B26" s="15" t="inlineStr">
        <is>
          <t>Gemeinde</t>
        </is>
      </c>
      <c r="C26" s="2" t="inlineStr">
        <is>
          <t>Schweiz</t>
        </is>
      </c>
      <c r="D26" s="2" t="inlineStr">
        <is>
          <t>St. Gallen</t>
        </is>
      </c>
      <c r="E26" s="2" t="inlineStr">
        <is>
          <t>Wil</t>
        </is>
      </c>
      <c r="F26" s="2" t="inlineStr">
        <is>
          <t>C1</t>
        </is>
      </c>
      <c r="G26" s="2" t="inlineStr">
        <is>
          <t>Jahresrechnung</t>
        </is>
      </c>
      <c r="H26" s="2" t="inlineStr">
        <is>
          <t>Rechnung 2025 Stadt Wil – Finanzbericht, Erfolgsrechnung, Bilanz, Anhang</t>
        </is>
      </c>
      <c r="I26" s="2" t="inlineStr">
        <is>
          <t>Jahresrechnung</t>
        </is>
      </c>
      <c r="J26" s="2" t="inlineStr">
        <is>
          <t>Direktes Dokument</t>
        </is>
      </c>
      <c r="K26" s="2" t="inlineStr">
        <is>
          <t>Beschlussvorlage</t>
        </is>
      </c>
      <c r="L26" s="2" t="inlineStr">
        <is>
          <t>Stadt Wil</t>
        </is>
      </c>
      <c r="M26" s="5" t="inlineStr">
        <is>
          <t>https://www.stadtwil.ch/storage/08902ff399818ccc0d53949607b2d0f6f8bf702c334e295d493c2fd842ba4079</t>
        </is>
      </c>
      <c r="N26" s="2" t="inlineStr">
        <is>
          <t>2025</t>
        </is>
      </c>
      <c r="O26" s="2" t="inlineStr">
        <is>
          <t>2026-10-14</t>
        </is>
      </c>
      <c r="P26" s="2" t="inlineStr"/>
      <c r="Q26" s="2" t="inlineStr"/>
      <c r="R26" s="2" t="inlineStr"/>
      <c r="S26" s="2" t="inlineStr">
        <is>
          <t>Kanton × Grössenklasse</t>
        </is>
      </c>
      <c r="T26" s="2" t="inlineStr">
        <is>
          <t>Noch nicht bewertet</t>
        </is>
      </c>
      <c r="U26" s="2" t="inlineStr">
        <is>
          <t>Mittel</t>
        </is>
      </c>
      <c r="V26" s="2" t="inlineStr"/>
      <c r="W26" s="2" t="inlineStr"/>
      <c r="X26" s="2" t="inlineStr"/>
      <c r="Y26" s="2" t="inlineStr">
        <is>
          <t>Dokument auswerten; Aktualität und Geltung prüfen</t>
        </is>
      </c>
      <c r="Z26" s="2" t="inlineStr">
        <is>
          <t>Websuche 14.10.2026 (URL im Suchergebnis gefunden)</t>
        </is>
      </c>
      <c r="AA26" s="2" t="inlineStr"/>
      <c r="AB26" s="2" t="inlineStr"/>
      <c r="AC26" s="2" t="inlineStr"/>
      <c r="AD26" s="2" t="inlineStr">
        <is>
          <t>Verifiziert</t>
        </is>
      </c>
      <c r="AE26" s="2" t="inlineStr">
        <is>
          <t>200</t>
        </is>
      </c>
      <c r="AF26" s="2" t="inlineStr"/>
      <c r="AG26" s="2" t="inlineStr">
        <is>
          <t>PDF</t>
        </is>
      </c>
      <c r="AH26" s="2" t="inlineStr">
        <is>
          <t>Bestätigt</t>
        </is>
      </c>
      <c r="AI26" s="2" t="inlineStr">
        <is>
          <t>Schlüsselwörter 2/2 gefunden (2025, Bilanz); Ort/Zuständigkeit: Wil</t>
        </is>
      </c>
      <c r="AJ26" s="2" t="inlineStr">
        <is>
          <t>Rechnung 2025</t>
        </is>
      </c>
      <c r="AK26" s="2" t="inlineStr">
        <is>
          <t>2025, 2024, 2022, 2023, 2026, 2019</t>
        </is>
      </c>
      <c r="AL26" s="2" t="inlineStr">
        <is>
          <t>Mittel (Webseite)</t>
        </is>
      </c>
      <c r="AM26" s="2" t="inlineStr">
        <is>
          <t>2026-10-14 13:55</t>
        </is>
      </c>
      <c r="AN26" s="2" t="inlineStr">
        <is>
          <t>Öffentlich verfügbar und verifiziert</t>
        </is>
      </c>
      <c r="AO26" s="2" t="inlineStr">
        <is>
          <t>2025</t>
        </is>
      </c>
      <c r="AP26" s="2" t="inlineStr">
        <is>
          <t>Belegt Existenz und Zugänglichkeit der Quelle; inhaltliche Aussagen erst nach Auswertung.</t>
        </is>
      </c>
      <c r="AQ26" s="2" t="inlineStr">
        <is>
          <t>Keine Einstufung: Kennzahlen/Befunde noch nicht ausgewertet; Schwellen der Bewertungslogik noch nicht validiert.</t>
        </is>
      </c>
      <c r="AR26" s="2" t="inlineStr">
        <is>
          <t>Nein</t>
        </is>
      </c>
      <c r="AS26" s="2" t="inlineStr">
        <is>
          <t>Gemeindeverwaltung Wil</t>
        </is>
      </c>
      <c r="AT26" s="2" t="inlineStr">
        <is>
          <t>In Prüfung</t>
        </is>
      </c>
      <c r="AU26" s="2" t="inlineStr">
        <is>
          <t>Zuordnung der Hash-URL stammt aus Suchzusammenfassung; nur Inhaltsprüfung belegt Identität.</t>
        </is>
      </c>
      <c r="AV26" s="2" t="inlineStr"/>
      <c r="AW26" s="2" t="inlineStr">
        <is>
          <t>2026-10-14: neu aufgenommen</t>
        </is>
      </c>
      <c r="AX26" s="2">
        <f>IF(ISNA(MATCH($A26,'Gesamtübersicht'!$A:$A,0)),"ID fehlt in Gesamtübersicht",IF(AND(INDEX('Gesamtübersicht'!$H:$H,MATCH($A26,'Gesamtübersicht'!$A:$A,0))&amp;""=$H26&amp;"",INDEX('Gesamtübersicht'!$M:$M,MATCH($A26,'Gesamtübersicht'!$A:$A,0))&amp;""=$M26&amp;"",INDEX('Gesamtübersicht'!$AD:$AD,MATCH($A26,'Gesamtübersicht'!$A:$A,0))&amp;""=$AD26&amp;"",INDEX('Gesamtübersicht'!$AH:$AH,MATCH($A26,'Gesamtübersicht'!$A:$A,0))&amp;""=$AH26&amp;"",INDEX('Gesamtübersicht'!$T:$T,MATCH($A26,'Gesamtübersicht'!$A:$A,0))&amp;""=$T26&amp;""),"OK","Abweichung – Ansicht neu erzeugen"))</f>
        <v/>
      </c>
    </row>
    <row r="27" ht="43" customHeight="1">
      <c r="A27" s="3" t="inlineStr">
        <is>
          <t>WIL-C1-06</t>
        </is>
      </c>
      <c r="B27" s="15" t="inlineStr">
        <is>
          <t>Gemeinde</t>
        </is>
      </c>
      <c r="C27" s="3" t="inlineStr">
        <is>
          <t>Schweiz</t>
        </is>
      </c>
      <c r="D27" s="3" t="inlineStr">
        <is>
          <t>St. Gallen</t>
        </is>
      </c>
      <c r="E27" s="3" t="inlineStr">
        <is>
          <t>Wil</t>
        </is>
      </c>
      <c r="F27" s="3" t="inlineStr">
        <is>
          <t>C1</t>
        </is>
      </c>
      <c r="G27" s="3" t="inlineStr">
        <is>
          <t>Finanzplanung</t>
        </is>
      </c>
      <c r="H27" s="3" t="inlineStr">
        <is>
          <t>Finanzplan 2026–2030 der Stadt Wil (Stadtrat 23.9.2025)</t>
        </is>
      </c>
      <c r="I27" s="3" t="inlineStr">
        <is>
          <t>Finanzplan</t>
        </is>
      </c>
      <c r="J27" s="3" t="inlineStr">
        <is>
          <t>Direktes Dokument</t>
        </is>
      </c>
      <c r="K27" s="3" t="inlineStr">
        <is>
          <t>Planungsinstrument</t>
        </is>
      </c>
      <c r="L27" s="3" t="inlineStr">
        <is>
          <t>Stadt Wil</t>
        </is>
      </c>
      <c r="M27" s="7" t="inlineStr">
        <is>
          <t>https://www.stadtwil.ch/storage/875d422378d72386aae96efa76356fbfa05e9a0e1e03f208fbbe599dea21021c</t>
        </is>
      </c>
      <c r="N27" s="3" t="inlineStr">
        <is>
          <t>2026–2030</t>
        </is>
      </c>
      <c r="O27" s="3" t="inlineStr">
        <is>
          <t>2026-10-14</t>
        </is>
      </c>
      <c r="P27" s="3" t="inlineStr"/>
      <c r="Q27" s="3" t="inlineStr"/>
      <c r="R27" s="3" t="inlineStr"/>
      <c r="S27" s="3" t="inlineStr">
        <is>
          <t>Kanton × Grössenklasse</t>
        </is>
      </c>
      <c r="T27" s="3" t="inlineStr">
        <is>
          <t>Noch nicht bewertet</t>
        </is>
      </c>
      <c r="U27" s="3" t="inlineStr">
        <is>
          <t>Hoch</t>
        </is>
      </c>
      <c r="V27" s="3" t="inlineStr"/>
      <c r="W27" s="3" t="inlineStr"/>
      <c r="X27" s="3" t="inlineStr"/>
      <c r="Y27" s="3" t="inlineStr">
        <is>
          <t>Dokument auswerten; Aktualität und Geltung prüfen</t>
        </is>
      </c>
      <c r="Z27" s="3" t="inlineStr">
        <is>
          <t>Websuche 14.10.2026 (URL im Suchergebnis gefunden)</t>
        </is>
      </c>
      <c r="AA27" s="3" t="inlineStr"/>
      <c r="AB27" s="3" t="inlineStr"/>
      <c r="AC27" s="7" t="inlineStr">
        <is>
          <t>https://www.stadtwil.ch/topics/stadt-politik-und-recht/finanzen</t>
        </is>
      </c>
      <c r="AD27" s="3" t="inlineStr">
        <is>
          <t>Verifiziert</t>
        </is>
      </c>
      <c r="AE27" s="3" t="inlineStr">
        <is>
          <t>200</t>
        </is>
      </c>
      <c r="AF27" s="3" t="inlineStr"/>
      <c r="AG27" s="3" t="inlineStr">
        <is>
          <t>PDF</t>
        </is>
      </c>
      <c r="AH27" s="3" t="inlineStr">
        <is>
          <t>Bestätigt</t>
        </is>
      </c>
      <c r="AI27" s="3" t="inlineStr">
        <is>
          <t>Schlüsselwörter 2/2 gefunden (Finanzplan, 2030); Ort/Zuständigkeit: Wil</t>
        </is>
      </c>
      <c r="AJ27" s="3" t="inlineStr">
        <is>
          <t>Finanzplan 2026-2030</t>
        </is>
      </c>
      <c r="AK27" s="3" t="inlineStr">
        <is>
          <t>2026, 2030, 2025, 2027, 2028, 2029</t>
        </is>
      </c>
      <c r="AL27" s="3" t="inlineStr">
        <is>
          <t>Mittel (Webseite)</t>
        </is>
      </c>
      <c r="AM27" s="3" t="inlineStr">
        <is>
          <t>2026-10-14 13:55</t>
        </is>
      </c>
      <c r="AN27" s="3" t="inlineStr">
        <is>
          <t>Öffentlich verfügbar und verifiziert</t>
        </is>
      </c>
      <c r="AO27" s="3" t="inlineStr">
        <is>
          <t>2026–2030</t>
        </is>
      </c>
      <c r="AP27" s="3" t="inlineStr">
        <is>
          <t>Belegt Existenz und Zugänglichkeit der Quelle; inhaltliche Aussagen erst nach Auswertung.</t>
        </is>
      </c>
      <c r="AQ27" s="3" t="inlineStr">
        <is>
          <t>Keine Einstufung: Kennzahlen/Befunde noch nicht ausgewertet; Schwellen der Bewertungslogik noch nicht validiert.</t>
        </is>
      </c>
      <c r="AR27" s="3" t="inlineStr">
        <is>
          <t>Nein</t>
        </is>
      </c>
      <c r="AS27" s="3" t="inlineStr">
        <is>
          <t>Gemeindeverwaltung Wil</t>
        </is>
      </c>
      <c r="AT27" s="3" t="inlineStr">
        <is>
          <t>In Prüfung</t>
        </is>
      </c>
      <c r="AU27" s="3" t="inlineStr"/>
      <c r="AV27" s="3" t="inlineStr"/>
      <c r="AW27" s="3" t="inlineStr">
        <is>
          <t>2026-10-14: neu aufgenommen</t>
        </is>
      </c>
      <c r="AX27" s="3">
        <f>IF(ISNA(MATCH($A27,'Gesamtübersicht'!$A:$A,0)),"ID fehlt in Gesamtübersicht",IF(AND(INDEX('Gesamtübersicht'!$H:$H,MATCH($A27,'Gesamtübersicht'!$A:$A,0))&amp;""=$H27&amp;"",INDEX('Gesamtübersicht'!$M:$M,MATCH($A27,'Gesamtübersicht'!$A:$A,0))&amp;""=$M27&amp;"",INDEX('Gesamtübersicht'!$AD:$AD,MATCH($A27,'Gesamtübersicht'!$A:$A,0))&amp;""=$AD27&amp;"",INDEX('Gesamtübersicht'!$AH:$AH,MATCH($A27,'Gesamtübersicht'!$A:$A,0))&amp;""=$AH27&amp;"",INDEX('Gesamtübersicht'!$T:$T,MATCH($A27,'Gesamtübersicht'!$A:$A,0))&amp;""=$T27&amp;""),"OK","Abweichung – Ansicht neu erzeugen"))</f>
        <v/>
      </c>
    </row>
    <row r="28" ht="43" customHeight="1">
      <c r="A28" s="2" t="inlineStr">
        <is>
          <t>WIL-C1-07</t>
        </is>
      </c>
      <c r="B28" s="15" t="inlineStr">
        <is>
          <t>Gemeinde</t>
        </is>
      </c>
      <c r="C28" s="2" t="inlineStr">
        <is>
          <t>Schweiz</t>
        </is>
      </c>
      <c r="D28" s="2" t="inlineStr">
        <is>
          <t>St. Gallen</t>
        </is>
      </c>
      <c r="E28" s="2" t="inlineStr">
        <is>
          <t>Wil</t>
        </is>
      </c>
      <c r="F28" s="2" t="inlineStr">
        <is>
          <t>C1</t>
        </is>
      </c>
      <c r="G28" s="2" t="inlineStr">
        <is>
          <t>Investitionen</t>
        </is>
      </c>
      <c r="H28" s="2" t="inlineStr">
        <is>
          <t>Investitionsplan 2026–2030 der Stadt Wil</t>
        </is>
      </c>
      <c r="I28" s="2" t="inlineStr">
        <is>
          <t>Investitionsplan</t>
        </is>
      </c>
      <c r="J28" s="2" t="inlineStr">
        <is>
          <t>Direktes Dokument</t>
        </is>
      </c>
      <c r="K28" s="2" t="inlineStr">
        <is>
          <t>Planungsinstrument</t>
        </is>
      </c>
      <c r="L28" s="2" t="inlineStr">
        <is>
          <t>Stadt Wil</t>
        </is>
      </c>
      <c r="M28" s="5" t="inlineStr">
        <is>
          <t>https://www.stadtwil.ch/storage/c6097b5ae815fb81f14b4db7630b14d9452e3be1ae3cbddd9f8e28d9d0777c7f</t>
        </is>
      </c>
      <c r="N28" s="2" t="inlineStr">
        <is>
          <t>2026–2030</t>
        </is>
      </c>
      <c r="O28" s="2" t="inlineStr">
        <is>
          <t>2026-10-14</t>
        </is>
      </c>
      <c r="P28" s="2" t="inlineStr"/>
      <c r="Q28" s="2" t="inlineStr"/>
      <c r="R28" s="2" t="inlineStr"/>
      <c r="S28" s="2" t="inlineStr">
        <is>
          <t>Kanton × Grössenklasse</t>
        </is>
      </c>
      <c r="T28" s="2" t="inlineStr">
        <is>
          <t>Noch nicht bewertet</t>
        </is>
      </c>
      <c r="U28" s="2" t="inlineStr">
        <is>
          <t>Hoch</t>
        </is>
      </c>
      <c r="V28" s="2" t="inlineStr"/>
      <c r="W28" s="2" t="inlineStr"/>
      <c r="X28" s="2" t="inlineStr"/>
      <c r="Y28" s="2" t="inlineStr">
        <is>
          <t>Dokument auswerten; Aktualität und Geltung prüfen</t>
        </is>
      </c>
      <c r="Z28" s="2" t="inlineStr">
        <is>
          <t>Automatische Recherche GitHub Actions (Discovery), Fundstelle siehe Spalte Offizielle Fundstelle</t>
        </is>
      </c>
      <c r="AA28" s="2" t="inlineStr"/>
      <c r="AB28" s="2" t="inlineStr"/>
      <c r="AC28" s="5" t="inlineStr">
        <is>
          <t>https://www.stadtwil.ch/topics/stadt-politik-und-recht/finanzen</t>
        </is>
      </c>
      <c r="AD28" s="2" t="inlineStr">
        <is>
          <t>Verifiziert</t>
        </is>
      </c>
      <c r="AE28" s="2" t="inlineStr">
        <is>
          <t>200</t>
        </is>
      </c>
      <c r="AF28" s="2" t="inlineStr"/>
      <c r="AG28" s="2" t="inlineStr">
        <is>
          <t>PDF</t>
        </is>
      </c>
      <c r="AH28" s="2" t="inlineStr">
        <is>
          <t>Bestätigt</t>
        </is>
      </c>
      <c r="AI28" s="2" t="inlineStr">
        <is>
          <t>Schlüsselwörter 2/2 gefunden (Investitionsplan, 2030); Ort/Zuständigkeit: Wil</t>
        </is>
      </c>
      <c r="AJ28" s="2" t="inlineStr">
        <is>
          <t>Investitionsplan 2026-2030</t>
        </is>
      </c>
      <c r="AK28" s="2" t="inlineStr">
        <is>
          <t>2024, 2026, 2030, 2025, 2023, 2027</t>
        </is>
      </c>
      <c r="AL28" s="2" t="inlineStr">
        <is>
          <t>Mittel (Webseite)</t>
        </is>
      </c>
      <c r="AM28" s="2" t="inlineStr">
        <is>
          <t>2026-10-14 13:55</t>
        </is>
      </c>
      <c r="AN28" s="2" t="inlineStr">
        <is>
          <t>Öffentlich verfügbar und verifiziert</t>
        </is>
      </c>
      <c r="AO28" s="2" t="inlineStr">
        <is>
          <t>2026–2030</t>
        </is>
      </c>
      <c r="AP28" s="2" t="inlineStr">
        <is>
          <t>Belegt Existenz und Zugänglichkeit der Quelle; inhaltliche Aussagen erst nach Auswertung.</t>
        </is>
      </c>
      <c r="AQ28" s="2" t="inlineStr">
        <is>
          <t>Keine Einstufung: Kennzahlen/Befunde noch nicht ausgewertet; Schwellen der Bewertungslogik noch nicht validiert.</t>
        </is>
      </c>
      <c r="AR28" s="2" t="inlineStr">
        <is>
          <t>Nein</t>
        </is>
      </c>
      <c r="AS28" s="2" t="inlineStr">
        <is>
          <t>Gemeindeverwaltung Wil</t>
        </is>
      </c>
      <c r="AT28" s="2" t="inlineStr">
        <is>
          <t>In Prüfung</t>
        </is>
      </c>
      <c r="AU28" s="2" t="inlineStr"/>
      <c r="AV28" s="2" t="inlineStr"/>
      <c r="AW28" s="2" t="inlineStr">
        <is>
          <t>2026-10-14: neu aufgenommen</t>
        </is>
      </c>
      <c r="AX28" s="2">
        <f>IF(ISNA(MATCH($A28,'Gesamtübersicht'!$A:$A,0)),"ID fehlt in Gesamtübersicht",IF(AND(INDEX('Gesamtübersicht'!$H:$H,MATCH($A28,'Gesamtübersicht'!$A:$A,0))&amp;""=$H28&amp;"",INDEX('Gesamtübersicht'!$M:$M,MATCH($A28,'Gesamtübersicht'!$A:$A,0))&amp;""=$M28&amp;"",INDEX('Gesamtübersicht'!$AD:$AD,MATCH($A28,'Gesamtübersicht'!$A:$A,0))&amp;""=$AD28&amp;"",INDEX('Gesamtübersicht'!$AH:$AH,MATCH($A28,'Gesamtübersicht'!$A:$A,0))&amp;""=$AH28&amp;"",INDEX('Gesamtübersicht'!$T:$T,MATCH($A28,'Gesamtübersicht'!$A:$A,0))&amp;""=$T28&amp;""),"OK","Abweichung – Ansicht neu erzeugen"))</f>
        <v/>
      </c>
    </row>
    <row r="29" ht="43" customHeight="1">
      <c r="A29" s="3" t="inlineStr">
        <is>
          <t>WIL-C1-08</t>
        </is>
      </c>
      <c r="B29" s="15" t="inlineStr">
        <is>
          <t>Gemeinde</t>
        </is>
      </c>
      <c r="C29" s="3" t="inlineStr">
        <is>
          <t>Schweiz</t>
        </is>
      </c>
      <c r="D29" s="3" t="inlineStr">
        <is>
          <t>St. Gallen</t>
        </is>
      </c>
      <c r="E29" s="3" t="inlineStr">
        <is>
          <t>Wil</t>
        </is>
      </c>
      <c r="F29" s="3" t="inlineStr">
        <is>
          <t>C1</t>
        </is>
      </c>
      <c r="G29" s="3" t="inlineStr">
        <is>
          <t>Budget</t>
        </is>
      </c>
      <c r="H29" s="3" t="inlineStr">
        <is>
          <t>Budget 2026 der Stadt Wil</t>
        </is>
      </c>
      <c r="I29" s="3" t="inlineStr">
        <is>
          <t>Budget</t>
        </is>
      </c>
      <c r="J29" s="3" t="inlineStr">
        <is>
          <t>Direktes Dokument</t>
        </is>
      </c>
      <c r="K29" s="3" t="inlineStr">
        <is>
          <t>Beschlussvorlage</t>
        </is>
      </c>
      <c r="L29" s="3" t="inlineStr">
        <is>
          <t>Stadt Wil</t>
        </is>
      </c>
      <c r="M29" s="7" t="inlineStr">
        <is>
          <t>https://www.stadtwil.ch/storage/2ecd9e697734cc2262543c9da23828c2b6ad0129cf1654fcfa47f21ba113bf8a</t>
        </is>
      </c>
      <c r="N29" s="3" t="inlineStr">
        <is>
          <t>2026</t>
        </is>
      </c>
      <c r="O29" s="3" t="inlineStr">
        <is>
          <t>2026-10-14</t>
        </is>
      </c>
      <c r="P29" s="3" t="inlineStr"/>
      <c r="Q29" s="3" t="inlineStr"/>
      <c r="R29" s="3" t="inlineStr"/>
      <c r="S29" s="3" t="inlineStr">
        <is>
          <t>Kanton × Grössenklasse</t>
        </is>
      </c>
      <c r="T29" s="3" t="inlineStr">
        <is>
          <t>Noch nicht bewertet</t>
        </is>
      </c>
      <c r="U29" s="3" t="inlineStr">
        <is>
          <t>Hoch</t>
        </is>
      </c>
      <c r="V29" s="3" t="inlineStr"/>
      <c r="W29" s="3" t="inlineStr"/>
      <c r="X29" s="3" t="inlineStr"/>
      <c r="Y29" s="3" t="inlineStr">
        <is>
          <t>Dokument auswerten; Aktualität und Geltung prüfen</t>
        </is>
      </c>
      <c r="Z29" s="3" t="inlineStr">
        <is>
          <t>Automatische Recherche GitHub Actions (Discovery), Fundstelle siehe Spalte Offizielle Fundstelle</t>
        </is>
      </c>
      <c r="AA29" s="3" t="inlineStr"/>
      <c r="AB29" s="3" t="inlineStr"/>
      <c r="AC29" s="7" t="inlineStr">
        <is>
          <t>https://www.stadtwil.ch/topics/stadt-politik-und-recht/finanzen</t>
        </is>
      </c>
      <c r="AD29" s="3" t="inlineStr">
        <is>
          <t>Verifiziert</t>
        </is>
      </c>
      <c r="AE29" s="3" t="inlineStr">
        <is>
          <t>200</t>
        </is>
      </c>
      <c r="AF29" s="3" t="inlineStr"/>
      <c r="AG29" s="3" t="inlineStr">
        <is>
          <t>PDF</t>
        </is>
      </c>
      <c r="AH29" s="3" t="inlineStr">
        <is>
          <t>Bestätigt</t>
        </is>
      </c>
      <c r="AI29" s="3" t="inlineStr">
        <is>
          <t>Schlüsselwörter 2/2 gefunden (Budget, 2026); Ort/Zuständigkeit: Wil</t>
        </is>
      </c>
      <c r="AJ29" s="3" t="inlineStr">
        <is>
          <t>Budget 2026</t>
        </is>
      </c>
      <c r="AK29" s="3" t="inlineStr">
        <is>
          <t>2026, 2025, 2023, 2024, 2027, 2005</t>
        </is>
      </c>
      <c r="AL29" s="3" t="inlineStr">
        <is>
          <t>Mittel (Webseite)</t>
        </is>
      </c>
      <c r="AM29" s="3" t="inlineStr">
        <is>
          <t>2026-10-14 13:55</t>
        </is>
      </c>
      <c r="AN29" s="3" t="inlineStr">
        <is>
          <t>Öffentlich verfügbar und verifiziert</t>
        </is>
      </c>
      <c r="AO29" s="3" t="inlineStr">
        <is>
          <t>2026</t>
        </is>
      </c>
      <c r="AP29" s="3" t="inlineStr">
        <is>
          <t>Belegt Existenz und Zugänglichkeit der Quelle; inhaltliche Aussagen erst nach Auswertung.</t>
        </is>
      </c>
      <c r="AQ29" s="3" t="inlineStr">
        <is>
          <t>Keine Einstufung: Kennzahlen/Befunde noch nicht ausgewertet; Schwellen der Bewertungslogik noch nicht validiert.</t>
        </is>
      </c>
      <c r="AR29" s="3" t="inlineStr">
        <is>
          <t>Nein</t>
        </is>
      </c>
      <c r="AS29" s="3" t="inlineStr">
        <is>
          <t>Gemeindeverwaltung Wil</t>
        </is>
      </c>
      <c r="AT29" s="3" t="inlineStr">
        <is>
          <t>In Prüfung</t>
        </is>
      </c>
      <c r="AU29" s="3" t="inlineStr">
        <is>
          <t>Steuerfuss-Referendum 2026 – Beschlussstand prüfen.</t>
        </is>
      </c>
      <c r="AV29" s="3" t="inlineStr"/>
      <c r="AW29" s="3" t="inlineStr">
        <is>
          <t>2026-10-14: neu aufgenommen</t>
        </is>
      </c>
      <c r="AX29" s="3">
        <f>IF(ISNA(MATCH($A29,'Gesamtübersicht'!$A:$A,0)),"ID fehlt in Gesamtübersicht",IF(AND(INDEX('Gesamtübersicht'!$H:$H,MATCH($A29,'Gesamtübersicht'!$A:$A,0))&amp;""=$H29&amp;"",INDEX('Gesamtübersicht'!$M:$M,MATCH($A29,'Gesamtübersicht'!$A:$A,0))&amp;""=$M29&amp;"",INDEX('Gesamtübersicht'!$AD:$AD,MATCH($A29,'Gesamtübersicht'!$A:$A,0))&amp;""=$AD29&amp;"",INDEX('Gesamtübersicht'!$AH:$AH,MATCH($A29,'Gesamtübersicht'!$A:$A,0))&amp;""=$AH29&amp;"",INDEX('Gesamtübersicht'!$T:$T,MATCH($A29,'Gesamtübersicht'!$A:$A,0))&amp;""=$T29&amp;""),"OK","Abweichung – Ansicht neu erzeugen"))</f>
        <v/>
      </c>
    </row>
    <row r="30" ht="43" customHeight="1">
      <c r="A30" s="2" t="inlineStr">
        <is>
          <t>WIL-C1-09</t>
        </is>
      </c>
      <c r="B30" s="15" t="inlineStr">
        <is>
          <t>Gemeinde</t>
        </is>
      </c>
      <c r="C30" s="2" t="inlineStr">
        <is>
          <t>Schweiz</t>
        </is>
      </c>
      <c r="D30" s="2" t="inlineStr">
        <is>
          <t>St. Gallen</t>
        </is>
      </c>
      <c r="E30" s="2" t="inlineStr">
        <is>
          <t>Wil</t>
        </is>
      </c>
      <c r="F30" s="2" t="inlineStr">
        <is>
          <t>C1</t>
        </is>
      </c>
      <c r="G30" s="2" t="inlineStr">
        <is>
          <t>Beteiligungen / Rechnung</t>
        </is>
      </c>
      <c r="H30" s="2" t="inlineStr">
        <is>
          <t>Jahresrechnung 2025 Technische Betriebe Wil (TBW) – Bericht und Antrag</t>
        </is>
      </c>
      <c r="I30" s="2" t="inlineStr">
        <is>
          <t>Jahresrechnung Unternehmen</t>
        </is>
      </c>
      <c r="J30" s="2" t="inlineStr">
        <is>
          <t>Direktes Dokument</t>
        </is>
      </c>
      <c r="K30" s="2" t="inlineStr">
        <is>
          <t>Beschlussvorlage</t>
        </is>
      </c>
      <c r="L30" s="2" t="inlineStr">
        <is>
          <t>Stadt Wil / Technische Betriebe Wil</t>
        </is>
      </c>
      <c r="M30" s="5" t="inlineStr">
        <is>
          <t>https://www.stadtwil.ch/storage/9bf65acd52bfa75c91cc42760759e0ffc3a76d501e7d174c010444c290801cc2</t>
        </is>
      </c>
      <c r="N30" s="2" t="inlineStr">
        <is>
          <t>2025</t>
        </is>
      </c>
      <c r="O30" s="2" t="inlineStr">
        <is>
          <t>2026-10-14</t>
        </is>
      </c>
      <c r="P30" s="2" t="inlineStr">
        <is>
          <t>Gewinnablieferung und Abgaben der TBW an die Stadt</t>
        </is>
      </c>
      <c r="Q30" s="2" t="inlineStr"/>
      <c r="R30" s="2" t="inlineStr"/>
      <c r="S30" s="2" t="inlineStr">
        <is>
          <t>Kanton × Grössenklasse</t>
        </is>
      </c>
      <c r="T30" s="2" t="inlineStr">
        <is>
          <t>Noch nicht bewertet</t>
        </is>
      </c>
      <c r="U30" s="2" t="inlineStr">
        <is>
          <t>Mittel</t>
        </is>
      </c>
      <c r="V30" s="2" t="inlineStr"/>
      <c r="W30" s="2" t="inlineStr"/>
      <c r="X30" s="2" t="inlineStr"/>
      <c r="Y30" s="2" t="inlineStr">
        <is>
          <t>Dokument auswerten; Aktualität und Geltung prüfen</t>
        </is>
      </c>
      <c r="Z30" s="2" t="inlineStr">
        <is>
          <t>Websuche 14.10.2026 (URL im Suchergebnis gefunden)</t>
        </is>
      </c>
      <c r="AA30" s="2" t="inlineStr">
        <is>
          <t>C3</t>
        </is>
      </c>
      <c r="AB30" s="2" t="inlineStr"/>
      <c r="AC30" s="2" t="inlineStr"/>
      <c r="AD30" s="2" t="inlineStr">
        <is>
          <t>Verifiziert</t>
        </is>
      </c>
      <c r="AE30" s="2" t="inlineStr">
        <is>
          <t>200</t>
        </is>
      </c>
      <c r="AF30" s="2" t="inlineStr"/>
      <c r="AG30" s="2" t="inlineStr">
        <is>
          <t>PDF</t>
        </is>
      </c>
      <c r="AH30" s="2" t="inlineStr">
        <is>
          <t>Bestätigt</t>
        </is>
      </c>
      <c r="AI30" s="2" t="inlineStr">
        <is>
          <t>Schlüsselwörter 2/2 gefunden (Technische Betriebe, 2025); Ort/Zuständigkeit: Wil</t>
        </is>
      </c>
      <c r="AJ30" s="2" t="inlineStr">
        <is>
          <t>Marktgasse 58</t>
        </is>
      </c>
      <c r="AK30" s="2" t="inlineStr">
        <is>
          <t>2025, 2026, 2024, 2019</t>
        </is>
      </c>
      <c r="AL30" s="2" t="inlineStr">
        <is>
          <t>Mittel (Webseite)</t>
        </is>
      </c>
      <c r="AM30" s="2" t="inlineStr">
        <is>
          <t>2026-10-14 13:55</t>
        </is>
      </c>
      <c r="AN30" s="2" t="inlineStr">
        <is>
          <t>Öffentlich verfügbar und verifiziert</t>
        </is>
      </c>
      <c r="AO30" s="2" t="inlineStr">
        <is>
          <t>2025</t>
        </is>
      </c>
      <c r="AP30" s="2" t="inlineStr">
        <is>
          <t>Belegt Existenz und Zugänglichkeit der Quelle; inhaltliche Aussagen erst nach Auswertung.</t>
        </is>
      </c>
      <c r="AQ30" s="2" t="inlineStr">
        <is>
          <t>Keine Einstufung: Kennzahlen/Befunde noch nicht ausgewertet; Schwellen der Bewertungslogik noch nicht validiert.</t>
        </is>
      </c>
      <c r="AR30" s="2" t="inlineStr">
        <is>
          <t>Nein</t>
        </is>
      </c>
      <c r="AS30" s="2" t="inlineStr">
        <is>
          <t>Gemeindeverwaltung Wil</t>
        </is>
      </c>
      <c r="AT30" s="2" t="inlineStr">
        <is>
          <t>In Prüfung</t>
        </is>
      </c>
      <c r="AU30" s="2" t="inlineStr"/>
      <c r="AV30" s="2" t="inlineStr"/>
      <c r="AW30" s="2" t="inlineStr">
        <is>
          <t>2026-10-14: neu aufgenommen</t>
        </is>
      </c>
      <c r="AX30" s="2">
        <f>IF(ISNA(MATCH($A30,'Gesamtübersicht'!$A:$A,0)),"ID fehlt in Gesamtübersicht",IF(AND(INDEX('Gesamtübersicht'!$H:$H,MATCH($A30,'Gesamtübersicht'!$A:$A,0))&amp;""=$H30&amp;"",INDEX('Gesamtübersicht'!$M:$M,MATCH($A30,'Gesamtübersicht'!$A:$A,0))&amp;""=$M30&amp;"",INDEX('Gesamtübersicht'!$AD:$AD,MATCH($A30,'Gesamtübersicht'!$A:$A,0))&amp;""=$AD30&amp;"",INDEX('Gesamtübersicht'!$AH:$AH,MATCH($A30,'Gesamtübersicht'!$A:$A,0))&amp;""=$AH30&amp;"",INDEX('Gesamtübersicht'!$T:$T,MATCH($A30,'Gesamtübersicht'!$A:$A,0))&amp;""=$T30&amp;""),"OK","Abweichung – Ansicht neu erzeugen"))</f>
        <v/>
      </c>
    </row>
    <row r="31" ht="43" customHeight="1">
      <c r="A31" s="3" t="inlineStr">
        <is>
          <t>WIL-C1-10</t>
        </is>
      </c>
      <c r="B31" s="15" t="inlineStr">
        <is>
          <t>Gemeinde</t>
        </is>
      </c>
      <c r="C31" s="3" t="inlineStr">
        <is>
          <t>Schweiz</t>
        </is>
      </c>
      <c r="D31" s="3" t="inlineStr">
        <is>
          <t>St. Gallen</t>
        </is>
      </c>
      <c r="E31" s="3" t="inlineStr">
        <is>
          <t>Wil</t>
        </is>
      </c>
      <c r="F31" s="3" t="inlineStr">
        <is>
          <t>C1</t>
        </is>
      </c>
      <c r="G31" s="3" t="inlineStr">
        <is>
          <t>Budget</t>
        </is>
      </c>
      <c r="H31" s="3" t="inlineStr">
        <is>
          <t>Budget 2027 der Stadt Wil</t>
        </is>
      </c>
      <c r="I31" s="3" t="inlineStr">
        <is>
          <t>Budget</t>
        </is>
      </c>
      <c r="J31" s="3" t="inlineStr">
        <is>
          <t>Direktes Dokument</t>
        </is>
      </c>
      <c r="K31" s="3" t="inlineStr">
        <is>
          <t>Vorlage (Beschluss Stadtparlament ausstehend/prüfen)</t>
        </is>
      </c>
      <c r="L31" s="3" t="inlineStr">
        <is>
          <t>Stadt Wil</t>
        </is>
      </c>
      <c r="M31" s="7" t="inlineStr">
        <is>
          <t>https://www.stadtwil.ch/storage/86c954451190b5683f4cea602b5746ce096ff6338c9f35fbea68172b58f684d1</t>
        </is>
      </c>
      <c r="N31" s="3" t="inlineStr">
        <is>
          <t>2027</t>
        </is>
      </c>
      <c r="O31" s="3" t="inlineStr">
        <is>
          <t>2026-10-14</t>
        </is>
      </c>
      <c r="P31" s="3" t="inlineStr">
        <is>
          <t>Aktuellster Planungsstand Erfolgsrechnung/Investitionen</t>
        </is>
      </c>
      <c r="Q31" s="3" t="inlineStr"/>
      <c r="R31" s="3" t="inlineStr"/>
      <c r="S31" s="3" t="inlineStr">
        <is>
          <t>Kanton × Grössenklasse</t>
        </is>
      </c>
      <c r="T31" s="3" t="inlineStr">
        <is>
          <t>Noch nicht bewertet</t>
        </is>
      </c>
      <c r="U31" s="3" t="inlineStr">
        <is>
          <t>Hoch</t>
        </is>
      </c>
      <c r="V31" s="3" t="inlineStr"/>
      <c r="W31" s="3" t="inlineStr"/>
      <c r="X31" s="3" t="inlineStr"/>
      <c r="Y31" s="3" t="inlineStr">
        <is>
          <t>Dokument auswerten; Aktualität und Geltung prüfen</t>
        </is>
      </c>
      <c r="Z31" s="3" t="inlineStr">
        <is>
          <t>Automatische Recherche GitHub Actions (Discovery), Fundstelle siehe Spalte Offizielle Fundstelle</t>
        </is>
      </c>
      <c r="AA31" s="3" t="inlineStr"/>
      <c r="AB31" s="3" t="inlineStr"/>
      <c r="AC31" s="7" t="inlineStr">
        <is>
          <t>https://www.stadtwil.ch/topics/stadt-politik-und-recht/finanzen</t>
        </is>
      </c>
      <c r="AD31" s="3" t="inlineStr">
        <is>
          <t>Verifiziert</t>
        </is>
      </c>
      <c r="AE31" s="3" t="inlineStr">
        <is>
          <t>200</t>
        </is>
      </c>
      <c r="AF31" s="3" t="inlineStr"/>
      <c r="AG31" s="3" t="inlineStr">
        <is>
          <t>PDF</t>
        </is>
      </c>
      <c r="AH31" s="3" t="inlineStr">
        <is>
          <t>Bestätigt</t>
        </is>
      </c>
      <c r="AI31" s="3" t="inlineStr">
        <is>
          <t>Schlüsselwörter 2/2 gefunden (Budget, 2027); Ort/Zuständigkeit: Wil</t>
        </is>
      </c>
      <c r="AJ31" s="3" t="inlineStr">
        <is>
          <t>Budget 2027</t>
        </is>
      </c>
      <c r="AK31" s="3" t="inlineStr">
        <is>
          <t>2027, 2026, 2030, 2025, 2024, 2023</t>
        </is>
      </c>
      <c r="AL31" s="3" t="inlineStr">
        <is>
          <t>Mittel (Webseite)</t>
        </is>
      </c>
      <c r="AM31" s="3" t="inlineStr">
        <is>
          <t>2026-10-14 13:55</t>
        </is>
      </c>
      <c r="AN31" s="3" t="inlineStr">
        <is>
          <t>Öffentlich verfügbar und verifiziert</t>
        </is>
      </c>
      <c r="AO31" s="3" t="inlineStr">
        <is>
          <t>2027</t>
        </is>
      </c>
      <c r="AP31" s="3" t="inlineStr">
        <is>
          <t>Belegt Existenz und Zugänglichkeit der Quelle; inhaltliche Aussagen erst nach Auswertung.</t>
        </is>
      </c>
      <c r="AQ31" s="3" t="inlineStr">
        <is>
          <t>Keine Einstufung: Kennzahlen/Befunde noch nicht ausgewertet; Schwellen der Bewertungslogik noch nicht validiert.</t>
        </is>
      </c>
      <c r="AR31" s="3" t="inlineStr">
        <is>
          <t>Nein</t>
        </is>
      </c>
      <c r="AS31" s="3" t="inlineStr">
        <is>
          <t>Gemeindeverwaltung Wil</t>
        </is>
      </c>
      <c r="AT31" s="3" t="inlineStr">
        <is>
          <t>In Prüfung</t>
        </is>
      </c>
      <c r="AU31" s="3" t="inlineStr">
        <is>
          <t>Beschlussstand prüfen.</t>
        </is>
      </c>
      <c r="AV31" s="3" t="inlineStr"/>
      <c r="AW31" s="3" t="inlineStr">
        <is>
          <t>2026-10-14: neu aufgenommen</t>
        </is>
      </c>
      <c r="AX31" s="3">
        <f>IF(ISNA(MATCH($A31,'Gesamtübersicht'!$A:$A,0)),"ID fehlt in Gesamtübersicht",IF(AND(INDEX('Gesamtübersicht'!$H:$H,MATCH($A31,'Gesamtübersicht'!$A:$A,0))&amp;""=$H31&amp;"",INDEX('Gesamtübersicht'!$M:$M,MATCH($A31,'Gesamtübersicht'!$A:$A,0))&amp;""=$M31&amp;"",INDEX('Gesamtübersicht'!$AD:$AD,MATCH($A31,'Gesamtübersicht'!$A:$A,0))&amp;""=$AD31&amp;"",INDEX('Gesamtübersicht'!$AH:$AH,MATCH($A31,'Gesamtübersicht'!$A:$A,0))&amp;""=$AH31&amp;"",INDEX('Gesamtübersicht'!$T:$T,MATCH($A31,'Gesamtübersicht'!$A:$A,0))&amp;""=$T31&amp;""),"OK","Abweichung – Ansicht neu erzeugen"))</f>
        <v/>
      </c>
    </row>
    <row r="32" ht="43" customHeight="1">
      <c r="A32" s="2" t="inlineStr">
        <is>
          <t>WIL-C1-11</t>
        </is>
      </c>
      <c r="B32" s="15" t="inlineStr">
        <is>
          <t>Gemeinde</t>
        </is>
      </c>
      <c r="C32" s="2" t="inlineStr">
        <is>
          <t>Schweiz</t>
        </is>
      </c>
      <c r="D32" s="2" t="inlineStr">
        <is>
          <t>St. Gallen</t>
        </is>
      </c>
      <c r="E32" s="2" t="inlineStr">
        <is>
          <t>Wil</t>
        </is>
      </c>
      <c r="F32" s="2" t="inlineStr">
        <is>
          <t>C1</t>
        </is>
      </c>
      <c r="G32" s="2" t="inlineStr">
        <is>
          <t>Finanzplanung</t>
        </is>
      </c>
      <c r="H32" s="2" t="inlineStr">
        <is>
          <t>Finanzplan 2025–2029 der Stadt Wil (Vorjahresplan für Vergleich)</t>
        </is>
      </c>
      <c r="I32" s="2" t="inlineStr">
        <is>
          <t>Finanzplan</t>
        </is>
      </c>
      <c r="J32" s="2" t="inlineStr">
        <is>
          <t>Direktes Dokument</t>
        </is>
      </c>
      <c r="K32" s="2" t="inlineStr">
        <is>
          <t>Planungsinstrument</t>
        </is>
      </c>
      <c r="L32" s="2" t="inlineStr">
        <is>
          <t>Stadt Wil</t>
        </is>
      </c>
      <c r="M32" s="5" t="inlineStr">
        <is>
          <t>https://www.stadtwil.ch/storage/c7e05a885ee1a6860975358848101c3f21fe558650ccfc5ba12339d34d3232e9</t>
        </is>
      </c>
      <c r="N32" s="2" t="inlineStr">
        <is>
          <t>2025–2029 (historisch)</t>
        </is>
      </c>
      <c r="O32" s="2" t="inlineStr">
        <is>
          <t>2026-10-14</t>
        </is>
      </c>
      <c r="P32" s="2" t="inlineStr">
        <is>
          <t>Plan-Ist-Vergleich der Planungsgüte</t>
        </is>
      </c>
      <c r="Q32" s="2" t="inlineStr"/>
      <c r="R32" s="2" t="inlineStr"/>
      <c r="S32" s="2" t="inlineStr">
        <is>
          <t>Kanton × Grössenklasse</t>
        </is>
      </c>
      <c r="T32" s="2" t="inlineStr">
        <is>
          <t>Noch nicht bewertet</t>
        </is>
      </c>
      <c r="U32" s="2" t="inlineStr">
        <is>
          <t>Mittel</t>
        </is>
      </c>
      <c r="V32" s="2" t="inlineStr"/>
      <c r="W32" s="2" t="inlineStr"/>
      <c r="X32" s="2" t="inlineStr"/>
      <c r="Y32" s="2" t="inlineStr">
        <is>
          <t>Dokument auswerten; Aktualität und Geltung prüfen</t>
        </is>
      </c>
      <c r="Z32" s="2" t="inlineStr">
        <is>
          <t>Automatische Recherche GitHub Actions (Discovery), Fundstelle siehe Spalte Offizielle Fundstelle</t>
        </is>
      </c>
      <c r="AA32" s="2" t="inlineStr"/>
      <c r="AB32" s="2" t="inlineStr"/>
      <c r="AC32" s="5" t="inlineStr">
        <is>
          <t>https://www.stadtwil.ch/topics/stadt-politik-und-recht/finanzen</t>
        </is>
      </c>
      <c r="AD32" s="2" t="inlineStr">
        <is>
          <t>Verifiziert</t>
        </is>
      </c>
      <c r="AE32" s="2" t="inlineStr">
        <is>
          <t>200</t>
        </is>
      </c>
      <c r="AF32" s="2" t="inlineStr"/>
      <c r="AG32" s="2" t="inlineStr">
        <is>
          <t>PDF</t>
        </is>
      </c>
      <c r="AH32" s="2" t="inlineStr">
        <is>
          <t>Bestätigt</t>
        </is>
      </c>
      <c r="AI32" s="2" t="inlineStr">
        <is>
          <t>Schlüsselwörter 2/2 gefunden (Finanzplan, 2029); Ort/Zuständigkeit: Wil</t>
        </is>
      </c>
      <c r="AJ32" s="2" t="inlineStr">
        <is>
          <t>Finanzplan 2025 – 2029</t>
        </is>
      </c>
      <c r="AK32" s="2" t="inlineStr">
        <is>
          <t>2025, 2029, 2024, 2026, 2028, 2023</t>
        </is>
      </c>
      <c r="AL32" s="2" t="inlineStr">
        <is>
          <t>Mittel (Webseite)</t>
        </is>
      </c>
      <c r="AM32" s="2" t="inlineStr">
        <is>
          <t>2026-10-14 13:55</t>
        </is>
      </c>
      <c r="AN32" s="2" t="inlineStr">
        <is>
          <t>Öffentlich verfügbar und verifiziert</t>
        </is>
      </c>
      <c r="AO32" s="2" t="inlineStr">
        <is>
          <t>2025–2029 (historisch)</t>
        </is>
      </c>
      <c r="AP32" s="2" t="inlineStr">
        <is>
          <t>Belegt Existenz und Zugänglichkeit der Quelle; inhaltliche Aussagen erst nach Auswertung.</t>
        </is>
      </c>
      <c r="AQ32" s="2" t="inlineStr">
        <is>
          <t>Keine Einstufung: Kennzahlen/Befunde noch nicht ausgewertet; Schwellen der Bewertungslogik noch nicht validiert.</t>
        </is>
      </c>
      <c r="AR32" s="2" t="inlineStr">
        <is>
          <t>Nein</t>
        </is>
      </c>
      <c r="AS32" s="2" t="inlineStr">
        <is>
          <t>Gemeindeverwaltung Wil</t>
        </is>
      </c>
      <c r="AT32" s="2" t="inlineStr">
        <is>
          <t>In Prüfung</t>
        </is>
      </c>
      <c r="AU32" s="2" t="inlineStr"/>
      <c r="AV32" s="2" t="inlineStr"/>
      <c r="AW32" s="2" t="inlineStr">
        <is>
          <t>2026-10-14: neu aufgenommen</t>
        </is>
      </c>
      <c r="AX32" s="2">
        <f>IF(ISNA(MATCH($A32,'Gesamtübersicht'!$A:$A,0)),"ID fehlt in Gesamtübersicht",IF(AND(INDEX('Gesamtübersicht'!$H:$H,MATCH($A32,'Gesamtübersicht'!$A:$A,0))&amp;""=$H32&amp;"",INDEX('Gesamtübersicht'!$M:$M,MATCH($A32,'Gesamtübersicht'!$A:$A,0))&amp;""=$M32&amp;"",INDEX('Gesamtübersicht'!$AD:$AD,MATCH($A32,'Gesamtübersicht'!$A:$A,0))&amp;""=$AD32&amp;"",INDEX('Gesamtübersicht'!$AH:$AH,MATCH($A32,'Gesamtübersicht'!$A:$A,0))&amp;""=$AH32&amp;"",INDEX('Gesamtübersicht'!$T:$T,MATCH($A32,'Gesamtübersicht'!$A:$A,0))&amp;""=$T32&amp;""),"OK","Abweichung – Ansicht neu erzeugen"))</f>
        <v/>
      </c>
    </row>
    <row r="33" ht="43" customHeight="1">
      <c r="A33" s="3" t="inlineStr">
        <is>
          <t>WIL-C2-01</t>
        </is>
      </c>
      <c r="B33" s="15" t="inlineStr">
        <is>
          <t>Gemeinde</t>
        </is>
      </c>
      <c r="C33" s="3" t="inlineStr">
        <is>
          <t>Schweiz</t>
        </is>
      </c>
      <c r="D33" s="3" t="inlineStr">
        <is>
          <t>St. Gallen</t>
        </is>
      </c>
      <c r="E33" s="3" t="inlineStr">
        <is>
          <t>Wil</t>
        </is>
      </c>
      <c r="F33" s="3" t="inlineStr">
        <is>
          <t>C2</t>
        </is>
      </c>
      <c r="G33" s="3" t="inlineStr">
        <is>
          <t>Boden / Liegenschaften</t>
        </is>
      </c>
      <c r="H33" s="3" t="inlineStr">
        <is>
          <t>Nachtrag IV zur Gemeindeordnung (Finanzbefugnisse Liegenschaftsgeschäfte im Finanzvermögen) – kommunale Abstimmung 24.11.2024</t>
        </is>
      </c>
      <c r="I33" s="3" t="inlineStr">
        <is>
          <t>Abstimmungsseite / Resultat</t>
        </is>
      </c>
      <c r="J33" s="3" t="inlineStr">
        <is>
          <t>Webseite</t>
        </is>
      </c>
      <c r="K33" s="3" t="inlineStr">
        <is>
          <t>Volksentscheid (Ergebnis auf Seite prüfen)</t>
        </is>
      </c>
      <c r="L33" s="3" t="inlineStr">
        <is>
          <t>Gemeinde Wil</t>
        </is>
      </c>
      <c r="M33" s="7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nachtrag-iv-zur-gemeindeordnung</t>
        </is>
      </c>
      <c r="N33" s="3" t="inlineStr">
        <is>
          <t>2024</t>
        </is>
      </c>
      <c r="O33" s="3" t="inlineStr">
        <is>
          <t>2026-10-14</t>
        </is>
      </c>
      <c r="P33" s="3" t="inlineStr">
        <is>
          <t>Kompetenzordnung für aktive Bodenpolitik (Kauf/Verkauf im Finanzvermögen) und Volksentscheid dazu</t>
        </is>
      </c>
      <c r="Q33" s="3" t="inlineStr">
        <is>
          <t>Baurechte, Grundstücke, Eigentümerstrategie</t>
        </is>
      </c>
      <c r="R33" s="3" t="inlineStr">
        <is>
          <t>Grundstücksliste / Bilanzanlagen ergänzen</t>
        </is>
      </c>
      <c r="S33" s="3" t="inlineStr">
        <is>
          <t>Kein Peer</t>
        </is>
      </c>
      <c r="T33" s="3" t="inlineStr">
        <is>
          <t>Noch nicht bewertet</t>
        </is>
      </c>
      <c r="U33" s="3" t="inlineStr">
        <is>
          <t>Mittel</t>
        </is>
      </c>
      <c r="V33" s="3" t="inlineStr">
        <is>
          <t>Konkrete kommunale Unterlagen / Datensatz nachfordern</t>
        </is>
      </c>
      <c r="W33" s="3" t="inlineStr">
        <is>
          <t>B; Q1</t>
        </is>
      </c>
      <c r="X33" s="3" t="inlineStr">
        <is>
          <t>Bodenverfügbarkeit</t>
        </is>
      </c>
      <c r="Y33" s="3" t="inlineStr">
        <is>
          <t>Dokument auswerten; Aktualität und Geltung prüfen</t>
        </is>
      </c>
      <c r="Z33" s="3" t="inlineStr">
        <is>
          <t>Automatische Recherche GitHub Actions (Discovery), Fundstelle siehe Spalte Offizielle Fundstelle</t>
        </is>
      </c>
      <c r="AA33" s="3" t="inlineStr">
        <is>
          <t>C5</t>
        </is>
      </c>
      <c r="AB33" s="3" t="inlineStr"/>
      <c r="AC33" s="7" t="inlineStr">
        <is>
          <t>https://www.stadtwil.ch/topics/stadt-politik-und-recht/abstimmungen-und-wahlen/vorlagen/kommunale-vorlagen/22-11-2024-nachtrag-iv-zur-gemeindeordnung</t>
        </is>
      </c>
      <c r="AD33" s="3" t="inlineStr">
        <is>
          <t>Verifiziert</t>
        </is>
      </c>
      <c r="AE33" s="3" t="inlineStr">
        <is>
          <t>200 (HEAD 405)</t>
        </is>
      </c>
      <c r="AF33" s="3" t="inlineStr"/>
      <c r="AG33" s="3" t="inlineStr">
        <is>
          <t>HTML</t>
        </is>
      </c>
      <c r="AH33" s="3" t="inlineStr">
        <is>
          <t>Bestätigt</t>
        </is>
      </c>
      <c r="AI33" s="3" t="inlineStr">
        <is>
          <t>Schlüsselwörter 1/1 gefunden (Nachtrag IV); Ort/Zuständigkeit: Wil</t>
        </is>
      </c>
      <c r="AJ33" s="3" t="inlineStr">
        <is>
          <t>Nachtrag IV zur Gemeindeordnung | Nachtrag IV zur Gemeindeordnung</t>
        </is>
      </c>
      <c r="AK33" s="3" t="inlineStr">
        <is>
          <t>2024, 2025, 2026, 2023, 2028, 2027</t>
        </is>
      </c>
      <c r="AL33" s="3" t="inlineStr">
        <is>
          <t>Mittel (Webseite)</t>
        </is>
      </c>
      <c r="AM33" s="3" t="inlineStr">
        <is>
          <t>2026-10-14 13:53</t>
        </is>
      </c>
      <c r="AN33" s="3" t="inlineStr">
        <is>
          <t>Öffentlich verfügbar und verifiziert</t>
        </is>
      </c>
      <c r="AO33" s="3" t="inlineStr">
        <is>
          <t>2024</t>
        </is>
      </c>
      <c r="AP33" s="3" t="inlineStr">
        <is>
          <t>Belegt Existenz und Zugänglichkeit der Quelle; inhaltliche Aussagen erst nach Auswertung.</t>
        </is>
      </c>
      <c r="AQ33" s="3" t="inlineStr">
        <is>
          <t>Keine Einstufung: Kennzahlen/Befunde noch nicht ausgewertet; Schwellen der Bewertungslogik noch nicht validiert.</t>
        </is>
      </c>
      <c r="AR33" s="3" t="inlineStr">
        <is>
          <t>Ja</t>
        </is>
      </c>
      <c r="AS33" s="3" t="inlineStr">
        <is>
          <t>Gemeindeverwaltung Wil</t>
        </is>
      </c>
      <c r="AT33" s="3" t="inlineStr">
        <is>
          <t>In Prüfung</t>
        </is>
      </c>
      <c r="AU33" s="3" t="inlineStr">
        <is>
          <t>Zuerst gefundener Bericht (stadtwil.ch/_doc/4801870) liefert HTTP 404 (CMS-Umstellung).</t>
        </is>
      </c>
      <c r="AV33" s="3" t="inlineStr"/>
      <c r="AW33" s="3" t="inlineStr">
        <is>
          <t>2026-10-14: Link ersetzt (vorher https://www.stadtwil.ch/political-businesses). Grund: Geschäftsregister-Startseite durch direktes Dokument zur Bodenpolitik ersetzt.</t>
        </is>
      </c>
      <c r="AX33" s="3">
        <f>IF(ISNA(MATCH($A33,'Gesamtübersicht'!$A:$A,0)),"ID fehlt in Gesamtübersicht",IF(AND(INDEX('Gesamtübersicht'!$H:$H,MATCH($A33,'Gesamtübersicht'!$A:$A,0))&amp;""=$H33&amp;"",INDEX('Gesamtübersicht'!$M:$M,MATCH($A33,'Gesamtübersicht'!$A:$A,0))&amp;""=$M33&amp;"",INDEX('Gesamtübersicht'!$AD:$AD,MATCH($A33,'Gesamtübersicht'!$A:$A,0))&amp;""=$AD33&amp;"",INDEX('Gesamtübersicht'!$AH:$AH,MATCH($A33,'Gesamtübersicht'!$A:$A,0))&amp;""=$AH33&amp;"",INDEX('Gesamtübersicht'!$T:$T,MATCH($A33,'Gesamtübersicht'!$A:$A,0))&amp;""=$T33&amp;""),"OK","Abweichung – Ansicht neu erzeugen"))</f>
        <v/>
      </c>
    </row>
    <row r="34" ht="43" customHeight="1">
      <c r="A34" s="2" t="inlineStr">
        <is>
          <t>WIL-C2-03</t>
        </is>
      </c>
      <c r="B34" s="15" t="inlineStr">
        <is>
          <t>Gemeinde</t>
        </is>
      </c>
      <c r="C34" s="2" t="inlineStr">
        <is>
          <t>Schweiz</t>
        </is>
      </c>
      <c r="D34" s="2" t="inlineStr">
        <is>
          <t>St. Gallen</t>
        </is>
      </c>
      <c r="E34" s="2" t="inlineStr">
        <is>
          <t>Wil</t>
        </is>
      </c>
      <c r="F34" s="2" t="inlineStr">
        <is>
          <t>C2</t>
        </is>
      </c>
      <c r="G34" s="2" t="inlineStr">
        <is>
          <t>Bodenpolitik</t>
        </is>
      </c>
      <c r="H34" s="2" t="inlineStr">
        <is>
          <t>Stadt Wil: aktive Bodenpolitik / Boden- und Immobilienstrategie</t>
        </is>
      </c>
      <c r="I34" s="2" t="inlineStr">
        <is>
          <t>Strategie / Bericht</t>
        </is>
      </c>
      <c r="J34" s="2" t="inlineStr">
        <is>
          <t>Direktes Dokument</t>
        </is>
      </c>
      <c r="K34" s="2" t="inlineStr">
        <is>
          <t>Strategie</t>
        </is>
      </c>
      <c r="L34" s="2" t="inlineStr">
        <is>
          <t>Stadt Wil</t>
        </is>
      </c>
      <c r="M34" s="5" t="inlineStr">
        <is>
          <t>https://www.stadtwil.ch/storage/1e396670eed23bbd41611d92ceaa476797bc97e16fde09c29197453c3b3bc320</t>
        </is>
      </c>
      <c r="N34" s="2" t="inlineStr"/>
      <c r="O34" s="2" t="inlineStr">
        <is>
          <t>2026-10-14</t>
        </is>
      </c>
      <c r="P34" s="2" t="inlineStr"/>
      <c r="Q34" s="2" t="inlineStr"/>
      <c r="R34" s="2" t="inlineStr"/>
      <c r="S34" s="2" t="inlineStr">
        <is>
          <t>Kein Peer-Vergleich</t>
        </is>
      </c>
      <c r="T34" s="2" t="inlineStr">
        <is>
          <t>Noch nicht bewertet</t>
        </is>
      </c>
      <c r="U34" s="2" t="inlineStr">
        <is>
          <t>Niedrig</t>
        </is>
      </c>
      <c r="V34" s="2" t="inlineStr"/>
      <c r="W34" s="2" t="inlineStr"/>
      <c r="X34" s="2" t="inlineStr"/>
      <c r="Y34" s="2" t="inlineStr">
        <is>
          <t>Dokument auswerten; Aktualität und Geltung prüfen</t>
        </is>
      </c>
      <c r="Z34" s="2" t="inlineStr">
        <is>
          <t>Websuche 14.10.2026 (URL im Suchergebnis gefunden)</t>
        </is>
      </c>
      <c r="AA34" s="2" t="inlineStr"/>
      <c r="AB34" s="2" t="inlineStr"/>
      <c r="AC34" s="2" t="inlineStr"/>
      <c r="AD34" s="2" t="inlineStr">
        <is>
          <t>Verifiziert</t>
        </is>
      </c>
      <c r="AE34" s="2" t="inlineStr">
        <is>
          <t>200</t>
        </is>
      </c>
      <c r="AF34" s="2" t="inlineStr"/>
      <c r="AG34" s="2" t="inlineStr">
        <is>
          <t>PDF</t>
        </is>
      </c>
      <c r="AH34" s="2" t="inlineStr">
        <is>
          <t>Bestätigt</t>
        </is>
      </c>
      <c r="AI34" s="2" t="inlineStr">
        <is>
          <t>Schlüsselwörter 1/1 gefunden (Bodenpolitik); Ort/Zuständigkeit: Wil</t>
        </is>
      </c>
      <c r="AJ34" s="2" t="inlineStr">
        <is>
          <t>141 g)gE TI1lll11 1lll\ 1:) T W I L</t>
        </is>
      </c>
      <c r="AK34" s="2" t="inlineStr">
        <is>
          <t>2020, 2017, 2016, 2018, 2019, 2021</t>
        </is>
      </c>
      <c r="AL34" s="2" t="inlineStr">
        <is>
          <t>Mittel (Webseite)</t>
        </is>
      </c>
      <c r="AM34" s="2" t="inlineStr">
        <is>
          <t>2026-10-14 13:55</t>
        </is>
      </c>
      <c r="AN34" s="2" t="inlineStr">
        <is>
          <t>Öffentlich verfügbar und verifiziert</t>
        </is>
      </c>
      <c r="AO34" s="2" t="inlineStr"/>
      <c r="AP34" s="2" t="inlineStr">
        <is>
          <t>Belegt Existenz und Zugänglichkeit der Quelle; inhaltliche Aussagen erst nach Auswertung.</t>
        </is>
      </c>
      <c r="AQ34" s="2" t="inlineStr">
        <is>
          <t>Keine Einstufung: Kennzahlen/Befunde noch nicht ausgewertet; Schwellen der Bewertungslogik noch nicht validiert.</t>
        </is>
      </c>
      <c r="AR34" s="2" t="inlineStr">
        <is>
          <t>Ja</t>
        </is>
      </c>
      <c r="AS34" s="2" t="inlineStr">
        <is>
          <t>Gemeindeverwaltung Wil</t>
        </is>
      </c>
      <c r="AT34" s="2" t="inlineStr">
        <is>
          <t>In Prüfung</t>
        </is>
      </c>
      <c r="AU34" s="2" t="inlineStr">
        <is>
          <t>Unsichere Zuordnung (Suchzusammenfassung).</t>
        </is>
      </c>
      <c r="AV34" s="2" t="inlineStr"/>
      <c r="AW34" s="2" t="inlineStr">
        <is>
          <t>2026-10-14: neu aufgenommen</t>
        </is>
      </c>
      <c r="AX34" s="2">
        <f>IF(ISNA(MATCH($A34,'Gesamtübersicht'!$A:$A,0)),"ID fehlt in Gesamtübersicht",IF(AND(INDEX('Gesamtübersicht'!$H:$H,MATCH($A34,'Gesamtübersicht'!$A:$A,0))&amp;""=$H34&amp;"",INDEX('Gesamtübersicht'!$M:$M,MATCH($A34,'Gesamtübersicht'!$A:$A,0))&amp;""=$M34&amp;"",INDEX('Gesamtübersicht'!$AD:$AD,MATCH($A34,'Gesamtübersicht'!$A:$A,0))&amp;""=$AD34&amp;"",INDEX('Gesamtübersicht'!$AH:$AH,MATCH($A34,'Gesamtübersicht'!$A:$A,0))&amp;""=$AH34&amp;"",INDEX('Gesamtübersicht'!$T:$T,MATCH($A34,'Gesamtübersicht'!$A:$A,0))&amp;""=$T34&amp;""),"OK","Abweichung – Ansicht neu erzeugen"))</f>
        <v/>
      </c>
    </row>
    <row r="35" ht="43" customHeight="1">
      <c r="A35" s="3" t="inlineStr">
        <is>
          <t>WIL-C3-01</t>
        </is>
      </c>
      <c r="B35" s="15" t="inlineStr">
        <is>
          <t>Gemeinde</t>
        </is>
      </c>
      <c r="C35" s="3" t="inlineStr">
        <is>
          <t>Schweiz</t>
        </is>
      </c>
      <c r="D35" s="3" t="inlineStr">
        <is>
          <t>St. Gallen</t>
        </is>
      </c>
      <c r="E35" s="3" t="inlineStr">
        <is>
          <t>Wil</t>
        </is>
      </c>
      <c r="F35" s="3" t="inlineStr">
        <is>
          <t>C3</t>
        </is>
      </c>
      <c r="G35" s="3" t="inlineStr">
        <is>
          <t>Trägerschaften</t>
        </is>
      </c>
      <c r="H35" s="3" t="inlineStr">
        <is>
          <t>Stadt Wil: Rechtssammlung (Gemeindeordnung, Beteiligungsreglement, TBW-Reglement u. a.)</t>
        </is>
      </c>
      <c r="I35" s="3" t="inlineStr">
        <is>
          <t>Rechtssammlung</t>
        </is>
      </c>
      <c r="J35" s="3" t="inlineStr">
        <is>
          <t>Übersichtsseite</t>
        </is>
      </c>
      <c r="K35" s="3" t="inlineStr">
        <is>
          <t>Kommunales Recht (Sammlung)</t>
        </is>
      </c>
      <c r="L35" s="3" t="inlineStr">
        <is>
          <t>Gemeinde Wil</t>
        </is>
      </c>
      <c r="M35" s="7" t="inlineStr">
        <is>
          <t>https://www.stadtwil.ch/topics/stadt-politik-und-recht/rechtssammlung-1</t>
        </is>
      </c>
      <c r="N35" s="3" t="inlineStr">
        <is>
          <t>Zu prüfen</t>
        </is>
      </c>
      <c r="O35" s="3" t="inlineStr">
        <is>
          <t>2026-10-14</t>
        </is>
      </c>
      <c r="P35" s="3" t="inlineStr">
        <is>
          <t>Dokumentierte Leistungsvereinbarungen und Eignerstrategien</t>
        </is>
      </c>
      <c r="Q35" s="3" t="inlineStr">
        <is>
          <t>Kooperationen, Beteiligungen, Leistungsaufträge</t>
        </is>
      </c>
      <c r="R35" s="3" t="inlineStr">
        <is>
          <t>Trägerschaftslandkarte erstellen</t>
        </is>
      </c>
      <c r="S35" s="3" t="inlineStr">
        <is>
          <t>Qualitativ</t>
        </is>
      </c>
      <c r="T35" s="3" t="inlineStr">
        <is>
          <t>Noch nicht bewertet</t>
        </is>
      </c>
      <c r="U35" s="3" t="inlineStr">
        <is>
          <t>Mittel</t>
        </is>
      </c>
      <c r="V35" s="3" t="inlineStr">
        <is>
          <t>Konkrete kommunale Unterlagen / Datensatz nachfordern</t>
        </is>
      </c>
      <c r="W35" s="3" t="inlineStr">
        <is>
          <t>C2; C5</t>
        </is>
      </c>
      <c r="X35" s="3" t="inlineStr">
        <is>
          <t>Modulträgerschaft</t>
        </is>
      </c>
      <c r="Y35" s="3" t="inlineStr">
        <is>
          <t>Dokument auswerten; Aktualität und Geltung prüfen</t>
        </is>
      </c>
      <c r="Z35" s="3" t="inlineStr">
        <is>
          <t>Automatische Recherche GitHub Actions (Discovery), Fundstelle siehe Spalte Offizielle Fundstelle</t>
        </is>
      </c>
      <c r="AA35" s="3" t="inlineStr"/>
      <c r="AB35" s="3" t="inlineStr"/>
      <c r="AC35" s="3" t="inlineStr"/>
      <c r="AD35" s="3" t="inlineStr">
        <is>
          <t>Verifiziert</t>
        </is>
      </c>
      <c r="AE35" s="3" t="inlineStr">
        <is>
          <t>200 (HEAD 405)</t>
        </is>
      </c>
      <c r="AF35" s="3" t="inlineStr"/>
      <c r="AG35" s="3" t="inlineStr">
        <is>
          <t>HTML</t>
        </is>
      </c>
      <c r="AH35" s="3" t="inlineStr">
        <is>
          <t>Bestätigt</t>
        </is>
      </c>
      <c r="AI35" s="3" t="inlineStr">
        <is>
          <t>Schlüsselwörter 1/1 gefunden (Rechtssammlung); Ort/Zuständigkeit: Wil</t>
        </is>
      </c>
      <c r="AJ35" s="3" t="inlineStr">
        <is>
          <t>Rechtssammlung | Rechtssammlung</t>
        </is>
      </c>
      <c r="AK35" s="3" t="inlineStr">
        <is>
          <t>2024, 2025, 2026, 2023, 2028, 2027</t>
        </is>
      </c>
      <c r="AL35" s="3" t="inlineStr">
        <is>
          <t>Mittel (Webseite)</t>
        </is>
      </c>
      <c r="AM35" s="3" t="inlineStr">
        <is>
          <t>2026-10-14 13:54</t>
        </is>
      </c>
      <c r="AN35" s="3" t="inlineStr">
        <is>
          <t>Öffentlich verfügbar und verifiziert</t>
        </is>
      </c>
      <c r="AO35" s="3" t="inlineStr">
        <is>
          <t>Zu prüfen</t>
        </is>
      </c>
      <c r="AP35" s="3" t="inlineStr">
        <is>
          <t>Belegt Existenz und Zugänglichkeit der Quelle; inhaltliche Aussagen erst nach Auswertung.</t>
        </is>
      </c>
      <c r="AQ35" s="3" t="inlineStr">
        <is>
          <t>Keine Einstufung: Kennzahlen/Befunde noch nicht ausgewertet; Schwellen der Bewertungslogik noch nicht validiert.</t>
        </is>
      </c>
      <c r="AR35" s="3" t="inlineStr">
        <is>
          <t>Ja</t>
        </is>
      </c>
      <c r="AS35" s="3" t="inlineStr">
        <is>
          <t>Gemeindeverwaltung Wil</t>
        </is>
      </c>
      <c r="AT35" s="3" t="inlineStr">
        <is>
          <t>In Prüfung</t>
        </is>
      </c>
      <c r="AU35" s="3" t="inlineStr">
        <is>
          <t>Direktlinks zu Einzelerlassen siehe weitere C3-Zeilen; Suchtreffer /_doc/… liefern HTTP 404.</t>
        </is>
      </c>
      <c r="AV35" s="3" t="inlineStr"/>
      <c r="AW35" s="3" t="inlineStr">
        <is>
          <t>2026-10-14: Link ersetzt (vorher https://www.stadtwil.ch/political-businesses). Grund: Geschäftsregister-Startseite durch Rechtssammlung der Stadt ersetzt.</t>
        </is>
      </c>
      <c r="AX35" s="3">
        <f>IF(ISNA(MATCH($A35,'Gesamtübersicht'!$A:$A,0)),"ID fehlt in Gesamtübersicht",IF(AND(INDEX('Gesamtübersicht'!$H:$H,MATCH($A35,'Gesamtübersicht'!$A:$A,0))&amp;""=$H35&amp;"",INDEX('Gesamtübersicht'!$M:$M,MATCH($A35,'Gesamtübersicht'!$A:$A,0))&amp;""=$M35&amp;"",INDEX('Gesamtübersicht'!$AD:$AD,MATCH($A35,'Gesamtübersicht'!$A:$A,0))&amp;""=$AD35&amp;"",INDEX('Gesamtübersicht'!$AH:$AH,MATCH($A35,'Gesamtübersicht'!$A:$A,0))&amp;""=$AH35&amp;"",INDEX('Gesamtübersicht'!$T:$T,MATCH($A35,'Gesamtübersicht'!$A:$A,0))&amp;""=$T35&amp;""),"OK","Abweichung – Ansicht neu erzeugen"))</f>
        <v/>
      </c>
    </row>
    <row r="36" ht="43" customHeight="1">
      <c r="A36" s="2" t="inlineStr">
        <is>
          <t>WIL-C3-04</t>
        </is>
      </c>
      <c r="B36" s="15" t="inlineStr">
        <is>
          <t>Gemeinde</t>
        </is>
      </c>
      <c r="C36" s="2" t="inlineStr">
        <is>
          <t>Schweiz</t>
        </is>
      </c>
      <c r="D36" s="2" t="inlineStr">
        <is>
          <t>St. Gallen</t>
        </is>
      </c>
      <c r="E36" s="2" t="inlineStr">
        <is>
          <t>Wil</t>
        </is>
      </c>
      <c r="F36" s="2" t="inlineStr">
        <is>
          <t>C3</t>
        </is>
      </c>
      <c r="G36" s="2" t="inlineStr">
        <is>
          <t>Agglomeration</t>
        </is>
      </c>
      <c r="H36" s="2" t="inlineStr">
        <is>
          <t>Prüfbericht des Bundes zum Agglomerationsprogramm Wil, 4. Generation (22.2.2023)</t>
        </is>
      </c>
      <c r="I36" s="2" t="inlineStr">
        <is>
          <t>Prüfbericht</t>
        </is>
      </c>
      <c r="J36" s="2" t="inlineStr">
        <is>
          <t>Direktes Dokument</t>
        </is>
      </c>
      <c r="K36" s="2" t="inlineStr">
        <is>
          <t>Bundesbeurteilung</t>
        </is>
      </c>
      <c r="L36" s="2" t="inlineStr">
        <is>
          <t>Bundesamt für Raumentwicklung (ARE)</t>
        </is>
      </c>
      <c r="M36" s="5" t="inlineStr">
        <is>
          <t>https://www.are.admin.ch/dam/de/sd-web/1LGAXN34JMxU/Pr%C3%BCfbericht%20Wil4G.pdf</t>
        </is>
      </c>
      <c r="N36" s="2" t="inlineStr">
        <is>
          <t>2023</t>
        </is>
      </c>
      <c r="O36" s="2" t="inlineStr">
        <is>
          <t>2026-10-14</t>
        </is>
      </c>
      <c r="P36" s="2" t="inlineStr">
        <is>
          <t>Regionale Trägerschaft und Umsetzungsreife (Regio Wil)</t>
        </is>
      </c>
      <c r="Q36" s="2" t="inlineStr"/>
      <c r="R36" s="2" t="inlineStr"/>
      <c r="S36" s="2" t="inlineStr">
        <is>
          <t>Kein Peer-Vergleich</t>
        </is>
      </c>
      <c r="T36" s="2" t="inlineStr">
        <is>
          <t>Noch nicht bewertet</t>
        </is>
      </c>
      <c r="U36" s="2" t="inlineStr">
        <is>
          <t>Hoch</t>
        </is>
      </c>
      <c r="V36" s="2" t="inlineStr"/>
      <c r="W36" s="2" t="inlineStr">
        <is>
          <t>B</t>
        </is>
      </c>
      <c r="X36" s="2" t="inlineStr"/>
      <c r="Y36" s="2" t="inlineStr">
        <is>
          <t>Dokument auswerten; Aktualität und Geltung prüfen</t>
        </is>
      </c>
      <c r="Z36" s="2" t="inlineStr">
        <is>
          <t>Websuche 14.10.2026 (URL im Suchergebnis gefunden)</t>
        </is>
      </c>
      <c r="AA36" s="2" t="inlineStr"/>
      <c r="AB36" s="2" t="inlineStr"/>
      <c r="AC36" s="2" t="inlineStr"/>
      <c r="AD36" s="2" t="inlineStr">
        <is>
          <t>Verifiziert</t>
        </is>
      </c>
      <c r="AE36" s="2" t="inlineStr">
        <is>
          <t>200</t>
        </is>
      </c>
      <c r="AF36" s="2" t="inlineStr"/>
      <c r="AG36" s="2" t="inlineStr">
        <is>
          <t>PDF</t>
        </is>
      </c>
      <c r="AH36" s="2" t="inlineStr">
        <is>
          <t>Bestätigt</t>
        </is>
      </c>
      <c r="AI36" s="2" t="inlineStr">
        <is>
          <t>Schlüsselwörter 2/2 gefunden (Prüfbericht, Agglomerationsprogramm); Ort/Zuständigkeit: Wil</t>
        </is>
      </c>
      <c r="AJ36" s="2" t="inlineStr">
        <is>
          <t>Eidgenössisches Departement für Umwelt, Verkehr,</t>
        </is>
      </c>
      <c r="AK36" s="2" t="inlineStr">
        <is>
          <t>2020, 2021, 2024, 2028, 2023, 2027</t>
        </is>
      </c>
      <c r="AL36" s="2" t="inlineStr">
        <is>
          <t>Mittel (CMS-Dokumentlink)</t>
        </is>
      </c>
      <c r="AM36" s="2" t="inlineStr">
        <is>
          <t>2026-10-14 13:56</t>
        </is>
      </c>
      <c r="AN36" s="2" t="inlineStr">
        <is>
          <t>Öffentlich verfügbar und verifiziert</t>
        </is>
      </c>
      <c r="AO36" s="2" t="inlineStr">
        <is>
          <t>2023</t>
        </is>
      </c>
      <c r="AP36" s="2" t="inlineStr">
        <is>
          <t>Belegt Existenz und Zugänglichkeit der Quelle; inhaltliche Aussagen erst nach Auswertung.</t>
        </is>
      </c>
      <c r="AQ36" s="2" t="inlineStr">
        <is>
          <t>Keine Einstufung: Kennzahlen/Befunde noch nicht ausgewertet; Schwellen der Bewertungslogik noch nicht validiert.</t>
        </is>
      </c>
      <c r="AR36" s="2" t="inlineStr">
        <is>
          <t>Ja</t>
        </is>
      </c>
      <c r="AS36" s="2" t="inlineStr">
        <is>
          <t>Gemeindeverwaltung Wil</t>
        </is>
      </c>
      <c r="AT36" s="2" t="inlineStr">
        <is>
          <t>In Prüfung</t>
        </is>
      </c>
      <c r="AU36" s="2" t="inlineStr"/>
      <c r="AV36" s="2" t="inlineStr"/>
      <c r="AW36" s="2" t="inlineStr">
        <is>
          <t>2026-10-14: neu aufgenommen</t>
        </is>
      </c>
      <c r="AX36" s="2">
        <f>IF(ISNA(MATCH($A36,'Gesamtübersicht'!$A:$A,0)),"ID fehlt in Gesamtübersicht",IF(AND(INDEX('Gesamtübersicht'!$H:$H,MATCH($A36,'Gesamtübersicht'!$A:$A,0))&amp;""=$H36&amp;"",INDEX('Gesamtübersicht'!$M:$M,MATCH($A36,'Gesamtübersicht'!$A:$A,0))&amp;""=$M36&amp;"",INDEX('Gesamtübersicht'!$AD:$AD,MATCH($A36,'Gesamtübersicht'!$A:$A,0))&amp;""=$AD36&amp;"",INDEX('Gesamtübersicht'!$AH:$AH,MATCH($A36,'Gesamtübersicht'!$A:$A,0))&amp;""=$AH36&amp;"",INDEX('Gesamtübersicht'!$T:$T,MATCH($A36,'Gesamtübersicht'!$A:$A,0))&amp;""=$T36&amp;""),"OK","Abweichung – Ansicht neu erzeugen"))</f>
        <v/>
      </c>
    </row>
    <row r="37" ht="43" customHeight="1">
      <c r="A37" s="3" t="inlineStr">
        <is>
          <t>WIL-C3-05</t>
        </is>
      </c>
      <c r="B37" s="15" t="inlineStr">
        <is>
          <t>Gemeinde</t>
        </is>
      </c>
      <c r="C37" s="3" t="inlineStr">
        <is>
          <t>Schweiz</t>
        </is>
      </c>
      <c r="D37" s="3" t="inlineStr">
        <is>
          <t>St. Gallen</t>
        </is>
      </c>
      <c r="E37" s="3" t="inlineStr">
        <is>
          <t>Wil</t>
        </is>
      </c>
      <c r="F37" s="3" t="inlineStr">
        <is>
          <t>C3</t>
        </is>
      </c>
      <c r="G37" s="3" t="inlineStr">
        <is>
          <t>Agglomeration</t>
        </is>
      </c>
      <c r="H37" s="3" t="inlineStr">
        <is>
          <t>Agglomerationsprogramm Wil 5. Generation – Flyer</t>
        </is>
      </c>
      <c r="I37" s="3" t="inlineStr">
        <is>
          <t>Informationsblatt</t>
        </is>
      </c>
      <c r="J37" s="3" t="inlineStr">
        <is>
          <t>Direktes Dokument</t>
        </is>
      </c>
      <c r="K37" s="3" t="inlineStr">
        <is>
          <t>Information</t>
        </is>
      </c>
      <c r="L37" s="3" t="inlineStr">
        <is>
          <t>Kanton St. Gallen / Regio Wil</t>
        </is>
      </c>
      <c r="M37" s="7" t="inlineStr">
        <is>
          <t>https://www.sg.ch/content/dam/sgch/bauen/raumentwicklung/agglomerationsprogramme/Wil%20Flyer%205G.pdf</t>
        </is>
      </c>
      <c r="N37" s="3" t="inlineStr">
        <is>
          <t>2025</t>
        </is>
      </c>
      <c r="O37" s="3" t="inlineStr">
        <is>
          <t>2026-10-14</t>
        </is>
      </c>
      <c r="P37" s="3" t="inlineStr"/>
      <c r="Q37" s="3" t="inlineStr"/>
      <c r="R37" s="3" t="inlineStr"/>
      <c r="S37" s="3" t="inlineStr">
        <is>
          <t>Kein Peer-Vergleich</t>
        </is>
      </c>
      <c r="T37" s="3" t="inlineStr">
        <is>
          <t>Noch nicht bewertet</t>
        </is>
      </c>
      <c r="U37" s="3" t="inlineStr">
        <is>
          <t>Mittel</t>
        </is>
      </c>
      <c r="V37" s="3" t="inlineStr"/>
      <c r="W37" s="3" t="inlineStr"/>
      <c r="X37" s="3" t="inlineStr"/>
      <c r="Y37" s="3" t="inlineStr">
        <is>
          <t>Dokument auswerten; Aktualität und Geltung prüfen</t>
        </is>
      </c>
      <c r="Z37" s="3" t="inlineStr">
        <is>
          <t>Websuche 14.10.2026 (URL im Suchergebnis gefunden)</t>
        </is>
      </c>
      <c r="AA37" s="3" t="inlineStr"/>
      <c r="AB37" s="3" t="inlineStr"/>
      <c r="AC37" s="3" t="inlineStr"/>
      <c r="AD37" s="3" t="inlineStr">
        <is>
          <t>Verifiziert</t>
        </is>
      </c>
      <c r="AE37" s="3" t="inlineStr">
        <is>
          <t>200</t>
        </is>
      </c>
      <c r="AF37" s="3" t="inlineStr"/>
      <c r="AG37" s="3" t="inlineStr">
        <is>
          <t>PDF</t>
        </is>
      </c>
      <c r="AH37" s="3" t="inlineStr">
        <is>
          <t>Bestätigt</t>
        </is>
      </c>
      <c r="AI37" s="3" t="inlineStr">
        <is>
          <t>Schlüsselwörter 1/1 gefunden (Agglomerationsprogramm); Ort/Zuständigkeit: Wil</t>
        </is>
      </c>
      <c r="AJ37" s="3" t="inlineStr">
        <is>
          <t>DAS AGGLOMERATIONS-</t>
        </is>
      </c>
      <c r="AK37" s="3" t="inlineStr">
        <is>
          <t>2015, 2025</t>
        </is>
      </c>
      <c r="AL37" s="3" t="inlineStr">
        <is>
          <t>Mittel (CMS-Dokumentlink)</t>
        </is>
      </c>
      <c r="AM37" s="3" t="inlineStr">
        <is>
          <t>2026-10-14 13:56</t>
        </is>
      </c>
      <c r="AN37" s="3" t="inlineStr">
        <is>
          <t>Öffentlich verfügbar und verifiziert</t>
        </is>
      </c>
      <c r="AO37" s="3" t="inlineStr">
        <is>
          <t>2025</t>
        </is>
      </c>
      <c r="AP37" s="3" t="inlineStr">
        <is>
          <t>Belegt Existenz und Zugänglichkeit der Quelle; inhaltliche Aussagen erst nach Auswertung.</t>
        </is>
      </c>
      <c r="AQ37" s="3" t="inlineStr">
        <is>
          <t>Keine Einstufung: Kennzahlen/Befunde noch nicht ausgewertet; Schwellen der Bewertungslogik noch nicht validiert.</t>
        </is>
      </c>
      <c r="AR37" s="3" t="inlineStr">
        <is>
          <t>Ja</t>
        </is>
      </c>
      <c r="AS37" s="3" t="inlineStr">
        <is>
          <t>Gemeindeverwaltung Wil</t>
        </is>
      </c>
      <c r="AT37" s="3" t="inlineStr">
        <is>
          <t>In Prüfung</t>
        </is>
      </c>
      <c r="AU37" s="3" t="inlineStr"/>
      <c r="AV37" s="3" t="inlineStr"/>
      <c r="AW37" s="3" t="inlineStr">
        <is>
          <t>2026-10-14: neu aufgenommen</t>
        </is>
      </c>
      <c r="AX37" s="3">
        <f>IF(ISNA(MATCH($A37,'Gesamtübersicht'!$A:$A,0)),"ID fehlt in Gesamtübersicht",IF(AND(INDEX('Gesamtübersicht'!$H:$H,MATCH($A37,'Gesamtübersicht'!$A:$A,0))&amp;""=$H37&amp;"",INDEX('Gesamtübersicht'!$M:$M,MATCH($A37,'Gesamtübersicht'!$A:$A,0))&amp;""=$M37&amp;"",INDEX('Gesamtübersicht'!$AD:$AD,MATCH($A37,'Gesamtübersicht'!$A:$A,0))&amp;""=$AD37&amp;"",INDEX('Gesamtübersicht'!$AH:$AH,MATCH($A37,'Gesamtübersicht'!$A:$A,0))&amp;""=$AH37&amp;"",INDEX('Gesamtübersicht'!$T:$T,MATCH($A37,'Gesamtübersicht'!$A:$A,0))&amp;""=$T37&amp;""),"OK","Abweichung – Ansicht neu erzeugen"))</f>
        <v/>
      </c>
    </row>
    <row r="38" ht="43" customHeight="1">
      <c r="A38" s="2" t="inlineStr">
        <is>
          <t>WIL-C4-01</t>
        </is>
      </c>
      <c r="B38" s="15" t="inlineStr">
        <is>
          <t>Gemeinde</t>
        </is>
      </c>
      <c r="C38" s="2" t="inlineStr">
        <is>
          <t>Schweiz</t>
        </is>
      </c>
      <c r="D38" s="2" t="inlineStr">
        <is>
          <t>St. Gallen</t>
        </is>
      </c>
      <c r="E38" s="2" t="inlineStr">
        <is>
          <t>Wil</t>
        </is>
      </c>
      <c r="F38" s="2" t="inlineStr">
        <is>
          <t>C4</t>
        </is>
      </c>
      <c r="G38" s="2" t="inlineStr">
        <is>
          <t>Verwaltung</t>
        </is>
      </c>
      <c r="H38" s="2" t="inlineStr">
        <is>
          <t>Geschäftsbericht der Stadt Wil 2025</t>
        </is>
      </c>
      <c r="I38" s="2" t="inlineStr">
        <is>
          <t>Geschäftsbericht</t>
        </is>
      </c>
      <c r="J38" s="2" t="inlineStr">
        <is>
          <t>Direktes Dokument</t>
        </is>
      </c>
      <c r="K38" s="2" t="inlineStr">
        <is>
          <t>Rechenschaftsbericht</t>
        </is>
      </c>
      <c r="L38" s="2" t="inlineStr">
        <is>
          <t>Gemeinde Wil</t>
        </is>
      </c>
      <c r="M38" s="5" t="inlineStr">
        <is>
          <t>https://www.stadtwil.ch/storage/ee8bae2cd080dda0bc77e69f99046109dc3e161b3498b17df7581cfe441bc612</t>
        </is>
      </c>
      <c r="N38" s="2" t="inlineStr">
        <is>
          <t>2025</t>
        </is>
      </c>
      <c r="O38" s="2" t="inlineStr">
        <is>
          <t>2026-10-14</t>
        </is>
      </c>
      <c r="P38" s="2" t="inlineStr">
        <is>
          <t>Organisation und Verwaltungsressourcen recherchieren</t>
        </is>
      </c>
      <c r="Q38" s="2" t="inlineStr">
        <is>
          <t>Personal, Projektsteuerung, Beschaffung</t>
        </is>
      </c>
      <c r="R38" s="2" t="inlineStr">
        <is>
          <t>Organigramm / Projektportfolios ergänzen</t>
        </is>
      </c>
      <c r="S38" s="2" t="inlineStr">
        <is>
          <t>Qualitativ</t>
        </is>
      </c>
      <c r="T38" s="2" t="inlineStr">
        <is>
          <t>Noch nicht bewertet</t>
        </is>
      </c>
      <c r="U38" s="2" t="inlineStr">
        <is>
          <t>Hoch</t>
        </is>
      </c>
      <c r="V38" s="2" t="inlineStr">
        <is>
          <t>Konkrete kommunale Unterlagen / Datensatz nachfordern</t>
        </is>
      </c>
      <c r="W38" s="2" t="inlineStr">
        <is>
          <t>Q6; C3</t>
        </is>
      </c>
      <c r="X38" s="2" t="inlineStr">
        <is>
          <t>Verwaltungskapazität</t>
        </is>
      </c>
      <c r="Y38" s="2" t="inlineStr">
        <is>
          <t>Dokument auswerten; Aktualität und Geltung prüfen</t>
        </is>
      </c>
      <c r="Z38" s="2" t="inlineStr">
        <is>
          <t>Automatische Recherche GitHub Actions (Discovery), Fundstelle siehe Spalte Offizielle Fundstelle</t>
        </is>
      </c>
      <c r="AA38" s="2" t="inlineStr">
        <is>
          <t>C3, C5</t>
        </is>
      </c>
      <c r="AB38" s="2" t="inlineStr"/>
      <c r="AC38" s="5" t="inlineStr">
        <is>
          <t>https://www.stadtwil.ch/topics/stadt-politik-und-recht/geschaeftsberichte</t>
        </is>
      </c>
      <c r="AD38" s="2" t="inlineStr">
        <is>
          <t>Verifiziert</t>
        </is>
      </c>
      <c r="AE38" s="2" t="inlineStr">
        <is>
          <t>200</t>
        </is>
      </c>
      <c r="AF38" s="2" t="inlineStr"/>
      <c r="AG38" s="2" t="inlineStr">
        <is>
          <t>PDF</t>
        </is>
      </c>
      <c r="AH38" s="2" t="inlineStr">
        <is>
          <t>Bestätigt</t>
        </is>
      </c>
      <c r="AI38" s="2" t="inlineStr">
        <is>
          <t>Schlüsselwörter 2/2 gefunden (Geschäftsbericht, 2025); Ort/Zuständigkeit: Wil</t>
        </is>
      </c>
      <c r="AJ38" s="2" t="inlineStr">
        <is>
          <t>GESCHÄFTSBERICHT</t>
        </is>
      </c>
      <c r="AK38" s="2" t="inlineStr">
        <is>
          <t>2025, 2026, 2021, 2028, 2030</t>
        </is>
      </c>
      <c r="AL38" s="2" t="inlineStr">
        <is>
          <t>Mittel (Webseite)</t>
        </is>
      </c>
      <c r="AM38" s="2" t="inlineStr">
        <is>
          <t>2026-10-14 13:54</t>
        </is>
      </c>
      <c r="AN38" s="2" t="inlineStr">
        <is>
          <t>Öffentlich verfügbar und verifiziert</t>
        </is>
      </c>
      <c r="AO38" s="2" t="inlineStr">
        <is>
          <t>2025</t>
        </is>
      </c>
      <c r="AP38" s="2" t="inlineStr">
        <is>
          <t>Belegt Existenz und Zugänglichkeit der Quelle; inhaltliche Aussagen erst nach Auswertung. Fundstellen im Dokument (automatisch): Organigramm: nicht gefunden; Stellen: S. 11, 12, 14, 18, 24, 25, 28, 29, 32, 35, 38, 44 …; Personal: S. 25, 28, 29, 39, 51, 73, 81, 84, 90.</t>
        </is>
      </c>
      <c r="AQ38" s="2" t="inlineStr">
        <is>
          <t>Keine Einstufung: Kennzahlen/Befunde noch nicht ausgewertet; Schwellen der Bewertungslogik noch nicht validiert.</t>
        </is>
      </c>
      <c r="AR38" s="2" t="inlineStr">
        <is>
          <t>Ja</t>
        </is>
      </c>
      <c r="AS38" s="2" t="inlineStr">
        <is>
          <t>Gemeindeverwaltung Wil</t>
        </is>
      </c>
      <c r="AT38" s="2" t="inlineStr">
        <is>
          <t>In Prüfung</t>
        </is>
      </c>
      <c r="AU38" s="2" t="inlineStr">
        <is>
          <t>Geschäftsberichte 2008–2024 auf der Fundstelle (Zeitreihe).</t>
        </is>
      </c>
      <c r="AV38" s="2" t="inlineStr"/>
      <c r="AW38" s="2" t="inlineStr">
        <is>
          <t>2026-10-14: Link ersetzt (vorher https://www.stadtwil.ch/). Grund: Startseite durch aktuellen Geschäftsbericht ersetzt.</t>
        </is>
      </c>
      <c r="AX38" s="2">
        <f>IF(ISNA(MATCH($A38,'Gesamtübersicht'!$A:$A,0)),"ID fehlt in Gesamtübersicht",IF(AND(INDEX('Gesamtübersicht'!$H:$H,MATCH($A38,'Gesamtübersicht'!$A:$A,0))&amp;""=$H38&amp;"",INDEX('Gesamtübersicht'!$M:$M,MATCH($A38,'Gesamtübersicht'!$A:$A,0))&amp;""=$M38&amp;"",INDEX('Gesamtübersicht'!$AD:$AD,MATCH($A38,'Gesamtübersicht'!$A:$A,0))&amp;""=$AD38&amp;"",INDEX('Gesamtübersicht'!$AH:$AH,MATCH($A38,'Gesamtübersicht'!$A:$A,0))&amp;""=$AH38&amp;"",INDEX('Gesamtübersicht'!$T:$T,MATCH($A38,'Gesamtübersicht'!$A:$A,0))&amp;""=$T38&amp;""),"OK","Abweichung – Ansicht neu erzeugen"))</f>
        <v/>
      </c>
    </row>
    <row r="39" ht="43" customHeight="1">
      <c r="A39" s="3" t="inlineStr">
        <is>
          <t>WIL-C5-01</t>
        </is>
      </c>
      <c r="B39" s="15" t="inlineStr">
        <is>
          <t>Gemeinde</t>
        </is>
      </c>
      <c r="C39" s="3" t="inlineStr">
        <is>
          <t>Schweiz</t>
        </is>
      </c>
      <c r="D39" s="3" t="inlineStr">
        <is>
          <t>St. Gallen</t>
        </is>
      </c>
      <c r="E39" s="3" t="inlineStr">
        <is>
          <t>Wil</t>
        </is>
      </c>
      <c r="F39" s="3" t="inlineStr">
        <is>
          <t>C5</t>
        </is>
      </c>
      <c r="G39" s="3" t="inlineStr">
        <is>
          <t>Politische Entscheide</t>
        </is>
      </c>
      <c r="H39" s="3" t="inlineStr">
        <is>
          <t>Legislaturplanung 2025–2028 «wil sind wir» – Bericht an das Stadtparlament</t>
        </is>
      </c>
      <c r="I39" s="3" t="inlineStr">
        <is>
          <t>Legislaturprogramm</t>
        </is>
      </c>
      <c r="J39" s="3" t="inlineStr">
        <is>
          <t>Direktes Dokument</t>
        </is>
      </c>
      <c r="K39" s="3" t="inlineStr">
        <is>
          <t>Politische Zielsetzung</t>
        </is>
      </c>
      <c r="L39" s="3" t="inlineStr">
        <is>
          <t>Gemeinde Wil</t>
        </is>
      </c>
      <c r="M39" s="7" t="inlineStr">
        <is>
          <t>https://www.stadtwil.ch/storage/55dcd744fbd978ce5601e42dc48a7b53cdfe1082b7fecb9c647e6dadc8abf9c7</t>
        </is>
      </c>
      <c r="N39" s="3" t="inlineStr">
        <is>
          <t>2025–2028</t>
        </is>
      </c>
      <c r="O39" s="3" t="inlineStr">
        <is>
          <t>2026-10-14</t>
        </is>
      </c>
      <c r="P39" s="3" t="inlineStr">
        <is>
          <t>Parlamentsgeschäfte, Beschlüsse und offene Vorlagen</t>
        </is>
      </c>
      <c r="Q39" s="3" t="inlineStr">
        <is>
          <t>Entscheidungsstand, Mitwirkung, Konflikte</t>
        </is>
      </c>
      <c r="R39" s="3" t="inlineStr">
        <is>
          <t>Relevante Strategiegeschäfte auswerten</t>
        </is>
      </c>
      <c r="S39" s="3" t="inlineStr">
        <is>
          <t>Qualitativ</t>
        </is>
      </c>
      <c r="T39" s="3" t="inlineStr">
        <is>
          <t>Noch nicht bewertet</t>
        </is>
      </c>
      <c r="U39" s="3" t="inlineStr">
        <is>
          <t>Mittel</t>
        </is>
      </c>
      <c r="V39" s="3" t="inlineStr">
        <is>
          <t>Konkrete kommunale Unterlagen / Datensatz nachfordern</t>
        </is>
      </c>
      <c r="W39" s="3" t="inlineStr">
        <is>
          <t>C3; Q1</t>
        </is>
      </c>
      <c r="X39" s="3" t="inlineStr">
        <is>
          <t>Politische Machbarkeit</t>
        </is>
      </c>
      <c r="Y39" s="3" t="inlineStr">
        <is>
          <t>Dokument auswerten; Aktualität und Geltung prüfen</t>
        </is>
      </c>
      <c r="Z39" s="3" t="inlineStr">
        <is>
          <t>Webrecherche 14.10.2026</t>
        </is>
      </c>
      <c r="AA39" s="3" t="inlineStr"/>
      <c r="AB39" s="3" t="inlineStr"/>
      <c r="AC39" s="3" t="inlineStr"/>
      <c r="AD39" s="3" t="inlineStr">
        <is>
          <t>Verifiziert</t>
        </is>
      </c>
      <c r="AE39" s="3" t="inlineStr">
        <is>
          <t>200</t>
        </is>
      </c>
      <c r="AF39" s="3" t="inlineStr"/>
      <c r="AG39" s="3" t="inlineStr">
        <is>
          <t>PDF</t>
        </is>
      </c>
      <c r="AH39" s="3" t="inlineStr">
        <is>
          <t>Bestätigt</t>
        </is>
      </c>
      <c r="AI39" s="3" t="inlineStr">
        <is>
          <t>Schlüsselwörter 1/1 gefunden (Legislatur); Ort/Zuständigkeit: Wil</t>
        </is>
      </c>
      <c r="AJ39" s="3" t="inlineStr">
        <is>
          <t>Marktgasse 58</t>
        </is>
      </c>
      <c r="AK39" s="3" t="inlineStr">
        <is>
          <t>2025, 2028</t>
        </is>
      </c>
      <c r="AL39" s="3" t="inlineStr">
        <is>
          <t>Mittel (Webseite)</t>
        </is>
      </c>
      <c r="AM39" s="3" t="inlineStr">
        <is>
          <t>2026-10-14 13:54</t>
        </is>
      </c>
      <c r="AN39" s="3" t="inlineStr">
        <is>
          <t>Öffentlich verfügbar und verifiziert</t>
        </is>
      </c>
      <c r="AO39" s="3" t="inlineStr">
        <is>
          <t>2025–2028</t>
        </is>
      </c>
      <c r="AP39" s="3" t="inlineStr">
        <is>
          <t>Belegt Existenz und Zugänglichkeit der Quelle; inhaltliche Aussagen erst nach Auswertung.</t>
        </is>
      </c>
      <c r="AQ39" s="3" t="inlineStr">
        <is>
          <t>Keine Einstufung: Kennzahlen/Befunde noch nicht ausgewertet; Schwellen der Bewertungslogik noch nicht validiert.</t>
        </is>
      </c>
      <c r="AR39" s="3" t="inlineStr">
        <is>
          <t>Nein</t>
        </is>
      </c>
      <c r="AS39" s="3" t="inlineStr">
        <is>
          <t>Gemeindeverwaltung Wil</t>
        </is>
      </c>
      <c r="AT39" s="3" t="inlineStr">
        <is>
          <t>In Prüfung</t>
        </is>
      </c>
      <c r="AU39" s="3" t="inlineStr"/>
      <c r="AV39" s="3" t="inlineStr"/>
      <c r="AW39" s="3" t="inlineStr">
        <is>
          <t>2026-10-14: Link ersetzt (vorher https://www.stadtwil.ch/political-businesses). Grund: Geschäftsregister-Startseite durch Legislaturplanung ersetzt.</t>
        </is>
      </c>
      <c r="AX39" s="3">
        <f>IF(ISNA(MATCH($A39,'Gesamtübersicht'!$A:$A,0)),"ID fehlt in Gesamtübersicht",IF(AND(INDEX('Gesamtübersicht'!$H:$H,MATCH($A39,'Gesamtübersicht'!$A:$A,0))&amp;""=$H39&amp;"",INDEX('Gesamtübersicht'!$M:$M,MATCH($A39,'Gesamtübersicht'!$A:$A,0))&amp;""=$M39&amp;"",INDEX('Gesamtübersicht'!$AD:$AD,MATCH($A39,'Gesamtübersicht'!$A:$A,0))&amp;""=$AD39&amp;"",INDEX('Gesamtübersicht'!$AH:$AH,MATCH($A39,'Gesamtübersicht'!$A:$A,0))&amp;""=$AH39&amp;"",INDEX('Gesamtübersicht'!$T:$T,MATCH($A39,'Gesamtübersicht'!$A:$A,0))&amp;""=$T39&amp;""),"OK","Abweichung – Ansicht neu erzeugen"))</f>
        <v/>
      </c>
    </row>
    <row r="40" ht="43" customHeight="1">
      <c r="A40" s="2" t="inlineStr">
        <is>
          <t>WIL-C5-02</t>
        </is>
      </c>
      <c r="B40" s="15" t="inlineStr">
        <is>
          <t>Gemeinde</t>
        </is>
      </c>
      <c r="C40" s="2" t="inlineStr">
        <is>
          <t>Schweiz</t>
        </is>
      </c>
      <c r="D40" s="2" t="inlineStr">
        <is>
          <t>St. Gallen</t>
        </is>
      </c>
      <c r="E40" s="2" t="inlineStr">
        <is>
          <t>Wil</t>
        </is>
      </c>
      <c r="F40" s="2" t="inlineStr">
        <is>
          <t>C5</t>
        </is>
      </c>
      <c r="G40" s="2" t="inlineStr">
        <is>
          <t>Ortsplanung / Mitwirkung</t>
        </is>
      </c>
      <c r="H40" s="2" t="inlineStr">
        <is>
          <t>Richtplan Siedlung und Grün-/Freiraum – Planungsbericht inkl. Auszug Stadtentwicklungskonzept (31.3.2026)</t>
        </is>
      </c>
      <c r="I40" s="2" t="inlineStr">
        <is>
          <t>Planungsbericht</t>
        </is>
      </c>
      <c r="J40" s="2" t="inlineStr">
        <is>
          <t>Direktes Dokument</t>
        </is>
      </c>
      <c r="K40" s="2" t="inlineStr">
        <is>
          <t>Behördenverbindliche Planung (Entwurf)</t>
        </is>
      </c>
      <c r="L40" s="2" t="inlineStr">
        <is>
          <t>Stadt Wil</t>
        </is>
      </c>
      <c r="M40" s="5" t="inlineStr">
        <is>
          <t>https://www.stadtwil.ch/storage/533b0557b4e4988a6a4f9af13c0b789fec39837eef83d1e66cd1d3814dbe0acb</t>
        </is>
      </c>
      <c r="N40" s="2" t="inlineStr">
        <is>
          <t>2026</t>
        </is>
      </c>
      <c r="O40" s="2" t="inlineStr">
        <is>
          <t>2026-10-14</t>
        </is>
      </c>
      <c r="P40" s="2" t="inlineStr"/>
      <c r="Q40" s="2" t="inlineStr"/>
      <c r="R40" s="2" t="inlineStr"/>
      <c r="S40" s="2" t="inlineStr">
        <is>
          <t>Kein Peer-Vergleich</t>
        </is>
      </c>
      <c r="T40" s="2" t="inlineStr">
        <is>
          <t>Noch nicht bewertet</t>
        </is>
      </c>
      <c r="U40" s="2" t="inlineStr">
        <is>
          <t>Mittel</t>
        </is>
      </c>
      <c r="V40" s="2" t="inlineStr"/>
      <c r="W40" s="2" t="inlineStr"/>
      <c r="X40" s="2" t="inlineStr"/>
      <c r="Y40" s="2" t="inlineStr">
        <is>
          <t>Dokument auswerten; Aktualität und Geltung prüfen</t>
        </is>
      </c>
      <c r="Z40" s="2" t="inlineStr">
        <is>
          <t>Websuche 14.10.2026 (URL im Suchergebnis gefunden)</t>
        </is>
      </c>
      <c r="AA40" s="2" t="inlineStr">
        <is>
          <t>C2</t>
        </is>
      </c>
      <c r="AB40" s="2" t="inlineStr"/>
      <c r="AC40" s="2" t="inlineStr"/>
      <c r="AD40" s="2" t="inlineStr">
        <is>
          <t>Verifiziert</t>
        </is>
      </c>
      <c r="AE40" s="2" t="inlineStr">
        <is>
          <t>200</t>
        </is>
      </c>
      <c r="AF40" s="2" t="inlineStr"/>
      <c r="AG40" s="2" t="inlineStr">
        <is>
          <t>PDF</t>
        </is>
      </c>
      <c r="AH40" s="2" t="inlineStr">
        <is>
          <t>Bestätigt</t>
        </is>
      </c>
      <c r="AI40" s="2" t="inlineStr">
        <is>
          <t>Schlüsselwörter 1/1 gefunden (Richtplan); Ort/Zuständigkeit: Wil</t>
        </is>
      </c>
      <c r="AJ40" s="2" t="inlineStr">
        <is>
          <t>Richtplan Siedlung</t>
        </is>
      </c>
      <c r="AK40" s="2" t="inlineStr">
        <is>
          <t>2026, 2013, 2024, 2025</t>
        </is>
      </c>
      <c r="AL40" s="2" t="inlineStr">
        <is>
          <t>Mittel (Webseite)</t>
        </is>
      </c>
      <c r="AM40" s="2" t="inlineStr">
        <is>
          <t>2026-10-14 13:56</t>
        </is>
      </c>
      <c r="AN40" s="2" t="inlineStr">
        <is>
          <t>Öffentlich verfügbar und verifiziert</t>
        </is>
      </c>
      <c r="AO40" s="2" t="inlineStr">
        <is>
          <t>2026</t>
        </is>
      </c>
      <c r="AP40" s="2" t="inlineStr">
        <is>
          <t>Belegt Existenz und Zugänglichkeit der Quelle; inhaltliche Aussagen erst nach Auswertung.</t>
        </is>
      </c>
      <c r="AQ40" s="2" t="inlineStr">
        <is>
          <t>Keine Einstufung: Kennzahlen/Befunde noch nicht ausgewertet; Schwellen der Bewertungslogik noch nicht validiert.</t>
        </is>
      </c>
      <c r="AR40" s="2" t="inlineStr">
        <is>
          <t>Nein</t>
        </is>
      </c>
      <c r="AS40" s="2" t="inlineStr">
        <is>
          <t>Gemeindeverwaltung Wil</t>
        </is>
      </c>
      <c r="AT40" s="2" t="inlineStr">
        <is>
          <t>In Prüfung</t>
        </is>
      </c>
      <c r="AU40" s="2" t="inlineStr">
        <is>
          <t>Zuordnung der Hash-URL aus Suchzusammenfassung.</t>
        </is>
      </c>
      <c r="AV40" s="2" t="inlineStr"/>
      <c r="AW40" s="2" t="inlineStr">
        <is>
          <t>2026-10-14: neu aufgenommen</t>
        </is>
      </c>
      <c r="AX40" s="2">
        <f>IF(ISNA(MATCH($A40,'Gesamtübersicht'!$A:$A,0)),"ID fehlt in Gesamtübersicht",IF(AND(INDEX('Gesamtübersicht'!$H:$H,MATCH($A40,'Gesamtübersicht'!$A:$A,0))&amp;""=$H40&amp;"",INDEX('Gesamtübersicht'!$M:$M,MATCH($A40,'Gesamtübersicht'!$A:$A,0))&amp;""=$M40&amp;"",INDEX('Gesamtübersicht'!$AD:$AD,MATCH($A40,'Gesamtübersicht'!$A:$A,0))&amp;""=$AD40&amp;"",INDEX('Gesamtübersicht'!$AH:$AH,MATCH($A40,'Gesamtübersicht'!$A:$A,0))&amp;""=$AH40&amp;"",INDEX('Gesamtübersicht'!$T:$T,MATCH($A40,'Gesamtübersicht'!$A:$A,0))&amp;""=$T40&amp;""),"OK","Abweichung – Ansicht neu erzeugen"))</f>
        <v/>
      </c>
    </row>
    <row r="41" ht="43" customHeight="1">
      <c r="A41" s="3" t="inlineStr">
        <is>
          <t>WIL-C5-03</t>
        </is>
      </c>
      <c r="B41" s="15" t="inlineStr">
        <is>
          <t>Gemeinde</t>
        </is>
      </c>
      <c r="C41" s="3" t="inlineStr">
        <is>
          <t>Schweiz</t>
        </is>
      </c>
      <c r="D41" s="3" t="inlineStr">
        <is>
          <t>St. Gallen</t>
        </is>
      </c>
      <c r="E41" s="3" t="inlineStr">
        <is>
          <t>Wil</t>
        </is>
      </c>
      <c r="F41" s="3" t="inlineStr">
        <is>
          <t>C5</t>
        </is>
      </c>
      <c r="G41" s="3" t="inlineStr">
        <is>
          <t>Mitwirkung</t>
        </is>
      </c>
      <c r="H41" s="3" t="inlineStr">
        <is>
          <t>Ortsplanungsrevision Wil – Mitwirkung 2025</t>
        </is>
      </c>
      <c r="I41" s="3" t="inlineStr">
        <is>
          <t>Mitwirkungsunterlage</t>
        </is>
      </c>
      <c r="J41" s="3" t="inlineStr">
        <is>
          <t>Direktes Dokument</t>
        </is>
      </c>
      <c r="K41" s="3" t="inlineStr">
        <is>
          <t>Information</t>
        </is>
      </c>
      <c r="L41" s="3" t="inlineStr">
        <is>
          <t>Stadt Wil</t>
        </is>
      </c>
      <c r="M41" s="7" t="inlineStr">
        <is>
          <t>https://www.stadtwil.ch/storage/5d895f1e33cc1b2c352d7bdeb9d93dd5b2333fbff6a1793cd419f387dd4e1e28</t>
        </is>
      </c>
      <c r="N41" s="3" t="inlineStr">
        <is>
          <t>2025</t>
        </is>
      </c>
      <c r="O41" s="3" t="inlineStr">
        <is>
          <t>2026-10-14</t>
        </is>
      </c>
      <c r="P41" s="3" t="inlineStr"/>
      <c r="Q41" s="3" t="inlineStr"/>
      <c r="R41" s="3" t="inlineStr"/>
      <c r="S41" s="3" t="inlineStr">
        <is>
          <t>Kein Peer-Vergleich</t>
        </is>
      </c>
      <c r="T41" s="3" t="inlineStr">
        <is>
          <t>Noch nicht bewertet</t>
        </is>
      </c>
      <c r="U41" s="3" t="inlineStr">
        <is>
          <t>Niedrig</t>
        </is>
      </c>
      <c r="V41" s="3" t="inlineStr"/>
      <c r="W41" s="3" t="inlineStr"/>
      <c r="X41" s="3" t="inlineStr"/>
      <c r="Y41" s="3" t="inlineStr">
        <is>
          <t>Dokument auswerten; Aktualität und Geltung prüfen</t>
        </is>
      </c>
      <c r="Z41" s="3" t="inlineStr">
        <is>
          <t>Websuche 14.10.2026 (URL im Suchergebnis gefunden)</t>
        </is>
      </c>
      <c r="AA41" s="3" t="inlineStr"/>
      <c r="AB41" s="3" t="inlineStr"/>
      <c r="AC41" s="3" t="inlineStr"/>
      <c r="AD41" s="3" t="inlineStr">
        <is>
          <t>Verifiziert</t>
        </is>
      </c>
      <c r="AE41" s="3" t="inlineStr">
        <is>
          <t>200</t>
        </is>
      </c>
      <c r="AF41" s="3" t="inlineStr"/>
      <c r="AG41" s="3" t="inlineStr">
        <is>
          <t>PDF</t>
        </is>
      </c>
      <c r="AH41" s="3" t="inlineStr">
        <is>
          <t>Bestätigt</t>
        </is>
      </c>
      <c r="AI41" s="3" t="inlineStr">
        <is>
          <t>Schlüsselwörter 1/1 gefunden (Mitwirkung); Ort/Zuständigkeit: Wil</t>
        </is>
      </c>
      <c r="AJ41" s="3" t="inlineStr">
        <is>
          <t>v2_OPR_Broschure_210x297mm</t>
        </is>
      </c>
      <c r="AK41" s="3" t="inlineStr">
        <is>
          <t>2025, 2026, 2024, 2027</t>
        </is>
      </c>
      <c r="AL41" s="3" t="inlineStr">
        <is>
          <t>Mittel (Webseite)</t>
        </is>
      </c>
      <c r="AM41" s="3" t="inlineStr">
        <is>
          <t>2026-10-14 13:56</t>
        </is>
      </c>
      <c r="AN41" s="3" t="inlineStr">
        <is>
          <t>Öffentlich verfügbar und verifiziert</t>
        </is>
      </c>
      <c r="AO41" s="3" t="inlineStr">
        <is>
          <t>2025</t>
        </is>
      </c>
      <c r="AP41" s="3" t="inlineStr">
        <is>
          <t>Belegt Existenz und Zugänglichkeit der Quelle; inhaltliche Aussagen erst nach Auswertung.</t>
        </is>
      </c>
      <c r="AQ41" s="3" t="inlineStr">
        <is>
          <t>Keine Einstufung: Kennzahlen/Befunde noch nicht ausgewertet; Schwellen der Bewertungslogik noch nicht validiert.</t>
        </is>
      </c>
      <c r="AR41" s="3" t="inlineStr">
        <is>
          <t>Nein</t>
        </is>
      </c>
      <c r="AS41" s="3" t="inlineStr">
        <is>
          <t>Gemeindeverwaltung Wil</t>
        </is>
      </c>
      <c r="AT41" s="3" t="inlineStr">
        <is>
          <t>In Prüfung</t>
        </is>
      </c>
      <c r="AU41" s="3" t="inlineStr">
        <is>
          <t>Unsichere Zuordnung (Suchzusammenfassung).</t>
        </is>
      </c>
      <c r="AV41" s="3" t="inlineStr"/>
      <c r="AW41" s="3" t="inlineStr">
        <is>
          <t>2026-10-14: neu aufgenommen</t>
        </is>
      </c>
      <c r="AX41" s="3">
        <f>IF(ISNA(MATCH($A41,'Gesamtübersicht'!$A:$A,0)),"ID fehlt in Gesamtübersicht",IF(AND(INDEX('Gesamtübersicht'!$H:$H,MATCH($A41,'Gesamtübersicht'!$A:$A,0))&amp;""=$H41&amp;"",INDEX('Gesamtübersicht'!$M:$M,MATCH($A41,'Gesamtübersicht'!$A:$A,0))&amp;""=$M41&amp;"",INDEX('Gesamtübersicht'!$AD:$AD,MATCH($A41,'Gesamtübersicht'!$A:$A,0))&amp;""=$AD41&amp;"",INDEX('Gesamtübersicht'!$AH:$AH,MATCH($A41,'Gesamtübersicht'!$A:$A,0))&amp;""=$AH41&amp;"",INDEX('Gesamtübersicht'!$T:$T,MATCH($A41,'Gesamtübersicht'!$A:$A,0))&amp;""=$T41&amp;""),"OK","Abweichung – Ansicht neu erzeugen"))</f>
        <v/>
      </c>
    </row>
  </sheetData>
  <conditionalFormatting sqref="AD2:AD500">
    <cfRule type="cellIs" priority="1" operator="equal" dxfId="0">
      <formula>"Verifiziert"</formula>
    </cfRule>
    <cfRule type="cellIs" priority="2" operator="equal" dxfId="1">
      <formula>"Weiterleitung"</formula>
    </cfRule>
    <cfRule type="cellIs" priority="3" operator="equal" dxfId="2">
      <formula>"Fehler"</formula>
    </cfRule>
    <cfRule type="cellIs" priority="4" operator="equal" dxfId="3">
      <formula>"Nicht prüfbar"</formula>
    </cfRule>
  </conditionalFormatting>
  <conditionalFormatting sqref="AH2:AH500">
    <cfRule type="cellIs" priority="5" operator="equal" dxfId="0">
      <formula>"Bestätigt"</formula>
    </cfRule>
    <cfRule type="cellIs" priority="6" operator="equal" dxfId="1">
      <formula>"Teilweise bestätigt"</formula>
    </cfRule>
    <cfRule type="cellIs" priority="7" operator="equal" dxfId="3">
      <formula>"Offen"</formula>
    </cfRule>
  </conditionalFormatting>
  <dataValidations count="10">
    <dataValidation sqref="B2:B500" showDropDown="0" showInputMessage="0" showErrorMessage="0" allowBlank="1" type="list">
      <formula1>"Bund,Kanton,Gemeinde"</formula1>
    </dataValidation>
    <dataValidation sqref="F2:F500" showDropDown="0" showInputMessage="0" showErrorMessage="0" allowBlank="1" type="list">
      <formula1>"C1,C2,C3,C4,C5"</formula1>
    </dataValidation>
    <dataValidation sqref="T2:T500" showDropDown="0" showInputMessage="0" showErrorMessage="0" allowBlank="1" type="list">
      <formula1>"Noch nicht bewertet,Hoch,Mittel,Gering"</formula1>
    </dataValidation>
    <dataValidation sqref="U2:U500" showDropDown="0" showInputMessage="0" showErrorMessage="0" allowBlank="1" type="list">
      <formula1>"Hoch,Mittel,Niedrig"</formula1>
    </dataValidation>
    <dataValidation sqref="Y2:Y500" showDropDown="0" showInputMessage="0" showErrorMessage="0" allowBlank="1" type="list">
      <formula1>"Dokument auswerten; Aktualität und Geltung prüfen,In Bearbeitung,Geprüft,Nachforderung offen"</formula1>
    </dataValidation>
    <dataValidation sqref="AD2:AD500" showDropDown="0" showInputMessage="0" showErrorMessage="0" allowBlank="1" type="list">
      <formula1>"Verifiziert,Weiterleitung,Fehler,Nicht prüfbar"</formula1>
    </dataValidation>
    <dataValidation sqref="AH2:AH500" showDropDown="0" showInputMessage="0" showErrorMessage="0" allowBlank="1" type="list">
      <formula1>"Bestätigt,Teilweise bestätigt,Offen"</formula1>
    </dataValidation>
    <dataValidation sqref="AN2:AN500" showDropDown="0" showInputMessage="0" showErrorMessage="0" allowBlank="1" type="list">
      <formula1>"Öffentlich verfügbar und verifiziert,Öffentlich verfügbar – noch nicht geprüft,Nicht öffentlich auffindbar,Nur über Gemeindeanfrage erhältlich,Nicht zugänglich / nicht prüfbar"</formula1>
    </dataValidation>
    <dataValidation sqref="AR2:AR500" showDropDown="0" showInputMessage="0" showErrorMessage="0" allowBlank="1" type="list">
      <formula1>"Ja,Nein"</formula1>
    </dataValidation>
    <dataValidation sqref="AT2:AT500" showDropDown="0" showInputMessage="0" showErrorMessage="0" allowBlank="1" type="list">
      <formula1>"Offen,In Prüfung,Abgeschlossen"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AC2" r:id="rId2"/>
    <hyperlink xmlns:r="http://schemas.openxmlformats.org/officeDocument/2006/relationships" ref="M3" r:id="rId3"/>
    <hyperlink xmlns:r="http://schemas.openxmlformats.org/officeDocument/2006/relationships" ref="M4" r:id="rId4"/>
    <hyperlink xmlns:r="http://schemas.openxmlformats.org/officeDocument/2006/relationships" ref="AC4" r:id="rId5"/>
    <hyperlink xmlns:r="http://schemas.openxmlformats.org/officeDocument/2006/relationships" ref="M5" r:id="rId6"/>
    <hyperlink xmlns:r="http://schemas.openxmlformats.org/officeDocument/2006/relationships" ref="M6" r:id="rId7"/>
    <hyperlink xmlns:r="http://schemas.openxmlformats.org/officeDocument/2006/relationships" ref="M7" r:id="rId8"/>
    <hyperlink xmlns:r="http://schemas.openxmlformats.org/officeDocument/2006/relationships" ref="M8" r:id="rId9"/>
    <hyperlink xmlns:r="http://schemas.openxmlformats.org/officeDocument/2006/relationships" ref="M9" r:id="rId10"/>
    <hyperlink xmlns:r="http://schemas.openxmlformats.org/officeDocument/2006/relationships" ref="M10" r:id="rId11"/>
    <hyperlink xmlns:r="http://schemas.openxmlformats.org/officeDocument/2006/relationships" ref="M11" r:id="rId12"/>
    <hyperlink xmlns:r="http://schemas.openxmlformats.org/officeDocument/2006/relationships" ref="M12" r:id="rId13"/>
    <hyperlink xmlns:r="http://schemas.openxmlformats.org/officeDocument/2006/relationships" ref="M13" r:id="rId14"/>
    <hyperlink xmlns:r="http://schemas.openxmlformats.org/officeDocument/2006/relationships" ref="M14" r:id="rId15"/>
    <hyperlink xmlns:r="http://schemas.openxmlformats.org/officeDocument/2006/relationships" ref="M15" r:id="rId16"/>
    <hyperlink xmlns:r="http://schemas.openxmlformats.org/officeDocument/2006/relationships" ref="M16" r:id="rId17"/>
    <hyperlink xmlns:r="http://schemas.openxmlformats.org/officeDocument/2006/relationships" ref="M17" r:id="rId18"/>
    <hyperlink xmlns:r="http://schemas.openxmlformats.org/officeDocument/2006/relationships" ref="M18" r:id="rId19"/>
    <hyperlink xmlns:r="http://schemas.openxmlformats.org/officeDocument/2006/relationships" ref="M19" r:id="rId20"/>
    <hyperlink xmlns:r="http://schemas.openxmlformats.org/officeDocument/2006/relationships" ref="M20" r:id="rId21"/>
    <hyperlink xmlns:r="http://schemas.openxmlformats.org/officeDocument/2006/relationships" ref="AC20" r:id="rId22"/>
    <hyperlink xmlns:r="http://schemas.openxmlformats.org/officeDocument/2006/relationships" ref="M21" r:id="rId23"/>
    <hyperlink xmlns:r="http://schemas.openxmlformats.org/officeDocument/2006/relationships" ref="M22" r:id="rId24"/>
    <hyperlink xmlns:r="http://schemas.openxmlformats.org/officeDocument/2006/relationships" ref="M23" r:id="rId25"/>
    <hyperlink xmlns:r="http://schemas.openxmlformats.org/officeDocument/2006/relationships" ref="M24" r:id="rId26"/>
    <hyperlink xmlns:r="http://schemas.openxmlformats.org/officeDocument/2006/relationships" ref="AC24" r:id="rId27"/>
    <hyperlink xmlns:r="http://schemas.openxmlformats.org/officeDocument/2006/relationships" ref="M25" r:id="rId28"/>
    <hyperlink xmlns:r="http://schemas.openxmlformats.org/officeDocument/2006/relationships" ref="AC25" r:id="rId29"/>
    <hyperlink xmlns:r="http://schemas.openxmlformats.org/officeDocument/2006/relationships" ref="M26" r:id="rId30"/>
    <hyperlink xmlns:r="http://schemas.openxmlformats.org/officeDocument/2006/relationships" ref="M27" r:id="rId31"/>
    <hyperlink xmlns:r="http://schemas.openxmlformats.org/officeDocument/2006/relationships" ref="AC27" r:id="rId32"/>
    <hyperlink xmlns:r="http://schemas.openxmlformats.org/officeDocument/2006/relationships" ref="M28" r:id="rId33"/>
    <hyperlink xmlns:r="http://schemas.openxmlformats.org/officeDocument/2006/relationships" ref="AC28" r:id="rId34"/>
    <hyperlink xmlns:r="http://schemas.openxmlformats.org/officeDocument/2006/relationships" ref="M29" r:id="rId35"/>
    <hyperlink xmlns:r="http://schemas.openxmlformats.org/officeDocument/2006/relationships" ref="AC29" r:id="rId36"/>
    <hyperlink xmlns:r="http://schemas.openxmlformats.org/officeDocument/2006/relationships" ref="M30" r:id="rId37"/>
    <hyperlink xmlns:r="http://schemas.openxmlformats.org/officeDocument/2006/relationships" ref="M31" r:id="rId38"/>
    <hyperlink xmlns:r="http://schemas.openxmlformats.org/officeDocument/2006/relationships" ref="AC31" r:id="rId39"/>
    <hyperlink xmlns:r="http://schemas.openxmlformats.org/officeDocument/2006/relationships" ref="M32" r:id="rId40"/>
    <hyperlink xmlns:r="http://schemas.openxmlformats.org/officeDocument/2006/relationships" ref="AC32" r:id="rId41"/>
    <hyperlink xmlns:r="http://schemas.openxmlformats.org/officeDocument/2006/relationships" ref="M33" r:id="rId42"/>
    <hyperlink xmlns:r="http://schemas.openxmlformats.org/officeDocument/2006/relationships" ref="AC33" r:id="rId43"/>
    <hyperlink xmlns:r="http://schemas.openxmlformats.org/officeDocument/2006/relationships" ref="M34" r:id="rId44"/>
    <hyperlink xmlns:r="http://schemas.openxmlformats.org/officeDocument/2006/relationships" ref="M35" r:id="rId45"/>
    <hyperlink xmlns:r="http://schemas.openxmlformats.org/officeDocument/2006/relationships" ref="M36" r:id="rId46"/>
    <hyperlink xmlns:r="http://schemas.openxmlformats.org/officeDocument/2006/relationships" ref="M37" r:id="rId47"/>
    <hyperlink xmlns:r="http://schemas.openxmlformats.org/officeDocument/2006/relationships" ref="M38" r:id="rId48"/>
    <hyperlink xmlns:r="http://schemas.openxmlformats.org/officeDocument/2006/relationships" ref="AC38" r:id="rId49"/>
    <hyperlink xmlns:r="http://schemas.openxmlformats.org/officeDocument/2006/relationships" ref="M39" r:id="rId50"/>
    <hyperlink xmlns:r="http://schemas.openxmlformats.org/officeDocument/2006/relationships" ref="M40" r:id="rId51"/>
    <hyperlink xmlns:r="http://schemas.openxmlformats.org/officeDocument/2006/relationships" ref="M41" r:id="rId52"/>
  </hyperlinks>
  <pageMargins left="0.75" right="0.75" top="1" bottom="1" header="0.5" footer="0.5"/>
  <tableParts count="1">
    <tablePart xmlns:r="http://schemas.openxmlformats.org/officeDocument/2006/relationships" r:id="rId53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60" customWidth="1" min="4" max="4"/>
    <col width="40" customWidth="1" min="5" max="5"/>
    <col width="11" customWidth="1" min="6" max="6"/>
    <col width="12" customWidth="1" min="7" max="7"/>
    <col width="34" customWidth="1" min="8" max="8"/>
    <col width="60" customWidth="1" min="9" max="9"/>
    <col width="22" customWidth="1" min="10" max="10"/>
    <col width="70" customWidth="1" min="11" max="11"/>
    <col width="30" customWidth="1" min="12" max="12"/>
  </cols>
  <sheetData>
    <row r="1" ht="36" customHeight="1">
      <c r="A1" s="1" t="inlineStr">
        <is>
          <t>Anfrage-ID</t>
        </is>
      </c>
      <c r="B1" s="1" t="inlineStr">
        <is>
          <t>Gemeinde</t>
        </is>
      </c>
      <c r="C1" s="1" t="inlineStr">
        <is>
          <t>C-Dimension</t>
        </is>
      </c>
      <c r="D1" s="1" t="inlineStr">
        <is>
          <t>Benötigte Lieferung</t>
        </is>
      </c>
      <c r="E1" s="1" t="inlineStr">
        <is>
          <t>Warum nötig</t>
        </is>
      </c>
      <c r="F1" s="1" t="inlineStr">
        <is>
          <t>Priorität</t>
        </is>
      </c>
      <c r="G1" s="1" t="inlineStr">
        <is>
          <t>Status</t>
        </is>
      </c>
      <c r="H1" s="1" t="inlineStr">
        <is>
          <t>Quellenstatus (Recherche)</t>
        </is>
      </c>
      <c r="I1" s="1" t="inlineStr">
        <is>
          <t>Recherchebefund</t>
        </is>
      </c>
      <c r="J1" s="1" t="inlineStr">
        <is>
          <t>Bezug Katalog-ID</t>
        </is>
      </c>
      <c r="K1" s="1" t="inlineStr">
        <is>
          <t>Präzisierte Frage an die Gemeinde</t>
        </is>
      </c>
      <c r="L1" s="1" t="inlineStr">
        <is>
          <t>Zuständige Stelle (vermutet)</t>
        </is>
      </c>
    </row>
    <row r="2" ht="43" customHeight="1">
      <c r="A2" s="2" t="inlineStr">
        <is>
          <t>A-SEE-01</t>
        </is>
      </c>
      <c r="B2" s="2" t="inlineStr">
        <is>
          <t>Seelisberg</t>
        </is>
      </c>
      <c r="C2" s="2" t="inlineStr">
        <is>
          <t>C1</t>
        </is>
      </c>
      <c r="D2" s="2" t="inlineStr">
        <is>
          <t>Jahresrechnungen der letzten 5 Jahre inkl. Bilanz, Investitionsrechnung und Finanzkennzahlen</t>
        </is>
      </c>
      <c r="E2" s="2" t="inlineStr">
        <is>
          <t>Zeitreihe und Tragfähigkeit</t>
        </is>
      </c>
      <c r="F2" s="2" t="inlineStr">
        <is>
          <t>Hoch</t>
        </is>
      </c>
      <c r="G2" s="2" t="inlineStr">
        <is>
          <t>Offen</t>
        </is>
      </c>
      <c r="H2" s="2" t="inlineStr">
        <is>
          <t>Öffentlich verfügbar und verifiziert</t>
        </is>
      </c>
      <c r="I2" s="2" t="inlineStr">
        <is>
          <t>Jahresrechnungen 2020–2024 und Budgets 2020–2026 öffentlich (SEE-C1-03/04/05, weitere im Blatt Recherche-Kandidaten); Jahresrechnung 2025 nicht als PDF gefunden. Kennzahlen bei Finanzkontrolle Uri (UR-C1-03/04, vom Runner nicht erreichbar).</t>
        </is>
      </c>
      <c r="J2" s="2" t="inlineStr">
        <is>
          <t>SEE-C1-03, SEE-C1-04, SEE-C1-05, UR-C1-03</t>
        </is>
      </c>
      <c r="K2" s="2" t="inlineStr">
        <is>
          <t>Bitte stellen Sie die Jahresrechnung 2025 (inkl. Anhang und HRM2-Kennzahlen) zur Verfügung und bestätigen Sie, dass die online publizierten Rechnungen 2021–2024 vollständig sind.</t>
        </is>
      </c>
      <c r="L2" s="2" t="inlineStr">
        <is>
          <t>Gemeindeschreiberei / Finanzverwaltung Seelisberg</t>
        </is>
      </c>
    </row>
    <row r="3" ht="43" customHeight="1">
      <c r="A3" s="3" t="inlineStr">
        <is>
          <t>A-SEE-02</t>
        </is>
      </c>
      <c r="B3" s="3" t="inlineStr">
        <is>
          <t>Seelisberg</t>
        </is>
      </c>
      <c r="C3" s="3" t="inlineStr">
        <is>
          <t>C1</t>
        </is>
      </c>
      <c r="D3" s="3" t="inlineStr">
        <is>
          <t>Mehrjähriger Finanz- und Investitionsplan; Eventualverpflichtungen</t>
        </is>
      </c>
      <c r="E3" s="3" t="inlineStr">
        <is>
          <t>Liquiditäts- und Investitionsengpässe</t>
        </is>
      </c>
      <c r="F3" s="3" t="inlineStr">
        <is>
          <t>Hoch</t>
        </is>
      </c>
      <c r="G3" s="3" t="inlineStr">
        <is>
          <t>Offen</t>
        </is>
      </c>
      <c r="H3" s="3" t="inlineStr">
        <is>
          <t>Nur über Gemeindeanfrage erhältlich</t>
        </is>
      </c>
      <c r="I3" s="3" t="inlineStr">
        <is>
          <t>Finanzplan 2027–2032 in GV-Botschaft Nov. 2025 erwähnt; Investitionsliste und Eventualverpflichtungen nicht öffentlich.</t>
        </is>
      </c>
      <c r="J3" s="3" t="inlineStr">
        <is>
          <t>SEE-C1-02</t>
        </is>
      </c>
      <c r="K3" s="3" t="inlineStr">
        <is>
          <t>Bitte senden Sie den aktuellen Finanzplan 2027–2032 inkl. Investitionsliste und Angaben zu Eventualverpflichtungen (Bürgschaften, Garantien, Baurechtsverpflichtungen).</t>
        </is>
      </c>
      <c r="L3" s="3" t="inlineStr">
        <is>
          <t>Gemeinderat / Finanzverwaltung</t>
        </is>
      </c>
    </row>
    <row r="4" ht="43" customHeight="1">
      <c r="A4" s="2" t="inlineStr">
        <is>
          <t>A-SEE-03</t>
        </is>
      </c>
      <c r="B4" s="2" t="inlineStr">
        <is>
          <t>Seelisberg</t>
        </is>
      </c>
      <c r="C4" s="2" t="inlineStr">
        <is>
          <t>C2</t>
        </is>
      </c>
      <c r="D4" s="2" t="inlineStr">
        <is>
          <t>Kommunales Grundstücks- und Liegenschaftsverzeichnis mit Parzellen-IDs</t>
        </is>
      </c>
      <c r="E4" s="2" t="inlineStr">
        <is>
          <t>Eigentum statt bloss ÖBA-Näherung</t>
        </is>
      </c>
      <c r="F4" s="2" t="inlineStr">
        <is>
          <t>Hoch</t>
        </is>
      </c>
      <c r="G4" s="2" t="inlineStr">
        <is>
          <t>Offen</t>
        </is>
      </c>
      <c r="H4" s="2" t="inlineStr">
        <is>
          <t>Nicht öffentlich auffindbar</t>
        </is>
      </c>
      <c r="I4" s="2" t="inlineStr">
        <is>
          <t>Kein Liegenschaftsverzeichnis öffentlich; kein kommunales Grundstücksgeschäft im Dokumenttext belegt (SEE-C2-01 nur Planungsverfahren Sonnenberg).</t>
        </is>
      </c>
      <c r="J4" s="2" t="inlineStr">
        <is>
          <t>SEE-C2-01</t>
        </is>
      </c>
      <c r="K4" s="2" t="inlineStr">
        <is>
          <t>Welche Grundstücke (Parzellennummern) besitzt die Einwohnergemeinde im Verwaltungs- und Finanzvermögen? Bitte Liste mit Fläche, Zone und Nutzung.</t>
        </is>
      </c>
      <c r="L4" s="2" t="inlineStr">
        <is>
          <t>Gemeindeverwaltung / Bauverwaltung</t>
        </is>
      </c>
    </row>
    <row r="5" ht="43" customHeight="1">
      <c r="A5" s="3" t="inlineStr">
        <is>
          <t>A-SEE-04</t>
        </is>
      </c>
      <c r="B5" s="3" t="inlineStr">
        <is>
          <t>Seelisberg</t>
        </is>
      </c>
      <c r="C5" s="3" t="inlineStr">
        <is>
          <t>C2</t>
        </is>
      </c>
      <c r="D5" s="3" t="inlineStr">
        <is>
          <t>Baurechts-, Dienstbarkeits- und relevante Eigentumsverträge</t>
        </is>
      </c>
      <c r="E5" s="3" t="inlineStr">
        <is>
          <t>Tatsächliche Verfügungsmöglichkeiten</t>
        </is>
      </c>
      <c r="F5" s="3" t="inlineStr">
        <is>
          <t>Hoch</t>
        </is>
      </c>
      <c r="G5" s="3" t="inlineStr">
        <is>
          <t>Offen</t>
        </is>
      </c>
      <c r="H5" s="3" t="inlineStr">
        <is>
          <t>Nur über Gemeindeanfrage erhältlich</t>
        </is>
      </c>
      <c r="I5" s="3" t="inlineStr">
        <is>
          <t>Keine Baurechts- oder Dienstbarkeitsverträge öffentlich; ein in der Websuche erwähntes Baurecht (Parzelle 775) ist im Erläuterungsbericht nicht belegt.</t>
        </is>
      </c>
      <c r="J5" s="3" t="inlineStr">
        <is>
          <t>SEE-C2-01</t>
        </is>
      </c>
      <c r="K5" s="3" t="inlineStr">
        <is>
          <t>Bitte listen Sie bestehende und geplante Baurechte, Dienstbarkeiten und Kaufrechte der Gemeinde auf (Parzelle, Berechtigte, Laufzeit, Zins).</t>
        </is>
      </c>
      <c r="L5" s="3" t="inlineStr">
        <is>
          <t>Gemeindeverwaltung Seelisberg</t>
        </is>
      </c>
    </row>
    <row r="6" ht="43" customHeight="1">
      <c r="A6" s="2" t="inlineStr">
        <is>
          <t>A-SEE-09</t>
        </is>
      </c>
      <c r="B6" s="2" t="inlineStr">
        <is>
          <t>Seelisberg</t>
        </is>
      </c>
      <c r="C6" s="2" t="inlineStr">
        <is>
          <t>C2, C3</t>
        </is>
      </c>
      <c r="D6" s="2" t="inlineStr">
        <is>
          <t>Rolle der Gemeinde im Projekt Sonnenberg (Grundeigentum, Verträge, Kostenbeteiligung)</t>
        </is>
      </c>
      <c r="E6" s="2" t="inlineStr">
        <is>
          <t>Einziges dokumentiertes kommunales Bodengeschäft; Trägerschaft und Risiken</t>
        </is>
      </c>
      <c r="F6" s="2" t="inlineStr">
        <is>
          <t>Hoch</t>
        </is>
      </c>
      <c r="G6" s="2" t="inlineStr">
        <is>
          <t>Offen</t>
        </is>
      </c>
      <c r="H6" s="2" t="inlineStr">
        <is>
          <t>Nur über Gemeindeanfrage erhältlich</t>
        </is>
      </c>
      <c r="I6" s="2" t="inlineStr">
        <is>
          <t>Nur Planungsverfahren öffentlich (SEE-C2-01); Eigentums- und Vertragsfragen nicht dokumentiert.</t>
        </is>
      </c>
      <c r="J6" s="2" t="inlineStr">
        <is>
          <t>SEE-C2-01</t>
        </is>
      </c>
      <c r="K6" s="2" t="inlineStr">
        <is>
          <t>Besitzt die Gemeinde im Gebiet Sonnenberg Grundstücke oder plant sie Erwerb/Abgabe im Baurecht? Welche Verträge (Planung, Infrastruktur) bestehen, und welche Pflichten und Risiken übernimmt die Gemeinde?</t>
        </is>
      </c>
      <c r="L6" s="2" t="inlineStr">
        <is>
          <t>Gemeindeverwaltung Seelisberg</t>
        </is>
      </c>
    </row>
    <row r="7" ht="43" customHeight="1">
      <c r="A7" s="3" t="inlineStr">
        <is>
          <t>A-SEE-05</t>
        </is>
      </c>
      <c r="B7" s="3" t="inlineStr">
        <is>
          <t>Seelisberg</t>
        </is>
      </c>
      <c r="C7" s="3" t="inlineStr">
        <is>
          <t>C3</t>
        </is>
      </c>
      <c r="D7" s="3" t="inlineStr">
        <is>
          <t>Organigramm Zuständigkeiten; Kooperationen und Leistungsvereinbarungen</t>
        </is>
      </c>
      <c r="E7" s="3" t="inlineStr">
        <is>
          <t>Governance- und Trägerschaftsreife</t>
        </is>
      </c>
      <c r="F7" s="3" t="inlineStr">
        <is>
          <t>Hoch</t>
        </is>
      </c>
      <c r="G7" s="3" t="inlineStr">
        <is>
          <t>Offen</t>
        </is>
      </c>
      <c r="H7" s="3" t="inlineStr">
        <is>
          <t>Nicht öffentlich auffindbar</t>
        </is>
      </c>
      <c r="I7" s="3" t="inlineStr">
        <is>
          <t>Gemeindeordnung online (SEE-C3-02, Rechtssammlung der Gemeinde); Mitgliedschaften in Zweckverbänden nicht belegt.</t>
        </is>
      </c>
      <c r="J7" s="3" t="inlineStr">
        <is>
          <t>SEE-C3-02</t>
        </is>
      </c>
      <c r="K7" s="3" t="inlineStr">
        <is>
          <t>Bitte bestätigen Sie die geltende Fassung der Gemeindeordnung und senden Sie die Verordnung über die Zuständigkeiten im Finanzbereich sowie eine Liste der Zweckverbände/Leistungsvereinbarungen (z. B. ZAKU, Abwasser Uri, Schule).</t>
        </is>
      </c>
      <c r="L7" s="3" t="inlineStr">
        <is>
          <t>Gemeindeschreiberei</t>
        </is>
      </c>
    </row>
    <row r="8" ht="43" customHeight="1">
      <c r="A8" s="2" t="inlineStr">
        <is>
          <t>A-SEE-06</t>
        </is>
      </c>
      <c r="B8" s="2" t="inlineStr">
        <is>
          <t>Seelisberg</t>
        </is>
      </c>
      <c r="C8" s="2" t="inlineStr">
        <is>
          <t>C4</t>
        </is>
      </c>
      <c r="D8" s="2" t="inlineStr">
        <is>
          <t>Stellenplan, Projektportfolio, externe Mandate, Beschaffungsprozesse</t>
        </is>
      </c>
      <c r="E8" s="2" t="inlineStr">
        <is>
          <t>Umsetzungs- und Bestellerkompetenz</t>
        </is>
      </c>
      <c r="F8" s="2" t="inlineStr">
        <is>
          <t>Hoch</t>
        </is>
      </c>
      <c r="G8" s="2" t="inlineStr">
        <is>
          <t>Offen</t>
        </is>
      </c>
      <c r="H8" s="2" t="inlineStr">
        <is>
          <t>Nur über Gemeindeanfrage erhältlich</t>
        </is>
      </c>
      <c r="I8" s="2" t="inlineStr">
        <is>
          <t>Personalseite (SEE-C4-02) zeigt Personen, keine Pensen; Restrukturierung der Verwaltung im Budget 2026 erwähnt.</t>
        </is>
      </c>
      <c r="J8" s="2" t="inlineStr">
        <is>
          <t>SEE-C4-01, SEE-C4-02, SEE-C4-03</t>
        </is>
      </c>
      <c r="K8" s="2" t="inlineStr">
        <is>
          <t>Wie viele Stellenprozente stehen in Verwaltung und Bauverwaltung zur Verfügung? Welche Projekte werden extern (Mandate) gesteuert? Wie läuft eine Beschaffung ab (Zuständigkeit, Schwellen)?</t>
        </is>
      </c>
      <c r="L8" s="2" t="inlineStr">
        <is>
          <t>Gemeindeverwaltung Seelisberg</t>
        </is>
      </c>
    </row>
    <row r="9" ht="43" customHeight="1">
      <c r="A9" s="3" t="inlineStr">
        <is>
          <t>A-SEE-07</t>
        </is>
      </c>
      <c r="B9" s="3" t="inlineStr">
        <is>
          <t>Seelisberg</t>
        </is>
      </c>
      <c r="C9" s="3" t="inlineStr">
        <is>
          <t>C5</t>
        </is>
      </c>
      <c r="D9" s="3" t="inlineStr">
        <is>
          <t>Politische Leitbilder, relevante Beschlüsse und Mitwirkungsberichte</t>
        </is>
      </c>
      <c r="E9" s="3" t="inlineStr">
        <is>
          <t>Politische Legitimation und Konflikte</t>
        </is>
      </c>
      <c r="F9" s="3" t="inlineStr">
        <is>
          <t>Mittel</t>
        </is>
      </c>
      <c r="G9" s="3" t="inlineStr">
        <is>
          <t>Offen</t>
        </is>
      </c>
      <c r="H9" s="3" t="inlineStr">
        <is>
          <t>Öffentlich verfügbar und verifiziert</t>
        </is>
      </c>
      <c r="I9" s="3" t="inlineStr">
        <is>
          <t>Leitbild 2025 (SEE-C5-06) und Beschlussprotokolle 2023–2025 (SEE-C5-03/04/05) öffentlich; Umfrageauswertung nicht.</t>
        </is>
      </c>
      <c r="J9" s="3" t="inlineStr">
        <is>
          <t>SEE-C5-04, SEE-C5-05, SEE-C5-06</t>
        </is>
      </c>
      <c r="K9" s="3" t="inlineStr">
        <is>
          <t>Bitte stellen Sie die Auswertung der Leitbild-Umfrage 2025 und Informationen zur Umsetzungsplanung des Leitbilds zur Verfügung.</t>
        </is>
      </c>
      <c r="L9" s="3" t="inlineStr">
        <is>
          <t>Gemeindeverwaltung Seelisberg</t>
        </is>
      </c>
    </row>
    <row r="10" ht="43" customHeight="1">
      <c r="A10" s="2" t="inlineStr">
        <is>
          <t>A-SEE-08</t>
        </is>
      </c>
      <c r="B10" s="2" t="inlineStr">
        <is>
          <t>Seelisberg</t>
        </is>
      </c>
      <c r="C10" s="2" t="inlineStr">
        <is>
          <t>C5</t>
        </is>
      </c>
      <c r="D10" s="2" t="inlineStr">
        <is>
          <t>Akteursübersicht mit bekannten Positionen und Einfluss</t>
        </is>
      </c>
      <c r="E10" s="2" t="inlineStr">
        <is>
          <t>Akteurskarte und Interessen</t>
        </is>
      </c>
      <c r="F10" s="2" t="inlineStr">
        <is>
          <t>Mittel</t>
        </is>
      </c>
      <c r="G10" s="2" t="inlineStr">
        <is>
          <t>Offen</t>
        </is>
      </c>
      <c r="H10" s="2" t="inlineStr">
        <is>
          <t>Nur über Gemeindeanfrage erhältlich</t>
        </is>
      </c>
      <c r="I10" s="2" t="inlineStr">
        <is>
          <t>Keine öffentliche Akteursübersicht; nur indirekt aus Planungsberichten ableitbar.</t>
        </is>
      </c>
      <c r="J10" s="2" t="inlineStr"/>
      <c r="K10" s="2" t="inlineStr">
        <is>
          <t>Welche Akteure (Korporation, Tourismus, Hotellerie, Grundeigentümer) sind für die Entwicklung massgebend und wie sind ihre Positionen bekannt?</t>
        </is>
      </c>
      <c r="L10" s="2" t="inlineStr">
        <is>
          <t>Gemeindeverwaltung Seelisberg</t>
        </is>
      </c>
    </row>
    <row r="11" ht="43" customHeight="1">
      <c r="A11" s="3" t="inlineStr">
        <is>
          <t>A-MUE-01</t>
        </is>
      </c>
      <c r="B11" s="3" t="inlineStr">
        <is>
          <t>Münchenstein</t>
        </is>
      </c>
      <c r="C11" s="3" t="inlineStr">
        <is>
          <t>C1</t>
        </is>
      </c>
      <c r="D11" s="3" t="inlineStr">
        <is>
          <t>Jahresrechnungen der letzten 5 Jahre inkl. Bilanz, Investitionsrechnung und Finanzkennzahlen</t>
        </is>
      </c>
      <c r="E11" s="3" t="inlineStr">
        <is>
          <t>Zeitreihe und Tragfähigkeit</t>
        </is>
      </c>
      <c r="F11" s="3" t="inlineStr">
        <is>
          <t>Hoch</t>
        </is>
      </c>
      <c r="G11" s="3" t="inlineStr">
        <is>
          <t>Offen</t>
        </is>
      </c>
      <c r="H11" s="3" t="inlineStr">
        <is>
          <t>Öffentlich verfügbar und verifiziert</t>
        </is>
      </c>
      <c r="I11" s="3" t="inlineStr">
        <is>
          <t>Jahresrechnungen 2024 und 2025 als Publikationsseiten gefunden (MUE-C1-02, MUE-C1-03).</t>
        </is>
      </c>
      <c r="J11" s="3" t="inlineStr">
        <is>
          <t>MUE-C1-02, MUE-C1-03</t>
        </is>
      </c>
      <c r="K11" s="3" t="inlineStr">
        <is>
          <t>Bitte bestätigen Sie, dass die publizierten Berichte zu den Jahresrechnungen 2021–2025 vollständig sind, und senden Sie die HRM2-Kennzahlen als Excel.</t>
        </is>
      </c>
      <c r="L11" s="3" t="inlineStr">
        <is>
          <t>Abteilung Finanzen Münchenstein</t>
        </is>
      </c>
    </row>
    <row r="12" ht="43" customHeight="1">
      <c r="A12" s="2" t="inlineStr">
        <is>
          <t>A-MUE-02</t>
        </is>
      </c>
      <c r="B12" s="2" t="inlineStr">
        <is>
          <t>Münchenstein</t>
        </is>
      </c>
      <c r="C12" s="2" t="inlineStr">
        <is>
          <t>C1</t>
        </is>
      </c>
      <c r="D12" s="2" t="inlineStr">
        <is>
          <t>Mehrjähriger Finanz- und Investitionsplan; Eventualverpflichtungen</t>
        </is>
      </c>
      <c r="E12" s="2" t="inlineStr">
        <is>
          <t>Liquiditäts- und Investitionsengpässe</t>
        </is>
      </c>
      <c r="F12" s="2" t="inlineStr">
        <is>
          <t>Hoch</t>
        </is>
      </c>
      <c r="G12" s="2" t="inlineStr">
        <is>
          <t>Offen</t>
        </is>
      </c>
      <c r="H12" s="2" t="inlineStr">
        <is>
          <t>Öffentlich verfügbar und verifiziert</t>
        </is>
      </c>
      <c r="I12" s="2" t="inlineStr">
        <is>
          <t>AFP 2026–2030 auf Sitzungsseite GV 8.12.2025 (MUE-C1-05); Eventualverpflichtungen nicht separat publiziert.</t>
        </is>
      </c>
      <c r="J12" s="2" t="inlineStr">
        <is>
          <t>MUE-C1-01, MUE-C1-05</t>
        </is>
      </c>
      <c r="K12" s="2" t="inlineStr">
        <is>
          <t>Bitte senden Sie die Investitionsplanung des AFP 2026–2030 als Excel und eine Liste der Eventualverpflichtungen.</t>
        </is>
      </c>
      <c r="L12" s="2" t="inlineStr">
        <is>
          <t>Abteilung Finanzen</t>
        </is>
      </c>
    </row>
    <row r="13" ht="43" customHeight="1">
      <c r="A13" s="3" t="inlineStr">
        <is>
          <t>A-MUE-03</t>
        </is>
      </c>
      <c r="B13" s="3" t="inlineStr">
        <is>
          <t>Münchenstein</t>
        </is>
      </c>
      <c r="C13" s="3" t="inlineStr">
        <is>
          <t>C2</t>
        </is>
      </c>
      <c r="D13" s="3" t="inlineStr">
        <is>
          <t>Kommunales Grundstücks- und Liegenschaftsverzeichnis mit Parzellen-IDs</t>
        </is>
      </c>
      <c r="E13" s="3" t="inlineStr">
        <is>
          <t>Eigentum statt bloss ÖBA-Näherung</t>
        </is>
      </c>
      <c r="F13" s="3" t="inlineStr">
        <is>
          <t>Hoch</t>
        </is>
      </c>
      <c r="G13" s="3" t="inlineStr">
        <is>
          <t>Offen</t>
        </is>
      </c>
      <c r="H13" s="3" t="inlineStr">
        <is>
          <t>Nicht öffentlich auffindbar</t>
        </is>
      </c>
      <c r="I13" s="3" t="inlineStr">
        <is>
          <t>Landverkäufe und Baurechtszinsen in Ratschlägen dokumentiert (MUE-C2-01, MUE-C2-03); kein Verzeichnis öffentlich.</t>
        </is>
      </c>
      <c r="J13" s="3" t="inlineStr">
        <is>
          <t>MUE-C2-01, MUE-C2-03</t>
        </is>
      </c>
      <c r="K13" s="3" t="inlineStr">
        <is>
          <t>Bitte stellen Sie ein Verzeichnis der Grundstücke im Eigentum der Einwohnergemeinde (Finanz- und Verwaltungsvermögen) mit Parzellen-ID zur Verfügung.</t>
        </is>
      </c>
      <c r="L13" s="3" t="inlineStr">
        <is>
          <t>Bauverwaltung / Liegenschaften</t>
        </is>
      </c>
    </row>
    <row r="14" ht="43" customHeight="1">
      <c r="A14" s="2" t="inlineStr">
        <is>
          <t>A-MUE-04</t>
        </is>
      </c>
      <c r="B14" s="2" t="inlineStr">
        <is>
          <t>Münchenstein</t>
        </is>
      </c>
      <c r="C14" s="2" t="inlineStr">
        <is>
          <t>C2</t>
        </is>
      </c>
      <c r="D14" s="2" t="inlineStr">
        <is>
          <t>Baurechts-, Dienstbarkeits- und relevante Eigentumsverträge</t>
        </is>
      </c>
      <c r="E14" s="2" t="inlineStr">
        <is>
          <t>Tatsächliche Verfügungsmöglichkeiten</t>
        </is>
      </c>
      <c r="F14" s="2" t="inlineStr">
        <is>
          <t>Hoch</t>
        </is>
      </c>
      <c r="G14" s="2" t="inlineStr">
        <is>
          <t>Offen</t>
        </is>
      </c>
      <c r="H14" s="2" t="inlineStr">
        <is>
          <t>Nur über Gemeindeanfrage erhältlich</t>
        </is>
      </c>
      <c r="I14" s="2" t="inlineStr">
        <is>
          <t>Baurechtszinsen als Ertragsposition erwähnt; Verträge nicht öffentlich.</t>
        </is>
      </c>
      <c r="J14" s="2" t="inlineStr">
        <is>
          <t>MUE-C2-01</t>
        </is>
      </c>
      <c r="K14" s="2" t="inlineStr">
        <is>
          <t>Bitte listen Sie die Baurechtsverträge der Gemeinde (Parzelle, Baurechtsnehmer, Ablauf, Zins).</t>
        </is>
      </c>
      <c r="L14" s="2" t="inlineStr">
        <is>
          <t>Gemeindeverwaltung Münchenstein</t>
        </is>
      </c>
    </row>
    <row r="15" ht="43" customHeight="1">
      <c r="A15" s="3" t="inlineStr">
        <is>
          <t>A-MUE-09</t>
        </is>
      </c>
      <c r="B15" s="3" t="inlineStr">
        <is>
          <t>Münchenstein</t>
        </is>
      </c>
      <c r="C15" s="3" t="inlineStr">
        <is>
          <t>C2</t>
        </is>
      </c>
      <c r="D15" s="3" t="inlineStr">
        <is>
          <t>Liegenschafts- bzw. Bodenstrategie (falls vorhanden) und Grundsätze zu Verkauf vs. Baurecht</t>
        </is>
      </c>
      <c r="E15" s="3" t="inlineStr">
        <is>
          <t>Steuerungswille Bodenpolitik</t>
        </is>
      </c>
      <c r="F15" s="3" t="inlineStr">
        <is>
          <t>Mittel</t>
        </is>
      </c>
      <c r="G15" s="3" t="inlineStr">
        <is>
          <t>Offen</t>
        </is>
      </c>
      <c r="H15" s="3" t="inlineStr">
        <is>
          <t>Nicht öffentlich auffindbar</t>
        </is>
      </c>
      <c r="I15" s="3" t="inlineStr">
        <is>
          <t>Grundsätze nur in Ratschlag 2015 (MUE-C2-01); aktuelle Strategie nicht gefunden.</t>
        </is>
      </c>
      <c r="J15" s="3" t="inlineStr">
        <is>
          <t>MUE-C2-01</t>
        </is>
      </c>
      <c r="K15" s="3" t="inlineStr">
        <is>
          <t>Gibt es eine aktuelle Liegenschafts- oder Bodenstrategie des Gemeinderats? Gelten die Grundsätze von 2015 noch?</t>
        </is>
      </c>
      <c r="L15" s="3" t="inlineStr">
        <is>
          <t>Gemeindeverwaltung Münchenstein</t>
        </is>
      </c>
    </row>
    <row r="16" ht="43" customHeight="1">
      <c r="A16" s="2" t="inlineStr">
        <is>
          <t>A-MUE-05</t>
        </is>
      </c>
      <c r="B16" s="2" t="inlineStr">
        <is>
          <t>Münchenstein</t>
        </is>
      </c>
      <c r="C16" s="2" t="inlineStr">
        <is>
          <t>C3</t>
        </is>
      </c>
      <c r="D16" s="2" t="inlineStr">
        <is>
          <t>Organigramm Zuständigkeiten; Kooperationen und Leistungsvereinbarungen</t>
        </is>
      </c>
      <c r="E16" s="2" t="inlineStr">
        <is>
          <t>Governance- und Trägerschaftsreife</t>
        </is>
      </c>
      <c r="F16" s="2" t="inlineStr">
        <is>
          <t>Hoch</t>
        </is>
      </c>
      <c r="G16" s="2" t="inlineStr">
        <is>
          <t>Offen</t>
        </is>
      </c>
      <c r="H16" s="2" t="inlineStr">
        <is>
          <t>Nicht öffentlich auffindbar</t>
        </is>
      </c>
      <c r="I16" s="2" t="inlineStr">
        <is>
          <t>Einzelne Leistungsvereinbarungen in Ratschlägen (MUE-C3-02), Birsstadt-Kooperation (BL-C3-02); keine Gesamtübersicht.</t>
        </is>
      </c>
      <c r="J16" s="2" t="inlineStr">
        <is>
          <t>MUE-C3-01, MUE-C3-02, BL-C3-02</t>
        </is>
      </c>
      <c r="K16" s="2" t="inlineStr">
        <is>
          <t>Bitte senden Sie eine Übersicht der Zweckverbände, Leistungsvereinbarungen und Beteiligungen (u. a. Zweckverband Alter Birsstadt, Spitex Birseck, Verein Birsstadt).</t>
        </is>
      </c>
      <c r="L16" s="2" t="inlineStr">
        <is>
          <t>Gemeindeverwaltung Münchenstein</t>
        </is>
      </c>
    </row>
    <row r="17" ht="43" customHeight="1">
      <c r="A17" s="3" t="inlineStr">
        <is>
          <t>A-MUE-06</t>
        </is>
      </c>
      <c r="B17" s="3" t="inlineStr">
        <is>
          <t>Münchenstein</t>
        </is>
      </c>
      <c r="C17" s="3" t="inlineStr">
        <is>
          <t>C4</t>
        </is>
      </c>
      <c r="D17" s="3" t="inlineStr">
        <is>
          <t>Stellenplan, Projektportfolio, externe Mandate, Beschaffungsprozesse</t>
        </is>
      </c>
      <c r="E17" s="3" t="inlineStr">
        <is>
          <t>Umsetzungs- und Bestellerkompetenz</t>
        </is>
      </c>
      <c r="F17" s="3" t="inlineStr">
        <is>
          <t>Hoch</t>
        </is>
      </c>
      <c r="G17" s="3" t="inlineStr">
        <is>
          <t>Offen</t>
        </is>
      </c>
      <c r="H17" s="3" t="inlineStr">
        <is>
          <t>Nur über Gemeindeanfrage erhältlich</t>
        </is>
      </c>
      <c r="I17" s="3" t="inlineStr">
        <is>
          <t>Organigramm (MUE-C4-01) und Personalreglement (MUE-C4-02) öffentlich; Pensen und Projektorganisation nicht.</t>
        </is>
      </c>
      <c r="J17" s="3" t="inlineStr">
        <is>
          <t>MUE-C4-01, MUE-C4-02</t>
        </is>
      </c>
      <c r="K17" s="3" t="inlineStr">
        <is>
          <t>Wie viele Stellenprozente hat die Bauverwaltung, wie werden Entwicklungsprojekte organisiert (Projektleitung, externe Mandate), und welche Beschaffungsweisungen gelten?</t>
        </is>
      </c>
      <c r="L17" s="3" t="inlineStr">
        <is>
          <t>Gemeindeverwaltung Münchenstein</t>
        </is>
      </c>
    </row>
    <row r="18" ht="43" customHeight="1">
      <c r="A18" s="2" t="inlineStr">
        <is>
          <t>A-MUE-07</t>
        </is>
      </c>
      <c r="B18" s="2" t="inlineStr">
        <is>
          <t>Münchenstein</t>
        </is>
      </c>
      <c r="C18" s="2" t="inlineStr">
        <is>
          <t>C5</t>
        </is>
      </c>
      <c r="D18" s="2" t="inlineStr">
        <is>
          <t>Politische Leitbilder, relevante Beschlüsse und Mitwirkungsberichte</t>
        </is>
      </c>
      <c r="E18" s="2" t="inlineStr">
        <is>
          <t>Politische Legitimation und Konflikte</t>
        </is>
      </c>
      <c r="F18" s="2" t="inlineStr">
        <is>
          <t>Mittel</t>
        </is>
      </c>
      <c r="G18" s="2" t="inlineStr">
        <is>
          <t>Offen</t>
        </is>
      </c>
      <c r="H18" s="2" t="inlineStr">
        <is>
          <t>Öffentlich verfügbar und verifiziert</t>
        </is>
      </c>
      <c r="I18" s="2" t="inlineStr">
        <is>
          <t>Legislaturziele (MUE-C5-01) und Mitwirkungsbericht Spenglerpark (MUE-C5-04) gefunden; Leitbild-Volltext nicht.</t>
        </is>
      </c>
      <c r="J18" s="2" t="inlineStr">
        <is>
          <t>MUE-C5-01, MUE-C5-04</t>
        </is>
      </c>
      <c r="K18" s="2" t="inlineStr">
        <is>
          <t>Bitte bestätigen Sie den Stand der Legislaturziele 2024–2028 und des Leitbilds (2004/2011) und senden Sie Mitwirkungsberichte zur Zonenplanrevision Siedlung.</t>
        </is>
      </c>
      <c r="L18" s="2" t="inlineStr">
        <is>
          <t>Gemeindeverwaltung Münchenstein</t>
        </is>
      </c>
    </row>
    <row r="19" ht="43" customHeight="1">
      <c r="A19" s="3" t="inlineStr">
        <is>
          <t>A-MUE-08</t>
        </is>
      </c>
      <c r="B19" s="3" t="inlineStr">
        <is>
          <t>Münchenstein</t>
        </is>
      </c>
      <c r="C19" s="3" t="inlineStr">
        <is>
          <t>C5</t>
        </is>
      </c>
      <c r="D19" s="3" t="inlineStr">
        <is>
          <t>Akteursübersicht mit bekannten Positionen und Einfluss</t>
        </is>
      </c>
      <c r="E19" s="3" t="inlineStr">
        <is>
          <t>Akteurskarte und Interessen</t>
        </is>
      </c>
      <c r="F19" s="3" t="inlineStr">
        <is>
          <t>Mittel</t>
        </is>
      </c>
      <c r="G19" s="3" t="inlineStr">
        <is>
          <t>Offen</t>
        </is>
      </c>
      <c r="H19" s="3" t="inlineStr">
        <is>
          <t>Nicht öffentlich auffindbar</t>
        </is>
      </c>
      <c r="I19" s="3" t="inlineStr">
        <is>
          <t>Einwohnerrat-Diskussion nur in Sekundärquelle (SRF) erwähnt; Ergebnis nicht gefunden.</t>
        </is>
      </c>
      <c r="J19" s="3" t="inlineStr"/>
      <c r="K19" s="3" t="inlineStr">
        <is>
          <t>Welche politischen Akteure und Interessengruppen sind für Areal- und Bodenentwicklung massgebend? Wie ist der Stand der Diskussion um einen Einwohnerrat?</t>
        </is>
      </c>
      <c r="L19" s="3" t="inlineStr">
        <is>
          <t>Gemeindeverwaltung Münchenstein</t>
        </is>
      </c>
    </row>
    <row r="20" ht="43" customHeight="1">
      <c r="A20" s="2" t="inlineStr">
        <is>
          <t>A-WIL-01</t>
        </is>
      </c>
      <c r="B20" s="2" t="inlineStr">
        <is>
          <t>Wil</t>
        </is>
      </c>
      <c r="C20" s="2" t="inlineStr">
        <is>
          <t>C1</t>
        </is>
      </c>
      <c r="D20" s="2" t="inlineStr">
        <is>
          <t>Jahresrechnungen der letzten 5 Jahre inkl. Bilanz, Investitionsrechnung und Finanzkennzahlen</t>
        </is>
      </c>
      <c r="E20" s="2" t="inlineStr">
        <is>
          <t>Zeitreihe und Tragfähigkeit</t>
        </is>
      </c>
      <c r="F20" s="2" t="inlineStr">
        <is>
          <t>Hoch</t>
        </is>
      </c>
      <c r="G20" s="2" t="inlineStr">
        <is>
          <t>Offen</t>
        </is>
      </c>
      <c r="H20" s="2" t="inlineStr">
        <is>
          <t>Öffentlich verfügbar und verifiziert</t>
        </is>
      </c>
      <c r="I20" s="2" t="inlineStr">
        <is>
          <t>Jahresrechnungen 2017–2025, Budgets 2019–2027, Finanz- und Investitionspläne öffentlich (WIL-C1-03/04/05/10/11 u. Recherche-Kandidaten).</t>
        </is>
      </c>
      <c r="J20" s="2" t="inlineStr">
        <is>
          <t>WIL-C1-03, WIL-C1-04, WIL-C1-05</t>
        </is>
      </c>
      <c r="K20" s="2" t="inlineStr">
        <is>
          <t>Bitte bestätigen Sie die Fundstellen der Jahresrechnungen 2021–2025 und senden Sie die HRM2-Kennzahlen als Excel.</t>
        </is>
      </c>
      <c r="L20" s="2" t="inlineStr">
        <is>
          <t>Finanzverwaltung Stadt Wil</t>
        </is>
      </c>
    </row>
    <row r="21" ht="43" customHeight="1">
      <c r="A21" s="3" t="inlineStr">
        <is>
          <t>A-WIL-02</t>
        </is>
      </c>
      <c r="B21" s="3" t="inlineStr">
        <is>
          <t>Wil</t>
        </is>
      </c>
      <c r="C21" s="3" t="inlineStr">
        <is>
          <t>C1</t>
        </is>
      </c>
      <c r="D21" s="3" t="inlineStr">
        <is>
          <t>Mehrjähriger Finanz- und Investitionsplan; Eventualverpflichtungen</t>
        </is>
      </c>
      <c r="E21" s="3" t="inlineStr">
        <is>
          <t>Liquiditäts- und Investitionsengpässe</t>
        </is>
      </c>
      <c r="F21" s="3" t="inlineStr">
        <is>
          <t>Hoch</t>
        </is>
      </c>
      <c r="G21" s="3" t="inlineStr">
        <is>
          <t>Offen</t>
        </is>
      </c>
      <c r="H21" s="3" t="inlineStr">
        <is>
          <t>Öffentlich verfügbar und verifiziert</t>
        </is>
      </c>
      <c r="I21" s="3" t="inlineStr">
        <is>
          <t>Finanzplan und Investitionsplan 2026–2030 öffentlich (WIL-C1-06/07); Eventualverpflichtungen und Beteiligungsrisiken nicht separat.</t>
        </is>
      </c>
      <c r="J21" s="3" t="inlineStr">
        <is>
          <t>WIL-C1-06, WIL-C1-07</t>
        </is>
      </c>
      <c r="K21" s="3" t="inlineStr">
        <is>
          <t>Bitte senden Sie den Investitionsplan 2026–2030 (bzw. 2025–2035) als Excel und eine Liste der Eventualverpflichtungen inkl. Beteiligungen (TBW, Thurcom, WISPAG).</t>
        </is>
      </c>
      <c r="L21" s="3" t="inlineStr">
        <is>
          <t>Gemeindeverwaltung Wil</t>
        </is>
      </c>
    </row>
    <row r="22" ht="43" customHeight="1">
      <c r="A22" s="2" t="inlineStr">
        <is>
          <t>A-WIL-03</t>
        </is>
      </c>
      <c r="B22" s="2" t="inlineStr">
        <is>
          <t>Wil</t>
        </is>
      </c>
      <c r="C22" s="2" t="inlineStr">
        <is>
          <t>C2</t>
        </is>
      </c>
      <c r="D22" s="2" t="inlineStr">
        <is>
          <t>Kommunales Grundstücks- und Liegenschaftsverzeichnis mit Parzellen-IDs</t>
        </is>
      </c>
      <c r="E22" s="2" t="inlineStr">
        <is>
          <t>Eigentum statt bloss ÖBA-Näherung</t>
        </is>
      </c>
      <c r="F22" s="2" t="inlineStr">
        <is>
          <t>Hoch</t>
        </is>
      </c>
      <c r="G22" s="2" t="inlineStr">
        <is>
          <t>Offen</t>
        </is>
      </c>
      <c r="H22" s="2" t="inlineStr">
        <is>
          <t>Nicht öffentlich auffindbar</t>
        </is>
      </c>
      <c r="I22" s="2" t="inlineStr">
        <is>
          <t>Bodenpolitik-Dokument (WIL-C2-03) und Kompetenzordnung Nachtrag IV (WIL-C2-01) gefunden; kein Verzeichnis.</t>
        </is>
      </c>
      <c r="J22" s="2" t="inlineStr">
        <is>
          <t>WIL-C2-01, WIL-C2-03</t>
        </is>
      </c>
      <c r="K22" s="2" t="inlineStr">
        <is>
          <t>Bitte stellen Sie das Liegenschaftsverzeichnis der Stadt (Finanz- und Verwaltungsvermögen) mit Parzellen-ID zur Verfügung.</t>
        </is>
      </c>
      <c r="L22" s="2" t="inlineStr">
        <is>
          <t>Liegenschaften / Bauverwaltung Stadt Wil</t>
        </is>
      </c>
    </row>
    <row r="23" ht="43" customHeight="1">
      <c r="A23" s="3" t="inlineStr">
        <is>
          <t>A-WIL-04</t>
        </is>
      </c>
      <c r="B23" s="3" t="inlineStr">
        <is>
          <t>Wil</t>
        </is>
      </c>
      <c r="C23" s="3" t="inlineStr">
        <is>
          <t>C2</t>
        </is>
      </c>
      <c r="D23" s="3" t="inlineStr">
        <is>
          <t>Baurechts-, Dienstbarkeits- und relevante Eigentumsverträge</t>
        </is>
      </c>
      <c r="E23" s="3" t="inlineStr">
        <is>
          <t>Tatsächliche Verfügungsmöglichkeiten</t>
        </is>
      </c>
      <c r="F23" s="3" t="inlineStr">
        <is>
          <t>Hoch</t>
        </is>
      </c>
      <c r="G23" s="3" t="inlineStr">
        <is>
          <t>Offen</t>
        </is>
      </c>
      <c r="H23" s="3" t="inlineStr">
        <is>
          <t>Nur über Gemeindeanfrage erhältlich</t>
        </is>
      </c>
      <c r="I23" s="3" t="inlineStr">
        <is>
          <t>Nicht öffentlich.</t>
        </is>
      </c>
      <c r="J23" s="3" t="inlineStr"/>
      <c r="K23" s="3" t="inlineStr">
        <is>
          <t>Bitte listen Sie Baurechte und Kaufrechte der Stadt (Parzelle, Berechtigte, Laufzeit, Zins).</t>
        </is>
      </c>
      <c r="L23" s="3" t="inlineStr">
        <is>
          <t>Gemeindeverwaltung Wil</t>
        </is>
      </c>
    </row>
    <row r="24" ht="43" customHeight="1">
      <c r="A24" s="2" t="inlineStr">
        <is>
          <t>A-WIL-09</t>
        </is>
      </c>
      <c r="B24" s="2" t="inlineStr">
        <is>
          <t>Wil</t>
        </is>
      </c>
      <c r="C24" s="2" t="inlineStr">
        <is>
          <t>C2</t>
        </is>
      </c>
      <c r="D24" s="2" t="inlineStr">
        <is>
          <t>Aktuelle Boden- und Immobilienstrategie; Stand Nachtrag IV Gemeindeordnung (Finanzbefugnisse Liegenschaften)</t>
        </is>
      </c>
      <c r="E24" s="2" t="inlineStr">
        <is>
          <t>Handlungsspielraum aktive Bodenpolitik</t>
        </is>
      </c>
      <c r="F24" s="2" t="inlineStr">
        <is>
          <t>Mittel</t>
        </is>
      </c>
      <c r="G24" s="2" t="inlineStr">
        <is>
          <t>Offen</t>
        </is>
      </c>
      <c r="H24" s="2" t="inlineStr">
        <is>
          <t>Öffentlich verfügbar und verifiziert</t>
        </is>
      </c>
      <c r="I24" s="2" t="inlineStr">
        <is>
          <t>Strategiedokument (WIL-C2-03) und Abstimmungsseite Nachtrag IV (WIL-C2-01) gefunden; Geltungsstand bestätigen lassen.</t>
        </is>
      </c>
      <c r="J24" s="2" t="inlineStr">
        <is>
          <t>WIL-C2-01, WIL-C2-03</t>
        </is>
      </c>
      <c r="K24" s="2" t="inlineStr">
        <is>
          <t>Welche Boden-/Immobilienstrategie gilt aktuell (Fassung, Beschlussdatum), und seit wann gilt Nachtrag IV zur Gemeindeordnung?</t>
        </is>
      </c>
      <c r="L24" s="2" t="inlineStr">
        <is>
          <t>Gemeindeverwaltung Wil</t>
        </is>
      </c>
    </row>
    <row r="25" ht="43" customHeight="1">
      <c r="A25" s="3" t="inlineStr">
        <is>
          <t>A-WIL-05</t>
        </is>
      </c>
      <c r="B25" s="3" t="inlineStr">
        <is>
          <t>Wil</t>
        </is>
      </c>
      <c r="C25" s="3" t="inlineStr">
        <is>
          <t>C3</t>
        </is>
      </c>
      <c r="D25" s="3" t="inlineStr">
        <is>
          <t>Organigramm Zuständigkeiten; Kooperationen und Leistungsvereinbarungen</t>
        </is>
      </c>
      <c r="E25" s="3" t="inlineStr">
        <is>
          <t>Governance- und Trägerschaftsreife</t>
        </is>
      </c>
      <c r="F25" s="3" t="inlineStr">
        <is>
          <t>Hoch</t>
        </is>
      </c>
      <c r="G25" s="3" t="inlineStr">
        <is>
          <t>Offen</t>
        </is>
      </c>
      <c r="H25" s="3" t="inlineStr">
        <is>
          <t>Öffentlich verfügbar und verifiziert</t>
        </is>
      </c>
      <c r="I25" s="3" t="inlineStr">
        <is>
          <t>Rechtssammlung der Stadt (WIL-C3-01) und Jahresrechnung TBW (WIL-C1-09) öffentlich; Eignerstrategien und Regio-Wil-Statuten nicht gefunden.</t>
        </is>
      </c>
      <c r="J25" s="3" t="inlineStr">
        <is>
          <t>WIL-C3-01, WIL-C1-09</t>
        </is>
      </c>
      <c r="K25" s="3" t="inlineStr">
        <is>
          <t>Bitte senden Sie die aktuellen Eignerstrategien und Leistungsvereinbarungen (TBW, Thurcom AG, WISPAG) sowie Unterlagen zur Regio Wil.</t>
        </is>
      </c>
      <c r="L25" s="3" t="inlineStr">
        <is>
          <t>Gemeindeverwaltung Wil</t>
        </is>
      </c>
    </row>
    <row r="26">
      <c r="A26" s="2" t="inlineStr">
        <is>
          <t>A-WIL-06</t>
        </is>
      </c>
      <c r="B26" s="2" t="inlineStr">
        <is>
          <t>Wil</t>
        </is>
      </c>
      <c r="C26" s="2" t="inlineStr">
        <is>
          <t>C4</t>
        </is>
      </c>
      <c r="D26" s="2" t="inlineStr">
        <is>
          <t>Stellenplan, Projektportfolio, externe Mandate, Beschaffungsprozesse</t>
        </is>
      </c>
      <c r="E26" s="2" t="inlineStr">
        <is>
          <t>Umsetzungs- und Bestellerkompetenz</t>
        </is>
      </c>
      <c r="F26" s="2" t="inlineStr">
        <is>
          <t>Hoch</t>
        </is>
      </c>
      <c r="G26" s="2" t="inlineStr">
        <is>
          <t>Offen</t>
        </is>
      </c>
      <c r="H26" s="2" t="inlineStr">
        <is>
          <t>Nicht öffentlich auffindbar</t>
        </is>
      </c>
      <c r="I26" s="2" t="inlineStr">
        <is>
          <t>Geschäftsberichte bis 2025 öffentlich (WIL-C4-01); separates aktuelles Organigramm nicht gefunden.</t>
        </is>
      </c>
      <c r="J26" s="2" t="inlineStr">
        <is>
          <t>WIL-C4-01</t>
        </is>
      </c>
      <c r="K26" s="2" t="inlineStr">
        <is>
          <t>Bitte senden Sie das aktuelle Organigramm der Stadtverwaltung, den Stellenplan der Bereiche Bau/Stadtentwicklung und Angaben zur Projektorganisation (z. B. WILWEST, Ortsplanungsrevision).</t>
        </is>
      </c>
      <c r="L26" s="2" t="inlineStr">
        <is>
          <t>Gemeindeverwaltung Wil</t>
        </is>
      </c>
    </row>
    <row r="27">
      <c r="A27" s="3" t="inlineStr">
        <is>
          <t>A-WIL-07</t>
        </is>
      </c>
      <c r="B27" s="3" t="inlineStr">
        <is>
          <t>Wil</t>
        </is>
      </c>
      <c r="C27" s="3" t="inlineStr">
        <is>
          <t>C5</t>
        </is>
      </c>
      <c r="D27" s="3" t="inlineStr">
        <is>
          <t>Politische Leitbilder, relevante Beschlüsse und Mitwirkungsberichte</t>
        </is>
      </c>
      <c r="E27" s="3" t="inlineStr">
        <is>
          <t>Politische Legitimation und Konflikte</t>
        </is>
      </c>
      <c r="F27" s="3" t="inlineStr">
        <is>
          <t>Mittel</t>
        </is>
      </c>
      <c r="G27" s="3" t="inlineStr">
        <is>
          <t>Offen</t>
        </is>
      </c>
      <c r="H27" s="3" t="inlineStr">
        <is>
          <t>Öffentlich verfügbar und verifiziert</t>
        </is>
      </c>
      <c r="I27" s="3" t="inlineStr">
        <is>
          <t>Legislaturplanung (WIL-C5-01) und Mitwirkungsunterlagen (WIL-C5-03) gefunden; Ergebnisse Mitwirkung nicht.</t>
        </is>
      </c>
      <c r="J27" s="3" t="inlineStr">
        <is>
          <t>WIL-C5-01, WIL-C5-03</t>
        </is>
      </c>
      <c r="K27" s="3" t="inlineStr">
        <is>
          <t>Bitte senden Sie die Legislaturplanung 2025–2028, Mitwirkungsberichte zur Ortsplanungsrevision und den Stand des Budget-2026-Referendums.</t>
        </is>
      </c>
      <c r="L27" s="3" t="inlineStr">
        <is>
          <t>Gemeindeverwaltung Wil</t>
        </is>
      </c>
    </row>
    <row r="28">
      <c r="A28" s="2" t="inlineStr">
        <is>
          <t>A-WIL-08</t>
        </is>
      </c>
      <c r="B28" s="2" t="inlineStr">
        <is>
          <t>Wil</t>
        </is>
      </c>
      <c r="C28" s="2" t="inlineStr">
        <is>
          <t>C5</t>
        </is>
      </c>
      <c r="D28" s="2" t="inlineStr">
        <is>
          <t>Akteursübersicht mit bekannten Positionen und Einfluss</t>
        </is>
      </c>
      <c r="E28" s="2" t="inlineStr">
        <is>
          <t>Akteurskarte und Interessen</t>
        </is>
      </c>
      <c r="F28" s="2" t="inlineStr">
        <is>
          <t>Mittel</t>
        </is>
      </c>
      <c r="G28" s="2" t="inlineStr">
        <is>
          <t>Offen</t>
        </is>
      </c>
      <c r="H28" s="2" t="inlineStr">
        <is>
          <t>Nur über Gemeindeanfrage erhältlich</t>
        </is>
      </c>
      <c r="I28" s="2" t="inlineStr">
        <is>
          <t>Nur indirekt über Parlamentsprotokolle erschliessbar.</t>
        </is>
      </c>
      <c r="J28" s="2" t="inlineStr"/>
      <c r="K28" s="2" t="inlineStr">
        <is>
          <t>Welche Fraktionen/Akteure prägen Boden- und Arealfragen (WILWEST, Liegenschaftsgeschäfte), und welche Konflikte sind bekannt?</t>
        </is>
      </c>
      <c r="L28" s="2" t="inlineStr">
        <is>
          <t>Gemeindeverwaltung Wil</t>
        </is>
      </c>
    </row>
  </sheetData>
  <autoFilter ref="A1:L28"/>
  <dataValidations count="4">
    <dataValidation sqref="F2:F500" showDropDown="0" showInputMessage="0" showErrorMessage="0" allowBlank="1" type="list">
      <formula1>"Hoch,Mittel,Niedrig"</formula1>
    </dataValidation>
    <dataValidation sqref="G2:G500" showDropDown="0" showInputMessage="0" showErrorMessage="0" allowBlank="1" type="list">
      <formula1>"Offen,Angefragt,Erhalten,Erledigt,Entfällt"</formula1>
    </dataValidation>
    <dataValidation sqref="H2:H500" showDropDown="0" showInputMessage="0" showErrorMessage="0" allowBlank="1" type="list">
      <formula1>"Öffentlich verfügbar und verifiziert,Öffentlich verfügbar – noch nicht geprüft,Nicht öffentlich auffindbar,Nur über Gemeindeanfrage erhältlich,Nicht zugänglich / nicht prüfbar"</formula1>
    </dataValidation>
    <dataValidation sqref="C2:C500" showDropDown="0" showInputMessage="0" showErrorMessage="0" allowBlank="1" type="list">
      <formula1>"C1,C2,C3,C4,C5,C1, C2,C3, C4,C3, C5,C4, C5"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70" customWidth="1" min="4" max="4"/>
    <col width="45" customWidth="1" min="5" max="5"/>
    <col width="10" customWidth="1" min="6" max="6"/>
    <col width="45" customWidth="1" min="7" max="7"/>
    <col width="13" customWidth="1" min="8" max="8"/>
    <col width="12" customWidth="1" min="9" max="9"/>
    <col width="24" customWidth="1" min="10" max="10"/>
  </cols>
  <sheetData>
    <row r="1">
      <c r="A1" s="1" t="inlineStr">
        <is>
          <t>Gemeinde</t>
        </is>
      </c>
      <c r="B1" s="1" t="inlineStr">
        <is>
          <t>Kanton</t>
        </is>
      </c>
      <c r="C1" s="1" t="inlineStr">
        <is>
          <t>Dimension (Stichwort)</t>
        </is>
      </c>
      <c r="D1" s="1" t="inlineStr">
        <is>
          <t>Dokumentlink</t>
        </is>
      </c>
      <c r="E1" s="1" t="inlineStr">
        <is>
          <t>Ankertext</t>
        </is>
      </c>
      <c r="F1" s="1" t="inlineStr">
        <is>
          <t>Dokumentdatei</t>
        </is>
      </c>
      <c r="G1" s="1" t="inlineStr">
        <is>
          <t>Gefunden auf</t>
        </is>
      </c>
      <c r="H1" s="1" t="inlineStr">
        <is>
          <t>Quelle</t>
        </is>
      </c>
      <c r="I1" s="1" t="inlineStr">
        <is>
          <t>Bereits im Katalog</t>
        </is>
      </c>
      <c r="J1" s="1" t="inlineStr">
        <is>
          <t>Status</t>
        </is>
      </c>
    </row>
    <row r="2">
      <c r="A2" s="12" t="inlineStr"/>
      <c r="B2" s="12" t="inlineStr">
        <is>
          <t>Bund</t>
        </is>
      </c>
      <c r="C2" s="12" t="inlineStr">
        <is>
          <t>C1</t>
        </is>
      </c>
      <c r="D2" s="16" t="inlineStr">
        <is>
          <t>https://www.data.finance.admin.ch/static/assets/datasets/fs_dashboard/finanzkennz-d.xlsx</t>
        </is>
      </c>
      <c r="E2" s="12" t="inlineStr">
        <is>
          <t>Finanzkennzahlen – Staat und Teilsektoren</t>
        </is>
      </c>
      <c r="F2" s="12" t="inlineStr">
        <is>
          <t>ja</t>
        </is>
      </c>
      <c r="G2" s="12" t="inlineStr">
        <is>
          <t>https://www.efv.admin.ch/de/finanzstatistik-daten</t>
        </is>
      </c>
      <c r="H2" s="12" t="inlineStr">
        <is>
          <t>Einstiegsseite</t>
        </is>
      </c>
      <c r="I2" s="12" t="inlineStr">
        <is>
          <t>Nein</t>
        </is>
      </c>
      <c r="J2" s="12" t="inlineStr">
        <is>
          <t>Ungeprüft – nicht kuratiert</t>
        </is>
      </c>
    </row>
    <row r="3">
      <c r="A3" s="12" t="inlineStr"/>
      <c r="B3" s="12" t="inlineStr">
        <is>
          <t>Bund</t>
        </is>
      </c>
      <c r="C3" s="12" t="inlineStr">
        <is>
          <t>C1</t>
        </is>
      </c>
      <c r="D3" s="16" t="inlineStr">
        <is>
          <t>https://www.data.finance.admin.ch/static/assets/datasets/fs_dashboard/web_arten_funk_dfie.xlsx</t>
        </is>
      </c>
      <c r="E3" s="12" t="inlineStr">
        <is>
          <t>Finanzstatistik: Arten- und Funktionsgliederung</t>
        </is>
      </c>
      <c r="F3" s="12" t="inlineStr">
        <is>
          <t>ja</t>
        </is>
      </c>
      <c r="G3" s="12" t="inlineStr">
        <is>
          <t>https://www.efv.admin.ch/de/finanzstatistik-daten</t>
        </is>
      </c>
      <c r="H3" s="12" t="inlineStr">
        <is>
          <t>Einstiegsseite</t>
        </is>
      </c>
      <c r="I3" s="12" t="inlineStr">
        <is>
          <t>Nein</t>
        </is>
      </c>
      <c r="J3" s="12" t="inlineStr">
        <is>
          <t>Ungeprüft – nicht kuratiert</t>
        </is>
      </c>
    </row>
    <row r="4">
      <c r="A4" s="12" t="inlineStr"/>
      <c r="B4" s="12" t="inlineStr">
        <is>
          <t>Bund</t>
        </is>
      </c>
      <c r="C4" s="12" t="inlineStr">
        <is>
          <t>C1</t>
        </is>
      </c>
      <c r="D4" s="16" t="inlineStr">
        <is>
          <t>https://www.data.finance.admin.ch/static/assets/datasets/gfs_dashboard/monatsdaten-d.xlsx</t>
        </is>
      </c>
      <c r="E4" s="12" t="inlineStr">
        <is>
          <t>Ausweis der Laufenden Transaktionen Stammhaus Bund (Budgetary Central Government Operations)</t>
        </is>
      </c>
      <c r="F4" s="12" t="inlineStr">
        <is>
          <t>ja</t>
        </is>
      </c>
      <c r="G4" s="12" t="inlineStr">
        <is>
          <t>https://www.efv.admin.ch/de/finanzstatistik-daten</t>
        </is>
      </c>
      <c r="H4" s="12" t="inlineStr">
        <is>
          <t>Einstiegsseite</t>
        </is>
      </c>
      <c r="I4" s="12" t="inlineStr">
        <is>
          <t>Nein</t>
        </is>
      </c>
      <c r="J4" s="12" t="inlineStr">
        <is>
          <t>Ungeprüft – nicht kuratiert</t>
        </is>
      </c>
    </row>
    <row r="5">
      <c r="A5" s="12" t="inlineStr"/>
      <c r="B5" s="12" t="inlineStr">
        <is>
          <t>Bund</t>
        </is>
      </c>
      <c r="C5" s="12" t="inlineStr">
        <is>
          <t>C1</t>
        </is>
      </c>
      <c r="D5" s="16" t="inlineStr">
        <is>
          <t>https://www.data.finance.admin.ch/superset/dashboard/finanzstatistik_international/</t>
        </is>
      </c>
      <c r="E5" s="12" t="inlineStr">
        <is>
          <t>Dashboard GFS</t>
        </is>
      </c>
      <c r="F5" s="12" t="inlineStr">
        <is>
          <t>nein</t>
        </is>
      </c>
      <c r="G5" s="12" t="inlineStr">
        <is>
          <t>https://www.efv.admin.ch/de/finanzstatistik-daten</t>
        </is>
      </c>
      <c r="H5" s="12" t="inlineStr">
        <is>
          <t>Einstiegsseite</t>
        </is>
      </c>
      <c r="I5" s="12" t="inlineStr">
        <is>
          <t>Nein</t>
        </is>
      </c>
      <c r="J5" s="12" t="inlineStr">
        <is>
          <t>Ungeprüft – nicht kuratiert</t>
        </is>
      </c>
    </row>
    <row r="6">
      <c r="A6" s="12" t="inlineStr"/>
      <c r="B6" s="12" t="inlineStr">
        <is>
          <t>Bund</t>
        </is>
      </c>
      <c r="C6" s="12" t="inlineStr">
        <is>
          <t>C1</t>
        </is>
      </c>
      <c r="D6" s="16" t="inlineStr">
        <is>
          <t>https://www.data.finance.admin.ch/superset/dashboard/finanzstatistik_national/</t>
        </is>
      </c>
      <c r="E6" s="12" t="inlineStr">
        <is>
          <t>Dashboard FS</t>
        </is>
      </c>
      <c r="F6" s="12" t="inlineStr">
        <is>
          <t>nein</t>
        </is>
      </c>
      <c r="G6" s="12" t="inlineStr">
        <is>
          <t>https://www.efv.admin.ch/de/finanzstatistik-daten</t>
        </is>
      </c>
      <c r="H6" s="12" t="inlineStr">
        <is>
          <t>Einstiegsseite</t>
        </is>
      </c>
      <c r="I6" s="12" t="inlineStr">
        <is>
          <t>Nein</t>
        </is>
      </c>
      <c r="J6" s="12" t="inlineStr">
        <is>
          <t>Ungeprüft – nicht kuratiert</t>
        </is>
      </c>
    </row>
    <row r="7">
      <c r="A7" s="12" t="inlineStr"/>
      <c r="B7" s="12" t="inlineStr">
        <is>
          <t>Bund</t>
        </is>
      </c>
      <c r="C7" s="12" t="inlineStr">
        <is>
          <t>C1</t>
        </is>
      </c>
      <c r="D7" s="16" t="inlineStr">
        <is>
          <t>https://www.efv.admin.ch/de/finanzstatistik-daten</t>
        </is>
      </c>
      <c r="E7" s="12" t="inlineStr">
        <is>
          <t>Webseite der EFV</t>
        </is>
      </c>
      <c r="F7" s="12" t="inlineStr">
        <is>
          <t>nein</t>
        </is>
      </c>
      <c r="G7" s="12" t="inlineStr">
        <is>
          <t>https://www.efv.admin.ch/de/was-ist-die-finanzstatistik</t>
        </is>
      </c>
      <c r="H7" s="12" t="inlineStr">
        <is>
          <t>Einstiegsseite</t>
        </is>
      </c>
      <c r="I7" s="12" t="inlineStr">
        <is>
          <t>Ja</t>
        </is>
      </c>
      <c r="J7" s="12" t="inlineStr">
        <is>
          <t>Ungeprüft – nicht kuratiert</t>
        </is>
      </c>
    </row>
    <row r="8">
      <c r="A8" s="12" t="inlineStr"/>
      <c r="B8" s="12" t="inlineStr">
        <is>
          <t>Bund</t>
        </is>
      </c>
      <c r="C8" s="12" t="inlineStr">
        <is>
          <t>C1</t>
        </is>
      </c>
      <c r="D8" s="16" t="inlineStr">
        <is>
          <t>https://www.efv.admin.ch/de/methoden-finanzstatistik</t>
        </is>
      </c>
      <c r="E8" s="12" t="inlineStr">
        <is>
          <t>Website der EFV</t>
        </is>
      </c>
      <c r="F8" s="12" t="inlineStr">
        <is>
          <t>nein</t>
        </is>
      </c>
      <c r="G8" s="12" t="inlineStr">
        <is>
          <t>https://www.efv.admin.ch/de/was-ist-die-finanzstatistik</t>
        </is>
      </c>
      <c r="H8" s="12" t="inlineStr">
        <is>
          <t>Einstiegsseite</t>
        </is>
      </c>
      <c r="I8" s="12" t="inlineStr">
        <is>
          <t>Ja</t>
        </is>
      </c>
      <c r="J8" s="12" t="inlineStr">
        <is>
          <t>Ungeprüft – nicht kuratiert</t>
        </is>
      </c>
    </row>
    <row r="9">
      <c r="A9" s="12" t="inlineStr"/>
      <c r="B9" s="12" t="inlineStr">
        <is>
          <t>Bund</t>
        </is>
      </c>
      <c r="C9" s="12" t="inlineStr">
        <is>
          <t>C1</t>
        </is>
      </c>
      <c r="D9" s="16" t="inlineStr">
        <is>
          <t>https://www.efv.admin.ch/de/sonderauswertungen-der-finanzstatistik</t>
        </is>
      </c>
      <c r="E9" s="12" t="inlineStr">
        <is>
          <t>Sonderauswertungen</t>
        </is>
      </c>
      <c r="F9" s="12" t="inlineStr">
        <is>
          <t>nein</t>
        </is>
      </c>
      <c r="G9" s="12" t="inlineStr">
        <is>
          <t>https://www.efv.admin.ch/de/was-ist-die-finanzstatistik</t>
        </is>
      </c>
      <c r="H9" s="12" t="inlineStr">
        <is>
          <t>Einstiegsseite</t>
        </is>
      </c>
      <c r="I9" s="12" t="inlineStr">
        <is>
          <t>Nein</t>
        </is>
      </c>
      <c r="J9" s="12" t="inlineStr">
        <is>
          <t>Ungeprüft – nicht kuratiert</t>
        </is>
      </c>
    </row>
    <row r="10">
      <c r="A10" s="12" t="inlineStr"/>
      <c r="B10" s="12" t="inlineStr">
        <is>
          <t>Bund</t>
        </is>
      </c>
      <c r="C10" s="12" t="inlineStr">
        <is>
          <t>C1</t>
        </is>
      </c>
      <c r="D10" s="16" t="inlineStr">
        <is>
          <t>https://www.efv.admin.ch/de/was-ist-die-finanzstatistik</t>
        </is>
      </c>
      <c r="E10" s="12" t="inlineStr">
        <is>
          <t>Zum Hauptinhalt springen</t>
        </is>
      </c>
      <c r="F10" s="12" t="inlineStr">
        <is>
          <t>nein</t>
        </is>
      </c>
      <c r="G10" s="12" t="inlineStr">
        <is>
          <t>https://www.efv.admin.ch/de/was-ist-die-finanzstatistik</t>
        </is>
      </c>
      <c r="H10" s="12" t="inlineStr">
        <is>
          <t>Einstiegsseite</t>
        </is>
      </c>
      <c r="I10" s="12" t="inlineStr">
        <is>
          <t>Ja</t>
        </is>
      </c>
      <c r="J10" s="12" t="inlineStr">
        <is>
          <t>Ungeprüft – nicht kuratiert</t>
        </is>
      </c>
    </row>
    <row r="11">
      <c r="A11" s="12" t="inlineStr"/>
      <c r="B11" s="12" t="inlineStr">
        <is>
          <t>Bund</t>
        </is>
      </c>
      <c r="C11" s="12" t="inlineStr">
        <is>
          <t>C3</t>
        </is>
      </c>
      <c r="D11" s="16" t="inlineStr">
        <is>
          <t>https://www.data.finance.admin.ch/static/assets/datasets/fs_dashboard/sv_ahv-d.xlsx</t>
        </is>
      </c>
      <c r="E11" s="12" t="inlineStr">
        <is>
          <t>Alters- und Hinterlassenversicherung</t>
        </is>
      </c>
      <c r="F11" s="12" t="inlineStr">
        <is>
          <t>ja</t>
        </is>
      </c>
      <c r="G11" s="12" t="inlineStr">
        <is>
          <t>https://www.efv.admin.ch/de/finanzstatistik-daten</t>
        </is>
      </c>
      <c r="H11" s="12" t="inlineStr">
        <is>
          <t>Einstiegsseite</t>
        </is>
      </c>
      <c r="I11" s="12" t="inlineStr">
        <is>
          <t>Nein</t>
        </is>
      </c>
      <c r="J11" s="12" t="inlineStr">
        <is>
          <t>Ungeprüft – nicht kuratiert</t>
        </is>
      </c>
    </row>
    <row r="12">
      <c r="A12" s="12" t="inlineStr">
        <is>
          <t>Münchenstein</t>
        </is>
      </c>
      <c r="B12" s="12" t="inlineStr">
        <is>
          <t>Basel-Landschaft</t>
        </is>
      </c>
      <c r="C12" s="12" t="inlineStr">
        <is>
          <t>C1</t>
        </is>
      </c>
      <c r="D12" s="16" t="inlineStr">
        <is>
          <t>https://www.muenchenstein.ch/_doc/5399737</t>
        </is>
      </c>
      <c r="E12" s="12" t="inlineStr">
        <is>
          <t>TR 3.1 Budgetbericht 2025</t>
        </is>
      </c>
      <c r="F12" s="12" t="inlineStr">
        <is>
          <t>nein</t>
        </is>
      </c>
      <c r="G12" s="12" t="inlineStr">
        <is>
          <t>https://www.muenchenstein.ch/sitzung/5729125</t>
        </is>
      </c>
      <c r="H12" s="12" t="inlineStr">
        <is>
          <t>Einstiegsseite</t>
        </is>
      </c>
      <c r="I12" s="12" t="inlineStr">
        <is>
          <t>Nein</t>
        </is>
      </c>
      <c r="J12" s="12" t="inlineStr">
        <is>
          <t>Ungeprüft – nicht kuratiert</t>
        </is>
      </c>
    </row>
    <row r="13">
      <c r="A13" s="12" t="inlineStr">
        <is>
          <t>Münchenstein</t>
        </is>
      </c>
      <c r="B13" s="12" t="inlineStr">
        <is>
          <t>Basel-Landschaft</t>
        </is>
      </c>
      <c r="C13" s="12" t="inlineStr">
        <is>
          <t>C1</t>
        </is>
      </c>
      <c r="D13" s="16" t="inlineStr">
        <is>
          <t>https://www.muenchenstein.ch/_doc/5400772</t>
        </is>
      </c>
      <c r="E13" s="12" t="inlineStr">
        <is>
          <t>Aufgaben &amp; Finanzplan 2025-2029</t>
        </is>
      </c>
      <c r="F13" s="12" t="inlineStr">
        <is>
          <t>nein</t>
        </is>
      </c>
      <c r="G13" s="12" t="inlineStr">
        <is>
          <t>https://www.muenchenstein.ch/publikationen/523378</t>
        </is>
      </c>
      <c r="H13" s="12" t="inlineStr">
        <is>
          <t>Einstiegsseite</t>
        </is>
      </c>
      <c r="I13" s="12" t="inlineStr">
        <is>
          <t>Nein</t>
        </is>
      </c>
      <c r="J13" s="12" t="inlineStr">
        <is>
          <t>Ungeprüft – nicht kuratiert</t>
        </is>
      </c>
    </row>
    <row r="14">
      <c r="A14" s="12" t="inlineStr">
        <is>
          <t>Münchenstein</t>
        </is>
      </c>
      <c r="B14" s="12" t="inlineStr">
        <is>
          <t>Basel-Landschaft</t>
        </is>
      </c>
      <c r="C14" s="12" t="inlineStr">
        <is>
          <t>C1</t>
        </is>
      </c>
      <c r="D14" s="16" t="inlineStr">
        <is>
          <t>https://www.muenchenstein.ch/_doc/5400775</t>
        </is>
      </c>
      <c r="E14" s="12" t="inlineStr">
        <is>
          <t>Budget 2025</t>
        </is>
      </c>
      <c r="F14" s="12" t="inlineStr">
        <is>
          <t>nein</t>
        </is>
      </c>
      <c r="G14" s="12" t="inlineStr">
        <is>
          <t>https://www.muenchenstein.ch/publikationen/523381</t>
        </is>
      </c>
      <c r="H14" s="12" t="inlineStr">
        <is>
          <t>Einstiegsseite</t>
        </is>
      </c>
      <c r="I14" s="12" t="inlineStr">
        <is>
          <t>Nein</t>
        </is>
      </c>
      <c r="J14" s="12" t="inlineStr">
        <is>
          <t>Ungeprüft – nicht kuratiert</t>
        </is>
      </c>
    </row>
    <row r="15">
      <c r="A15" s="12" t="inlineStr">
        <is>
          <t>Münchenstein</t>
        </is>
      </c>
      <c r="B15" s="12" t="inlineStr">
        <is>
          <t>Basel-Landschaft</t>
        </is>
      </c>
      <c r="C15" s="12" t="inlineStr">
        <is>
          <t>C1</t>
        </is>
      </c>
      <c r="D15" s="16" t="inlineStr">
        <is>
          <t>https://www.muenchenstein.ch/_doc/5409079</t>
        </is>
      </c>
      <c r="E15" s="12" t="inlineStr">
        <is>
          <t>TR 2.1 Bericht zum Aufgaben &amp; Finanzplan 2025-2029</t>
        </is>
      </c>
      <c r="F15" s="12" t="inlineStr">
        <is>
          <t>nein</t>
        </is>
      </c>
      <c r="G15" s="12" t="inlineStr">
        <is>
          <t>https://www.muenchenstein.ch/sitzung/5729125</t>
        </is>
      </c>
      <c r="H15" s="12" t="inlineStr">
        <is>
          <t>Einstiegsseite</t>
        </is>
      </c>
      <c r="I15" s="12" t="inlineStr">
        <is>
          <t>Nein</t>
        </is>
      </c>
      <c r="J15" s="12" t="inlineStr">
        <is>
          <t>Ungeprüft – nicht kuratiert</t>
        </is>
      </c>
    </row>
    <row r="16">
      <c r="A16" s="12" t="inlineStr">
        <is>
          <t>Münchenstein</t>
        </is>
      </c>
      <c r="B16" s="12" t="inlineStr">
        <is>
          <t>Basel-Landschaft</t>
        </is>
      </c>
      <c r="C16" s="12" t="inlineStr">
        <is>
          <t>C1</t>
        </is>
      </c>
      <c r="D16" s="16" t="inlineStr">
        <is>
          <t>https://www.muenchenstein.ch/_doc/5680231</t>
        </is>
      </c>
      <c r="E16" s="12" t="inlineStr">
        <is>
          <t>Bericht zur Jahresrechnung 2024</t>
        </is>
      </c>
      <c r="F16" s="12" t="inlineStr">
        <is>
          <t>nein</t>
        </is>
      </c>
      <c r="G16" s="12" t="inlineStr">
        <is>
          <t>https://www.muenchenstein.ch/publikationen/556069</t>
        </is>
      </c>
      <c r="H16" s="12" t="inlineStr">
        <is>
          <t>Einstiegsseite</t>
        </is>
      </c>
      <c r="I16" s="12" t="inlineStr">
        <is>
          <t>Nein</t>
        </is>
      </c>
      <c r="J16" s="12" t="inlineStr">
        <is>
          <t>Ungeprüft – nicht kuratiert</t>
        </is>
      </c>
    </row>
    <row r="17">
      <c r="A17" s="12" t="inlineStr">
        <is>
          <t>Münchenstein</t>
        </is>
      </c>
      <c r="B17" s="12" t="inlineStr">
        <is>
          <t>Basel-Landschaft</t>
        </is>
      </c>
      <c r="C17" s="12" t="inlineStr">
        <is>
          <t>C1</t>
        </is>
      </c>
      <c r="D17" s="16" t="inlineStr">
        <is>
          <t>https://www.muenchenstein.ch/_doc/6311410</t>
        </is>
      </c>
      <c r="E17" s="12" t="inlineStr">
        <is>
          <t>TR 2.1 Bericht zum Aufgaben &amp; Finanzplan 2026-2030</t>
        </is>
      </c>
      <c r="F17" s="12" t="inlineStr">
        <is>
          <t>nein</t>
        </is>
      </c>
      <c r="G17" s="12" t="inlineStr">
        <is>
          <t>https://www.muenchenstein.ch/sitzung/5729137</t>
        </is>
      </c>
      <c r="H17" s="12" t="inlineStr">
        <is>
          <t>Einstiegsseite</t>
        </is>
      </c>
      <c r="I17" s="12" t="inlineStr">
        <is>
          <t>Nein</t>
        </is>
      </c>
      <c r="J17" s="12" t="inlineStr">
        <is>
          <t>Ungeprüft – nicht kuratiert</t>
        </is>
      </c>
    </row>
    <row r="18">
      <c r="A18" s="12" t="inlineStr">
        <is>
          <t>Münchenstein</t>
        </is>
      </c>
      <c r="B18" s="12" t="inlineStr">
        <is>
          <t>Basel-Landschaft</t>
        </is>
      </c>
      <c r="C18" s="12" t="inlineStr">
        <is>
          <t>C1</t>
        </is>
      </c>
      <c r="D18" s="16" t="inlineStr">
        <is>
          <t>https://www.muenchenstein.ch/_doc/6311416</t>
        </is>
      </c>
      <c r="E18" s="12" t="inlineStr">
        <is>
          <t>TR 4.1 Budgetbericht 2026</t>
        </is>
      </c>
      <c r="F18" s="12" t="inlineStr">
        <is>
          <t>nein</t>
        </is>
      </c>
      <c r="G18" s="12" t="inlineStr">
        <is>
          <t>https://www.muenchenstein.ch/sitzung/5729137</t>
        </is>
      </c>
      <c r="H18" s="12" t="inlineStr">
        <is>
          <t>Einstiegsseite</t>
        </is>
      </c>
      <c r="I18" s="12" t="inlineStr">
        <is>
          <t>Nein</t>
        </is>
      </c>
      <c r="J18" s="12" t="inlineStr">
        <is>
          <t>Ungeprüft – nicht kuratiert</t>
        </is>
      </c>
    </row>
    <row r="19">
      <c r="A19" s="12" t="inlineStr">
        <is>
          <t>Münchenstein</t>
        </is>
      </c>
      <c r="B19" s="12" t="inlineStr">
        <is>
          <t>Basel-Landschaft</t>
        </is>
      </c>
      <c r="C19" s="12" t="inlineStr">
        <is>
          <t>C1</t>
        </is>
      </c>
      <c r="D19" s="16" t="inlineStr">
        <is>
          <t>https://www.muenchenstein.ch/_doc/6432413</t>
        </is>
      </c>
      <c r="E19" s="12" t="inlineStr">
        <is>
          <t>Bericht zum Aufgaben &amp; Finanzplan 2026-2030</t>
        </is>
      </c>
      <c r="F19" s="12" t="inlineStr">
        <is>
          <t>nein</t>
        </is>
      </c>
      <c r="G19" s="12" t="inlineStr">
        <is>
          <t>https://www.muenchenstein.ch/_rtr/publikation_596027</t>
        </is>
      </c>
      <c r="H19" s="12" t="inlineStr">
        <is>
          <t>Unterseite</t>
        </is>
      </c>
      <c r="I19" s="12" t="inlineStr">
        <is>
          <t>Nein</t>
        </is>
      </c>
      <c r="J19" s="12" t="inlineStr">
        <is>
          <t>Ungeprüft – nicht kuratiert</t>
        </is>
      </c>
    </row>
    <row r="20">
      <c r="A20" s="12" t="inlineStr">
        <is>
          <t>Münchenstein</t>
        </is>
      </c>
      <c r="B20" s="12" t="inlineStr">
        <is>
          <t>Basel-Landschaft</t>
        </is>
      </c>
      <c r="C20" s="12" t="inlineStr">
        <is>
          <t>C1</t>
        </is>
      </c>
      <c r="D20" s="16" t="inlineStr">
        <is>
          <t>https://www.muenchenstein.ch/_doc/6432422</t>
        </is>
      </c>
      <c r="E20" s="12" t="inlineStr">
        <is>
          <t>Budgetbericht 2026</t>
        </is>
      </c>
      <c r="F20" s="12" t="inlineStr">
        <is>
          <t>nein</t>
        </is>
      </c>
      <c r="G20" s="12" t="inlineStr">
        <is>
          <t>https://www.muenchenstein.ch/_rtr/publikation_596033</t>
        </is>
      </c>
      <c r="H20" s="12" t="inlineStr">
        <is>
          <t>Unterseite</t>
        </is>
      </c>
      <c r="I20" s="12" t="inlineStr">
        <is>
          <t>Nein</t>
        </is>
      </c>
      <c r="J20" s="12" t="inlineStr">
        <is>
          <t>Ungeprüft – nicht kuratiert</t>
        </is>
      </c>
    </row>
    <row r="21">
      <c r="A21" s="12" t="inlineStr">
        <is>
          <t>Münchenstein</t>
        </is>
      </c>
      <c r="B21" s="12" t="inlineStr">
        <is>
          <t>Basel-Landschaft</t>
        </is>
      </c>
      <c r="C21" s="12" t="inlineStr">
        <is>
          <t>C1</t>
        </is>
      </c>
      <c r="D21" s="16" t="inlineStr">
        <is>
          <t>https://www.muenchenstein.ch/_doc/6990775</t>
        </is>
      </c>
      <c r="E21" s="12" t="inlineStr">
        <is>
          <t>Bericht zur Jahresrechnung 2025</t>
        </is>
      </c>
      <c r="F21" s="12" t="inlineStr">
        <is>
          <t>nein</t>
        </is>
      </c>
      <c r="G21" s="12" t="inlineStr">
        <is>
          <t>https://www.muenchenstein.ch/publikationen/621658</t>
        </is>
      </c>
      <c r="H21" s="12" t="inlineStr">
        <is>
          <t>Einstiegsseite</t>
        </is>
      </c>
      <c r="I21" s="12" t="inlineStr">
        <is>
          <t>Nein</t>
        </is>
      </c>
      <c r="J21" s="12" t="inlineStr">
        <is>
          <t>Ungeprüft – nicht kuratiert</t>
        </is>
      </c>
    </row>
    <row r="22">
      <c r="A22" s="12" t="inlineStr">
        <is>
          <t>Münchenstein</t>
        </is>
      </c>
      <c r="B22" s="12" t="inlineStr">
        <is>
          <t>Basel-Landschaft</t>
        </is>
      </c>
      <c r="C22" s="12" t="inlineStr">
        <is>
          <t>C1</t>
        </is>
      </c>
      <c r="D22" s="16" t="inlineStr">
        <is>
          <t>https://www.muenchenstein.ch/_doc/7035142</t>
        </is>
      </c>
      <c r="E22" s="12" t="inlineStr">
        <is>
          <t>Zusammenfassung Jahresrechnung 2025 LEICHTE SPRACHE</t>
        </is>
      </c>
      <c r="F22" s="12" t="inlineStr">
        <is>
          <t>nein</t>
        </is>
      </c>
      <c r="G22" s="12" t="inlineStr">
        <is>
          <t>https://www.muenchenstein.ch/publikationen/621658</t>
        </is>
      </c>
      <c r="H22" s="12" t="inlineStr">
        <is>
          <t>Einstiegsseite</t>
        </is>
      </c>
      <c r="I22" s="12" t="inlineStr">
        <is>
          <t>Nein</t>
        </is>
      </c>
      <c r="J22" s="12" t="inlineStr">
        <is>
          <t>Ungeprüft – nicht kuratiert</t>
        </is>
      </c>
    </row>
    <row r="23">
      <c r="A23" s="12" t="inlineStr">
        <is>
          <t>Münchenstein</t>
        </is>
      </c>
      <c r="B23" s="12" t="inlineStr">
        <is>
          <t>Basel-Landschaft</t>
        </is>
      </c>
      <c r="C23" s="12" t="inlineStr">
        <is>
          <t>C1</t>
        </is>
      </c>
      <c r="D23" s="16" t="inlineStr">
        <is>
          <t>https://www.muenchenstein.ch/_rtr/publikation_523378</t>
        </is>
      </c>
      <c r="E23" s="12" t="inlineStr">
        <is>
          <t>Aufgaben und Finanzplan 2025 - 2029</t>
        </is>
      </c>
      <c r="F23" s="12" t="inlineStr">
        <is>
          <t>nein</t>
        </is>
      </c>
      <c r="G23" s="12" t="inlineStr">
        <is>
          <t>https://www.muenchenstein.ch/legislaturziele</t>
        </is>
      </c>
      <c r="H23" s="12" t="inlineStr">
        <is>
          <t>Einstiegsseite</t>
        </is>
      </c>
      <c r="I23" s="12" t="inlineStr">
        <is>
          <t>Nein</t>
        </is>
      </c>
      <c r="J23" s="12" t="inlineStr">
        <is>
          <t>Ungeprüft – nicht kuratiert</t>
        </is>
      </c>
    </row>
    <row r="24">
      <c r="A24" s="12" t="inlineStr">
        <is>
          <t>Münchenstein</t>
        </is>
      </c>
      <c r="B24" s="12" t="inlineStr">
        <is>
          <t>Basel-Landschaft</t>
        </is>
      </c>
      <c r="C24" s="12" t="inlineStr">
        <is>
          <t>C1</t>
        </is>
      </c>
      <c r="D24" s="16" t="inlineStr">
        <is>
          <t>https://www.muenchenstein.ch/_rtr/publikation_596027</t>
        </is>
      </c>
      <c r="E24" s="12" t="inlineStr">
        <is>
          <t>Aufgaben- und Finanzplan</t>
        </is>
      </c>
      <c r="F24" s="12" t="inlineStr">
        <is>
          <t>nein</t>
        </is>
      </c>
      <c r="G24" s="12" t="inlineStr">
        <is>
          <t>https://www.muenchenstein.ch/finanzensteuern</t>
        </is>
      </c>
      <c r="H24" s="12" t="inlineStr">
        <is>
          <t>Einstiegsseite</t>
        </is>
      </c>
      <c r="I24" s="12" t="inlineStr">
        <is>
          <t>Nein</t>
        </is>
      </c>
      <c r="J24" s="12" t="inlineStr">
        <is>
          <t>Ungeprüft – nicht kuratiert</t>
        </is>
      </c>
    </row>
    <row r="25">
      <c r="A25" s="12" t="inlineStr">
        <is>
          <t>Münchenstein</t>
        </is>
      </c>
      <c r="B25" s="12" t="inlineStr">
        <is>
          <t>Basel-Landschaft</t>
        </is>
      </c>
      <c r="C25" s="12" t="inlineStr">
        <is>
          <t>C1</t>
        </is>
      </c>
      <c r="D25" s="16" t="inlineStr">
        <is>
          <t>https://www.muenchenstein.ch/_rtr/publikation_596033</t>
        </is>
      </c>
      <c r="E25" s="12" t="inlineStr">
        <is>
          <t>Budget</t>
        </is>
      </c>
      <c r="F25" s="12" t="inlineStr">
        <is>
          <t>nein</t>
        </is>
      </c>
      <c r="G25" s="12" t="inlineStr">
        <is>
          <t>https://www.muenchenstein.ch/finanzensteuern</t>
        </is>
      </c>
      <c r="H25" s="12" t="inlineStr">
        <is>
          <t>Einstiegsseite</t>
        </is>
      </c>
      <c r="I25" s="12" t="inlineStr">
        <is>
          <t>Nein</t>
        </is>
      </c>
      <c r="J25" s="12" t="inlineStr">
        <is>
          <t>Ungeprüft – nicht kuratiert</t>
        </is>
      </c>
    </row>
    <row r="26">
      <c r="A26" s="12" t="inlineStr">
        <is>
          <t>Münchenstein</t>
        </is>
      </c>
      <c r="B26" s="12" t="inlineStr">
        <is>
          <t>Basel-Landschaft</t>
        </is>
      </c>
      <c r="C26" s="12" t="inlineStr">
        <is>
          <t>C1</t>
        </is>
      </c>
      <c r="D26" s="16" t="inlineStr">
        <is>
          <t>https://www.muenchenstein.ch/finanzensteuern</t>
        </is>
      </c>
      <c r="E26" s="12" t="inlineStr">
        <is>
          <t>Finanzhaushalt</t>
        </is>
      </c>
      <c r="F26" s="12" t="inlineStr">
        <is>
          <t>nein</t>
        </is>
      </c>
      <c r="G26" s="12" t="inlineStr">
        <is>
          <t>https://www.muenchenstein.ch/publikationen/621658</t>
        </is>
      </c>
      <c r="H26" s="12" t="inlineStr">
        <is>
          <t>Einstiegsseite</t>
        </is>
      </c>
      <c r="I26" s="12" t="inlineStr">
        <is>
          <t>Nein</t>
        </is>
      </c>
      <c r="J26" s="12" t="inlineStr">
        <is>
          <t>Ungeprüft – nicht kuratiert</t>
        </is>
      </c>
    </row>
    <row r="27">
      <c r="A27" s="12" t="inlineStr">
        <is>
          <t>Münchenstein</t>
        </is>
      </c>
      <c r="B27" s="12" t="inlineStr">
        <is>
          <t>Basel-Landschaft</t>
        </is>
      </c>
      <c r="C27" s="12" t="inlineStr">
        <is>
          <t>C1,C5</t>
        </is>
      </c>
      <c r="D27" s="16" t="inlineStr">
        <is>
          <t>https://www.muenchenstein.ch/_rte/abstimmung/101977</t>
        </is>
      </c>
      <c r="E27" s="12" t="inlineStr">
        <is>
          <t>Gesetz über die Entlastung des Finanzhaushaltes bis 2014</t>
        </is>
      </c>
      <c r="F27" s="12" t="inlineStr">
        <is>
          <t>nein</t>
        </is>
      </c>
      <c r="G27" s="12" t="inlineStr">
        <is>
          <t>https://www.muenchenstein.ch/abstimmungen/vorlagen</t>
        </is>
      </c>
      <c r="H27" s="12" t="inlineStr">
        <is>
          <t>Unterseite</t>
        </is>
      </c>
      <c r="I27" s="12" t="inlineStr">
        <is>
          <t>Nein</t>
        </is>
      </c>
      <c r="J27" s="12" t="inlineStr">
        <is>
          <t>Ungeprüft – nicht kuratiert</t>
        </is>
      </c>
    </row>
    <row r="28">
      <c r="A28" s="12" t="inlineStr">
        <is>
          <t>Münchenstein</t>
        </is>
      </c>
      <c r="B28" s="12" t="inlineStr">
        <is>
          <t>Basel-Landschaft</t>
        </is>
      </c>
      <c r="C28" s="12" t="inlineStr">
        <is>
          <t>C1,C5</t>
        </is>
      </c>
      <c r="D28" s="16" t="inlineStr">
        <is>
          <t>https://www.muenchenstein.ch/_rte/abstimmung/79355</t>
        </is>
      </c>
      <c r="E28" s="12" t="inlineStr">
        <is>
          <t>Gemeindeversammlungsbeschluss vom 15. September 2010 betreffend Einführung von Informations- und Kommunikationstechnologien (ICT) an der Primarschule Münchenstein und den damit verbundenen Investition</t>
        </is>
      </c>
      <c r="F28" s="12" t="inlineStr">
        <is>
          <t>nein</t>
        </is>
      </c>
      <c r="G28" s="12" t="inlineStr">
        <is>
          <t>https://www.muenchenstein.ch/abstimmungen/vorlagen</t>
        </is>
      </c>
      <c r="H28" s="12" t="inlineStr">
        <is>
          <t>Unterseite</t>
        </is>
      </c>
      <c r="I28" s="12" t="inlineStr">
        <is>
          <t>Nein</t>
        </is>
      </c>
      <c r="J28" s="12" t="inlineStr">
        <is>
          <t>Ungeprüft – nicht kuratiert</t>
        </is>
      </c>
    </row>
    <row r="29">
      <c r="A29" s="12" t="inlineStr">
        <is>
          <t>Münchenstein</t>
        </is>
      </c>
      <c r="B29" s="12" t="inlineStr">
        <is>
          <t>Basel-Landschaft</t>
        </is>
      </c>
      <c r="C29" s="12" t="inlineStr">
        <is>
          <t>C2</t>
        </is>
      </c>
      <c r="D29" s="16" t="inlineStr">
        <is>
          <t>https://www.areale.mstein.ch/</t>
        </is>
      </c>
      <c r="E29" s="12" t="inlineStr">
        <is>
          <t>areale.mstein.ch Externer Link wird in einem neuen Fenster geöffnet.</t>
        </is>
      </c>
      <c r="F29" s="12" t="inlineStr">
        <is>
          <t>nein</t>
        </is>
      </c>
      <c r="G29" s="12" t="inlineStr">
        <is>
          <t>https://www.muenchenstein.ch/areale</t>
        </is>
      </c>
      <c r="H29" s="12" t="inlineStr">
        <is>
          <t>Unterseite</t>
        </is>
      </c>
      <c r="I29" s="12" t="inlineStr">
        <is>
          <t>Nein</t>
        </is>
      </c>
      <c r="J29" s="12" t="inlineStr">
        <is>
          <t>Ungeprüft – nicht kuratiert</t>
        </is>
      </c>
    </row>
    <row r="30">
      <c r="A30" s="12" t="inlineStr">
        <is>
          <t>Münchenstein</t>
        </is>
      </c>
      <c r="B30" s="12" t="inlineStr">
        <is>
          <t>Basel-Landschaft</t>
        </is>
      </c>
      <c r="C30" s="12" t="inlineStr">
        <is>
          <t>C2</t>
        </is>
      </c>
      <c r="D30" s="16" t="inlineStr">
        <is>
          <t>https://www.muenchenstein.ch/areale</t>
        </is>
      </c>
      <c r="E30" s="12" t="inlineStr">
        <is>
          <t>Areale</t>
        </is>
      </c>
      <c r="F30" s="12" t="inlineStr">
        <is>
          <t>nein</t>
        </is>
      </c>
      <c r="G30" s="12" t="inlineStr">
        <is>
          <t>https://www.muenchenstein.ch/publikationen/621658</t>
        </is>
      </c>
      <c r="H30" s="12" t="inlineStr">
        <is>
          <t>Einstiegsseite</t>
        </is>
      </c>
      <c r="I30" s="12" t="inlineStr">
        <is>
          <t>Nein</t>
        </is>
      </c>
      <c r="J30" s="12" t="inlineStr">
        <is>
          <t>Ungeprüft – nicht kuratiert</t>
        </is>
      </c>
    </row>
    <row r="31">
      <c r="A31" s="12" t="inlineStr">
        <is>
          <t>Münchenstein</t>
        </is>
      </c>
      <c r="B31" s="12" t="inlineStr">
        <is>
          <t>Basel-Landschaft</t>
        </is>
      </c>
      <c r="C31" s="12" t="inlineStr">
        <is>
          <t>C2,C5</t>
        </is>
      </c>
      <c r="D31" s="16" t="inlineStr">
        <is>
          <t>https://www.muenchenstein.ch/_rte/abstimmung/251057</t>
        </is>
      </c>
      <c r="E31" s="12" t="inlineStr">
        <is>
          <t>Landratsbeschluss vom 3. Dezember 2020 betreffend Salina Raurica, Tramverlängerung Linie 14: Ausgabenbewilligung Projektierung und vorgezogener Landerwerb (LRV 2020/431)</t>
        </is>
      </c>
      <c r="F31" s="12" t="inlineStr">
        <is>
          <t>nein</t>
        </is>
      </c>
      <c r="G31" s="12" t="inlineStr">
        <is>
          <t>https://www.muenchenstein.ch/abstimmungen/vorlagen</t>
        </is>
      </c>
      <c r="H31" s="12" t="inlineStr">
        <is>
          <t>Unterseite</t>
        </is>
      </c>
      <c r="I31" s="12" t="inlineStr">
        <is>
          <t>Nein</t>
        </is>
      </c>
      <c r="J31" s="12" t="inlineStr">
        <is>
          <t>Ungeprüft – nicht kuratiert</t>
        </is>
      </c>
    </row>
    <row r="32">
      <c r="A32" s="12" t="inlineStr">
        <is>
          <t>Münchenstein</t>
        </is>
      </c>
      <c r="B32" s="12" t="inlineStr">
        <is>
          <t>Basel-Landschaft</t>
        </is>
      </c>
      <c r="C32" s="12" t="inlineStr">
        <is>
          <t>C2,C5</t>
        </is>
      </c>
      <c r="D32" s="16" t="inlineStr">
        <is>
          <t>https://www.muenchenstein.ch/_rte/abstimmung/301591</t>
        </is>
      </c>
      <c r="E32" s="12" t="inlineStr">
        <is>
          <t>Bundesbeschluss vom 20. Dezember 2024 über die kantonalen Liegenschaftssteuern auf Zweitliegenschaften</t>
        </is>
      </c>
      <c r="F32" s="12" t="inlineStr">
        <is>
          <t>nein</t>
        </is>
      </c>
      <c r="G32" s="12" t="inlineStr">
        <is>
          <t>https://www.muenchenstein.ch/abstimmungen/vorlagen</t>
        </is>
      </c>
      <c r="H32" s="12" t="inlineStr">
        <is>
          <t>Unterseite</t>
        </is>
      </c>
      <c r="I32" s="12" t="inlineStr">
        <is>
          <t>Nein</t>
        </is>
      </c>
      <c r="J32" s="12" t="inlineStr">
        <is>
          <t>Ungeprüft – nicht kuratiert</t>
        </is>
      </c>
    </row>
    <row r="33">
      <c r="A33" s="12" t="inlineStr">
        <is>
          <t>Münchenstein</t>
        </is>
      </c>
      <c r="B33" s="12" t="inlineStr">
        <is>
          <t>Basel-Landschaft</t>
        </is>
      </c>
      <c r="C33" s="12" t="inlineStr">
        <is>
          <t>C3</t>
        </is>
      </c>
      <c r="D33" s="16" t="inlineStr">
        <is>
          <t>https://www.muenchenstein.ch/_doc/1758235</t>
        </is>
      </c>
      <c r="E33" s="12" t="inlineStr">
        <is>
          <t>Verwaltungsorganisationsreglement Stand 01.01.2000</t>
        </is>
      </c>
      <c r="F33" s="12" t="inlineStr">
        <is>
          <t>nein</t>
        </is>
      </c>
      <c r="G33" s="12" t="inlineStr">
        <is>
          <t>https://www.muenchenstein.ch/reglemente/7208</t>
        </is>
      </c>
      <c r="H33" s="12" t="inlineStr">
        <is>
          <t>Einstiegsseite</t>
        </is>
      </c>
      <c r="I33" s="12" t="inlineStr">
        <is>
          <t>Nein</t>
        </is>
      </c>
      <c r="J33" s="12" t="inlineStr">
        <is>
          <t>Ungeprüft – nicht kuratiert</t>
        </is>
      </c>
    </row>
    <row r="34">
      <c r="A34" s="12" t="inlineStr">
        <is>
          <t>Münchenstein</t>
        </is>
      </c>
      <c r="B34" s="12" t="inlineStr">
        <is>
          <t>Basel-Landschaft</t>
        </is>
      </c>
      <c r="C34" s="12" t="inlineStr">
        <is>
          <t>C3</t>
        </is>
      </c>
      <c r="D34" s="16" t="inlineStr">
        <is>
          <t>https://www.muenchenstein.ch/reglemente</t>
        </is>
      </c>
      <c r="E34" s="12" t="inlineStr">
        <is>
          <t>Reglemente / Erlasse</t>
        </is>
      </c>
      <c r="F34" s="12" t="inlineStr">
        <is>
          <t>nein</t>
        </is>
      </c>
      <c r="G34" s="12" t="inlineStr">
        <is>
          <t>https://www.muenchenstein.ch/publikationen/621658</t>
        </is>
      </c>
      <c r="H34" s="12" t="inlineStr">
        <is>
          <t>Einstiegsseite</t>
        </is>
      </c>
      <c r="I34" s="12" t="inlineStr">
        <is>
          <t>Nein</t>
        </is>
      </c>
      <c r="J34" s="12" t="inlineStr">
        <is>
          <t>Ungeprüft – nicht kuratiert</t>
        </is>
      </c>
    </row>
    <row r="35">
      <c r="A35" s="12" t="inlineStr">
        <is>
          <t>Münchenstein</t>
        </is>
      </c>
      <c r="B35" s="12" t="inlineStr">
        <is>
          <t>Basel-Landschaft</t>
        </is>
      </c>
      <c r="C35" s="12" t="inlineStr">
        <is>
          <t>C3</t>
        </is>
      </c>
      <c r="D35" s="16" t="inlineStr">
        <is>
          <t>https://www.muenchenstein.ch/reglemente/7208</t>
        </is>
      </c>
      <c r="E35" s="12" t="inlineStr">
        <is>
          <t>{title} »</t>
        </is>
      </c>
      <c r="F35" s="12" t="inlineStr">
        <is>
          <t>nein</t>
        </is>
      </c>
      <c r="G35" s="12" t="inlineStr">
        <is>
          <t>https://www.muenchenstein.ch/reglemente/7208</t>
        </is>
      </c>
      <c r="H35" s="12" t="inlineStr">
        <is>
          <t>Einstiegsseite</t>
        </is>
      </c>
      <c r="I35" s="12" t="inlineStr">
        <is>
          <t>Ja</t>
        </is>
      </c>
      <c r="J35" s="12" t="inlineStr">
        <is>
          <t>Ungeprüft – nicht kuratiert</t>
        </is>
      </c>
    </row>
    <row r="36">
      <c r="A36" s="12" t="inlineStr">
        <is>
          <t>Münchenstein</t>
        </is>
      </c>
      <c r="B36" s="12" t="inlineStr">
        <is>
          <t>Basel-Landschaft</t>
        </is>
      </c>
      <c r="C36" s="12" t="inlineStr">
        <is>
          <t>C3,C5</t>
        </is>
      </c>
      <c r="D36" s="16" t="inlineStr">
        <is>
          <t>https://www.muenchenstein.ch/_rte/abstimmung/115863</t>
        </is>
      </c>
      <c r="E36" s="12" t="inlineStr">
        <is>
          <t>Änderung Gemeindeordnung</t>
        </is>
      </c>
      <c r="F36" s="12" t="inlineStr">
        <is>
          <t>nein</t>
        </is>
      </c>
      <c r="G36" s="12" t="inlineStr">
        <is>
          <t>https://www.muenchenstein.ch/abstimmungen/vorlagen</t>
        </is>
      </c>
      <c r="H36" s="12" t="inlineStr">
        <is>
          <t>Unterseite</t>
        </is>
      </c>
      <c r="I36" s="12" t="inlineStr">
        <is>
          <t>Nein</t>
        </is>
      </c>
      <c r="J36" s="12" t="inlineStr">
        <is>
          <t>Ungeprüft – nicht kuratiert</t>
        </is>
      </c>
    </row>
    <row r="37">
      <c r="A37" s="12" t="inlineStr">
        <is>
          <t>Münchenstein</t>
        </is>
      </c>
      <c r="B37" s="12" t="inlineStr">
        <is>
          <t>Basel-Landschaft</t>
        </is>
      </c>
      <c r="C37" s="12" t="inlineStr">
        <is>
          <t>C3,C5</t>
        </is>
      </c>
      <c r="D37" s="16" t="inlineStr">
        <is>
          <t>https://www.muenchenstein.ch/_rte/abstimmung/132800</t>
        </is>
      </c>
      <c r="E37" s="12" t="inlineStr">
        <is>
          <t>Teilrevision des Landratsgesetzes (Parlamentsreform sowie Regelung der Steuerung und Kontrolle der Beteiligungen des Kantons)</t>
        </is>
      </c>
      <c r="F37" s="12" t="inlineStr">
        <is>
          <t>nein</t>
        </is>
      </c>
      <c r="G37" s="12" t="inlineStr">
        <is>
          <t>https://www.muenchenstein.ch/abstimmungen/vorlagen</t>
        </is>
      </c>
      <c r="H37" s="12" t="inlineStr">
        <is>
          <t>Unterseite</t>
        </is>
      </c>
      <c r="I37" s="12" t="inlineStr">
        <is>
          <t>Nein</t>
        </is>
      </c>
      <c r="J37" s="12" t="inlineStr">
        <is>
          <t>Ungeprüft – nicht kuratiert</t>
        </is>
      </c>
    </row>
    <row r="38">
      <c r="A38" s="12" t="inlineStr">
        <is>
          <t>Münchenstein</t>
        </is>
      </c>
      <c r="B38" s="12" t="inlineStr">
        <is>
          <t>Basel-Landschaft</t>
        </is>
      </c>
      <c r="C38" s="12" t="inlineStr">
        <is>
          <t>C3,C5</t>
        </is>
      </c>
      <c r="D38" s="16" t="inlineStr">
        <is>
          <t>https://www.muenchenstein.ch/_rte/abstimmung/158200</t>
        </is>
      </c>
      <c r="E38" s="12" t="inlineStr">
        <is>
          <t>Bundesbeschluss über die Schaffung eines Fonds für die Nationalstrassen und den Agglomerationsverkehr (NAF)</t>
        </is>
      </c>
      <c r="F38" s="12" t="inlineStr">
        <is>
          <t>nein</t>
        </is>
      </c>
      <c r="G38" s="12" t="inlineStr">
        <is>
          <t>https://www.muenchenstein.ch/abstimmungen/vorlagen</t>
        </is>
      </c>
      <c r="H38" s="12" t="inlineStr">
        <is>
          <t>Unterseite</t>
        </is>
      </c>
      <c r="I38" s="12" t="inlineStr">
        <is>
          <t>Nein</t>
        </is>
      </c>
      <c r="J38" s="12" t="inlineStr">
        <is>
          <t>Ungeprüft – nicht kuratiert</t>
        </is>
      </c>
    </row>
    <row r="39">
      <c r="A39" s="12" t="inlineStr">
        <is>
          <t>Münchenstein</t>
        </is>
      </c>
      <c r="B39" s="12" t="inlineStr">
        <is>
          <t>Basel-Landschaft</t>
        </is>
      </c>
      <c r="C39" s="12" t="inlineStr">
        <is>
          <t>C3,C5</t>
        </is>
      </c>
      <c r="D39" s="16" t="inlineStr">
        <is>
          <t>https://www.muenchenstein.ch/_rte/abstimmung/160332</t>
        </is>
      </c>
      <c r="E39" s="12" t="inlineStr">
        <is>
          <t>Verfassungsänderung betreffend Aufgabenzuordnung und Zusammenarbeit der Baselbieter Gemeinden</t>
        </is>
      </c>
      <c r="F39" s="12" t="inlineStr">
        <is>
          <t>nein</t>
        </is>
      </c>
      <c r="G39" s="12" t="inlineStr">
        <is>
          <t>https://www.muenchenstein.ch/abstimmungen/vorlagen</t>
        </is>
      </c>
      <c r="H39" s="12" t="inlineStr">
        <is>
          <t>Unterseite</t>
        </is>
      </c>
      <c r="I39" s="12" t="inlineStr">
        <is>
          <t>Nein</t>
        </is>
      </c>
      <c r="J39" s="12" t="inlineStr">
        <is>
          <t>Ungeprüft – nicht kuratiert</t>
        </is>
      </c>
    </row>
    <row r="40">
      <c r="A40" s="12" t="inlineStr">
        <is>
          <t>Münchenstein</t>
        </is>
      </c>
      <c r="B40" s="12" t="inlineStr">
        <is>
          <t>Basel-Landschaft</t>
        </is>
      </c>
      <c r="C40" s="12" t="inlineStr">
        <is>
          <t>C3,C5</t>
        </is>
      </c>
      <c r="D40" s="16" t="inlineStr">
        <is>
          <t>https://www.muenchenstein.ch/_rte/abstimmung/195028</t>
        </is>
      </c>
      <c r="E40" s="12" t="inlineStr">
        <is>
          <t>Beteiligung an Spitälern</t>
        </is>
      </c>
      <c r="F40" s="12" t="inlineStr">
        <is>
          <t>nein</t>
        </is>
      </c>
      <c r="G40" s="12" t="inlineStr">
        <is>
          <t>https://www.muenchenstein.ch/abstimmungen/vorlagen</t>
        </is>
      </c>
      <c r="H40" s="12" t="inlineStr">
        <is>
          <t>Unterseite</t>
        </is>
      </c>
      <c r="I40" s="12" t="inlineStr">
        <is>
          <t>Nein</t>
        </is>
      </c>
      <c r="J40" s="12" t="inlineStr">
        <is>
          <t>Ungeprüft – nicht kuratiert</t>
        </is>
      </c>
    </row>
    <row r="41">
      <c r="A41" s="12" t="inlineStr">
        <is>
          <t>Münchenstein</t>
        </is>
      </c>
      <c r="B41" s="12" t="inlineStr">
        <is>
          <t>Basel-Landschaft</t>
        </is>
      </c>
      <c r="C41" s="12" t="inlineStr">
        <is>
          <t>C3,C5</t>
        </is>
      </c>
      <c r="D41" s="16" t="inlineStr">
        <is>
          <t>https://www.muenchenstein.ch/_rte/abstimmung/251048</t>
        </is>
      </c>
      <c r="E41" s="12" t="inlineStr">
        <is>
          <t>Bundesgesetz vom 25. September 2020 über die gesetzlichen Grundlagen für Verordnungen des Bundesrates zur Bewältigung der Covid-19-Epidemie (Covid-19-Gesetz)</t>
        </is>
      </c>
      <c r="F41" s="12" t="inlineStr">
        <is>
          <t>nein</t>
        </is>
      </c>
      <c r="G41" s="12" t="inlineStr">
        <is>
          <t>https://www.muenchenstein.ch/abstimmungen/vorlagen</t>
        </is>
      </c>
      <c r="H41" s="12" t="inlineStr">
        <is>
          <t>Unterseite</t>
        </is>
      </c>
      <c r="I41" s="12" t="inlineStr">
        <is>
          <t>Nein</t>
        </is>
      </c>
      <c r="J41" s="12" t="inlineStr">
        <is>
          <t>Ungeprüft – nicht kuratiert</t>
        </is>
      </c>
    </row>
    <row r="42">
      <c r="A42" s="12" t="inlineStr">
        <is>
          <t>Münchenstein</t>
        </is>
      </c>
      <c r="B42" s="12" t="inlineStr">
        <is>
          <t>Basel-Landschaft</t>
        </is>
      </c>
      <c r="C42" s="12" t="inlineStr">
        <is>
          <t>C3,C5</t>
        </is>
      </c>
      <c r="D42" s="16" t="inlineStr">
        <is>
          <t>https://www.muenchenstein.ch/_rte/abstimmung/25247</t>
        </is>
      </c>
      <c r="E42" s="12" t="inlineStr">
        <is>
          <t>Reglement über die Unterrichtszeiten an den Kindergärten</t>
        </is>
      </c>
      <c r="F42" s="12" t="inlineStr">
        <is>
          <t>nein</t>
        </is>
      </c>
      <c r="G42" s="12" t="inlineStr">
        <is>
          <t>https://www.muenchenstein.ch/abstimmungen/vorlagen</t>
        </is>
      </c>
      <c r="H42" s="12" t="inlineStr">
        <is>
          <t>Unterseite</t>
        </is>
      </c>
      <c r="I42" s="12" t="inlineStr">
        <is>
          <t>Nein</t>
        </is>
      </c>
      <c r="J42" s="12" t="inlineStr">
        <is>
          <t>Ungeprüft – nicht kuratiert</t>
        </is>
      </c>
    </row>
    <row r="43">
      <c r="A43" s="12" t="inlineStr">
        <is>
          <t>Münchenstein</t>
        </is>
      </c>
      <c r="B43" s="12" t="inlineStr">
        <is>
          <t>Basel-Landschaft</t>
        </is>
      </c>
      <c r="C43" s="12" t="inlineStr">
        <is>
          <t>C3,C5</t>
        </is>
      </c>
      <c r="D43" s="16" t="inlineStr">
        <is>
          <t>https://www.muenchenstein.ch/_rte/abstimmung/261658</t>
        </is>
      </c>
      <c r="E43" s="12" t="inlineStr">
        <is>
          <t>Änderung vom 19. März 2021 des Bundesgesetzes über die gesetzlichen Grundlagen für Verordnungen des Bundesrates zur Bewältigung der Covid-19-Epidemie (Covid-19-Gesetz) (Härtefälle, Arbeitslosenversich</t>
        </is>
      </c>
      <c r="F43" s="12" t="inlineStr">
        <is>
          <t>nein</t>
        </is>
      </c>
      <c r="G43" s="12" t="inlineStr">
        <is>
          <t>https://www.muenchenstein.ch/abstimmungen/vorlagen</t>
        </is>
      </c>
      <c r="H43" s="12" t="inlineStr">
        <is>
          <t>Unterseite</t>
        </is>
      </c>
      <c r="I43" s="12" t="inlineStr">
        <is>
          <t>Nein</t>
        </is>
      </c>
      <c r="J43" s="12" t="inlineStr">
        <is>
          <t>Ungeprüft – nicht kuratiert</t>
        </is>
      </c>
    </row>
    <row r="44">
      <c r="A44" s="12" t="inlineStr">
        <is>
          <t>Münchenstein</t>
        </is>
      </c>
      <c r="B44" s="12" t="inlineStr">
        <is>
          <t>Basel-Landschaft</t>
        </is>
      </c>
      <c r="C44" s="12" t="inlineStr">
        <is>
          <t>C3,C5</t>
        </is>
      </c>
      <c r="D44" s="16" t="inlineStr">
        <is>
          <t>https://www.muenchenstein.ch/_rte/abstimmung/270905</t>
        </is>
      </c>
      <c r="E44" s="12" t="inlineStr">
        <is>
          <t>Bundesbeschluss vom 1. Oktober 2021 über die Genehmigung und die Umsetzung des Notenaustausches zwischen der Schweiz und der EU betreffend die Übernahme der Verordnung (EU) 2019/1896 über die Europäis</t>
        </is>
      </c>
      <c r="F44" s="12" t="inlineStr">
        <is>
          <t>nein</t>
        </is>
      </c>
      <c r="G44" s="12" t="inlineStr">
        <is>
          <t>https://www.muenchenstein.ch/abstimmungen/vorlagen</t>
        </is>
      </c>
      <c r="H44" s="12" t="inlineStr">
        <is>
          <t>Unterseite</t>
        </is>
      </c>
      <c r="I44" s="12" t="inlineStr">
        <is>
          <t>Nein</t>
        </is>
      </c>
      <c r="J44" s="12" t="inlineStr">
        <is>
          <t>Ungeprüft – nicht kuratiert</t>
        </is>
      </c>
    </row>
    <row r="45">
      <c r="A45" s="12" t="inlineStr">
        <is>
          <t>Münchenstein</t>
        </is>
      </c>
      <c r="B45" s="12" t="inlineStr">
        <is>
          <t>Basel-Landschaft</t>
        </is>
      </c>
      <c r="C45" s="12" t="inlineStr">
        <is>
          <t>C3,C5</t>
        </is>
      </c>
      <c r="D45" s="16" t="inlineStr">
        <is>
          <t>https://www.muenchenstein.ch/_rte/abstimmung/278258</t>
        </is>
      </c>
      <c r="E45" s="12" t="inlineStr">
        <is>
          <t>Änderung vom 17. Dezember 2021 des Bundesgesetzes über die Alters- und Hinterlassenenversicherung (AHVG) (AHV 21) (BBI 2021 2995)</t>
        </is>
      </c>
      <c r="F45" s="12" t="inlineStr">
        <is>
          <t>nein</t>
        </is>
      </c>
      <c r="G45" s="12" t="inlineStr">
        <is>
          <t>https://www.muenchenstein.ch/abstimmungen/vorlagen</t>
        </is>
      </c>
      <c r="H45" s="12" t="inlineStr">
        <is>
          <t>Unterseite</t>
        </is>
      </c>
      <c r="I45" s="12" t="inlineStr">
        <is>
          <t>Nein</t>
        </is>
      </c>
      <c r="J45" s="12" t="inlineStr">
        <is>
          <t>Ungeprüft – nicht kuratiert</t>
        </is>
      </c>
    </row>
    <row r="46">
      <c r="A46" s="12" t="inlineStr">
        <is>
          <t>Münchenstein</t>
        </is>
      </c>
      <c r="B46" s="12" t="inlineStr">
        <is>
          <t>Basel-Landschaft</t>
        </is>
      </c>
      <c r="C46" s="12" t="inlineStr">
        <is>
          <t>C3,C5</t>
        </is>
      </c>
      <c r="D46" s="16" t="inlineStr">
        <is>
          <t>https://www.muenchenstein.ch/_rte/abstimmung/285623</t>
        </is>
      </c>
      <c r="E46" s="12" t="inlineStr">
        <is>
          <t>Änderung des Bundesgesetzes vom 16. Dezember 2022 über die gesetzlichen Grundlagen für Verordnungen des Bundesrates zur Bewältigung der Covid-19-Epidemie (Covid-19-Gesetz) (AS 2022 817).</t>
        </is>
      </c>
      <c r="F46" s="12" t="inlineStr">
        <is>
          <t>nein</t>
        </is>
      </c>
      <c r="G46" s="12" t="inlineStr">
        <is>
          <t>https://www.muenchenstein.ch/abstimmungen/vorlagen</t>
        </is>
      </c>
      <c r="H46" s="12" t="inlineStr">
        <is>
          <t>Unterseite</t>
        </is>
      </c>
      <c r="I46" s="12" t="inlineStr">
        <is>
          <t>Nein</t>
        </is>
      </c>
      <c r="J46" s="12" t="inlineStr">
        <is>
          <t>Ungeprüft – nicht kuratiert</t>
        </is>
      </c>
    </row>
    <row r="47">
      <c r="A47" s="12" t="inlineStr">
        <is>
          <t>Münchenstein</t>
        </is>
      </c>
      <c r="B47" s="12" t="inlineStr">
        <is>
          <t>Basel-Landschaft</t>
        </is>
      </c>
      <c r="C47" s="12" t="inlineStr">
        <is>
          <t>C3,C5</t>
        </is>
      </c>
      <c r="D47" s="16" t="inlineStr">
        <is>
          <t>https://www.muenchenstein.ch/_rte/abstimmung/289912</t>
        </is>
      </c>
      <c r="E47" s="12" t="inlineStr">
        <is>
          <t>Änderung des Zonenreglements Siedlung §52 (bisher 49) Mehrwertabgabe</t>
        </is>
      </c>
      <c r="F47" s="12" t="inlineStr">
        <is>
          <t>nein</t>
        </is>
      </c>
      <c r="G47" s="12" t="inlineStr">
        <is>
          <t>https://www.muenchenstein.ch/abstimmungen/vorlagen</t>
        </is>
      </c>
      <c r="H47" s="12" t="inlineStr">
        <is>
          <t>Unterseite</t>
        </is>
      </c>
      <c r="I47" s="12" t="inlineStr">
        <is>
          <t>Nein</t>
        </is>
      </c>
      <c r="J47" s="12" t="inlineStr">
        <is>
          <t>Ungeprüft – nicht kuratiert</t>
        </is>
      </c>
    </row>
    <row r="48">
      <c r="A48" s="12" t="inlineStr">
        <is>
          <t>Münchenstein</t>
        </is>
      </c>
      <c r="B48" s="12" t="inlineStr">
        <is>
          <t>Basel-Landschaft</t>
        </is>
      </c>
      <c r="C48" s="12" t="inlineStr">
        <is>
          <t>C3,C5</t>
        </is>
      </c>
      <c r="D48" s="16" t="inlineStr">
        <is>
          <t>https://www.muenchenstein.ch/_rte/abstimmung/289927</t>
        </is>
      </c>
      <c r="E48" s="12" t="inlineStr">
        <is>
          <t>Änderung der Kantonsverfassung betreffend Einführung kantonaler Deponieabgaben (Massnahme des Massnahmenpakets zur Förderung des Baustoffkreislaufs Regio Basel)</t>
        </is>
      </c>
      <c r="F48" s="12" t="inlineStr">
        <is>
          <t>nein</t>
        </is>
      </c>
      <c r="G48" s="12" t="inlineStr">
        <is>
          <t>https://www.muenchenstein.ch/abstimmungen/vorlagen</t>
        </is>
      </c>
      <c r="H48" s="12" t="inlineStr">
        <is>
          <t>Unterseite</t>
        </is>
      </c>
      <c r="I48" s="12" t="inlineStr">
        <is>
          <t>Nein</t>
        </is>
      </c>
      <c r="J48" s="12" t="inlineStr">
        <is>
          <t>Ungeprüft – nicht kuratiert</t>
        </is>
      </c>
    </row>
    <row r="49">
      <c r="A49" s="12" t="inlineStr">
        <is>
          <t>Münchenstein</t>
        </is>
      </c>
      <c r="B49" s="12" t="inlineStr">
        <is>
          <t>Basel-Landschaft</t>
        </is>
      </c>
      <c r="C49" s="12" t="inlineStr">
        <is>
          <t>C3,C5</t>
        </is>
      </c>
      <c r="D49" s="16" t="inlineStr">
        <is>
          <t>https://www.muenchenstein.ch/_rte/abstimmung/289930</t>
        </is>
      </c>
      <c r="E49" s="12" t="inlineStr">
        <is>
          <t>Änderung des Umweltschutzgesetzes Basel-Landschaft betreffend Einführung kantonaler Deponieabgaben (Massnahme des Massnahmenpakets zur Förderung des Baustoffkreislaufs Regio Basel)</t>
        </is>
      </c>
      <c r="F49" s="12" t="inlineStr">
        <is>
          <t>nein</t>
        </is>
      </c>
      <c r="G49" s="12" t="inlineStr">
        <is>
          <t>https://www.muenchenstein.ch/abstimmungen/vorlagen</t>
        </is>
      </c>
      <c r="H49" s="12" t="inlineStr">
        <is>
          <t>Unterseite</t>
        </is>
      </c>
      <c r="I49" s="12" t="inlineStr">
        <is>
          <t>Nein</t>
        </is>
      </c>
      <c r="J49" s="12" t="inlineStr">
        <is>
          <t>Ungeprüft – nicht kuratiert</t>
        </is>
      </c>
    </row>
    <row r="50">
      <c r="A50" s="12" t="inlineStr">
        <is>
          <t>Münchenstein</t>
        </is>
      </c>
      <c r="B50" s="12" t="inlineStr">
        <is>
          <t>Basel-Landschaft</t>
        </is>
      </c>
      <c r="C50" s="12" t="inlineStr">
        <is>
          <t>C3,C5</t>
        </is>
      </c>
      <c r="D50" s="16" t="inlineStr">
        <is>
          <t>https://www.muenchenstein.ch/_rte/abstimmung/29591</t>
        </is>
      </c>
      <c r="E50" s="12" t="inlineStr">
        <is>
          <t>Bundesgesetz vom 24. März 2006 über die Zusammenarbeit mit den Staaten Osteuropas</t>
        </is>
      </c>
      <c r="F50" s="12" t="inlineStr">
        <is>
          <t>nein</t>
        </is>
      </c>
      <c r="G50" s="12" t="inlineStr">
        <is>
          <t>https://www.muenchenstein.ch/abstimmungen/vorlagen</t>
        </is>
      </c>
      <c r="H50" s="12" t="inlineStr">
        <is>
          <t>Unterseite</t>
        </is>
      </c>
      <c r="I50" s="12" t="inlineStr">
        <is>
          <t>Nein</t>
        </is>
      </c>
      <c r="J50" s="12" t="inlineStr">
        <is>
          <t>Ungeprüft – nicht kuratiert</t>
        </is>
      </c>
    </row>
    <row r="51">
      <c r="A51" s="12" t="inlineStr">
        <is>
          <t>Münchenstein</t>
        </is>
      </c>
      <c r="B51" s="12" t="inlineStr">
        <is>
          <t>Basel-Landschaft</t>
        </is>
      </c>
      <c r="C51" s="12" t="inlineStr">
        <is>
          <t>C3,C5</t>
        </is>
      </c>
      <c r="D51" s="16" t="inlineStr">
        <is>
          <t>https://www.muenchenstein.ch/_rte/abstimmung/299275</t>
        </is>
      </c>
      <c r="E51" s="12" t="inlineStr">
        <is>
          <t>Änderung vom 17. März 2023 des Bundesgesetzes über die berufliche Alters-, Hinterlassenen- und Invalidenvorsorge (BVG) (Reform der beruflichen Vorsorge)</t>
        </is>
      </c>
      <c r="F51" s="12" t="inlineStr">
        <is>
          <t>nein</t>
        </is>
      </c>
      <c r="G51" s="12" t="inlineStr">
        <is>
          <t>https://www.muenchenstein.ch/abstimmungen/vorlagen</t>
        </is>
      </c>
      <c r="H51" s="12" t="inlineStr">
        <is>
          <t>Unterseite</t>
        </is>
      </c>
      <c r="I51" s="12" t="inlineStr">
        <is>
          <t>Nein</t>
        </is>
      </c>
      <c r="J51" s="12" t="inlineStr">
        <is>
          <t>Ungeprüft – nicht kuratiert</t>
        </is>
      </c>
    </row>
    <row r="52">
      <c r="A52" s="12" t="inlineStr">
        <is>
          <t>Münchenstein</t>
        </is>
      </c>
      <c r="B52" s="12" t="inlineStr">
        <is>
          <t>Basel-Landschaft</t>
        </is>
      </c>
      <c r="C52" s="12" t="inlineStr">
        <is>
          <t>C3,C5</t>
        </is>
      </c>
      <c r="D52" s="16" t="inlineStr">
        <is>
          <t>https://www.muenchenstein.ch/_rte/abstimmung/36733</t>
        </is>
      </c>
      <c r="E52" s="12" t="inlineStr">
        <is>
          <t>Gemeindeordnung der Einwohnergemeinde Münchenstein / Teilrevision</t>
        </is>
      </c>
      <c r="F52" s="12" t="inlineStr">
        <is>
          <t>nein</t>
        </is>
      </c>
      <c r="G52" s="12" t="inlineStr">
        <is>
          <t>https://www.muenchenstein.ch/abstimmungen/vorlagen</t>
        </is>
      </c>
      <c r="H52" s="12" t="inlineStr">
        <is>
          <t>Unterseite</t>
        </is>
      </c>
      <c r="I52" s="12" t="inlineStr">
        <is>
          <t>Nein</t>
        </is>
      </c>
      <c r="J52" s="12" t="inlineStr">
        <is>
          <t>Ungeprüft – nicht kuratiert</t>
        </is>
      </c>
    </row>
    <row r="53">
      <c r="A53" s="12" t="inlineStr">
        <is>
          <t>Münchenstein</t>
        </is>
      </c>
      <c r="B53" s="12" t="inlineStr">
        <is>
          <t>Basel-Landschaft</t>
        </is>
      </c>
      <c r="C53" s="12" t="inlineStr">
        <is>
          <t>C3,C5</t>
        </is>
      </c>
      <c r="D53" s="16" t="inlineStr">
        <is>
          <t>https://www.muenchenstein.ch/_rte/abstimmung/68453</t>
        </is>
      </c>
      <c r="E53" s="12" t="inlineStr">
        <is>
          <t>Änderung vom 19. Dezember 2008 des Bundesgesetzes über die berufliche Alters-, Hinterlassenen- und Invalidenvorsorge</t>
        </is>
      </c>
      <c r="F53" s="12" t="inlineStr">
        <is>
          <t>nein</t>
        </is>
      </c>
      <c r="G53" s="12" t="inlineStr">
        <is>
          <t>https://www.muenchenstein.ch/abstimmungen/vorlagen</t>
        </is>
      </c>
      <c r="H53" s="12" t="inlineStr">
        <is>
          <t>Unterseite</t>
        </is>
      </c>
      <c r="I53" s="12" t="inlineStr">
        <is>
          <t>Nein</t>
        </is>
      </c>
      <c r="J53" s="12" t="inlineStr">
        <is>
          <t>Ungeprüft – nicht kuratiert</t>
        </is>
      </c>
    </row>
    <row r="54">
      <c r="A54" s="12" t="inlineStr">
        <is>
          <t>Münchenstein</t>
        </is>
      </c>
      <c r="B54" s="12" t="inlineStr">
        <is>
          <t>Basel-Landschaft</t>
        </is>
      </c>
      <c r="C54" s="12" t="inlineStr">
        <is>
          <t>C3,C5</t>
        </is>
      </c>
      <c r="D54" s="16" t="inlineStr">
        <is>
          <t>https://www.muenchenstein.ch/_rte/abstimmung/89372</t>
        </is>
      </c>
      <c r="E54" s="12" t="inlineStr">
        <is>
          <t>Änderung Gemeindeordnung</t>
        </is>
      </c>
      <c r="F54" s="12" t="inlineStr">
        <is>
          <t>nein</t>
        </is>
      </c>
      <c r="G54" s="12" t="inlineStr">
        <is>
          <t>https://www.muenchenstein.ch/abstimmungen/vorlagen</t>
        </is>
      </c>
      <c r="H54" s="12" t="inlineStr">
        <is>
          <t>Unterseite</t>
        </is>
      </c>
      <c r="I54" s="12" t="inlineStr">
        <is>
          <t>Nein</t>
        </is>
      </c>
      <c r="J54" s="12" t="inlineStr">
        <is>
          <t>Ungeprüft – nicht kuratiert</t>
        </is>
      </c>
    </row>
    <row r="55">
      <c r="A55" s="12" t="inlineStr">
        <is>
          <t>Münchenstein</t>
        </is>
      </c>
      <c r="B55" s="12" t="inlineStr">
        <is>
          <t>Basel-Landschaft</t>
        </is>
      </c>
      <c r="C55" s="12" t="inlineStr">
        <is>
          <t>C4</t>
        </is>
      </c>
      <c r="D55" s="16" t="inlineStr">
        <is>
          <t>https://www.muenchenstein.ch/_rtr/publikation_91123</t>
        </is>
      </c>
      <c r="E55" s="12" t="inlineStr">
        <is>
          <t>Organigramm</t>
        </is>
      </c>
      <c r="F55" s="12" t="inlineStr">
        <is>
          <t>nein</t>
        </is>
      </c>
      <c r="G55" s="12" t="inlineStr">
        <is>
          <t>https://www.muenchenstein.ch/organisationuorganigramm</t>
        </is>
      </c>
      <c r="H55" s="12" t="inlineStr">
        <is>
          <t>Unterseite</t>
        </is>
      </c>
      <c r="I55" s="12" t="inlineStr">
        <is>
          <t>Nein</t>
        </is>
      </c>
      <c r="J55" s="12" t="inlineStr">
        <is>
          <t>Ungeprüft – nicht kuratiert</t>
        </is>
      </c>
    </row>
    <row r="56">
      <c r="A56" s="12" t="inlineStr">
        <is>
          <t>Münchenstein</t>
        </is>
      </c>
      <c r="B56" s="12" t="inlineStr">
        <is>
          <t>Basel-Landschaft</t>
        </is>
      </c>
      <c r="C56" s="12" t="inlineStr">
        <is>
          <t>C4</t>
        </is>
      </c>
      <c r="D56" s="16" t="inlineStr">
        <is>
          <t>https://www.muenchenstein.ch/organisationuorganigramm</t>
        </is>
      </c>
      <c r="E56" s="12" t="inlineStr">
        <is>
          <t>Organisation / Organigramm</t>
        </is>
      </c>
      <c r="F56" s="12" t="inlineStr">
        <is>
          <t>nein</t>
        </is>
      </c>
      <c r="G56" s="12" t="inlineStr">
        <is>
          <t>https://www.muenchenstein.ch/publikationen/621658</t>
        </is>
      </c>
      <c r="H56" s="12" t="inlineStr">
        <is>
          <t>Einstiegsseite</t>
        </is>
      </c>
      <c r="I56" s="12" t="inlineStr">
        <is>
          <t>Ja</t>
        </is>
      </c>
      <c r="J56" s="12" t="inlineStr">
        <is>
          <t>Ungeprüft – nicht kuratiert</t>
        </is>
      </c>
    </row>
    <row r="57">
      <c r="A57" s="12" t="inlineStr">
        <is>
          <t>Münchenstein</t>
        </is>
      </c>
      <c r="B57" s="12" t="inlineStr">
        <is>
          <t>Basel-Landschaft</t>
        </is>
      </c>
      <c r="C57" s="12" t="inlineStr">
        <is>
          <t>C4,C5</t>
        </is>
      </c>
      <c r="D57" s="16" t="inlineStr">
        <is>
          <t>https://www.muenchenstein.ch/_rte/abstimmung/129347</t>
        </is>
      </c>
      <c r="E57" s="12" t="inlineStr">
        <is>
          <t>Bundesgesetz über den Fonds zur Beschaffung des Kampfflugzeugs Gripen</t>
        </is>
      </c>
      <c r="F57" s="12" t="inlineStr">
        <is>
          <t>nein</t>
        </is>
      </c>
      <c r="G57" s="12" t="inlineStr">
        <is>
          <t>https://www.muenchenstein.ch/abstimmungen/vorlagen</t>
        </is>
      </c>
      <c r="H57" s="12" t="inlineStr">
        <is>
          <t>Unterseite</t>
        </is>
      </c>
      <c r="I57" s="12" t="inlineStr">
        <is>
          <t>Nein</t>
        </is>
      </c>
      <c r="J57" s="12" t="inlineStr">
        <is>
          <t>Ungeprüft – nicht kuratiert</t>
        </is>
      </c>
    </row>
    <row r="58">
      <c r="A58" s="12" t="inlineStr">
        <is>
          <t>Münchenstein</t>
        </is>
      </c>
      <c r="B58" s="12" t="inlineStr">
        <is>
          <t>Basel-Landschaft</t>
        </is>
      </c>
      <c r="C58" s="12" t="inlineStr">
        <is>
          <t>C4,C5</t>
        </is>
      </c>
      <c r="D58" s="16" t="inlineStr">
        <is>
          <t>https://www.muenchenstein.ch/_rte/abstimmung/145284</t>
        </is>
      </c>
      <c r="E58" s="12" t="inlineStr">
        <is>
          <t>Formulierte Gesetzesinitiative "Für einen wirksamen Arbeitnehmerschutz und faire Wettbewerbsbedingungen für KMU im öffentlichen Beschaffungswesen"</t>
        </is>
      </c>
      <c r="F58" s="12" t="inlineStr">
        <is>
          <t>nein</t>
        </is>
      </c>
      <c r="G58" s="12" t="inlineStr">
        <is>
          <t>https://www.muenchenstein.ch/abstimmungen/vorlagen</t>
        </is>
      </c>
      <c r="H58" s="12" t="inlineStr">
        <is>
          <t>Unterseite</t>
        </is>
      </c>
      <c r="I58" s="12" t="inlineStr">
        <is>
          <t>Nein</t>
        </is>
      </c>
      <c r="J58" s="12" t="inlineStr">
        <is>
          <t>Ungeprüft – nicht kuratiert</t>
        </is>
      </c>
    </row>
    <row r="59">
      <c r="A59" s="12" t="inlineStr">
        <is>
          <t>Münchenstein</t>
        </is>
      </c>
      <c r="B59" s="12" t="inlineStr">
        <is>
          <t>Basel-Landschaft</t>
        </is>
      </c>
      <c r="C59" s="12" t="inlineStr">
        <is>
          <t>C4,C5</t>
        </is>
      </c>
      <c r="D59" s="16" t="inlineStr">
        <is>
          <t>https://www.muenchenstein.ch/_rte/abstimmung/225950</t>
        </is>
      </c>
      <c r="E59" s="12" t="inlineStr">
        <is>
          <t>Beschaffung neuer Kampfflugzeuge</t>
        </is>
      </c>
      <c r="F59" s="12" t="inlineStr">
        <is>
          <t>nein</t>
        </is>
      </c>
      <c r="G59" s="12" t="inlineStr">
        <is>
          <t>https://www.muenchenstein.ch/abstimmungen/vorlagen</t>
        </is>
      </c>
      <c r="H59" s="12" t="inlineStr">
        <is>
          <t>Unterseite</t>
        </is>
      </c>
      <c r="I59" s="12" t="inlineStr">
        <is>
          <t>Nein</t>
        </is>
      </c>
      <c r="J59" s="12" t="inlineStr">
        <is>
          <t>Ungeprüft – nicht kuratiert</t>
        </is>
      </c>
    </row>
    <row r="60">
      <c r="A60" s="12" t="inlineStr">
        <is>
          <t>Münchenstein</t>
        </is>
      </c>
      <c r="B60" s="12" t="inlineStr">
        <is>
          <t>Basel-Landschaft</t>
        </is>
      </c>
      <c r="C60" s="12" t="inlineStr">
        <is>
          <t>C4,C5</t>
        </is>
      </c>
      <c r="D60" s="16" t="inlineStr">
        <is>
          <t>https://www.muenchenstein.ch/_rte/abstimmung/27787</t>
        </is>
      </c>
      <c r="E60" s="12" t="inlineStr">
        <is>
          <t>Landratsbeschluss vom 16. Februar 2006 betreffend Kantonales Laboratorium in Liestal, Umwidmung und Ersatzbeschaffung (Referendumsabstimmung)</t>
        </is>
      </c>
      <c r="F60" s="12" t="inlineStr">
        <is>
          <t>nein</t>
        </is>
      </c>
      <c r="G60" s="12" t="inlineStr">
        <is>
          <t>https://www.muenchenstein.ch/abstimmungen/vorlagen</t>
        </is>
      </c>
      <c r="H60" s="12" t="inlineStr">
        <is>
          <t>Unterseite</t>
        </is>
      </c>
      <c r="I60" s="12" t="inlineStr">
        <is>
          <t>Nein</t>
        </is>
      </c>
      <c r="J60" s="12" t="inlineStr">
        <is>
          <t>Ungeprüft – nicht kuratiert</t>
        </is>
      </c>
    </row>
    <row r="61">
      <c r="A61" s="12" t="inlineStr">
        <is>
          <t>Münchenstein</t>
        </is>
      </c>
      <c r="B61" s="12" t="inlineStr">
        <is>
          <t>Basel-Landschaft</t>
        </is>
      </c>
      <c r="C61" s="12" t="inlineStr">
        <is>
          <t>C5</t>
        </is>
      </c>
      <c r="D61" s="16" t="inlineStr">
        <is>
          <t>http://www.gemeinden-web.ch/gemeinden/muenchensteinneu/dl.php/de/0d1e8-225dl6/GV_protokolle_1980_comp.pdf</t>
        </is>
      </c>
      <c r="E61" s="12" t="inlineStr">
        <is>
          <t>hier klicken Externer Link wird in einem neuen Fenster geöffnet.</t>
        </is>
      </c>
      <c r="F61" s="12" t="inlineStr">
        <is>
          <t>ja</t>
        </is>
      </c>
      <c r="G61" s="12" t="inlineStr">
        <is>
          <t>https://www.muenchenstein.ch/archivgemeindeversammlung</t>
        </is>
      </c>
      <c r="H61" s="12" t="inlineStr">
        <is>
          <t>Unterseite</t>
        </is>
      </c>
      <c r="I61" s="12" t="inlineStr">
        <is>
          <t>Nein</t>
        </is>
      </c>
      <c r="J61" s="12" t="inlineStr">
        <is>
          <t>Ungeprüft – nicht kuratiert</t>
        </is>
      </c>
    </row>
    <row r="62">
      <c r="A62" s="12" t="inlineStr">
        <is>
          <t>Münchenstein</t>
        </is>
      </c>
      <c r="B62" s="12" t="inlineStr">
        <is>
          <t>Basel-Landschaft</t>
        </is>
      </c>
      <c r="C62" s="12" t="inlineStr">
        <is>
          <t>C5</t>
        </is>
      </c>
      <c r="D62" s="16" t="inlineStr">
        <is>
          <t>http://www.gemeinden-web.ch/gemeinden/muenchensteinneu/dl.php/de/0d1e8-4szbws/GV_protokolle_1981_comp.pdf</t>
        </is>
      </c>
      <c r="E62" s="12" t="inlineStr">
        <is>
          <t>hier klicken Externer Link wird in einem neuen Fenster geöffnet.</t>
        </is>
      </c>
      <c r="F62" s="12" t="inlineStr">
        <is>
          <t>ja</t>
        </is>
      </c>
      <c r="G62" s="12" t="inlineStr">
        <is>
          <t>https://www.muenchenstein.ch/archivgemeindeversammlung</t>
        </is>
      </c>
      <c r="H62" s="12" t="inlineStr">
        <is>
          <t>Unterseite</t>
        </is>
      </c>
      <c r="I62" s="12" t="inlineStr">
        <is>
          <t>Nein</t>
        </is>
      </c>
      <c r="J62" s="12" t="inlineStr">
        <is>
          <t>Ungeprüft – nicht kuratiert</t>
        </is>
      </c>
    </row>
    <row r="63">
      <c r="A63" s="12" t="inlineStr">
        <is>
          <t>Münchenstein</t>
        </is>
      </c>
      <c r="B63" s="12" t="inlineStr">
        <is>
          <t>Basel-Landschaft</t>
        </is>
      </c>
      <c r="C63" s="12" t="inlineStr">
        <is>
          <t>C5</t>
        </is>
      </c>
      <c r="D63" s="16" t="inlineStr">
        <is>
          <t>http://www.gemeinden-web.ch/gemeinden/muenchensteinneu/dl.php/de/0d1e8-71hwhu/GV_protokolle_1982_comp.pdf</t>
        </is>
      </c>
      <c r="E63" s="12" t="inlineStr">
        <is>
          <t>hier klicken Externer Link wird in einem neuen Fenster geöffnet.</t>
        </is>
      </c>
      <c r="F63" s="12" t="inlineStr">
        <is>
          <t>ja</t>
        </is>
      </c>
      <c r="G63" s="12" t="inlineStr">
        <is>
          <t>https://www.muenchenstein.ch/archivgemeindeversammlung</t>
        </is>
      </c>
      <c r="H63" s="12" t="inlineStr">
        <is>
          <t>Unterseite</t>
        </is>
      </c>
      <c r="I63" s="12" t="inlineStr">
        <is>
          <t>Nein</t>
        </is>
      </c>
      <c r="J63" s="12" t="inlineStr">
        <is>
          <t>Ungeprüft – nicht kuratiert</t>
        </is>
      </c>
    </row>
    <row r="64">
      <c r="A64" s="12" t="inlineStr">
        <is>
          <t>Münchenstein</t>
        </is>
      </c>
      <c r="B64" s="12" t="inlineStr">
        <is>
          <t>Basel-Landschaft</t>
        </is>
      </c>
      <c r="C64" s="12" t="inlineStr">
        <is>
          <t>C5</t>
        </is>
      </c>
      <c r="D64" s="16" t="inlineStr">
        <is>
          <t>http://www.gemeinden-web.ch/gemeinden/muenchensteinneu/dl.php/de/0d1e8-8jl6d1/GV_protokolle_1983_comp.pdf</t>
        </is>
      </c>
      <c r="E64" s="12" t="inlineStr">
        <is>
          <t>hier klicken Externer Link wird in einem neuen Fenster geöffnet.</t>
        </is>
      </c>
      <c r="F64" s="12" t="inlineStr">
        <is>
          <t>ja</t>
        </is>
      </c>
      <c r="G64" s="12" t="inlineStr">
        <is>
          <t>https://www.muenchenstein.ch/archivgemeindeversammlung</t>
        </is>
      </c>
      <c r="H64" s="12" t="inlineStr">
        <is>
          <t>Unterseite</t>
        </is>
      </c>
      <c r="I64" s="12" t="inlineStr">
        <is>
          <t>Nein</t>
        </is>
      </c>
      <c r="J64" s="12" t="inlineStr">
        <is>
          <t>Ungeprüft – nicht kuratiert</t>
        </is>
      </c>
    </row>
    <row r="65">
      <c r="A65" s="12" t="inlineStr">
        <is>
          <t>Münchenstein</t>
        </is>
      </c>
      <c r="B65" s="12" t="inlineStr">
        <is>
          <t>Basel-Landschaft</t>
        </is>
      </c>
      <c r="C65" s="12" t="inlineStr">
        <is>
          <t>C5</t>
        </is>
      </c>
      <c r="D65" s="16" t="inlineStr">
        <is>
          <t>http://www.gemeinden-web.ch/gemeinden/muenchensteinneu/dl.php/de/0d1e8-9v1kex/GV_protokolle_1984_comp.pdf</t>
        </is>
      </c>
      <c r="E65" s="12" t="inlineStr">
        <is>
          <t>hier klicken Externer Link wird in einem neuen Fenster geöffnet.</t>
        </is>
      </c>
      <c r="F65" s="12" t="inlineStr">
        <is>
          <t>ja</t>
        </is>
      </c>
      <c r="G65" s="12" t="inlineStr">
        <is>
          <t>https://www.muenchenstein.ch/archivgemeindeversammlung</t>
        </is>
      </c>
      <c r="H65" s="12" t="inlineStr">
        <is>
          <t>Unterseite</t>
        </is>
      </c>
      <c r="I65" s="12" t="inlineStr">
        <is>
          <t>Nein</t>
        </is>
      </c>
      <c r="J65" s="12" t="inlineStr">
        <is>
          <t>Ungeprüft – nicht kuratiert</t>
        </is>
      </c>
    </row>
    <row r="66">
      <c r="A66" s="12" t="inlineStr">
        <is>
          <t>Münchenstein</t>
        </is>
      </c>
      <c r="B66" s="12" t="inlineStr">
        <is>
          <t>Basel-Landschaft</t>
        </is>
      </c>
      <c r="C66" s="12" t="inlineStr">
        <is>
          <t>C5</t>
        </is>
      </c>
      <c r="D66" s="16" t="inlineStr">
        <is>
          <t>http://www.gemeinden-web.ch/gemeinden/muenchensteinneu/dl.php/de/0d1e8-b5p2nm/GV_protokolle_1985_comp.pdf</t>
        </is>
      </c>
      <c r="E66" s="12" t="inlineStr">
        <is>
          <t>hier klicken Externer Link wird in einem neuen Fenster geöffnet.</t>
        </is>
      </c>
      <c r="F66" s="12" t="inlineStr">
        <is>
          <t>ja</t>
        </is>
      </c>
      <c r="G66" s="12" t="inlineStr">
        <is>
          <t>https://www.muenchenstein.ch/archivgemeindeversammlung</t>
        </is>
      </c>
      <c r="H66" s="12" t="inlineStr">
        <is>
          <t>Unterseite</t>
        </is>
      </c>
      <c r="I66" s="12" t="inlineStr">
        <is>
          <t>Nein</t>
        </is>
      </c>
      <c r="J66" s="12" t="inlineStr">
        <is>
          <t>Ungeprüft – nicht kuratiert</t>
        </is>
      </c>
    </row>
    <row r="67">
      <c r="A67" s="12" t="inlineStr">
        <is>
          <t>Münchenstein</t>
        </is>
      </c>
      <c r="B67" s="12" t="inlineStr">
        <is>
          <t>Basel-Landschaft</t>
        </is>
      </c>
      <c r="C67" s="12" t="inlineStr">
        <is>
          <t>C5</t>
        </is>
      </c>
      <c r="D67" s="16" t="inlineStr">
        <is>
          <t>http://www.gemeinden-web.ch/gemeinden/muenchensteinneu/dl.php/de/0d1e8-cjnxsf/GV_protokolle_1986_comp.pdf</t>
        </is>
      </c>
      <c r="E67" s="12" t="inlineStr">
        <is>
          <t>hier klicken Externer Link wird in einem neuen Fenster geöffnet.</t>
        </is>
      </c>
      <c r="F67" s="12" t="inlineStr">
        <is>
          <t>ja</t>
        </is>
      </c>
      <c r="G67" s="12" t="inlineStr">
        <is>
          <t>https://www.muenchenstein.ch/archivgemeindeversammlung</t>
        </is>
      </c>
      <c r="H67" s="12" t="inlineStr">
        <is>
          <t>Unterseite</t>
        </is>
      </c>
      <c r="I67" s="12" t="inlineStr">
        <is>
          <t>Nein</t>
        </is>
      </c>
      <c r="J67" s="12" t="inlineStr">
        <is>
          <t>Ungeprüft – nicht kuratiert</t>
        </is>
      </c>
    </row>
    <row r="68">
      <c r="A68" s="12" t="inlineStr">
        <is>
          <t>Münchenstein</t>
        </is>
      </c>
      <c r="B68" s="12" t="inlineStr">
        <is>
          <t>Basel-Landschaft</t>
        </is>
      </c>
      <c r="C68" s="12" t="inlineStr">
        <is>
          <t>C5</t>
        </is>
      </c>
      <c r="D68" s="16" t="inlineStr">
        <is>
          <t>http://www.gemeinden-web.ch/gemeinden/muenchensteinneu/dl.php/de/0d1e8-df6qce/GV_protokolle_1987_comp.pdf</t>
        </is>
      </c>
      <c r="E68" s="12" t="inlineStr">
        <is>
          <t>hier klicken Externer Link wird in einem neuen Fenster geöffnet.</t>
        </is>
      </c>
      <c r="F68" s="12" t="inlineStr">
        <is>
          <t>ja</t>
        </is>
      </c>
      <c r="G68" s="12" t="inlineStr">
        <is>
          <t>https://www.muenchenstein.ch/archivgemeindeversammlung</t>
        </is>
      </c>
      <c r="H68" s="12" t="inlineStr">
        <is>
          <t>Unterseite</t>
        </is>
      </c>
      <c r="I68" s="12" t="inlineStr">
        <is>
          <t>Nein</t>
        </is>
      </c>
      <c r="J68" s="12" t="inlineStr">
        <is>
          <t>Ungeprüft – nicht kuratiert</t>
        </is>
      </c>
    </row>
    <row r="69">
      <c r="A69" s="12" t="inlineStr">
        <is>
          <t>Münchenstein</t>
        </is>
      </c>
      <c r="B69" s="12" t="inlineStr">
        <is>
          <t>Basel-Landschaft</t>
        </is>
      </c>
      <c r="C69" s="12" t="inlineStr">
        <is>
          <t>C5</t>
        </is>
      </c>
      <c r="D69" s="16" t="inlineStr">
        <is>
          <t>http://www.gemeinden-web.ch/gemeinden/muenchensteinneu/dl.php/de/0d1e8-eyr1rh/GV_protokolle_1988_comp.pdf</t>
        </is>
      </c>
      <c r="E69" s="12" t="inlineStr">
        <is>
          <t>hier klicken Externer Link wird in einem neuen Fenster geöffnet.</t>
        </is>
      </c>
      <c r="F69" s="12" t="inlineStr">
        <is>
          <t>ja</t>
        </is>
      </c>
      <c r="G69" s="12" t="inlineStr">
        <is>
          <t>https://www.muenchenstein.ch/archivgemeindeversammlung</t>
        </is>
      </c>
      <c r="H69" s="12" t="inlineStr">
        <is>
          <t>Unterseite</t>
        </is>
      </c>
      <c r="I69" s="12" t="inlineStr">
        <is>
          <t>Nein</t>
        </is>
      </c>
      <c r="J69" s="12" t="inlineStr">
        <is>
          <t>Ungeprüft – nicht kuratiert</t>
        </is>
      </c>
    </row>
    <row r="70">
      <c r="A70" s="12" t="inlineStr">
        <is>
          <t>Münchenstein</t>
        </is>
      </c>
      <c r="B70" s="12" t="inlineStr">
        <is>
          <t>Basel-Landschaft</t>
        </is>
      </c>
      <c r="C70" s="12" t="inlineStr">
        <is>
          <t>C5</t>
        </is>
      </c>
      <c r="D70" s="16" t="inlineStr">
        <is>
          <t>http://www.gemeinden-web.ch/gemeinden/muenchensteinneu/dl.php/de/0d1e8-gd1589/GV_protokolle_1989_comp.pdf</t>
        </is>
      </c>
      <c r="E70" s="12" t="inlineStr">
        <is>
          <t>hier klicken Externer Link wird in einem neuen Fenster geöffnet.</t>
        </is>
      </c>
      <c r="F70" s="12" t="inlineStr">
        <is>
          <t>ja</t>
        </is>
      </c>
      <c r="G70" s="12" t="inlineStr">
        <is>
          <t>https://www.muenchenstein.ch/archivgemeindeversammlung</t>
        </is>
      </c>
      <c r="H70" s="12" t="inlineStr">
        <is>
          <t>Unterseite</t>
        </is>
      </c>
      <c r="I70" s="12" t="inlineStr">
        <is>
          <t>Nein</t>
        </is>
      </c>
      <c r="J70" s="12" t="inlineStr">
        <is>
          <t>Ungeprüft – nicht kuratiert</t>
        </is>
      </c>
    </row>
    <row r="71">
      <c r="A71" s="12" t="inlineStr">
        <is>
          <t>Münchenstein</t>
        </is>
      </c>
      <c r="B71" s="12" t="inlineStr">
        <is>
          <t>Basel-Landschaft</t>
        </is>
      </c>
      <c r="C71" s="12" t="inlineStr">
        <is>
          <t>C5</t>
        </is>
      </c>
      <c r="D71" s="16" t="inlineStr">
        <is>
          <t>http://www.gemeinden-web.ch/gemeinden/muenchensteinneu/dl.php/de/0d1e8-hdohhc/GV_protokolle_1990_comp.pdf</t>
        </is>
      </c>
      <c r="E71" s="12" t="inlineStr">
        <is>
          <t>hier klicken Externer Link wird in einem neuen Fenster geöffnet.</t>
        </is>
      </c>
      <c r="F71" s="12" t="inlineStr">
        <is>
          <t>ja</t>
        </is>
      </c>
      <c r="G71" s="12" t="inlineStr">
        <is>
          <t>https://www.muenchenstein.ch/archivgemeindeversammlung</t>
        </is>
      </c>
      <c r="H71" s="12" t="inlineStr">
        <is>
          <t>Unterseite</t>
        </is>
      </c>
      <c r="I71" s="12" t="inlineStr">
        <is>
          <t>Nein</t>
        </is>
      </c>
      <c r="J71" s="12" t="inlineStr">
        <is>
          <t>Ungeprüft – nicht kuratiert</t>
        </is>
      </c>
    </row>
    <row r="72">
      <c r="A72" s="12" t="inlineStr">
        <is>
          <t>Münchenstein</t>
        </is>
      </c>
      <c r="B72" s="12" t="inlineStr">
        <is>
          <t>Basel-Landschaft</t>
        </is>
      </c>
      <c r="C72" s="12" t="inlineStr">
        <is>
          <t>C5</t>
        </is>
      </c>
      <c r="D72" s="16" t="inlineStr">
        <is>
          <t>http://www.gemeinden-web.ch/gemeinden/muenchensteinneu/dl.php/de/0d1e8-j9jdyb/GV_protokolle_1991_comp.pdf</t>
        </is>
      </c>
      <c r="E72" s="12" t="inlineStr">
        <is>
          <t>hier klicken Externer Link wird in einem neuen Fenster geöffnet.</t>
        </is>
      </c>
      <c r="F72" s="12" t="inlineStr">
        <is>
          <t>ja</t>
        </is>
      </c>
      <c r="G72" s="12" t="inlineStr">
        <is>
          <t>https://www.muenchenstein.ch/archivgemeindeversammlung</t>
        </is>
      </c>
      <c r="H72" s="12" t="inlineStr">
        <is>
          <t>Unterseite</t>
        </is>
      </c>
      <c r="I72" s="12" t="inlineStr">
        <is>
          <t>Nein</t>
        </is>
      </c>
      <c r="J72" s="12" t="inlineStr">
        <is>
          <t>Ungeprüft – nicht kuratiert</t>
        </is>
      </c>
    </row>
    <row r="73">
      <c r="A73" s="12" t="inlineStr">
        <is>
          <t>Münchenstein</t>
        </is>
      </c>
      <c r="B73" s="12" t="inlineStr">
        <is>
          <t>Basel-Landschaft</t>
        </is>
      </c>
      <c r="C73" s="12" t="inlineStr">
        <is>
          <t>C5</t>
        </is>
      </c>
      <c r="D73" s="16" t="inlineStr">
        <is>
          <t>http://www.gemeinden-web.ch/gemeinden/muenchensteinneu/dl.php/de/0d1e8-lc0dq8/GV_protokolle_1992_comp.pdf</t>
        </is>
      </c>
      <c r="E73" s="12" t="inlineStr">
        <is>
          <t>hier klicken Externer Link wird in einem neuen Fenster geöffnet.</t>
        </is>
      </c>
      <c r="F73" s="12" t="inlineStr">
        <is>
          <t>ja</t>
        </is>
      </c>
      <c r="G73" s="12" t="inlineStr">
        <is>
          <t>https://www.muenchenstein.ch/archivgemeindeversammlung</t>
        </is>
      </c>
      <c r="H73" s="12" t="inlineStr">
        <is>
          <t>Unterseite</t>
        </is>
      </c>
      <c r="I73" s="12" t="inlineStr">
        <is>
          <t>Nein</t>
        </is>
      </c>
      <c r="J73" s="12" t="inlineStr">
        <is>
          <t>Ungeprüft – nicht kuratiert</t>
        </is>
      </c>
    </row>
    <row r="74">
      <c r="A74" s="12" t="inlineStr">
        <is>
          <t>Münchenstein</t>
        </is>
      </c>
      <c r="B74" s="12" t="inlineStr">
        <is>
          <t>Basel-Landschaft</t>
        </is>
      </c>
      <c r="C74" s="12" t="inlineStr">
        <is>
          <t>C5</t>
        </is>
      </c>
      <c r="D74" s="16" t="inlineStr">
        <is>
          <t>http://www.gemeinden-web.ch/gemeinden/muenchensteinneu/dl.php/de/0d1e8-myocr7/GV_protokolle_1993_comp.pdf</t>
        </is>
      </c>
      <c r="E74" s="12" t="inlineStr">
        <is>
          <t>hier klicken Externer Link wird in einem neuen Fenster geöffnet.</t>
        </is>
      </c>
      <c r="F74" s="12" t="inlineStr">
        <is>
          <t>ja</t>
        </is>
      </c>
      <c r="G74" s="12" t="inlineStr">
        <is>
          <t>https://www.muenchenstein.ch/archivgemeindeversammlung</t>
        </is>
      </c>
      <c r="H74" s="12" t="inlineStr">
        <is>
          <t>Unterseite</t>
        </is>
      </c>
      <c r="I74" s="12" t="inlineStr">
        <is>
          <t>Nein</t>
        </is>
      </c>
      <c r="J74" s="12" t="inlineStr">
        <is>
          <t>Ungeprüft – nicht kuratiert</t>
        </is>
      </c>
    </row>
    <row r="75">
      <c r="A75" s="12" t="inlineStr">
        <is>
          <t>Münchenstein</t>
        </is>
      </c>
      <c r="B75" s="12" t="inlineStr">
        <is>
          <t>Basel-Landschaft</t>
        </is>
      </c>
      <c r="C75" s="12" t="inlineStr">
        <is>
          <t>C5</t>
        </is>
      </c>
      <c r="D75" s="16" t="inlineStr">
        <is>
          <t>http://www.gemeinden-web.ch/gemeinden/muenchensteinneu/dl.php/de/0d1e8-o7boti/GV_protokolle_1994_comp.pdf</t>
        </is>
      </c>
      <c r="E75" s="12" t="inlineStr">
        <is>
          <t>hier klicken Externer Link wird in einem neuen Fenster geöffnet.</t>
        </is>
      </c>
      <c r="F75" s="12" t="inlineStr">
        <is>
          <t>ja</t>
        </is>
      </c>
      <c r="G75" s="12" t="inlineStr">
        <is>
          <t>https://www.muenchenstein.ch/archivgemeindeversammlung</t>
        </is>
      </c>
      <c r="H75" s="12" t="inlineStr">
        <is>
          <t>Unterseite</t>
        </is>
      </c>
      <c r="I75" s="12" t="inlineStr">
        <is>
          <t>Nein</t>
        </is>
      </c>
      <c r="J75" s="12" t="inlineStr">
        <is>
          <t>Ungeprüft – nicht kuratiert</t>
        </is>
      </c>
    </row>
    <row r="76">
      <c r="A76" s="12" t="inlineStr">
        <is>
          <t>Münchenstein</t>
        </is>
      </c>
      <c r="B76" s="12" t="inlineStr">
        <is>
          <t>Basel-Landschaft</t>
        </is>
      </c>
      <c r="C76" s="12" t="inlineStr">
        <is>
          <t>C5</t>
        </is>
      </c>
      <c r="D76" s="16" t="inlineStr">
        <is>
          <t>http://www.gemeinden-web.ch/gemeinden/muenchensteinneu/dl.php/de/0d1e8-pbuec4/GV_protokolle_1995_comp.pdf</t>
        </is>
      </c>
      <c r="E76" s="12" t="inlineStr">
        <is>
          <t>hier klicken Externer Link wird in einem neuen Fenster geöffnet.</t>
        </is>
      </c>
      <c r="F76" s="12" t="inlineStr">
        <is>
          <t>ja</t>
        </is>
      </c>
      <c r="G76" s="12" t="inlineStr">
        <is>
          <t>https://www.muenchenstein.ch/archivgemeindeversammlung</t>
        </is>
      </c>
      <c r="H76" s="12" t="inlineStr">
        <is>
          <t>Unterseite</t>
        </is>
      </c>
      <c r="I76" s="12" t="inlineStr">
        <is>
          <t>Nein</t>
        </is>
      </c>
      <c r="J76" s="12" t="inlineStr">
        <is>
          <t>Ungeprüft – nicht kuratiert</t>
        </is>
      </c>
    </row>
    <row r="77">
      <c r="A77" s="12" t="inlineStr">
        <is>
          <t>Münchenstein</t>
        </is>
      </c>
      <c r="B77" s="12" t="inlineStr">
        <is>
          <t>Basel-Landschaft</t>
        </is>
      </c>
      <c r="C77" s="12" t="inlineStr">
        <is>
          <t>C5</t>
        </is>
      </c>
      <c r="D77" s="16" t="inlineStr">
        <is>
          <t>http://www.gemeinden-web.ch/gemeinden/muenchensteinneu/dl.php/de/0d1e8-qy63zu/GV_protokolle_1996_comp.pdf</t>
        </is>
      </c>
      <c r="E77" s="12" t="inlineStr">
        <is>
          <t>hier klicken Externer Link wird in einem neuen Fenster geöffnet.</t>
        </is>
      </c>
      <c r="F77" s="12" t="inlineStr">
        <is>
          <t>ja</t>
        </is>
      </c>
      <c r="G77" s="12" t="inlineStr">
        <is>
          <t>https://www.muenchenstein.ch/archivgemeindeversammlung</t>
        </is>
      </c>
      <c r="H77" s="12" t="inlineStr">
        <is>
          <t>Unterseite</t>
        </is>
      </c>
      <c r="I77" s="12" t="inlineStr">
        <is>
          <t>Nein</t>
        </is>
      </c>
      <c r="J77" s="12" t="inlineStr">
        <is>
          <t>Ungeprüft – nicht kuratiert</t>
        </is>
      </c>
    </row>
    <row r="78">
      <c r="A78" s="12" t="inlineStr">
        <is>
          <t>Münchenstein</t>
        </is>
      </c>
      <c r="B78" s="12" t="inlineStr">
        <is>
          <t>Basel-Landschaft</t>
        </is>
      </c>
      <c r="C78" s="12" t="inlineStr">
        <is>
          <t>C5</t>
        </is>
      </c>
      <c r="D78" s="16" t="inlineStr">
        <is>
          <t>http://www.gemeinden-web.ch/gemeinden/muenchensteinneu/dl.php/de/0d1e8-sf3v42/GV_protokolle_1997_comp.pdf</t>
        </is>
      </c>
      <c r="E78" s="12" t="inlineStr">
        <is>
          <t>hier klicken Externer Link wird in einem neuen Fenster geöffnet.</t>
        </is>
      </c>
      <c r="F78" s="12" t="inlineStr">
        <is>
          <t>ja</t>
        </is>
      </c>
      <c r="G78" s="12" t="inlineStr">
        <is>
          <t>https://www.muenchenstein.ch/archivgemeindeversammlung</t>
        </is>
      </c>
      <c r="H78" s="12" t="inlineStr">
        <is>
          <t>Unterseite</t>
        </is>
      </c>
      <c r="I78" s="12" t="inlineStr">
        <is>
          <t>Nein</t>
        </is>
      </c>
      <c r="J78" s="12" t="inlineStr">
        <is>
          <t>Ungeprüft – nicht kuratiert</t>
        </is>
      </c>
    </row>
    <row r="79">
      <c r="A79" s="12" t="inlineStr">
        <is>
          <t>Münchenstein</t>
        </is>
      </c>
      <c r="B79" s="12" t="inlineStr">
        <is>
          <t>Basel-Landschaft</t>
        </is>
      </c>
      <c r="C79" s="12" t="inlineStr">
        <is>
          <t>C5</t>
        </is>
      </c>
      <c r="D79" s="16" t="inlineStr">
        <is>
          <t>https://www.muenchenstein.ch/_doc/5399731</t>
        </is>
      </c>
      <c r="E79" s="12" t="inlineStr">
        <is>
          <t>Ratschlag Gemeindeversammlung Montag, 16. Dezember 2024</t>
        </is>
      </c>
      <c r="F79" s="12" t="inlineStr">
        <is>
          <t>nein</t>
        </is>
      </c>
      <c r="G79" s="12" t="inlineStr">
        <is>
          <t>https://www.muenchenstein.ch/sitzung/5729125</t>
        </is>
      </c>
      <c r="H79" s="12" t="inlineStr">
        <is>
          <t>Einstiegsseite</t>
        </is>
      </c>
      <c r="I79" s="12" t="inlineStr">
        <is>
          <t>Nein</t>
        </is>
      </c>
      <c r="J79" s="12" t="inlineStr">
        <is>
          <t>Ungeprüft – nicht kuratiert</t>
        </is>
      </c>
    </row>
    <row r="80">
      <c r="A80" s="12" t="inlineStr">
        <is>
          <t>Münchenstein</t>
        </is>
      </c>
      <c r="B80" s="12" t="inlineStr">
        <is>
          <t>Basel-Landschaft</t>
        </is>
      </c>
      <c r="C80" s="12" t="inlineStr">
        <is>
          <t>C5</t>
        </is>
      </c>
      <c r="D80" s="16" t="inlineStr">
        <is>
          <t>https://www.muenchenstein.ch/_doc/6049465</t>
        </is>
      </c>
      <c r="E80" s="12" t="inlineStr">
        <is>
          <t>Protokoll Gemeindeversammlung 16. Dezember 2024</t>
        </is>
      </c>
      <c r="F80" s="12" t="inlineStr">
        <is>
          <t>nein</t>
        </is>
      </c>
      <c r="G80" s="12" t="inlineStr">
        <is>
          <t>https://www.muenchenstein.ch/sitzung/5729125</t>
        </is>
      </c>
      <c r="H80" s="12" t="inlineStr">
        <is>
          <t>Einstiegsseite</t>
        </is>
      </c>
      <c r="I80" s="12" t="inlineStr">
        <is>
          <t>Nein</t>
        </is>
      </c>
      <c r="J80" s="12" t="inlineStr">
        <is>
          <t>Ungeprüft – nicht kuratiert</t>
        </is>
      </c>
    </row>
    <row r="81">
      <c r="A81" s="12" t="inlineStr">
        <is>
          <t>Münchenstein</t>
        </is>
      </c>
      <c r="B81" s="12" t="inlineStr">
        <is>
          <t>Basel-Landschaft</t>
        </is>
      </c>
      <c r="C81" s="12" t="inlineStr">
        <is>
          <t>C5</t>
        </is>
      </c>
      <c r="D81" s="16" t="inlineStr">
        <is>
          <t>https://www.muenchenstein.ch/_doc/6311407</t>
        </is>
      </c>
      <c r="E81" s="12" t="inlineStr">
        <is>
          <t>Ratschlag Gemeindeversammlung vom Montag, 8. Dezember 2025</t>
        </is>
      </c>
      <c r="F81" s="12" t="inlineStr">
        <is>
          <t>nein</t>
        </is>
      </c>
      <c r="G81" s="12" t="inlineStr">
        <is>
          <t>https://www.muenchenstein.ch/sitzung/5729137</t>
        </is>
      </c>
      <c r="H81" s="12" t="inlineStr">
        <is>
          <t>Einstiegsseite</t>
        </is>
      </c>
      <c r="I81" s="12" t="inlineStr">
        <is>
          <t>Nein</t>
        </is>
      </c>
      <c r="J81" s="12" t="inlineStr">
        <is>
          <t>Ungeprüft – nicht kuratiert</t>
        </is>
      </c>
    </row>
    <row r="82">
      <c r="A82" s="12" t="inlineStr">
        <is>
          <t>Münchenstein</t>
        </is>
      </c>
      <c r="B82" s="12" t="inlineStr">
        <is>
          <t>Basel-Landschaft</t>
        </is>
      </c>
      <c r="C82" s="12" t="inlineStr">
        <is>
          <t>C5</t>
        </is>
      </c>
      <c r="D82" s="16" t="inlineStr">
        <is>
          <t>https://www.muenchenstein.ch/_rte/abstimmung/101974</t>
        </is>
      </c>
      <c r="E82" s="12" t="inlineStr">
        <is>
          <t>Bausparinitiative</t>
        </is>
      </c>
      <c r="F82" s="12" t="inlineStr">
        <is>
          <t>nein</t>
        </is>
      </c>
      <c r="G82" s="12" t="inlineStr">
        <is>
          <t>https://www.muenchenstein.ch/abstimmungen/vorlagen</t>
        </is>
      </c>
      <c r="H82" s="12" t="inlineStr">
        <is>
          <t>Unterseite</t>
        </is>
      </c>
      <c r="I82" s="12" t="inlineStr">
        <is>
          <t>Nein</t>
        </is>
      </c>
      <c r="J82" s="12" t="inlineStr">
        <is>
          <t>Ungeprüft – nicht kuratiert</t>
        </is>
      </c>
    </row>
    <row r="83">
      <c r="A83" s="12" t="inlineStr">
        <is>
          <t>Münchenstein</t>
        </is>
      </c>
      <c r="B83" s="12" t="inlineStr">
        <is>
          <t>Basel-Landschaft</t>
        </is>
      </c>
      <c r="C83" s="12" t="inlineStr">
        <is>
          <t>C5</t>
        </is>
      </c>
      <c r="D83" s="16" t="inlineStr">
        <is>
          <t>https://www.muenchenstein.ch/_rte/abstimmung/101975</t>
        </is>
      </c>
      <c r="E83" s="12" t="inlineStr">
        <is>
          <t>Initiative "Staatsverträge vors Volk!"</t>
        </is>
      </c>
      <c r="F83" s="12" t="inlineStr">
        <is>
          <t>nein</t>
        </is>
      </c>
      <c r="G83" s="12" t="inlineStr">
        <is>
          <t>https://www.muenchenstein.ch/abstimmungen/vorlagen</t>
        </is>
      </c>
      <c r="H83" s="12" t="inlineStr">
        <is>
          <t>Unterseite</t>
        </is>
      </c>
      <c r="I83" s="12" t="inlineStr">
        <is>
          <t>Nein</t>
        </is>
      </c>
      <c r="J83" s="12" t="inlineStr">
        <is>
          <t>Ungeprüft – nicht kuratiert</t>
        </is>
      </c>
    </row>
    <row r="84">
      <c r="A84" s="12" t="inlineStr">
        <is>
          <t>Münchenstein</t>
        </is>
      </c>
      <c r="B84" s="12" t="inlineStr">
        <is>
          <t>Basel-Landschaft</t>
        </is>
      </c>
      <c r="C84" s="12" t="inlineStr">
        <is>
          <t>C5</t>
        </is>
      </c>
      <c r="D84" s="16" t="inlineStr">
        <is>
          <t>https://www.muenchenstein.ch/_rte/abstimmung/101976</t>
        </is>
      </c>
      <c r="E84" s="12" t="inlineStr">
        <is>
          <t>Managed Care</t>
        </is>
      </c>
      <c r="F84" s="12" t="inlineStr">
        <is>
          <t>nein</t>
        </is>
      </c>
      <c r="G84" s="12" t="inlineStr">
        <is>
          <t>https://www.muenchenstein.ch/abstimmungen/vorlagen</t>
        </is>
      </c>
      <c r="H84" s="12" t="inlineStr">
        <is>
          <t>Unterseite</t>
        </is>
      </c>
      <c r="I84" s="12" t="inlineStr">
        <is>
          <t>Nein</t>
        </is>
      </c>
      <c r="J84" s="12" t="inlineStr">
        <is>
          <t>Ungeprüft – nicht kuratiert</t>
        </is>
      </c>
    </row>
    <row r="85">
      <c r="A85" s="12" t="inlineStr">
        <is>
          <t>Münchenstein</t>
        </is>
      </c>
      <c r="B85" s="12" t="inlineStr">
        <is>
          <t>Basel-Landschaft</t>
        </is>
      </c>
      <c r="C85" s="12" t="inlineStr">
        <is>
          <t>C5</t>
        </is>
      </c>
      <c r="D85" s="16" t="inlineStr">
        <is>
          <t>https://www.muenchenstein.ch/_rte/abstimmung/101978</t>
        </is>
      </c>
      <c r="E85" s="12" t="inlineStr">
        <is>
          <t>Änderung der Kantonsverfassung über die Organisation der Gerichte</t>
        </is>
      </c>
      <c r="F85" s="12" t="inlineStr">
        <is>
          <t>nein</t>
        </is>
      </c>
      <c r="G85" s="12" t="inlineStr">
        <is>
          <t>https://www.muenchenstein.ch/abstimmungen/vorlagen</t>
        </is>
      </c>
      <c r="H85" s="12" t="inlineStr">
        <is>
          <t>Unterseite</t>
        </is>
      </c>
      <c r="I85" s="12" t="inlineStr">
        <is>
          <t>Nein</t>
        </is>
      </c>
      <c r="J85" s="12" t="inlineStr">
        <is>
          <t>Ungeprüft – nicht kuratiert</t>
        </is>
      </c>
    </row>
    <row r="86">
      <c r="A86" s="12" t="inlineStr">
        <is>
          <t>Münchenstein</t>
        </is>
      </c>
      <c r="B86" s="12" t="inlineStr">
        <is>
          <t>Basel-Landschaft</t>
        </is>
      </c>
      <c r="C86" s="12" t="inlineStr">
        <is>
          <t>C5</t>
        </is>
      </c>
      <c r="D86" s="16" t="inlineStr">
        <is>
          <t>https://www.muenchenstein.ch/_rte/abstimmung/101979</t>
        </is>
      </c>
      <c r="E86" s="12" t="inlineStr">
        <is>
          <t>Änderung der Kantonsverfassung über die Reorganisation der Behörden im Zivilrecht</t>
        </is>
      </c>
      <c r="F86" s="12" t="inlineStr">
        <is>
          <t>nein</t>
        </is>
      </c>
      <c r="G86" s="12" t="inlineStr">
        <is>
          <t>https://www.muenchenstein.ch/abstimmungen/vorlagen</t>
        </is>
      </c>
      <c r="H86" s="12" t="inlineStr">
        <is>
          <t>Unterseite</t>
        </is>
      </c>
      <c r="I86" s="12" t="inlineStr">
        <is>
          <t>Nein</t>
        </is>
      </c>
      <c r="J86" s="12" t="inlineStr">
        <is>
          <t>Ungeprüft – nicht kuratiert</t>
        </is>
      </c>
    </row>
    <row r="87">
      <c r="A87" s="12" t="inlineStr">
        <is>
          <t>Münchenstein</t>
        </is>
      </c>
      <c r="B87" s="12" t="inlineStr">
        <is>
          <t>Basel-Landschaft</t>
        </is>
      </c>
      <c r="C87" s="12" t="inlineStr">
        <is>
          <t>C5</t>
        </is>
      </c>
      <c r="D87" s="16" t="inlineStr">
        <is>
          <t>https://www.muenchenstein.ch/_rte/abstimmung/101980</t>
        </is>
      </c>
      <c r="E87" s="12" t="inlineStr">
        <is>
          <t>Gesetz über den Verzicht auf die Führung des Amtsnotariats und über die Reorganisation der Behörden im Zivilrecht</t>
        </is>
      </c>
      <c r="F87" s="12" t="inlineStr">
        <is>
          <t>nein</t>
        </is>
      </c>
      <c r="G87" s="12" t="inlineStr">
        <is>
          <t>https://www.muenchenstein.ch/abstimmungen/vorlagen</t>
        </is>
      </c>
      <c r="H87" s="12" t="inlineStr">
        <is>
          <t>Unterseite</t>
        </is>
      </c>
      <c r="I87" s="12" t="inlineStr">
        <is>
          <t>Nein</t>
        </is>
      </c>
      <c r="J87" s="12" t="inlineStr">
        <is>
          <t>Ungeprüft – nicht kuratiert</t>
        </is>
      </c>
    </row>
    <row r="88">
      <c r="A88" s="12" t="inlineStr">
        <is>
          <t>Münchenstein</t>
        </is>
      </c>
      <c r="B88" s="12" t="inlineStr">
        <is>
          <t>Basel-Landschaft</t>
        </is>
      </c>
      <c r="C88" s="12" t="inlineStr">
        <is>
          <t>C5</t>
        </is>
      </c>
      <c r="D88" s="16" t="inlineStr">
        <is>
          <t>https://www.muenchenstein.ch/_rte/abstimmung/105466</t>
        </is>
      </c>
      <c r="E88" s="12" t="inlineStr">
        <is>
          <t>Jugendmusikförderung</t>
        </is>
      </c>
      <c r="F88" s="12" t="inlineStr">
        <is>
          <t>nein</t>
        </is>
      </c>
      <c r="G88" s="12" t="inlineStr">
        <is>
          <t>https://www.muenchenstein.ch/abstimmungen/vorlagen</t>
        </is>
      </c>
      <c r="H88" s="12" t="inlineStr">
        <is>
          <t>Unterseite</t>
        </is>
      </c>
      <c r="I88" s="12" t="inlineStr">
        <is>
          <t>Nein</t>
        </is>
      </c>
      <c r="J88" s="12" t="inlineStr">
        <is>
          <t>Ungeprüft – nicht kuratiert</t>
        </is>
      </c>
    </row>
    <row r="89">
      <c r="A89" s="12" t="inlineStr">
        <is>
          <t>Münchenstein</t>
        </is>
      </c>
      <c r="B89" s="12" t="inlineStr">
        <is>
          <t>Basel-Landschaft</t>
        </is>
      </c>
      <c r="C89" s="12" t="inlineStr">
        <is>
          <t>C5</t>
        </is>
      </c>
      <c r="D89" s="16" t="inlineStr">
        <is>
          <t>https://www.muenchenstein.ch/_rte/abstimmung/105467</t>
        </is>
      </c>
      <c r="E89" s="12" t="inlineStr">
        <is>
          <t>Sicheres Wohnen im Alter</t>
        </is>
      </c>
      <c r="F89" s="12" t="inlineStr">
        <is>
          <t>nein</t>
        </is>
      </c>
      <c r="G89" s="12" t="inlineStr">
        <is>
          <t>https://www.muenchenstein.ch/abstimmungen/vorlagen</t>
        </is>
      </c>
      <c r="H89" s="12" t="inlineStr">
        <is>
          <t>Unterseite</t>
        </is>
      </c>
      <c r="I89" s="12" t="inlineStr">
        <is>
          <t>Nein</t>
        </is>
      </c>
      <c r="J89" s="12" t="inlineStr">
        <is>
          <t>Ungeprüft – nicht kuratiert</t>
        </is>
      </c>
    </row>
    <row r="90">
      <c r="A90" s="12" t="inlineStr">
        <is>
          <t>Münchenstein</t>
        </is>
      </c>
      <c r="B90" s="12" t="inlineStr">
        <is>
          <t>Basel-Landschaft</t>
        </is>
      </c>
      <c r="C90" s="12" t="inlineStr">
        <is>
          <t>C5</t>
        </is>
      </c>
      <c r="D90" s="16" t="inlineStr">
        <is>
          <t>https://www.muenchenstein.ch/_rte/abstimmung/105468</t>
        </is>
      </c>
      <c r="E90" s="12" t="inlineStr">
        <is>
          <t>Schutz vor Passivrauchen</t>
        </is>
      </c>
      <c r="F90" s="12" t="inlineStr">
        <is>
          <t>nein</t>
        </is>
      </c>
      <c r="G90" s="12" t="inlineStr">
        <is>
          <t>https://www.muenchenstein.ch/abstimmungen/vorlagen</t>
        </is>
      </c>
      <c r="H90" s="12" t="inlineStr">
        <is>
          <t>Unterseite</t>
        </is>
      </c>
      <c r="I90" s="12" t="inlineStr">
        <is>
          <t>Nein</t>
        </is>
      </c>
      <c r="J90" s="12" t="inlineStr">
        <is>
          <t>Ungeprüft – nicht kuratiert</t>
        </is>
      </c>
    </row>
    <row r="91">
      <c r="A91" s="12" t="inlineStr">
        <is>
          <t>Münchenstein</t>
        </is>
      </c>
      <c r="B91" s="12" t="inlineStr">
        <is>
          <t>Basel-Landschaft</t>
        </is>
      </c>
      <c r="C91" s="12" t="inlineStr">
        <is>
          <t>C5</t>
        </is>
      </c>
      <c r="D91" s="16" t="inlineStr">
        <is>
          <t>https://www.muenchenstein.ch/_rte/abstimmung/105469</t>
        </is>
      </c>
      <c r="E91" s="12" t="inlineStr">
        <is>
          <t>Formulierte Gesetzesintitiative "Schluss mit den Steuerprivilegien" und Gegenvorschlag des Regierungsrates</t>
        </is>
      </c>
      <c r="F91" s="12" t="inlineStr">
        <is>
          <t>nein</t>
        </is>
      </c>
      <c r="G91" s="12" t="inlineStr">
        <is>
          <t>https://www.muenchenstein.ch/abstimmungen/vorlagen</t>
        </is>
      </c>
      <c r="H91" s="12" t="inlineStr">
        <is>
          <t>Unterseite</t>
        </is>
      </c>
      <c r="I91" s="12" t="inlineStr">
        <is>
          <t>Nein</t>
        </is>
      </c>
      <c r="J91" s="12" t="inlineStr">
        <is>
          <t>Ungeprüft – nicht kuratiert</t>
        </is>
      </c>
    </row>
    <row r="92">
      <c r="A92" s="12" t="inlineStr">
        <is>
          <t>Münchenstein</t>
        </is>
      </c>
      <c r="B92" s="12" t="inlineStr">
        <is>
          <t>Basel-Landschaft</t>
        </is>
      </c>
      <c r="C92" s="12" t="inlineStr">
        <is>
          <t>C5</t>
        </is>
      </c>
      <c r="D92" s="16" t="inlineStr">
        <is>
          <t>https://www.muenchenstein.ch/_rte/abstimmung/108518</t>
        </is>
      </c>
      <c r="E92" s="12" t="inlineStr">
        <is>
          <t>Änderung des Tierseuchengesetzes</t>
        </is>
      </c>
      <c r="F92" s="12" t="inlineStr">
        <is>
          <t>nein</t>
        </is>
      </c>
      <c r="G92" s="12" t="inlineStr">
        <is>
          <t>https://www.muenchenstein.ch/abstimmungen/vorlagen</t>
        </is>
      </c>
      <c r="H92" s="12" t="inlineStr">
        <is>
          <t>Unterseite</t>
        </is>
      </c>
      <c r="I92" s="12" t="inlineStr">
        <is>
          <t>Nein</t>
        </is>
      </c>
      <c r="J92" s="12" t="inlineStr">
        <is>
          <t>Ungeprüft – nicht kuratiert</t>
        </is>
      </c>
    </row>
    <row r="93">
      <c r="A93" s="12" t="inlineStr">
        <is>
          <t>Münchenstein</t>
        </is>
      </c>
      <c r="B93" s="12" t="inlineStr">
        <is>
          <t>Basel-Landschaft</t>
        </is>
      </c>
      <c r="C93" s="12" t="inlineStr">
        <is>
          <t>C5</t>
        </is>
      </c>
      <c r="D93" s="16" t="inlineStr">
        <is>
          <t>https://www.muenchenstein.ch/_rte/abstimmung/108519</t>
        </is>
      </c>
      <c r="E93" s="12" t="inlineStr">
        <is>
          <t>Überfüllte Klassen reduzieren</t>
        </is>
      </c>
      <c r="F93" s="12" t="inlineStr">
        <is>
          <t>nein</t>
        </is>
      </c>
      <c r="G93" s="12" t="inlineStr">
        <is>
          <t>https://www.muenchenstein.ch/abstimmungen/vorlagen</t>
        </is>
      </c>
      <c r="H93" s="12" t="inlineStr">
        <is>
          <t>Unterseite</t>
        </is>
      </c>
      <c r="I93" s="12" t="inlineStr">
        <is>
          <t>Nein</t>
        </is>
      </c>
      <c r="J93" s="12" t="inlineStr">
        <is>
          <t>Ungeprüft – nicht kuratiert</t>
        </is>
      </c>
    </row>
    <row r="94">
      <c r="A94" s="12" t="inlineStr">
        <is>
          <t>Münchenstein</t>
        </is>
      </c>
      <c r="B94" s="12" t="inlineStr">
        <is>
          <t>Basel-Landschaft</t>
        </is>
      </c>
      <c r="C94" s="12" t="inlineStr">
        <is>
          <t>C5</t>
        </is>
      </c>
      <c r="D94" s="16" t="inlineStr">
        <is>
          <t>https://www.muenchenstein.ch/_rte/abstimmung/108520</t>
        </is>
      </c>
      <c r="E94" s="12" t="inlineStr">
        <is>
          <t>Betreuung der Schüler/-innen optimieren</t>
        </is>
      </c>
      <c r="F94" s="12" t="inlineStr">
        <is>
          <t>nein</t>
        </is>
      </c>
      <c r="G94" s="12" t="inlineStr">
        <is>
          <t>https://www.muenchenstein.ch/abstimmungen/vorlagen</t>
        </is>
      </c>
      <c r="H94" s="12" t="inlineStr">
        <is>
          <t>Unterseite</t>
        </is>
      </c>
      <c r="I94" s="12" t="inlineStr">
        <is>
          <t>Nein</t>
        </is>
      </c>
      <c r="J94" s="12" t="inlineStr">
        <is>
          <t>Ungeprüft – nicht kuratiert</t>
        </is>
      </c>
    </row>
    <row r="95">
      <c r="A95" s="12" t="inlineStr">
        <is>
          <t>Münchenstein</t>
        </is>
      </c>
      <c r="B95" s="12" t="inlineStr">
        <is>
          <t>Basel-Landschaft</t>
        </is>
      </c>
      <c r="C95" s="12" t="inlineStr">
        <is>
          <t>C5</t>
        </is>
      </c>
      <c r="D95" s="16" t="inlineStr">
        <is>
          <t>https://www.muenchenstein.ch/_rte/abstimmung/108521</t>
        </is>
      </c>
      <c r="E95" s="12" t="inlineStr">
        <is>
          <t>Keine Zwangsverschiebungen an Baselbieter Sekundarschulen</t>
        </is>
      </c>
      <c r="F95" s="12" t="inlineStr">
        <is>
          <t>nein</t>
        </is>
      </c>
      <c r="G95" s="12" t="inlineStr">
        <is>
          <t>https://www.muenchenstein.ch/abstimmungen/vorlagen</t>
        </is>
      </c>
      <c r="H95" s="12" t="inlineStr">
        <is>
          <t>Unterseite</t>
        </is>
      </c>
      <c r="I95" s="12" t="inlineStr">
        <is>
          <t>Nein</t>
        </is>
      </c>
      <c r="J95" s="12" t="inlineStr">
        <is>
          <t>Ungeprüft – nicht kuratiert</t>
        </is>
      </c>
    </row>
    <row r="96">
      <c r="A96" s="12" t="inlineStr">
        <is>
          <t>Münchenstein</t>
        </is>
      </c>
      <c r="B96" s="12" t="inlineStr">
        <is>
          <t>Basel-Landschaft</t>
        </is>
      </c>
      <c r="C96" s="12" t="inlineStr">
        <is>
          <t>C5</t>
        </is>
      </c>
      <c r="D96" s="16" t="inlineStr">
        <is>
          <t>https://www.muenchenstein.ch/_rte/abstimmung/112311</t>
        </is>
      </c>
      <c r="E96" s="12" t="inlineStr">
        <is>
          <t>Bundesbeschluss vom 15. Juni 2012 über die Familienpolitik</t>
        </is>
      </c>
      <c r="F96" s="12" t="inlineStr">
        <is>
          <t>nein</t>
        </is>
      </c>
      <c r="G96" s="12" t="inlineStr">
        <is>
          <t>https://www.muenchenstein.ch/abstimmungen/vorlagen</t>
        </is>
      </c>
      <c r="H96" s="12" t="inlineStr">
        <is>
          <t>Unterseite</t>
        </is>
      </c>
      <c r="I96" s="12" t="inlineStr">
        <is>
          <t>Nein</t>
        </is>
      </c>
      <c r="J96" s="12" t="inlineStr">
        <is>
          <t>Ungeprüft – nicht kuratiert</t>
        </is>
      </c>
    </row>
    <row r="97">
      <c r="A97" s="12" t="inlineStr">
        <is>
          <t>Münchenstein</t>
        </is>
      </c>
      <c r="B97" s="12" t="inlineStr">
        <is>
          <t>Basel-Landschaft</t>
        </is>
      </c>
      <c r="C97" s="12" t="inlineStr">
        <is>
          <t>C5</t>
        </is>
      </c>
      <c r="D97" s="16" t="inlineStr">
        <is>
          <t>https://www.muenchenstein.ch/_rte/abstimmung/112312</t>
        </is>
      </c>
      <c r="E97" s="12" t="inlineStr">
        <is>
          <t>Volksinitiative vom 26. Februar 2008 "gegen die Abzockerei"</t>
        </is>
      </c>
      <c r="F97" s="12" t="inlineStr">
        <is>
          <t>nein</t>
        </is>
      </c>
      <c r="G97" s="12" t="inlineStr">
        <is>
          <t>https://www.muenchenstein.ch/abstimmungen/vorlagen</t>
        </is>
      </c>
      <c r="H97" s="12" t="inlineStr">
        <is>
          <t>Unterseite</t>
        </is>
      </c>
      <c r="I97" s="12" t="inlineStr">
        <is>
          <t>Nein</t>
        </is>
      </c>
      <c r="J97" s="12" t="inlineStr">
        <is>
          <t>Ungeprüft – nicht kuratiert</t>
        </is>
      </c>
    </row>
    <row r="98">
      <c r="A98" s="12" t="inlineStr">
        <is>
          <t>Münchenstein</t>
        </is>
      </c>
      <c r="B98" s="12" t="inlineStr">
        <is>
          <t>Basel-Landschaft</t>
        </is>
      </c>
      <c r="C98" s="12" t="inlineStr">
        <is>
          <t>C5</t>
        </is>
      </c>
      <c r="D98" s="16" t="inlineStr">
        <is>
          <t>https://www.muenchenstein.ch/_rte/abstimmung/112313</t>
        </is>
      </c>
      <c r="E98" s="12" t="inlineStr">
        <is>
          <t>Änderung vom 15. Juni 2012 des Bundesgesetzes über die Raumplanung</t>
        </is>
      </c>
      <c r="F98" s="12" t="inlineStr">
        <is>
          <t>nein</t>
        </is>
      </c>
      <c r="G98" s="12" t="inlineStr">
        <is>
          <t>https://www.muenchenstein.ch/abstimmungen/vorlagen</t>
        </is>
      </c>
      <c r="H98" s="12" t="inlineStr">
        <is>
          <t>Unterseite</t>
        </is>
      </c>
      <c r="I98" s="12" t="inlineStr">
        <is>
          <t>Nein</t>
        </is>
      </c>
      <c r="J98" s="12" t="inlineStr">
        <is>
          <t>Ungeprüft – nicht kuratiert</t>
        </is>
      </c>
    </row>
    <row r="99">
      <c r="A99" s="12" t="inlineStr">
        <is>
          <t>Münchenstein</t>
        </is>
      </c>
      <c r="B99" s="12" t="inlineStr">
        <is>
          <t>Basel-Landschaft</t>
        </is>
      </c>
      <c r="C99" s="12" t="inlineStr">
        <is>
          <t>C5</t>
        </is>
      </c>
      <c r="D99" s="16" t="inlineStr">
        <is>
          <t>https://www.muenchenstein.ch/_rte/abstimmung/112314</t>
        </is>
      </c>
      <c r="E99" s="12" t="inlineStr">
        <is>
          <t>Änderung vom 29. November 2012 der Kantonsverfassung (Erhebung Gasttaxe)</t>
        </is>
      </c>
      <c r="F99" s="12" t="inlineStr">
        <is>
          <t>nein</t>
        </is>
      </c>
      <c r="G99" s="12" t="inlineStr">
        <is>
          <t>https://www.muenchenstein.ch/abstimmungen/vorlagen</t>
        </is>
      </c>
      <c r="H99" s="12" t="inlineStr">
        <is>
          <t>Unterseite</t>
        </is>
      </c>
      <c r="I99" s="12" t="inlineStr">
        <is>
          <t>Nein</t>
        </is>
      </c>
      <c r="J99" s="12" t="inlineStr">
        <is>
          <t>Ungeprüft – nicht kuratiert</t>
        </is>
      </c>
    </row>
    <row r="100">
      <c r="A100" s="12" t="inlineStr">
        <is>
          <t>Münchenstein</t>
        </is>
      </c>
      <c r="B100" s="12" t="inlineStr">
        <is>
          <t>Basel-Landschaft</t>
        </is>
      </c>
      <c r="C100" s="12" t="inlineStr">
        <is>
          <t>C5</t>
        </is>
      </c>
      <c r="D100" s="16" t="inlineStr">
        <is>
          <t>https://www.muenchenstein.ch/_rte/abstimmung/112315</t>
        </is>
      </c>
      <c r="E100" s="12" t="inlineStr">
        <is>
          <t>Nichtformulierte Volksinitiative vom 22. Juni 2012 "Ja zu Wildenstein und Schloss Bottmingen" und Gegenvorschlag des Regierungsrates vom 13. Dezember 2012</t>
        </is>
      </c>
      <c r="F100" s="12" t="inlineStr">
        <is>
          <t>nein</t>
        </is>
      </c>
      <c r="G100" s="12" t="inlineStr">
        <is>
          <t>https://www.muenchenstein.ch/abstimmungen/vorlagen</t>
        </is>
      </c>
      <c r="H100" s="12" t="inlineStr">
        <is>
          <t>Unterseite</t>
        </is>
      </c>
      <c r="I100" s="12" t="inlineStr">
        <is>
          <t>Nein</t>
        </is>
      </c>
      <c r="J100" s="12" t="inlineStr">
        <is>
          <t>Ungeprüft – nicht kuratiert</t>
        </is>
      </c>
    </row>
    <row r="101">
      <c r="A101" s="12" t="inlineStr">
        <is>
          <t>Münchenstein</t>
        </is>
      </c>
      <c r="B101" s="12" t="inlineStr">
        <is>
          <t>Basel-Landschaft</t>
        </is>
      </c>
      <c r="C101" s="12" t="inlineStr">
        <is>
          <t>C5</t>
        </is>
      </c>
      <c r="D101" s="16" t="inlineStr">
        <is>
          <t>https://www.muenchenstein.ch/_rte/abstimmung/115857</t>
        </is>
      </c>
      <c r="E101" s="12" t="inlineStr">
        <is>
          <t>Volkswahl des Bundesrates</t>
        </is>
      </c>
      <c r="F101" s="12" t="inlineStr">
        <is>
          <t>nein</t>
        </is>
      </c>
      <c r="G101" s="12" t="inlineStr">
        <is>
          <t>https://www.muenchenstein.ch/abstimmungen/vorlagen</t>
        </is>
      </c>
      <c r="H101" s="12" t="inlineStr">
        <is>
          <t>Unterseite</t>
        </is>
      </c>
      <c r="I101" s="12" t="inlineStr">
        <is>
          <t>Nein</t>
        </is>
      </c>
      <c r="J101" s="12" t="inlineStr">
        <is>
          <t>Ungeprüft – nicht kuratiert</t>
        </is>
      </c>
    </row>
    <row r="102">
      <c r="A102" s="12" t="inlineStr">
        <is>
          <t>Münchenstein</t>
        </is>
      </c>
      <c r="B102" s="12" t="inlineStr">
        <is>
          <t>Basel-Landschaft</t>
        </is>
      </c>
      <c r="C102" s="12" t="inlineStr">
        <is>
          <t>C5</t>
        </is>
      </c>
      <c r="D102" s="16" t="inlineStr">
        <is>
          <t>https://www.muenchenstein.ch/_rte/abstimmung/115858</t>
        </is>
      </c>
      <c r="E102" s="12" t="inlineStr">
        <is>
          <t>Dringliche Änderungen des Asylgesetzes</t>
        </is>
      </c>
      <c r="F102" s="12" t="inlineStr">
        <is>
          <t>nein</t>
        </is>
      </c>
      <c r="G102" s="12" t="inlineStr">
        <is>
          <t>https://www.muenchenstein.ch/abstimmungen/vorlagen</t>
        </is>
      </c>
      <c r="H102" s="12" t="inlineStr">
        <is>
          <t>Unterseite</t>
        </is>
      </c>
      <c r="I102" s="12" t="inlineStr">
        <is>
          <t>Nein</t>
        </is>
      </c>
      <c r="J102" s="12" t="inlineStr">
        <is>
          <t>Ungeprüft – nicht kuratiert</t>
        </is>
      </c>
    </row>
    <row r="103">
      <c r="A103" s="12" t="inlineStr">
        <is>
          <t>Münchenstein</t>
        </is>
      </c>
      <c r="B103" s="12" t="inlineStr">
        <is>
          <t>Basel-Landschaft</t>
        </is>
      </c>
      <c r="C103" s="12" t="inlineStr">
        <is>
          <t>C5</t>
        </is>
      </c>
      <c r="D103" s="16" t="inlineStr">
        <is>
          <t>https://www.muenchenstein.ch/_rte/abstimmung/115859</t>
        </is>
      </c>
      <c r="E103" s="12" t="inlineStr">
        <is>
          <t>Transparenz-Initiative</t>
        </is>
      </c>
      <c r="F103" s="12" t="inlineStr">
        <is>
          <t>nein</t>
        </is>
      </c>
      <c r="G103" s="12" t="inlineStr">
        <is>
          <t>https://www.muenchenstein.ch/abstimmungen/vorlagen</t>
        </is>
      </c>
      <c r="H103" s="12" t="inlineStr">
        <is>
          <t>Unterseite</t>
        </is>
      </c>
      <c r="I103" s="12" t="inlineStr">
        <is>
          <t>Nein</t>
        </is>
      </c>
      <c r="J103" s="12" t="inlineStr">
        <is>
          <t>Ungeprüft – nicht kuratiert</t>
        </is>
      </c>
    </row>
    <row r="104">
      <c r="A104" s="12" t="inlineStr">
        <is>
          <t>Münchenstein</t>
        </is>
      </c>
      <c r="B104" s="12" t="inlineStr">
        <is>
          <t>Basel-Landschaft</t>
        </is>
      </c>
      <c r="C104" s="12" t="inlineStr">
        <is>
          <t>C5</t>
        </is>
      </c>
      <c r="D104" s="16" t="inlineStr">
        <is>
          <t>https://www.muenchenstein.ch/_rte/abstimmung/115860</t>
        </is>
      </c>
      <c r="E104" s="12" t="inlineStr">
        <is>
          <t>Projektierungskreditvorlage Augusta Raurica</t>
        </is>
      </c>
      <c r="F104" s="12" t="inlineStr">
        <is>
          <t>nein</t>
        </is>
      </c>
      <c r="G104" s="12" t="inlineStr">
        <is>
          <t>https://www.muenchenstein.ch/abstimmungen/vorlagen</t>
        </is>
      </c>
      <c r="H104" s="12" t="inlineStr">
        <is>
          <t>Unterseite</t>
        </is>
      </c>
      <c r="I104" s="12" t="inlineStr">
        <is>
          <t>Nein</t>
        </is>
      </c>
      <c r="J104" s="12" t="inlineStr">
        <is>
          <t>Ungeprüft – nicht kuratiert</t>
        </is>
      </c>
    </row>
    <row r="105">
      <c r="A105" s="12" t="inlineStr">
        <is>
          <t>Münchenstein</t>
        </is>
      </c>
      <c r="B105" s="12" t="inlineStr">
        <is>
          <t>Basel-Landschaft</t>
        </is>
      </c>
      <c r="C105" s="12" t="inlineStr">
        <is>
          <t>C5</t>
        </is>
      </c>
      <c r="D105" s="16" t="inlineStr">
        <is>
          <t>https://www.muenchenstein.ch/_rte/abstimmung/115861</t>
        </is>
      </c>
      <c r="E105" s="12" t="inlineStr">
        <is>
          <t>Stipendien-Konkordat</t>
        </is>
      </c>
      <c r="F105" s="12" t="inlineStr">
        <is>
          <t>nein</t>
        </is>
      </c>
      <c r="G105" s="12" t="inlineStr">
        <is>
          <t>https://www.muenchenstein.ch/abstimmungen/vorlagen</t>
        </is>
      </c>
      <c r="H105" s="12" t="inlineStr">
        <is>
          <t>Unterseite</t>
        </is>
      </c>
      <c r="I105" s="12" t="inlineStr">
        <is>
          <t>Nein</t>
        </is>
      </c>
      <c r="J105" s="12" t="inlineStr">
        <is>
          <t>Ungeprüft – nicht kuratiert</t>
        </is>
      </c>
    </row>
    <row r="106">
      <c r="A106" s="12" t="inlineStr">
        <is>
          <t>Münchenstein</t>
        </is>
      </c>
      <c r="B106" s="12" t="inlineStr">
        <is>
          <t>Basel-Landschaft</t>
        </is>
      </c>
      <c r="C106" s="12" t="inlineStr">
        <is>
          <t>C5</t>
        </is>
      </c>
      <c r="D106" s="16" t="inlineStr">
        <is>
          <t>https://www.muenchenstein.ch/_rte/abstimmung/115862</t>
        </is>
      </c>
      <c r="E106" s="12" t="inlineStr">
        <is>
          <t>Gesetz über Ausbildungsbeiträge</t>
        </is>
      </c>
      <c r="F106" s="12" t="inlineStr">
        <is>
          <t>nein</t>
        </is>
      </c>
      <c r="G106" s="12" t="inlineStr">
        <is>
          <t>https://www.muenchenstein.ch/abstimmungen/vorlagen</t>
        </is>
      </c>
      <c r="H106" s="12" t="inlineStr">
        <is>
          <t>Unterseite</t>
        </is>
      </c>
      <c r="I106" s="12" t="inlineStr">
        <is>
          <t>Nein</t>
        </is>
      </c>
      <c r="J106" s="12" t="inlineStr">
        <is>
          <t>Ungeprüft – nicht kuratiert</t>
        </is>
      </c>
    </row>
    <row r="107">
      <c r="A107" s="12" t="inlineStr">
        <is>
          <t>Münchenstein</t>
        </is>
      </c>
      <c r="B107" s="12" t="inlineStr">
        <is>
          <t>Basel-Landschaft</t>
        </is>
      </c>
      <c r="C107" s="12" t="inlineStr">
        <is>
          <t>C5</t>
        </is>
      </c>
      <c r="D107" s="16" t="inlineStr">
        <is>
          <t>https://www.muenchenstein.ch/_rte/abstimmung/119063</t>
        </is>
      </c>
      <c r="E107" s="12" t="inlineStr">
        <is>
          <t>Aufhebung der Wehrpflicht</t>
        </is>
      </c>
      <c r="F107" s="12" t="inlineStr">
        <is>
          <t>nein</t>
        </is>
      </c>
      <c r="G107" s="12" t="inlineStr">
        <is>
          <t>https://www.muenchenstein.ch/abstimmungen/vorlagen</t>
        </is>
      </c>
      <c r="H107" s="12" t="inlineStr">
        <is>
          <t>Unterseite</t>
        </is>
      </c>
      <c r="I107" s="12" t="inlineStr">
        <is>
          <t>Nein</t>
        </is>
      </c>
      <c r="J107" s="12" t="inlineStr">
        <is>
          <t>Ungeprüft – nicht kuratiert</t>
        </is>
      </c>
    </row>
    <row r="108">
      <c r="A108" s="12" t="inlineStr">
        <is>
          <t>Münchenstein</t>
        </is>
      </c>
      <c r="B108" s="12" t="inlineStr">
        <is>
          <t>Basel-Landschaft</t>
        </is>
      </c>
      <c r="C108" s="12" t="inlineStr">
        <is>
          <t>C5</t>
        </is>
      </c>
      <c r="D108" s="16" t="inlineStr">
        <is>
          <t>https://www.muenchenstein.ch/_rte/abstimmung/119064</t>
        </is>
      </c>
      <c r="E108" s="12" t="inlineStr">
        <is>
          <t>Epidemiengesetz</t>
        </is>
      </c>
      <c r="F108" s="12" t="inlineStr">
        <is>
          <t>nein</t>
        </is>
      </c>
      <c r="G108" s="12" t="inlineStr">
        <is>
          <t>https://www.muenchenstein.ch/abstimmungen/vorlagen</t>
        </is>
      </c>
      <c r="H108" s="12" t="inlineStr">
        <is>
          <t>Unterseite</t>
        </is>
      </c>
      <c r="I108" s="12" t="inlineStr">
        <is>
          <t>Nein</t>
        </is>
      </c>
      <c r="J108" s="12" t="inlineStr">
        <is>
          <t>Ungeprüft – nicht kuratiert</t>
        </is>
      </c>
    </row>
    <row r="109">
      <c r="A109" s="12" t="inlineStr">
        <is>
          <t>Münchenstein</t>
        </is>
      </c>
      <c r="B109" s="12" t="inlineStr">
        <is>
          <t>Basel-Landschaft</t>
        </is>
      </c>
      <c r="C109" s="12" t="inlineStr">
        <is>
          <t>C5</t>
        </is>
      </c>
      <c r="D109" s="16" t="inlineStr">
        <is>
          <t>https://www.muenchenstein.ch/_rte/abstimmung/119065</t>
        </is>
      </c>
      <c r="E109" s="12" t="inlineStr">
        <is>
          <t>Arbeitsgesetz</t>
        </is>
      </c>
      <c r="F109" s="12" t="inlineStr">
        <is>
          <t>nein</t>
        </is>
      </c>
      <c r="G109" s="12" t="inlineStr">
        <is>
          <t>https://www.muenchenstein.ch/abstimmungen/vorlagen</t>
        </is>
      </c>
      <c r="H109" s="12" t="inlineStr">
        <is>
          <t>Unterseite</t>
        </is>
      </c>
      <c r="I109" s="12" t="inlineStr">
        <is>
          <t>Nein</t>
        </is>
      </c>
      <c r="J109" s="12" t="inlineStr">
        <is>
          <t>Ungeprüft – nicht kuratiert</t>
        </is>
      </c>
    </row>
    <row r="110">
      <c r="A110" s="12" t="inlineStr">
        <is>
          <t>Münchenstein</t>
        </is>
      </c>
      <c r="B110" s="12" t="inlineStr">
        <is>
          <t>Basel-Landschaft</t>
        </is>
      </c>
      <c r="C110" s="12" t="inlineStr">
        <is>
          <t>C5</t>
        </is>
      </c>
      <c r="D110" s="16" t="inlineStr">
        <is>
          <t>https://www.muenchenstein.ch/_rte/abstimmung/119066</t>
        </is>
      </c>
      <c r="E110" s="12" t="inlineStr">
        <is>
          <t>Pensionskassengesetz</t>
        </is>
      </c>
      <c r="F110" s="12" t="inlineStr">
        <is>
          <t>nein</t>
        </is>
      </c>
      <c r="G110" s="12" t="inlineStr">
        <is>
          <t>https://www.muenchenstein.ch/abstimmungen/vorlagen</t>
        </is>
      </c>
      <c r="H110" s="12" t="inlineStr">
        <is>
          <t>Unterseite</t>
        </is>
      </c>
      <c r="I110" s="12" t="inlineStr">
        <is>
          <t>Nein</t>
        </is>
      </c>
      <c r="J110" s="12" t="inlineStr">
        <is>
          <t>Ungeprüft – nicht kuratiert</t>
        </is>
      </c>
    </row>
    <row r="111">
      <c r="A111" s="12" t="inlineStr">
        <is>
          <t>Münchenstein</t>
        </is>
      </c>
      <c r="B111" s="12" t="inlineStr">
        <is>
          <t>Basel-Landschaft</t>
        </is>
      </c>
      <c r="C111" s="12" t="inlineStr">
        <is>
          <t>C5</t>
        </is>
      </c>
      <c r="D111" s="16" t="inlineStr">
        <is>
          <t>https://www.muenchenstein.ch/_rte/abstimmung/122217</t>
        </is>
      </c>
      <c r="E111" s="12" t="inlineStr">
        <is>
          <t>Volksinitiative "1:12 - Für gerechte Löhne"</t>
        </is>
      </c>
      <c r="F111" s="12" t="inlineStr">
        <is>
          <t>nein</t>
        </is>
      </c>
      <c r="G111" s="12" t="inlineStr">
        <is>
          <t>https://www.muenchenstein.ch/abstimmungen/vorlagen</t>
        </is>
      </c>
      <c r="H111" s="12" t="inlineStr">
        <is>
          <t>Unterseite</t>
        </is>
      </c>
      <c r="I111" s="12" t="inlineStr">
        <is>
          <t>Nein</t>
        </is>
      </c>
      <c r="J111" s="12" t="inlineStr">
        <is>
          <t>Ungeprüft – nicht kuratiert</t>
        </is>
      </c>
    </row>
    <row r="112">
      <c r="A112" s="12" t="inlineStr">
        <is>
          <t>Münchenstein</t>
        </is>
      </c>
      <c r="B112" s="12" t="inlineStr">
        <is>
          <t>Basel-Landschaft</t>
        </is>
      </c>
      <c r="C112" s="12" t="inlineStr">
        <is>
          <t>C5</t>
        </is>
      </c>
      <c r="D112" s="16" t="inlineStr">
        <is>
          <t>https://www.muenchenstein.ch/_rte/abstimmung/122218</t>
        </is>
      </c>
      <c r="E112" s="12" t="inlineStr">
        <is>
          <t>Volksinitiative "Familieninitiative: Steuerabzüge auch für Eltern, die ihre Kinder selber betreuen"</t>
        </is>
      </c>
      <c r="F112" s="12" t="inlineStr">
        <is>
          <t>nein</t>
        </is>
      </c>
      <c r="G112" s="12" t="inlineStr">
        <is>
          <t>https://www.muenchenstein.ch/abstimmungen/vorlagen</t>
        </is>
      </c>
      <c r="H112" s="12" t="inlineStr">
        <is>
          <t>Unterseite</t>
        </is>
      </c>
      <c r="I112" s="12" t="inlineStr">
        <is>
          <t>Nein</t>
        </is>
      </c>
      <c r="J112" s="12" t="inlineStr">
        <is>
          <t>Ungeprüft – nicht kuratiert</t>
        </is>
      </c>
    </row>
    <row r="113">
      <c r="A113" s="12" t="inlineStr">
        <is>
          <t>Münchenstein</t>
        </is>
      </c>
      <c r="B113" s="12" t="inlineStr">
        <is>
          <t>Basel-Landschaft</t>
        </is>
      </c>
      <c r="C113" s="12" t="inlineStr">
        <is>
          <t>C5</t>
        </is>
      </c>
      <c r="D113" s="16" t="inlineStr">
        <is>
          <t>https://www.muenchenstein.ch/_rte/abstimmung/122219</t>
        </is>
      </c>
      <c r="E113" s="12" t="inlineStr">
        <is>
          <t>Änderung des Nationalstrassenabgabegesetzes (Autobahnvignette)</t>
        </is>
      </c>
      <c r="F113" s="12" t="inlineStr">
        <is>
          <t>nein</t>
        </is>
      </c>
      <c r="G113" s="12" t="inlineStr">
        <is>
          <t>https://www.muenchenstein.ch/abstimmungen/vorlagen</t>
        </is>
      </c>
      <c r="H113" s="12" t="inlineStr">
        <is>
          <t>Unterseite</t>
        </is>
      </c>
      <c r="I113" s="12" t="inlineStr">
        <is>
          <t>Nein</t>
        </is>
      </c>
      <c r="J113" s="12" t="inlineStr">
        <is>
          <t>Ungeprüft – nicht kuratiert</t>
        </is>
      </c>
    </row>
    <row r="114">
      <c r="A114" s="12" t="inlineStr">
        <is>
          <t>Münchenstein</t>
        </is>
      </c>
      <c r="B114" s="12" t="inlineStr">
        <is>
          <t>Basel-Landschaft</t>
        </is>
      </c>
      <c r="C114" s="12" t="inlineStr">
        <is>
          <t>C5</t>
        </is>
      </c>
      <c r="D114" s="16" t="inlineStr">
        <is>
          <t>https://www.muenchenstein.ch/_rte/abstimmung/125157</t>
        </is>
      </c>
      <c r="E114" s="12" t="inlineStr">
        <is>
          <t>Bundesbeschluss Für den öffentlichen Verkehr (FABI)</t>
        </is>
      </c>
      <c r="F114" s="12" t="inlineStr">
        <is>
          <t>nein</t>
        </is>
      </c>
      <c r="G114" s="12" t="inlineStr">
        <is>
          <t>https://www.muenchenstein.ch/abstimmungen/vorlagen</t>
        </is>
      </c>
      <c r="H114" s="12" t="inlineStr">
        <is>
          <t>Unterseite</t>
        </is>
      </c>
      <c r="I114" s="12" t="inlineStr">
        <is>
          <t>Nein</t>
        </is>
      </c>
      <c r="J114" s="12" t="inlineStr">
        <is>
          <t>Ungeprüft – nicht kuratiert</t>
        </is>
      </c>
    </row>
    <row r="115">
      <c r="A115" s="12" t="inlineStr">
        <is>
          <t>Münchenstein</t>
        </is>
      </c>
      <c r="B115" s="12" t="inlineStr">
        <is>
          <t>Basel-Landschaft</t>
        </is>
      </c>
      <c r="C115" s="12" t="inlineStr">
        <is>
          <t>C5</t>
        </is>
      </c>
      <c r="D115" s="16" t="inlineStr">
        <is>
          <t>https://www.muenchenstein.ch/_rte/abstimmung/125158</t>
        </is>
      </c>
      <c r="E115" s="12" t="inlineStr">
        <is>
          <t>Volksinitiative "Abtreibungsfinanzierung ist Privatsache"</t>
        </is>
      </c>
      <c r="F115" s="12" t="inlineStr">
        <is>
          <t>nein</t>
        </is>
      </c>
      <c r="G115" s="12" t="inlineStr">
        <is>
          <t>https://www.muenchenstein.ch/abstimmungen/vorlagen</t>
        </is>
      </c>
      <c r="H115" s="12" t="inlineStr">
        <is>
          <t>Unterseite</t>
        </is>
      </c>
      <c r="I115" s="12" t="inlineStr">
        <is>
          <t>Nein</t>
        </is>
      </c>
      <c r="J115" s="12" t="inlineStr">
        <is>
          <t>Ungeprüft – nicht kuratiert</t>
        </is>
      </c>
    </row>
    <row r="116">
      <c r="A116" s="12" t="inlineStr">
        <is>
          <t>Münchenstein</t>
        </is>
      </c>
      <c r="B116" s="12" t="inlineStr">
        <is>
          <t>Basel-Landschaft</t>
        </is>
      </c>
      <c r="C116" s="12" t="inlineStr">
        <is>
          <t>C5</t>
        </is>
      </c>
      <c r="D116" s="16" t="inlineStr">
        <is>
          <t>https://www.muenchenstein.ch/_rte/abstimmung/125159</t>
        </is>
      </c>
      <c r="E116" s="12" t="inlineStr">
        <is>
          <t>Volksinitiative "Gegen Masseneinwanderung"</t>
        </is>
      </c>
      <c r="F116" s="12" t="inlineStr">
        <is>
          <t>nein</t>
        </is>
      </c>
      <c r="G116" s="12" t="inlineStr">
        <is>
          <t>https://www.muenchenstein.ch/abstimmungen/vorlagen</t>
        </is>
      </c>
      <c r="H116" s="12" t="inlineStr">
        <is>
          <t>Unterseite</t>
        </is>
      </c>
      <c r="I116" s="12" t="inlineStr">
        <is>
          <t>Nein</t>
        </is>
      </c>
      <c r="J116" s="12" t="inlineStr">
        <is>
          <t>Ungeprüft – nicht kuratiert</t>
        </is>
      </c>
    </row>
    <row r="117">
      <c r="A117" s="12" t="inlineStr">
        <is>
          <t>Münchenstein</t>
        </is>
      </c>
      <c r="B117" s="12" t="inlineStr">
        <is>
          <t>Basel-Landschaft</t>
        </is>
      </c>
      <c r="C117" s="12" t="inlineStr">
        <is>
          <t>C5</t>
        </is>
      </c>
      <c r="D117" s="16" t="inlineStr">
        <is>
          <t>https://www.muenchenstein.ch/_rte/abstimmung/125160</t>
        </is>
      </c>
      <c r="E117" s="12" t="inlineStr">
        <is>
          <t>Verfassungsinitiative Förderung des selbstgenutzten Wohneigentums und des gemeinnützigen Wohnungsbaus</t>
        </is>
      </c>
      <c r="F117" s="12" t="inlineStr">
        <is>
          <t>nein</t>
        </is>
      </c>
      <c r="G117" s="12" t="inlineStr">
        <is>
          <t>https://www.muenchenstein.ch/abstimmungen/vorlagen</t>
        </is>
      </c>
      <c r="H117" s="12" t="inlineStr">
        <is>
          <t>Unterseite</t>
        </is>
      </c>
      <c r="I117" s="12" t="inlineStr">
        <is>
          <t>Nein</t>
        </is>
      </c>
      <c r="J117" s="12" t="inlineStr">
        <is>
          <t>Ungeprüft – nicht kuratiert</t>
        </is>
      </c>
    </row>
    <row r="118">
      <c r="A118" s="12" t="inlineStr">
        <is>
          <t>Münchenstein</t>
        </is>
      </c>
      <c r="B118" s="12" t="inlineStr">
        <is>
          <t>Basel-Landschaft</t>
        </is>
      </c>
      <c r="C118" s="12" t="inlineStr">
        <is>
          <t>C5</t>
        </is>
      </c>
      <c r="D118" s="16" t="inlineStr">
        <is>
          <t>https://www.muenchenstein.ch/_rte/abstimmung/129344</t>
        </is>
      </c>
      <c r="E118" s="12" t="inlineStr">
        <is>
          <t>Bundesbeschluss über die medizinische Grundversorgung</t>
        </is>
      </c>
      <c r="F118" s="12" t="inlineStr">
        <is>
          <t>nein</t>
        </is>
      </c>
      <c r="G118" s="12" t="inlineStr">
        <is>
          <t>https://www.muenchenstein.ch/abstimmungen/vorlagen</t>
        </is>
      </c>
      <c r="H118" s="12" t="inlineStr">
        <is>
          <t>Unterseite</t>
        </is>
      </c>
      <c r="I118" s="12" t="inlineStr">
        <is>
          <t>Nein</t>
        </is>
      </c>
      <c r="J118" s="12" t="inlineStr">
        <is>
          <t>Ungeprüft – nicht kuratiert</t>
        </is>
      </c>
    </row>
    <row r="119">
      <c r="A119" s="12" t="inlineStr">
        <is>
          <t>Münchenstein</t>
        </is>
      </c>
      <c r="B119" s="12" t="inlineStr">
        <is>
          <t>Basel-Landschaft</t>
        </is>
      </c>
      <c r="C119" s="12" t="inlineStr">
        <is>
          <t>C5</t>
        </is>
      </c>
      <c r="D119" s="16" t="inlineStr">
        <is>
          <t>https://www.muenchenstein.ch/_rte/abstimmung/129345</t>
        </is>
      </c>
      <c r="E119" s="12" t="inlineStr">
        <is>
          <t>Volksinitiative "Pädophile sollen nicht mehr mit Kindern arbeiten dürfen"</t>
        </is>
      </c>
      <c r="F119" s="12" t="inlineStr">
        <is>
          <t>nein</t>
        </is>
      </c>
      <c r="G119" s="12" t="inlineStr">
        <is>
          <t>https://www.muenchenstein.ch/abstimmungen/vorlagen</t>
        </is>
      </c>
      <c r="H119" s="12" t="inlineStr">
        <is>
          <t>Unterseite</t>
        </is>
      </c>
      <c r="I119" s="12" t="inlineStr">
        <is>
          <t>Nein</t>
        </is>
      </c>
      <c r="J119" s="12" t="inlineStr">
        <is>
          <t>Ungeprüft – nicht kuratiert</t>
        </is>
      </c>
    </row>
    <row r="120">
      <c r="A120" s="12" t="inlineStr">
        <is>
          <t>Münchenstein</t>
        </is>
      </c>
      <c r="B120" s="12" t="inlineStr">
        <is>
          <t>Basel-Landschaft</t>
        </is>
      </c>
      <c r="C120" s="12" t="inlineStr">
        <is>
          <t>C5</t>
        </is>
      </c>
      <c r="D120" s="16" t="inlineStr">
        <is>
          <t>https://www.muenchenstein.ch/_rte/abstimmung/129346</t>
        </is>
      </c>
      <c r="E120" s="12" t="inlineStr">
        <is>
          <t>Volksinitiative "Für den Schutz fairer Löhne (Mindestlohn-Initiative)"</t>
        </is>
      </c>
      <c r="F120" s="12" t="inlineStr">
        <is>
          <t>nein</t>
        </is>
      </c>
      <c r="G120" s="12" t="inlineStr">
        <is>
          <t>https://www.muenchenstein.ch/abstimmungen/vorlagen</t>
        </is>
      </c>
      <c r="H120" s="12" t="inlineStr">
        <is>
          <t>Unterseite</t>
        </is>
      </c>
      <c r="I120" s="12" t="inlineStr">
        <is>
          <t>Nein</t>
        </is>
      </c>
      <c r="J120" s="12" t="inlineStr">
        <is>
          <t>Ungeprüft – nicht kuratiert</t>
        </is>
      </c>
    </row>
    <row r="121">
      <c r="A121" s="12" t="inlineStr">
        <is>
          <t>Münchenstein</t>
        </is>
      </c>
      <c r="B121" s="12" t="inlineStr">
        <is>
          <t>Basel-Landschaft</t>
        </is>
      </c>
      <c r="C121" s="12" t="inlineStr">
        <is>
          <t>C5</t>
        </is>
      </c>
      <c r="D121" s="16" t="inlineStr">
        <is>
          <t>https://www.muenchenstein.ch/_rte/abstimmung/129348</t>
        </is>
      </c>
      <c r="E121" s="12" t="inlineStr">
        <is>
          <t>Änderung des Pensionskassengesetzes</t>
        </is>
      </c>
      <c r="F121" s="12" t="inlineStr">
        <is>
          <t>nein</t>
        </is>
      </c>
      <c r="G121" s="12" t="inlineStr">
        <is>
          <t>https://www.muenchenstein.ch/abstimmungen/vorlagen</t>
        </is>
      </c>
      <c r="H121" s="12" t="inlineStr">
        <is>
          <t>Unterseite</t>
        </is>
      </c>
      <c r="I121" s="12" t="inlineStr">
        <is>
          <t>Nein</t>
        </is>
      </c>
      <c r="J121" s="12" t="inlineStr">
        <is>
          <t>Ungeprüft – nicht kuratiert</t>
        </is>
      </c>
    </row>
    <row r="122">
      <c r="A122" s="12" t="inlineStr">
        <is>
          <t>Münchenstein</t>
        </is>
      </c>
      <c r="B122" s="12" t="inlineStr">
        <is>
          <t>Basel-Landschaft</t>
        </is>
      </c>
      <c r="C122" s="12" t="inlineStr">
        <is>
          <t>C5</t>
        </is>
      </c>
      <c r="D122" s="16" t="inlineStr">
        <is>
          <t>https://www.muenchenstein.ch/_rte/abstimmung/129349</t>
        </is>
      </c>
      <c r="E122" s="12" t="inlineStr">
        <is>
          <t>Änderung der Kantonsverfassung über die Einführung einer Gewerbeparkkarte</t>
        </is>
      </c>
      <c r="F122" s="12" t="inlineStr">
        <is>
          <t>nein</t>
        </is>
      </c>
      <c r="G122" s="12" t="inlineStr">
        <is>
          <t>https://www.muenchenstein.ch/abstimmungen/vorlagen</t>
        </is>
      </c>
      <c r="H122" s="12" t="inlineStr">
        <is>
          <t>Unterseite</t>
        </is>
      </c>
      <c r="I122" s="12" t="inlineStr">
        <is>
          <t>Nein</t>
        </is>
      </c>
      <c r="J122" s="12" t="inlineStr">
        <is>
          <t>Ungeprüft – nicht kuratiert</t>
        </is>
      </c>
    </row>
    <row r="123">
      <c r="A123" s="12" t="inlineStr">
        <is>
          <t>Münchenstein</t>
        </is>
      </c>
      <c r="B123" s="12" t="inlineStr">
        <is>
          <t>Basel-Landschaft</t>
        </is>
      </c>
      <c r="C123" s="12" t="inlineStr">
        <is>
          <t>C5</t>
        </is>
      </c>
      <c r="D123" s="16" t="inlineStr">
        <is>
          <t>https://www.muenchenstein.ch/_rte/abstimmung/132796</t>
        </is>
      </c>
      <c r="E123" s="12" t="inlineStr">
        <is>
          <t>Volksinitiative Schluss mit der MwSt-Diskrimierung des Gastgewerbes</t>
        </is>
      </c>
      <c r="F123" s="12" t="inlineStr">
        <is>
          <t>nein</t>
        </is>
      </c>
      <c r="G123" s="12" t="inlineStr">
        <is>
          <t>https://www.muenchenstein.ch/abstimmungen/vorlagen</t>
        </is>
      </c>
      <c r="H123" s="12" t="inlineStr">
        <is>
          <t>Unterseite</t>
        </is>
      </c>
      <c r="I123" s="12" t="inlineStr">
        <is>
          <t>Nein</t>
        </is>
      </c>
      <c r="J123" s="12" t="inlineStr">
        <is>
          <t>Ungeprüft – nicht kuratiert</t>
        </is>
      </c>
    </row>
    <row r="124">
      <c r="A124" s="12" t="inlineStr">
        <is>
          <t>Münchenstein</t>
        </is>
      </c>
      <c r="B124" s="12" t="inlineStr">
        <is>
          <t>Basel-Landschaft</t>
        </is>
      </c>
      <c r="C124" s="12" t="inlineStr">
        <is>
          <t>C5</t>
        </is>
      </c>
      <c r="D124" s="16" t="inlineStr">
        <is>
          <t>https://www.muenchenstein.ch/_rte/abstimmung/132797</t>
        </is>
      </c>
      <c r="E124" s="12" t="inlineStr">
        <is>
          <t>Volksinitiative "Für eine öffentliche Krankenkasse"</t>
        </is>
      </c>
      <c r="F124" s="12" t="inlineStr">
        <is>
          <t>nein</t>
        </is>
      </c>
      <c r="G124" s="12" t="inlineStr">
        <is>
          <t>https://www.muenchenstein.ch/abstimmungen/vorlagen</t>
        </is>
      </c>
      <c r="H124" s="12" t="inlineStr">
        <is>
          <t>Unterseite</t>
        </is>
      </c>
      <c r="I124" s="12" t="inlineStr">
        <is>
          <t>Nein</t>
        </is>
      </c>
      <c r="J124" s="12" t="inlineStr">
        <is>
          <t>Ungeprüft – nicht kuratiert</t>
        </is>
      </c>
    </row>
    <row r="125">
      <c r="A125" s="12" t="inlineStr">
        <is>
          <t>Münchenstein</t>
        </is>
      </c>
      <c r="B125" s="12" t="inlineStr">
        <is>
          <t>Basel-Landschaft</t>
        </is>
      </c>
      <c r="C125" s="12" t="inlineStr">
        <is>
          <t>C5</t>
        </is>
      </c>
      <c r="D125" s="16" t="inlineStr">
        <is>
          <t>https://www.muenchenstein.ch/_rte/abstimmung/132798</t>
        </is>
      </c>
      <c r="E125" s="12" t="inlineStr">
        <is>
          <t>Änderung des Gesetzes über Ergänzungsleistungen zur AHV und IV (Vermögensverzehr)</t>
        </is>
      </c>
      <c r="F125" s="12" t="inlineStr">
        <is>
          <t>nein</t>
        </is>
      </c>
      <c r="G125" s="12" t="inlineStr">
        <is>
          <t>https://www.muenchenstein.ch/abstimmungen/vorlagen</t>
        </is>
      </c>
      <c r="H125" s="12" t="inlineStr">
        <is>
          <t>Unterseite</t>
        </is>
      </c>
      <c r="I125" s="12" t="inlineStr">
        <is>
          <t>Nein</t>
        </is>
      </c>
      <c r="J125" s="12" t="inlineStr">
        <is>
          <t>Ungeprüft – nicht kuratiert</t>
        </is>
      </c>
    </row>
    <row r="126">
      <c r="A126" s="12" t="inlineStr">
        <is>
          <t>Münchenstein</t>
        </is>
      </c>
      <c r="B126" s="12" t="inlineStr">
        <is>
          <t>Basel-Landschaft</t>
        </is>
      </c>
      <c r="C126" s="12" t="inlineStr">
        <is>
          <t>C5</t>
        </is>
      </c>
      <c r="D126" s="16" t="inlineStr">
        <is>
          <t>https://www.muenchenstein.ch/_rte/abstimmung/132799</t>
        </is>
      </c>
      <c r="E126" s="12" t="inlineStr">
        <is>
          <t>Änderung der Kantonsverfassung betreffend § 68 zur Konstituierung des Landratspräsidiums</t>
        </is>
      </c>
      <c r="F126" s="12" t="inlineStr">
        <is>
          <t>nein</t>
        </is>
      </c>
      <c r="G126" s="12" t="inlineStr">
        <is>
          <t>https://www.muenchenstein.ch/abstimmungen/vorlagen</t>
        </is>
      </c>
      <c r="H126" s="12" t="inlineStr">
        <is>
          <t>Unterseite</t>
        </is>
      </c>
      <c r="I126" s="12" t="inlineStr">
        <is>
          <t>Nein</t>
        </is>
      </c>
      <c r="J126" s="12" t="inlineStr">
        <is>
          <t>Ungeprüft – nicht kuratiert</t>
        </is>
      </c>
    </row>
    <row r="127">
      <c r="A127" s="12" t="inlineStr">
        <is>
          <t>Münchenstein</t>
        </is>
      </c>
      <c r="B127" s="12" t="inlineStr">
        <is>
          <t>Basel-Landschaft</t>
        </is>
      </c>
      <c r="C127" s="12" t="inlineStr">
        <is>
          <t>C5</t>
        </is>
      </c>
      <c r="D127" s="16" t="inlineStr">
        <is>
          <t>https://www.muenchenstein.ch/_rte/abstimmung/132801</t>
        </is>
      </c>
      <c r="E127" s="12" t="inlineStr">
        <is>
          <t>Änderung der Kantonsverfassung (Gegenvorschlag zur zurückgezogenen formulierten Verfassungsinitiative "Für die Fusion der Kantone Basel-Stadt und Basel-Landschaft")</t>
        </is>
      </c>
      <c r="F127" s="12" t="inlineStr">
        <is>
          <t>nein</t>
        </is>
      </c>
      <c r="G127" s="12" t="inlineStr">
        <is>
          <t>https://www.muenchenstein.ch/abstimmungen/vorlagen</t>
        </is>
      </c>
      <c r="H127" s="12" t="inlineStr">
        <is>
          <t>Unterseite</t>
        </is>
      </c>
      <c r="I127" s="12" t="inlineStr">
        <is>
          <t>Nein</t>
        </is>
      </c>
      <c r="J127" s="12" t="inlineStr">
        <is>
          <t>Ungeprüft – nicht kuratiert</t>
        </is>
      </c>
    </row>
    <row r="128">
      <c r="A128" s="12" t="inlineStr">
        <is>
          <t>Münchenstein</t>
        </is>
      </c>
      <c r="B128" s="12" t="inlineStr">
        <is>
          <t>Basel-Landschaft</t>
        </is>
      </c>
      <c r="C128" s="12" t="inlineStr">
        <is>
          <t>C5</t>
        </is>
      </c>
      <c r="D128" s="16" t="inlineStr">
        <is>
          <t>https://www.muenchenstein.ch/_rte/abstimmung/132802</t>
        </is>
      </c>
      <c r="E128" s="12" t="inlineStr">
        <is>
          <t>Einführung der ausserordentlichen Gemeindeorganisation (Einwohnerrat)</t>
        </is>
      </c>
      <c r="F128" s="12" t="inlineStr">
        <is>
          <t>nein</t>
        </is>
      </c>
      <c r="G128" s="12" t="inlineStr">
        <is>
          <t>https://www.muenchenstein.ch/abstimmungen/vorlagen</t>
        </is>
      </c>
      <c r="H128" s="12" t="inlineStr">
        <is>
          <t>Unterseite</t>
        </is>
      </c>
      <c r="I128" s="12" t="inlineStr">
        <is>
          <t>Nein</t>
        </is>
      </c>
      <c r="J128" s="12" t="inlineStr">
        <is>
          <t>Ungeprüft – nicht kuratiert</t>
        </is>
      </c>
    </row>
    <row r="129">
      <c r="A129" s="12" t="inlineStr">
        <is>
          <t>Münchenstein</t>
        </is>
      </c>
      <c r="B129" s="12" t="inlineStr">
        <is>
          <t>Basel-Landschaft</t>
        </is>
      </c>
      <c r="C129" s="12" t="inlineStr">
        <is>
          <t>C5</t>
        </is>
      </c>
      <c r="D129" s="16" t="inlineStr">
        <is>
          <t>https://www.muenchenstein.ch/_rte/abstimmung/136667</t>
        </is>
      </c>
      <c r="E129" s="12" t="inlineStr">
        <is>
          <t>Volksinitiative "Schluss mit den Steuerprivilegien für Millionäre (Abschaffung der Pauschalbesteuerung)"</t>
        </is>
      </c>
      <c r="F129" s="12" t="inlineStr">
        <is>
          <t>nein</t>
        </is>
      </c>
      <c r="G129" s="12" t="inlineStr">
        <is>
          <t>https://www.muenchenstein.ch/abstimmungen/vorlagen</t>
        </is>
      </c>
      <c r="H129" s="12" t="inlineStr">
        <is>
          <t>Unterseite</t>
        </is>
      </c>
      <c r="I129" s="12" t="inlineStr">
        <is>
          <t>Nein</t>
        </is>
      </c>
      <c r="J129" s="12" t="inlineStr">
        <is>
          <t>Ungeprüft – nicht kuratiert</t>
        </is>
      </c>
    </row>
    <row r="130">
      <c r="A130" s="12" t="inlineStr">
        <is>
          <t>Münchenstein</t>
        </is>
      </c>
      <c r="B130" s="12" t="inlineStr">
        <is>
          <t>Basel-Landschaft</t>
        </is>
      </c>
      <c r="C130" s="12" t="inlineStr">
        <is>
          <t>C5</t>
        </is>
      </c>
      <c r="D130" s="16" t="inlineStr">
        <is>
          <t>https://www.muenchenstein.ch/_rte/abstimmung/136668</t>
        </is>
      </c>
      <c r="E130" s="12" t="inlineStr">
        <is>
          <t>Volksinitiative "Stopp der Überbevölkerung - zur Sicherung der natürlichen Lebensgrundlagen"</t>
        </is>
      </c>
      <c r="F130" s="12" t="inlineStr">
        <is>
          <t>nein</t>
        </is>
      </c>
      <c r="G130" s="12" t="inlineStr">
        <is>
          <t>https://www.muenchenstein.ch/abstimmungen/vorlagen</t>
        </is>
      </c>
      <c r="H130" s="12" t="inlineStr">
        <is>
          <t>Unterseite</t>
        </is>
      </c>
      <c r="I130" s="12" t="inlineStr">
        <is>
          <t>Nein</t>
        </is>
      </c>
      <c r="J130" s="12" t="inlineStr">
        <is>
          <t>Ungeprüft – nicht kuratiert</t>
        </is>
      </c>
    </row>
    <row r="131">
      <c r="A131" s="12" t="inlineStr">
        <is>
          <t>Münchenstein</t>
        </is>
      </c>
      <c r="B131" s="12" t="inlineStr">
        <is>
          <t>Basel-Landschaft</t>
        </is>
      </c>
      <c r="C131" s="12" t="inlineStr">
        <is>
          <t>C5</t>
        </is>
      </c>
      <c r="D131" s="16" t="inlineStr">
        <is>
          <t>https://www.muenchenstein.ch/_rte/abstimmung/136669</t>
        </is>
      </c>
      <c r="E131" s="12" t="inlineStr">
        <is>
          <t>Volksinitiative "Rettet unser Schweizer Gold (Gold-Initiative)"</t>
        </is>
      </c>
      <c r="F131" s="12" t="inlineStr">
        <is>
          <t>nein</t>
        </is>
      </c>
      <c r="G131" s="12" t="inlineStr">
        <is>
          <t>https://www.muenchenstein.ch/abstimmungen/vorlagen</t>
        </is>
      </c>
      <c r="H131" s="12" t="inlineStr">
        <is>
          <t>Unterseite</t>
        </is>
      </c>
      <c r="I131" s="12" t="inlineStr">
        <is>
          <t>Nein</t>
        </is>
      </c>
      <c r="J131" s="12" t="inlineStr">
        <is>
          <t>Ungeprüft – nicht kuratiert</t>
        </is>
      </c>
    </row>
    <row r="132">
      <c r="A132" s="12" t="inlineStr">
        <is>
          <t>Münchenstein</t>
        </is>
      </c>
      <c r="B132" s="12" t="inlineStr">
        <is>
          <t>Basel-Landschaft</t>
        </is>
      </c>
      <c r="C132" s="12" t="inlineStr">
        <is>
          <t>C5</t>
        </is>
      </c>
      <c r="D132" s="16" t="inlineStr">
        <is>
          <t>https://www.muenchenstein.ch/_rte/abstimmung/138173</t>
        </is>
      </c>
      <c r="E132" s="12" t="inlineStr">
        <is>
          <t>.</t>
        </is>
      </c>
      <c r="F132" s="12" t="inlineStr">
        <is>
          <t>nein</t>
        </is>
      </c>
      <c r="G132" s="12" t="inlineStr">
        <is>
          <t>https://www.muenchenstein.ch/abstimmungen/vorlagen</t>
        </is>
      </c>
      <c r="H132" s="12" t="inlineStr">
        <is>
          <t>Unterseite</t>
        </is>
      </c>
      <c r="I132" s="12" t="inlineStr">
        <is>
          <t>Nein</t>
        </is>
      </c>
      <c r="J132" s="12" t="inlineStr">
        <is>
          <t>Ungeprüft – nicht kuratiert</t>
        </is>
      </c>
    </row>
    <row r="133">
      <c r="A133" s="12" t="inlineStr">
        <is>
          <t>Münchenstein</t>
        </is>
      </c>
      <c r="B133" s="12" t="inlineStr">
        <is>
          <t>Basel-Landschaft</t>
        </is>
      </c>
      <c r="C133" s="12" t="inlineStr">
        <is>
          <t>C5</t>
        </is>
      </c>
      <c r="D133" s="16" t="inlineStr">
        <is>
          <t>https://www.muenchenstein.ch/_rte/abstimmung/139485</t>
        </is>
      </c>
      <c r="E133" s="12" t="inlineStr">
        <is>
          <t>Volksinitiative "Familien stärken! Steuerfreie Kinder- und Ausbildungszulagen"</t>
        </is>
      </c>
      <c r="F133" s="12" t="inlineStr">
        <is>
          <t>nein</t>
        </is>
      </c>
      <c r="G133" s="12" t="inlineStr">
        <is>
          <t>https://www.muenchenstein.ch/abstimmungen/vorlagen</t>
        </is>
      </c>
      <c r="H133" s="12" t="inlineStr">
        <is>
          <t>Unterseite</t>
        </is>
      </c>
      <c r="I133" s="12" t="inlineStr">
        <is>
          <t>Nein</t>
        </is>
      </c>
      <c r="J133" s="12" t="inlineStr">
        <is>
          <t>Ungeprüft – nicht kuratiert</t>
        </is>
      </c>
    </row>
    <row r="134">
      <c r="A134" s="12" t="inlineStr">
        <is>
          <t>Münchenstein</t>
        </is>
      </c>
      <c r="B134" s="12" t="inlineStr">
        <is>
          <t>Basel-Landschaft</t>
        </is>
      </c>
      <c r="C134" s="12" t="inlineStr">
        <is>
          <t>C5</t>
        </is>
      </c>
      <c r="D134" s="16" t="inlineStr">
        <is>
          <t>https://www.muenchenstein.ch/_rte/abstimmung/139486</t>
        </is>
      </c>
      <c r="E134" s="12" t="inlineStr">
        <is>
          <t>Volksinitiative "Energie- statt Mehrwertsteuer"</t>
        </is>
      </c>
      <c r="F134" s="12" t="inlineStr">
        <is>
          <t>nein</t>
        </is>
      </c>
      <c r="G134" s="12" t="inlineStr">
        <is>
          <t>https://www.muenchenstein.ch/abstimmungen/vorlagen</t>
        </is>
      </c>
      <c r="H134" s="12" t="inlineStr">
        <is>
          <t>Unterseite</t>
        </is>
      </c>
      <c r="I134" s="12" t="inlineStr">
        <is>
          <t>Nein</t>
        </is>
      </c>
      <c r="J134" s="12" t="inlineStr">
        <is>
          <t>Ungeprüft – nicht kuratiert</t>
        </is>
      </c>
    </row>
    <row r="135">
      <c r="A135" s="12" t="inlineStr">
        <is>
          <t>Münchenstein</t>
        </is>
      </c>
      <c r="B135" s="12" t="inlineStr">
        <is>
          <t>Basel-Landschaft</t>
        </is>
      </c>
      <c r="C135" s="12" t="inlineStr">
        <is>
          <t>C5</t>
        </is>
      </c>
      <c r="D135" s="16" t="inlineStr">
        <is>
          <t>https://www.muenchenstein.ch/_rte/abstimmung/139487</t>
        </is>
      </c>
      <c r="E135" s="12" t="inlineStr">
        <is>
          <t>Änderung des Raumplanungs- und Baugesetzes (Befristung der Aushangdauer von Wahl- und Abstimmungsplakaten)</t>
        </is>
      </c>
      <c r="F135" s="12" t="inlineStr">
        <is>
          <t>nein</t>
        </is>
      </c>
      <c r="G135" s="12" t="inlineStr">
        <is>
          <t>https://www.muenchenstein.ch/abstimmungen/vorlagen</t>
        </is>
      </c>
      <c r="H135" s="12" t="inlineStr">
        <is>
          <t>Unterseite</t>
        </is>
      </c>
      <c r="I135" s="12" t="inlineStr">
        <is>
          <t>Nein</t>
        </is>
      </c>
      <c r="J135" s="12" t="inlineStr">
        <is>
          <t>Ungeprüft – nicht kuratiert</t>
        </is>
      </c>
    </row>
    <row r="136">
      <c r="A136" s="12" t="inlineStr">
        <is>
          <t>Münchenstein</t>
        </is>
      </c>
      <c r="B136" s="12" t="inlineStr">
        <is>
          <t>Basel-Landschaft</t>
        </is>
      </c>
      <c r="C136" s="12" t="inlineStr">
        <is>
          <t>C5</t>
        </is>
      </c>
      <c r="D136" s="16" t="inlineStr">
        <is>
          <t>https://www.muenchenstein.ch/_rte/abstimmung/139488</t>
        </is>
      </c>
      <c r="E136" s="12" t="inlineStr">
        <is>
          <t>Gesetzesinitiative "Für eine Umfahrungsstrasse Allschwil"</t>
        </is>
      </c>
      <c r="F136" s="12" t="inlineStr">
        <is>
          <t>nein</t>
        </is>
      </c>
      <c r="G136" s="12" t="inlineStr">
        <is>
          <t>https://www.muenchenstein.ch/abstimmungen/vorlagen</t>
        </is>
      </c>
      <c r="H136" s="12" t="inlineStr">
        <is>
          <t>Unterseite</t>
        </is>
      </c>
      <c r="I136" s="12" t="inlineStr">
        <is>
          <t>Nein</t>
        </is>
      </c>
      <c r="J136" s="12" t="inlineStr">
        <is>
          <t>Ungeprüft – nicht kuratiert</t>
        </is>
      </c>
    </row>
    <row r="137">
      <c r="A137" s="12" t="inlineStr">
        <is>
          <t>Münchenstein</t>
        </is>
      </c>
      <c r="B137" s="12" t="inlineStr">
        <is>
          <t>Basel-Landschaft</t>
        </is>
      </c>
      <c r="C137" s="12" t="inlineStr">
        <is>
          <t>C5</t>
        </is>
      </c>
      <c r="D137" s="16" t="inlineStr">
        <is>
          <t>https://www.muenchenstein.ch/_rte/abstimmung/139489</t>
        </is>
      </c>
      <c r="E137" s="12" t="inlineStr">
        <is>
          <t>Änderung des Gemeindegesetzes zur nichtformulierten Gesetzesinitiative "Vo Schönebuech bis suuber"</t>
        </is>
      </c>
      <c r="F137" s="12" t="inlineStr">
        <is>
          <t>nein</t>
        </is>
      </c>
      <c r="G137" s="12" t="inlineStr">
        <is>
          <t>https://www.muenchenstein.ch/abstimmungen/vorlagen</t>
        </is>
      </c>
      <c r="H137" s="12" t="inlineStr">
        <is>
          <t>Unterseite</t>
        </is>
      </c>
      <c r="I137" s="12" t="inlineStr">
        <is>
          <t>Nein</t>
        </is>
      </c>
      <c r="J137" s="12" t="inlineStr">
        <is>
          <t>Ungeprüft – nicht kuratiert</t>
        </is>
      </c>
    </row>
    <row r="138">
      <c r="A138" s="12" t="inlineStr">
        <is>
          <t>Münchenstein</t>
        </is>
      </c>
      <c r="B138" s="12" t="inlineStr">
        <is>
          <t>Basel-Landschaft</t>
        </is>
      </c>
      <c r="C138" s="12" t="inlineStr">
        <is>
          <t>C5</t>
        </is>
      </c>
      <c r="D138" s="16" t="inlineStr">
        <is>
          <t>https://www.muenchenstein.ch/_rte/abstimmung/139490</t>
        </is>
      </c>
      <c r="E138" s="12" t="inlineStr">
        <is>
          <t>Strasseninitiative Basel-Landschaft</t>
        </is>
      </c>
      <c r="F138" s="12" t="inlineStr">
        <is>
          <t>nein</t>
        </is>
      </c>
      <c r="G138" s="12" t="inlineStr">
        <is>
          <t>https://www.muenchenstein.ch/abstimmungen/vorlagen</t>
        </is>
      </c>
      <c r="H138" s="12" t="inlineStr">
        <is>
          <t>Unterseite</t>
        </is>
      </c>
      <c r="I138" s="12" t="inlineStr">
        <is>
          <t>Nein</t>
        </is>
      </c>
      <c r="J138" s="12" t="inlineStr">
        <is>
          <t>Ungeprüft – nicht kuratiert</t>
        </is>
      </c>
    </row>
    <row r="139">
      <c r="A139" s="12" t="inlineStr">
        <is>
          <t>Münchenstein</t>
        </is>
      </c>
      <c r="B139" s="12" t="inlineStr">
        <is>
          <t>Basel-Landschaft</t>
        </is>
      </c>
      <c r="C139" s="12" t="inlineStr">
        <is>
          <t>C5</t>
        </is>
      </c>
      <c r="D139" s="16" t="inlineStr">
        <is>
          <t>https://www.muenchenstein.ch/_rte/abstimmung/143041</t>
        </is>
      </c>
      <c r="E139" s="12" t="inlineStr">
        <is>
          <t>Bundesbeschluss über die Änderung der Verfassungsbestimmung zur Fortpflanzungsmedizin und Gentechnologie im Humanbereich (Präimplantationsdiagnostik)</t>
        </is>
      </c>
      <c r="F139" s="12" t="inlineStr">
        <is>
          <t>nein</t>
        </is>
      </c>
      <c r="G139" s="12" t="inlineStr">
        <is>
          <t>https://www.muenchenstein.ch/abstimmungen/vorlagen</t>
        </is>
      </c>
      <c r="H139" s="12" t="inlineStr">
        <is>
          <t>Unterseite</t>
        </is>
      </c>
      <c r="I139" s="12" t="inlineStr">
        <is>
          <t>Nein</t>
        </is>
      </c>
      <c r="J139" s="12" t="inlineStr">
        <is>
          <t>Ungeprüft – nicht kuratiert</t>
        </is>
      </c>
    </row>
    <row r="140">
      <c r="A140" s="12" t="inlineStr">
        <is>
          <t>Münchenstein</t>
        </is>
      </c>
      <c r="B140" s="12" t="inlineStr">
        <is>
          <t>Basel-Landschaft</t>
        </is>
      </c>
      <c r="C140" s="12" t="inlineStr">
        <is>
          <t>C5</t>
        </is>
      </c>
      <c r="D140" s="16" t="inlineStr">
        <is>
          <t>https://www.muenchenstein.ch/_rte/abstimmung/143042</t>
        </is>
      </c>
      <c r="E140" s="12" t="inlineStr">
        <is>
          <t>Volksinitiative "Stipendieninitiative"</t>
        </is>
      </c>
      <c r="F140" s="12" t="inlineStr">
        <is>
          <t>nein</t>
        </is>
      </c>
      <c r="G140" s="12" t="inlineStr">
        <is>
          <t>https://www.muenchenstein.ch/abstimmungen/vorlagen</t>
        </is>
      </c>
      <c r="H140" s="12" t="inlineStr">
        <is>
          <t>Unterseite</t>
        </is>
      </c>
      <c r="I140" s="12" t="inlineStr">
        <is>
          <t>Nein</t>
        </is>
      </c>
      <c r="J140" s="12" t="inlineStr">
        <is>
          <t>Ungeprüft – nicht kuratiert</t>
        </is>
      </c>
    </row>
    <row r="141">
      <c r="A141" s="12" t="inlineStr">
        <is>
          <t>Münchenstein</t>
        </is>
      </c>
      <c r="B141" s="12" t="inlineStr">
        <is>
          <t>Basel-Landschaft</t>
        </is>
      </c>
      <c r="C141" s="12" t="inlineStr">
        <is>
          <t>C5</t>
        </is>
      </c>
      <c r="D141" s="16" t="inlineStr">
        <is>
          <t>https://www.muenchenstein.ch/_rte/abstimmung/143043</t>
        </is>
      </c>
      <c r="E141" s="12" t="inlineStr">
        <is>
          <t>Volksinitiative "Millionen-Erbschaften besteuern für unsere AHV (Erschabftssteuerreform)"</t>
        </is>
      </c>
      <c r="F141" s="12" t="inlineStr">
        <is>
          <t>nein</t>
        </is>
      </c>
      <c r="G141" s="12" t="inlineStr">
        <is>
          <t>https://www.muenchenstein.ch/abstimmungen/vorlagen</t>
        </is>
      </c>
      <c r="H141" s="12" t="inlineStr">
        <is>
          <t>Unterseite</t>
        </is>
      </c>
      <c r="I141" s="12" t="inlineStr">
        <is>
          <t>Nein</t>
        </is>
      </c>
      <c r="J141" s="12" t="inlineStr">
        <is>
          <t>Ungeprüft – nicht kuratiert</t>
        </is>
      </c>
    </row>
    <row r="142">
      <c r="A142" s="12" t="inlineStr">
        <is>
          <t>Münchenstein</t>
        </is>
      </c>
      <c r="B142" s="12" t="inlineStr">
        <is>
          <t>Basel-Landschaft</t>
        </is>
      </c>
      <c r="C142" s="12" t="inlineStr">
        <is>
          <t>C5</t>
        </is>
      </c>
      <c r="D142" s="16" t="inlineStr">
        <is>
          <t>https://www.muenchenstein.ch/_rte/abstimmung/143044</t>
        </is>
      </c>
      <c r="E142" s="12" t="inlineStr">
        <is>
          <t>Änderung des Bundesgesetzes über Radio und Fernsehen (RTVG)</t>
        </is>
      </c>
      <c r="F142" s="12" t="inlineStr">
        <is>
          <t>nein</t>
        </is>
      </c>
      <c r="G142" s="12" t="inlineStr">
        <is>
          <t>https://www.muenchenstein.ch/abstimmungen/vorlagen</t>
        </is>
      </c>
      <c r="H142" s="12" t="inlineStr">
        <is>
          <t>Unterseite</t>
        </is>
      </c>
      <c r="I142" s="12" t="inlineStr">
        <is>
          <t>Nein</t>
        </is>
      </c>
      <c r="J142" s="12" t="inlineStr">
        <is>
          <t>Ungeprüft – nicht kuratiert</t>
        </is>
      </c>
    </row>
    <row r="143">
      <c r="A143" s="12" t="inlineStr">
        <is>
          <t>Münchenstein</t>
        </is>
      </c>
      <c r="B143" s="12" t="inlineStr">
        <is>
          <t>Basel-Landschaft</t>
        </is>
      </c>
      <c r="C143" s="12" t="inlineStr">
        <is>
          <t>C5</t>
        </is>
      </c>
      <c r="D143" s="16" t="inlineStr">
        <is>
          <t>https://www.muenchenstein.ch/_rte/abstimmung/143045</t>
        </is>
      </c>
      <c r="E143" s="12" t="inlineStr">
        <is>
          <t>Formulierte Verfassungsinitiative "Für eine wirkungsvolle Kooperation in der Region (Regio-Kooperationsinitiative)"</t>
        </is>
      </c>
      <c r="F143" s="12" t="inlineStr">
        <is>
          <t>nein</t>
        </is>
      </c>
      <c r="G143" s="12" t="inlineStr">
        <is>
          <t>https://www.muenchenstein.ch/abstimmungen/vorlagen</t>
        </is>
      </c>
      <c r="H143" s="12" t="inlineStr">
        <is>
          <t>Unterseite</t>
        </is>
      </c>
      <c r="I143" s="12" t="inlineStr">
        <is>
          <t>Nein</t>
        </is>
      </c>
      <c r="J143" s="12" t="inlineStr">
        <is>
          <t>Ungeprüft – nicht kuratiert</t>
        </is>
      </c>
    </row>
    <row r="144">
      <c r="A144" s="12" t="inlineStr">
        <is>
          <t>Münchenstein</t>
        </is>
      </c>
      <c r="B144" s="12" t="inlineStr">
        <is>
          <t>Basel-Landschaft</t>
        </is>
      </c>
      <c r="C144" s="12" t="inlineStr">
        <is>
          <t>C5</t>
        </is>
      </c>
      <c r="D144" s="16" t="inlineStr">
        <is>
          <t>https://www.muenchenstein.ch/_rte/abstimmung/143046</t>
        </is>
      </c>
      <c r="E144" s="12" t="inlineStr">
        <is>
          <t>Änderung des Gesetzes über die politischen Rechte (e-Voting und amtliche Information bei Majorzwahlen)</t>
        </is>
      </c>
      <c r="F144" s="12" t="inlineStr">
        <is>
          <t>nein</t>
        </is>
      </c>
      <c r="G144" s="12" t="inlineStr">
        <is>
          <t>https://www.muenchenstein.ch/abstimmungen/vorlagen</t>
        </is>
      </c>
      <c r="H144" s="12" t="inlineStr">
        <is>
          <t>Unterseite</t>
        </is>
      </c>
      <c r="I144" s="12" t="inlineStr">
        <is>
          <t>Nein</t>
        </is>
      </c>
      <c r="J144" s="12" t="inlineStr">
        <is>
          <t>Ungeprüft – nicht kuratiert</t>
        </is>
      </c>
    </row>
    <row r="145">
      <c r="A145" s="12" t="inlineStr">
        <is>
          <t>Münchenstein</t>
        </is>
      </c>
      <c r="B145" s="12" t="inlineStr">
        <is>
          <t>Basel-Landschaft</t>
        </is>
      </c>
      <c r="C145" s="12" t="inlineStr">
        <is>
          <t>C5</t>
        </is>
      </c>
      <c r="D145" s="16" t="inlineStr">
        <is>
          <t>https://www.muenchenstein.ch/_rte/abstimmung/145283</t>
        </is>
      </c>
      <c r="E145" s="12" t="inlineStr">
        <is>
          <t>Formulierte Gesetzesinitiative "Für eine unbürokratische bezahlbare familienergänzende Kinderbetreuung im Frühbereich" und Gegenvorschlag des Regierungsrates</t>
        </is>
      </c>
      <c r="F145" s="12" t="inlineStr">
        <is>
          <t>nein</t>
        </is>
      </c>
      <c r="G145" s="12" t="inlineStr">
        <is>
          <t>https://www.muenchenstein.ch/abstimmungen/vorlagen</t>
        </is>
      </c>
      <c r="H145" s="12" t="inlineStr">
        <is>
          <t>Unterseite</t>
        </is>
      </c>
      <c r="I145" s="12" t="inlineStr">
        <is>
          <t>Nein</t>
        </is>
      </c>
      <c r="J145" s="12" t="inlineStr">
        <is>
          <t>Ungeprüft – nicht kuratiert</t>
        </is>
      </c>
    </row>
    <row r="146">
      <c r="A146" s="12" t="inlineStr">
        <is>
          <t>Münchenstein</t>
        </is>
      </c>
      <c r="B146" s="12" t="inlineStr">
        <is>
          <t>Basel-Landschaft</t>
        </is>
      </c>
      <c r="C146" s="12" t="inlineStr">
        <is>
          <t>C5</t>
        </is>
      </c>
      <c r="D146" s="16" t="inlineStr">
        <is>
          <t>https://www.muenchenstein.ch/_rte/abstimmung/145285</t>
        </is>
      </c>
      <c r="E146" s="12" t="inlineStr">
        <is>
          <t>Landratsbeschluss betreffend "ELBA, Entwicklungsplanung Leimental - Birseck - Allschwil"; Stossrichtungsentscheid und Planungs- und Projektierungskredit</t>
        </is>
      </c>
      <c r="F146" s="12" t="inlineStr">
        <is>
          <t>nein</t>
        </is>
      </c>
      <c r="G146" s="12" t="inlineStr">
        <is>
          <t>https://www.muenchenstein.ch/abstimmungen/vorlagen</t>
        </is>
      </c>
      <c r="H146" s="12" t="inlineStr">
        <is>
          <t>Unterseite</t>
        </is>
      </c>
      <c r="I146" s="12" t="inlineStr">
        <is>
          <t>Nein</t>
        </is>
      </c>
      <c r="J146" s="12" t="inlineStr">
        <is>
          <t>Ungeprüft – nicht kuratiert</t>
        </is>
      </c>
    </row>
    <row r="147">
      <c r="A147" s="12" t="inlineStr">
        <is>
          <t>Münchenstein</t>
        </is>
      </c>
      <c r="B147" s="12" t="inlineStr">
        <is>
          <t>Basel-Landschaft</t>
        </is>
      </c>
      <c r="C147" s="12" t="inlineStr">
        <is>
          <t>C5</t>
        </is>
      </c>
      <c r="D147" s="16" t="inlineStr">
        <is>
          <t>https://www.muenchenstein.ch/_rte/abstimmung/147755</t>
        </is>
      </c>
      <c r="E147" s="12" t="inlineStr">
        <is>
          <t>Volksinitiative "Für Ehe und Familie - gegen die Heiratsstrafe"</t>
        </is>
      </c>
      <c r="F147" s="12" t="inlineStr">
        <is>
          <t>nein</t>
        </is>
      </c>
      <c r="G147" s="12" t="inlineStr">
        <is>
          <t>https://www.muenchenstein.ch/abstimmungen/vorlagen</t>
        </is>
      </c>
      <c r="H147" s="12" t="inlineStr">
        <is>
          <t>Unterseite</t>
        </is>
      </c>
      <c r="I147" s="12" t="inlineStr">
        <is>
          <t>Nein</t>
        </is>
      </c>
      <c r="J147" s="12" t="inlineStr">
        <is>
          <t>Ungeprüft – nicht kuratiert</t>
        </is>
      </c>
    </row>
    <row r="148">
      <c r="A148" s="12" t="inlineStr">
        <is>
          <t>Münchenstein</t>
        </is>
      </c>
      <c r="B148" s="12" t="inlineStr">
        <is>
          <t>Basel-Landschaft</t>
        </is>
      </c>
      <c r="C148" s="12" t="inlineStr">
        <is>
          <t>C5</t>
        </is>
      </c>
      <c r="D148" s="16" t="inlineStr">
        <is>
          <t>https://www.muenchenstein.ch/_rte/abstimmung/147756</t>
        </is>
      </c>
      <c r="E148" s="12" t="inlineStr">
        <is>
          <t>Durchsetzungsinitiative</t>
        </is>
      </c>
      <c r="F148" s="12" t="inlineStr">
        <is>
          <t>nein</t>
        </is>
      </c>
      <c r="G148" s="12" t="inlineStr">
        <is>
          <t>https://www.muenchenstein.ch/abstimmungen/vorlagen</t>
        </is>
      </c>
      <c r="H148" s="12" t="inlineStr">
        <is>
          <t>Unterseite</t>
        </is>
      </c>
      <c r="I148" s="12" t="inlineStr">
        <is>
          <t>Nein</t>
        </is>
      </c>
      <c r="J148" s="12" t="inlineStr">
        <is>
          <t>Ungeprüft – nicht kuratiert</t>
        </is>
      </c>
    </row>
    <row r="149">
      <c r="A149" s="12" t="inlineStr">
        <is>
          <t>Münchenstein</t>
        </is>
      </c>
      <c r="B149" s="12" t="inlineStr">
        <is>
          <t>Basel-Landschaft</t>
        </is>
      </c>
      <c r="C149" s="12" t="inlineStr">
        <is>
          <t>C5</t>
        </is>
      </c>
      <c r="D149" s="16" t="inlineStr">
        <is>
          <t>https://www.muenchenstein.ch/_rte/abstimmung/147757</t>
        </is>
      </c>
      <c r="E149" s="12" t="inlineStr">
        <is>
          <t>Volksinitiative "Keine Spekulation mit Nahrungsmitteln!"</t>
        </is>
      </c>
      <c r="F149" s="12" t="inlineStr">
        <is>
          <t>nein</t>
        </is>
      </c>
      <c r="G149" s="12" t="inlineStr">
        <is>
          <t>https://www.muenchenstein.ch/abstimmungen/vorlagen</t>
        </is>
      </c>
      <c r="H149" s="12" t="inlineStr">
        <is>
          <t>Unterseite</t>
        </is>
      </c>
      <c r="I149" s="12" t="inlineStr">
        <is>
          <t>Nein</t>
        </is>
      </c>
      <c r="J149" s="12" t="inlineStr">
        <is>
          <t>Ungeprüft – nicht kuratiert</t>
        </is>
      </c>
    </row>
    <row r="150">
      <c r="A150" s="12" t="inlineStr">
        <is>
          <t>Münchenstein</t>
        </is>
      </c>
      <c r="B150" s="12" t="inlineStr">
        <is>
          <t>Basel-Landschaft</t>
        </is>
      </c>
      <c r="C150" s="12" t="inlineStr">
        <is>
          <t>C5</t>
        </is>
      </c>
      <c r="D150" s="16" t="inlineStr">
        <is>
          <t>https://www.muenchenstein.ch/_rte/abstimmung/147758</t>
        </is>
      </c>
      <c r="E150" s="12" t="inlineStr">
        <is>
          <t>Änderung des Bundesgesetzes über den Strassentransitverkehr im Alpengebiet (Sanierung Gotthard-Strassentunnel)</t>
        </is>
      </c>
      <c r="F150" s="12" t="inlineStr">
        <is>
          <t>nein</t>
        </is>
      </c>
      <c r="G150" s="12" t="inlineStr">
        <is>
          <t>https://www.muenchenstein.ch/abstimmungen/vorlagen</t>
        </is>
      </c>
      <c r="H150" s="12" t="inlineStr">
        <is>
          <t>Unterseite</t>
        </is>
      </c>
      <c r="I150" s="12" t="inlineStr">
        <is>
          <t>Nein</t>
        </is>
      </c>
      <c r="J150" s="12" t="inlineStr">
        <is>
          <t>Ungeprüft – nicht kuratiert</t>
        </is>
      </c>
    </row>
    <row r="151">
      <c r="A151" s="12" t="inlineStr">
        <is>
          <t>Münchenstein</t>
        </is>
      </c>
      <c r="B151" s="12" t="inlineStr">
        <is>
          <t>Basel-Landschaft</t>
        </is>
      </c>
      <c r="C151" s="12" t="inlineStr">
        <is>
          <t>C5</t>
        </is>
      </c>
      <c r="D151" s="16" t="inlineStr">
        <is>
          <t>https://www.muenchenstein.ch/_rte/abstimmung/151673</t>
        </is>
      </c>
      <c r="E151" s="12" t="inlineStr">
        <is>
          <t>Volksinitiative "Pro Service public"</t>
        </is>
      </c>
      <c r="F151" s="12" t="inlineStr">
        <is>
          <t>nein</t>
        </is>
      </c>
      <c r="G151" s="12" t="inlineStr">
        <is>
          <t>https://www.muenchenstein.ch/abstimmungen/vorlagen</t>
        </is>
      </c>
      <c r="H151" s="12" t="inlineStr">
        <is>
          <t>Unterseite</t>
        </is>
      </c>
      <c r="I151" s="12" t="inlineStr">
        <is>
          <t>Nein</t>
        </is>
      </c>
      <c r="J151" s="12" t="inlineStr">
        <is>
          <t>Ungeprüft – nicht kuratiert</t>
        </is>
      </c>
    </row>
    <row r="152">
      <c r="A152" s="12" t="inlineStr">
        <is>
          <t>Münchenstein</t>
        </is>
      </c>
      <c r="B152" s="12" t="inlineStr">
        <is>
          <t>Basel-Landschaft</t>
        </is>
      </c>
      <c r="C152" s="12" t="inlineStr">
        <is>
          <t>C5</t>
        </is>
      </c>
      <c r="D152" s="16" t="inlineStr">
        <is>
          <t>https://www.muenchenstein.ch/_rte/abstimmung/151681</t>
        </is>
      </c>
      <c r="E152" s="12" t="inlineStr">
        <is>
          <t>Volksinitiative "Für ein bedingungsloses Grundeinkommen"</t>
        </is>
      </c>
      <c r="F152" s="12" t="inlineStr">
        <is>
          <t>nein</t>
        </is>
      </c>
      <c r="G152" s="12" t="inlineStr">
        <is>
          <t>https://www.muenchenstein.ch/abstimmungen/vorlagen</t>
        </is>
      </c>
      <c r="H152" s="12" t="inlineStr">
        <is>
          <t>Unterseite</t>
        </is>
      </c>
      <c r="I152" s="12" t="inlineStr">
        <is>
          <t>Nein</t>
        </is>
      </c>
      <c r="J152" s="12" t="inlineStr">
        <is>
          <t>Ungeprüft – nicht kuratiert</t>
        </is>
      </c>
    </row>
    <row r="153">
      <c r="A153" s="12" t="inlineStr">
        <is>
          <t>Münchenstein</t>
        </is>
      </c>
      <c r="B153" s="12" t="inlineStr">
        <is>
          <t>Basel-Landschaft</t>
        </is>
      </c>
      <c r="C153" s="12" t="inlineStr">
        <is>
          <t>C5</t>
        </is>
      </c>
      <c r="D153" s="16" t="inlineStr">
        <is>
          <t>https://www.muenchenstein.ch/_rte/abstimmung/151682</t>
        </is>
      </c>
      <c r="E153" s="12" t="inlineStr">
        <is>
          <t>Volksinitiative "Für eine faire Verkehrsfinanzierung"</t>
        </is>
      </c>
      <c r="F153" s="12" t="inlineStr">
        <is>
          <t>nein</t>
        </is>
      </c>
      <c r="G153" s="12" t="inlineStr">
        <is>
          <t>https://www.muenchenstein.ch/abstimmungen/vorlagen</t>
        </is>
      </c>
      <c r="H153" s="12" t="inlineStr">
        <is>
          <t>Unterseite</t>
        </is>
      </c>
      <c r="I153" s="12" t="inlineStr">
        <is>
          <t>Nein</t>
        </is>
      </c>
      <c r="J153" s="12" t="inlineStr">
        <is>
          <t>Ungeprüft – nicht kuratiert</t>
        </is>
      </c>
    </row>
    <row r="154">
      <c r="A154" s="12" t="inlineStr">
        <is>
          <t>Münchenstein</t>
        </is>
      </c>
      <c r="B154" s="12" t="inlineStr">
        <is>
          <t>Basel-Landschaft</t>
        </is>
      </c>
      <c r="C154" s="12" t="inlineStr">
        <is>
          <t>C5</t>
        </is>
      </c>
      <c r="D154" s="16" t="inlineStr">
        <is>
          <t>https://www.muenchenstein.ch/_rte/abstimmung/151683</t>
        </is>
      </c>
      <c r="E154" s="12" t="inlineStr">
        <is>
          <t>Änderung des Bundesgesetzes über die medizinisch unterstützte Fortpflanzung (Fortpflanzungsmedizingesetz, FMedG)</t>
        </is>
      </c>
      <c r="F154" s="12" t="inlineStr">
        <is>
          <t>nein</t>
        </is>
      </c>
      <c r="G154" s="12" t="inlineStr">
        <is>
          <t>https://www.muenchenstein.ch/abstimmungen/vorlagen</t>
        </is>
      </c>
      <c r="H154" s="12" t="inlineStr">
        <is>
          <t>Unterseite</t>
        </is>
      </c>
      <c r="I154" s="12" t="inlineStr">
        <is>
          <t>Nein</t>
        </is>
      </c>
      <c r="J154" s="12" t="inlineStr">
        <is>
          <t>Ungeprüft – nicht kuratiert</t>
        </is>
      </c>
    </row>
    <row r="155">
      <c r="A155" s="12" t="inlineStr">
        <is>
          <t>Münchenstein</t>
        </is>
      </c>
      <c r="B155" s="12" t="inlineStr">
        <is>
          <t>Basel-Landschaft</t>
        </is>
      </c>
      <c r="C155" s="12" t="inlineStr">
        <is>
          <t>C5</t>
        </is>
      </c>
      <c r="D155" s="16" t="inlineStr">
        <is>
          <t>https://www.muenchenstein.ch/_rte/abstimmung/151684</t>
        </is>
      </c>
      <c r="E155" s="12" t="inlineStr">
        <is>
          <t>Änderung des Asylgesetzes (AsylG)</t>
        </is>
      </c>
      <c r="F155" s="12" t="inlineStr">
        <is>
          <t>nein</t>
        </is>
      </c>
      <c r="G155" s="12" t="inlineStr">
        <is>
          <t>https://www.muenchenstein.ch/abstimmungen/vorlagen</t>
        </is>
      </c>
      <c r="H155" s="12" t="inlineStr">
        <is>
          <t>Unterseite</t>
        </is>
      </c>
      <c r="I155" s="12" t="inlineStr">
        <is>
          <t>Nein</t>
        </is>
      </c>
      <c r="J155" s="12" t="inlineStr">
        <is>
          <t>Ungeprüft – nicht kuratiert</t>
        </is>
      </c>
    </row>
    <row r="156">
      <c r="A156" s="12" t="inlineStr">
        <is>
          <t>Münchenstein</t>
        </is>
      </c>
      <c r="B156" s="12" t="inlineStr">
        <is>
          <t>Basel-Landschaft</t>
        </is>
      </c>
      <c r="C156" s="12" t="inlineStr">
        <is>
          <t>C5</t>
        </is>
      </c>
      <c r="D156" s="16" t="inlineStr">
        <is>
          <t>https://www.muenchenstein.ch/_rte/abstimmung/151685</t>
        </is>
      </c>
      <c r="E156" s="12" t="inlineStr">
        <is>
          <t>Formulierte Verfassungsinitiative "Für eine bedarfsgerechte familienergänzende Kinderbetreuung"</t>
        </is>
      </c>
      <c r="F156" s="12" t="inlineStr">
        <is>
          <t>nein</t>
        </is>
      </c>
      <c r="G156" s="12" t="inlineStr">
        <is>
          <t>https://www.muenchenstein.ch/abstimmungen/vorlagen</t>
        </is>
      </c>
      <c r="H156" s="12" t="inlineStr">
        <is>
          <t>Unterseite</t>
        </is>
      </c>
      <c r="I156" s="12" t="inlineStr">
        <is>
          <t>Nein</t>
        </is>
      </c>
      <c r="J156" s="12" t="inlineStr">
        <is>
          <t>Ungeprüft – nicht kuratiert</t>
        </is>
      </c>
    </row>
    <row r="157">
      <c r="A157" s="12" t="inlineStr">
        <is>
          <t>Münchenstein</t>
        </is>
      </c>
      <c r="B157" s="12" t="inlineStr">
        <is>
          <t>Basel-Landschaft</t>
        </is>
      </c>
      <c r="C157" s="12" t="inlineStr">
        <is>
          <t>C5</t>
        </is>
      </c>
      <c r="D157" s="16" t="inlineStr">
        <is>
          <t>https://www.muenchenstein.ch/_rte/abstimmung/151686</t>
        </is>
      </c>
      <c r="E157" s="12" t="inlineStr">
        <is>
          <t>Änderung des Bildungsgesetzes (Parlamentarische Initiative "Einführung Lehrplan 21")</t>
        </is>
      </c>
      <c r="F157" s="12" t="inlineStr">
        <is>
          <t>nein</t>
        </is>
      </c>
      <c r="G157" s="12" t="inlineStr">
        <is>
          <t>https://www.muenchenstein.ch/abstimmungen/vorlagen</t>
        </is>
      </c>
      <c r="H157" s="12" t="inlineStr">
        <is>
          <t>Unterseite</t>
        </is>
      </c>
      <c r="I157" s="12" t="inlineStr">
        <is>
          <t>Nein</t>
        </is>
      </c>
      <c r="J157" s="12" t="inlineStr">
        <is>
          <t>Ungeprüft – nicht kuratiert</t>
        </is>
      </c>
    </row>
    <row r="158">
      <c r="A158" s="12" t="inlineStr">
        <is>
          <t>Münchenstein</t>
        </is>
      </c>
      <c r="B158" s="12" t="inlineStr">
        <is>
          <t>Basel-Landschaft</t>
        </is>
      </c>
      <c r="C158" s="12" t="inlineStr">
        <is>
          <t>C5</t>
        </is>
      </c>
      <c r="D158" s="16" t="inlineStr">
        <is>
          <t>https://www.muenchenstein.ch/_rte/abstimmung/151687</t>
        </is>
      </c>
      <c r="E158" s="12" t="inlineStr">
        <is>
          <t>Änderung des Bildungsgesetzes (Parlamentarische Initiative "Verzicht auf kostentreibende Sammelfächer")</t>
        </is>
      </c>
      <c r="F158" s="12" t="inlineStr">
        <is>
          <t>nein</t>
        </is>
      </c>
      <c r="G158" s="12" t="inlineStr">
        <is>
          <t>https://www.muenchenstein.ch/abstimmungen/vorlagen</t>
        </is>
      </c>
      <c r="H158" s="12" t="inlineStr">
        <is>
          <t>Unterseite</t>
        </is>
      </c>
      <c r="I158" s="12" t="inlineStr">
        <is>
          <t>Nein</t>
        </is>
      </c>
      <c r="J158" s="12" t="inlineStr">
        <is>
          <t>Ungeprüft – nicht kuratiert</t>
        </is>
      </c>
    </row>
    <row r="159">
      <c r="A159" s="12" t="inlineStr">
        <is>
          <t>Münchenstein</t>
        </is>
      </c>
      <c r="B159" s="12" t="inlineStr">
        <is>
          <t>Basel-Landschaft</t>
        </is>
      </c>
      <c r="C159" s="12" t="inlineStr">
        <is>
          <t>C5</t>
        </is>
      </c>
      <c r="D159" s="16" t="inlineStr">
        <is>
          <t>https://www.muenchenstein.ch/_rte/abstimmung/151688</t>
        </is>
      </c>
      <c r="E159" s="12" t="inlineStr">
        <is>
          <t>Änderung des Gerichtsorganisationsgesetzes (Parlamentarische Initiative "Für eine unparteiische Justiz")</t>
        </is>
      </c>
      <c r="F159" s="12" t="inlineStr">
        <is>
          <t>nein</t>
        </is>
      </c>
      <c r="G159" s="12" t="inlineStr">
        <is>
          <t>https://www.muenchenstein.ch/abstimmungen/vorlagen</t>
        </is>
      </c>
      <c r="H159" s="12" t="inlineStr">
        <is>
          <t>Unterseite</t>
        </is>
      </c>
      <c r="I159" s="12" t="inlineStr">
        <is>
          <t>Nein</t>
        </is>
      </c>
      <c r="J159" s="12" t="inlineStr">
        <is>
          <t>Ungeprüft – nicht kuratiert</t>
        </is>
      </c>
    </row>
    <row r="160">
      <c r="A160" s="12" t="inlineStr">
        <is>
          <t>Münchenstein</t>
        </is>
      </c>
      <c r="B160" s="12" t="inlineStr">
        <is>
          <t>Basel-Landschaft</t>
        </is>
      </c>
      <c r="C160" s="12" t="inlineStr">
        <is>
          <t>C5</t>
        </is>
      </c>
      <c r="D160" s="16" t="inlineStr">
        <is>
          <t>https://www.muenchenstein.ch/_rte/abstimmung/151689</t>
        </is>
      </c>
      <c r="E160" s="12" t="inlineStr">
        <is>
          <t>Landratsbeschluss betreffend Umsetzung der Pensionskassengesetz-Reform beim Vorsorgewerk der Universität Basel in der Pensionskasse des Kantons Basel-Stadt; partnerschaftliches Geschäft</t>
        </is>
      </c>
      <c r="F160" s="12" t="inlineStr">
        <is>
          <t>nein</t>
        </is>
      </c>
      <c r="G160" s="12" t="inlineStr">
        <is>
          <t>https://www.muenchenstein.ch/abstimmungen/vorlagen</t>
        </is>
      </c>
      <c r="H160" s="12" t="inlineStr">
        <is>
          <t>Unterseite</t>
        </is>
      </c>
      <c r="I160" s="12" t="inlineStr">
        <is>
          <t>Nein</t>
        </is>
      </c>
      <c r="J160" s="12" t="inlineStr">
        <is>
          <t>Ungeprüft – nicht kuratiert</t>
        </is>
      </c>
    </row>
    <row r="161">
      <c r="A161" s="12" t="inlineStr">
        <is>
          <t>Münchenstein</t>
        </is>
      </c>
      <c r="B161" s="12" t="inlineStr">
        <is>
          <t>Basel-Landschaft</t>
        </is>
      </c>
      <c r="C161" s="12" t="inlineStr">
        <is>
          <t>C5</t>
        </is>
      </c>
      <c r="D161" s="16" t="inlineStr">
        <is>
          <t>https://www.muenchenstein.ch/_rte/abstimmung/151690</t>
        </is>
      </c>
      <c r="E161" s="12" t="inlineStr">
        <is>
          <t>Änderung des Bildungsgesetzes (Nichtformulierte Volksinitiative "Bildungsqualität auch für schulisch Schwächere")</t>
        </is>
      </c>
      <c r="F161" s="12" t="inlineStr">
        <is>
          <t>nein</t>
        </is>
      </c>
      <c r="G161" s="12" t="inlineStr">
        <is>
          <t>https://www.muenchenstein.ch/abstimmungen/vorlagen</t>
        </is>
      </c>
      <c r="H161" s="12" t="inlineStr">
        <is>
          <t>Unterseite</t>
        </is>
      </c>
      <c r="I161" s="12" t="inlineStr">
        <is>
          <t>Nein</t>
        </is>
      </c>
      <c r="J161" s="12" t="inlineStr">
        <is>
          <t>Ungeprüft – nicht kuratiert</t>
        </is>
      </c>
    </row>
    <row r="162">
      <c r="A162" s="12" t="inlineStr">
        <is>
          <t>Münchenstein</t>
        </is>
      </c>
      <c r="B162" s="12" t="inlineStr">
        <is>
          <t>Basel-Landschaft</t>
        </is>
      </c>
      <c r="C162" s="12" t="inlineStr">
        <is>
          <t>C5</t>
        </is>
      </c>
      <c r="D162" s="16" t="inlineStr">
        <is>
          <t>https://www.muenchenstein.ch/_rte/abstimmung/154765</t>
        </is>
      </c>
      <c r="E162" s="12" t="inlineStr">
        <is>
          <t>Volksinitiative "Für eine nachhaltige und ressourceneffiziente Wirtschaft (Grüne Wirtschaft)"</t>
        </is>
      </c>
      <c r="F162" s="12" t="inlineStr">
        <is>
          <t>nein</t>
        </is>
      </c>
      <c r="G162" s="12" t="inlineStr">
        <is>
          <t>https://www.muenchenstein.ch/abstimmungen/vorlagen</t>
        </is>
      </c>
      <c r="H162" s="12" t="inlineStr">
        <is>
          <t>Unterseite</t>
        </is>
      </c>
      <c r="I162" s="12" t="inlineStr">
        <is>
          <t>Nein</t>
        </is>
      </c>
      <c r="J162" s="12" t="inlineStr">
        <is>
          <t>Ungeprüft – nicht kuratiert</t>
        </is>
      </c>
    </row>
    <row r="163">
      <c r="A163" s="12" t="inlineStr">
        <is>
          <t>Münchenstein</t>
        </is>
      </c>
      <c r="B163" s="12" t="inlineStr">
        <is>
          <t>Basel-Landschaft</t>
        </is>
      </c>
      <c r="C163" s="12" t="inlineStr">
        <is>
          <t>C5</t>
        </is>
      </c>
      <c r="D163" s="16" t="inlineStr">
        <is>
          <t>https://www.muenchenstein.ch/_rte/abstimmung/154766</t>
        </is>
      </c>
      <c r="E163" s="12" t="inlineStr">
        <is>
          <t>Volksinitiative "AHVplus: für eine starke AHV"</t>
        </is>
      </c>
      <c r="F163" s="12" t="inlineStr">
        <is>
          <t>nein</t>
        </is>
      </c>
      <c r="G163" s="12" t="inlineStr">
        <is>
          <t>https://www.muenchenstein.ch/abstimmungen/vorlagen</t>
        </is>
      </c>
      <c r="H163" s="12" t="inlineStr">
        <is>
          <t>Unterseite</t>
        </is>
      </c>
      <c r="I163" s="12" t="inlineStr">
        <is>
          <t>Nein</t>
        </is>
      </c>
      <c r="J163" s="12" t="inlineStr">
        <is>
          <t>Ungeprüft – nicht kuratiert</t>
        </is>
      </c>
    </row>
    <row r="164">
      <c r="A164" s="12" t="inlineStr">
        <is>
          <t>Münchenstein</t>
        </is>
      </c>
      <c r="B164" s="12" t="inlineStr">
        <is>
          <t>Basel-Landschaft</t>
        </is>
      </c>
      <c r="C164" s="12" t="inlineStr">
        <is>
          <t>C5</t>
        </is>
      </c>
      <c r="D164" s="16" t="inlineStr">
        <is>
          <t>https://www.muenchenstein.ch/_rte/abstimmung/154767</t>
        </is>
      </c>
      <c r="E164" s="12" t="inlineStr">
        <is>
          <t>Bundesgesetz über den Nachrichtendienst (Nachrichtendienstgesetz, NDG)</t>
        </is>
      </c>
      <c r="F164" s="12" t="inlineStr">
        <is>
          <t>nein</t>
        </is>
      </c>
      <c r="G164" s="12" t="inlineStr">
        <is>
          <t>https://www.muenchenstein.ch/abstimmungen/vorlagen</t>
        </is>
      </c>
      <c r="H164" s="12" t="inlineStr">
        <is>
          <t>Unterseite</t>
        </is>
      </c>
      <c r="I164" s="12" t="inlineStr">
        <is>
          <t>Nein</t>
        </is>
      </c>
      <c r="J164" s="12" t="inlineStr">
        <is>
          <t>Ungeprüft – nicht kuratiert</t>
        </is>
      </c>
    </row>
    <row r="165">
      <c r="A165" s="12" t="inlineStr">
        <is>
          <t>Münchenstein</t>
        </is>
      </c>
      <c r="B165" s="12" t="inlineStr">
        <is>
          <t>Basel-Landschaft</t>
        </is>
      </c>
      <c r="C165" s="12" t="inlineStr">
        <is>
          <t>C5</t>
        </is>
      </c>
      <c r="D165" s="16" t="inlineStr">
        <is>
          <t>https://www.muenchenstein.ch/_rte/abstimmung/156436</t>
        </is>
      </c>
      <c r="E165" s="12" t="inlineStr">
        <is>
          <t>Volksinitiative "Für den geordneten Ausstieg aus der Atomenergie (Atomausstiegsinitiative)"</t>
        </is>
      </c>
      <c r="F165" s="12" t="inlineStr">
        <is>
          <t>nein</t>
        </is>
      </c>
      <c r="G165" s="12" t="inlineStr">
        <is>
          <t>https://www.muenchenstein.ch/abstimmungen/vorlagen</t>
        </is>
      </c>
      <c r="H165" s="12" t="inlineStr">
        <is>
          <t>Unterseite</t>
        </is>
      </c>
      <c r="I165" s="12" t="inlineStr">
        <is>
          <t>Nein</t>
        </is>
      </c>
      <c r="J165" s="12" t="inlineStr">
        <is>
          <t>Ungeprüft – nicht kuratiert</t>
        </is>
      </c>
    </row>
    <row r="166">
      <c r="A166" s="12" t="inlineStr">
        <is>
          <t>Münchenstein</t>
        </is>
      </c>
      <c r="B166" s="12" t="inlineStr">
        <is>
          <t>Basel-Landschaft</t>
        </is>
      </c>
      <c r="C166" s="12" t="inlineStr">
        <is>
          <t>C5</t>
        </is>
      </c>
      <c r="D166" s="16" t="inlineStr">
        <is>
          <t>https://www.muenchenstein.ch/_rte/abstimmung/156437</t>
        </is>
      </c>
      <c r="E166" s="12" t="inlineStr">
        <is>
          <t>Formulierte Gesetzesinitiative "zur Verkehrs-Kapazitätssicherung der Rheinstrasse zwischen Pratteln und Liestal" mit Gegenvorschlag des Landrats</t>
        </is>
      </c>
      <c r="F166" s="12" t="inlineStr">
        <is>
          <t>nein</t>
        </is>
      </c>
      <c r="G166" s="12" t="inlineStr">
        <is>
          <t>https://www.muenchenstein.ch/abstimmungen/vorlagen</t>
        </is>
      </c>
      <c r="H166" s="12" t="inlineStr">
        <is>
          <t>Unterseite</t>
        </is>
      </c>
      <c r="I166" s="12" t="inlineStr">
        <is>
          <t>Nein</t>
        </is>
      </c>
      <c r="J166" s="12" t="inlineStr">
        <is>
          <t>Ungeprüft – nicht kuratiert</t>
        </is>
      </c>
    </row>
    <row r="167">
      <c r="A167" s="12" t="inlineStr">
        <is>
          <t>Münchenstein</t>
        </is>
      </c>
      <c r="B167" s="12" t="inlineStr">
        <is>
          <t>Basel-Landschaft</t>
        </is>
      </c>
      <c r="C167" s="12" t="inlineStr">
        <is>
          <t>C5</t>
        </is>
      </c>
      <c r="D167" s="16" t="inlineStr">
        <is>
          <t>https://www.muenchenstein.ch/_rte/abstimmung/156438</t>
        </is>
      </c>
      <c r="E167" s="12" t="inlineStr">
        <is>
          <t>Lanratsbeschluss betreffend Anpassung des Kantonalen Richtplans Basel-Landschaft (KRIP)</t>
        </is>
      </c>
      <c r="F167" s="12" t="inlineStr">
        <is>
          <t>nein</t>
        </is>
      </c>
      <c r="G167" s="12" t="inlineStr">
        <is>
          <t>https://www.muenchenstein.ch/abstimmungen/vorlagen</t>
        </is>
      </c>
      <c r="H167" s="12" t="inlineStr">
        <is>
          <t>Unterseite</t>
        </is>
      </c>
      <c r="I167" s="12" t="inlineStr">
        <is>
          <t>Nein</t>
        </is>
      </c>
      <c r="J167" s="12" t="inlineStr">
        <is>
          <t>Ungeprüft – nicht kuratiert</t>
        </is>
      </c>
    </row>
    <row r="168">
      <c r="A168" s="12" t="inlineStr">
        <is>
          <t>Münchenstein</t>
        </is>
      </c>
      <c r="B168" s="12" t="inlineStr">
        <is>
          <t>Basel-Landschaft</t>
        </is>
      </c>
      <c r="C168" s="12" t="inlineStr">
        <is>
          <t>C5</t>
        </is>
      </c>
      <c r="D168" s="16" t="inlineStr">
        <is>
          <t>https://www.muenchenstein.ch/_rte/abstimmung/156443</t>
        </is>
      </c>
      <c r="E168" s="12" t="inlineStr">
        <is>
          <t>Einführung einer Energieabgabe zur Finanzierung von Fördermassnahmen im Energiebereich (Schaffung der Verfassungsgrundlage)</t>
        </is>
      </c>
      <c r="F168" s="12" t="inlineStr">
        <is>
          <t>nein</t>
        </is>
      </c>
      <c r="G168" s="12" t="inlineStr">
        <is>
          <t>https://www.muenchenstein.ch/abstimmungen/vorlagen</t>
        </is>
      </c>
      <c r="H168" s="12" t="inlineStr">
        <is>
          <t>Unterseite</t>
        </is>
      </c>
      <c r="I168" s="12" t="inlineStr">
        <is>
          <t>Nein</t>
        </is>
      </c>
      <c r="J168" s="12" t="inlineStr">
        <is>
          <t>Ungeprüft – nicht kuratiert</t>
        </is>
      </c>
    </row>
    <row r="169">
      <c r="A169" s="12" t="inlineStr">
        <is>
          <t>Münchenstein</t>
        </is>
      </c>
      <c r="B169" s="12" t="inlineStr">
        <is>
          <t>Basel-Landschaft</t>
        </is>
      </c>
      <c r="C169" s="12" t="inlineStr">
        <is>
          <t>C5</t>
        </is>
      </c>
      <c r="D169" s="16" t="inlineStr">
        <is>
          <t>https://www.muenchenstein.ch/_rte/abstimmung/156444</t>
        </is>
      </c>
      <c r="E169" s="12" t="inlineStr">
        <is>
          <t>Einführung einer Energieabgabe zur Finanzierung von Fördermassnahmen im Energiebereich (gesetzliche Regelung der Abgabe)</t>
        </is>
      </c>
      <c r="F169" s="12" t="inlineStr">
        <is>
          <t>nein</t>
        </is>
      </c>
      <c r="G169" s="12" t="inlineStr">
        <is>
          <t>https://www.muenchenstein.ch/abstimmungen/vorlagen</t>
        </is>
      </c>
      <c r="H169" s="12" t="inlineStr">
        <is>
          <t>Unterseite</t>
        </is>
      </c>
      <c r="I169" s="12" t="inlineStr">
        <is>
          <t>Nein</t>
        </is>
      </c>
      <c r="J169" s="12" t="inlineStr">
        <is>
          <t>Ungeprüft – nicht kuratiert</t>
        </is>
      </c>
    </row>
    <row r="170">
      <c r="A170" s="12" t="inlineStr">
        <is>
          <t>Münchenstein</t>
        </is>
      </c>
      <c r="B170" s="12" t="inlineStr">
        <is>
          <t>Basel-Landschaft</t>
        </is>
      </c>
      <c r="C170" s="12" t="inlineStr">
        <is>
          <t>C5</t>
        </is>
      </c>
      <c r="D170" s="16" t="inlineStr">
        <is>
          <t>https://www.muenchenstein.ch/_rte/abstimmung/156445</t>
        </is>
      </c>
      <c r="E170" s="12" t="inlineStr">
        <is>
          <t>Mutation Strassennetzplan Siedlung "Öffnung Muttenzerstrasse"</t>
        </is>
      </c>
      <c r="F170" s="12" t="inlineStr">
        <is>
          <t>nein</t>
        </is>
      </c>
      <c r="G170" s="12" t="inlineStr">
        <is>
          <t>https://www.muenchenstein.ch/abstimmungen/vorlagen</t>
        </is>
      </c>
      <c r="H170" s="12" t="inlineStr">
        <is>
          <t>Unterseite</t>
        </is>
      </c>
      <c r="I170" s="12" t="inlineStr">
        <is>
          <t>Nein</t>
        </is>
      </c>
      <c r="J170" s="12" t="inlineStr">
        <is>
          <t>Ungeprüft – nicht kuratiert</t>
        </is>
      </c>
    </row>
    <row r="171">
      <c r="A171" s="12" t="inlineStr">
        <is>
          <t>Münchenstein</t>
        </is>
      </c>
      <c r="B171" s="12" t="inlineStr">
        <is>
          <t>Basel-Landschaft</t>
        </is>
      </c>
      <c r="C171" s="12" t="inlineStr">
        <is>
          <t>C5</t>
        </is>
      </c>
      <c r="D171" s="16" t="inlineStr">
        <is>
          <t>https://www.muenchenstein.ch/_rte/abstimmung/158199</t>
        </is>
      </c>
      <c r="E171" s="12" t="inlineStr">
        <is>
          <t>Bundesbeschluss über die erleichterte Einbürgerung von Personen der dritten Ausländergeneration</t>
        </is>
      </c>
      <c r="F171" s="12" t="inlineStr">
        <is>
          <t>nein</t>
        </is>
      </c>
      <c r="G171" s="12" t="inlineStr">
        <is>
          <t>https://www.muenchenstein.ch/abstimmungen/vorlagen</t>
        </is>
      </c>
      <c r="H171" s="12" t="inlineStr">
        <is>
          <t>Unterseite</t>
        </is>
      </c>
      <c r="I171" s="12" t="inlineStr">
        <is>
          <t>Nein</t>
        </is>
      </c>
      <c r="J171" s="12" t="inlineStr">
        <is>
          <t>Ungeprüft – nicht kuratiert</t>
        </is>
      </c>
    </row>
    <row r="172">
      <c r="A172" s="12" t="inlineStr">
        <is>
          <t>Münchenstein</t>
        </is>
      </c>
      <c r="B172" s="12" t="inlineStr">
        <is>
          <t>Basel-Landschaft</t>
        </is>
      </c>
      <c r="C172" s="12" t="inlineStr">
        <is>
          <t>C5</t>
        </is>
      </c>
      <c r="D172" s="16" t="inlineStr">
        <is>
          <t>https://www.muenchenstein.ch/_rte/abstimmung/158204</t>
        </is>
      </c>
      <c r="E172" s="12" t="inlineStr">
        <is>
          <t>Unternehmenssteuerreformgesetz III</t>
        </is>
      </c>
      <c r="F172" s="12" t="inlineStr">
        <is>
          <t>nein</t>
        </is>
      </c>
      <c r="G172" s="12" t="inlineStr">
        <is>
          <t>https://www.muenchenstein.ch/abstimmungen/vorlagen</t>
        </is>
      </c>
      <c r="H172" s="12" t="inlineStr">
        <is>
          <t>Unterseite</t>
        </is>
      </c>
      <c r="I172" s="12" t="inlineStr">
        <is>
          <t>Nein</t>
        </is>
      </c>
      <c r="J172" s="12" t="inlineStr">
        <is>
          <t>Ungeprüft – nicht kuratiert</t>
        </is>
      </c>
    </row>
    <row r="173">
      <c r="A173" s="12" t="inlineStr">
        <is>
          <t>Münchenstein</t>
        </is>
      </c>
      <c r="B173" s="12" t="inlineStr">
        <is>
          <t>Basel-Landschaft</t>
        </is>
      </c>
      <c r="C173" s="12" t="inlineStr">
        <is>
          <t>C5</t>
        </is>
      </c>
      <c r="D173" s="16" t="inlineStr">
        <is>
          <t>https://www.muenchenstein.ch/_rte/abstimmung/160328</t>
        </is>
      </c>
      <c r="E173" s="12" t="inlineStr">
        <is>
          <t>Energiegesetz (EnG)</t>
        </is>
      </c>
      <c r="F173" s="12" t="inlineStr">
        <is>
          <t>nein</t>
        </is>
      </c>
      <c r="G173" s="12" t="inlineStr">
        <is>
          <t>https://www.muenchenstein.ch/abstimmungen/vorlagen</t>
        </is>
      </c>
      <c r="H173" s="12" t="inlineStr">
        <is>
          <t>Unterseite</t>
        </is>
      </c>
      <c r="I173" s="12" t="inlineStr">
        <is>
          <t>Nein</t>
        </is>
      </c>
      <c r="J173" s="12" t="inlineStr">
        <is>
          <t>Ungeprüft – nicht kuratiert</t>
        </is>
      </c>
    </row>
    <row r="174">
      <c r="A174" s="12" t="inlineStr">
        <is>
          <t>Münchenstein</t>
        </is>
      </c>
      <c r="B174" s="12" t="inlineStr">
        <is>
          <t>Basel-Landschaft</t>
        </is>
      </c>
      <c r="C174" s="12" t="inlineStr">
        <is>
          <t>C5</t>
        </is>
      </c>
      <c r="D174" s="16" t="inlineStr">
        <is>
          <t>https://www.muenchenstein.ch/_rte/abstimmung/160329</t>
        </is>
      </c>
      <c r="E174" s="12" t="inlineStr">
        <is>
          <t>Formulierte Gesetzesinitiative "Ja zum Bruderholzspital"</t>
        </is>
      </c>
      <c r="F174" s="12" t="inlineStr">
        <is>
          <t>nein</t>
        </is>
      </c>
      <c r="G174" s="12" t="inlineStr">
        <is>
          <t>https://www.muenchenstein.ch/abstimmungen/vorlagen</t>
        </is>
      </c>
      <c r="H174" s="12" t="inlineStr">
        <is>
          <t>Unterseite</t>
        </is>
      </c>
      <c r="I174" s="12" t="inlineStr">
        <is>
          <t>Nein</t>
        </is>
      </c>
      <c r="J174" s="12" t="inlineStr">
        <is>
          <t>Ungeprüft – nicht kuratiert</t>
        </is>
      </c>
    </row>
    <row r="175">
      <c r="A175" s="12" t="inlineStr">
        <is>
          <t>Münchenstein</t>
        </is>
      </c>
      <c r="B175" s="12" t="inlineStr">
        <is>
          <t>Basel-Landschaft</t>
        </is>
      </c>
      <c r="C175" s="12" t="inlineStr">
        <is>
          <t>C5</t>
        </is>
      </c>
      <c r="D175" s="16" t="inlineStr">
        <is>
          <t>https://www.muenchenstein.ch/_rte/abstimmung/160330</t>
        </is>
      </c>
      <c r="E175" s="12" t="inlineStr">
        <is>
          <t>Nicht formulierte Initiative "Ja zu fachlich kompetent ausgebildeten Lehrpersonen"</t>
        </is>
      </c>
      <c r="F175" s="12" t="inlineStr">
        <is>
          <t>nein</t>
        </is>
      </c>
      <c r="G175" s="12" t="inlineStr">
        <is>
          <t>https://www.muenchenstein.ch/abstimmungen/vorlagen</t>
        </is>
      </c>
      <c r="H175" s="12" t="inlineStr">
        <is>
          <t>Unterseite</t>
        </is>
      </c>
      <c r="I175" s="12" t="inlineStr">
        <is>
          <t>Nein</t>
        </is>
      </c>
      <c r="J175" s="12" t="inlineStr">
        <is>
          <t>Ungeprüft – nicht kuratiert</t>
        </is>
      </c>
    </row>
    <row r="176">
      <c r="A176" s="12" t="inlineStr">
        <is>
          <t>Münchenstein</t>
        </is>
      </c>
      <c r="B176" s="12" t="inlineStr">
        <is>
          <t>Basel-Landschaft</t>
        </is>
      </c>
      <c r="C176" s="12" t="inlineStr">
        <is>
          <t>C5</t>
        </is>
      </c>
      <c r="D176" s="16" t="inlineStr">
        <is>
          <t>https://www.muenchenstein.ch/_rte/abstimmung/160331</t>
        </is>
      </c>
      <c r="E176" s="12" t="inlineStr">
        <is>
          <t>Verfassungsänderung betreffend Abschaffung der Amtszeitbeschränkung für Mitglieder des Landrats</t>
        </is>
      </c>
      <c r="F176" s="12" t="inlineStr">
        <is>
          <t>nein</t>
        </is>
      </c>
      <c r="G176" s="12" t="inlineStr">
        <is>
          <t>https://www.muenchenstein.ch/abstimmungen/vorlagen</t>
        </is>
      </c>
      <c r="H176" s="12" t="inlineStr">
        <is>
          <t>Unterseite</t>
        </is>
      </c>
      <c r="I176" s="12" t="inlineStr">
        <is>
          <t>Nein</t>
        </is>
      </c>
      <c r="J176" s="12" t="inlineStr">
        <is>
          <t>Ungeprüft – nicht kuratiert</t>
        </is>
      </c>
    </row>
    <row r="177">
      <c r="A177" s="12" t="inlineStr">
        <is>
          <t>Münchenstein</t>
        </is>
      </c>
      <c r="B177" s="12" t="inlineStr">
        <is>
          <t>Basel-Landschaft</t>
        </is>
      </c>
      <c r="C177" s="12" t="inlineStr">
        <is>
          <t>C5</t>
        </is>
      </c>
      <c r="D177" s="16" t="inlineStr">
        <is>
          <t>https://www.muenchenstein.ch/_rte/abstimmung/161702</t>
        </is>
      </c>
      <c r="E177" s="12" t="inlineStr">
        <is>
          <t>Ernährungssicherheit</t>
        </is>
      </c>
      <c r="F177" s="12" t="inlineStr">
        <is>
          <t>nein</t>
        </is>
      </c>
      <c r="G177" s="12" t="inlineStr">
        <is>
          <t>https://www.muenchenstein.ch/abstimmungen/vorlagen</t>
        </is>
      </c>
      <c r="H177" s="12" t="inlineStr">
        <is>
          <t>Unterseite</t>
        </is>
      </c>
      <c r="I177" s="12" t="inlineStr">
        <is>
          <t>Nein</t>
        </is>
      </c>
      <c r="J177" s="12" t="inlineStr">
        <is>
          <t>Ungeprüft – nicht kuratiert</t>
        </is>
      </c>
    </row>
    <row r="178">
      <c r="A178" s="12" t="inlineStr">
        <is>
          <t>Münchenstein</t>
        </is>
      </c>
      <c r="B178" s="12" t="inlineStr">
        <is>
          <t>Basel-Landschaft</t>
        </is>
      </c>
      <c r="C178" s="12" t="inlineStr">
        <is>
          <t>C5</t>
        </is>
      </c>
      <c r="D178" s="16" t="inlineStr">
        <is>
          <t>https://www.muenchenstein.ch/_rte/abstimmung/161706</t>
        </is>
      </c>
      <c r="E178" s="12" t="inlineStr">
        <is>
          <t>Zusatzfinanzierung AHV</t>
        </is>
      </c>
      <c r="F178" s="12" t="inlineStr">
        <is>
          <t>nein</t>
        </is>
      </c>
      <c r="G178" s="12" t="inlineStr">
        <is>
          <t>https://www.muenchenstein.ch/abstimmungen/vorlagen</t>
        </is>
      </c>
      <c r="H178" s="12" t="inlineStr">
        <is>
          <t>Unterseite</t>
        </is>
      </c>
      <c r="I178" s="12" t="inlineStr">
        <is>
          <t>Nein</t>
        </is>
      </c>
      <c r="J178" s="12" t="inlineStr">
        <is>
          <t>Ungeprüft – nicht kuratiert</t>
        </is>
      </c>
    </row>
    <row r="179">
      <c r="A179" s="12" t="inlineStr">
        <is>
          <t>Münchenstein</t>
        </is>
      </c>
      <c r="B179" s="12" t="inlineStr">
        <is>
          <t>Basel-Landschaft</t>
        </is>
      </c>
      <c r="C179" s="12" t="inlineStr">
        <is>
          <t>C5</t>
        </is>
      </c>
      <c r="D179" s="16" t="inlineStr">
        <is>
          <t>https://www.muenchenstein.ch/_rte/abstimmung/161710</t>
        </is>
      </c>
      <c r="E179" s="12" t="inlineStr">
        <is>
          <t>Reform der Altersvorsorge 2020</t>
        </is>
      </c>
      <c r="F179" s="12" t="inlineStr">
        <is>
          <t>nein</t>
        </is>
      </c>
      <c r="G179" s="12" t="inlineStr">
        <is>
          <t>https://www.muenchenstein.ch/abstimmungen/vorlagen</t>
        </is>
      </c>
      <c r="H179" s="12" t="inlineStr">
        <is>
          <t>Unterseite</t>
        </is>
      </c>
      <c r="I179" s="12" t="inlineStr">
        <is>
          <t>Nein</t>
        </is>
      </c>
      <c r="J179" s="12" t="inlineStr">
        <is>
          <t>Ungeprüft – nicht kuratiert</t>
        </is>
      </c>
    </row>
    <row r="180">
      <c r="A180" s="12" t="inlineStr">
        <is>
          <t>Münchenstein</t>
        </is>
      </c>
      <c r="B180" s="12" t="inlineStr">
        <is>
          <t>Basel-Landschaft</t>
        </is>
      </c>
      <c r="C180" s="12" t="inlineStr">
        <is>
          <t>C5</t>
        </is>
      </c>
      <c r="D180" s="16" t="inlineStr">
        <is>
          <t>https://www.muenchenstein.ch/_rte/abstimmung/161711</t>
        </is>
      </c>
      <c r="E180" s="12" t="inlineStr">
        <is>
          <t>Für einen effizienten und flexiblen Staatsapparat</t>
        </is>
      </c>
      <c r="F180" s="12" t="inlineStr">
        <is>
          <t>nein</t>
        </is>
      </c>
      <c r="G180" s="12" t="inlineStr">
        <is>
          <t>https://www.muenchenstein.ch/abstimmungen/vorlagen</t>
        </is>
      </c>
      <c r="H180" s="12" t="inlineStr">
        <is>
          <t>Unterseite</t>
        </is>
      </c>
      <c r="I180" s="12" t="inlineStr">
        <is>
          <t>Nein</t>
        </is>
      </c>
      <c r="J180" s="12" t="inlineStr">
        <is>
          <t>Ungeprüft – nicht kuratiert</t>
        </is>
      </c>
    </row>
    <row r="181">
      <c r="A181" s="12" t="inlineStr">
        <is>
          <t>Münchenstein</t>
        </is>
      </c>
      <c r="B181" s="12" t="inlineStr">
        <is>
          <t>Basel-Landschaft</t>
        </is>
      </c>
      <c r="C181" s="12" t="inlineStr">
        <is>
          <t>C5</t>
        </is>
      </c>
      <c r="D181" s="16" t="inlineStr">
        <is>
          <t>https://www.muenchenstein.ch/_rte/abstimmung/161712</t>
        </is>
      </c>
      <c r="E181" s="12" t="inlineStr">
        <is>
          <t>Für gesunde Staatsfinanzen ohne Steuererhöhung</t>
        </is>
      </c>
      <c r="F181" s="12" t="inlineStr">
        <is>
          <t>nein</t>
        </is>
      </c>
      <c r="G181" s="12" t="inlineStr">
        <is>
          <t>https://www.muenchenstein.ch/abstimmungen/vorlagen</t>
        </is>
      </c>
      <c r="H181" s="12" t="inlineStr">
        <is>
          <t>Unterseite</t>
        </is>
      </c>
      <c r="I181" s="12" t="inlineStr">
        <is>
          <t>Nein</t>
        </is>
      </c>
      <c r="J181" s="12" t="inlineStr">
        <is>
          <t>Ungeprüft – nicht kuratiert</t>
        </is>
      </c>
    </row>
    <row r="182">
      <c r="A182" s="12" t="inlineStr">
        <is>
          <t>Münchenstein</t>
        </is>
      </c>
      <c r="B182" s="12" t="inlineStr">
        <is>
          <t>Basel-Landschaft</t>
        </is>
      </c>
      <c r="C182" s="12" t="inlineStr">
        <is>
          <t>C5</t>
        </is>
      </c>
      <c r="D182" s="16" t="inlineStr">
        <is>
          <t>https://www.muenchenstein.ch/_rte/abstimmung/161713</t>
        </is>
      </c>
      <c r="E182" s="12" t="inlineStr">
        <is>
          <t>Streichung der pauschalen Beiträge zum Besuch von Privatschulen</t>
        </is>
      </c>
      <c r="F182" s="12" t="inlineStr">
        <is>
          <t>nein</t>
        </is>
      </c>
      <c r="G182" s="12" t="inlineStr">
        <is>
          <t>https://www.muenchenstein.ch/abstimmungen/vorlagen</t>
        </is>
      </c>
      <c r="H182" s="12" t="inlineStr">
        <is>
          <t>Unterseite</t>
        </is>
      </c>
      <c r="I182" s="12" t="inlineStr">
        <is>
          <t>Nein</t>
        </is>
      </c>
      <c r="J182" s="12" t="inlineStr">
        <is>
          <t>Ungeprüft – nicht kuratiert</t>
        </is>
      </c>
    </row>
    <row r="183">
      <c r="A183" s="12" t="inlineStr">
        <is>
          <t>Münchenstein</t>
        </is>
      </c>
      <c r="B183" s="12" t="inlineStr">
        <is>
          <t>Basel-Landschaft</t>
        </is>
      </c>
      <c r="C183" s="12" t="inlineStr">
        <is>
          <t>C5</t>
        </is>
      </c>
      <c r="D183" s="16" t="inlineStr">
        <is>
          <t>https://www.muenchenstein.ch/_rte/abstimmung/161715</t>
        </is>
      </c>
      <c r="E183" s="12" t="inlineStr">
        <is>
          <t>Realisierungskredit für die Tramverbindung Margarethenstich</t>
        </is>
      </c>
      <c r="F183" s="12" t="inlineStr">
        <is>
          <t>nein</t>
        </is>
      </c>
      <c r="G183" s="12" t="inlineStr">
        <is>
          <t>https://www.muenchenstein.ch/abstimmungen/vorlagen</t>
        </is>
      </c>
      <c r="H183" s="12" t="inlineStr">
        <is>
          <t>Unterseite</t>
        </is>
      </c>
      <c r="I183" s="12" t="inlineStr">
        <is>
          <t>Nein</t>
        </is>
      </c>
      <c r="J183" s="12" t="inlineStr">
        <is>
          <t>Ungeprüft – nicht kuratiert</t>
        </is>
      </c>
    </row>
    <row r="184">
      <c r="A184" s="12" t="inlineStr">
        <is>
          <t>Münchenstein</t>
        </is>
      </c>
      <c r="B184" s="12" t="inlineStr">
        <is>
          <t>Basel-Landschaft</t>
        </is>
      </c>
      <c r="C184" s="12" t="inlineStr">
        <is>
          <t>C5</t>
        </is>
      </c>
      <c r="D184" s="16" t="inlineStr">
        <is>
          <t>https://www.muenchenstein.ch/_rte/abstimmung/167558</t>
        </is>
      </c>
      <c r="E184" s="12" t="inlineStr">
        <is>
          <t>Änderung des Kantonalbankgesetzes</t>
        </is>
      </c>
      <c r="F184" s="12" t="inlineStr">
        <is>
          <t>nein</t>
        </is>
      </c>
      <c r="G184" s="12" t="inlineStr">
        <is>
          <t>https://www.muenchenstein.ch/abstimmungen/vorlagen</t>
        </is>
      </c>
      <c r="H184" s="12" t="inlineStr">
        <is>
          <t>Unterseite</t>
        </is>
      </c>
      <c r="I184" s="12" t="inlineStr">
        <is>
          <t>Nein</t>
        </is>
      </c>
      <c r="J184" s="12" t="inlineStr">
        <is>
          <t>Ungeprüft – nicht kuratiert</t>
        </is>
      </c>
    </row>
    <row r="185">
      <c r="A185" s="12" t="inlineStr">
        <is>
          <t>Münchenstein</t>
        </is>
      </c>
      <c r="B185" s="12" t="inlineStr">
        <is>
          <t>Basel-Landschaft</t>
        </is>
      </c>
      <c r="C185" s="12" t="inlineStr">
        <is>
          <t>C5</t>
        </is>
      </c>
      <c r="D185" s="16" t="inlineStr">
        <is>
          <t>https://www.muenchenstein.ch/_rte/abstimmung/167561</t>
        </is>
      </c>
      <c r="E185" s="12" t="inlineStr">
        <is>
          <t>Erteilung des 8. Generellen Leistungsauftrags im Bereich des öffentlichen Verkehrs für die Jahre 2018-2021</t>
        </is>
      </c>
      <c r="F185" s="12" t="inlineStr">
        <is>
          <t>nein</t>
        </is>
      </c>
      <c r="G185" s="12" t="inlineStr">
        <is>
          <t>https://www.muenchenstein.ch/abstimmungen/vorlagen</t>
        </is>
      </c>
      <c r="H185" s="12" t="inlineStr">
        <is>
          <t>Unterseite</t>
        </is>
      </c>
      <c r="I185" s="12" t="inlineStr">
        <is>
          <t>Nein</t>
        </is>
      </c>
      <c r="J185" s="12" t="inlineStr">
        <is>
          <t>Ungeprüft – nicht kuratiert</t>
        </is>
      </c>
    </row>
    <row r="186">
      <c r="A186" s="12" t="inlineStr">
        <is>
          <t>Münchenstein</t>
        </is>
      </c>
      <c r="B186" s="12" t="inlineStr">
        <is>
          <t>Basel-Landschaft</t>
        </is>
      </c>
      <c r="C186" s="12" t="inlineStr">
        <is>
          <t>C5</t>
        </is>
      </c>
      <c r="D186" s="16" t="inlineStr">
        <is>
          <t>https://www.muenchenstein.ch/_rte/abstimmung/169715</t>
        </is>
      </c>
      <c r="E186" s="12" t="inlineStr">
        <is>
          <t>Neue Finanzordnung</t>
        </is>
      </c>
      <c r="F186" s="12" t="inlineStr">
        <is>
          <t>nein</t>
        </is>
      </c>
      <c r="G186" s="12" t="inlineStr">
        <is>
          <t>https://www.muenchenstein.ch/abstimmungen/vorlagen</t>
        </is>
      </c>
      <c r="H186" s="12" t="inlineStr">
        <is>
          <t>Unterseite</t>
        </is>
      </c>
      <c r="I186" s="12" t="inlineStr">
        <is>
          <t>Nein</t>
        </is>
      </c>
      <c r="J186" s="12" t="inlineStr">
        <is>
          <t>Ungeprüft – nicht kuratiert</t>
        </is>
      </c>
    </row>
    <row r="187">
      <c r="A187" s="12" t="inlineStr">
        <is>
          <t>Münchenstein</t>
        </is>
      </c>
      <c r="B187" s="12" t="inlineStr">
        <is>
          <t>Basel-Landschaft</t>
        </is>
      </c>
      <c r="C187" s="12" t="inlineStr">
        <is>
          <t>C5</t>
        </is>
      </c>
      <c r="D187" s="16" t="inlineStr">
        <is>
          <t>https://www.muenchenstein.ch/_rte/abstimmung/169718</t>
        </is>
      </c>
      <c r="E187" s="12" t="inlineStr">
        <is>
          <t>Ja zur Abschaffung der Billag-Gebühren</t>
        </is>
      </c>
      <c r="F187" s="12" t="inlineStr">
        <is>
          <t>nein</t>
        </is>
      </c>
      <c r="G187" s="12" t="inlineStr">
        <is>
          <t>https://www.muenchenstein.ch/abstimmungen/vorlagen</t>
        </is>
      </c>
      <c r="H187" s="12" t="inlineStr">
        <is>
          <t>Unterseite</t>
        </is>
      </c>
      <c r="I187" s="12" t="inlineStr">
        <is>
          <t>Nein</t>
        </is>
      </c>
      <c r="J187" s="12" t="inlineStr">
        <is>
          <t>Ungeprüft – nicht kuratiert</t>
        </is>
      </c>
    </row>
    <row r="188">
      <c r="A188" s="12" t="inlineStr">
        <is>
          <t>Münchenstein</t>
        </is>
      </c>
      <c r="B188" s="12" t="inlineStr">
        <is>
          <t>Basel-Landschaft</t>
        </is>
      </c>
      <c r="C188" s="12" t="inlineStr">
        <is>
          <t>C5</t>
        </is>
      </c>
      <c r="D188" s="16" t="inlineStr">
        <is>
          <t>https://www.muenchenstein.ch/_rte/abstimmung/169721</t>
        </is>
      </c>
      <c r="E188" s="12" t="inlineStr">
        <is>
          <t>Unvereinbarkeit der gleichzeitigen Mitgliedschaft in Regierungsrat Baselland und Bundesversammlung</t>
        </is>
      </c>
      <c r="F188" s="12" t="inlineStr">
        <is>
          <t>nein</t>
        </is>
      </c>
      <c r="G188" s="12" t="inlineStr">
        <is>
          <t>https://www.muenchenstein.ch/abstimmungen/vorlagen</t>
        </is>
      </c>
      <c r="H188" s="12" t="inlineStr">
        <is>
          <t>Unterseite</t>
        </is>
      </c>
      <c r="I188" s="12" t="inlineStr">
        <is>
          <t>Nein</t>
        </is>
      </c>
      <c r="J188" s="12" t="inlineStr">
        <is>
          <t>Ungeprüft – nicht kuratiert</t>
        </is>
      </c>
    </row>
    <row r="189">
      <c r="A189" s="12" t="inlineStr">
        <is>
          <t>Münchenstein</t>
        </is>
      </c>
      <c r="B189" s="12" t="inlineStr">
        <is>
          <t>Basel-Landschaft</t>
        </is>
      </c>
      <c r="C189" s="12" t="inlineStr">
        <is>
          <t>C5</t>
        </is>
      </c>
      <c r="D189" s="16" t="inlineStr">
        <is>
          <t>https://www.muenchenstein.ch/_rte/abstimmung/169724</t>
        </is>
      </c>
      <c r="E189" s="12" t="inlineStr">
        <is>
          <t>Stimmrecht mit 16</t>
        </is>
      </c>
      <c r="F189" s="12" t="inlineStr">
        <is>
          <t>nein</t>
        </is>
      </c>
      <c r="G189" s="12" t="inlineStr">
        <is>
          <t>https://www.muenchenstein.ch/abstimmungen/vorlagen</t>
        </is>
      </c>
      <c r="H189" s="12" t="inlineStr">
        <is>
          <t>Unterseite</t>
        </is>
      </c>
      <c r="I189" s="12" t="inlineStr">
        <is>
          <t>Nein</t>
        </is>
      </c>
      <c r="J189" s="12" t="inlineStr">
        <is>
          <t>Ungeprüft – nicht kuratiert</t>
        </is>
      </c>
    </row>
    <row r="190">
      <c r="A190" s="12" t="inlineStr">
        <is>
          <t>Münchenstein</t>
        </is>
      </c>
      <c r="B190" s="12" t="inlineStr">
        <is>
          <t>Basel-Landschaft</t>
        </is>
      </c>
      <c r="C190" s="12" t="inlineStr">
        <is>
          <t>C5</t>
        </is>
      </c>
      <c r="D190" s="16" t="inlineStr">
        <is>
          <t>https://www.muenchenstein.ch/_rte/abstimmung/169727</t>
        </is>
      </c>
      <c r="E190" s="12" t="inlineStr">
        <is>
          <t>Stimmrecht für Niedergelassene</t>
        </is>
      </c>
      <c r="F190" s="12" t="inlineStr">
        <is>
          <t>nein</t>
        </is>
      </c>
      <c r="G190" s="12" t="inlineStr">
        <is>
          <t>https://www.muenchenstein.ch/abstimmungen/vorlagen</t>
        </is>
      </c>
      <c r="H190" s="12" t="inlineStr">
        <is>
          <t>Unterseite</t>
        </is>
      </c>
      <c r="I190" s="12" t="inlineStr">
        <is>
          <t>Nein</t>
        </is>
      </c>
      <c r="J190" s="12" t="inlineStr">
        <is>
          <t>Ungeprüft – nicht kuratiert</t>
        </is>
      </c>
    </row>
    <row r="191">
      <c r="A191" s="12" t="inlineStr">
        <is>
          <t>Münchenstein</t>
        </is>
      </c>
      <c r="B191" s="12" t="inlineStr">
        <is>
          <t>Basel-Landschaft</t>
        </is>
      </c>
      <c r="C191" s="12" t="inlineStr">
        <is>
          <t>C5</t>
        </is>
      </c>
      <c r="D191" s="16" t="inlineStr">
        <is>
          <t>https://www.muenchenstein.ch/_rte/abstimmung/169730</t>
        </is>
      </c>
      <c r="E191" s="12" t="inlineStr">
        <is>
          <t>Faire Kompensation der EL-Entlastung</t>
        </is>
      </c>
      <c r="F191" s="12" t="inlineStr">
        <is>
          <t>nein</t>
        </is>
      </c>
      <c r="G191" s="12" t="inlineStr">
        <is>
          <t>https://www.muenchenstein.ch/abstimmungen/vorlagen</t>
        </is>
      </c>
      <c r="H191" s="12" t="inlineStr">
        <is>
          <t>Unterseite</t>
        </is>
      </c>
      <c r="I191" s="12" t="inlineStr">
        <is>
          <t>Nein</t>
        </is>
      </c>
      <c r="J191" s="12" t="inlineStr">
        <is>
          <t>Ungeprüft – nicht kuratiert</t>
        </is>
      </c>
    </row>
    <row r="192">
      <c r="A192" s="12" t="inlineStr">
        <is>
          <t>Münchenstein</t>
        </is>
      </c>
      <c r="B192" s="12" t="inlineStr">
        <is>
          <t>Basel-Landschaft</t>
        </is>
      </c>
      <c r="C192" s="12" t="inlineStr">
        <is>
          <t>C5</t>
        </is>
      </c>
      <c r="D192" s="16" t="inlineStr">
        <is>
          <t>https://www.muenchenstein.ch/_rte/abstimmung/176305</t>
        </is>
      </c>
      <c r="E192" s="12" t="inlineStr">
        <is>
          <t>Vollgeld-Initiative</t>
        </is>
      </c>
      <c r="F192" s="12" t="inlineStr">
        <is>
          <t>nein</t>
        </is>
      </c>
      <c r="G192" s="12" t="inlineStr">
        <is>
          <t>https://www.muenchenstein.ch/abstimmungen/vorlagen</t>
        </is>
      </c>
      <c r="H192" s="12" t="inlineStr">
        <is>
          <t>Unterseite</t>
        </is>
      </c>
      <c r="I192" s="12" t="inlineStr">
        <is>
          <t>Nein</t>
        </is>
      </c>
      <c r="J192" s="12" t="inlineStr">
        <is>
          <t>Ungeprüft – nicht kuratiert</t>
        </is>
      </c>
    </row>
    <row r="193">
      <c r="A193" s="12" t="inlineStr">
        <is>
          <t>Münchenstein</t>
        </is>
      </c>
      <c r="B193" s="12" t="inlineStr">
        <is>
          <t>Basel-Landschaft</t>
        </is>
      </c>
      <c r="C193" s="12" t="inlineStr">
        <is>
          <t>C5</t>
        </is>
      </c>
      <c r="D193" s="16" t="inlineStr">
        <is>
          <t>https://www.muenchenstein.ch/_rte/abstimmung/176308</t>
        </is>
      </c>
      <c r="E193" s="12" t="inlineStr">
        <is>
          <t>Geldspielgesetz</t>
        </is>
      </c>
      <c r="F193" s="12" t="inlineStr">
        <is>
          <t>nein</t>
        </is>
      </c>
      <c r="G193" s="12" t="inlineStr">
        <is>
          <t>https://www.muenchenstein.ch/abstimmungen/vorlagen</t>
        </is>
      </c>
      <c r="H193" s="12" t="inlineStr">
        <is>
          <t>Unterseite</t>
        </is>
      </c>
      <c r="I193" s="12" t="inlineStr">
        <is>
          <t>Nein</t>
        </is>
      </c>
      <c r="J193" s="12" t="inlineStr">
        <is>
          <t>Ungeprüft – nicht kuratiert</t>
        </is>
      </c>
    </row>
    <row r="194">
      <c r="A194" s="12" t="inlineStr">
        <is>
          <t>Münchenstein</t>
        </is>
      </c>
      <c r="B194" s="12" t="inlineStr">
        <is>
          <t>Basel-Landschaft</t>
        </is>
      </c>
      <c r="C194" s="12" t="inlineStr">
        <is>
          <t>C5</t>
        </is>
      </c>
      <c r="D194" s="16" t="inlineStr">
        <is>
          <t>https://www.muenchenstein.ch/_rte/abstimmung/176311</t>
        </is>
      </c>
      <c r="E194" s="12" t="inlineStr">
        <is>
          <t>Änderung des Bildungsgesetzes</t>
        </is>
      </c>
      <c r="F194" s="12" t="inlineStr">
        <is>
          <t>nein</t>
        </is>
      </c>
      <c r="G194" s="12" t="inlineStr">
        <is>
          <t>https://www.muenchenstein.ch/abstimmungen/vorlagen</t>
        </is>
      </c>
      <c r="H194" s="12" t="inlineStr">
        <is>
          <t>Unterseite</t>
        </is>
      </c>
      <c r="I194" s="12" t="inlineStr">
        <is>
          <t>Nein</t>
        </is>
      </c>
      <c r="J194" s="12" t="inlineStr">
        <is>
          <t>Ungeprüft – nicht kuratiert</t>
        </is>
      </c>
    </row>
    <row r="195">
      <c r="A195" s="12" t="inlineStr">
        <is>
          <t>Münchenstein</t>
        </is>
      </c>
      <c r="B195" s="12" t="inlineStr">
        <is>
          <t>Basel-Landschaft</t>
        </is>
      </c>
      <c r="C195" s="12" t="inlineStr">
        <is>
          <t>C5</t>
        </is>
      </c>
      <c r="D195" s="16" t="inlineStr">
        <is>
          <t>https://www.muenchenstein.ch/_rte/abstimmung/176314</t>
        </is>
      </c>
      <c r="E195" s="12" t="inlineStr">
        <is>
          <t>Eine Fremdsprache auf der Primarstufe genügt</t>
        </is>
      </c>
      <c r="F195" s="12" t="inlineStr">
        <is>
          <t>nein</t>
        </is>
      </c>
      <c r="G195" s="12" t="inlineStr">
        <is>
          <t>https://www.muenchenstein.ch/abstimmungen/vorlagen</t>
        </is>
      </c>
      <c r="H195" s="12" t="inlineStr">
        <is>
          <t>Unterseite</t>
        </is>
      </c>
      <c r="I195" s="12" t="inlineStr">
        <is>
          <t>Nein</t>
        </is>
      </c>
      <c r="J195" s="12" t="inlineStr">
        <is>
          <t>Ungeprüft – nicht kuratiert</t>
        </is>
      </c>
    </row>
    <row r="196">
      <c r="A196" s="12" t="inlineStr">
        <is>
          <t>Münchenstein</t>
        </is>
      </c>
      <c r="B196" s="12" t="inlineStr">
        <is>
          <t>Basel-Landschaft</t>
        </is>
      </c>
      <c r="C196" s="12" t="inlineStr">
        <is>
          <t>C5</t>
        </is>
      </c>
      <c r="D196" s="16" t="inlineStr">
        <is>
          <t>https://www.muenchenstein.ch/_rte/abstimmung/176317</t>
        </is>
      </c>
      <c r="E196" s="12" t="inlineStr">
        <is>
          <t>Ersatz Bildungsrat durch Beirat Bildung</t>
        </is>
      </c>
      <c r="F196" s="12" t="inlineStr">
        <is>
          <t>nein</t>
        </is>
      </c>
      <c r="G196" s="12" t="inlineStr">
        <is>
          <t>https://www.muenchenstein.ch/abstimmungen/vorlagen</t>
        </is>
      </c>
      <c r="H196" s="12" t="inlineStr">
        <is>
          <t>Unterseite</t>
        </is>
      </c>
      <c r="I196" s="12" t="inlineStr">
        <is>
          <t>Nein</t>
        </is>
      </c>
      <c r="J196" s="12" t="inlineStr">
        <is>
          <t>Ungeprüft – nicht kuratiert</t>
        </is>
      </c>
    </row>
    <row r="197">
      <c r="A197" s="12" t="inlineStr">
        <is>
          <t>Münchenstein</t>
        </is>
      </c>
      <c r="B197" s="12" t="inlineStr">
        <is>
          <t>Basel-Landschaft</t>
        </is>
      </c>
      <c r="C197" s="12" t="inlineStr">
        <is>
          <t>C5</t>
        </is>
      </c>
      <c r="D197" s="16" t="inlineStr">
        <is>
          <t>https://www.muenchenstein.ch/_rte/abstimmung/176320</t>
        </is>
      </c>
      <c r="E197" s="12" t="inlineStr">
        <is>
          <t>Änderung des Raumplanungs- und Baugesetzes</t>
        </is>
      </c>
      <c r="F197" s="12" t="inlineStr">
        <is>
          <t>nein</t>
        </is>
      </c>
      <c r="G197" s="12" t="inlineStr">
        <is>
          <t>https://www.muenchenstein.ch/abstimmungen/vorlagen</t>
        </is>
      </c>
      <c r="H197" s="12" t="inlineStr">
        <is>
          <t>Unterseite</t>
        </is>
      </c>
      <c r="I197" s="12" t="inlineStr">
        <is>
          <t>Nein</t>
        </is>
      </c>
      <c r="J197" s="12" t="inlineStr">
        <is>
          <t>Ungeprüft – nicht kuratiert</t>
        </is>
      </c>
    </row>
    <row r="198">
      <c r="A198" s="12" t="inlineStr">
        <is>
          <t>Münchenstein</t>
        </is>
      </c>
      <c r="B198" s="12" t="inlineStr">
        <is>
          <t>Basel-Landschaft</t>
        </is>
      </c>
      <c r="C198" s="12" t="inlineStr">
        <is>
          <t>C5</t>
        </is>
      </c>
      <c r="D198" s="16" t="inlineStr">
        <is>
          <t>https://www.muenchenstein.ch/_rte/abstimmung/184292</t>
        </is>
      </c>
      <c r="E198" s="12" t="inlineStr">
        <is>
          <t>Velo-Initiative</t>
        </is>
      </c>
      <c r="F198" s="12" t="inlineStr">
        <is>
          <t>nein</t>
        </is>
      </c>
      <c r="G198" s="12" t="inlineStr">
        <is>
          <t>https://www.muenchenstein.ch/abstimmungen/vorlagen</t>
        </is>
      </c>
      <c r="H198" s="12" t="inlineStr">
        <is>
          <t>Unterseite</t>
        </is>
      </c>
      <c r="I198" s="12" t="inlineStr">
        <is>
          <t>Nein</t>
        </is>
      </c>
      <c r="J198" s="12" t="inlineStr">
        <is>
          <t>Ungeprüft – nicht kuratiert</t>
        </is>
      </c>
    </row>
    <row r="199">
      <c r="A199" s="12" t="inlineStr">
        <is>
          <t>Münchenstein</t>
        </is>
      </c>
      <c r="B199" s="12" t="inlineStr">
        <is>
          <t>Basel-Landschaft</t>
        </is>
      </c>
      <c r="C199" s="12" t="inlineStr">
        <is>
          <t>C5</t>
        </is>
      </c>
      <c r="D199" s="16" t="inlineStr">
        <is>
          <t>https://www.muenchenstein.ch/_rte/abstimmung/184295</t>
        </is>
      </c>
      <c r="E199" s="12" t="inlineStr">
        <is>
          <t>Fair-Food-lnitiative</t>
        </is>
      </c>
      <c r="F199" s="12" t="inlineStr">
        <is>
          <t>nein</t>
        </is>
      </c>
      <c r="G199" s="12" t="inlineStr">
        <is>
          <t>https://www.muenchenstein.ch/abstimmungen/vorlagen</t>
        </is>
      </c>
      <c r="H199" s="12" t="inlineStr">
        <is>
          <t>Unterseite</t>
        </is>
      </c>
      <c r="I199" s="12" t="inlineStr">
        <is>
          <t>Nein</t>
        </is>
      </c>
      <c r="J199" s="12" t="inlineStr">
        <is>
          <t>Ungeprüft – nicht kuratiert</t>
        </is>
      </c>
    </row>
    <row r="200">
      <c r="A200" s="12" t="inlineStr">
        <is>
          <t>Münchenstein</t>
        </is>
      </c>
      <c r="B200" s="12" t="inlineStr">
        <is>
          <t>Basel-Landschaft</t>
        </is>
      </c>
      <c r="C200" s="12" t="inlineStr">
        <is>
          <t>C5</t>
        </is>
      </c>
      <c r="D200" s="16" t="inlineStr">
        <is>
          <t>https://www.muenchenstein.ch/_rte/abstimmung/184298</t>
        </is>
      </c>
      <c r="E200" s="12" t="inlineStr">
        <is>
          <t>Für Ernährungssouveränität. Die Landwirtschaft betrifft uns alle</t>
        </is>
      </c>
      <c r="F200" s="12" t="inlineStr">
        <is>
          <t>nein</t>
        </is>
      </c>
      <c r="G200" s="12" t="inlineStr">
        <is>
          <t>https://www.muenchenstein.ch/abstimmungen/vorlagen</t>
        </is>
      </c>
      <c r="H200" s="12" t="inlineStr">
        <is>
          <t>Unterseite</t>
        </is>
      </c>
      <c r="I200" s="12" t="inlineStr">
        <is>
          <t>Nein</t>
        </is>
      </c>
      <c r="J200" s="12" t="inlineStr">
        <is>
          <t>Ungeprüft – nicht kuratiert</t>
        </is>
      </c>
    </row>
    <row r="201">
      <c r="A201" s="12" t="inlineStr">
        <is>
          <t>Münchenstein</t>
        </is>
      </c>
      <c r="B201" s="12" t="inlineStr">
        <is>
          <t>Basel-Landschaft</t>
        </is>
      </c>
      <c r="C201" s="12" t="inlineStr">
        <is>
          <t>C5</t>
        </is>
      </c>
      <c r="D201" s="16" t="inlineStr">
        <is>
          <t>https://www.muenchenstein.ch/_rte/abstimmung/188476</t>
        </is>
      </c>
      <c r="E201" s="12" t="inlineStr">
        <is>
          <t>Hornkuh-Initiative</t>
        </is>
      </c>
      <c r="F201" s="12" t="inlineStr">
        <is>
          <t>nein</t>
        </is>
      </c>
      <c r="G201" s="12" t="inlineStr">
        <is>
          <t>https://www.muenchenstein.ch/abstimmungen/vorlagen</t>
        </is>
      </c>
      <c r="H201" s="12" t="inlineStr">
        <is>
          <t>Unterseite</t>
        </is>
      </c>
      <c r="I201" s="12" t="inlineStr">
        <is>
          <t>Nein</t>
        </is>
      </c>
      <c r="J201" s="12" t="inlineStr">
        <is>
          <t>Ungeprüft – nicht kuratiert</t>
        </is>
      </c>
    </row>
    <row r="202">
      <c r="A202" s="12" t="inlineStr">
        <is>
          <t>Münchenstein</t>
        </is>
      </c>
      <c r="B202" s="12" t="inlineStr">
        <is>
          <t>Basel-Landschaft</t>
        </is>
      </c>
      <c r="C202" s="12" t="inlineStr">
        <is>
          <t>C5</t>
        </is>
      </c>
      <c r="D202" s="16" t="inlineStr">
        <is>
          <t>https://www.muenchenstein.ch/_rte/abstimmung/188482</t>
        </is>
      </c>
      <c r="E202" s="12" t="inlineStr">
        <is>
          <t>Selbstbestimmungsinitiative</t>
        </is>
      </c>
      <c r="F202" s="12" t="inlineStr">
        <is>
          <t>nein</t>
        </is>
      </c>
      <c r="G202" s="12" t="inlineStr">
        <is>
          <t>https://www.muenchenstein.ch/abstimmungen/vorlagen</t>
        </is>
      </c>
      <c r="H202" s="12" t="inlineStr">
        <is>
          <t>Unterseite</t>
        </is>
      </c>
      <c r="I202" s="12" t="inlineStr">
        <is>
          <t>Nein</t>
        </is>
      </c>
      <c r="J202" s="12" t="inlineStr">
        <is>
          <t>Ungeprüft – nicht kuratiert</t>
        </is>
      </c>
    </row>
    <row r="203">
      <c r="A203" s="12" t="inlineStr">
        <is>
          <t>Münchenstein</t>
        </is>
      </c>
      <c r="B203" s="12" t="inlineStr">
        <is>
          <t>Basel-Landschaft</t>
        </is>
      </c>
      <c r="C203" s="12" t="inlineStr">
        <is>
          <t>C5</t>
        </is>
      </c>
      <c r="D203" s="16" t="inlineStr">
        <is>
          <t>https://www.muenchenstein.ch/_rte/abstimmung/188488</t>
        </is>
      </c>
      <c r="E203" s="12" t="inlineStr">
        <is>
          <t>Änderung Allgem. Teil Sozialversicherungsrecht</t>
        </is>
      </c>
      <c r="F203" s="12" t="inlineStr">
        <is>
          <t>nein</t>
        </is>
      </c>
      <c r="G203" s="12" t="inlineStr">
        <is>
          <t>https://www.muenchenstein.ch/abstimmungen/vorlagen</t>
        </is>
      </c>
      <c r="H203" s="12" t="inlineStr">
        <is>
          <t>Unterseite</t>
        </is>
      </c>
      <c r="I203" s="12" t="inlineStr">
        <is>
          <t>Nein</t>
        </is>
      </c>
      <c r="J203" s="12" t="inlineStr">
        <is>
          <t>Ungeprüft – nicht kuratiert</t>
        </is>
      </c>
    </row>
    <row r="204">
      <c r="A204" s="12" t="inlineStr">
        <is>
          <t>Münchenstein</t>
        </is>
      </c>
      <c r="B204" s="12" t="inlineStr">
        <is>
          <t>Basel-Landschaft</t>
        </is>
      </c>
      <c r="C204" s="12" t="inlineStr">
        <is>
          <t>C5</t>
        </is>
      </c>
      <c r="D204" s="16" t="inlineStr">
        <is>
          <t>https://www.muenchenstein.ch/_rte/abstimmung/188491</t>
        </is>
      </c>
      <c r="E204" s="12" t="inlineStr">
        <is>
          <t>Änderung des Steuergesetzes (Gegenvorschlag zur «Wohnkosten-Initiative»)</t>
        </is>
      </c>
      <c r="F204" s="12" t="inlineStr">
        <is>
          <t>nein</t>
        </is>
      </c>
      <c r="G204" s="12" t="inlineStr">
        <is>
          <t>https://www.muenchenstein.ch/abstimmungen/vorlagen</t>
        </is>
      </c>
      <c r="H204" s="12" t="inlineStr">
        <is>
          <t>Unterseite</t>
        </is>
      </c>
      <c r="I204" s="12" t="inlineStr">
        <is>
          <t>Nein</t>
        </is>
      </c>
      <c r="J204" s="12" t="inlineStr">
        <is>
          <t>Ungeprüft – nicht kuratiert</t>
        </is>
      </c>
    </row>
    <row r="205">
      <c r="A205" s="12" t="inlineStr">
        <is>
          <t>Münchenstein</t>
        </is>
      </c>
      <c r="B205" s="12" t="inlineStr">
        <is>
          <t>Basel-Landschaft</t>
        </is>
      </c>
      <c r="C205" s="12" t="inlineStr">
        <is>
          <t>C5</t>
        </is>
      </c>
      <c r="D205" s="16" t="inlineStr">
        <is>
          <t>https://www.muenchenstein.ch/_rte/abstimmung/188494</t>
        </is>
      </c>
      <c r="E205" s="12" t="inlineStr">
        <is>
          <t>Formulierte Gesetzesinitiative «Ja zur Prämienverbilligung»</t>
        </is>
      </c>
      <c r="F205" s="12" t="inlineStr">
        <is>
          <t>nein</t>
        </is>
      </c>
      <c r="G205" s="12" t="inlineStr">
        <is>
          <t>https://www.muenchenstein.ch/abstimmungen/vorlagen</t>
        </is>
      </c>
      <c r="H205" s="12" t="inlineStr">
        <is>
          <t>Unterseite</t>
        </is>
      </c>
      <c r="I205" s="12" t="inlineStr">
        <is>
          <t>Nein</t>
        </is>
      </c>
      <c r="J205" s="12" t="inlineStr">
        <is>
          <t>Ungeprüft – nicht kuratiert</t>
        </is>
      </c>
    </row>
    <row r="206">
      <c r="A206" s="12" t="inlineStr">
        <is>
          <t>Münchenstein</t>
        </is>
      </c>
      <c r="B206" s="12" t="inlineStr">
        <is>
          <t>Basel-Landschaft</t>
        </is>
      </c>
      <c r="C206" s="12" t="inlineStr">
        <is>
          <t>C5</t>
        </is>
      </c>
      <c r="D206" s="16" t="inlineStr">
        <is>
          <t>https://www.muenchenstein.ch/_rte/abstimmung/188497</t>
        </is>
      </c>
      <c r="E206" s="12" t="inlineStr">
        <is>
          <t>Teilrevision des Gerichtsorganisations- und Prozessrechts</t>
        </is>
      </c>
      <c r="F206" s="12" t="inlineStr">
        <is>
          <t>nein</t>
        </is>
      </c>
      <c r="G206" s="12" t="inlineStr">
        <is>
          <t>https://www.muenchenstein.ch/abstimmungen/vorlagen</t>
        </is>
      </c>
      <c r="H206" s="12" t="inlineStr">
        <is>
          <t>Unterseite</t>
        </is>
      </c>
      <c r="I206" s="12" t="inlineStr">
        <is>
          <t>Nein</t>
        </is>
      </c>
      <c r="J206" s="12" t="inlineStr">
        <is>
          <t>Ungeprüft – nicht kuratiert</t>
        </is>
      </c>
    </row>
    <row r="207">
      <c r="A207" s="12" t="inlineStr">
        <is>
          <t>Münchenstein</t>
        </is>
      </c>
      <c r="B207" s="12" t="inlineStr">
        <is>
          <t>Basel-Landschaft</t>
        </is>
      </c>
      <c r="C207" s="12" t="inlineStr">
        <is>
          <t>C5</t>
        </is>
      </c>
      <c r="D207" s="16" t="inlineStr">
        <is>
          <t>https://www.muenchenstein.ch/_rte/abstimmung/195019</t>
        </is>
      </c>
      <c r="E207" s="12" t="inlineStr">
        <is>
          <t>Zersiedelungsinitiative</t>
        </is>
      </c>
      <c r="F207" s="12" t="inlineStr">
        <is>
          <t>nein</t>
        </is>
      </c>
      <c r="G207" s="12" t="inlineStr">
        <is>
          <t>https://www.muenchenstein.ch/abstimmungen/vorlagen</t>
        </is>
      </c>
      <c r="H207" s="12" t="inlineStr">
        <is>
          <t>Unterseite</t>
        </is>
      </c>
      <c r="I207" s="12" t="inlineStr">
        <is>
          <t>Nein</t>
        </is>
      </c>
      <c r="J207" s="12" t="inlineStr">
        <is>
          <t>Ungeprüft – nicht kuratiert</t>
        </is>
      </c>
    </row>
    <row r="208">
      <c r="A208" s="12" t="inlineStr">
        <is>
          <t>Münchenstein</t>
        </is>
      </c>
      <c r="B208" s="12" t="inlineStr">
        <is>
          <t>Basel-Landschaft</t>
        </is>
      </c>
      <c r="C208" s="12" t="inlineStr">
        <is>
          <t>C5</t>
        </is>
      </c>
      <c r="D208" s="16" t="inlineStr">
        <is>
          <t>https://www.muenchenstein.ch/_rte/abstimmung/195022</t>
        </is>
      </c>
      <c r="E208" s="12" t="inlineStr">
        <is>
          <t>Planung, Regulation und Aufsicht in der Gesundheitsversorgung</t>
        </is>
      </c>
      <c r="F208" s="12" t="inlineStr">
        <is>
          <t>nein</t>
        </is>
      </c>
      <c r="G208" s="12" t="inlineStr">
        <is>
          <t>https://www.muenchenstein.ch/abstimmungen/vorlagen</t>
        </is>
      </c>
      <c r="H208" s="12" t="inlineStr">
        <is>
          <t>Unterseite</t>
        </is>
      </c>
      <c r="I208" s="12" t="inlineStr">
        <is>
          <t>Nein</t>
        </is>
      </c>
      <c r="J208" s="12" t="inlineStr">
        <is>
          <t>Ungeprüft – nicht kuratiert</t>
        </is>
      </c>
    </row>
    <row r="209">
      <c r="A209" s="12" t="inlineStr">
        <is>
          <t>Münchenstein</t>
        </is>
      </c>
      <c r="B209" s="12" t="inlineStr">
        <is>
          <t>Basel-Landschaft</t>
        </is>
      </c>
      <c r="C209" s="12" t="inlineStr">
        <is>
          <t>C5</t>
        </is>
      </c>
      <c r="D209" s="16" t="inlineStr">
        <is>
          <t>https://www.muenchenstein.ch/_rte/abstimmung/195025</t>
        </is>
      </c>
      <c r="E209" s="12" t="inlineStr">
        <is>
          <t>Universitätsspital Nordwest AG</t>
        </is>
      </c>
      <c r="F209" s="12" t="inlineStr">
        <is>
          <t>nein</t>
        </is>
      </c>
      <c r="G209" s="12" t="inlineStr">
        <is>
          <t>https://www.muenchenstein.ch/abstimmungen/vorlagen</t>
        </is>
      </c>
      <c r="H209" s="12" t="inlineStr">
        <is>
          <t>Unterseite</t>
        </is>
      </c>
      <c r="I209" s="12" t="inlineStr">
        <is>
          <t>Nein</t>
        </is>
      </c>
      <c r="J209" s="12" t="inlineStr">
        <is>
          <t>Ungeprüft – nicht kuratiert</t>
        </is>
      </c>
    </row>
    <row r="210">
      <c r="A210" s="12" t="inlineStr">
        <is>
          <t>Münchenstein</t>
        </is>
      </c>
      <c r="B210" s="12" t="inlineStr">
        <is>
          <t>Basel-Landschaft</t>
        </is>
      </c>
      <c r="C210" s="12" t="inlineStr">
        <is>
          <t>C5</t>
        </is>
      </c>
      <c r="D210" s="16" t="inlineStr">
        <is>
          <t>https://www.muenchenstein.ch/_rte/abstimmung/195031</t>
        </is>
      </c>
      <c r="E210" s="12" t="inlineStr">
        <is>
          <t>Abgeltung von Planungsmehrwerten</t>
        </is>
      </c>
      <c r="F210" s="12" t="inlineStr">
        <is>
          <t>nein</t>
        </is>
      </c>
      <c r="G210" s="12" t="inlineStr">
        <is>
          <t>https://www.muenchenstein.ch/abstimmungen/vorlagen</t>
        </is>
      </c>
      <c r="H210" s="12" t="inlineStr">
        <is>
          <t>Unterseite</t>
        </is>
      </c>
      <c r="I210" s="12" t="inlineStr">
        <is>
          <t>Nein</t>
        </is>
      </c>
      <c r="J210" s="12" t="inlineStr">
        <is>
          <t>Ungeprüft – nicht kuratiert</t>
        </is>
      </c>
    </row>
    <row r="211">
      <c r="A211" s="12" t="inlineStr">
        <is>
          <t>Münchenstein</t>
        </is>
      </c>
      <c r="B211" s="12" t="inlineStr">
        <is>
          <t>Basel-Landschaft</t>
        </is>
      </c>
      <c r="C211" s="12" t="inlineStr">
        <is>
          <t>C5</t>
        </is>
      </c>
      <c r="D211" s="16" t="inlineStr">
        <is>
          <t>https://www.muenchenstein.ch/_rte/abstimmung/195034</t>
        </is>
      </c>
      <c r="E211" s="12" t="inlineStr">
        <is>
          <t>Ausgleichsinitiative mit Gegenvorschlag</t>
        </is>
      </c>
      <c r="F211" s="12" t="inlineStr">
        <is>
          <t>nein</t>
        </is>
      </c>
      <c r="G211" s="12" t="inlineStr">
        <is>
          <t>https://www.muenchenstein.ch/abstimmungen/vorlagen</t>
        </is>
      </c>
      <c r="H211" s="12" t="inlineStr">
        <is>
          <t>Unterseite</t>
        </is>
      </c>
      <c r="I211" s="12" t="inlineStr">
        <is>
          <t>Nein</t>
        </is>
      </c>
      <c r="J211" s="12" t="inlineStr">
        <is>
          <t>Ungeprüft – nicht kuratiert</t>
        </is>
      </c>
    </row>
    <row r="212">
      <c r="A212" s="12" t="inlineStr">
        <is>
          <t>Münchenstein</t>
        </is>
      </c>
      <c r="B212" s="12" t="inlineStr">
        <is>
          <t>Basel-Landschaft</t>
        </is>
      </c>
      <c r="C212" s="12" t="inlineStr">
        <is>
          <t>C5</t>
        </is>
      </c>
      <c r="D212" s="16" t="inlineStr">
        <is>
          <t>https://www.muenchenstein.ch/_rte/abstimmung/202925</t>
        </is>
      </c>
      <c r="E212" s="12" t="inlineStr">
        <is>
          <t>STAF</t>
        </is>
      </c>
      <c r="F212" s="12" t="inlineStr">
        <is>
          <t>nein</t>
        </is>
      </c>
      <c r="G212" s="12" t="inlineStr">
        <is>
          <t>https://www.muenchenstein.ch/abstimmungen/vorlagen</t>
        </is>
      </c>
      <c r="H212" s="12" t="inlineStr">
        <is>
          <t>Unterseite</t>
        </is>
      </c>
      <c r="I212" s="12" t="inlineStr">
        <is>
          <t>Nein</t>
        </is>
      </c>
      <c r="J212" s="12" t="inlineStr">
        <is>
          <t>Ungeprüft – nicht kuratiert</t>
        </is>
      </c>
    </row>
    <row r="213">
      <c r="A213" s="12" t="inlineStr">
        <is>
          <t>Münchenstein</t>
        </is>
      </c>
      <c r="B213" s="12" t="inlineStr">
        <is>
          <t>Basel-Landschaft</t>
        </is>
      </c>
      <c r="C213" s="12" t="inlineStr">
        <is>
          <t>C5</t>
        </is>
      </c>
      <c r="D213" s="16" t="inlineStr">
        <is>
          <t>https://www.muenchenstein.ch/_rte/abstimmung/202928</t>
        </is>
      </c>
      <c r="E213" s="12" t="inlineStr">
        <is>
          <t>Änderung der EU-Waffenrichtlinie</t>
        </is>
      </c>
      <c r="F213" s="12" t="inlineStr">
        <is>
          <t>nein</t>
        </is>
      </c>
      <c r="G213" s="12" t="inlineStr">
        <is>
          <t>https://www.muenchenstein.ch/abstimmungen/vorlagen</t>
        </is>
      </c>
      <c r="H213" s="12" t="inlineStr">
        <is>
          <t>Unterseite</t>
        </is>
      </c>
      <c r="I213" s="12" t="inlineStr">
        <is>
          <t>Nein</t>
        </is>
      </c>
      <c r="J213" s="12" t="inlineStr">
        <is>
          <t>Ungeprüft – nicht kuratiert</t>
        </is>
      </c>
    </row>
    <row r="214">
      <c r="A214" s="12" t="inlineStr">
        <is>
          <t>Münchenstein</t>
        </is>
      </c>
      <c r="B214" s="12" t="inlineStr">
        <is>
          <t>Basel-Landschaft</t>
        </is>
      </c>
      <c r="C214" s="12" t="inlineStr">
        <is>
          <t>C5</t>
        </is>
      </c>
      <c r="D214" s="16" t="inlineStr">
        <is>
          <t>https://www.muenchenstein.ch/_rte/abstimmung/202931</t>
        </is>
      </c>
      <c r="E214" s="12" t="inlineStr">
        <is>
          <t>Bildungsressourcen gerecht verteilen und für das Wesentliche einsetzen!</t>
        </is>
      </c>
      <c r="F214" s="12" t="inlineStr">
        <is>
          <t>nein</t>
        </is>
      </c>
      <c r="G214" s="12" t="inlineStr">
        <is>
          <t>https://www.muenchenstein.ch/abstimmungen/vorlagen</t>
        </is>
      </c>
      <c r="H214" s="12" t="inlineStr">
        <is>
          <t>Unterseite</t>
        </is>
      </c>
      <c r="I214" s="12" t="inlineStr">
        <is>
          <t>Nein</t>
        </is>
      </c>
      <c r="J214" s="12" t="inlineStr">
        <is>
          <t>Ungeprüft – nicht kuratiert</t>
        </is>
      </c>
    </row>
    <row r="215">
      <c r="A215" s="12" t="inlineStr">
        <is>
          <t>Münchenstein</t>
        </is>
      </c>
      <c r="B215" s="12" t="inlineStr">
        <is>
          <t>Basel-Landschaft</t>
        </is>
      </c>
      <c r="C215" s="12" t="inlineStr">
        <is>
          <t>C5</t>
        </is>
      </c>
      <c r="D215" s="16" t="inlineStr">
        <is>
          <t>https://www.muenchenstein.ch/_rte/abstimmung/202937</t>
        </is>
      </c>
      <c r="E215" s="12" t="inlineStr">
        <is>
          <t>Stopp dem Abbau an öffentlichen Schulen!</t>
        </is>
      </c>
      <c r="F215" s="12" t="inlineStr">
        <is>
          <t>nein</t>
        </is>
      </c>
      <c r="G215" s="12" t="inlineStr">
        <is>
          <t>https://www.muenchenstein.ch/abstimmungen/vorlagen</t>
        </is>
      </c>
      <c r="H215" s="12" t="inlineStr">
        <is>
          <t>Unterseite</t>
        </is>
      </c>
      <c r="I215" s="12" t="inlineStr">
        <is>
          <t>Nein</t>
        </is>
      </c>
      <c r="J215" s="12" t="inlineStr">
        <is>
          <t>Ungeprüft – nicht kuratiert</t>
        </is>
      </c>
    </row>
    <row r="216">
      <c r="A216" s="12" t="inlineStr">
        <is>
          <t>Münchenstein</t>
        </is>
      </c>
      <c r="B216" s="12" t="inlineStr">
        <is>
          <t>Basel-Landschaft</t>
        </is>
      </c>
      <c r="C216" s="12" t="inlineStr">
        <is>
          <t>C5</t>
        </is>
      </c>
      <c r="D216" s="16" t="inlineStr">
        <is>
          <t>https://www.muenchenstein.ch/_rte/abstimmung/209285</t>
        </is>
      </c>
      <c r="E216" s="12" t="inlineStr">
        <is>
          <t>Ergänzungsleistungen für Familien mit geringem Einkommen</t>
        </is>
      </c>
      <c r="F216" s="12" t="inlineStr">
        <is>
          <t>nein</t>
        </is>
      </c>
      <c r="G216" s="12" t="inlineStr">
        <is>
          <t>https://www.muenchenstein.ch/abstimmungen/vorlagen</t>
        </is>
      </c>
      <c r="H216" s="12" t="inlineStr">
        <is>
          <t>Unterseite</t>
        </is>
      </c>
      <c r="I216" s="12" t="inlineStr">
        <is>
          <t>Nein</t>
        </is>
      </c>
      <c r="J216" s="12" t="inlineStr">
        <is>
          <t>Ungeprüft – nicht kuratiert</t>
        </is>
      </c>
    </row>
    <row r="217">
      <c r="A217" s="12" t="inlineStr">
        <is>
          <t>Münchenstein</t>
        </is>
      </c>
      <c r="B217" s="12" t="inlineStr">
        <is>
          <t>Basel-Landschaft</t>
        </is>
      </c>
      <c r="C217" s="12" t="inlineStr">
        <is>
          <t>C5</t>
        </is>
      </c>
      <c r="D217" s="16" t="inlineStr">
        <is>
          <t>https://www.muenchenstein.ch/_rte/abstimmung/209288</t>
        </is>
      </c>
      <c r="E217" s="12" t="inlineStr">
        <is>
          <t>Änderung des Steuergesetzes</t>
        </is>
      </c>
      <c r="F217" s="12" t="inlineStr">
        <is>
          <t>nein</t>
        </is>
      </c>
      <c r="G217" s="12" t="inlineStr">
        <is>
          <t>https://www.muenchenstein.ch/abstimmungen/vorlagen</t>
        </is>
      </c>
      <c r="H217" s="12" t="inlineStr">
        <is>
          <t>Unterseite</t>
        </is>
      </c>
      <c r="I217" s="12" t="inlineStr">
        <is>
          <t>Nein</t>
        </is>
      </c>
      <c r="J217" s="12" t="inlineStr">
        <is>
          <t>Ungeprüft – nicht kuratiert</t>
        </is>
      </c>
    </row>
    <row r="218">
      <c r="A218" s="12" t="inlineStr">
        <is>
          <t>Münchenstein</t>
        </is>
      </c>
      <c r="B218" s="12" t="inlineStr">
        <is>
          <t>Basel-Landschaft</t>
        </is>
      </c>
      <c r="C218" s="12" t="inlineStr">
        <is>
          <t>C5</t>
        </is>
      </c>
      <c r="D218" s="16" t="inlineStr">
        <is>
          <t>https://www.muenchenstein.ch/_rte/abstimmung/209291</t>
        </is>
      </c>
      <c r="E218" s="12" t="inlineStr">
        <is>
          <t>Staatsbeitragsgesetz</t>
        </is>
      </c>
      <c r="F218" s="12" t="inlineStr">
        <is>
          <t>nein</t>
        </is>
      </c>
      <c r="G218" s="12" t="inlineStr">
        <is>
          <t>https://www.muenchenstein.ch/abstimmungen/vorlagen</t>
        </is>
      </c>
      <c r="H218" s="12" t="inlineStr">
        <is>
          <t>Unterseite</t>
        </is>
      </c>
      <c r="I218" s="12" t="inlineStr">
        <is>
          <t>Nein</t>
        </is>
      </c>
      <c r="J218" s="12" t="inlineStr">
        <is>
          <t>Ungeprüft – nicht kuratiert</t>
        </is>
      </c>
    </row>
    <row r="219">
      <c r="A219" s="12" t="inlineStr">
        <is>
          <t>Münchenstein</t>
        </is>
      </c>
      <c r="B219" s="12" t="inlineStr">
        <is>
          <t>Basel-Landschaft</t>
        </is>
      </c>
      <c r="C219" s="12" t="inlineStr">
        <is>
          <t>C5</t>
        </is>
      </c>
      <c r="D219" s="16" t="inlineStr">
        <is>
          <t>https://www.muenchenstein.ch/_rte/abstimmung/209294</t>
        </is>
      </c>
      <c r="E219" s="12" t="inlineStr">
        <is>
          <t>Gegenvorschlag des Landrats vom 28. Februar 2019 zur (zurückgezogenen) nichtformulierten Volksinitiative «Niveaugetrennter Unterricht in Promotionsfächern»</t>
        </is>
      </c>
      <c r="F219" s="12" t="inlineStr">
        <is>
          <t>nein</t>
        </is>
      </c>
      <c r="G219" s="12" t="inlineStr">
        <is>
          <t>https://www.muenchenstein.ch/abstimmungen/vorlagen</t>
        </is>
      </c>
      <c r="H219" s="12" t="inlineStr">
        <is>
          <t>Unterseite</t>
        </is>
      </c>
      <c r="I219" s="12" t="inlineStr">
        <is>
          <t>Nein</t>
        </is>
      </c>
      <c r="J219" s="12" t="inlineStr">
        <is>
          <t>Ungeprüft – nicht kuratiert</t>
        </is>
      </c>
    </row>
    <row r="220">
      <c r="A220" s="12" t="inlineStr">
        <is>
          <t>Münchenstein</t>
        </is>
      </c>
      <c r="B220" s="12" t="inlineStr">
        <is>
          <t>Basel-Landschaft</t>
        </is>
      </c>
      <c r="C220" s="12" t="inlineStr">
        <is>
          <t>C5</t>
        </is>
      </c>
      <c r="D220" s="16" t="inlineStr">
        <is>
          <t>https://www.muenchenstein.ch/_rte/abstimmung/209297</t>
        </is>
      </c>
      <c r="E220" s="12" t="inlineStr">
        <is>
          <t>Änderung des Bildungsgesetzes</t>
        </is>
      </c>
      <c r="F220" s="12" t="inlineStr">
        <is>
          <t>nein</t>
        </is>
      </c>
      <c r="G220" s="12" t="inlineStr">
        <is>
          <t>https://www.muenchenstein.ch/abstimmungen/vorlagen</t>
        </is>
      </c>
      <c r="H220" s="12" t="inlineStr">
        <is>
          <t>Unterseite</t>
        </is>
      </c>
      <c r="I220" s="12" t="inlineStr">
        <is>
          <t>Nein</t>
        </is>
      </c>
      <c r="J220" s="12" t="inlineStr">
        <is>
          <t>Ungeprüft – nicht kuratiert</t>
        </is>
      </c>
    </row>
    <row r="221">
      <c r="A221" s="12" t="inlineStr">
        <is>
          <t>Münchenstein</t>
        </is>
      </c>
      <c r="B221" s="12" t="inlineStr">
        <is>
          <t>Basel-Landschaft</t>
        </is>
      </c>
      <c r="C221" s="12" t="inlineStr">
        <is>
          <t>C5</t>
        </is>
      </c>
      <c r="D221" s="16" t="inlineStr">
        <is>
          <t>https://www.muenchenstein.ch/_rte/abstimmung/209300</t>
        </is>
      </c>
      <c r="E221" s="12" t="inlineStr">
        <is>
          <t>Anpassung des Kantonalen Richtplans betreffend Oberwil, Ausbau Langmattstrasse</t>
        </is>
      </c>
      <c r="F221" s="12" t="inlineStr">
        <is>
          <t>nein</t>
        </is>
      </c>
      <c r="G221" s="12" t="inlineStr">
        <is>
          <t>https://www.muenchenstein.ch/abstimmungen/vorlagen</t>
        </is>
      </c>
      <c r="H221" s="12" t="inlineStr">
        <is>
          <t>Unterseite</t>
        </is>
      </c>
      <c r="I221" s="12" t="inlineStr">
        <is>
          <t>Nein</t>
        </is>
      </c>
      <c r="J221" s="12" t="inlineStr">
        <is>
          <t>Ungeprüft – nicht kuratiert</t>
        </is>
      </c>
    </row>
    <row r="222">
      <c r="A222" s="12" t="inlineStr">
        <is>
          <t>Münchenstein</t>
        </is>
      </c>
      <c r="B222" s="12" t="inlineStr">
        <is>
          <t>Basel-Landschaft</t>
        </is>
      </c>
      <c r="C222" s="12" t="inlineStr">
        <is>
          <t>C5</t>
        </is>
      </c>
      <c r="D222" s="16" t="inlineStr">
        <is>
          <t>https://www.muenchenstein.ch/_rte/abstimmung/214885</t>
        </is>
      </c>
      <c r="E222" s="12" t="inlineStr">
        <is>
          <t>Volksinitiative vom 18. Oktober 2016 «Mehr bezahlbare Wohnungen»</t>
        </is>
      </c>
      <c r="F222" s="12" t="inlineStr">
        <is>
          <t>nein</t>
        </is>
      </c>
      <c r="G222" s="12" t="inlineStr">
        <is>
          <t>https://www.muenchenstein.ch/abstimmungen/vorlagen</t>
        </is>
      </c>
      <c r="H222" s="12" t="inlineStr">
        <is>
          <t>Unterseite</t>
        </is>
      </c>
      <c r="I222" s="12" t="inlineStr">
        <is>
          <t>Nein</t>
        </is>
      </c>
      <c r="J222" s="12" t="inlineStr">
        <is>
          <t>Ungeprüft – nicht kuratiert</t>
        </is>
      </c>
    </row>
    <row r="223">
      <c r="A223" s="12" t="inlineStr">
        <is>
          <t>Münchenstein</t>
        </is>
      </c>
      <c r="B223" s="12" t="inlineStr">
        <is>
          <t>Basel-Landschaft</t>
        </is>
      </c>
      <c r="C223" s="12" t="inlineStr">
        <is>
          <t>C5</t>
        </is>
      </c>
      <c r="D223" s="16" t="inlineStr">
        <is>
          <t>https://www.muenchenstein.ch/_rte/abstimmung/214894</t>
        </is>
      </c>
      <c r="E223" s="12" t="inlineStr">
        <is>
          <t>Änderung vom 14. Dezember 2018 des Strafgesetzbuches und des Militärstrafgesetzes (Diskriminierung und Aufruf zu Hass aufgrund der sexuellen Orientierung)</t>
        </is>
      </c>
      <c r="F223" s="12" t="inlineStr">
        <is>
          <t>nein</t>
        </is>
      </c>
      <c r="G223" s="12" t="inlineStr">
        <is>
          <t>https://www.muenchenstein.ch/abstimmungen/vorlagen</t>
        </is>
      </c>
      <c r="H223" s="12" t="inlineStr">
        <is>
          <t>Unterseite</t>
        </is>
      </c>
      <c r="I223" s="12" t="inlineStr">
        <is>
          <t>Nein</t>
        </is>
      </c>
      <c r="J223" s="12" t="inlineStr">
        <is>
          <t>Ungeprüft – nicht kuratiert</t>
        </is>
      </c>
    </row>
    <row r="224">
      <c r="A224" s="12" t="inlineStr">
        <is>
          <t>Münchenstein</t>
        </is>
      </c>
      <c r="B224" s="12" t="inlineStr">
        <is>
          <t>Basel-Landschaft</t>
        </is>
      </c>
      <c r="C224" s="12" t="inlineStr">
        <is>
          <t>C5</t>
        </is>
      </c>
      <c r="D224" s="16" t="inlineStr">
        <is>
          <t>https://www.muenchenstein.ch/_rte/abstimmung/221600</t>
        </is>
      </c>
      <c r="E224" s="12" t="inlineStr">
        <is>
          <t>Quartierplan Spenglerpark</t>
        </is>
      </c>
      <c r="F224" s="12" t="inlineStr">
        <is>
          <t>nein</t>
        </is>
      </c>
      <c r="G224" s="12" t="inlineStr">
        <is>
          <t>https://www.muenchenstein.ch/abstimmungen/vorlagen</t>
        </is>
      </c>
      <c r="H224" s="12" t="inlineStr">
        <is>
          <t>Unterseite</t>
        </is>
      </c>
      <c r="I224" s="12" t="inlineStr">
        <is>
          <t>Nein</t>
        </is>
      </c>
      <c r="J224" s="12" t="inlineStr">
        <is>
          <t>Ungeprüft – nicht kuratiert</t>
        </is>
      </c>
    </row>
    <row r="225">
      <c r="A225" s="12" t="inlineStr">
        <is>
          <t>Münchenstein</t>
        </is>
      </c>
      <c r="B225" s="12" t="inlineStr">
        <is>
          <t>Basel-Landschaft</t>
        </is>
      </c>
      <c r="C225" s="12" t="inlineStr">
        <is>
          <t>C5</t>
        </is>
      </c>
      <c r="D225" s="16" t="inlineStr">
        <is>
          <t>https://www.muenchenstein.ch/_rte/abstimmung/225932</t>
        </is>
      </c>
      <c r="E225" s="12" t="inlineStr">
        <is>
          <t>Begrenzungsinitiative</t>
        </is>
      </c>
      <c r="F225" s="12" t="inlineStr">
        <is>
          <t>nein</t>
        </is>
      </c>
      <c r="G225" s="12" t="inlineStr">
        <is>
          <t>https://www.muenchenstein.ch/abstimmungen/vorlagen</t>
        </is>
      </c>
      <c r="H225" s="12" t="inlineStr">
        <is>
          <t>Unterseite</t>
        </is>
      </c>
      <c r="I225" s="12" t="inlineStr">
        <is>
          <t>Nein</t>
        </is>
      </c>
      <c r="J225" s="12" t="inlineStr">
        <is>
          <t>Ungeprüft – nicht kuratiert</t>
        </is>
      </c>
    </row>
    <row r="226">
      <c r="A226" s="12" t="inlineStr">
        <is>
          <t>Münchenstein</t>
        </is>
      </c>
      <c r="B226" s="12" t="inlineStr">
        <is>
          <t>Basel-Landschaft</t>
        </is>
      </c>
      <c r="C226" s="12" t="inlineStr">
        <is>
          <t>C5</t>
        </is>
      </c>
      <c r="D226" s="16" t="inlineStr">
        <is>
          <t>https://www.muenchenstein.ch/_rte/abstimmung/225938</t>
        </is>
      </c>
      <c r="E226" s="12" t="inlineStr">
        <is>
          <t>Bundesgesetzes über die Jagd und den Schutz wildlebender Säugetiere und Vögel (Jagdgesetz, JSG)</t>
        </is>
      </c>
      <c r="F226" s="12" t="inlineStr">
        <is>
          <t>nein</t>
        </is>
      </c>
      <c r="G226" s="12" t="inlineStr">
        <is>
          <t>https://www.muenchenstein.ch/abstimmungen/vorlagen</t>
        </is>
      </c>
      <c r="H226" s="12" t="inlineStr">
        <is>
          <t>Unterseite</t>
        </is>
      </c>
      <c r="I226" s="12" t="inlineStr">
        <is>
          <t>Nein</t>
        </is>
      </c>
      <c r="J226" s="12" t="inlineStr">
        <is>
          <t>Ungeprüft – nicht kuratiert</t>
        </is>
      </c>
    </row>
    <row r="227">
      <c r="A227" s="12" t="inlineStr">
        <is>
          <t>Münchenstein</t>
        </is>
      </c>
      <c r="B227" s="12" t="inlineStr">
        <is>
          <t>Basel-Landschaft</t>
        </is>
      </c>
      <c r="C227" s="12" t="inlineStr">
        <is>
          <t>C5</t>
        </is>
      </c>
      <c r="D227" s="16" t="inlineStr">
        <is>
          <t>https://www.muenchenstein.ch/_rte/abstimmung/225941</t>
        </is>
      </c>
      <c r="E227" s="12" t="inlineStr">
        <is>
          <t>Bundesgesetzes über die direkte Bundessteuer (DBG) (Steuerliche Berücksichtigung der Kinderdrittbetreuungskosten)</t>
        </is>
      </c>
      <c r="F227" s="12" t="inlineStr">
        <is>
          <t>nein</t>
        </is>
      </c>
      <c r="G227" s="12" t="inlineStr">
        <is>
          <t>https://www.muenchenstein.ch/abstimmungen/vorlagen</t>
        </is>
      </c>
      <c r="H227" s="12" t="inlineStr">
        <is>
          <t>Unterseite</t>
        </is>
      </c>
      <c r="I227" s="12" t="inlineStr">
        <is>
          <t>Nein</t>
        </is>
      </c>
      <c r="J227" s="12" t="inlineStr">
        <is>
          <t>Ungeprüft – nicht kuratiert</t>
        </is>
      </c>
    </row>
    <row r="228">
      <c r="A228" s="12" t="inlineStr">
        <is>
          <t>Münchenstein</t>
        </is>
      </c>
      <c r="B228" s="12" t="inlineStr">
        <is>
          <t>Basel-Landschaft</t>
        </is>
      </c>
      <c r="C228" s="12" t="inlineStr">
        <is>
          <t>C5</t>
        </is>
      </c>
      <c r="D228" s="16" t="inlineStr">
        <is>
          <t>https://www.muenchenstein.ch/_rte/abstimmung/225944</t>
        </is>
      </c>
      <c r="E228" s="12" t="inlineStr">
        <is>
          <t>Bundesgesetzes über den Erwerbsersatz für Dienstleistende und bei Mutterschaft (Erwerbsersatzgesetz, EOG)</t>
        </is>
      </c>
      <c r="F228" s="12" t="inlineStr">
        <is>
          <t>nein</t>
        </is>
      </c>
      <c r="G228" s="12" t="inlineStr">
        <is>
          <t>https://www.muenchenstein.ch/abstimmungen/vorlagen</t>
        </is>
      </c>
      <c r="H228" s="12" t="inlineStr">
        <is>
          <t>Unterseite</t>
        </is>
      </c>
      <c r="I228" s="12" t="inlineStr">
        <is>
          <t>Nein</t>
        </is>
      </c>
      <c r="J228" s="12" t="inlineStr">
        <is>
          <t>Ungeprüft – nicht kuratiert</t>
        </is>
      </c>
    </row>
    <row r="229">
      <c r="A229" s="12" t="inlineStr">
        <is>
          <t>Münchenstein</t>
        </is>
      </c>
      <c r="B229" s="12" t="inlineStr">
        <is>
          <t>Basel-Landschaft</t>
        </is>
      </c>
      <c r="C229" s="12" t="inlineStr">
        <is>
          <t>C5</t>
        </is>
      </c>
      <c r="D229" s="16" t="inlineStr">
        <is>
          <t>https://www.muenchenstein.ch/_rte/abstimmung/225956</t>
        </is>
      </c>
      <c r="E229" s="12" t="inlineStr">
        <is>
          <t>Ausbau des Hochleistungsstrassennetzes</t>
        </is>
      </c>
      <c r="F229" s="12" t="inlineStr">
        <is>
          <t>nein</t>
        </is>
      </c>
      <c r="G229" s="12" t="inlineStr">
        <is>
          <t>https://www.muenchenstein.ch/abstimmungen/vorlagen</t>
        </is>
      </c>
      <c r="H229" s="12" t="inlineStr">
        <is>
          <t>Unterseite</t>
        </is>
      </c>
      <c r="I229" s="12" t="inlineStr">
        <is>
          <t>Nein</t>
        </is>
      </c>
      <c r="J229" s="12" t="inlineStr">
        <is>
          <t>Ungeprüft – nicht kuratiert</t>
        </is>
      </c>
    </row>
    <row r="230">
      <c r="A230" s="12" t="inlineStr">
        <is>
          <t>Münchenstein</t>
        </is>
      </c>
      <c r="B230" s="12" t="inlineStr">
        <is>
          <t>Basel-Landschaft</t>
        </is>
      </c>
      <c r="C230" s="12" t="inlineStr">
        <is>
          <t>C5</t>
        </is>
      </c>
      <c r="D230" s="16" t="inlineStr">
        <is>
          <t>https://www.muenchenstein.ch/_rte/abstimmung/234037</t>
        </is>
      </c>
      <c r="E230" s="12" t="inlineStr">
        <is>
          <t>Volksinitiative vom 10. Oktober 2016 «Für verantwortungsvolle Unternehmen – zum Schutz von Mensch und Umwelt»</t>
        </is>
      </c>
      <c r="F230" s="12" t="inlineStr">
        <is>
          <t>nein</t>
        </is>
      </c>
      <c r="G230" s="12" t="inlineStr">
        <is>
          <t>https://www.muenchenstein.ch/abstimmungen/vorlagen</t>
        </is>
      </c>
      <c r="H230" s="12" t="inlineStr">
        <is>
          <t>Unterseite</t>
        </is>
      </c>
      <c r="I230" s="12" t="inlineStr">
        <is>
          <t>Nein</t>
        </is>
      </c>
      <c r="J230" s="12" t="inlineStr">
        <is>
          <t>Ungeprüft – nicht kuratiert</t>
        </is>
      </c>
    </row>
    <row r="231">
      <c r="A231" s="12" t="inlineStr">
        <is>
          <t>Münchenstein</t>
        </is>
      </c>
      <c r="B231" s="12" t="inlineStr">
        <is>
          <t>Basel-Landschaft</t>
        </is>
      </c>
      <c r="C231" s="12" t="inlineStr">
        <is>
          <t>C5</t>
        </is>
      </c>
      <c r="D231" s="16" t="inlineStr">
        <is>
          <t>https://www.muenchenstein.ch/_rte/abstimmung/234040</t>
        </is>
      </c>
      <c r="E231" s="12" t="inlineStr">
        <is>
          <t>Volksinitiative vom 21. Juni 2018 «Für ein Verbot der Finanzierung von Kriegsmaterialproduzenten»</t>
        </is>
      </c>
      <c r="F231" s="12" t="inlineStr">
        <is>
          <t>nein</t>
        </is>
      </c>
      <c r="G231" s="12" t="inlineStr">
        <is>
          <t>https://www.muenchenstein.ch/abstimmungen/vorlagen</t>
        </is>
      </c>
      <c r="H231" s="12" t="inlineStr">
        <is>
          <t>Unterseite</t>
        </is>
      </c>
      <c r="I231" s="12" t="inlineStr">
        <is>
          <t>Nein</t>
        </is>
      </c>
      <c r="J231" s="12" t="inlineStr">
        <is>
          <t>Ungeprüft – nicht kuratiert</t>
        </is>
      </c>
    </row>
    <row r="232">
      <c r="A232" s="12" t="inlineStr">
        <is>
          <t>Münchenstein</t>
        </is>
      </c>
      <c r="B232" s="12" t="inlineStr">
        <is>
          <t>Basel-Landschaft</t>
        </is>
      </c>
      <c r="C232" s="12" t="inlineStr">
        <is>
          <t>C5</t>
        </is>
      </c>
      <c r="D232" s="16" t="inlineStr">
        <is>
          <t>https://www.muenchenstein.ch/_rte/abstimmung/234049</t>
        </is>
      </c>
      <c r="E232" s="12" t="inlineStr">
        <is>
          <t>Gesetz über die Ausrichtung von Mietzinsbeiträgen an die Mieterinnen und Mieter von Geschäftsräumlichkeiten im Zusammenhang mit dem Coronavirus (Covid-19) vom 27. August 2020</t>
        </is>
      </c>
      <c r="F232" s="12" t="inlineStr">
        <is>
          <t>nein</t>
        </is>
      </c>
      <c r="G232" s="12" t="inlineStr">
        <is>
          <t>https://www.muenchenstein.ch/abstimmungen/vorlagen</t>
        </is>
      </c>
      <c r="H232" s="12" t="inlineStr">
        <is>
          <t>Unterseite</t>
        </is>
      </c>
      <c r="I232" s="12" t="inlineStr">
        <is>
          <t>Nein</t>
        </is>
      </c>
      <c r="J232" s="12" t="inlineStr">
        <is>
          <t>Ungeprüft – nicht kuratiert</t>
        </is>
      </c>
    </row>
    <row r="233">
      <c r="A233" s="12" t="inlineStr">
        <is>
          <t>Münchenstein</t>
        </is>
      </c>
      <c r="B233" s="12" t="inlineStr">
        <is>
          <t>Basel-Landschaft</t>
        </is>
      </c>
      <c r="C233" s="12" t="inlineStr">
        <is>
          <t>C5</t>
        </is>
      </c>
      <c r="D233" s="16" t="inlineStr">
        <is>
          <t>https://www.muenchenstein.ch/_rte/abstimmung/241226</t>
        </is>
      </c>
      <c r="E233" s="12" t="inlineStr">
        <is>
          <t>Volksinitiative vom 15. September 2017 «Ja zum Verhüllungsverbot»</t>
        </is>
      </c>
      <c r="F233" s="12" t="inlineStr">
        <is>
          <t>nein</t>
        </is>
      </c>
      <c r="G233" s="12" t="inlineStr">
        <is>
          <t>https://www.muenchenstein.ch/abstimmungen/vorlagen</t>
        </is>
      </c>
      <c r="H233" s="12" t="inlineStr">
        <is>
          <t>Unterseite</t>
        </is>
      </c>
      <c r="I233" s="12" t="inlineStr">
        <is>
          <t>Nein</t>
        </is>
      </c>
      <c r="J233" s="12" t="inlineStr">
        <is>
          <t>Ungeprüft – nicht kuratiert</t>
        </is>
      </c>
    </row>
    <row r="234">
      <c r="A234" s="12" t="inlineStr">
        <is>
          <t>Münchenstein</t>
        </is>
      </c>
      <c r="B234" s="12" t="inlineStr">
        <is>
          <t>Basel-Landschaft</t>
        </is>
      </c>
      <c r="C234" s="12" t="inlineStr">
        <is>
          <t>C5</t>
        </is>
      </c>
      <c r="D234" s="16" t="inlineStr">
        <is>
          <t>https://www.muenchenstein.ch/_rte/abstimmung/241229</t>
        </is>
      </c>
      <c r="E234" s="12" t="inlineStr">
        <is>
          <t>Bundesgesetz vom 27. September 2019 über elektronische Identifizierungsdienste (E-ID-Gesetz, BGEID)</t>
        </is>
      </c>
      <c r="F234" s="12" t="inlineStr">
        <is>
          <t>nein</t>
        </is>
      </c>
      <c r="G234" s="12" t="inlineStr">
        <is>
          <t>https://www.muenchenstein.ch/abstimmungen/vorlagen</t>
        </is>
      </c>
      <c r="H234" s="12" t="inlineStr">
        <is>
          <t>Unterseite</t>
        </is>
      </c>
      <c r="I234" s="12" t="inlineStr">
        <is>
          <t>Nein</t>
        </is>
      </c>
      <c r="J234" s="12" t="inlineStr">
        <is>
          <t>Ungeprüft – nicht kuratiert</t>
        </is>
      </c>
    </row>
    <row r="235">
      <c r="A235" s="12" t="inlineStr">
        <is>
          <t>Münchenstein</t>
        </is>
      </c>
      <c r="B235" s="12" t="inlineStr">
        <is>
          <t>Basel-Landschaft</t>
        </is>
      </c>
      <c r="C235" s="12" t="inlineStr">
        <is>
          <t>C5</t>
        </is>
      </c>
      <c r="D235" s="16" t="inlineStr">
        <is>
          <t>https://www.muenchenstein.ch/_rte/abstimmung/241232</t>
        </is>
      </c>
      <c r="E235" s="12" t="inlineStr">
        <is>
          <t>Bundesbeschluss vom 20. Dezember 2019 über die Genehmigung des Umfassenden Wirtschaftspartnerschaftsabkommens zwischen den EFTA-Staaten und Indonesien</t>
        </is>
      </c>
      <c r="F235" s="12" t="inlineStr">
        <is>
          <t>nein</t>
        </is>
      </c>
      <c r="G235" s="12" t="inlineStr">
        <is>
          <t>https://www.muenchenstein.ch/abstimmungen/vorlagen</t>
        </is>
      </c>
      <c r="H235" s="12" t="inlineStr">
        <is>
          <t>Unterseite</t>
        </is>
      </c>
      <c r="I235" s="12" t="inlineStr">
        <is>
          <t>Nein</t>
        </is>
      </c>
      <c r="J235" s="12" t="inlineStr">
        <is>
          <t>Ungeprüft – nicht kuratiert</t>
        </is>
      </c>
    </row>
    <row r="236">
      <c r="A236" s="12" t="inlineStr">
        <is>
          <t>Münchenstein</t>
        </is>
      </c>
      <c r="B236" s="12" t="inlineStr">
        <is>
          <t>Basel-Landschaft</t>
        </is>
      </c>
      <c r="C236" s="12" t="inlineStr">
        <is>
          <t>C5</t>
        </is>
      </c>
      <c r="D236" s="16" t="inlineStr">
        <is>
          <t>https://www.muenchenstein.ch/_rte/abstimmung/241235</t>
        </is>
      </c>
      <c r="E236" s="12" t="inlineStr">
        <is>
          <t>Formulierte Gesetzesinitiative «Die gigantische und unerfüllbare Anzahl von 3'500 Kompetenzbeschreibungen in den Lehrplänen auf ein vernünftiges Mass reduzieren» vom 29. August 2019</t>
        </is>
      </c>
      <c r="F236" s="12" t="inlineStr">
        <is>
          <t>nein</t>
        </is>
      </c>
      <c r="G236" s="12" t="inlineStr">
        <is>
          <t>https://www.muenchenstein.ch/abstimmungen/vorlagen</t>
        </is>
      </c>
      <c r="H236" s="12" t="inlineStr">
        <is>
          <t>Unterseite</t>
        </is>
      </c>
      <c r="I236" s="12" t="inlineStr">
        <is>
          <t>Nein</t>
        </is>
      </c>
      <c r="J236" s="12" t="inlineStr">
        <is>
          <t>Ungeprüft – nicht kuratiert</t>
        </is>
      </c>
    </row>
    <row r="237">
      <c r="A237" s="12" t="inlineStr">
        <is>
          <t>Münchenstein</t>
        </is>
      </c>
      <c r="B237" s="12" t="inlineStr">
        <is>
          <t>Basel-Landschaft</t>
        </is>
      </c>
      <c r="C237" s="12" t="inlineStr">
        <is>
          <t>C5</t>
        </is>
      </c>
      <c r="D237" s="16" t="inlineStr">
        <is>
          <t>https://www.muenchenstein.ch/_rte/abstimmung/241238</t>
        </is>
      </c>
      <c r="E237" s="12" t="inlineStr">
        <is>
          <t>Revision des Gesetzes über die Bekämpfung der Schwarzarbeit (GSA)</t>
        </is>
      </c>
      <c r="F237" s="12" t="inlineStr">
        <is>
          <t>nein</t>
        </is>
      </c>
      <c r="G237" s="12" t="inlineStr">
        <is>
          <t>https://www.muenchenstein.ch/abstimmungen/vorlagen</t>
        </is>
      </c>
      <c r="H237" s="12" t="inlineStr">
        <is>
          <t>Unterseite</t>
        </is>
      </c>
      <c r="I237" s="12" t="inlineStr">
        <is>
          <t>Nein</t>
        </is>
      </c>
      <c r="J237" s="12" t="inlineStr">
        <is>
          <t>Ungeprüft – nicht kuratiert</t>
        </is>
      </c>
    </row>
    <row r="238">
      <c r="A238" s="12" t="inlineStr">
        <is>
          <t>Münchenstein</t>
        </is>
      </c>
      <c r="B238" s="12" t="inlineStr">
        <is>
          <t>Basel-Landschaft</t>
        </is>
      </c>
      <c r="C238" s="12" t="inlineStr">
        <is>
          <t>C5</t>
        </is>
      </c>
      <c r="D238" s="16" t="inlineStr">
        <is>
          <t>https://www.muenchenstein.ch/_rte/abstimmung/241244</t>
        </is>
      </c>
      <c r="E238" s="12" t="inlineStr">
        <is>
          <t>Revision des Arbeitsmarktaufsichtsgesetzes (AMAG)</t>
        </is>
      </c>
      <c r="F238" s="12" t="inlineStr">
        <is>
          <t>nein</t>
        </is>
      </c>
      <c r="G238" s="12" t="inlineStr">
        <is>
          <t>https://www.muenchenstein.ch/abstimmungen/vorlagen</t>
        </is>
      </c>
      <c r="H238" s="12" t="inlineStr">
        <is>
          <t>Unterseite</t>
        </is>
      </c>
      <c r="I238" s="12" t="inlineStr">
        <is>
          <t>Nein</t>
        </is>
      </c>
      <c r="J238" s="12" t="inlineStr">
        <is>
          <t>Ungeprüft – nicht kuratiert</t>
        </is>
      </c>
    </row>
    <row r="239">
      <c r="A239" s="12" t="inlineStr">
        <is>
          <t>Münchenstein</t>
        </is>
      </c>
      <c r="B239" s="12" t="inlineStr">
        <is>
          <t>Basel-Landschaft</t>
        </is>
      </c>
      <c r="C239" s="12" t="inlineStr">
        <is>
          <t>C5</t>
        </is>
      </c>
      <c r="D239" s="16" t="inlineStr">
        <is>
          <t>https://www.muenchenstein.ch/_rte/abstimmung/251042</t>
        </is>
      </c>
      <c r="E239" s="12" t="inlineStr">
        <is>
          <t>Volksinitiative vom 18. Januar 2018 «Für sauberes Trinkwasser und gesunde Nahrung – Keine Subventionen für den Pestizid- und den prophylaktischen Antibiotika-Einsatz»</t>
        </is>
      </c>
      <c r="F239" s="12" t="inlineStr">
        <is>
          <t>nein</t>
        </is>
      </c>
      <c r="G239" s="12" t="inlineStr">
        <is>
          <t>https://www.muenchenstein.ch/abstimmungen/vorlagen</t>
        </is>
      </c>
      <c r="H239" s="12" t="inlineStr">
        <is>
          <t>Unterseite</t>
        </is>
      </c>
      <c r="I239" s="12" t="inlineStr">
        <is>
          <t>Nein</t>
        </is>
      </c>
      <c r="J239" s="12" t="inlineStr">
        <is>
          <t>Ungeprüft – nicht kuratiert</t>
        </is>
      </c>
    </row>
    <row r="240">
      <c r="A240" s="12" t="inlineStr">
        <is>
          <t>Münchenstein</t>
        </is>
      </c>
      <c r="B240" s="12" t="inlineStr">
        <is>
          <t>Basel-Landschaft</t>
        </is>
      </c>
      <c r="C240" s="12" t="inlineStr">
        <is>
          <t>C5</t>
        </is>
      </c>
      <c r="D240" s="16" t="inlineStr">
        <is>
          <t>https://www.muenchenstein.ch/_rte/abstimmung/251045</t>
        </is>
      </c>
      <c r="E240" s="12" t="inlineStr">
        <is>
          <t>Volksinitiative vom 25. Mai 2018 «Für eine Schweiz ohne synthetische Pestizide»</t>
        </is>
      </c>
      <c r="F240" s="12" t="inlineStr">
        <is>
          <t>nein</t>
        </is>
      </c>
      <c r="G240" s="12" t="inlineStr">
        <is>
          <t>https://www.muenchenstein.ch/abstimmungen/vorlagen</t>
        </is>
      </c>
      <c r="H240" s="12" t="inlineStr">
        <is>
          <t>Unterseite</t>
        </is>
      </c>
      <c r="I240" s="12" t="inlineStr">
        <is>
          <t>Nein</t>
        </is>
      </c>
      <c r="J240" s="12" t="inlineStr">
        <is>
          <t>Ungeprüft – nicht kuratiert</t>
        </is>
      </c>
    </row>
    <row r="241">
      <c r="A241" s="12" t="inlineStr">
        <is>
          <t>Münchenstein</t>
        </is>
      </c>
      <c r="B241" s="12" t="inlineStr">
        <is>
          <t>Basel-Landschaft</t>
        </is>
      </c>
      <c r="C241" s="12" t="inlineStr">
        <is>
          <t>C5</t>
        </is>
      </c>
      <c r="D241" s="16" t="inlineStr">
        <is>
          <t>https://www.muenchenstein.ch/_rte/abstimmung/251051</t>
        </is>
      </c>
      <c r="E241" s="12" t="inlineStr">
        <is>
          <t>Bundesgesetz vom 25. September 2020 über die Verminderung von Treibhausgasemissionen (CO2-Gesetz)</t>
        </is>
      </c>
      <c r="F241" s="12" t="inlineStr">
        <is>
          <t>nein</t>
        </is>
      </c>
      <c r="G241" s="12" t="inlineStr">
        <is>
          <t>https://www.muenchenstein.ch/abstimmungen/vorlagen</t>
        </is>
      </c>
      <c r="H241" s="12" t="inlineStr">
        <is>
          <t>Unterseite</t>
        </is>
      </c>
      <c r="I241" s="12" t="inlineStr">
        <is>
          <t>Nein</t>
        </is>
      </c>
      <c r="J241" s="12" t="inlineStr">
        <is>
          <t>Ungeprüft – nicht kuratiert</t>
        </is>
      </c>
    </row>
    <row r="242">
      <c r="A242" s="12" t="inlineStr">
        <is>
          <t>Münchenstein</t>
        </is>
      </c>
      <c r="B242" s="12" t="inlineStr">
        <is>
          <t>Basel-Landschaft</t>
        </is>
      </c>
      <c r="C242" s="12" t="inlineStr">
        <is>
          <t>C5</t>
        </is>
      </c>
      <c r="D242" s="16" t="inlineStr">
        <is>
          <t>https://www.muenchenstein.ch/_rte/abstimmung/251054</t>
        </is>
      </c>
      <c r="E242" s="12" t="inlineStr">
        <is>
          <t>Bundesgesetz vom 25. September 2020 über polizeiliche Massnahmen zur Bekämpfung von Terrorismus</t>
        </is>
      </c>
      <c r="F242" s="12" t="inlineStr">
        <is>
          <t>nein</t>
        </is>
      </c>
      <c r="G242" s="12" t="inlineStr">
        <is>
          <t>https://www.muenchenstein.ch/abstimmungen/vorlagen</t>
        </is>
      </c>
      <c r="H242" s="12" t="inlineStr">
        <is>
          <t>Unterseite</t>
        </is>
      </c>
      <c r="I242" s="12" t="inlineStr">
        <is>
          <t>Nein</t>
        </is>
      </c>
      <c r="J242" s="12" t="inlineStr">
        <is>
          <t>Ungeprüft – nicht kuratiert</t>
        </is>
      </c>
    </row>
    <row r="243">
      <c r="A243" s="12" t="inlineStr">
        <is>
          <t>Münchenstein</t>
        </is>
      </c>
      <c r="B243" s="12" t="inlineStr">
        <is>
          <t>Basel-Landschaft</t>
        </is>
      </c>
      <c r="C243" s="12" t="inlineStr">
        <is>
          <t>C5</t>
        </is>
      </c>
      <c r="D243" s="16" t="inlineStr">
        <is>
          <t>https://www.muenchenstein.ch/_rte/abstimmung/25246</t>
        </is>
      </c>
      <c r="E243" s="12" t="inlineStr">
        <is>
          <t>Bundesbeschluss vom 16. Dezember 2005 über die Neuordnung der Verfassungsbestmmungen zur Bildung</t>
        </is>
      </c>
      <c r="F243" s="12" t="inlineStr">
        <is>
          <t>nein</t>
        </is>
      </c>
      <c r="G243" s="12" t="inlineStr">
        <is>
          <t>https://www.muenchenstein.ch/abstimmungen/vorlagen</t>
        </is>
      </c>
      <c r="H243" s="12" t="inlineStr">
        <is>
          <t>Unterseite</t>
        </is>
      </c>
      <c r="I243" s="12" t="inlineStr">
        <is>
          <t>Nein</t>
        </is>
      </c>
      <c r="J243" s="12" t="inlineStr">
        <is>
          <t>Ungeprüft – nicht kuratiert</t>
        </is>
      </c>
    </row>
    <row r="244">
      <c r="A244" s="12" t="inlineStr">
        <is>
          <t>Münchenstein</t>
        </is>
      </c>
      <c r="B244" s="12" t="inlineStr">
        <is>
          <t>Basel-Landschaft</t>
        </is>
      </c>
      <c r="C244" s="12" t="inlineStr">
        <is>
          <t>C5</t>
        </is>
      </c>
      <c r="D244" s="16" t="inlineStr">
        <is>
          <t>https://www.muenchenstein.ch/_rte/abstimmung/258893</t>
        </is>
      </c>
      <c r="E244" s="12" t="inlineStr">
        <is>
          <t>Volksinitiative vom 2. April 2019 «Löhne entlasten, Kapital gerecht besteuern»</t>
        </is>
      </c>
      <c r="F244" s="12" t="inlineStr">
        <is>
          <t>nein</t>
        </is>
      </c>
      <c r="G244" s="12" t="inlineStr">
        <is>
          <t>https://www.muenchenstein.ch/abstimmungen/vorlagen</t>
        </is>
      </c>
      <c r="H244" s="12" t="inlineStr">
        <is>
          <t>Unterseite</t>
        </is>
      </c>
      <c r="I244" s="12" t="inlineStr">
        <is>
          <t>Nein</t>
        </is>
      </c>
      <c r="J244" s="12" t="inlineStr">
        <is>
          <t>Ungeprüft – nicht kuratiert</t>
        </is>
      </c>
    </row>
    <row r="245">
      <c r="A245" s="12" t="inlineStr">
        <is>
          <t>Münchenstein</t>
        </is>
      </c>
      <c r="B245" s="12" t="inlineStr">
        <is>
          <t>Basel-Landschaft</t>
        </is>
      </c>
      <c r="C245" s="12" t="inlineStr">
        <is>
          <t>C5</t>
        </is>
      </c>
      <c r="D245" s="16" t="inlineStr">
        <is>
          <t>https://www.muenchenstein.ch/_rte/abstimmung/258896</t>
        </is>
      </c>
      <c r="E245" s="12" t="inlineStr">
        <is>
          <t>Änderung vom 18. Dezember 2020 des Schweizerischen Zivilgesetzbuches (Ehe für alle)</t>
        </is>
      </c>
      <c r="F245" s="12" t="inlineStr">
        <is>
          <t>nein</t>
        </is>
      </c>
      <c r="G245" s="12" t="inlineStr">
        <is>
          <t>https://www.muenchenstein.ch/abstimmungen/vorlagen</t>
        </is>
      </c>
      <c r="H245" s="12" t="inlineStr">
        <is>
          <t>Unterseite</t>
        </is>
      </c>
      <c r="I245" s="12" t="inlineStr">
        <is>
          <t>Nein</t>
        </is>
      </c>
      <c r="J245" s="12" t="inlineStr">
        <is>
          <t>Ungeprüft – nicht kuratiert</t>
        </is>
      </c>
    </row>
    <row r="246">
      <c r="A246" s="12" t="inlineStr">
        <is>
          <t>Münchenstein</t>
        </is>
      </c>
      <c r="B246" s="12" t="inlineStr">
        <is>
          <t>Basel-Landschaft</t>
        </is>
      </c>
      <c r="C246" s="12" t="inlineStr">
        <is>
          <t>C5</t>
        </is>
      </c>
      <c r="D246" s="16" t="inlineStr">
        <is>
          <t>https://www.muenchenstein.ch/_rte/abstimmung/259906</t>
        </is>
      </c>
      <c r="E246" s="12" t="inlineStr">
        <is>
          <t>Quartierplanung (QP) vanBaerle</t>
        </is>
      </c>
      <c r="F246" s="12" t="inlineStr">
        <is>
          <t>nein</t>
        </is>
      </c>
      <c r="G246" s="12" t="inlineStr">
        <is>
          <t>https://www.muenchenstein.ch/abstimmungen/vorlagen</t>
        </is>
      </c>
      <c r="H246" s="12" t="inlineStr">
        <is>
          <t>Unterseite</t>
        </is>
      </c>
      <c r="I246" s="12" t="inlineStr">
        <is>
          <t>Nein</t>
        </is>
      </c>
      <c r="J246" s="12" t="inlineStr">
        <is>
          <t>Ungeprüft – nicht kuratiert</t>
        </is>
      </c>
    </row>
    <row r="247">
      <c r="A247" s="12" t="inlineStr">
        <is>
          <t>Münchenstein</t>
        </is>
      </c>
      <c r="B247" s="12" t="inlineStr">
        <is>
          <t>Basel-Landschaft</t>
        </is>
      </c>
      <c r="C247" s="12" t="inlineStr">
        <is>
          <t>C5</t>
        </is>
      </c>
      <c r="D247" s="16" t="inlineStr">
        <is>
          <t>https://www.muenchenstein.ch/_rte/abstimmung/261652</t>
        </is>
      </c>
      <c r="E247" s="12" t="inlineStr">
        <is>
          <t>Volksinitiative vom 7. November 2017 «Für eine starke Pflege (Pflegeinitiative)»</t>
        </is>
      </c>
      <c r="F247" s="12" t="inlineStr">
        <is>
          <t>nein</t>
        </is>
      </c>
      <c r="G247" s="12" t="inlineStr">
        <is>
          <t>https://www.muenchenstein.ch/abstimmungen/vorlagen</t>
        </is>
      </c>
      <c r="H247" s="12" t="inlineStr">
        <is>
          <t>Unterseite</t>
        </is>
      </c>
      <c r="I247" s="12" t="inlineStr">
        <is>
          <t>Nein</t>
        </is>
      </c>
      <c r="J247" s="12" t="inlineStr">
        <is>
          <t>Ungeprüft – nicht kuratiert</t>
        </is>
      </c>
    </row>
    <row r="248">
      <c r="A248" s="12" t="inlineStr">
        <is>
          <t>Münchenstein</t>
        </is>
      </c>
      <c r="B248" s="12" t="inlineStr">
        <is>
          <t>Basel-Landschaft</t>
        </is>
      </c>
      <c r="C248" s="12" t="inlineStr">
        <is>
          <t>C5</t>
        </is>
      </c>
      <c r="D248" s="16" t="inlineStr">
        <is>
          <t>https://www.muenchenstein.ch/_rte/abstimmung/261655</t>
        </is>
      </c>
      <c r="E248" s="12" t="inlineStr">
        <is>
          <t>Volksinitiative vom 26. August 2019 «Bestimmung der Bundesrichterinnen und Bundesrichter im Losverfahren (Justiz-Initiative)»</t>
        </is>
      </c>
      <c r="F248" s="12" t="inlineStr">
        <is>
          <t>nein</t>
        </is>
      </c>
      <c r="G248" s="12" t="inlineStr">
        <is>
          <t>https://www.muenchenstein.ch/abstimmungen/vorlagen</t>
        </is>
      </c>
      <c r="H248" s="12" t="inlineStr">
        <is>
          <t>Unterseite</t>
        </is>
      </c>
      <c r="I248" s="12" t="inlineStr">
        <is>
          <t>Nein</t>
        </is>
      </c>
      <c r="J248" s="12" t="inlineStr">
        <is>
          <t>Ungeprüft – nicht kuratiert</t>
        </is>
      </c>
    </row>
    <row r="249">
      <c r="A249" s="12" t="inlineStr">
        <is>
          <t>Münchenstein</t>
        </is>
      </c>
      <c r="B249" s="12" t="inlineStr">
        <is>
          <t>Basel-Landschaft</t>
        </is>
      </c>
      <c r="C249" s="12" t="inlineStr">
        <is>
          <t>C5</t>
        </is>
      </c>
      <c r="D249" s="16" t="inlineStr">
        <is>
          <t>https://www.muenchenstein.ch/_rte/abstimmung/261664</t>
        </is>
      </c>
      <c r="E249" s="12" t="inlineStr">
        <is>
          <t>Landratsbeschluss vom 20. Mai 2021 betreffend kantonales Integrationsprogramm 2bis (2022-2023); Ausgabenbewilligung (LRV 2021/70)</t>
        </is>
      </c>
      <c r="F249" s="12" t="inlineStr">
        <is>
          <t>nein</t>
        </is>
      </c>
      <c r="G249" s="12" t="inlineStr">
        <is>
          <t>https://www.muenchenstein.ch/abstimmungen/vorlagen</t>
        </is>
      </c>
      <c r="H249" s="12" t="inlineStr">
        <is>
          <t>Unterseite</t>
        </is>
      </c>
      <c r="I249" s="12" t="inlineStr">
        <is>
          <t>Nein</t>
        </is>
      </c>
      <c r="J249" s="12" t="inlineStr">
        <is>
          <t>Ungeprüft – nicht kuratiert</t>
        </is>
      </c>
    </row>
    <row r="250">
      <c r="A250" s="12" t="inlineStr">
        <is>
          <t>Münchenstein</t>
        </is>
      </c>
      <c r="B250" s="12" t="inlineStr">
        <is>
          <t>Basel-Landschaft</t>
        </is>
      </c>
      <c r="C250" s="12" t="inlineStr">
        <is>
          <t>C5</t>
        </is>
      </c>
      <c r="D250" s="16" t="inlineStr">
        <is>
          <t>https://www.muenchenstein.ch/_rte/abstimmung/265018</t>
        </is>
      </c>
      <c r="E250" s="12" t="inlineStr">
        <is>
          <t>Volksinitiative vom 18. März 2019 «Ja zum Tier- und Menschenversuchsverbot – Ja zu Forschungswegen mit Impulsen für Sicherheit und Fortschritt»</t>
        </is>
      </c>
      <c r="F250" s="12" t="inlineStr">
        <is>
          <t>nein</t>
        </is>
      </c>
      <c r="G250" s="12" t="inlineStr">
        <is>
          <t>https://www.muenchenstein.ch/abstimmungen/vorlagen</t>
        </is>
      </c>
      <c r="H250" s="12" t="inlineStr">
        <is>
          <t>Unterseite</t>
        </is>
      </c>
      <c r="I250" s="12" t="inlineStr">
        <is>
          <t>Nein</t>
        </is>
      </c>
      <c r="J250" s="12" t="inlineStr">
        <is>
          <t>Ungeprüft – nicht kuratiert</t>
        </is>
      </c>
    </row>
    <row r="251">
      <c r="A251" s="12" t="inlineStr">
        <is>
          <t>Münchenstein</t>
        </is>
      </c>
      <c r="B251" s="12" t="inlineStr">
        <is>
          <t>Basel-Landschaft</t>
        </is>
      </c>
      <c r="C251" s="12" t="inlineStr">
        <is>
          <t>C5</t>
        </is>
      </c>
      <c r="D251" s="16" t="inlineStr">
        <is>
          <t>https://www.muenchenstein.ch/_rte/abstimmung/265021</t>
        </is>
      </c>
      <c r="E251" s="12" t="inlineStr">
        <is>
          <t>Volksinitiative vom 12. September 2019 «Ja zum Schutz der Kinder und Jugendlichen vor Tabakwerbung (Kinder und Jugendliche ohne Tabakwerbung)»</t>
        </is>
      </c>
      <c r="F251" s="12" t="inlineStr">
        <is>
          <t>nein</t>
        </is>
      </c>
      <c r="G251" s="12" t="inlineStr">
        <is>
          <t>https://www.muenchenstein.ch/abstimmungen/vorlagen</t>
        </is>
      </c>
      <c r="H251" s="12" t="inlineStr">
        <is>
          <t>Unterseite</t>
        </is>
      </c>
      <c r="I251" s="12" t="inlineStr">
        <is>
          <t>Nein</t>
        </is>
      </c>
      <c r="J251" s="12" t="inlineStr">
        <is>
          <t>Ungeprüft – nicht kuratiert</t>
        </is>
      </c>
    </row>
    <row r="252">
      <c r="A252" s="12" t="inlineStr">
        <is>
          <t>Münchenstein</t>
        </is>
      </c>
      <c r="B252" s="12" t="inlineStr">
        <is>
          <t>Basel-Landschaft</t>
        </is>
      </c>
      <c r="C252" s="12" t="inlineStr">
        <is>
          <t>C5</t>
        </is>
      </c>
      <c r="D252" s="16" t="inlineStr">
        <is>
          <t>https://www.muenchenstein.ch/_rte/abstimmung/265027</t>
        </is>
      </c>
      <c r="E252" s="12" t="inlineStr">
        <is>
          <t>Änderung vom 18. Juni 2021 des Bundesgesetzes über die Stempelabgaben (StG)</t>
        </is>
      </c>
      <c r="F252" s="12" t="inlineStr">
        <is>
          <t>nein</t>
        </is>
      </c>
      <c r="G252" s="12" t="inlineStr">
        <is>
          <t>https://www.muenchenstein.ch/abstimmungen/vorlagen</t>
        </is>
      </c>
      <c r="H252" s="12" t="inlineStr">
        <is>
          <t>Unterseite</t>
        </is>
      </c>
      <c r="I252" s="12" t="inlineStr">
        <is>
          <t>Nein</t>
        </is>
      </c>
      <c r="J252" s="12" t="inlineStr">
        <is>
          <t>Ungeprüft – nicht kuratiert</t>
        </is>
      </c>
    </row>
    <row r="253">
      <c r="A253" s="12" t="inlineStr">
        <is>
          <t>Münchenstein</t>
        </is>
      </c>
      <c r="B253" s="12" t="inlineStr">
        <is>
          <t>Basel-Landschaft</t>
        </is>
      </c>
      <c r="C253" s="12" t="inlineStr">
        <is>
          <t>C5</t>
        </is>
      </c>
      <c r="D253" s="16" t="inlineStr">
        <is>
          <t>https://www.muenchenstein.ch/_rte/abstimmung/265030</t>
        </is>
      </c>
      <c r="E253" s="12" t="inlineStr">
        <is>
          <t>Bundesgesetz vom 18. Juni 2021 über ein Massnahmenpaket zugunsten der Medien</t>
        </is>
      </c>
      <c r="F253" s="12" t="inlineStr">
        <is>
          <t>nein</t>
        </is>
      </c>
      <c r="G253" s="12" t="inlineStr">
        <is>
          <t>https://www.muenchenstein.ch/abstimmungen/vorlagen</t>
        </is>
      </c>
      <c r="H253" s="12" t="inlineStr">
        <is>
          <t>Unterseite</t>
        </is>
      </c>
      <c r="I253" s="12" t="inlineStr">
        <is>
          <t>Nein</t>
        </is>
      </c>
      <c r="J253" s="12" t="inlineStr">
        <is>
          <t>Ungeprüft – nicht kuratiert</t>
        </is>
      </c>
    </row>
    <row r="254">
      <c r="A254" s="12" t="inlineStr">
        <is>
          <t>Münchenstein</t>
        </is>
      </c>
      <c r="B254" s="12" t="inlineStr">
        <is>
          <t>Basel-Landschaft</t>
        </is>
      </c>
      <c r="C254" s="12" t="inlineStr">
        <is>
          <t>C5</t>
        </is>
      </c>
      <c r="D254" s="16" t="inlineStr">
        <is>
          <t>https://www.muenchenstein.ch/_rte/abstimmung/265033</t>
        </is>
      </c>
      <c r="E254" s="12" t="inlineStr">
        <is>
          <t>Formulierte Gesetzesinitiative «Klimaschutz» (LRV 2020/286)</t>
        </is>
      </c>
      <c r="F254" s="12" t="inlineStr">
        <is>
          <t>nein</t>
        </is>
      </c>
      <c r="G254" s="12" t="inlineStr">
        <is>
          <t>https://www.muenchenstein.ch/abstimmungen/vorlagen</t>
        </is>
      </c>
      <c r="H254" s="12" t="inlineStr">
        <is>
          <t>Unterseite</t>
        </is>
      </c>
      <c r="I254" s="12" t="inlineStr">
        <is>
          <t>Nein</t>
        </is>
      </c>
      <c r="J254" s="12" t="inlineStr">
        <is>
          <t>Ungeprüft – nicht kuratiert</t>
        </is>
      </c>
    </row>
    <row r="255">
      <c r="A255" s="12" t="inlineStr">
        <is>
          <t>Münchenstein</t>
        </is>
      </c>
      <c r="B255" s="12" t="inlineStr">
        <is>
          <t>Basel-Landschaft</t>
        </is>
      </c>
      <c r="C255" s="12" t="inlineStr">
        <is>
          <t>C5</t>
        </is>
      </c>
      <c r="D255" s="16" t="inlineStr">
        <is>
          <t>https://www.muenchenstein.ch/_rte/abstimmung/265036</t>
        </is>
      </c>
      <c r="E255" s="12" t="inlineStr">
        <is>
          <t>Teilrevision der Verfassung des Kantons Basel-Landschaft betreffend Volksinitiativen (LRV 2021/172)</t>
        </is>
      </c>
      <c r="F255" s="12" t="inlineStr">
        <is>
          <t>nein</t>
        </is>
      </c>
      <c r="G255" s="12" t="inlineStr">
        <is>
          <t>https://www.muenchenstein.ch/abstimmungen/vorlagen</t>
        </is>
      </c>
      <c r="H255" s="12" t="inlineStr">
        <is>
          <t>Unterseite</t>
        </is>
      </c>
      <c r="I255" s="12" t="inlineStr">
        <is>
          <t>Nein</t>
        </is>
      </c>
      <c r="J255" s="12" t="inlineStr">
        <is>
          <t>Ungeprüft – nicht kuratiert</t>
        </is>
      </c>
    </row>
    <row r="256">
      <c r="A256" s="12" t="inlineStr">
        <is>
          <t>Münchenstein</t>
        </is>
      </c>
      <c r="B256" s="12" t="inlineStr">
        <is>
          <t>Basel-Landschaft</t>
        </is>
      </c>
      <c r="C256" s="12" t="inlineStr">
        <is>
          <t>C5</t>
        </is>
      </c>
      <c r="D256" s="16" t="inlineStr">
        <is>
          <t>https://www.muenchenstein.ch/_rte/abstimmung/270899</t>
        </is>
      </c>
      <c r="E256" s="12" t="inlineStr">
        <is>
          <t>Änderung vom 1. Oktober 2021 des Bundesgesetzes über Filmproduktion und Filmkultur (Filmgesetz, FiG) (BBI 2021 2326)</t>
        </is>
      </c>
      <c r="F256" s="12" t="inlineStr">
        <is>
          <t>nein</t>
        </is>
      </c>
      <c r="G256" s="12" t="inlineStr">
        <is>
          <t>https://www.muenchenstein.ch/abstimmungen/vorlagen</t>
        </is>
      </c>
      <c r="H256" s="12" t="inlineStr">
        <is>
          <t>Unterseite</t>
        </is>
      </c>
      <c r="I256" s="12" t="inlineStr">
        <is>
          <t>Nein</t>
        </is>
      </c>
      <c r="J256" s="12" t="inlineStr">
        <is>
          <t>Ungeprüft – nicht kuratiert</t>
        </is>
      </c>
    </row>
    <row r="257">
      <c r="A257" s="12" t="inlineStr">
        <is>
          <t>Münchenstein</t>
        </is>
      </c>
      <c r="B257" s="12" t="inlineStr">
        <is>
          <t>Basel-Landschaft</t>
        </is>
      </c>
      <c r="C257" s="12" t="inlineStr">
        <is>
          <t>C5</t>
        </is>
      </c>
      <c r="D257" s="16" t="inlineStr">
        <is>
          <t>https://www.muenchenstein.ch/_rte/abstimmung/270902</t>
        </is>
      </c>
      <c r="E257" s="12" t="inlineStr">
        <is>
          <t>Änderung vom 1. Oktober 2021 des Bundesgesetzes über die Transplantation von Organen, Geweben und ZeIlen (Transplantationsgesetz) (BBI 2021 2328);</t>
        </is>
      </c>
      <c r="F257" s="12" t="inlineStr">
        <is>
          <t>nein</t>
        </is>
      </c>
      <c r="G257" s="12" t="inlineStr">
        <is>
          <t>https://www.muenchenstein.ch/abstimmungen/vorlagen</t>
        </is>
      </c>
      <c r="H257" s="12" t="inlineStr">
        <is>
          <t>Unterseite</t>
        </is>
      </c>
      <c r="I257" s="12" t="inlineStr">
        <is>
          <t>Nein</t>
        </is>
      </c>
      <c r="J257" s="12" t="inlineStr">
        <is>
          <t>Ungeprüft – nicht kuratiert</t>
        </is>
      </c>
    </row>
    <row r="258">
      <c r="A258" s="12" t="inlineStr">
        <is>
          <t>Münchenstein</t>
        </is>
      </c>
      <c r="B258" s="12" t="inlineStr">
        <is>
          <t>Basel-Landschaft</t>
        </is>
      </c>
      <c r="C258" s="12" t="inlineStr">
        <is>
          <t>C5</t>
        </is>
      </c>
      <c r="D258" s="16" t="inlineStr">
        <is>
          <t>https://www.muenchenstein.ch/_rte/abstimmung/270908</t>
        </is>
      </c>
      <c r="E258" s="12" t="inlineStr">
        <is>
          <t>Änderung der Kantonsverfassung vom 13. Januar 2022 betreffend Anpassung der Bestimmungen über die Ombudsperson (LRV 2021/702)</t>
        </is>
      </c>
      <c r="F258" s="12" t="inlineStr">
        <is>
          <t>nein</t>
        </is>
      </c>
      <c r="G258" s="12" t="inlineStr">
        <is>
          <t>https://www.muenchenstein.ch/abstimmungen/vorlagen</t>
        </is>
      </c>
      <c r="H258" s="12" t="inlineStr">
        <is>
          <t>Unterseite</t>
        </is>
      </c>
      <c r="I258" s="12" t="inlineStr">
        <is>
          <t>Nein</t>
        </is>
      </c>
      <c r="J258" s="12" t="inlineStr">
        <is>
          <t>Ungeprüft – nicht kuratiert</t>
        </is>
      </c>
    </row>
    <row r="259">
      <c r="A259" s="12" t="inlineStr">
        <is>
          <t>Münchenstein</t>
        </is>
      </c>
      <c r="B259" s="12" t="inlineStr">
        <is>
          <t>Basel-Landschaft</t>
        </is>
      </c>
      <c r="C259" s="12" t="inlineStr">
        <is>
          <t>C5</t>
        </is>
      </c>
      <c r="D259" s="16" t="inlineStr">
        <is>
          <t>https://www.muenchenstein.ch/_rte/abstimmung/270911</t>
        </is>
      </c>
      <c r="E259" s="12" t="inlineStr">
        <is>
          <t>Teilrevision des Sozialhilfegesetzes vom 4. November 2021 betreffend «Anreize stärken – Arbeitsintegration fördern» (LRV 2021/124)</t>
        </is>
      </c>
      <c r="F259" s="12" t="inlineStr">
        <is>
          <t>nein</t>
        </is>
      </c>
      <c r="G259" s="12" t="inlineStr">
        <is>
          <t>https://www.muenchenstein.ch/abstimmungen/vorlagen</t>
        </is>
      </c>
      <c r="H259" s="12" t="inlineStr">
        <is>
          <t>Unterseite</t>
        </is>
      </c>
      <c r="I259" s="12" t="inlineStr">
        <is>
          <t>Nein</t>
        </is>
      </c>
      <c r="J259" s="12" t="inlineStr">
        <is>
          <t>Ungeprüft – nicht kuratiert</t>
        </is>
      </c>
    </row>
    <row r="260">
      <c r="A260" s="12" t="inlineStr">
        <is>
          <t>Münchenstein</t>
        </is>
      </c>
      <c r="B260" s="12" t="inlineStr">
        <is>
          <t>Basel-Landschaft</t>
        </is>
      </c>
      <c r="C260" s="12" t="inlineStr">
        <is>
          <t>C5</t>
        </is>
      </c>
      <c r="D260" s="16" t="inlineStr">
        <is>
          <t>https://www.muenchenstein.ch/_rte/abstimmung/27784</t>
        </is>
      </c>
      <c r="E260" s="12" t="inlineStr">
        <is>
          <t>Volksinitiative vom 9. Oktober 2002 betreffend Nationalbankgewinne für die AHV (Bundesbeschluss vom 16. Dezember 2005)</t>
        </is>
      </c>
      <c r="F260" s="12" t="inlineStr">
        <is>
          <t>nein</t>
        </is>
      </c>
      <c r="G260" s="12" t="inlineStr">
        <is>
          <t>https://www.muenchenstein.ch/abstimmungen/vorlagen</t>
        </is>
      </c>
      <c r="H260" s="12" t="inlineStr">
        <is>
          <t>Unterseite</t>
        </is>
      </c>
      <c r="I260" s="12" t="inlineStr">
        <is>
          <t>Nein</t>
        </is>
      </c>
      <c r="J260" s="12" t="inlineStr">
        <is>
          <t>Ungeprüft – nicht kuratiert</t>
        </is>
      </c>
    </row>
    <row r="261">
      <c r="A261" s="12" t="inlineStr">
        <is>
          <t>Münchenstein</t>
        </is>
      </c>
      <c r="B261" s="12" t="inlineStr">
        <is>
          <t>Basel-Landschaft</t>
        </is>
      </c>
      <c r="C261" s="12" t="inlineStr">
        <is>
          <t>C5</t>
        </is>
      </c>
      <c r="D261" s="16" t="inlineStr">
        <is>
          <t>https://www.muenchenstein.ch/_rte/abstimmung/27785</t>
        </is>
      </c>
      <c r="E261" s="12" t="inlineStr">
        <is>
          <t>Bundesgesetz vom 16. Dezember 2005 über die Ausländerinnen und Ausländer</t>
        </is>
      </c>
      <c r="F261" s="12" t="inlineStr">
        <is>
          <t>nein</t>
        </is>
      </c>
      <c r="G261" s="12" t="inlineStr">
        <is>
          <t>https://www.muenchenstein.ch/abstimmungen/vorlagen</t>
        </is>
      </c>
      <c r="H261" s="12" t="inlineStr">
        <is>
          <t>Unterseite</t>
        </is>
      </c>
      <c r="I261" s="12" t="inlineStr">
        <is>
          <t>Nein</t>
        </is>
      </c>
      <c r="J261" s="12" t="inlineStr">
        <is>
          <t>Ungeprüft – nicht kuratiert</t>
        </is>
      </c>
    </row>
    <row r="262">
      <c r="A262" s="12" t="inlineStr">
        <is>
          <t>Münchenstein</t>
        </is>
      </c>
      <c r="B262" s="12" t="inlineStr">
        <is>
          <t>Basel-Landschaft</t>
        </is>
      </c>
      <c r="C262" s="12" t="inlineStr">
        <is>
          <t>C5</t>
        </is>
      </c>
      <c r="D262" s="16" t="inlineStr">
        <is>
          <t>https://www.muenchenstein.ch/_rte/abstimmung/27786</t>
        </is>
      </c>
      <c r="E262" s="12" t="inlineStr">
        <is>
          <t>Änderung vom 16. Dezember 2005 des Asylgesetzes</t>
        </is>
      </c>
      <c r="F262" s="12" t="inlineStr">
        <is>
          <t>nein</t>
        </is>
      </c>
      <c r="G262" s="12" t="inlineStr">
        <is>
          <t>https://www.muenchenstein.ch/abstimmungen/vorlagen</t>
        </is>
      </c>
      <c r="H262" s="12" t="inlineStr">
        <is>
          <t>Unterseite</t>
        </is>
      </c>
      <c r="I262" s="12" t="inlineStr">
        <is>
          <t>Nein</t>
        </is>
      </c>
      <c r="J262" s="12" t="inlineStr">
        <is>
          <t>Ungeprüft – nicht kuratiert</t>
        </is>
      </c>
    </row>
    <row r="263">
      <c r="A263" s="12" t="inlineStr">
        <is>
          <t>Münchenstein</t>
        </is>
      </c>
      <c r="B263" s="12" t="inlineStr">
        <is>
          <t>Basel-Landschaft</t>
        </is>
      </c>
      <c r="C263" s="12" t="inlineStr">
        <is>
          <t>C5</t>
        </is>
      </c>
      <c r="D263" s="16" t="inlineStr">
        <is>
          <t>https://www.muenchenstein.ch/_rte/abstimmung/27788</t>
        </is>
      </c>
      <c r="E263" s="12" t="inlineStr">
        <is>
          <t>Gesetz über den unverzüglichen Bau der H2 zwischen Pratteln-Liestal vom 18. Mai 2006</t>
        </is>
      </c>
      <c r="F263" s="12" t="inlineStr">
        <is>
          <t>nein</t>
        </is>
      </c>
      <c r="G263" s="12" t="inlineStr">
        <is>
          <t>https://www.muenchenstein.ch/abstimmungen/vorlagen</t>
        </is>
      </c>
      <c r="H263" s="12" t="inlineStr">
        <is>
          <t>Unterseite</t>
        </is>
      </c>
      <c r="I263" s="12" t="inlineStr">
        <is>
          <t>Nein</t>
        </is>
      </c>
      <c r="J263" s="12" t="inlineStr">
        <is>
          <t>Ungeprüft – nicht kuratiert</t>
        </is>
      </c>
    </row>
    <row r="264">
      <c r="A264" s="12" t="inlineStr">
        <is>
          <t>Münchenstein</t>
        </is>
      </c>
      <c r="B264" s="12" t="inlineStr">
        <is>
          <t>Basel-Landschaft</t>
        </is>
      </c>
      <c r="C264" s="12" t="inlineStr">
        <is>
          <t>C5</t>
        </is>
      </c>
      <c r="D264" s="16" t="inlineStr">
        <is>
          <t>https://www.muenchenstein.ch/_rte/abstimmung/27789</t>
        </is>
      </c>
      <c r="E264" s="12" t="inlineStr">
        <is>
          <t>Kantonales Alkohol- und Tabakgesetz vom 22. Juni 2006</t>
        </is>
      </c>
      <c r="F264" s="12" t="inlineStr">
        <is>
          <t>nein</t>
        </is>
      </c>
      <c r="G264" s="12" t="inlineStr">
        <is>
          <t>https://www.muenchenstein.ch/abstimmungen/vorlagen</t>
        </is>
      </c>
      <c r="H264" s="12" t="inlineStr">
        <is>
          <t>Unterseite</t>
        </is>
      </c>
      <c r="I264" s="12" t="inlineStr">
        <is>
          <t>Nein</t>
        </is>
      </c>
      <c r="J264" s="12" t="inlineStr">
        <is>
          <t>Ungeprüft – nicht kuratiert</t>
        </is>
      </c>
    </row>
    <row r="265">
      <c r="A265" s="12" t="inlineStr">
        <is>
          <t>Münchenstein</t>
        </is>
      </c>
      <c r="B265" s="12" t="inlineStr">
        <is>
          <t>Basel-Landschaft</t>
        </is>
      </c>
      <c r="C265" s="12" t="inlineStr">
        <is>
          <t>C5</t>
        </is>
      </c>
      <c r="D265" s="16" t="inlineStr">
        <is>
          <t>https://www.muenchenstein.ch/_rte/abstimmung/278252</t>
        </is>
      </c>
      <c r="E265" s="12" t="inlineStr">
        <is>
          <t>Volksinitiative vom 17. September 2019 «Keine Massentierhaltung in der Schweiz (Massentierhaltungsinitiative)» (BBI 2022 700)</t>
        </is>
      </c>
      <c r="F265" s="12" t="inlineStr">
        <is>
          <t>nein</t>
        </is>
      </c>
      <c r="G265" s="12" t="inlineStr">
        <is>
          <t>https://www.muenchenstein.ch/abstimmungen/vorlagen</t>
        </is>
      </c>
      <c r="H265" s="12" t="inlineStr">
        <is>
          <t>Unterseite</t>
        </is>
      </c>
      <c r="I265" s="12" t="inlineStr">
        <is>
          <t>Nein</t>
        </is>
      </c>
      <c r="J265" s="12" t="inlineStr">
        <is>
          <t>Ungeprüft – nicht kuratiert</t>
        </is>
      </c>
    </row>
    <row r="266">
      <c r="A266" s="12" t="inlineStr">
        <is>
          <t>Münchenstein</t>
        </is>
      </c>
      <c r="B266" s="12" t="inlineStr">
        <is>
          <t>Basel-Landschaft</t>
        </is>
      </c>
      <c r="C266" s="12" t="inlineStr">
        <is>
          <t>C5</t>
        </is>
      </c>
      <c r="D266" s="16" t="inlineStr">
        <is>
          <t>https://www.muenchenstein.ch/_rte/abstimmung/278255</t>
        </is>
      </c>
      <c r="E266" s="12" t="inlineStr">
        <is>
          <t>Bundesbeschluss vom 17. Dezember 2021 über die Zusatzfinanzierung der AHV durch eine Erhöhung der Mehrwertsteuer (BBI 2022 2991)</t>
        </is>
      </c>
      <c r="F266" s="12" t="inlineStr">
        <is>
          <t>nein</t>
        </is>
      </c>
      <c r="G266" s="12" t="inlineStr">
        <is>
          <t>https://www.muenchenstein.ch/abstimmungen/vorlagen</t>
        </is>
      </c>
      <c r="H266" s="12" t="inlineStr">
        <is>
          <t>Unterseite</t>
        </is>
      </c>
      <c r="I266" s="12" t="inlineStr">
        <is>
          <t>Nein</t>
        </is>
      </c>
      <c r="J266" s="12" t="inlineStr">
        <is>
          <t>Ungeprüft – nicht kuratiert</t>
        </is>
      </c>
    </row>
    <row r="267">
      <c r="A267" s="12" t="inlineStr">
        <is>
          <t>Münchenstein</t>
        </is>
      </c>
      <c r="B267" s="12" t="inlineStr">
        <is>
          <t>Basel-Landschaft</t>
        </is>
      </c>
      <c r="C267" s="12" t="inlineStr">
        <is>
          <t>C5</t>
        </is>
      </c>
      <c r="D267" s="16" t="inlineStr">
        <is>
          <t>https://www.muenchenstein.ch/_rte/abstimmung/278261</t>
        </is>
      </c>
      <c r="E267" s="12" t="inlineStr">
        <is>
          <t>Änderung vom 17. Dezember 2021 des Bundesgesetzes über die Verrechnungssteuer (Verrechnungssteuergesetz, VStG) (Stärkung des Fremdkapitalmarkts) (BBI 2021 3002)</t>
        </is>
      </c>
      <c r="F267" s="12" t="inlineStr">
        <is>
          <t>nein</t>
        </is>
      </c>
      <c r="G267" s="12" t="inlineStr">
        <is>
          <t>https://www.muenchenstein.ch/abstimmungen/vorlagen</t>
        </is>
      </c>
      <c r="H267" s="12" t="inlineStr">
        <is>
          <t>Unterseite</t>
        </is>
      </c>
      <c r="I267" s="12" t="inlineStr">
        <is>
          <t>Nein</t>
        </is>
      </c>
      <c r="J267" s="12" t="inlineStr">
        <is>
          <t>Ungeprüft – nicht kuratiert</t>
        </is>
      </c>
    </row>
    <row r="268">
      <c r="A268" s="12" t="inlineStr">
        <is>
          <t>Münchenstein</t>
        </is>
      </c>
      <c r="B268" s="12" t="inlineStr">
        <is>
          <t>Basel-Landschaft</t>
        </is>
      </c>
      <c r="C268" s="12" t="inlineStr">
        <is>
          <t>C5</t>
        </is>
      </c>
      <c r="D268" s="16" t="inlineStr">
        <is>
          <t>https://www.muenchenstein.ch/_rte/abstimmung/283459</t>
        </is>
      </c>
      <c r="E268" s="12" t="inlineStr">
        <is>
          <t>Änderung des Steuergesetzes, Vermögenssteuerreform I, (Landratsvorlage 2022/152)</t>
        </is>
      </c>
      <c r="F268" s="12" t="inlineStr">
        <is>
          <t>nein</t>
        </is>
      </c>
      <c r="G268" s="12" t="inlineStr">
        <is>
          <t>https://www.muenchenstein.ch/abstimmungen/vorlagen</t>
        </is>
      </c>
      <c r="H268" s="12" t="inlineStr">
        <is>
          <t>Unterseite</t>
        </is>
      </c>
      <c r="I268" s="12" t="inlineStr">
        <is>
          <t>Nein</t>
        </is>
      </c>
      <c r="J268" s="12" t="inlineStr">
        <is>
          <t>Ungeprüft – nicht kuratiert</t>
        </is>
      </c>
    </row>
    <row r="269">
      <c r="A269" s="12" t="inlineStr">
        <is>
          <t>Münchenstein</t>
        </is>
      </c>
      <c r="B269" s="12" t="inlineStr">
        <is>
          <t>Basel-Landschaft</t>
        </is>
      </c>
      <c r="C269" s="12" t="inlineStr">
        <is>
          <t>C5</t>
        </is>
      </c>
      <c r="D269" s="16" t="inlineStr">
        <is>
          <t>https://www.muenchenstein.ch/_rte/abstimmung/285614</t>
        </is>
      </c>
      <c r="E269" s="12" t="inlineStr">
        <is>
          <t>Bundesbeschluss vom 16. Dezember 2022 über eine besondere Besteuerung grosser Unternehmensgruppen (Umsetzung des OECD/G20-Projekts zur Besteuerung grosser Unternehmensgruppen) (BBl 2022 3216).</t>
        </is>
      </c>
      <c r="F269" s="12" t="inlineStr">
        <is>
          <t>nein</t>
        </is>
      </c>
      <c r="G269" s="12" t="inlineStr">
        <is>
          <t>https://www.muenchenstein.ch/abstimmungen/vorlagen</t>
        </is>
      </c>
      <c r="H269" s="12" t="inlineStr">
        <is>
          <t>Unterseite</t>
        </is>
      </c>
      <c r="I269" s="12" t="inlineStr">
        <is>
          <t>Nein</t>
        </is>
      </c>
      <c r="J269" s="12" t="inlineStr">
        <is>
          <t>Ungeprüft – nicht kuratiert</t>
        </is>
      </c>
    </row>
    <row r="270">
      <c r="A270" s="12" t="inlineStr">
        <is>
          <t>Münchenstein</t>
        </is>
      </c>
      <c r="B270" s="12" t="inlineStr">
        <is>
          <t>Basel-Landschaft</t>
        </is>
      </c>
      <c r="C270" s="12" t="inlineStr">
        <is>
          <t>C5</t>
        </is>
      </c>
      <c r="D270" s="16" t="inlineStr">
        <is>
          <t>https://www.muenchenstein.ch/_rte/abstimmung/285620</t>
        </is>
      </c>
      <c r="E270" s="12" t="inlineStr">
        <is>
          <t>Bundesgesetz vom 30. September 2022 über die Ziele im Klimaschutz, die Innovation und die Stärkung der Energiesicherheit (KlG) (BBl 2022 2403).</t>
        </is>
      </c>
      <c r="F270" s="12" t="inlineStr">
        <is>
          <t>nein</t>
        </is>
      </c>
      <c r="G270" s="12" t="inlineStr">
        <is>
          <t>https://www.muenchenstein.ch/abstimmungen/vorlagen</t>
        </is>
      </c>
      <c r="H270" s="12" t="inlineStr">
        <is>
          <t>Unterseite</t>
        </is>
      </c>
      <c r="I270" s="12" t="inlineStr">
        <is>
          <t>Nein</t>
        </is>
      </c>
      <c r="J270" s="12" t="inlineStr">
        <is>
          <t>Ungeprüft – nicht kuratiert</t>
        </is>
      </c>
    </row>
    <row r="271">
      <c r="A271" s="12" t="inlineStr">
        <is>
          <t>Münchenstein</t>
        </is>
      </c>
      <c r="B271" s="12" t="inlineStr">
        <is>
          <t>Basel-Landschaft</t>
        </is>
      </c>
      <c r="C271" s="12" t="inlineStr">
        <is>
          <t>C5</t>
        </is>
      </c>
      <c r="D271" s="16" t="inlineStr">
        <is>
          <t>https://www.muenchenstein.ch/_rte/abstimmung/292657</t>
        </is>
      </c>
      <c r="E271" s="12" t="inlineStr">
        <is>
          <t>Volksinitiative vom 28. Mai 2021 "Für ein besseres Leben im Alter (Initiative für eine 13. AHV-Rente)"</t>
        </is>
      </c>
      <c r="F271" s="12" t="inlineStr">
        <is>
          <t>nein</t>
        </is>
      </c>
      <c r="G271" s="12" t="inlineStr">
        <is>
          <t>https://www.muenchenstein.ch/abstimmungen/vorlagen</t>
        </is>
      </c>
      <c r="H271" s="12" t="inlineStr">
        <is>
          <t>Unterseite</t>
        </is>
      </c>
      <c r="I271" s="12" t="inlineStr">
        <is>
          <t>Nein</t>
        </is>
      </c>
      <c r="J271" s="12" t="inlineStr">
        <is>
          <t>Ungeprüft – nicht kuratiert</t>
        </is>
      </c>
    </row>
    <row r="272">
      <c r="A272" s="12" t="inlineStr">
        <is>
          <t>Münchenstein</t>
        </is>
      </c>
      <c r="B272" s="12" t="inlineStr">
        <is>
          <t>Basel-Landschaft</t>
        </is>
      </c>
      <c r="C272" s="12" t="inlineStr">
        <is>
          <t>C5</t>
        </is>
      </c>
      <c r="D272" s="16" t="inlineStr">
        <is>
          <t>https://www.muenchenstein.ch/_rte/abstimmung/292663</t>
        </is>
      </c>
      <c r="E272" s="12" t="inlineStr">
        <is>
          <t>Volksinitiative vom 16. Juli 2021 "Für eine sichere und nachhaltige Altersvorsorge" (Renteninitiative)</t>
        </is>
      </c>
      <c r="F272" s="12" t="inlineStr">
        <is>
          <t>nein</t>
        </is>
      </c>
      <c r="G272" s="12" t="inlineStr">
        <is>
          <t>https://www.muenchenstein.ch/abstimmungen/vorlagen</t>
        </is>
      </c>
      <c r="H272" s="12" t="inlineStr">
        <is>
          <t>Unterseite</t>
        </is>
      </c>
      <c r="I272" s="12" t="inlineStr">
        <is>
          <t>Nein</t>
        </is>
      </c>
      <c r="J272" s="12" t="inlineStr">
        <is>
          <t>Ungeprüft – nicht kuratiert</t>
        </is>
      </c>
    </row>
    <row r="273">
      <c r="A273" s="12" t="inlineStr">
        <is>
          <t>Münchenstein</t>
        </is>
      </c>
      <c r="B273" s="12" t="inlineStr">
        <is>
          <t>Basel-Landschaft</t>
        </is>
      </c>
      <c r="C273" s="12" t="inlineStr">
        <is>
          <t>C5</t>
        </is>
      </c>
      <c r="D273" s="16" t="inlineStr">
        <is>
          <t>https://www.muenchenstein.ch/_rte/abstimmung/294841</t>
        </is>
      </c>
      <c r="E273" s="12" t="inlineStr">
        <is>
          <t>Volksinitiative vom 23. Januar 2020 «Maximal 10 % des Einkommens für die Krankenkassenprämien (Prämien-Entlastungs-Initiative)»</t>
        </is>
      </c>
      <c r="F273" s="12" t="inlineStr">
        <is>
          <t>nein</t>
        </is>
      </c>
      <c r="G273" s="12" t="inlineStr">
        <is>
          <t>https://www.muenchenstein.ch/abstimmungen/vorlagen</t>
        </is>
      </c>
      <c r="H273" s="12" t="inlineStr">
        <is>
          <t>Unterseite</t>
        </is>
      </c>
      <c r="I273" s="12" t="inlineStr">
        <is>
          <t>Nein</t>
        </is>
      </c>
      <c r="J273" s="12" t="inlineStr">
        <is>
          <t>Ungeprüft – nicht kuratiert</t>
        </is>
      </c>
    </row>
    <row r="274">
      <c r="A274" s="12" t="inlineStr">
        <is>
          <t>Münchenstein</t>
        </is>
      </c>
      <c r="B274" s="12" t="inlineStr">
        <is>
          <t>Basel-Landschaft</t>
        </is>
      </c>
      <c r="C274" s="12" t="inlineStr">
        <is>
          <t>C5</t>
        </is>
      </c>
      <c r="D274" s="16" t="inlineStr">
        <is>
          <t>https://www.muenchenstein.ch/_rte/abstimmung/294847</t>
        </is>
      </c>
      <c r="E274" s="12" t="inlineStr">
        <is>
          <t>Volksinitiative vom 10. März 2020 «Für tiefere Prämien – Kostenbremse im Gesundheitswesen (Kostenbremse-Initiative)»</t>
        </is>
      </c>
      <c r="F274" s="12" t="inlineStr">
        <is>
          <t>nein</t>
        </is>
      </c>
      <c r="G274" s="12" t="inlineStr">
        <is>
          <t>https://www.muenchenstein.ch/abstimmungen/vorlagen</t>
        </is>
      </c>
      <c r="H274" s="12" t="inlineStr">
        <is>
          <t>Unterseite</t>
        </is>
      </c>
      <c r="I274" s="12" t="inlineStr">
        <is>
          <t>Nein</t>
        </is>
      </c>
      <c r="J274" s="12" t="inlineStr">
        <is>
          <t>Ungeprüft – nicht kuratiert</t>
        </is>
      </c>
    </row>
    <row r="275">
      <c r="A275" s="12" t="inlineStr">
        <is>
          <t>Münchenstein</t>
        </is>
      </c>
      <c r="B275" s="12" t="inlineStr">
        <is>
          <t>Basel-Landschaft</t>
        </is>
      </c>
      <c r="C275" s="12" t="inlineStr">
        <is>
          <t>C5</t>
        </is>
      </c>
      <c r="D275" s="16" t="inlineStr">
        <is>
          <t>https://www.muenchenstein.ch/_rte/abstimmung/294850</t>
        </is>
      </c>
      <c r="E275" s="12" t="inlineStr">
        <is>
          <t>Volksinitiative vom 16. Dezember 2021 «Für Freiheit und körperliche Unversehrtheit»</t>
        </is>
      </c>
      <c r="F275" s="12" t="inlineStr">
        <is>
          <t>nein</t>
        </is>
      </c>
      <c r="G275" s="12" t="inlineStr">
        <is>
          <t>https://www.muenchenstein.ch/abstimmungen/vorlagen</t>
        </is>
      </c>
      <c r="H275" s="12" t="inlineStr">
        <is>
          <t>Unterseite</t>
        </is>
      </c>
      <c r="I275" s="12" t="inlineStr">
        <is>
          <t>Nein</t>
        </is>
      </c>
      <c r="J275" s="12" t="inlineStr">
        <is>
          <t>Ungeprüft – nicht kuratiert</t>
        </is>
      </c>
    </row>
    <row r="276">
      <c r="A276" s="12" t="inlineStr">
        <is>
          <t>Münchenstein</t>
        </is>
      </c>
      <c r="B276" s="12" t="inlineStr">
        <is>
          <t>Basel-Landschaft</t>
        </is>
      </c>
      <c r="C276" s="12" t="inlineStr">
        <is>
          <t>C5</t>
        </is>
      </c>
      <c r="D276" s="16" t="inlineStr">
        <is>
          <t>https://www.muenchenstein.ch/_rte/abstimmung/294853</t>
        </is>
      </c>
      <c r="E276" s="12" t="inlineStr">
        <is>
          <t>Bundesgesetz vom 20. Dezember 2024 über den elektronischen Identitätsnachweis und andere elektronische Nachweise (E-ID-Gesetz, BGEID).</t>
        </is>
      </c>
      <c r="F276" s="12" t="inlineStr">
        <is>
          <t>nein</t>
        </is>
      </c>
      <c r="G276" s="12" t="inlineStr">
        <is>
          <t>https://www.muenchenstein.ch/abstimmungen/vorlagen</t>
        </is>
      </c>
      <c r="H276" s="12" t="inlineStr">
        <is>
          <t>Unterseite</t>
        </is>
      </c>
      <c r="I276" s="12" t="inlineStr">
        <is>
          <t>Nein</t>
        </is>
      </c>
      <c r="J276" s="12" t="inlineStr">
        <is>
          <t>Ungeprüft – nicht kuratiert</t>
        </is>
      </c>
    </row>
    <row r="277">
      <c r="A277" s="12" t="inlineStr">
        <is>
          <t>Münchenstein</t>
        </is>
      </c>
      <c r="B277" s="12" t="inlineStr">
        <is>
          <t>Basel-Landschaft</t>
        </is>
      </c>
      <c r="C277" s="12" t="inlineStr">
        <is>
          <t>C5</t>
        </is>
      </c>
      <c r="D277" s="16" t="inlineStr">
        <is>
          <t>https://www.muenchenstein.ch/_rte/abstimmung/294856</t>
        </is>
      </c>
      <c r="E277" s="12" t="inlineStr">
        <is>
          <t>Änderung des Energiegesetzes vom 19. Oktober 2023</t>
        </is>
      </c>
      <c r="F277" s="12" t="inlineStr">
        <is>
          <t>nein</t>
        </is>
      </c>
      <c r="G277" s="12" t="inlineStr">
        <is>
          <t>https://www.muenchenstein.ch/abstimmungen/vorlagen</t>
        </is>
      </c>
      <c r="H277" s="12" t="inlineStr">
        <is>
          <t>Unterseite</t>
        </is>
      </c>
      <c r="I277" s="12" t="inlineStr">
        <is>
          <t>Nein</t>
        </is>
      </c>
      <c r="J277" s="12" t="inlineStr">
        <is>
          <t>Ungeprüft – nicht kuratiert</t>
        </is>
      </c>
    </row>
    <row r="278">
      <c r="A278" s="12" t="inlineStr">
        <is>
          <t>Münchenstein</t>
        </is>
      </c>
      <c r="B278" s="12" t="inlineStr">
        <is>
          <t>Basel-Landschaft</t>
        </is>
      </c>
      <c r="C278" s="12" t="inlineStr">
        <is>
          <t>C5</t>
        </is>
      </c>
      <c r="D278" s="16" t="inlineStr">
        <is>
          <t>https://www.muenchenstein.ch/_rte/abstimmung/29592</t>
        </is>
      </c>
      <c r="E278" s="12" t="inlineStr">
        <is>
          <t>Familienzulagengesetz, FamZG</t>
        </is>
      </c>
      <c r="F278" s="12" t="inlineStr">
        <is>
          <t>nein</t>
        </is>
      </c>
      <c r="G278" s="12" t="inlineStr">
        <is>
          <t>https://www.muenchenstein.ch/abstimmungen/vorlagen</t>
        </is>
      </c>
      <c r="H278" s="12" t="inlineStr">
        <is>
          <t>Unterseite</t>
        </is>
      </c>
      <c r="I278" s="12" t="inlineStr">
        <is>
          <t>Nein</t>
        </is>
      </c>
      <c r="J278" s="12" t="inlineStr">
        <is>
          <t>Ungeprüft – nicht kuratiert</t>
        </is>
      </c>
    </row>
    <row r="279">
      <c r="A279" s="12" t="inlineStr">
        <is>
          <t>Münchenstein</t>
        </is>
      </c>
      <c r="B279" s="12" t="inlineStr">
        <is>
          <t>Basel-Landschaft</t>
        </is>
      </c>
      <c r="C279" s="12" t="inlineStr">
        <is>
          <t>C5</t>
        </is>
      </c>
      <c r="D279" s="16" t="inlineStr">
        <is>
          <t>https://www.muenchenstein.ch/_rte/abstimmung/29593</t>
        </is>
      </c>
      <c r="E279" s="12" t="inlineStr">
        <is>
          <t>Qualitätsinitiative</t>
        </is>
      </c>
      <c r="F279" s="12" t="inlineStr">
        <is>
          <t>nein</t>
        </is>
      </c>
      <c r="G279" s="12" t="inlineStr">
        <is>
          <t>https://www.muenchenstein.ch/abstimmungen/vorlagen</t>
        </is>
      </c>
      <c r="H279" s="12" t="inlineStr">
        <is>
          <t>Unterseite</t>
        </is>
      </c>
      <c r="I279" s="12" t="inlineStr">
        <is>
          <t>Nein</t>
        </is>
      </c>
      <c r="J279" s="12" t="inlineStr">
        <is>
          <t>Ungeprüft – nicht kuratiert</t>
        </is>
      </c>
    </row>
    <row r="280">
      <c r="A280" s="12" t="inlineStr">
        <is>
          <t>Münchenstein</t>
        </is>
      </c>
      <c r="B280" s="12" t="inlineStr">
        <is>
          <t>Basel-Landschaft</t>
        </is>
      </c>
      <c r="C280" s="12" t="inlineStr">
        <is>
          <t>C5</t>
        </is>
      </c>
      <c r="D280" s="16" t="inlineStr">
        <is>
          <t>https://www.muenchenstein.ch/_rte/abstimmung/29594</t>
        </is>
      </c>
      <c r="E280" s="12" t="inlineStr">
        <is>
          <t>Initiative Einwohnerrat</t>
        </is>
      </c>
      <c r="F280" s="12" t="inlineStr">
        <is>
          <t>nein</t>
        </is>
      </c>
      <c r="G280" s="12" t="inlineStr">
        <is>
          <t>https://www.muenchenstein.ch/abstimmungen/vorlagen</t>
        </is>
      </c>
      <c r="H280" s="12" t="inlineStr">
        <is>
          <t>Unterseite</t>
        </is>
      </c>
      <c r="I280" s="12" t="inlineStr">
        <is>
          <t>Nein</t>
        </is>
      </c>
      <c r="J280" s="12" t="inlineStr">
        <is>
          <t>Ungeprüft – nicht kuratiert</t>
        </is>
      </c>
    </row>
    <row r="281">
      <c r="A281" s="12" t="inlineStr">
        <is>
          <t>Münchenstein</t>
        </is>
      </c>
      <c r="B281" s="12" t="inlineStr">
        <is>
          <t>Basel-Landschaft</t>
        </is>
      </c>
      <c r="C281" s="12" t="inlineStr">
        <is>
          <t>C5</t>
        </is>
      </c>
      <c r="D281" s="16" t="inlineStr">
        <is>
          <t>https://www.muenchenstein.ch/_rte/abstimmung/299251</t>
        </is>
      </c>
      <c r="E281" s="12" t="inlineStr">
        <is>
          <t>Volksinitiative vom 8. September 2020 "Für die Zukunft unserer Natur und Landschaft (Biodiversitätsinitiative)</t>
        </is>
      </c>
      <c r="F281" s="12" t="inlineStr">
        <is>
          <t>nein</t>
        </is>
      </c>
      <c r="G281" s="12" t="inlineStr">
        <is>
          <t>https://www.muenchenstein.ch/abstimmungen/vorlagen</t>
        </is>
      </c>
      <c r="H281" s="12" t="inlineStr">
        <is>
          <t>Unterseite</t>
        </is>
      </c>
      <c r="I281" s="12" t="inlineStr">
        <is>
          <t>Nein</t>
        </is>
      </c>
      <c r="J281" s="12" t="inlineStr">
        <is>
          <t>Ungeprüft – nicht kuratiert</t>
        </is>
      </c>
    </row>
    <row r="282">
      <c r="A282" s="12" t="inlineStr">
        <is>
          <t>Münchenstein</t>
        </is>
      </c>
      <c r="B282" s="12" t="inlineStr">
        <is>
          <t>Basel-Landschaft</t>
        </is>
      </c>
      <c r="C282" s="12" t="inlineStr">
        <is>
          <t>C5</t>
        </is>
      </c>
      <c r="D282" s="16" t="inlineStr">
        <is>
          <t>https://www.muenchenstein.ch/_rte/abstimmung/299281</t>
        </is>
      </c>
      <c r="E282" s="12" t="inlineStr">
        <is>
          <t>Teilrevision des Gesundheitsgesetzes vom 11. April 2024; Zulassung von Leistungserbringern zur Tätigkeit zulasten der obligatorischen Krankenpflegeversicherung (LRV 2023/636)</t>
        </is>
      </c>
      <c r="F282" s="12" t="inlineStr">
        <is>
          <t>nein</t>
        </is>
      </c>
      <c r="G282" s="12" t="inlineStr">
        <is>
          <t>https://www.muenchenstein.ch/abstimmungen/vorlagen</t>
        </is>
      </c>
      <c r="H282" s="12" t="inlineStr">
        <is>
          <t>Unterseite</t>
        </is>
      </c>
      <c r="I282" s="12" t="inlineStr">
        <is>
          <t>Nein</t>
        </is>
      </c>
      <c r="J282" s="12" t="inlineStr">
        <is>
          <t>Ungeprüft – nicht kuratiert</t>
        </is>
      </c>
    </row>
    <row r="283">
      <c r="A283" s="12" t="inlineStr">
        <is>
          <t>Münchenstein</t>
        </is>
      </c>
      <c r="B283" s="12" t="inlineStr">
        <is>
          <t>Basel-Landschaft</t>
        </is>
      </c>
      <c r="C283" s="12" t="inlineStr">
        <is>
          <t>C5</t>
        </is>
      </c>
      <c r="D283" s="16" t="inlineStr">
        <is>
          <t>https://www.muenchenstein.ch/_rte/abstimmung/301597</t>
        </is>
      </c>
      <c r="E283" s="12" t="inlineStr">
        <is>
          <t>Änderung vom 29. September 2023 des Obligationenrechts (Mietrecht: Untermiete) (BBl 2023 2288)</t>
        </is>
      </c>
      <c r="F283" s="12" t="inlineStr">
        <is>
          <t>nein</t>
        </is>
      </c>
      <c r="G283" s="12" t="inlineStr">
        <is>
          <t>https://www.muenchenstein.ch/abstimmungen/vorlagen</t>
        </is>
      </c>
      <c r="H283" s="12" t="inlineStr">
        <is>
          <t>Unterseite</t>
        </is>
      </c>
      <c r="I283" s="12" t="inlineStr">
        <is>
          <t>Nein</t>
        </is>
      </c>
      <c r="J283" s="12" t="inlineStr">
        <is>
          <t>Ungeprüft – nicht kuratiert</t>
        </is>
      </c>
    </row>
    <row r="284">
      <c r="A284" s="12" t="inlineStr">
        <is>
          <t>Münchenstein</t>
        </is>
      </c>
      <c r="B284" s="12" t="inlineStr">
        <is>
          <t>Basel-Landschaft</t>
        </is>
      </c>
      <c r="C284" s="12" t="inlineStr">
        <is>
          <t>C5</t>
        </is>
      </c>
      <c r="D284" s="16" t="inlineStr">
        <is>
          <t>https://www.muenchenstein.ch/_rte/abstimmung/301600</t>
        </is>
      </c>
      <c r="E284" s="12" t="inlineStr">
        <is>
          <t>Änderung vom 29. September 2023 des Obligationenrechts (Mietrecht: Kündigung wegen Eigenbedarfs) (BBl 2023 2291)</t>
        </is>
      </c>
      <c r="F284" s="12" t="inlineStr">
        <is>
          <t>nein</t>
        </is>
      </c>
      <c r="G284" s="12" t="inlineStr">
        <is>
          <t>https://www.muenchenstein.ch/abstimmungen/vorlagen</t>
        </is>
      </c>
      <c r="H284" s="12" t="inlineStr">
        <is>
          <t>Unterseite</t>
        </is>
      </c>
      <c r="I284" s="12" t="inlineStr">
        <is>
          <t>Nein</t>
        </is>
      </c>
      <c r="J284" s="12" t="inlineStr">
        <is>
          <t>Ungeprüft – nicht kuratiert</t>
        </is>
      </c>
    </row>
    <row r="285">
      <c r="A285" s="12" t="inlineStr">
        <is>
          <t>Münchenstein</t>
        </is>
      </c>
      <c r="B285" s="12" t="inlineStr">
        <is>
          <t>Basel-Landschaft</t>
        </is>
      </c>
      <c r="C285" s="12" t="inlineStr">
        <is>
          <t>C5</t>
        </is>
      </c>
      <c r="D285" s="16" t="inlineStr">
        <is>
          <t>https://www.muenchenstein.ch/_rte/abstimmung/301603</t>
        </is>
      </c>
      <c r="E285" s="12" t="inlineStr">
        <is>
          <t>Änderung vom 22.Dezember 2023 des Bundesgesetzes über die Krankenversicherung (KVG) (Einheitliche Finanzierung der Leistungen) (BBl 2024 31)</t>
        </is>
      </c>
      <c r="F285" s="12" t="inlineStr">
        <is>
          <t>nein</t>
        </is>
      </c>
      <c r="G285" s="12" t="inlineStr">
        <is>
          <t>https://www.muenchenstein.ch/abstimmungen/vorlagen</t>
        </is>
      </c>
      <c r="H285" s="12" t="inlineStr">
        <is>
          <t>Unterseite</t>
        </is>
      </c>
      <c r="I285" s="12" t="inlineStr">
        <is>
          <t>Nein</t>
        </is>
      </c>
      <c r="J285" s="12" t="inlineStr">
        <is>
          <t>Ungeprüft – nicht kuratiert</t>
        </is>
      </c>
    </row>
    <row r="286">
      <c r="A286" s="12" t="inlineStr">
        <is>
          <t>Münchenstein</t>
        </is>
      </c>
      <c r="B286" s="12" t="inlineStr">
        <is>
          <t>Basel-Landschaft</t>
        </is>
      </c>
      <c r="C286" s="12" t="inlineStr">
        <is>
          <t>C5</t>
        </is>
      </c>
      <c r="D286" s="16" t="inlineStr">
        <is>
          <t>https://www.muenchenstein.ch/_rte/abstimmung/305794</t>
        </is>
      </c>
      <c r="E286" s="12" t="inlineStr">
        <is>
          <t>Volksinitiative "Für eine verantwortungsvolle Wirtschaft innerhalb der planetaren Grenzen (Umweltverantwortungsinitiative)".</t>
        </is>
      </c>
      <c r="F286" s="12" t="inlineStr">
        <is>
          <t>nein</t>
        </is>
      </c>
      <c r="G286" s="12" t="inlineStr">
        <is>
          <t>https://www.muenchenstein.ch/abstimmungen/vorlagen</t>
        </is>
      </c>
      <c r="H286" s="12" t="inlineStr">
        <is>
          <t>Unterseite</t>
        </is>
      </c>
      <c r="I286" s="12" t="inlineStr">
        <is>
          <t>Nein</t>
        </is>
      </c>
      <c r="J286" s="12" t="inlineStr">
        <is>
          <t>Ungeprüft – nicht kuratiert</t>
        </is>
      </c>
    </row>
    <row r="287">
      <c r="A287" s="12" t="inlineStr">
        <is>
          <t>Münchenstein</t>
        </is>
      </c>
      <c r="B287" s="12" t="inlineStr">
        <is>
          <t>Basel-Landschaft</t>
        </is>
      </c>
      <c r="C287" s="12" t="inlineStr">
        <is>
          <t>C5</t>
        </is>
      </c>
      <c r="D287" s="16" t="inlineStr">
        <is>
          <t>https://www.muenchenstein.ch/_rte/abstimmung/305797</t>
        </is>
      </c>
      <c r="E287" s="12" t="inlineStr">
        <is>
          <t>Einführung des kantonalen Doppelproporzes im Kanton Basel-Landschaft - Teilrevision des Gesetzes über die politischen Rechte (2024/378).</t>
        </is>
      </c>
      <c r="F287" s="12" t="inlineStr">
        <is>
          <t>nein</t>
        </is>
      </c>
      <c r="G287" s="12" t="inlineStr">
        <is>
          <t>https://www.muenchenstein.ch/abstimmungen/vorlagen</t>
        </is>
      </c>
      <c r="H287" s="12" t="inlineStr">
        <is>
          <t>Unterseite</t>
        </is>
      </c>
      <c r="I287" s="12" t="inlineStr">
        <is>
          <t>Nein</t>
        </is>
      </c>
      <c r="J287" s="12" t="inlineStr">
        <is>
          <t>Ungeprüft – nicht kuratiert</t>
        </is>
      </c>
    </row>
    <row r="288">
      <c r="A288" s="12" t="inlineStr">
        <is>
          <t>Münchenstein</t>
        </is>
      </c>
      <c r="B288" s="12" t="inlineStr">
        <is>
          <t>Basel-Landschaft</t>
        </is>
      </c>
      <c r="C288" s="12" t="inlineStr">
        <is>
          <t>C5</t>
        </is>
      </c>
      <c r="D288" s="16" t="inlineStr">
        <is>
          <t>https://www.muenchenstein.ch/_rte/abstimmung/305800</t>
        </is>
      </c>
      <c r="E288" s="12" t="inlineStr">
        <is>
          <t>Formulierte Gesetzesinitiative "22.- Mindestlohn im Baselbiet" (2024/497)</t>
        </is>
      </c>
      <c r="F288" s="12" t="inlineStr">
        <is>
          <t>nein</t>
        </is>
      </c>
      <c r="G288" s="12" t="inlineStr">
        <is>
          <t>https://www.muenchenstein.ch/abstimmungen/vorlagen</t>
        </is>
      </c>
      <c r="H288" s="12" t="inlineStr">
        <is>
          <t>Unterseite</t>
        </is>
      </c>
      <c r="I288" s="12" t="inlineStr">
        <is>
          <t>Nein</t>
        </is>
      </c>
      <c r="J288" s="12" t="inlineStr">
        <is>
          <t>Ungeprüft – nicht kuratiert</t>
        </is>
      </c>
    </row>
    <row r="289">
      <c r="A289" s="12" t="inlineStr">
        <is>
          <t>Münchenstein</t>
        </is>
      </c>
      <c r="B289" s="12" t="inlineStr">
        <is>
          <t>Basel-Landschaft</t>
        </is>
      </c>
      <c r="C289" s="12" t="inlineStr">
        <is>
          <t>C5</t>
        </is>
      </c>
      <c r="D289" s="16" t="inlineStr">
        <is>
          <t>https://www.muenchenstein.ch/_rte/abstimmung/30611</t>
        </is>
      </c>
      <c r="E289" s="12" t="inlineStr">
        <is>
          <t>Wahlen Landrat und Regierungsrat</t>
        </is>
      </c>
      <c r="F289" s="12" t="inlineStr">
        <is>
          <t>nein</t>
        </is>
      </c>
      <c r="G289" s="12" t="inlineStr">
        <is>
          <t>https://www.muenchenstein.ch/abstimmungen/vorlagen</t>
        </is>
      </c>
      <c r="H289" s="12" t="inlineStr">
        <is>
          <t>Unterseite</t>
        </is>
      </c>
      <c r="I289" s="12" t="inlineStr">
        <is>
          <t>Nein</t>
        </is>
      </c>
      <c r="J289" s="12" t="inlineStr">
        <is>
          <t>Ungeprüft – nicht kuratiert</t>
        </is>
      </c>
    </row>
    <row r="290">
      <c r="A290" s="12" t="inlineStr">
        <is>
          <t>Münchenstein</t>
        </is>
      </c>
      <c r="B290" s="12" t="inlineStr">
        <is>
          <t>Basel-Landschaft</t>
        </is>
      </c>
      <c r="C290" s="12" t="inlineStr">
        <is>
          <t>C5</t>
        </is>
      </c>
      <c r="D290" s="16" t="inlineStr">
        <is>
          <t>https://www.muenchenstein.ch/_rte/abstimmung/312730</t>
        </is>
      </c>
      <c r="E290" s="12" t="inlineStr">
        <is>
          <t>Volksinitiative "Für eine engagierte Schweiz (Servicer-citoyen-Initiative)"</t>
        </is>
      </c>
      <c r="F290" s="12" t="inlineStr">
        <is>
          <t>nein</t>
        </is>
      </c>
      <c r="G290" s="12" t="inlineStr">
        <is>
          <t>https://www.muenchenstein.ch/abstimmungen/vorlagen</t>
        </is>
      </c>
      <c r="H290" s="12" t="inlineStr">
        <is>
          <t>Unterseite</t>
        </is>
      </c>
      <c r="I290" s="12" t="inlineStr">
        <is>
          <t>Nein</t>
        </is>
      </c>
      <c r="J290" s="12" t="inlineStr">
        <is>
          <t>Ungeprüft – nicht kuratiert</t>
        </is>
      </c>
    </row>
    <row r="291">
      <c r="A291" s="12" t="inlineStr">
        <is>
          <t>Münchenstein</t>
        </is>
      </c>
      <c r="B291" s="12" t="inlineStr">
        <is>
          <t>Basel-Landschaft</t>
        </is>
      </c>
      <c r="C291" s="12" t="inlineStr">
        <is>
          <t>C5</t>
        </is>
      </c>
      <c r="D291" s="16" t="inlineStr">
        <is>
          <t>https://www.muenchenstein.ch/_rte/abstimmung/312733</t>
        </is>
      </c>
      <c r="E291" s="12" t="inlineStr">
        <is>
          <t>Volksinitiative "Für eine soziale Klimapolitik - steuerlich gerecht finanziert (Initiative für eine Zukunft)"</t>
        </is>
      </c>
      <c r="F291" s="12" t="inlineStr">
        <is>
          <t>nein</t>
        </is>
      </c>
      <c r="G291" s="12" t="inlineStr">
        <is>
          <t>https://www.muenchenstein.ch/abstimmungen/vorlagen</t>
        </is>
      </c>
      <c r="H291" s="12" t="inlineStr">
        <is>
          <t>Unterseite</t>
        </is>
      </c>
      <c r="I291" s="12" t="inlineStr">
        <is>
          <t>Nein</t>
        </is>
      </c>
      <c r="J291" s="12" t="inlineStr">
        <is>
          <t>Ungeprüft – nicht kuratiert</t>
        </is>
      </c>
    </row>
    <row r="292">
      <c r="A292" s="12" t="inlineStr">
        <is>
          <t>Münchenstein</t>
        </is>
      </c>
      <c r="B292" s="12" t="inlineStr">
        <is>
          <t>Basel-Landschaft</t>
        </is>
      </c>
      <c r="C292" s="12" t="inlineStr">
        <is>
          <t>C5</t>
        </is>
      </c>
      <c r="D292" s="16" t="inlineStr">
        <is>
          <t>https://www.muenchenstein.ch/_rte/abstimmung/312736</t>
        </is>
      </c>
      <c r="E292" s="12" t="inlineStr">
        <is>
          <t>Teilrevision des Ergänzungsleistungsgesetzes vom 26. Juni 2025 betreffend Erhöhung des Vermögensverzehrs (2025/145)</t>
        </is>
      </c>
      <c r="F292" s="12" t="inlineStr">
        <is>
          <t>nein</t>
        </is>
      </c>
      <c r="G292" s="12" t="inlineStr">
        <is>
          <t>https://www.muenchenstein.ch/abstimmungen/vorlagen</t>
        </is>
      </c>
      <c r="H292" s="12" t="inlineStr">
        <is>
          <t>Unterseite</t>
        </is>
      </c>
      <c r="I292" s="12" t="inlineStr">
        <is>
          <t>Nein</t>
        </is>
      </c>
      <c r="J292" s="12" t="inlineStr">
        <is>
          <t>Ungeprüft – nicht kuratiert</t>
        </is>
      </c>
    </row>
    <row r="293">
      <c r="A293" s="12" t="inlineStr">
        <is>
          <t>Münchenstein</t>
        </is>
      </c>
      <c r="B293" s="12" t="inlineStr">
        <is>
          <t>Basel-Landschaft</t>
        </is>
      </c>
      <c r="C293" s="12" t="inlineStr">
        <is>
          <t>C5</t>
        </is>
      </c>
      <c r="D293" s="16" t="inlineStr">
        <is>
          <t>https://www.muenchenstein.ch/_rte/abstimmung/312742</t>
        </is>
      </c>
      <c r="E293" s="12" t="inlineStr">
        <is>
          <t>Laufen, Verlegung der Naubrücke: Genehmigung des generellen Projekts (2025/93, Planungsreferendum)</t>
        </is>
      </c>
      <c r="F293" s="12" t="inlineStr">
        <is>
          <t>nein</t>
        </is>
      </c>
      <c r="G293" s="12" t="inlineStr">
        <is>
          <t>https://www.muenchenstein.ch/abstimmungen/vorlagen</t>
        </is>
      </c>
      <c r="H293" s="12" t="inlineStr">
        <is>
          <t>Unterseite</t>
        </is>
      </c>
      <c r="I293" s="12" t="inlineStr">
        <is>
          <t>Nein</t>
        </is>
      </c>
      <c r="J293" s="12" t="inlineStr">
        <is>
          <t>Ungeprüft – nicht kuratiert</t>
        </is>
      </c>
    </row>
    <row r="294">
      <c r="A294" s="12" t="inlineStr">
        <is>
          <t>Münchenstein</t>
        </is>
      </c>
      <c r="B294" s="12" t="inlineStr">
        <is>
          <t>Basel-Landschaft</t>
        </is>
      </c>
      <c r="C294" s="12" t="inlineStr">
        <is>
          <t>C5</t>
        </is>
      </c>
      <c r="D294" s="16" t="inlineStr">
        <is>
          <t>https://www.muenchenstein.ch/_rte/abstimmung/31319</t>
        </is>
      </c>
      <c r="E294" s="12" t="inlineStr">
        <is>
          <t>Richtplan Münchenstein - Genehmigungsinhalte ohne Teil Dreispitz</t>
        </is>
      </c>
      <c r="F294" s="12" t="inlineStr">
        <is>
          <t>nein</t>
        </is>
      </c>
      <c r="G294" s="12" t="inlineStr">
        <is>
          <t>https://www.muenchenstein.ch/abstimmungen/vorlagen</t>
        </is>
      </c>
      <c r="H294" s="12" t="inlineStr">
        <is>
          <t>Unterseite</t>
        </is>
      </c>
      <c r="I294" s="12" t="inlineStr">
        <is>
          <t>Nein</t>
        </is>
      </c>
      <c r="J294" s="12" t="inlineStr">
        <is>
          <t>Ungeprüft – nicht kuratiert</t>
        </is>
      </c>
    </row>
    <row r="295">
      <c r="A295" s="12" t="inlineStr">
        <is>
          <t>Münchenstein</t>
        </is>
      </c>
      <c r="B295" s="12" t="inlineStr">
        <is>
          <t>Basel-Landschaft</t>
        </is>
      </c>
      <c r="C295" s="12" t="inlineStr">
        <is>
          <t>C5</t>
        </is>
      </c>
      <c r="D295" s="16" t="inlineStr">
        <is>
          <t>https://www.muenchenstein.ch/_rte/abstimmung/31320</t>
        </is>
      </c>
      <c r="E295" s="12" t="inlineStr">
        <is>
          <t>Gemeinsame Trägerschaft der Universität Basel</t>
        </is>
      </c>
      <c r="F295" s="12" t="inlineStr">
        <is>
          <t>nein</t>
        </is>
      </c>
      <c r="G295" s="12" t="inlineStr">
        <is>
          <t>https://www.muenchenstein.ch/abstimmungen/vorlagen</t>
        </is>
      </c>
      <c r="H295" s="12" t="inlineStr">
        <is>
          <t>Unterseite</t>
        </is>
      </c>
      <c r="I295" s="12" t="inlineStr">
        <is>
          <t>Nein</t>
        </is>
      </c>
      <c r="J295" s="12" t="inlineStr">
        <is>
          <t>Ungeprüft – nicht kuratiert</t>
        </is>
      </c>
    </row>
    <row r="296">
      <c r="A296" s="12" t="inlineStr">
        <is>
          <t>Münchenstein</t>
        </is>
      </c>
      <c r="B296" s="12" t="inlineStr">
        <is>
          <t>Basel-Landschaft</t>
        </is>
      </c>
      <c r="C296" s="12" t="inlineStr">
        <is>
          <t>C5</t>
        </is>
      </c>
      <c r="D296" s="16" t="inlineStr">
        <is>
          <t>https://www.muenchenstein.ch/_rte/abstimmung/31321</t>
        </is>
      </c>
      <c r="E296" s="12" t="inlineStr">
        <is>
          <t>Änderung von § 52 der Kantonsverfassung</t>
        </is>
      </c>
      <c r="F296" s="12" t="inlineStr">
        <is>
          <t>nein</t>
        </is>
      </c>
      <c r="G296" s="12" t="inlineStr">
        <is>
          <t>https://www.muenchenstein.ch/abstimmungen/vorlagen</t>
        </is>
      </c>
      <c r="H296" s="12" t="inlineStr">
        <is>
          <t>Unterseite</t>
        </is>
      </c>
      <c r="I296" s="12" t="inlineStr">
        <is>
          <t>Nein</t>
        </is>
      </c>
      <c r="J296" s="12" t="inlineStr">
        <is>
          <t>Ungeprüft – nicht kuratiert</t>
        </is>
      </c>
    </row>
    <row r="297">
      <c r="A297" s="12" t="inlineStr">
        <is>
          <t>Münchenstein</t>
        </is>
      </c>
      <c r="B297" s="12" t="inlineStr">
        <is>
          <t>Basel-Landschaft</t>
        </is>
      </c>
      <c r="C297" s="12" t="inlineStr">
        <is>
          <t>C5</t>
        </is>
      </c>
      <c r="D297" s="16" t="inlineStr">
        <is>
          <t>https://www.muenchenstein.ch/_rte/abstimmung/31322</t>
        </is>
      </c>
      <c r="E297" s="12" t="inlineStr">
        <is>
          <t>Volksinitiative "Für eine soziale Einheitskrankenkasse"</t>
        </is>
      </c>
      <c r="F297" s="12" t="inlineStr">
        <is>
          <t>nein</t>
        </is>
      </c>
      <c r="G297" s="12" t="inlineStr">
        <is>
          <t>https://www.muenchenstein.ch/abstimmungen/vorlagen</t>
        </is>
      </c>
      <c r="H297" s="12" t="inlineStr">
        <is>
          <t>Unterseite</t>
        </is>
      </c>
      <c r="I297" s="12" t="inlineStr">
        <is>
          <t>Nein</t>
        </is>
      </c>
      <c r="J297" s="12" t="inlineStr">
        <is>
          <t>Ungeprüft – nicht kuratiert</t>
        </is>
      </c>
    </row>
    <row r="298">
      <c r="A298" s="12" t="inlineStr">
        <is>
          <t>Münchenstein</t>
        </is>
      </c>
      <c r="B298" s="12" t="inlineStr">
        <is>
          <t>Basel-Landschaft</t>
        </is>
      </c>
      <c r="C298" s="12" t="inlineStr">
        <is>
          <t>C5</t>
        </is>
      </c>
      <c r="D298" s="16" t="inlineStr">
        <is>
          <t>https://www.muenchenstein.ch/_rte/abstimmung/318743</t>
        </is>
      </c>
      <c r="E298" s="12" t="inlineStr">
        <is>
          <t xml:space="preserve">Volksinitiative «Ja zu einer unabhängigen, freien Schweizer Währung mit Münzen oder Banknoten (Bargeld ist Freiheit)» und direkter Gegenentwurf Bundesbeschluss über die schweizerische Währung und die </t>
        </is>
      </c>
      <c r="F298" s="12" t="inlineStr">
        <is>
          <t>nein</t>
        </is>
      </c>
      <c r="G298" s="12" t="inlineStr">
        <is>
          <t>https://www.muenchenstein.ch/abstimmungen/vorlagen</t>
        </is>
      </c>
      <c r="H298" s="12" t="inlineStr">
        <is>
          <t>Unterseite</t>
        </is>
      </c>
      <c r="I298" s="12" t="inlineStr">
        <is>
          <t>Nein</t>
        </is>
      </c>
      <c r="J298" s="12" t="inlineStr">
        <is>
          <t>Ungeprüft – nicht kuratiert</t>
        </is>
      </c>
    </row>
    <row r="299">
      <c r="A299" s="12" t="inlineStr">
        <is>
          <t>Münchenstein</t>
        </is>
      </c>
      <c r="B299" s="12" t="inlineStr">
        <is>
          <t>Basel-Landschaft</t>
        </is>
      </c>
      <c r="C299" s="12" t="inlineStr">
        <is>
          <t>C5</t>
        </is>
      </c>
      <c r="D299" s="16" t="inlineStr">
        <is>
          <t>https://www.muenchenstein.ch/_rte/abstimmung/318746</t>
        </is>
      </c>
      <c r="E299" s="12" t="inlineStr">
        <is>
          <t>Volksinitiative «200 Franken sind genug! (SRG-Initiative)» (BBl 2025 2887)</t>
        </is>
      </c>
      <c r="F299" s="12" t="inlineStr">
        <is>
          <t>nein</t>
        </is>
      </c>
      <c r="G299" s="12" t="inlineStr">
        <is>
          <t>https://www.muenchenstein.ch/abstimmungen/vorlagen</t>
        </is>
      </c>
      <c r="H299" s="12" t="inlineStr">
        <is>
          <t>Unterseite</t>
        </is>
      </c>
      <c r="I299" s="12" t="inlineStr">
        <is>
          <t>Nein</t>
        </is>
      </c>
      <c r="J299" s="12" t="inlineStr">
        <is>
          <t>Ungeprüft – nicht kuratiert</t>
        </is>
      </c>
    </row>
    <row r="300">
      <c r="A300" s="12" t="inlineStr">
        <is>
          <t>Münchenstein</t>
        </is>
      </c>
      <c r="B300" s="12" t="inlineStr">
        <is>
          <t>Basel-Landschaft</t>
        </is>
      </c>
      <c r="C300" s="12" t="inlineStr">
        <is>
          <t>C5</t>
        </is>
      </c>
      <c r="D300" s="16" t="inlineStr">
        <is>
          <t>https://www.muenchenstein.ch/_rte/abstimmung/318749</t>
        </is>
      </c>
      <c r="E300" s="12" t="inlineStr">
        <is>
          <t>Volksinitiative «Für eine gerechte Energie- und Klimapolitik: Investieren für Wohlstand, Arbeit und Umwelt (Klimafonds-Initiative)» (BBl 2025 2888)</t>
        </is>
      </c>
      <c r="F300" s="12" t="inlineStr">
        <is>
          <t>nein</t>
        </is>
      </c>
      <c r="G300" s="12" t="inlineStr">
        <is>
          <t>https://www.muenchenstein.ch/abstimmungen/vorlagen</t>
        </is>
      </c>
      <c r="H300" s="12" t="inlineStr">
        <is>
          <t>Unterseite</t>
        </is>
      </c>
      <c r="I300" s="12" t="inlineStr">
        <is>
          <t>Nein</t>
        </is>
      </c>
      <c r="J300" s="12" t="inlineStr">
        <is>
          <t>Ungeprüft – nicht kuratiert</t>
        </is>
      </c>
    </row>
    <row r="301">
      <c r="A301" s="12" t="inlineStr">
        <is>
          <t>Münchenstein</t>
        </is>
      </c>
      <c r="B301" s="12" t="inlineStr">
        <is>
          <t>Basel-Landschaft</t>
        </is>
      </c>
      <c r="C301" s="12" t="inlineStr">
        <is>
          <t>C5</t>
        </is>
      </c>
      <c r="D301" s="16" t="inlineStr">
        <is>
          <t>https://www.muenchenstein.ch/_rte/abstimmung/318752</t>
        </is>
      </c>
      <c r="E301" s="12" t="inlineStr">
        <is>
          <t>Bundesgesetz vom 20. Juni 2025 über die Individualbesteuerung (BBl 2025 2033)</t>
        </is>
      </c>
      <c r="F301" s="12" t="inlineStr">
        <is>
          <t>nein</t>
        </is>
      </c>
      <c r="G301" s="12" t="inlineStr">
        <is>
          <t>https://www.muenchenstein.ch/abstimmungen/vorlagen</t>
        </is>
      </c>
      <c r="H301" s="12" t="inlineStr">
        <is>
          <t>Unterseite</t>
        </is>
      </c>
      <c r="I301" s="12" t="inlineStr">
        <is>
          <t>Nein</t>
        </is>
      </c>
      <c r="J301" s="12" t="inlineStr">
        <is>
          <t>Ungeprüft – nicht kuratiert</t>
        </is>
      </c>
    </row>
    <row r="302">
      <c r="A302" s="12" t="inlineStr">
        <is>
          <t>Münchenstein</t>
        </is>
      </c>
      <c r="B302" s="12" t="inlineStr">
        <is>
          <t>Basel-Landschaft</t>
        </is>
      </c>
      <c r="C302" s="12" t="inlineStr">
        <is>
          <t>C5</t>
        </is>
      </c>
      <c r="D302" s="16" t="inlineStr">
        <is>
          <t>https://www.muenchenstein.ch/_rte/abstimmung/318758</t>
        </is>
      </c>
      <c r="E302" s="12" t="inlineStr">
        <is>
          <t>Formulierte Gesetzesinitiative «Tempo 30 auf Hauptstrassen - nur mit Zustimmung des Volkes» vom 10. August 2023 mit Gegenvorschlag des Landrats vom 11. September 2025</t>
        </is>
      </c>
      <c r="F302" s="12" t="inlineStr">
        <is>
          <t>nein</t>
        </is>
      </c>
      <c r="G302" s="12" t="inlineStr">
        <is>
          <t>https://www.muenchenstein.ch/abstimmungen/vorlagen</t>
        </is>
      </c>
      <c r="H302" s="12" t="inlineStr">
        <is>
          <t>Unterseite</t>
        </is>
      </c>
      <c r="I302" s="12" t="inlineStr">
        <is>
          <t>Nein</t>
        </is>
      </c>
      <c r="J302" s="12" t="inlineStr">
        <is>
          <t>Ungeprüft – nicht kuratiert</t>
        </is>
      </c>
    </row>
    <row r="303">
      <c r="A303" s="12" t="inlineStr">
        <is>
          <t>Münchenstein</t>
        </is>
      </c>
      <c r="B303" s="12" t="inlineStr">
        <is>
          <t>Basel-Landschaft</t>
        </is>
      </c>
      <c r="C303" s="12" t="inlineStr">
        <is>
          <t>C5</t>
        </is>
      </c>
      <c r="D303" s="16" t="inlineStr">
        <is>
          <t>https://www.muenchenstein.ch/_rte/abstimmung/318761</t>
        </is>
      </c>
      <c r="E303" s="12" t="inlineStr">
        <is>
          <t>Formulierte Gesetzesinitiative «Vollumfänglicher Steuerabzug der selbstgetragenen Prämien der obligatorischen Krankenpflegeversicherung («Prämienabzug für alle»)» vom 15. August 2024 mit Gegenvorschla</t>
        </is>
      </c>
      <c r="F303" s="12" t="inlineStr">
        <is>
          <t>nein</t>
        </is>
      </c>
      <c r="G303" s="12" t="inlineStr">
        <is>
          <t>https://www.muenchenstein.ch/abstimmungen/vorlagen</t>
        </is>
      </c>
      <c r="H303" s="12" t="inlineStr">
        <is>
          <t>Unterseite</t>
        </is>
      </c>
      <c r="I303" s="12" t="inlineStr">
        <is>
          <t>Nein</t>
        </is>
      </c>
      <c r="J303" s="12" t="inlineStr">
        <is>
          <t>Ungeprüft – nicht kuratiert</t>
        </is>
      </c>
    </row>
    <row r="304">
      <c r="A304" s="12" t="inlineStr">
        <is>
          <t>Münchenstein</t>
        </is>
      </c>
      <c r="B304" s="12" t="inlineStr">
        <is>
          <t>Basel-Landschaft</t>
        </is>
      </c>
      <c r="C304" s="12" t="inlineStr">
        <is>
          <t>C5</t>
        </is>
      </c>
      <c r="D304" s="16" t="inlineStr">
        <is>
          <t>https://www.muenchenstein.ch/_rte/abstimmung/318764</t>
        </is>
      </c>
      <c r="E304" s="12" t="inlineStr">
        <is>
          <t>Formulierte Gesetzesinitiative «Potential nutzen – Versorgung sichern: Für eine vorausschauende Energiepolitik im Baselbiet» vom 29. April 2024 («Solar-Initiative»)</t>
        </is>
      </c>
      <c r="F304" s="12" t="inlineStr">
        <is>
          <t>nein</t>
        </is>
      </c>
      <c r="G304" s="12" t="inlineStr">
        <is>
          <t>https://www.muenchenstein.ch/abstimmungen/vorlagen</t>
        </is>
      </c>
      <c r="H304" s="12" t="inlineStr">
        <is>
          <t>Unterseite</t>
        </is>
      </c>
      <c r="I304" s="12" t="inlineStr">
        <is>
          <t>Nein</t>
        </is>
      </c>
      <c r="J304" s="12" t="inlineStr">
        <is>
          <t>Ungeprüft – nicht kuratiert</t>
        </is>
      </c>
    </row>
    <row r="305">
      <c r="A305" s="12" t="inlineStr">
        <is>
          <t>Münchenstein</t>
        </is>
      </c>
      <c r="B305" s="12" t="inlineStr">
        <is>
          <t>Basel-Landschaft</t>
        </is>
      </c>
      <c r="C305" s="12" t="inlineStr">
        <is>
          <t>C5</t>
        </is>
      </c>
      <c r="D305" s="16" t="inlineStr">
        <is>
          <t>https://www.muenchenstein.ch/_rte/abstimmung/318770</t>
        </is>
      </c>
      <c r="E305" s="12" t="inlineStr">
        <is>
          <t>Formulierte Verfassungsinitiative «Transparenz- und Mitwirkungsinitiative» vom 31. Oktober 2024</t>
        </is>
      </c>
      <c r="F305" s="12" t="inlineStr">
        <is>
          <t>nein</t>
        </is>
      </c>
      <c r="G305" s="12" t="inlineStr">
        <is>
          <t>https://www.muenchenstein.ch/abstimmungen/vorlagen</t>
        </is>
      </c>
      <c r="H305" s="12" t="inlineStr">
        <is>
          <t>Unterseite</t>
        </is>
      </c>
      <c r="I305" s="12" t="inlineStr">
        <is>
          <t>Nein</t>
        </is>
      </c>
      <c r="J305" s="12" t="inlineStr">
        <is>
          <t>Ungeprüft – nicht kuratiert</t>
        </is>
      </c>
    </row>
    <row r="306">
      <c r="A306" s="12" t="inlineStr">
        <is>
          <t>Münchenstein</t>
        </is>
      </c>
      <c r="B306" s="12" t="inlineStr">
        <is>
          <t>Basel-Landschaft</t>
        </is>
      </c>
      <c r="C306" s="12" t="inlineStr">
        <is>
          <t>C5</t>
        </is>
      </c>
      <c r="D306" s="16" t="inlineStr">
        <is>
          <t>https://www.muenchenstein.ch/_rte/abstimmung/318773</t>
        </is>
      </c>
      <c r="E306" s="12" t="inlineStr">
        <is>
          <t>Verfassungsänderung Kreislaufwirtschaft</t>
        </is>
      </c>
      <c r="F306" s="12" t="inlineStr">
        <is>
          <t>nein</t>
        </is>
      </c>
      <c r="G306" s="12" t="inlineStr">
        <is>
          <t>https://www.muenchenstein.ch/abstimmungen/vorlagen</t>
        </is>
      </c>
      <c r="H306" s="12" t="inlineStr">
        <is>
          <t>Unterseite</t>
        </is>
      </c>
      <c r="I306" s="12" t="inlineStr">
        <is>
          <t>Nein</t>
        </is>
      </c>
      <c r="J306" s="12" t="inlineStr">
        <is>
          <t>Ungeprüft – nicht kuratiert</t>
        </is>
      </c>
    </row>
    <row r="307">
      <c r="A307" s="12" t="inlineStr">
        <is>
          <t>Münchenstein</t>
        </is>
      </c>
      <c r="B307" s="12" t="inlineStr">
        <is>
          <t>Basel-Landschaft</t>
        </is>
      </c>
      <c r="C307" s="12" t="inlineStr">
        <is>
          <t>C5</t>
        </is>
      </c>
      <c r="D307" s="16" t="inlineStr">
        <is>
          <t>https://www.muenchenstein.ch/_rte/abstimmung/322384</t>
        </is>
      </c>
      <c r="E307" s="12" t="inlineStr">
        <is>
          <t>Volksinitiative «Keine 10-Millionen-Schweiz! (Nachhaltigkeitsinitiative)»</t>
        </is>
      </c>
      <c r="F307" s="12" t="inlineStr">
        <is>
          <t>nein</t>
        </is>
      </c>
      <c r="G307" s="12" t="inlineStr">
        <is>
          <t>https://www.muenchenstein.ch/abstimmungen/vorlagen</t>
        </is>
      </c>
      <c r="H307" s="12" t="inlineStr">
        <is>
          <t>Unterseite</t>
        </is>
      </c>
      <c r="I307" s="12" t="inlineStr">
        <is>
          <t>Nein</t>
        </is>
      </c>
      <c r="J307" s="12" t="inlineStr">
        <is>
          <t>Ungeprüft – nicht kuratiert</t>
        </is>
      </c>
    </row>
    <row r="308">
      <c r="A308" s="12" t="inlineStr">
        <is>
          <t>Münchenstein</t>
        </is>
      </c>
      <c r="B308" s="12" t="inlineStr">
        <is>
          <t>Basel-Landschaft</t>
        </is>
      </c>
      <c r="C308" s="12" t="inlineStr">
        <is>
          <t>C5</t>
        </is>
      </c>
      <c r="D308" s="16" t="inlineStr">
        <is>
          <t>https://www.muenchenstein.ch/_rte/abstimmung/322387</t>
        </is>
      </c>
      <c r="E308" s="12" t="inlineStr">
        <is>
          <t>Änderung vom 26. September 2025 des Bundesgesetzes über den zivilen Ersatzdienst (Zivildienstgesetz, ZDG)</t>
        </is>
      </c>
      <c r="F308" s="12" t="inlineStr">
        <is>
          <t>nein</t>
        </is>
      </c>
      <c r="G308" s="12" t="inlineStr">
        <is>
          <t>https://www.muenchenstein.ch/abstimmungen/vorlagen</t>
        </is>
      </c>
      <c r="H308" s="12" t="inlineStr">
        <is>
          <t>Unterseite</t>
        </is>
      </c>
      <c r="I308" s="12" t="inlineStr">
        <is>
          <t>Nein</t>
        </is>
      </c>
      <c r="J308" s="12" t="inlineStr">
        <is>
          <t>Ungeprüft – nicht kuratiert</t>
        </is>
      </c>
    </row>
    <row r="309">
      <c r="A309" s="12" t="inlineStr">
        <is>
          <t>Münchenstein</t>
        </is>
      </c>
      <c r="B309" s="12" t="inlineStr">
        <is>
          <t>Basel-Landschaft</t>
        </is>
      </c>
      <c r="C309" s="12" t="inlineStr">
        <is>
          <t>C5</t>
        </is>
      </c>
      <c r="D309" s="16" t="inlineStr">
        <is>
          <t>https://www.muenchenstein.ch/_rte/abstimmung/322390</t>
        </is>
      </c>
      <c r="E309" s="12" t="inlineStr">
        <is>
          <t>Formulierte Verfassungsinitiative «Für gute und stabile Beziehungen der Schweiz mit der Europäischen Union und den Nachbarländern (Zämme in Europa)» (2025/84)</t>
        </is>
      </c>
      <c r="F309" s="12" t="inlineStr">
        <is>
          <t>nein</t>
        </is>
      </c>
      <c r="G309" s="12" t="inlineStr">
        <is>
          <t>https://www.muenchenstein.ch/abstimmungen/vorlagen</t>
        </is>
      </c>
      <c r="H309" s="12" t="inlineStr">
        <is>
          <t>Unterseite</t>
        </is>
      </c>
      <c r="I309" s="12" t="inlineStr">
        <is>
          <t>Nein</t>
        </is>
      </c>
      <c r="J309" s="12" t="inlineStr">
        <is>
          <t>Ungeprüft – nicht kuratiert</t>
        </is>
      </c>
    </row>
    <row r="310">
      <c r="A310" s="12" t="inlineStr">
        <is>
          <t>Münchenstein</t>
        </is>
      </c>
      <c r="B310" s="12" t="inlineStr">
        <is>
          <t>Basel-Landschaft</t>
        </is>
      </c>
      <c r="C310" s="12" t="inlineStr">
        <is>
          <t>C5</t>
        </is>
      </c>
      <c r="D310" s="16" t="inlineStr">
        <is>
          <t>https://www.muenchenstein.ch/_rte/abstimmung/322393</t>
        </is>
      </c>
      <c r="E310" s="12" t="inlineStr">
        <is>
          <t>Formulierte Gesetzesinitiative «Energiepolitik nur mit der Bevölkerung» (2025/36)</t>
        </is>
      </c>
      <c r="F310" s="12" t="inlineStr">
        <is>
          <t>nein</t>
        </is>
      </c>
      <c r="G310" s="12" t="inlineStr">
        <is>
          <t>https://www.muenchenstein.ch/abstimmungen/vorlagen</t>
        </is>
      </c>
      <c r="H310" s="12" t="inlineStr">
        <is>
          <t>Unterseite</t>
        </is>
      </c>
      <c r="I310" s="12" t="inlineStr">
        <is>
          <t>Nein</t>
        </is>
      </c>
      <c r="J310" s="12" t="inlineStr">
        <is>
          <t>Ungeprüft – nicht kuratiert</t>
        </is>
      </c>
    </row>
    <row r="311">
      <c r="A311" s="12" t="inlineStr">
        <is>
          <t>Münchenstein</t>
        </is>
      </c>
      <c r="B311" s="12" t="inlineStr">
        <is>
          <t>Basel-Landschaft</t>
        </is>
      </c>
      <c r="C311" s="12" t="inlineStr">
        <is>
          <t>C5</t>
        </is>
      </c>
      <c r="D311" s="16" t="inlineStr">
        <is>
          <t>https://www.muenchenstein.ch/_rte/abstimmung/322399</t>
        </is>
      </c>
      <c r="E311" s="12" t="inlineStr">
        <is>
          <t>Neue Ortsdurchfahrt Birsfelden, Umgestaltung der Haupt- und Rheinfelderstrasse, Ausgabenbewilligung für die Realisierung (2024/747)</t>
        </is>
      </c>
      <c r="F311" s="12" t="inlineStr">
        <is>
          <t>nein</t>
        </is>
      </c>
      <c r="G311" s="12" t="inlineStr">
        <is>
          <t>https://www.muenchenstein.ch/abstimmungen/vorlagen</t>
        </is>
      </c>
      <c r="H311" s="12" t="inlineStr">
        <is>
          <t>Unterseite</t>
        </is>
      </c>
      <c r="I311" s="12" t="inlineStr">
        <is>
          <t>Nein</t>
        </is>
      </c>
      <c r="J311" s="12" t="inlineStr">
        <is>
          <t>Ungeprüft – nicht kuratiert</t>
        </is>
      </c>
    </row>
    <row r="312">
      <c r="A312" s="12" t="inlineStr">
        <is>
          <t>Münchenstein</t>
        </is>
      </c>
      <c r="B312" s="12" t="inlineStr">
        <is>
          <t>Basel-Landschaft</t>
        </is>
      </c>
      <c r="C312" s="12" t="inlineStr">
        <is>
          <t>C5</t>
        </is>
      </c>
      <c r="D312" s="16" t="inlineStr">
        <is>
          <t>https://www.muenchenstein.ch/_rte/abstimmung/327079</t>
        </is>
      </c>
      <c r="E312" s="12" t="inlineStr">
        <is>
          <t>Volksinitiative "Wahrung der schweizerischen Neutralität (Neutralitätsinitiative) (BBI 2026 799)</t>
        </is>
      </c>
      <c r="F312" s="12" t="inlineStr">
        <is>
          <t>nein</t>
        </is>
      </c>
      <c r="G312" s="12" t="inlineStr">
        <is>
          <t>https://www.muenchenstein.ch/abstimmungen/vorlagen</t>
        </is>
      </c>
      <c r="H312" s="12" t="inlineStr">
        <is>
          <t>Unterseite</t>
        </is>
      </c>
      <c r="I312" s="12" t="inlineStr">
        <is>
          <t>Nein</t>
        </is>
      </c>
      <c r="J312" s="12" t="inlineStr">
        <is>
          <t>Ungeprüft – nicht kuratiert</t>
        </is>
      </c>
    </row>
    <row r="313">
      <c r="A313" s="12" t="inlineStr">
        <is>
          <t>Münchenstein</t>
        </is>
      </c>
      <c r="B313" s="12" t="inlineStr">
        <is>
          <t>Basel-Landschaft</t>
        </is>
      </c>
      <c r="C313" s="12" t="inlineStr">
        <is>
          <t>C5</t>
        </is>
      </c>
      <c r="D313" s="16" t="inlineStr">
        <is>
          <t>https://www.muenchenstein.ch/_rte/abstimmung/327082</t>
        </is>
      </c>
      <c r="E313" s="12" t="inlineStr">
        <is>
          <t>Volksinitiative "Für eine sichere Ernährung - durch Stärkung einer nachhaltigen inländischen Produktion, mehr pflanzliche Lebensmittel und sauberes Trinkwasser (Ernährungsinitiative)" (BBI 2026 800)</t>
        </is>
      </c>
      <c r="F313" s="12" t="inlineStr">
        <is>
          <t>nein</t>
        </is>
      </c>
      <c r="G313" s="12" t="inlineStr">
        <is>
          <t>https://www.muenchenstein.ch/abstimmungen/vorlagen</t>
        </is>
      </c>
      <c r="H313" s="12" t="inlineStr">
        <is>
          <t>Unterseite</t>
        </is>
      </c>
      <c r="I313" s="12" t="inlineStr">
        <is>
          <t>Nein</t>
        </is>
      </c>
      <c r="J313" s="12" t="inlineStr">
        <is>
          <t>Ungeprüft – nicht kuratiert</t>
        </is>
      </c>
    </row>
    <row r="314">
      <c r="A314" s="12" t="inlineStr">
        <is>
          <t>Münchenstein</t>
        </is>
      </c>
      <c r="B314" s="12" t="inlineStr">
        <is>
          <t>Basel-Landschaft</t>
        </is>
      </c>
      <c r="C314" s="12" t="inlineStr">
        <is>
          <t>C5</t>
        </is>
      </c>
      <c r="D314" s="16" t="inlineStr">
        <is>
          <t>https://www.muenchenstein.ch/_rte/abstimmung/327088</t>
        </is>
      </c>
      <c r="E314" s="12" t="inlineStr">
        <is>
          <t>Formulierte Gesetzesinitiative "Fairer Kompromiss bei der Mehrwertabgabe" vom 10. Juni 2025 mit Gegenvorschlag des Landrats vom 23. April 2026 (2025/414)</t>
        </is>
      </c>
      <c r="F314" s="12" t="inlineStr">
        <is>
          <t>nein</t>
        </is>
      </c>
      <c r="G314" s="12" t="inlineStr">
        <is>
          <t>https://www.muenchenstein.ch/abstimmungen/vorlagen</t>
        </is>
      </c>
      <c r="H314" s="12" t="inlineStr">
        <is>
          <t>Unterseite</t>
        </is>
      </c>
      <c r="I314" s="12" t="inlineStr">
        <is>
          <t>Nein</t>
        </is>
      </c>
      <c r="J314" s="12" t="inlineStr">
        <is>
          <t>Ungeprüft – nicht kuratiert</t>
        </is>
      </c>
    </row>
    <row r="315">
      <c r="A315" s="12" t="inlineStr">
        <is>
          <t>Münchenstein</t>
        </is>
      </c>
      <c r="B315" s="12" t="inlineStr">
        <is>
          <t>Basel-Landschaft</t>
        </is>
      </c>
      <c r="C315" s="12" t="inlineStr">
        <is>
          <t>C5</t>
        </is>
      </c>
      <c r="D315" s="16" t="inlineStr">
        <is>
          <t>https://www.muenchenstein.ch/_rte/abstimmung/328972</t>
        </is>
      </c>
      <c r="E315" s="12" t="inlineStr">
        <is>
          <t>Bundesbeschluss vom 19. Juni 2026 über die Zusatzfinanzierung der AHV durch eine Erhöhung der Mehrwertsteuer</t>
        </is>
      </c>
      <c r="F315" s="12" t="inlineStr">
        <is>
          <t>nein</t>
        </is>
      </c>
      <c r="G315" s="12" t="inlineStr">
        <is>
          <t>https://www.muenchenstein.ch/abstimmungen/vorlagen</t>
        </is>
      </c>
      <c r="H315" s="12" t="inlineStr">
        <is>
          <t>Unterseite</t>
        </is>
      </c>
      <c r="I315" s="12" t="inlineStr">
        <is>
          <t>Nein</t>
        </is>
      </c>
      <c r="J315" s="12" t="inlineStr">
        <is>
          <t>Ungeprüft – nicht kuratiert</t>
        </is>
      </c>
    </row>
    <row r="316">
      <c r="A316" s="12" t="inlineStr">
        <is>
          <t>Münchenstein</t>
        </is>
      </c>
      <c r="B316" s="12" t="inlineStr">
        <is>
          <t>Basel-Landschaft</t>
        </is>
      </c>
      <c r="C316" s="12" t="inlineStr">
        <is>
          <t>C5</t>
        </is>
      </c>
      <c r="D316" s="16" t="inlineStr">
        <is>
          <t>https://www.muenchenstein.ch/_rte/abstimmung/328975</t>
        </is>
      </c>
      <c r="E316" s="12" t="inlineStr">
        <is>
          <t>Volksinitiative «Für eine Einschränkung von Feuerwerk»</t>
        </is>
      </c>
      <c r="F316" s="12" t="inlineStr">
        <is>
          <t>nein</t>
        </is>
      </c>
      <c r="G316" s="12" t="inlineStr">
        <is>
          <t>https://www.muenchenstein.ch/abstimmungen/vorlagen</t>
        </is>
      </c>
      <c r="H316" s="12" t="inlineStr">
        <is>
          <t>Unterseite</t>
        </is>
      </c>
      <c r="I316" s="12" t="inlineStr">
        <is>
          <t>Nein</t>
        </is>
      </c>
      <c r="J316" s="12" t="inlineStr">
        <is>
          <t>Ungeprüft – nicht kuratiert</t>
        </is>
      </c>
    </row>
    <row r="317">
      <c r="A317" s="12" t="inlineStr">
        <is>
          <t>Münchenstein</t>
        </is>
      </c>
      <c r="B317" s="12" t="inlineStr">
        <is>
          <t>Basel-Landschaft</t>
        </is>
      </c>
      <c r="C317" s="12" t="inlineStr">
        <is>
          <t>C5</t>
        </is>
      </c>
      <c r="D317" s="16" t="inlineStr">
        <is>
          <t>https://www.muenchenstein.ch/_rte/abstimmung/328981</t>
        </is>
      </c>
      <c r="E317" s="12" t="inlineStr">
        <is>
          <t>Volksinitiative «Ja zu fairen Bundessteuern auch für Ehepaare – Diskriminierung der Ehe endlich abschaffen!»</t>
        </is>
      </c>
      <c r="F317" s="12" t="inlineStr">
        <is>
          <t>nein</t>
        </is>
      </c>
      <c r="G317" s="12" t="inlineStr">
        <is>
          <t>https://www.muenchenstein.ch/abstimmungen/vorlagen</t>
        </is>
      </c>
      <c r="H317" s="12" t="inlineStr">
        <is>
          <t>Unterseite</t>
        </is>
      </c>
      <c r="I317" s="12" t="inlineStr">
        <is>
          <t>Nein</t>
        </is>
      </c>
      <c r="J317" s="12" t="inlineStr">
        <is>
          <t>Ungeprüft – nicht kuratiert</t>
        </is>
      </c>
    </row>
    <row r="318">
      <c r="A318" s="12" t="inlineStr">
        <is>
          <t>Münchenstein</t>
        </is>
      </c>
      <c r="B318" s="12" t="inlineStr">
        <is>
          <t>Basel-Landschaft</t>
        </is>
      </c>
      <c r="C318" s="12" t="inlineStr">
        <is>
          <t>C5</t>
        </is>
      </c>
      <c r="D318" s="16" t="inlineStr">
        <is>
          <t>https://www.muenchenstein.ch/_rte/abstimmung/328984</t>
        </is>
      </c>
      <c r="E318" s="12" t="inlineStr">
        <is>
          <t>Änderung vom 19. Dezember 2025 des Bundesgesetzes über das Kriegsmaterial</t>
        </is>
      </c>
      <c r="F318" s="12" t="inlineStr">
        <is>
          <t>nein</t>
        </is>
      </c>
      <c r="G318" s="12" t="inlineStr">
        <is>
          <t>https://www.muenchenstein.ch/abstimmungen/vorlagen</t>
        </is>
      </c>
      <c r="H318" s="12" t="inlineStr">
        <is>
          <t>Unterseite</t>
        </is>
      </c>
      <c r="I318" s="12" t="inlineStr">
        <is>
          <t>Nein</t>
        </is>
      </c>
      <c r="J318" s="12" t="inlineStr">
        <is>
          <t>Ungeprüft – nicht kuratiert</t>
        </is>
      </c>
    </row>
    <row r="319">
      <c r="A319" s="12" t="inlineStr">
        <is>
          <t>Münchenstein</t>
        </is>
      </c>
      <c r="B319" s="12" t="inlineStr">
        <is>
          <t>Basel-Landschaft</t>
        </is>
      </c>
      <c r="C319" s="12" t="inlineStr">
        <is>
          <t>C5</t>
        </is>
      </c>
      <c r="D319" s="16" t="inlineStr">
        <is>
          <t>https://www.muenchenstein.ch/_rte/abstimmung/328987</t>
        </is>
      </c>
      <c r="E319" s="12" t="inlineStr">
        <is>
          <t>Formulierte Verfassungsinitiative «Fairer Arbeitsmarkt: KMU-Arbeitsbedingungen als Richtschnur für die öffentliche Verwaltung» vom 18. September 2025 (2025/482)</t>
        </is>
      </c>
      <c r="F319" s="12" t="inlineStr">
        <is>
          <t>nein</t>
        </is>
      </c>
      <c r="G319" s="12" t="inlineStr">
        <is>
          <t>https://www.muenchenstein.ch/abstimmungen/vorlagen</t>
        </is>
      </c>
      <c r="H319" s="12" t="inlineStr">
        <is>
          <t>Unterseite</t>
        </is>
      </c>
      <c r="I319" s="12" t="inlineStr">
        <is>
          <t>Nein</t>
        </is>
      </c>
      <c r="J319" s="12" t="inlineStr">
        <is>
          <t>Ungeprüft – nicht kuratiert</t>
        </is>
      </c>
    </row>
    <row r="320">
      <c r="A320" s="12" t="inlineStr">
        <is>
          <t>Münchenstein</t>
        </is>
      </c>
      <c r="B320" s="12" t="inlineStr">
        <is>
          <t>Basel-Landschaft</t>
        </is>
      </c>
      <c r="C320" s="12" t="inlineStr">
        <is>
          <t>C5</t>
        </is>
      </c>
      <c r="D320" s="16" t="inlineStr">
        <is>
          <t>https://www.muenchenstein.ch/_rte/abstimmung/328990</t>
        </is>
      </c>
      <c r="E320" s="12" t="inlineStr">
        <is>
          <t>Formulierte Gesetzesinitiative «für ein bezahlbares U-Abo für Kinder und Jugendliche im Kanton Basel-Landschaft» vom 1. September 2025 (2025/462)</t>
        </is>
      </c>
      <c r="F320" s="12" t="inlineStr">
        <is>
          <t>nein</t>
        </is>
      </c>
      <c r="G320" s="12" t="inlineStr">
        <is>
          <t>https://www.muenchenstein.ch/abstimmungen/vorlagen</t>
        </is>
      </c>
      <c r="H320" s="12" t="inlineStr">
        <is>
          <t>Unterseite</t>
        </is>
      </c>
      <c r="I320" s="12" t="inlineStr">
        <is>
          <t>Nein</t>
        </is>
      </c>
      <c r="J320" s="12" t="inlineStr">
        <is>
          <t>Ungeprüft – nicht kuratiert</t>
        </is>
      </c>
    </row>
    <row r="321">
      <c r="A321" s="12" t="inlineStr">
        <is>
          <t>Münchenstein</t>
        </is>
      </c>
      <c r="B321" s="12" t="inlineStr">
        <is>
          <t>Basel-Landschaft</t>
        </is>
      </c>
      <c r="C321" s="12" t="inlineStr">
        <is>
          <t>C5</t>
        </is>
      </c>
      <c r="D321" s="16" t="inlineStr">
        <is>
          <t>https://www.muenchenstein.ch/_rte/abstimmung/33944</t>
        </is>
      </c>
      <c r="E321" s="12" t="inlineStr">
        <is>
          <t>Bundesgesetz über die Invalidenversicherung (IVG)</t>
        </is>
      </c>
      <c r="F321" s="12" t="inlineStr">
        <is>
          <t>nein</t>
        </is>
      </c>
      <c r="G321" s="12" t="inlineStr">
        <is>
          <t>https://www.muenchenstein.ch/abstimmungen/vorlagen</t>
        </is>
      </c>
      <c r="H321" s="12" t="inlineStr">
        <is>
          <t>Unterseite</t>
        </is>
      </c>
      <c r="I321" s="12" t="inlineStr">
        <is>
          <t>Nein</t>
        </is>
      </c>
      <c r="J321" s="12" t="inlineStr">
        <is>
          <t>Ungeprüft – nicht kuratiert</t>
        </is>
      </c>
    </row>
    <row r="322">
      <c r="A322" s="12" t="inlineStr">
        <is>
          <t>Münchenstein</t>
        </is>
      </c>
      <c r="B322" s="12" t="inlineStr">
        <is>
          <t>Basel-Landschaft</t>
        </is>
      </c>
      <c r="C322" s="12" t="inlineStr">
        <is>
          <t>C5</t>
        </is>
      </c>
      <c r="D322" s="16" t="inlineStr">
        <is>
          <t>https://www.muenchenstein.ch/_rte/abstimmung/33945</t>
        </is>
      </c>
      <c r="E322" s="12" t="inlineStr">
        <is>
          <t>Rheinhafenvertrag vom 13./20. Juni 2006</t>
        </is>
      </c>
      <c r="F322" s="12" t="inlineStr">
        <is>
          <t>nein</t>
        </is>
      </c>
      <c r="G322" s="12" t="inlineStr">
        <is>
          <t>https://www.muenchenstein.ch/abstimmungen/vorlagen</t>
        </is>
      </c>
      <c r="H322" s="12" t="inlineStr">
        <is>
          <t>Unterseite</t>
        </is>
      </c>
      <c r="I322" s="12" t="inlineStr">
        <is>
          <t>Nein</t>
        </is>
      </c>
      <c r="J322" s="12" t="inlineStr">
        <is>
          <t>Ungeprüft – nicht kuratiert</t>
        </is>
      </c>
    </row>
    <row r="323">
      <c r="A323" s="12" t="inlineStr">
        <is>
          <t>Münchenstein</t>
        </is>
      </c>
      <c r="B323" s="12" t="inlineStr">
        <is>
          <t>Basel-Landschaft</t>
        </is>
      </c>
      <c r="C323" s="12" t="inlineStr">
        <is>
          <t>C5</t>
        </is>
      </c>
      <c r="D323" s="16" t="inlineStr">
        <is>
          <t>https://www.muenchenstein.ch/_rte/abstimmung/35594</t>
        </is>
      </c>
      <c r="E323" s="12" t="inlineStr">
        <is>
          <t>National- und Ständeratswahlen</t>
        </is>
      </c>
      <c r="F323" s="12" t="inlineStr">
        <is>
          <t>nein</t>
        </is>
      </c>
      <c r="G323" s="12" t="inlineStr">
        <is>
          <t>https://www.muenchenstein.ch/abstimmungen/vorlagen</t>
        </is>
      </c>
      <c r="H323" s="12" t="inlineStr">
        <is>
          <t>Unterseite</t>
        </is>
      </c>
      <c r="I323" s="12" t="inlineStr">
        <is>
          <t>Nein</t>
        </is>
      </c>
      <c r="J323" s="12" t="inlineStr">
        <is>
          <t>Ungeprüft – nicht kuratiert</t>
        </is>
      </c>
    </row>
    <row r="324">
      <c r="A324" s="12" t="inlineStr">
        <is>
          <t>Münchenstein</t>
        </is>
      </c>
      <c r="B324" s="12" t="inlineStr">
        <is>
          <t>Basel-Landschaft</t>
        </is>
      </c>
      <c r="C324" s="12" t="inlineStr">
        <is>
          <t>C5</t>
        </is>
      </c>
      <c r="D324" s="16" t="inlineStr">
        <is>
          <t>https://www.muenchenstein.ch/_rte/abstimmung/36734</t>
        </is>
      </c>
      <c r="E324" s="12" t="inlineStr">
        <is>
          <t>Änderung vom 21. Juni 2007 des Gesetzes über das Halten von Hunden</t>
        </is>
      </c>
      <c r="F324" s="12" t="inlineStr">
        <is>
          <t>nein</t>
        </is>
      </c>
      <c r="G324" s="12" t="inlineStr">
        <is>
          <t>https://www.muenchenstein.ch/abstimmungen/vorlagen</t>
        </is>
      </c>
      <c r="H324" s="12" t="inlineStr">
        <is>
          <t>Unterseite</t>
        </is>
      </c>
      <c r="I324" s="12" t="inlineStr">
        <is>
          <t>Nein</t>
        </is>
      </c>
      <c r="J324" s="12" t="inlineStr">
        <is>
          <t>Ungeprüft – nicht kuratiert</t>
        </is>
      </c>
    </row>
    <row r="325">
      <c r="A325" s="12" t="inlineStr">
        <is>
          <t>Münchenstein</t>
        </is>
      </c>
      <c r="B325" s="12" t="inlineStr">
        <is>
          <t>Basel-Landschaft</t>
        </is>
      </c>
      <c r="C325" s="12" t="inlineStr">
        <is>
          <t>C5</t>
        </is>
      </c>
      <c r="D325" s="16" t="inlineStr">
        <is>
          <t>https://www.muenchenstein.ch/_rte/abstimmung/36735</t>
        </is>
      </c>
      <c r="E325" s="12" t="inlineStr">
        <is>
          <t>Unternehmenssteuerreform</t>
        </is>
      </c>
      <c r="F325" s="12" t="inlineStr">
        <is>
          <t>nein</t>
        </is>
      </c>
      <c r="G325" s="12" t="inlineStr">
        <is>
          <t>https://www.muenchenstein.ch/abstimmungen/vorlagen</t>
        </is>
      </c>
      <c r="H325" s="12" t="inlineStr">
        <is>
          <t>Unterseite</t>
        </is>
      </c>
      <c r="I325" s="12" t="inlineStr">
        <is>
          <t>Nein</t>
        </is>
      </c>
      <c r="J325" s="12" t="inlineStr">
        <is>
          <t>Ungeprüft – nicht kuratiert</t>
        </is>
      </c>
    </row>
    <row r="326">
      <c r="A326" s="12" t="inlineStr">
        <is>
          <t>Münchenstein</t>
        </is>
      </c>
      <c r="B326" s="12" t="inlineStr">
        <is>
          <t>Basel-Landschaft</t>
        </is>
      </c>
      <c r="C326" s="12" t="inlineStr">
        <is>
          <t>C5</t>
        </is>
      </c>
      <c r="D326" s="16" t="inlineStr">
        <is>
          <t>https://www.muenchenstein.ch/_rte/abstimmung/42061</t>
        </is>
      </c>
      <c r="E326" s="12" t="inlineStr">
        <is>
          <t>Volksinitiative vom 18. November 2005 für demokratische Einbürgerungen</t>
        </is>
      </c>
      <c r="F326" s="12" t="inlineStr">
        <is>
          <t>nein</t>
        </is>
      </c>
      <c r="G326" s="12" t="inlineStr">
        <is>
          <t>https://www.muenchenstein.ch/abstimmungen/vorlagen</t>
        </is>
      </c>
      <c r="H326" s="12" t="inlineStr">
        <is>
          <t>Unterseite</t>
        </is>
      </c>
      <c r="I326" s="12" t="inlineStr">
        <is>
          <t>Nein</t>
        </is>
      </c>
      <c r="J326" s="12" t="inlineStr">
        <is>
          <t>Ungeprüft – nicht kuratiert</t>
        </is>
      </c>
    </row>
    <row r="327">
      <c r="A327" s="12" t="inlineStr">
        <is>
          <t>Münchenstein</t>
        </is>
      </c>
      <c r="B327" s="12" t="inlineStr">
        <is>
          <t>Basel-Landschaft</t>
        </is>
      </c>
      <c r="C327" s="12" t="inlineStr">
        <is>
          <t>C5</t>
        </is>
      </c>
      <c r="D327" s="16" t="inlineStr">
        <is>
          <t>https://www.muenchenstein.ch/_rte/abstimmung/42062</t>
        </is>
      </c>
      <c r="E327" s="12" t="inlineStr">
        <is>
          <t>Volksinitiative vom 11. August 2004 Volkssouveränität statt Behördenpropaganda</t>
        </is>
      </c>
      <c r="F327" s="12" t="inlineStr">
        <is>
          <t>nein</t>
        </is>
      </c>
      <c r="G327" s="12" t="inlineStr">
        <is>
          <t>https://www.muenchenstein.ch/abstimmungen/vorlagen</t>
        </is>
      </c>
      <c r="H327" s="12" t="inlineStr">
        <is>
          <t>Unterseite</t>
        </is>
      </c>
      <c r="I327" s="12" t="inlineStr">
        <is>
          <t>Nein</t>
        </is>
      </c>
      <c r="J327" s="12" t="inlineStr">
        <is>
          <t>Ungeprüft – nicht kuratiert</t>
        </is>
      </c>
    </row>
    <row r="328">
      <c r="A328" s="12" t="inlineStr">
        <is>
          <t>Münchenstein</t>
        </is>
      </c>
      <c r="B328" s="12" t="inlineStr">
        <is>
          <t>Basel-Landschaft</t>
        </is>
      </c>
      <c r="C328" s="12" t="inlineStr">
        <is>
          <t>C5</t>
        </is>
      </c>
      <c r="D328" s="16" t="inlineStr">
        <is>
          <t>https://www.muenchenstein.ch/_rte/abstimmung/42063</t>
        </is>
      </c>
      <c r="E328" s="12" t="inlineStr">
        <is>
          <t>Verfassungsartikel vom 21. Dezember 2007 für Qualität und Wirtschaftlichkeit in der Krankenversicherung</t>
        </is>
      </c>
      <c r="F328" s="12" t="inlineStr">
        <is>
          <t>nein</t>
        </is>
      </c>
      <c r="G328" s="12" t="inlineStr">
        <is>
          <t>https://www.muenchenstein.ch/abstimmungen/vorlagen</t>
        </is>
      </c>
      <c r="H328" s="12" t="inlineStr">
        <is>
          <t>Unterseite</t>
        </is>
      </c>
      <c r="I328" s="12" t="inlineStr">
        <is>
          <t>Nein</t>
        </is>
      </c>
      <c r="J328" s="12" t="inlineStr">
        <is>
          <t>Ungeprüft – nicht kuratiert</t>
        </is>
      </c>
    </row>
    <row r="329">
      <c r="A329" s="12" t="inlineStr">
        <is>
          <t>Münchenstein</t>
        </is>
      </c>
      <c r="B329" s="12" t="inlineStr">
        <is>
          <t>Basel-Landschaft</t>
        </is>
      </c>
      <c r="C329" s="12" t="inlineStr">
        <is>
          <t>C5</t>
        </is>
      </c>
      <c r="D329" s="16" t="inlineStr">
        <is>
          <t>https://www.muenchenstein.ch/_rte/abstimmung/42064</t>
        </is>
      </c>
      <c r="E329" s="12" t="inlineStr">
        <is>
          <t>Teilrevision vom 24. Januar 2008 des Gesetzes über die Verfassungs- und Verwaltungsprozessordnung</t>
        </is>
      </c>
      <c r="F329" s="12" t="inlineStr">
        <is>
          <t>nein</t>
        </is>
      </c>
      <c r="G329" s="12" t="inlineStr">
        <is>
          <t>https://www.muenchenstein.ch/abstimmungen/vorlagen</t>
        </is>
      </c>
      <c r="H329" s="12" t="inlineStr">
        <is>
          <t>Unterseite</t>
        </is>
      </c>
      <c r="I329" s="12" t="inlineStr">
        <is>
          <t>Nein</t>
        </is>
      </c>
      <c r="J329" s="12" t="inlineStr">
        <is>
          <t>Ungeprüft – nicht kuratiert</t>
        </is>
      </c>
    </row>
    <row r="330">
      <c r="A330" s="12" t="inlineStr">
        <is>
          <t>Münchenstein</t>
        </is>
      </c>
      <c r="B330" s="12" t="inlineStr">
        <is>
          <t>Basel-Landschaft</t>
        </is>
      </c>
      <c r="C330" s="12" t="inlineStr">
        <is>
          <t>C5</t>
        </is>
      </c>
      <c r="D330" s="16" t="inlineStr">
        <is>
          <t>https://www.muenchenstein.ch/_rte/abstimmung/42065</t>
        </is>
      </c>
      <c r="E330" s="12" t="inlineStr">
        <is>
          <t>Formulierte Gesetzesinitiative vom 15. Januar 2007 für die Abschaffung der Fachstelle für Gleichstellung von Mann und Frau</t>
        </is>
      </c>
      <c r="F330" s="12" t="inlineStr">
        <is>
          <t>nein</t>
        </is>
      </c>
      <c r="G330" s="12" t="inlineStr">
        <is>
          <t>https://www.muenchenstein.ch/abstimmungen/vorlagen</t>
        </is>
      </c>
      <c r="H330" s="12" t="inlineStr">
        <is>
          <t>Unterseite</t>
        </is>
      </c>
      <c r="I330" s="12" t="inlineStr">
        <is>
          <t>Nein</t>
        </is>
      </c>
      <c r="J330" s="12" t="inlineStr">
        <is>
          <t>Ungeprüft – nicht kuratiert</t>
        </is>
      </c>
    </row>
    <row r="331">
      <c r="A331" s="12" t="inlineStr">
        <is>
          <t>Münchenstein</t>
        </is>
      </c>
      <c r="B331" s="12" t="inlineStr">
        <is>
          <t>Basel-Landschaft</t>
        </is>
      </c>
      <c r="C331" s="12" t="inlineStr">
        <is>
          <t>C5</t>
        </is>
      </c>
      <c r="D331" s="16" t="inlineStr">
        <is>
          <t>https://www.muenchenstein.ch/_rte/abstimmung/43114</t>
        </is>
      </c>
      <c r="E331" s="12" t="inlineStr">
        <is>
          <t>Gegen Kampfjetlärm in Tourismusgebieten</t>
        </is>
      </c>
      <c r="F331" s="12" t="inlineStr">
        <is>
          <t>nein</t>
        </is>
      </c>
      <c r="G331" s="12" t="inlineStr">
        <is>
          <t>https://www.muenchenstein.ch/abstimmungen/vorlagen</t>
        </is>
      </c>
      <c r="H331" s="12" t="inlineStr">
        <is>
          <t>Unterseite</t>
        </is>
      </c>
      <c r="I331" s="12" t="inlineStr">
        <is>
          <t>Nein</t>
        </is>
      </c>
      <c r="J331" s="12" t="inlineStr">
        <is>
          <t>Ungeprüft – nicht kuratiert</t>
        </is>
      </c>
    </row>
    <row r="332">
      <c r="A332" s="12" t="inlineStr">
        <is>
          <t>Münchenstein</t>
        </is>
      </c>
      <c r="B332" s="12" t="inlineStr">
        <is>
          <t>Basel-Landschaft</t>
        </is>
      </c>
      <c r="C332" s="12" t="inlineStr">
        <is>
          <t>C5</t>
        </is>
      </c>
      <c r="D332" s="16" t="inlineStr">
        <is>
          <t>https://www.muenchenstein.ch/_rte/abstimmung/43115</t>
        </is>
      </c>
      <c r="E332" s="12" t="inlineStr">
        <is>
          <t>Unternehmenssteuerreformgesetz</t>
        </is>
      </c>
      <c r="F332" s="12" t="inlineStr">
        <is>
          <t>nein</t>
        </is>
      </c>
      <c r="G332" s="12" t="inlineStr">
        <is>
          <t>https://www.muenchenstein.ch/abstimmungen/vorlagen</t>
        </is>
      </c>
      <c r="H332" s="12" t="inlineStr">
        <is>
          <t>Unterseite</t>
        </is>
      </c>
      <c r="I332" s="12" t="inlineStr">
        <is>
          <t>Nein</t>
        </is>
      </c>
      <c r="J332" s="12" t="inlineStr">
        <is>
          <t>Ungeprüft – nicht kuratiert</t>
        </is>
      </c>
    </row>
    <row r="333">
      <c r="A333" s="12" t="inlineStr">
        <is>
          <t>Münchenstein</t>
        </is>
      </c>
      <c r="B333" s="12" t="inlineStr">
        <is>
          <t>Basel-Landschaft</t>
        </is>
      </c>
      <c r="C333" s="12" t="inlineStr">
        <is>
          <t>C5</t>
        </is>
      </c>
      <c r="D333" s="16" t="inlineStr">
        <is>
          <t>https://www.muenchenstein.ch/_rte/abstimmung/43116</t>
        </is>
      </c>
      <c r="E333" s="12" t="inlineStr">
        <is>
          <t>Defizitbremse</t>
        </is>
      </c>
      <c r="F333" s="12" t="inlineStr">
        <is>
          <t>nein</t>
        </is>
      </c>
      <c r="G333" s="12" t="inlineStr">
        <is>
          <t>https://www.muenchenstein.ch/abstimmungen/vorlagen</t>
        </is>
      </c>
      <c r="H333" s="12" t="inlineStr">
        <is>
          <t>Unterseite</t>
        </is>
      </c>
      <c r="I333" s="12" t="inlineStr">
        <is>
          <t>Nein</t>
        </is>
      </c>
      <c r="J333" s="12" t="inlineStr">
        <is>
          <t>Ungeprüft – nicht kuratiert</t>
        </is>
      </c>
    </row>
    <row r="334">
      <c r="A334" s="12" t="inlineStr">
        <is>
          <t>Münchenstein</t>
        </is>
      </c>
      <c r="B334" s="12" t="inlineStr">
        <is>
          <t>Basel-Landschaft</t>
        </is>
      </c>
      <c r="C334" s="12" t="inlineStr">
        <is>
          <t>C5</t>
        </is>
      </c>
      <c r="D334" s="16" t="inlineStr">
        <is>
          <t>https://www.muenchenstein.ch/_rte/abstimmung/44753</t>
        </is>
      </c>
      <c r="E334" s="12" t="inlineStr">
        <is>
          <t>Referendumsabstimmung Messezentrum Basel 2012</t>
        </is>
      </c>
      <c r="F334" s="12" t="inlineStr">
        <is>
          <t>nein</t>
        </is>
      </c>
      <c r="G334" s="12" t="inlineStr">
        <is>
          <t>https://www.muenchenstein.ch/abstimmungen/vorlagen</t>
        </is>
      </c>
      <c r="H334" s="12" t="inlineStr">
        <is>
          <t>Unterseite</t>
        </is>
      </c>
      <c r="I334" s="12" t="inlineStr">
        <is>
          <t>Nein</t>
        </is>
      </c>
      <c r="J334" s="12" t="inlineStr">
        <is>
          <t>Ungeprüft – nicht kuratiert</t>
        </is>
      </c>
    </row>
    <row r="335">
      <c r="A335" s="12" t="inlineStr">
        <is>
          <t>Münchenstein</t>
        </is>
      </c>
      <c r="B335" s="12" t="inlineStr">
        <is>
          <t>Basel-Landschaft</t>
        </is>
      </c>
      <c r="C335" s="12" t="inlineStr">
        <is>
          <t>C5</t>
        </is>
      </c>
      <c r="D335" s="16" t="inlineStr">
        <is>
          <t>https://www.muenchenstein.ch/_rte/abstimmung/44754</t>
        </is>
      </c>
      <c r="E335" s="12" t="inlineStr">
        <is>
          <t>ÖV Initiative</t>
        </is>
      </c>
      <c r="F335" s="12" t="inlineStr">
        <is>
          <t>nein</t>
        </is>
      </c>
      <c r="G335" s="12" t="inlineStr">
        <is>
          <t>https://www.muenchenstein.ch/abstimmungen/vorlagen</t>
        </is>
      </c>
      <c r="H335" s="12" t="inlineStr">
        <is>
          <t>Unterseite</t>
        </is>
      </c>
      <c r="I335" s="12" t="inlineStr">
        <is>
          <t>Nein</t>
        </is>
      </c>
      <c r="J335" s="12" t="inlineStr">
        <is>
          <t>Ungeprüft – nicht kuratiert</t>
        </is>
      </c>
    </row>
    <row r="336">
      <c r="A336" s="12" t="inlineStr">
        <is>
          <t>Münchenstein</t>
        </is>
      </c>
      <c r="B336" s="12" t="inlineStr">
        <is>
          <t>Basel-Landschaft</t>
        </is>
      </c>
      <c r="C336" s="12" t="inlineStr">
        <is>
          <t>C5</t>
        </is>
      </c>
      <c r="D336" s="16" t="inlineStr">
        <is>
          <t>https://www.muenchenstein.ch/_rte/abstimmung/50341</t>
        </is>
      </c>
      <c r="E336" s="12" t="inlineStr">
        <is>
          <t>Volksinitiative "Für die Unverjährbarkeit pornografischer Straftaten an Kindern"</t>
        </is>
      </c>
      <c r="F336" s="12" t="inlineStr">
        <is>
          <t>nein</t>
        </is>
      </c>
      <c r="G336" s="12" t="inlineStr">
        <is>
          <t>https://www.muenchenstein.ch/abstimmungen/vorlagen</t>
        </is>
      </c>
      <c r="H336" s="12" t="inlineStr">
        <is>
          <t>Unterseite</t>
        </is>
      </c>
      <c r="I336" s="12" t="inlineStr">
        <is>
          <t>Nein</t>
        </is>
      </c>
      <c r="J336" s="12" t="inlineStr">
        <is>
          <t>Ungeprüft – nicht kuratiert</t>
        </is>
      </c>
    </row>
    <row r="337">
      <c r="A337" s="12" t="inlineStr">
        <is>
          <t>Münchenstein</t>
        </is>
      </c>
      <c r="B337" s="12" t="inlineStr">
        <is>
          <t>Basel-Landschaft</t>
        </is>
      </c>
      <c r="C337" s="12" t="inlineStr">
        <is>
          <t>C5</t>
        </is>
      </c>
      <c r="D337" s="16" t="inlineStr">
        <is>
          <t>https://www.muenchenstein.ch/_rte/abstimmung/50342</t>
        </is>
      </c>
      <c r="E337" s="12" t="inlineStr">
        <is>
          <t>Volksinitiative "Für ein flexibles AHV-Alter"</t>
        </is>
      </c>
      <c r="F337" s="12" t="inlineStr">
        <is>
          <t>nein</t>
        </is>
      </c>
      <c r="G337" s="12" t="inlineStr">
        <is>
          <t>https://www.muenchenstein.ch/abstimmungen/vorlagen</t>
        </is>
      </c>
      <c r="H337" s="12" t="inlineStr">
        <is>
          <t>Unterseite</t>
        </is>
      </c>
      <c r="I337" s="12" t="inlineStr">
        <is>
          <t>Nein</t>
        </is>
      </c>
      <c r="J337" s="12" t="inlineStr">
        <is>
          <t>Ungeprüft – nicht kuratiert</t>
        </is>
      </c>
    </row>
    <row r="338">
      <c r="A338" s="12" t="inlineStr">
        <is>
          <t>Münchenstein</t>
        </is>
      </c>
      <c r="B338" s="12" t="inlineStr">
        <is>
          <t>Basel-Landschaft</t>
        </is>
      </c>
      <c r="C338" s="12" t="inlineStr">
        <is>
          <t>C5</t>
        </is>
      </c>
      <c r="D338" s="16" t="inlineStr">
        <is>
          <t>https://www.muenchenstein.ch/_rte/abstimmung/50343</t>
        </is>
      </c>
      <c r="E338" s="12" t="inlineStr">
        <is>
          <t>Volksinitiative "Verbandsbeschwerderecht: Schluss mit der Verhinderungspolitik - Mehr Wachstum für die Schweiz!"</t>
        </is>
      </c>
      <c r="F338" s="12" t="inlineStr">
        <is>
          <t>nein</t>
        </is>
      </c>
      <c r="G338" s="12" t="inlineStr">
        <is>
          <t>https://www.muenchenstein.ch/abstimmungen/vorlagen</t>
        </is>
      </c>
      <c r="H338" s="12" t="inlineStr">
        <is>
          <t>Unterseite</t>
        </is>
      </c>
      <c r="I338" s="12" t="inlineStr">
        <is>
          <t>Nein</t>
        </is>
      </c>
      <c r="J338" s="12" t="inlineStr">
        <is>
          <t>Ungeprüft – nicht kuratiert</t>
        </is>
      </c>
    </row>
    <row r="339">
      <c r="A339" s="12" t="inlineStr">
        <is>
          <t>Münchenstein</t>
        </is>
      </c>
      <c r="B339" s="12" t="inlineStr">
        <is>
          <t>Basel-Landschaft</t>
        </is>
      </c>
      <c r="C339" s="12" t="inlineStr">
        <is>
          <t>C5</t>
        </is>
      </c>
      <c r="D339" s="16" t="inlineStr">
        <is>
          <t>https://www.muenchenstein.ch/_rte/abstimmung/50344</t>
        </is>
      </c>
      <c r="E339" s="12" t="inlineStr">
        <is>
          <t>Hanfinitiative</t>
        </is>
      </c>
      <c r="F339" s="12" t="inlineStr">
        <is>
          <t>nein</t>
        </is>
      </c>
      <c r="G339" s="12" t="inlineStr">
        <is>
          <t>https://www.muenchenstein.ch/abstimmungen/vorlagen</t>
        </is>
      </c>
      <c r="H339" s="12" t="inlineStr">
        <is>
          <t>Unterseite</t>
        </is>
      </c>
      <c r="I339" s="12" t="inlineStr">
        <is>
          <t>Nein</t>
        </is>
      </c>
      <c r="J339" s="12" t="inlineStr">
        <is>
          <t>Ungeprüft – nicht kuratiert</t>
        </is>
      </c>
    </row>
    <row r="340">
      <c r="A340" s="12" t="inlineStr">
        <is>
          <t>Münchenstein</t>
        </is>
      </c>
      <c r="B340" s="12" t="inlineStr">
        <is>
          <t>Basel-Landschaft</t>
        </is>
      </c>
      <c r="C340" s="12" t="inlineStr">
        <is>
          <t>C5</t>
        </is>
      </c>
      <c r="D340" s="16" t="inlineStr">
        <is>
          <t>https://www.muenchenstein.ch/_rte/abstimmung/50345</t>
        </is>
      </c>
      <c r="E340" s="12" t="inlineStr">
        <is>
          <t>Betäubungsmittelgesetz</t>
        </is>
      </c>
      <c r="F340" s="12" t="inlineStr">
        <is>
          <t>nein</t>
        </is>
      </c>
      <c r="G340" s="12" t="inlineStr">
        <is>
          <t>https://www.muenchenstein.ch/abstimmungen/vorlagen</t>
        </is>
      </c>
      <c r="H340" s="12" t="inlineStr">
        <is>
          <t>Unterseite</t>
        </is>
      </c>
      <c r="I340" s="12" t="inlineStr">
        <is>
          <t>Nein</t>
        </is>
      </c>
      <c r="J340" s="12" t="inlineStr">
        <is>
          <t>Ungeprüft – nicht kuratiert</t>
        </is>
      </c>
    </row>
    <row r="341">
      <c r="A341" s="12" t="inlineStr">
        <is>
          <t>Münchenstein</t>
        </is>
      </c>
      <c r="B341" s="12" t="inlineStr">
        <is>
          <t>Basel-Landschaft</t>
        </is>
      </c>
      <c r="C341" s="12" t="inlineStr">
        <is>
          <t>C5</t>
        </is>
      </c>
      <c r="D341" s="16" t="inlineStr">
        <is>
          <t>https://www.muenchenstein.ch/_rte/abstimmung/50346</t>
        </is>
      </c>
      <c r="E341" s="12" t="inlineStr">
        <is>
          <t>Formulierte Verfassungsinitiative "Ja, Bildungsvielfalt für alle" und Änderung des Bildungsgesetzes (Gegenvorschlag)</t>
        </is>
      </c>
      <c r="F341" s="12" t="inlineStr">
        <is>
          <t>nein</t>
        </is>
      </c>
      <c r="G341" s="12" t="inlineStr">
        <is>
          <t>https://www.muenchenstein.ch/abstimmungen/vorlagen</t>
        </is>
      </c>
      <c r="H341" s="12" t="inlineStr">
        <is>
          <t>Unterseite</t>
        </is>
      </c>
      <c r="I341" s="12" t="inlineStr">
        <is>
          <t>Nein</t>
        </is>
      </c>
      <c r="J341" s="12" t="inlineStr">
        <is>
          <t>Ungeprüft – nicht kuratiert</t>
        </is>
      </c>
    </row>
    <row r="342">
      <c r="A342" s="12" t="inlineStr">
        <is>
          <t>Münchenstein</t>
        </is>
      </c>
      <c r="B342" s="12" t="inlineStr">
        <is>
          <t>Basel-Landschaft</t>
        </is>
      </c>
      <c r="C342" s="12" t="inlineStr">
        <is>
          <t>C5</t>
        </is>
      </c>
      <c r="D342" s="16" t="inlineStr">
        <is>
          <t>https://www.muenchenstein.ch/_rte/abstimmung/52386</t>
        </is>
      </c>
      <c r="E342" s="12" t="inlineStr">
        <is>
          <t>Personenfreizügigkeit Schweiz-EU: Weiterführung des Abkommens und Ausdehnung auf Bulgarien und Rumänien</t>
        </is>
      </c>
      <c r="F342" s="12" t="inlineStr">
        <is>
          <t>nein</t>
        </is>
      </c>
      <c r="G342" s="12" t="inlineStr">
        <is>
          <t>https://www.muenchenstein.ch/abstimmungen/vorlagen</t>
        </is>
      </c>
      <c r="H342" s="12" t="inlineStr">
        <is>
          <t>Unterseite</t>
        </is>
      </c>
      <c r="I342" s="12" t="inlineStr">
        <is>
          <t>Nein</t>
        </is>
      </c>
      <c r="J342" s="12" t="inlineStr">
        <is>
          <t>Ungeprüft – nicht kuratiert</t>
        </is>
      </c>
    </row>
    <row r="343">
      <c r="A343" s="12" t="inlineStr">
        <is>
          <t>Münchenstein</t>
        </is>
      </c>
      <c r="B343" s="12" t="inlineStr">
        <is>
          <t>Basel-Landschaft</t>
        </is>
      </c>
      <c r="C343" s="12" t="inlineStr">
        <is>
          <t>C5</t>
        </is>
      </c>
      <c r="D343" s="16" t="inlineStr">
        <is>
          <t>https://www.muenchenstein.ch/_rte/abstimmung/63663</t>
        </is>
      </c>
      <c r="E343" s="12" t="inlineStr">
        <is>
          <t>Bundesbeschluss vom 13. Juni 2008 über eine befristete Zusatzfinanzierung der Invalidenvesicherung durch Anhebung der Mehrwertsteuersätze</t>
        </is>
      </c>
      <c r="F343" s="12" t="inlineStr">
        <is>
          <t>nein</t>
        </is>
      </c>
      <c r="G343" s="12" t="inlineStr">
        <is>
          <t>https://www.muenchenstein.ch/abstimmungen/vorlagen</t>
        </is>
      </c>
      <c r="H343" s="12" t="inlineStr">
        <is>
          <t>Unterseite</t>
        </is>
      </c>
      <c r="I343" s="12" t="inlineStr">
        <is>
          <t>Nein</t>
        </is>
      </c>
      <c r="J343" s="12" t="inlineStr">
        <is>
          <t>Ungeprüft – nicht kuratiert</t>
        </is>
      </c>
    </row>
    <row r="344">
      <c r="A344" s="12" t="inlineStr">
        <is>
          <t>Münchenstein</t>
        </is>
      </c>
      <c r="B344" s="12" t="inlineStr">
        <is>
          <t>Basel-Landschaft</t>
        </is>
      </c>
      <c r="C344" s="12" t="inlineStr">
        <is>
          <t>C5</t>
        </is>
      </c>
      <c r="D344" s="16" t="inlineStr">
        <is>
          <t>https://www.muenchenstein.ch/_rte/abstimmung/63664</t>
        </is>
      </c>
      <c r="E344" s="12" t="inlineStr">
        <is>
          <t>Bundesbeschluss vom 19. Dezember 2008 über den Verzicht auf die Einführung der allgemeinen Volksinitiative</t>
        </is>
      </c>
      <c r="F344" s="12" t="inlineStr">
        <is>
          <t>nein</t>
        </is>
      </c>
      <c r="G344" s="12" t="inlineStr">
        <is>
          <t>https://www.muenchenstein.ch/abstimmungen/vorlagen</t>
        </is>
      </c>
      <c r="H344" s="12" t="inlineStr">
        <is>
          <t>Unterseite</t>
        </is>
      </c>
      <c r="I344" s="12" t="inlineStr">
        <is>
          <t>Nein</t>
        </is>
      </c>
      <c r="J344" s="12" t="inlineStr">
        <is>
          <t>Ungeprüft – nicht kuratiert</t>
        </is>
      </c>
    </row>
    <row r="345">
      <c r="A345" s="12" t="inlineStr">
        <is>
          <t>Münchenstein</t>
        </is>
      </c>
      <c r="B345" s="12" t="inlineStr">
        <is>
          <t>Basel-Landschaft</t>
        </is>
      </c>
      <c r="C345" s="12" t="inlineStr">
        <is>
          <t>C5</t>
        </is>
      </c>
      <c r="D345" s="16" t="inlineStr">
        <is>
          <t>https://www.muenchenstein.ch/_rte/abstimmung/63665</t>
        </is>
      </c>
      <c r="E345" s="12" t="inlineStr">
        <is>
          <t>Änderung vom 7. Mai 2009 des Gesetzes über die Erbschafts- und Schenkungssteuer</t>
        </is>
      </c>
      <c r="F345" s="12" t="inlineStr">
        <is>
          <t>nein</t>
        </is>
      </c>
      <c r="G345" s="12" t="inlineStr">
        <is>
          <t>https://www.muenchenstein.ch/abstimmungen/vorlagen</t>
        </is>
      </c>
      <c r="H345" s="12" t="inlineStr">
        <is>
          <t>Unterseite</t>
        </is>
      </c>
      <c r="I345" s="12" t="inlineStr">
        <is>
          <t>Nein</t>
        </is>
      </c>
      <c r="J345" s="12" t="inlineStr">
        <is>
          <t>Ungeprüft – nicht kuratiert</t>
        </is>
      </c>
    </row>
    <row r="346">
      <c r="A346" s="12" t="inlineStr">
        <is>
          <t>Münchenstein</t>
        </is>
      </c>
      <c r="B346" s="12" t="inlineStr">
        <is>
          <t>Basel-Landschaft</t>
        </is>
      </c>
      <c r="C346" s="12" t="inlineStr">
        <is>
          <t>C5</t>
        </is>
      </c>
      <c r="D346" s="16" t="inlineStr">
        <is>
          <t>https://www.muenchenstein.ch/_rte/abstimmung/63666</t>
        </is>
      </c>
      <c r="E346" s="12" t="inlineStr">
        <is>
          <t>Änderung vom 25. Juni 2009 des Gesetzes über die Staats- und Gemeindesteuer (Unternehmenssteuerreform II)</t>
        </is>
      </c>
      <c r="F346" s="12" t="inlineStr">
        <is>
          <t>nein</t>
        </is>
      </c>
      <c r="G346" s="12" t="inlineStr">
        <is>
          <t>https://www.muenchenstein.ch/abstimmungen/vorlagen</t>
        </is>
      </c>
      <c r="H346" s="12" t="inlineStr">
        <is>
          <t>Unterseite</t>
        </is>
      </c>
      <c r="I346" s="12" t="inlineStr">
        <is>
          <t>Nein</t>
        </is>
      </c>
      <c r="J346" s="12" t="inlineStr">
        <is>
          <t>Ungeprüft – nicht kuratiert</t>
        </is>
      </c>
    </row>
    <row r="347">
      <c r="A347" s="12" t="inlineStr">
        <is>
          <t>Münchenstein</t>
        </is>
      </c>
      <c r="B347" s="12" t="inlineStr">
        <is>
          <t>Basel-Landschaft</t>
        </is>
      </c>
      <c r="C347" s="12" t="inlineStr">
        <is>
          <t>C5</t>
        </is>
      </c>
      <c r="D347" s="16" t="inlineStr">
        <is>
          <t>https://www.muenchenstein.ch/_rte/abstimmung/63667</t>
        </is>
      </c>
      <c r="E347" s="12" t="inlineStr">
        <is>
          <t>Ersatzwahl des Schulrates</t>
        </is>
      </c>
      <c r="F347" s="12" t="inlineStr">
        <is>
          <t>nein</t>
        </is>
      </c>
      <c r="G347" s="12" t="inlineStr">
        <is>
          <t>https://www.muenchenstein.ch/abstimmungen/vorlagen</t>
        </is>
      </c>
      <c r="H347" s="12" t="inlineStr">
        <is>
          <t>Unterseite</t>
        </is>
      </c>
      <c r="I347" s="12" t="inlineStr">
        <is>
          <t>Nein</t>
        </is>
      </c>
      <c r="J347" s="12" t="inlineStr">
        <is>
          <t>Ungeprüft – nicht kuratiert</t>
        </is>
      </c>
    </row>
    <row r="348">
      <c r="A348" s="12" t="inlineStr">
        <is>
          <t>Münchenstein</t>
        </is>
      </c>
      <c r="B348" s="12" t="inlineStr">
        <is>
          <t>Basel-Landschaft</t>
        </is>
      </c>
      <c r="C348" s="12" t="inlineStr">
        <is>
          <t>C5</t>
        </is>
      </c>
      <c r="D348" s="16" t="inlineStr">
        <is>
          <t>https://www.muenchenstein.ch/_rte/abstimmung/64992</t>
        </is>
      </c>
      <c r="E348" s="12" t="inlineStr">
        <is>
          <t>Bundesbeschluss vom 3. Oktober 2008 zur Schaffung einer Spezialfinanzierung für Aufgaben im Luftverkehr</t>
        </is>
      </c>
      <c r="F348" s="12" t="inlineStr">
        <is>
          <t>nein</t>
        </is>
      </c>
      <c r="G348" s="12" t="inlineStr">
        <is>
          <t>https://www.muenchenstein.ch/abstimmungen/vorlagen</t>
        </is>
      </c>
      <c r="H348" s="12" t="inlineStr">
        <is>
          <t>Unterseite</t>
        </is>
      </c>
      <c r="I348" s="12" t="inlineStr">
        <is>
          <t>Nein</t>
        </is>
      </c>
      <c r="J348" s="12" t="inlineStr">
        <is>
          <t>Ungeprüft – nicht kuratiert</t>
        </is>
      </c>
    </row>
    <row r="349">
      <c r="A349" s="12" t="inlineStr">
        <is>
          <t>Münchenstein</t>
        </is>
      </c>
      <c r="B349" s="12" t="inlineStr">
        <is>
          <t>Basel-Landschaft</t>
        </is>
      </c>
      <c r="C349" s="12" t="inlineStr">
        <is>
          <t>C5</t>
        </is>
      </c>
      <c r="D349" s="16" t="inlineStr">
        <is>
          <t>https://www.muenchenstein.ch/_rte/abstimmung/64993</t>
        </is>
      </c>
      <c r="E349" s="12" t="inlineStr">
        <is>
          <t>Volksinitiative "Für ein Verbot von Kriegsmaterial-Exporten"</t>
        </is>
      </c>
      <c r="F349" s="12" t="inlineStr">
        <is>
          <t>nein</t>
        </is>
      </c>
      <c r="G349" s="12" t="inlineStr">
        <is>
          <t>https://www.muenchenstein.ch/abstimmungen/vorlagen</t>
        </is>
      </c>
      <c r="H349" s="12" t="inlineStr">
        <is>
          <t>Unterseite</t>
        </is>
      </c>
      <c r="I349" s="12" t="inlineStr">
        <is>
          <t>Nein</t>
        </is>
      </c>
      <c r="J349" s="12" t="inlineStr">
        <is>
          <t>Ungeprüft – nicht kuratiert</t>
        </is>
      </c>
    </row>
    <row r="350">
      <c r="A350" s="12" t="inlineStr">
        <is>
          <t>Münchenstein</t>
        </is>
      </c>
      <c r="B350" s="12" t="inlineStr">
        <is>
          <t>Basel-Landschaft</t>
        </is>
      </c>
      <c r="C350" s="12" t="inlineStr">
        <is>
          <t>C5</t>
        </is>
      </c>
      <c r="D350" s="16" t="inlineStr">
        <is>
          <t>https://www.muenchenstein.ch/_rte/abstimmung/64994</t>
        </is>
      </c>
      <c r="E350" s="12" t="inlineStr">
        <is>
          <t>Volksinitiative "Gegen den Bau von Minaretten"</t>
        </is>
      </c>
      <c r="F350" s="12" t="inlineStr">
        <is>
          <t>nein</t>
        </is>
      </c>
      <c r="G350" s="12" t="inlineStr">
        <is>
          <t>https://www.muenchenstein.ch/abstimmungen/vorlagen</t>
        </is>
      </c>
      <c r="H350" s="12" t="inlineStr">
        <is>
          <t>Unterseite</t>
        </is>
      </c>
      <c r="I350" s="12" t="inlineStr">
        <is>
          <t>Nein</t>
        </is>
      </c>
      <c r="J350" s="12" t="inlineStr">
        <is>
          <t>Ungeprüft – nicht kuratiert</t>
        </is>
      </c>
    </row>
    <row r="351">
      <c r="A351" s="12" t="inlineStr">
        <is>
          <t>Münchenstein</t>
        </is>
      </c>
      <c r="B351" s="12" t="inlineStr">
        <is>
          <t>Basel-Landschaft</t>
        </is>
      </c>
      <c r="C351" s="12" t="inlineStr">
        <is>
          <t>C5</t>
        </is>
      </c>
      <c r="D351" s="16" t="inlineStr">
        <is>
          <t>https://www.muenchenstein.ch/_rte/abstimmung/64995</t>
        </is>
      </c>
      <c r="E351" s="12" t="inlineStr">
        <is>
          <t>Landratsbeschluss vom 24. September 2009 über den Beitritt zum Konkordat über Massnahmen gegen Gewalt anlässlich von Sportveranstaltungen</t>
        </is>
      </c>
      <c r="F351" s="12" t="inlineStr">
        <is>
          <t>nein</t>
        </is>
      </c>
      <c r="G351" s="12" t="inlineStr">
        <is>
          <t>https://www.muenchenstein.ch/abstimmungen/vorlagen</t>
        </is>
      </c>
      <c r="H351" s="12" t="inlineStr">
        <is>
          <t>Unterseite</t>
        </is>
      </c>
      <c r="I351" s="12" t="inlineStr">
        <is>
          <t>Nein</t>
        </is>
      </c>
      <c r="J351" s="12" t="inlineStr">
        <is>
          <t>Ungeprüft – nicht kuratiert</t>
        </is>
      </c>
    </row>
    <row r="352">
      <c r="A352" s="12" t="inlineStr">
        <is>
          <t>Münchenstein</t>
        </is>
      </c>
      <c r="B352" s="12" t="inlineStr">
        <is>
          <t>Basel-Landschaft</t>
        </is>
      </c>
      <c r="C352" s="12" t="inlineStr">
        <is>
          <t>C5</t>
        </is>
      </c>
      <c r="D352" s="16" t="inlineStr">
        <is>
          <t>https://www.muenchenstein.ch/_rte/abstimmung/64996</t>
        </is>
      </c>
      <c r="E352" s="12" t="inlineStr">
        <is>
          <t>Änderung vom 24. September 2009 des Polizeigesetzes</t>
        </is>
      </c>
      <c r="F352" s="12" t="inlineStr">
        <is>
          <t>nein</t>
        </is>
      </c>
      <c r="G352" s="12" t="inlineStr">
        <is>
          <t>https://www.muenchenstein.ch/abstimmungen/vorlagen</t>
        </is>
      </c>
      <c r="H352" s="12" t="inlineStr">
        <is>
          <t>Unterseite</t>
        </is>
      </c>
      <c r="I352" s="12" t="inlineStr">
        <is>
          <t>Nein</t>
        </is>
      </c>
      <c r="J352" s="12" t="inlineStr">
        <is>
          <t>Ungeprüft – nicht kuratiert</t>
        </is>
      </c>
    </row>
    <row r="353">
      <c r="A353" s="12" t="inlineStr">
        <is>
          <t>Münchenstein</t>
        </is>
      </c>
      <c r="B353" s="12" t="inlineStr">
        <is>
          <t>Basel-Landschaft</t>
        </is>
      </c>
      <c r="C353" s="12" t="inlineStr">
        <is>
          <t>C5</t>
        </is>
      </c>
      <c r="D353" s="16" t="inlineStr">
        <is>
          <t>https://www.muenchenstein.ch/_rte/abstimmung/64997</t>
        </is>
      </c>
      <c r="E353" s="12" t="inlineStr">
        <is>
          <t>Wahl von 18 Mitgliedern des Bezirksgerichts Arlesheim für die Amtsperiode vom 1. April 2010 bis 31. März 2014</t>
        </is>
      </c>
      <c r="F353" s="12" t="inlineStr">
        <is>
          <t>nein</t>
        </is>
      </c>
      <c r="G353" s="12" t="inlineStr">
        <is>
          <t>https://www.muenchenstein.ch/abstimmungen/vorlagen</t>
        </is>
      </c>
      <c r="H353" s="12" t="inlineStr">
        <is>
          <t>Unterseite</t>
        </is>
      </c>
      <c r="I353" s="12" t="inlineStr">
        <is>
          <t>Nein</t>
        </is>
      </c>
      <c r="J353" s="12" t="inlineStr">
        <is>
          <t>Ungeprüft – nicht kuratiert</t>
        </is>
      </c>
    </row>
    <row r="354">
      <c r="A354" s="12" t="inlineStr">
        <is>
          <t>Münchenstein</t>
        </is>
      </c>
      <c r="B354" s="12" t="inlineStr">
        <is>
          <t>Basel-Landschaft</t>
        </is>
      </c>
      <c r="C354" s="12" t="inlineStr">
        <is>
          <t>C5</t>
        </is>
      </c>
      <c r="D354" s="16" t="inlineStr">
        <is>
          <t>https://www.muenchenstein.ch/_rte/abstimmung/68451</t>
        </is>
      </c>
      <c r="E354" s="12" t="inlineStr">
        <is>
          <t>Bundesbeschluss vom 25. September 2009 zu einem Verfassungsartikel über die Forschung am Menschen</t>
        </is>
      </c>
      <c r="F354" s="12" t="inlineStr">
        <is>
          <t>nein</t>
        </is>
      </c>
      <c r="G354" s="12" t="inlineStr">
        <is>
          <t>https://www.muenchenstein.ch/abstimmungen/vorlagen</t>
        </is>
      </c>
      <c r="H354" s="12" t="inlineStr">
        <is>
          <t>Unterseite</t>
        </is>
      </c>
      <c r="I354" s="12" t="inlineStr">
        <is>
          <t>Nein</t>
        </is>
      </c>
      <c r="J354" s="12" t="inlineStr">
        <is>
          <t>Ungeprüft – nicht kuratiert</t>
        </is>
      </c>
    </row>
    <row r="355">
      <c r="A355" s="12" t="inlineStr">
        <is>
          <t>Münchenstein</t>
        </is>
      </c>
      <c r="B355" s="12" t="inlineStr">
        <is>
          <t>Basel-Landschaft</t>
        </is>
      </c>
      <c r="C355" s="12" t="inlineStr">
        <is>
          <t>C5</t>
        </is>
      </c>
      <c r="D355" s="16" t="inlineStr">
        <is>
          <t>https://www.muenchenstein.ch/_rte/abstimmung/68452</t>
        </is>
      </c>
      <c r="E355" s="12" t="inlineStr">
        <is>
          <t>Tierschutzanwalt-Initiative</t>
        </is>
      </c>
      <c r="F355" s="12" t="inlineStr">
        <is>
          <t>nein</t>
        </is>
      </c>
      <c r="G355" s="12" t="inlineStr">
        <is>
          <t>https://www.muenchenstein.ch/abstimmungen/vorlagen</t>
        </is>
      </c>
      <c r="H355" s="12" t="inlineStr">
        <is>
          <t>Unterseite</t>
        </is>
      </c>
      <c r="I355" s="12" t="inlineStr">
        <is>
          <t>Nein</t>
        </is>
      </c>
      <c r="J355" s="12" t="inlineStr">
        <is>
          <t>Ungeprüft – nicht kuratiert</t>
        </is>
      </c>
    </row>
    <row r="356">
      <c r="A356" s="12" t="inlineStr">
        <is>
          <t>Münchenstein</t>
        </is>
      </c>
      <c r="B356" s="12" t="inlineStr">
        <is>
          <t>Basel-Landschaft</t>
        </is>
      </c>
      <c r="C356" s="12" t="inlineStr">
        <is>
          <t>C5</t>
        </is>
      </c>
      <c r="D356" s="16" t="inlineStr">
        <is>
          <t>https://www.muenchenstein.ch/_rte/abstimmung/68454</t>
        </is>
      </c>
      <c r="E356" s="12" t="inlineStr">
        <is>
          <t>Teilrevision vom 9. Dezember 2009 des Gastgewerbegeseetzes / Verbesserung des Jugendschutzes in Bezug auf die Abgabe von alkoholischen Getränken</t>
        </is>
      </c>
      <c r="F356" s="12" t="inlineStr">
        <is>
          <t>nein</t>
        </is>
      </c>
      <c r="G356" s="12" t="inlineStr">
        <is>
          <t>https://www.muenchenstein.ch/abstimmungen/vorlagen</t>
        </is>
      </c>
      <c r="H356" s="12" t="inlineStr">
        <is>
          <t>Unterseite</t>
        </is>
      </c>
      <c r="I356" s="12" t="inlineStr">
        <is>
          <t>Nein</t>
        </is>
      </c>
      <c r="J356" s="12" t="inlineStr">
        <is>
          <t>Ungeprüft – nicht kuratiert</t>
        </is>
      </c>
    </row>
    <row r="357">
      <c r="A357" s="12" t="inlineStr">
        <is>
          <t>Münchenstein</t>
        </is>
      </c>
      <c r="B357" s="12" t="inlineStr">
        <is>
          <t>Basel-Landschaft</t>
        </is>
      </c>
      <c r="C357" s="12" t="inlineStr">
        <is>
          <t>C5</t>
        </is>
      </c>
      <c r="D357" s="16" t="inlineStr">
        <is>
          <t>https://www.muenchenstein.ch/_rte/abstimmung/71582</t>
        </is>
      </c>
      <c r="E357" s="12" t="inlineStr">
        <is>
          <t>Nichtformulierte Volksinitiative vom 27. Februar 2008 "Verantwortliche Basler Chemie- und Pharmafirmen müssen Trinkwasseruntersuchung und -aufbereitung bezahlen"</t>
        </is>
      </c>
      <c r="F357" s="12" t="inlineStr">
        <is>
          <t>nein</t>
        </is>
      </c>
      <c r="G357" s="12" t="inlineStr">
        <is>
          <t>https://www.muenchenstein.ch/abstimmungen/vorlagen</t>
        </is>
      </c>
      <c r="H357" s="12" t="inlineStr">
        <is>
          <t>Unterseite</t>
        </is>
      </c>
      <c r="I357" s="12" t="inlineStr">
        <is>
          <t>Nein</t>
        </is>
      </c>
      <c r="J357" s="12" t="inlineStr">
        <is>
          <t>Ungeprüft – nicht kuratiert</t>
        </is>
      </c>
    </row>
    <row r="358">
      <c r="A358" s="12" t="inlineStr">
        <is>
          <t>Münchenstein</t>
        </is>
      </c>
      <c r="B358" s="12" t="inlineStr">
        <is>
          <t>Basel-Landschaft</t>
        </is>
      </c>
      <c r="C358" s="12" t="inlineStr">
        <is>
          <t>C5</t>
        </is>
      </c>
      <c r="D358" s="16" t="inlineStr">
        <is>
          <t>https://www.muenchenstein.ch/_rte/abstimmung/71583</t>
        </is>
      </c>
      <c r="E358" s="12" t="inlineStr">
        <is>
          <t xml:space="preserve">Nichtformulierte Volksinitiative vom 27. Februar 2008 "Totalsanierung der Chemiemülldeponien in Muttenz" und der nichtformulierte Gegenvorschlag des Landrates vom 15. April 2010 zur nichtformulierten </t>
        </is>
      </c>
      <c r="F358" s="12" t="inlineStr">
        <is>
          <t>nein</t>
        </is>
      </c>
      <c r="G358" s="12" t="inlineStr">
        <is>
          <t>https://www.muenchenstein.ch/abstimmungen/vorlagen</t>
        </is>
      </c>
      <c r="H358" s="12" t="inlineStr">
        <is>
          <t>Unterseite</t>
        </is>
      </c>
      <c r="I358" s="12" t="inlineStr">
        <is>
          <t>Nein</t>
        </is>
      </c>
      <c r="J358" s="12" t="inlineStr">
        <is>
          <t>Ungeprüft – nicht kuratiert</t>
        </is>
      </c>
    </row>
    <row r="359">
      <c r="A359" s="12" t="inlineStr">
        <is>
          <t>Münchenstein</t>
        </is>
      </c>
      <c r="B359" s="12" t="inlineStr">
        <is>
          <t>Basel-Landschaft</t>
        </is>
      </c>
      <c r="C359" s="12" t="inlineStr">
        <is>
          <t>C5</t>
        </is>
      </c>
      <c r="D359" s="16" t="inlineStr">
        <is>
          <t>https://www.muenchenstein.ch/_rte/abstimmung/74434</t>
        </is>
      </c>
      <c r="E359" s="12" t="inlineStr">
        <is>
          <t>Abstimmungsresultate vom 26.09.2010</t>
        </is>
      </c>
      <c r="F359" s="12" t="inlineStr">
        <is>
          <t>nein</t>
        </is>
      </c>
      <c r="G359" s="12" t="inlineStr">
        <is>
          <t>https://www.muenchenstein.ch/abstimmungen/vorlagen</t>
        </is>
      </c>
      <c r="H359" s="12" t="inlineStr">
        <is>
          <t>Unterseite</t>
        </is>
      </c>
      <c r="I359" s="12" t="inlineStr">
        <is>
          <t>Nein</t>
        </is>
      </c>
      <c r="J359" s="12" t="inlineStr">
        <is>
          <t>Ungeprüft – nicht kuratiert</t>
        </is>
      </c>
    </row>
    <row r="360">
      <c r="A360" s="12" t="inlineStr">
        <is>
          <t>Münchenstein</t>
        </is>
      </c>
      <c r="B360" s="12" t="inlineStr">
        <is>
          <t>Basel-Landschaft</t>
        </is>
      </c>
      <c r="C360" s="12" t="inlineStr">
        <is>
          <t>C5</t>
        </is>
      </c>
      <c r="D360" s="16" t="inlineStr">
        <is>
          <t>https://www.muenchenstein.ch/_rte/abstimmung/76970</t>
        </is>
      </c>
      <c r="E360" s="12" t="inlineStr">
        <is>
          <t>Ausschaffungsinitiative</t>
        </is>
      </c>
      <c r="F360" s="12" t="inlineStr">
        <is>
          <t>nein</t>
        </is>
      </c>
      <c r="G360" s="12" t="inlineStr">
        <is>
          <t>https://www.muenchenstein.ch/abstimmungen/vorlagen</t>
        </is>
      </c>
      <c r="H360" s="12" t="inlineStr">
        <is>
          <t>Unterseite</t>
        </is>
      </c>
      <c r="I360" s="12" t="inlineStr">
        <is>
          <t>Nein</t>
        </is>
      </c>
      <c r="J360" s="12" t="inlineStr">
        <is>
          <t>Ungeprüft – nicht kuratiert</t>
        </is>
      </c>
    </row>
    <row r="361">
      <c r="A361" s="12" t="inlineStr">
        <is>
          <t>Münchenstein</t>
        </is>
      </c>
      <c r="B361" s="12" t="inlineStr">
        <is>
          <t>Basel-Landschaft</t>
        </is>
      </c>
      <c r="C361" s="12" t="inlineStr">
        <is>
          <t>C5</t>
        </is>
      </c>
      <c r="D361" s="16" t="inlineStr">
        <is>
          <t>https://www.muenchenstein.ch/_rte/abstimmung/76971</t>
        </is>
      </c>
      <c r="E361" s="12" t="inlineStr">
        <is>
          <t>Steuergerechtigkeits-Initiative</t>
        </is>
      </c>
      <c r="F361" s="12" t="inlineStr">
        <is>
          <t>nein</t>
        </is>
      </c>
      <c r="G361" s="12" t="inlineStr">
        <is>
          <t>https://www.muenchenstein.ch/abstimmungen/vorlagen</t>
        </is>
      </c>
      <c r="H361" s="12" t="inlineStr">
        <is>
          <t>Unterseite</t>
        </is>
      </c>
      <c r="I361" s="12" t="inlineStr">
        <is>
          <t>Nein</t>
        </is>
      </c>
      <c r="J361" s="12" t="inlineStr">
        <is>
          <t>Ungeprüft – nicht kuratiert</t>
        </is>
      </c>
    </row>
    <row r="362">
      <c r="A362" s="12" t="inlineStr">
        <is>
          <t>Münchenstein</t>
        </is>
      </c>
      <c r="B362" s="12" t="inlineStr">
        <is>
          <t>Basel-Landschaft</t>
        </is>
      </c>
      <c r="C362" s="12" t="inlineStr">
        <is>
          <t>C5</t>
        </is>
      </c>
      <c r="D362" s="16" t="inlineStr">
        <is>
          <t>https://www.muenchenstein.ch/_rte/abstimmung/76972</t>
        </is>
      </c>
      <c r="E362" s="12" t="inlineStr">
        <is>
          <t>Änderung der Kantonsverfassung (§ 85 Absatz 1 Buchstabe e ) zum Wechsel der richterlichen Überprüfungsbehörde betreffend Polizeigewahrsam für Gewalttäter und Gewalttäterinnen anlässlich von Sportveran</t>
        </is>
      </c>
      <c r="F362" s="12" t="inlineStr">
        <is>
          <t>nein</t>
        </is>
      </c>
      <c r="G362" s="12" t="inlineStr">
        <is>
          <t>https://www.muenchenstein.ch/abstimmungen/vorlagen</t>
        </is>
      </c>
      <c r="H362" s="12" t="inlineStr">
        <is>
          <t>Unterseite</t>
        </is>
      </c>
      <c r="I362" s="12" t="inlineStr">
        <is>
          <t>Nein</t>
        </is>
      </c>
      <c r="J362" s="12" t="inlineStr">
        <is>
          <t>Ungeprüft – nicht kuratiert</t>
        </is>
      </c>
    </row>
    <row r="363">
      <c r="A363" s="12" t="inlineStr">
        <is>
          <t>Münchenstein</t>
        </is>
      </c>
      <c r="B363" s="12" t="inlineStr">
        <is>
          <t>Basel-Landschaft</t>
        </is>
      </c>
      <c r="C363" s="12" t="inlineStr">
        <is>
          <t>C5</t>
        </is>
      </c>
      <c r="D363" s="16" t="inlineStr">
        <is>
          <t>https://www.muenchenstein.ch/_rte/abstimmung/79353</t>
        </is>
      </c>
      <c r="E363" s="12" t="inlineStr">
        <is>
          <t>Für den Schutz vor Waffengewalt</t>
        </is>
      </c>
      <c r="F363" s="12" t="inlineStr">
        <is>
          <t>nein</t>
        </is>
      </c>
      <c r="G363" s="12" t="inlineStr">
        <is>
          <t>https://www.muenchenstein.ch/abstimmungen/vorlagen</t>
        </is>
      </c>
      <c r="H363" s="12" t="inlineStr">
        <is>
          <t>Unterseite</t>
        </is>
      </c>
      <c r="I363" s="12" t="inlineStr">
        <is>
          <t>Nein</t>
        </is>
      </c>
      <c r="J363" s="12" t="inlineStr">
        <is>
          <t>Ungeprüft – nicht kuratiert</t>
        </is>
      </c>
    </row>
    <row r="364">
      <c r="A364" s="12" t="inlineStr">
        <is>
          <t>Münchenstein</t>
        </is>
      </c>
      <c r="B364" s="12" t="inlineStr">
        <is>
          <t>Basel-Landschaft</t>
        </is>
      </c>
      <c r="C364" s="12" t="inlineStr">
        <is>
          <t>C5</t>
        </is>
      </c>
      <c r="D364" s="16" t="inlineStr">
        <is>
          <t>https://www.muenchenstein.ch/_rte/abstimmung/79354</t>
        </is>
      </c>
      <c r="E364" s="12" t="inlineStr">
        <is>
          <t>Landratsbeschluss vom 23.09.2010 betreffend Subvention der Theatergenossenschaft Basel (Theater Basel) für die Spielzeit 2011/12 - 2014/15</t>
        </is>
      </c>
      <c r="F364" s="12" t="inlineStr">
        <is>
          <t>nein</t>
        </is>
      </c>
      <c r="G364" s="12" t="inlineStr">
        <is>
          <t>https://www.muenchenstein.ch/abstimmungen/vorlagen</t>
        </is>
      </c>
      <c r="H364" s="12" t="inlineStr">
        <is>
          <t>Unterseite</t>
        </is>
      </c>
      <c r="I364" s="12" t="inlineStr">
        <is>
          <t>Nein</t>
        </is>
      </c>
      <c r="J364" s="12" t="inlineStr">
        <is>
          <t>Ungeprüft – nicht kuratiert</t>
        </is>
      </c>
    </row>
    <row r="365">
      <c r="A365" s="12" t="inlineStr">
        <is>
          <t>Münchenstein</t>
        </is>
      </c>
      <c r="B365" s="12" t="inlineStr">
        <is>
          <t>Basel-Landschaft</t>
        </is>
      </c>
      <c r="C365" s="12" t="inlineStr">
        <is>
          <t>C5</t>
        </is>
      </c>
      <c r="D365" s="16" t="inlineStr">
        <is>
          <t>https://www.muenchenstein.ch/_rte/abstimmung/80793</t>
        </is>
      </c>
      <c r="E365" s="12" t="inlineStr">
        <is>
          <t>Regierungs- und Landratswahlen 27.03.2011</t>
        </is>
      </c>
      <c r="F365" s="12" t="inlineStr">
        <is>
          <t>nein</t>
        </is>
      </c>
      <c r="G365" s="12" t="inlineStr">
        <is>
          <t>https://www.muenchenstein.ch/abstimmungen/vorlagen</t>
        </is>
      </c>
      <c r="H365" s="12" t="inlineStr">
        <is>
          <t>Unterseite</t>
        </is>
      </c>
      <c r="I365" s="12" t="inlineStr">
        <is>
          <t>Nein</t>
        </is>
      </c>
      <c r="J365" s="12" t="inlineStr">
        <is>
          <t>Ungeprüft – nicht kuratiert</t>
        </is>
      </c>
    </row>
    <row r="366">
      <c r="A366" s="12" t="inlineStr">
        <is>
          <t>Münchenstein</t>
        </is>
      </c>
      <c r="B366" s="12" t="inlineStr">
        <is>
          <t>Basel-Landschaft</t>
        </is>
      </c>
      <c r="C366" s="12" t="inlineStr">
        <is>
          <t>C5</t>
        </is>
      </c>
      <c r="D366" s="16" t="inlineStr">
        <is>
          <t>https://www.muenchenstein.ch/_rte/abstimmung/87351</t>
        </is>
      </c>
      <c r="E366" s="12" t="inlineStr">
        <is>
          <t>.</t>
        </is>
      </c>
      <c r="F366" s="12" t="inlineStr">
        <is>
          <t>nein</t>
        </is>
      </c>
      <c r="G366" s="12" t="inlineStr">
        <is>
          <t>https://www.muenchenstein.ch/abstimmungen/vorlagen</t>
        </is>
      </c>
      <c r="H366" s="12" t="inlineStr">
        <is>
          <t>Unterseite</t>
        </is>
      </c>
      <c r="I366" s="12" t="inlineStr">
        <is>
          <t>Nein</t>
        </is>
      </c>
      <c r="J366" s="12" t="inlineStr">
        <is>
          <t>Ungeprüft – nicht kuratiert</t>
        </is>
      </c>
    </row>
    <row r="367">
      <c r="A367" s="12" t="inlineStr">
        <is>
          <t>Münchenstein</t>
        </is>
      </c>
      <c r="B367" s="12" t="inlineStr">
        <is>
          <t>Basel-Landschaft</t>
        </is>
      </c>
      <c r="C367" s="12" t="inlineStr">
        <is>
          <t>C5</t>
        </is>
      </c>
      <c r="D367" s="16" t="inlineStr">
        <is>
          <t>https://www.muenchenstein.ch/_rte/abstimmung/89368</t>
        </is>
      </c>
      <c r="E367" s="12" t="inlineStr">
        <is>
          <t>Änderung Bildungsgesetz</t>
        </is>
      </c>
      <c r="F367" s="12" t="inlineStr">
        <is>
          <t>nein</t>
        </is>
      </c>
      <c r="G367" s="12" t="inlineStr">
        <is>
          <t>https://www.muenchenstein.ch/abstimmungen/vorlagen</t>
        </is>
      </c>
      <c r="H367" s="12" t="inlineStr">
        <is>
          <t>Unterseite</t>
        </is>
      </c>
      <c r="I367" s="12" t="inlineStr">
        <is>
          <t>Nein</t>
        </is>
      </c>
      <c r="J367" s="12" t="inlineStr">
        <is>
          <t>Ungeprüft – nicht kuratiert</t>
        </is>
      </c>
    </row>
    <row r="368">
      <c r="A368" s="12" t="inlineStr">
        <is>
          <t>Münchenstein</t>
        </is>
      </c>
      <c r="B368" s="12" t="inlineStr">
        <is>
          <t>Basel-Landschaft</t>
        </is>
      </c>
      <c r="C368" s="12" t="inlineStr">
        <is>
          <t>C5</t>
        </is>
      </c>
      <c r="D368" s="16" t="inlineStr">
        <is>
          <t>https://www.muenchenstein.ch/_rte/abstimmung/89369</t>
        </is>
      </c>
      <c r="E368" s="12" t="inlineStr">
        <is>
          <t>Steuergesetz</t>
        </is>
      </c>
      <c r="F368" s="12" t="inlineStr">
        <is>
          <t>nein</t>
        </is>
      </c>
      <c r="G368" s="12" t="inlineStr">
        <is>
          <t>https://www.muenchenstein.ch/abstimmungen/vorlagen</t>
        </is>
      </c>
      <c r="H368" s="12" t="inlineStr">
        <is>
          <t>Unterseite</t>
        </is>
      </c>
      <c r="I368" s="12" t="inlineStr">
        <is>
          <t>Nein</t>
        </is>
      </c>
      <c r="J368" s="12" t="inlineStr">
        <is>
          <t>Ungeprüft – nicht kuratiert</t>
        </is>
      </c>
    </row>
    <row r="369">
      <c r="A369" s="12" t="inlineStr">
        <is>
          <t>Münchenstein</t>
        </is>
      </c>
      <c r="B369" s="12" t="inlineStr">
        <is>
          <t>Basel-Landschaft</t>
        </is>
      </c>
      <c r="C369" s="12" t="inlineStr">
        <is>
          <t>C5</t>
        </is>
      </c>
      <c r="D369" s="16" t="inlineStr">
        <is>
          <t>https://www.muenchenstein.ch/_rte/abstimmung/89370</t>
        </is>
      </c>
      <c r="E369" s="12" t="inlineStr">
        <is>
          <t>Öffentlichkeit von Verhandlungen</t>
        </is>
      </c>
      <c r="F369" s="12" t="inlineStr">
        <is>
          <t>nein</t>
        </is>
      </c>
      <c r="G369" s="12" t="inlineStr">
        <is>
          <t>https://www.muenchenstein.ch/abstimmungen/vorlagen</t>
        </is>
      </c>
      <c r="H369" s="12" t="inlineStr">
        <is>
          <t>Unterseite</t>
        </is>
      </c>
      <c r="I369" s="12" t="inlineStr">
        <is>
          <t>Nein</t>
        </is>
      </c>
      <c r="J369" s="12" t="inlineStr">
        <is>
          <t>Ungeprüft – nicht kuratiert</t>
        </is>
      </c>
    </row>
    <row r="370">
      <c r="A370" s="12" t="inlineStr">
        <is>
          <t>Münchenstein</t>
        </is>
      </c>
      <c r="B370" s="12" t="inlineStr">
        <is>
          <t>Basel-Landschaft</t>
        </is>
      </c>
      <c r="C370" s="12" t="inlineStr">
        <is>
          <t>C5</t>
        </is>
      </c>
      <c r="D370" s="16" t="inlineStr">
        <is>
          <t>https://www.muenchenstein.ch/_rte/abstimmung/89371</t>
        </is>
      </c>
      <c r="E370" s="12" t="inlineStr">
        <is>
          <t>Gemeindefusionen</t>
        </is>
      </c>
      <c r="F370" s="12" t="inlineStr">
        <is>
          <t>nein</t>
        </is>
      </c>
      <c r="G370" s="12" t="inlineStr">
        <is>
          <t>https://www.muenchenstein.ch/abstimmungen/vorlagen</t>
        </is>
      </c>
      <c r="H370" s="12" t="inlineStr">
        <is>
          <t>Unterseite</t>
        </is>
      </c>
      <c r="I370" s="12" t="inlineStr">
        <is>
          <t>Nein</t>
        </is>
      </c>
      <c r="J370" s="12" t="inlineStr">
        <is>
          <t>Ungeprüft – nicht kuratiert</t>
        </is>
      </c>
    </row>
    <row r="371">
      <c r="A371" s="12" t="inlineStr">
        <is>
          <t>Münchenstein</t>
        </is>
      </c>
      <c r="B371" s="12" t="inlineStr">
        <is>
          <t>Basel-Landschaft</t>
        </is>
      </c>
      <c r="C371" s="12" t="inlineStr">
        <is>
          <t>C5</t>
        </is>
      </c>
      <c r="D371" s="16" t="inlineStr">
        <is>
          <t>https://www.muenchenstein.ch/_rte/abstimmung/95007</t>
        </is>
      </c>
      <c r="E371" s="12" t="inlineStr">
        <is>
          <t>Bundesbeschluss vom 3. Oktober 2008 "Zukunft mit Komplementärmedizin"</t>
        </is>
      </c>
      <c r="F371" s="12" t="inlineStr">
        <is>
          <t>nein</t>
        </is>
      </c>
      <c r="G371" s="12" t="inlineStr">
        <is>
          <t>https://www.muenchenstein.ch/abstimmungen/vorlagen</t>
        </is>
      </c>
      <c r="H371" s="12" t="inlineStr">
        <is>
          <t>Unterseite</t>
        </is>
      </c>
      <c r="I371" s="12" t="inlineStr">
        <is>
          <t>Nein</t>
        </is>
      </c>
      <c r="J371" s="12" t="inlineStr">
        <is>
          <t>Ungeprüft – nicht kuratiert</t>
        </is>
      </c>
    </row>
    <row r="372">
      <c r="A372" s="12" t="inlineStr">
        <is>
          <t>Münchenstein</t>
        </is>
      </c>
      <c r="B372" s="12" t="inlineStr">
        <is>
          <t>Basel-Landschaft</t>
        </is>
      </c>
      <c r="C372" s="12" t="inlineStr">
        <is>
          <t>C5</t>
        </is>
      </c>
      <c r="D372" s="16" t="inlineStr">
        <is>
          <t>https://www.muenchenstein.ch/_rte/abstimmung/95008</t>
        </is>
      </c>
      <c r="E372" s="12" t="inlineStr">
        <is>
          <t>Biometrische Pässe und Reisedokumente</t>
        </is>
      </c>
      <c r="F372" s="12" t="inlineStr">
        <is>
          <t>nein</t>
        </is>
      </c>
      <c r="G372" s="12" t="inlineStr">
        <is>
          <t>https://www.muenchenstein.ch/abstimmungen/vorlagen</t>
        </is>
      </c>
      <c r="H372" s="12" t="inlineStr">
        <is>
          <t>Unterseite</t>
        </is>
      </c>
      <c r="I372" s="12" t="inlineStr">
        <is>
          <t>Nein</t>
        </is>
      </c>
      <c r="J372" s="12" t="inlineStr">
        <is>
          <t>Ungeprüft – nicht kuratiert</t>
        </is>
      </c>
    </row>
    <row r="373">
      <c r="A373" s="12" t="inlineStr">
        <is>
          <t>Münchenstein</t>
        </is>
      </c>
      <c r="B373" s="12" t="inlineStr">
        <is>
          <t>Basel-Landschaft</t>
        </is>
      </c>
      <c r="C373" s="12" t="inlineStr">
        <is>
          <t>C5</t>
        </is>
      </c>
      <c r="D373" s="16" t="inlineStr">
        <is>
          <t>https://www.muenchenstein.ch/_rte/abstimmung/95009</t>
        </is>
      </c>
      <c r="E373" s="12" t="inlineStr">
        <is>
          <t>EG StPO</t>
        </is>
      </c>
      <c r="F373" s="12" t="inlineStr">
        <is>
          <t>nein</t>
        </is>
      </c>
      <c r="G373" s="12" t="inlineStr">
        <is>
          <t>https://www.muenchenstein.ch/abstimmungen/vorlagen</t>
        </is>
      </c>
      <c r="H373" s="12" t="inlineStr">
        <is>
          <t>Unterseite</t>
        </is>
      </c>
      <c r="I373" s="12" t="inlineStr">
        <is>
          <t>Nein</t>
        </is>
      </c>
      <c r="J373" s="12" t="inlineStr">
        <is>
          <t>Ungeprüft – nicht kuratiert</t>
        </is>
      </c>
    </row>
    <row r="374">
      <c r="A374" s="12" t="inlineStr">
        <is>
          <t>Münchenstein</t>
        </is>
      </c>
      <c r="B374" s="12" t="inlineStr">
        <is>
          <t>Basel-Landschaft</t>
        </is>
      </c>
      <c r="C374" s="12" t="inlineStr">
        <is>
          <t>C5</t>
        </is>
      </c>
      <c r="D374" s="16" t="inlineStr">
        <is>
          <t>https://www.muenchenstein.ch/_rte/abstimmung/95010</t>
        </is>
      </c>
      <c r="E374" s="12" t="inlineStr">
        <is>
          <t>Kantonsverfassung</t>
        </is>
      </c>
      <c r="F374" s="12" t="inlineStr">
        <is>
          <t>nein</t>
        </is>
      </c>
      <c r="G374" s="12" t="inlineStr">
        <is>
          <t>https://www.muenchenstein.ch/abstimmungen/vorlagen</t>
        </is>
      </c>
      <c r="H374" s="12" t="inlineStr">
        <is>
          <t>Unterseite</t>
        </is>
      </c>
      <c r="I374" s="12" t="inlineStr">
        <is>
          <t>Nein</t>
        </is>
      </c>
      <c r="J374" s="12" t="inlineStr">
        <is>
          <t>Ungeprüft – nicht kuratiert</t>
        </is>
      </c>
    </row>
    <row r="375">
      <c r="A375" s="12" t="inlineStr">
        <is>
          <t>Münchenstein</t>
        </is>
      </c>
      <c r="B375" s="12" t="inlineStr">
        <is>
          <t>Basel-Landschaft</t>
        </is>
      </c>
      <c r="C375" s="12" t="inlineStr">
        <is>
          <t>C5</t>
        </is>
      </c>
      <c r="D375" s="16" t="inlineStr">
        <is>
          <t>https://www.muenchenstein.ch/_rte/abstimmung/95011</t>
        </is>
      </c>
      <c r="E375" s="12" t="inlineStr">
        <is>
          <t>Schutz vor Passivrauchen</t>
        </is>
      </c>
      <c r="F375" s="12" t="inlineStr">
        <is>
          <t>nein</t>
        </is>
      </c>
      <c r="G375" s="12" t="inlineStr">
        <is>
          <t>https://www.muenchenstein.ch/abstimmungen/vorlagen</t>
        </is>
      </c>
      <c r="H375" s="12" t="inlineStr">
        <is>
          <t>Unterseite</t>
        </is>
      </c>
      <c r="I375" s="12" t="inlineStr">
        <is>
          <t>Nein</t>
        </is>
      </c>
      <c r="J375" s="12" t="inlineStr">
        <is>
          <t>Ungeprüft – nicht kuratiert</t>
        </is>
      </c>
    </row>
    <row r="376">
      <c r="A376" s="12" t="inlineStr">
        <is>
          <t>Münchenstein</t>
        </is>
      </c>
      <c r="B376" s="12" t="inlineStr">
        <is>
          <t>Basel-Landschaft</t>
        </is>
      </c>
      <c r="C376" s="12" t="inlineStr">
        <is>
          <t>C5</t>
        </is>
      </c>
      <c r="D376" s="16" t="inlineStr">
        <is>
          <t>https://www.muenchenstein.ch/_rte/abstimmung/97018</t>
        </is>
      </c>
      <c r="E376" s="12" t="inlineStr">
        <is>
          <t>Volksinitiative Schluss mit uferlosem Bau von Zweitwohnungen</t>
        </is>
      </c>
      <c r="F376" s="12" t="inlineStr">
        <is>
          <t>nein</t>
        </is>
      </c>
      <c r="G376" s="12" t="inlineStr">
        <is>
          <t>https://www.muenchenstein.ch/abstimmungen/vorlagen</t>
        </is>
      </c>
      <c r="H376" s="12" t="inlineStr">
        <is>
          <t>Unterseite</t>
        </is>
      </c>
      <c r="I376" s="12" t="inlineStr">
        <is>
          <t>Nein</t>
        </is>
      </c>
      <c r="J376" s="12" t="inlineStr">
        <is>
          <t>Ungeprüft – nicht kuratiert</t>
        </is>
      </c>
    </row>
    <row r="377">
      <c r="A377" s="12" t="inlineStr">
        <is>
          <t>Münchenstein</t>
        </is>
      </c>
      <c r="B377" s="12" t="inlineStr">
        <is>
          <t>Basel-Landschaft</t>
        </is>
      </c>
      <c r="C377" s="12" t="inlineStr">
        <is>
          <t>C5</t>
        </is>
      </c>
      <c r="D377" s="16" t="inlineStr">
        <is>
          <t>https://www.muenchenstein.ch/_rte/abstimmung/97019</t>
        </is>
      </c>
      <c r="E377" s="12" t="inlineStr">
        <is>
          <t>Bauspar-Initiative</t>
        </is>
      </c>
      <c r="F377" s="12" t="inlineStr">
        <is>
          <t>nein</t>
        </is>
      </c>
      <c r="G377" s="12" t="inlineStr">
        <is>
          <t>https://www.muenchenstein.ch/abstimmungen/vorlagen</t>
        </is>
      </c>
      <c r="H377" s="12" t="inlineStr">
        <is>
          <t>Unterseite</t>
        </is>
      </c>
      <c r="I377" s="12" t="inlineStr">
        <is>
          <t>Nein</t>
        </is>
      </c>
      <c r="J377" s="12" t="inlineStr">
        <is>
          <t>Ungeprüft – nicht kuratiert</t>
        </is>
      </c>
    </row>
    <row r="378">
      <c r="A378" s="12" t="inlineStr">
        <is>
          <t>Münchenstein</t>
        </is>
      </c>
      <c r="B378" s="12" t="inlineStr">
        <is>
          <t>Basel-Landschaft</t>
        </is>
      </c>
      <c r="C378" s="12" t="inlineStr">
        <is>
          <t>C5</t>
        </is>
      </c>
      <c r="D378" s="16" t="inlineStr">
        <is>
          <t>https://www.muenchenstein.ch/_rte/abstimmung/97020</t>
        </is>
      </c>
      <c r="E378" s="12" t="inlineStr">
        <is>
          <t>Volksinitiative 6 Wochen Ferien für alle</t>
        </is>
      </c>
      <c r="F378" s="12" t="inlineStr">
        <is>
          <t>nein</t>
        </is>
      </c>
      <c r="G378" s="12" t="inlineStr">
        <is>
          <t>https://www.muenchenstein.ch/abstimmungen/vorlagen</t>
        </is>
      </c>
      <c r="H378" s="12" t="inlineStr">
        <is>
          <t>Unterseite</t>
        </is>
      </c>
      <c r="I378" s="12" t="inlineStr">
        <is>
          <t>Nein</t>
        </is>
      </c>
      <c r="J378" s="12" t="inlineStr">
        <is>
          <t>Ungeprüft – nicht kuratiert</t>
        </is>
      </c>
    </row>
    <row r="379">
      <c r="A379" s="12" t="inlineStr">
        <is>
          <t>Münchenstein</t>
        </is>
      </c>
      <c r="B379" s="12" t="inlineStr">
        <is>
          <t>Basel-Landschaft</t>
        </is>
      </c>
      <c r="C379" s="12" t="inlineStr">
        <is>
          <t>C5</t>
        </is>
      </c>
      <c r="D379" s="16" t="inlineStr">
        <is>
          <t>https://www.muenchenstein.ch/_rte/abstimmung/97021</t>
        </is>
      </c>
      <c r="E379" s="12" t="inlineStr">
        <is>
          <t>Bundesbeschluss vom 29. September 2011 über die Regelung der Geldspiele zugunsten gemeinnütziger Zwecke</t>
        </is>
      </c>
      <c r="F379" s="12" t="inlineStr">
        <is>
          <t>nein</t>
        </is>
      </c>
      <c r="G379" s="12" t="inlineStr">
        <is>
          <t>https://www.muenchenstein.ch/abstimmungen/vorlagen</t>
        </is>
      </c>
      <c r="H379" s="12" t="inlineStr">
        <is>
          <t>Unterseite</t>
        </is>
      </c>
      <c r="I379" s="12" t="inlineStr">
        <is>
          <t>Nein</t>
        </is>
      </c>
      <c r="J379" s="12" t="inlineStr">
        <is>
          <t>Ungeprüft – nicht kuratiert</t>
        </is>
      </c>
    </row>
    <row r="380">
      <c r="A380" s="12" t="inlineStr">
        <is>
          <t>Münchenstein</t>
        </is>
      </c>
      <c r="B380" s="12" t="inlineStr">
        <is>
          <t>Basel-Landschaft</t>
        </is>
      </c>
      <c r="C380" s="12" t="inlineStr">
        <is>
          <t>C5</t>
        </is>
      </c>
      <c r="D380" s="16" t="inlineStr">
        <is>
          <t>https://www.muenchenstein.ch/_rte/abstimmung/97022</t>
        </is>
      </c>
      <c r="E380" s="12" t="inlineStr">
        <is>
          <t>Bundesgesetz vom 18. März 2011 über die Buchpreisbindung</t>
        </is>
      </c>
      <c r="F380" s="12" t="inlineStr">
        <is>
          <t>nein</t>
        </is>
      </c>
      <c r="G380" s="12" t="inlineStr">
        <is>
          <t>https://www.muenchenstein.ch/abstimmungen/vorlagen</t>
        </is>
      </c>
      <c r="H380" s="12" t="inlineStr">
        <is>
          <t>Unterseite</t>
        </is>
      </c>
      <c r="I380" s="12" t="inlineStr">
        <is>
          <t>Nein</t>
        </is>
      </c>
      <c r="J380" s="12" t="inlineStr">
        <is>
          <t>Ungeprüft – nicht kuratiert</t>
        </is>
      </c>
    </row>
    <row r="381">
      <c r="A381" s="12" t="inlineStr">
        <is>
          <t>Münchenstein</t>
        </is>
      </c>
      <c r="B381" s="12" t="inlineStr">
        <is>
          <t>Basel-Landschaft</t>
        </is>
      </c>
      <c r="C381" s="12" t="inlineStr">
        <is>
          <t>C5</t>
        </is>
      </c>
      <c r="D381" s="16" t="inlineStr">
        <is>
          <t>https://www.muenchenstein.ch/_rte/abstimmung/97023</t>
        </is>
      </c>
      <c r="E381" s="12" t="inlineStr">
        <is>
          <t>Revision des Spitalgesetzes vom 17. November 2011</t>
        </is>
      </c>
      <c r="F381" s="12" t="inlineStr">
        <is>
          <t>nein</t>
        </is>
      </c>
      <c r="G381" s="12" t="inlineStr">
        <is>
          <t>https://www.muenchenstein.ch/abstimmungen/vorlagen</t>
        </is>
      </c>
      <c r="H381" s="12" t="inlineStr">
        <is>
          <t>Unterseite</t>
        </is>
      </c>
      <c r="I381" s="12" t="inlineStr">
        <is>
          <t>Nein</t>
        </is>
      </c>
      <c r="J381" s="12" t="inlineStr">
        <is>
          <t>Ungeprüft – nicht kuratiert</t>
        </is>
      </c>
    </row>
    <row r="382">
      <c r="A382" s="12" t="inlineStr">
        <is>
          <t>Münchenstein</t>
        </is>
      </c>
      <c r="B382" s="12" t="inlineStr">
        <is>
          <t>Basel-Landschaft</t>
        </is>
      </c>
      <c r="C382" s="12" t="inlineStr">
        <is>
          <t>C5</t>
        </is>
      </c>
      <c r="D382" s="16" t="inlineStr">
        <is>
          <t>https://www.muenchenstein.ch/_rte/abstimmung/97024</t>
        </is>
      </c>
      <c r="E382" s="12" t="inlineStr">
        <is>
          <t>Gesetz über die familienergänzende Kinderbetreuung im Frühbereich vom 15. Dezember 2011</t>
        </is>
      </c>
      <c r="F382" s="12" t="inlineStr">
        <is>
          <t>nein</t>
        </is>
      </c>
      <c r="G382" s="12" t="inlineStr">
        <is>
          <t>https://www.muenchenstein.ch/abstimmungen/vorlagen</t>
        </is>
      </c>
      <c r="H382" s="12" t="inlineStr">
        <is>
          <t>Unterseite</t>
        </is>
      </c>
      <c r="I382" s="12" t="inlineStr">
        <is>
          <t>Nein</t>
        </is>
      </c>
      <c r="J382" s="12" t="inlineStr">
        <is>
          <t>Ungeprüft – nicht kuratiert</t>
        </is>
      </c>
    </row>
    <row r="383">
      <c r="A383" s="12" t="inlineStr">
        <is>
          <t>Münchenstein</t>
        </is>
      </c>
      <c r="B383" s="12" t="inlineStr">
        <is>
          <t>Basel-Landschaft</t>
        </is>
      </c>
      <c r="C383" s="12" t="inlineStr">
        <is>
          <t>C5</t>
        </is>
      </c>
      <c r="D383" s="16" t="inlineStr">
        <is>
          <t>https://www.muenchenstein.ch/_rte/wahl/15979</t>
        </is>
      </c>
      <c r="E383" s="12" t="inlineStr">
        <is>
          <t>Wahl der Gemeindekommission</t>
        </is>
      </c>
      <c r="F383" s="12" t="inlineStr">
        <is>
          <t>nein</t>
        </is>
      </c>
      <c r="G383" s="12" t="inlineStr">
        <is>
          <t>https://www.muenchenstein.ch/abstimmungen/vorlagen</t>
        </is>
      </c>
      <c r="H383" s="12" t="inlineStr">
        <is>
          <t>Unterseite</t>
        </is>
      </c>
      <c r="I383" s="12" t="inlineStr">
        <is>
          <t>Nein</t>
        </is>
      </c>
      <c r="J383" s="12" t="inlineStr">
        <is>
          <t>Ungeprüft – nicht kuratiert</t>
        </is>
      </c>
    </row>
    <row r="384">
      <c r="A384" s="12" t="inlineStr">
        <is>
          <t>Münchenstein</t>
        </is>
      </c>
      <c r="B384" s="12" t="inlineStr">
        <is>
          <t>Basel-Landschaft</t>
        </is>
      </c>
      <c r="C384" s="12" t="inlineStr">
        <is>
          <t>C5</t>
        </is>
      </c>
      <c r="D384" s="16" t="inlineStr">
        <is>
          <t>https://www.muenchenstein.ch/_rte/wahl/6628</t>
        </is>
      </c>
      <c r="E384" s="12" t="inlineStr">
        <is>
          <t>Wahl der Gemeindekommission</t>
        </is>
      </c>
      <c r="F384" s="12" t="inlineStr">
        <is>
          <t>nein</t>
        </is>
      </c>
      <c r="G384" s="12" t="inlineStr">
        <is>
          <t>https://www.muenchenstein.ch/abstimmungen/vorlagen</t>
        </is>
      </c>
      <c r="H384" s="12" t="inlineStr">
        <is>
          <t>Unterseite</t>
        </is>
      </c>
      <c r="I384" s="12" t="inlineStr">
        <is>
          <t>Nein</t>
        </is>
      </c>
      <c r="J384" s="12" t="inlineStr">
        <is>
          <t>Ungeprüft – nicht kuratiert</t>
        </is>
      </c>
    </row>
    <row r="385">
      <c r="A385" s="12" t="inlineStr">
        <is>
          <t>Münchenstein</t>
        </is>
      </c>
      <c r="B385" s="12" t="inlineStr">
        <is>
          <t>Basel-Landschaft</t>
        </is>
      </c>
      <c r="C385" s="12" t="inlineStr">
        <is>
          <t>C5</t>
        </is>
      </c>
      <c r="D385" s="16" t="inlineStr">
        <is>
          <t>https://www.muenchenstein.ch/_rte/wahl/916</t>
        </is>
      </c>
      <c r="E385" s="12" t="inlineStr">
        <is>
          <t>Wahl der Gemeindekommission</t>
        </is>
      </c>
      <c r="F385" s="12" t="inlineStr">
        <is>
          <t>nein</t>
        </is>
      </c>
      <c r="G385" s="12" t="inlineStr">
        <is>
          <t>https://www.muenchenstein.ch/abstimmungen/vorlagen</t>
        </is>
      </c>
      <c r="H385" s="12" t="inlineStr">
        <is>
          <t>Unterseite</t>
        </is>
      </c>
      <c r="I385" s="12" t="inlineStr">
        <is>
          <t>Nein</t>
        </is>
      </c>
      <c r="J385" s="12" t="inlineStr">
        <is>
          <t>Ungeprüft – nicht kuratiert</t>
        </is>
      </c>
    </row>
    <row r="386">
      <c r="A386" s="12" t="inlineStr">
        <is>
          <t>Münchenstein</t>
        </is>
      </c>
      <c r="B386" s="12" t="inlineStr">
        <is>
          <t>Basel-Landschaft</t>
        </is>
      </c>
      <c r="C386" s="12" t="inlineStr">
        <is>
          <t>C5</t>
        </is>
      </c>
      <c r="D386" s="16" t="inlineStr">
        <is>
          <t>https://www.muenchenstein.ch/_rtr/publikation_524374</t>
        </is>
      </c>
      <c r="E386" s="12" t="inlineStr">
        <is>
          <t>Legislaturziele 2024 - 2028</t>
        </is>
      </c>
      <c r="F386" s="12" t="inlineStr">
        <is>
          <t>nein</t>
        </is>
      </c>
      <c r="G386" s="12" t="inlineStr">
        <is>
          <t>https://www.muenchenstein.ch/legislaturziele</t>
        </is>
      </c>
      <c r="H386" s="12" t="inlineStr">
        <is>
          <t>Einstiegsseite</t>
        </is>
      </c>
      <c r="I386" s="12" t="inlineStr">
        <is>
          <t>Nein</t>
        </is>
      </c>
      <c r="J386" s="12" t="inlineStr">
        <is>
          <t>Ungeprüft – nicht kuratiert</t>
        </is>
      </c>
    </row>
    <row r="387">
      <c r="A387" s="12" t="inlineStr">
        <is>
          <t>Münchenstein</t>
        </is>
      </c>
      <c r="B387" s="12" t="inlineStr">
        <is>
          <t>Basel-Landschaft</t>
        </is>
      </c>
      <c r="C387" s="12" t="inlineStr">
        <is>
          <t>C5</t>
        </is>
      </c>
      <c r="D387" s="16" t="inlineStr">
        <is>
          <t>https://www.muenchenstein.ch/_rtr/sitzung.list</t>
        </is>
      </c>
      <c r="E387" s="12" t="inlineStr">
        <is>
          <t>Gemeindeversammlung</t>
        </is>
      </c>
      <c r="F387" s="12" t="inlineStr">
        <is>
          <t>nein</t>
        </is>
      </c>
      <c r="G387" s="12" t="inlineStr">
        <is>
          <t>https://www.muenchenstein.ch/organisationuorganigramm</t>
        </is>
      </c>
      <c r="H387" s="12" t="inlineStr">
        <is>
          <t>Unterseite</t>
        </is>
      </c>
      <c r="I387" s="12" t="inlineStr">
        <is>
          <t>Nein</t>
        </is>
      </c>
      <c r="J387" s="12" t="inlineStr">
        <is>
          <t>Ungeprüft – nicht kuratiert</t>
        </is>
      </c>
    </row>
    <row r="388">
      <c r="A388" s="12" t="inlineStr">
        <is>
          <t>Münchenstein</t>
        </is>
      </c>
      <c r="B388" s="12" t="inlineStr">
        <is>
          <t>Basel-Landschaft</t>
        </is>
      </c>
      <c r="C388" s="12" t="inlineStr">
        <is>
          <t>C5</t>
        </is>
      </c>
      <c r="D388" s="16" t="inlineStr">
        <is>
          <t>https://www.muenchenstein.ch/abstimmungen</t>
        </is>
      </c>
      <c r="E388" s="12" t="inlineStr">
        <is>
          <t>Wahlen und Abstimmungen</t>
        </is>
      </c>
      <c r="F388" s="12" t="inlineStr">
        <is>
          <t>nein</t>
        </is>
      </c>
      <c r="G388" s="12" t="inlineStr">
        <is>
          <t>https://www.muenchenstein.ch/publikationen/621658</t>
        </is>
      </c>
      <c r="H388" s="12" t="inlineStr">
        <is>
          <t>Einstiegsseite</t>
        </is>
      </c>
      <c r="I388" s="12" t="inlineStr">
        <is>
          <t>Nein</t>
        </is>
      </c>
      <c r="J388" s="12" t="inlineStr">
        <is>
          <t>Ungeprüft – nicht kuratiert</t>
        </is>
      </c>
    </row>
    <row r="389">
      <c r="A389" s="12" t="inlineStr">
        <is>
          <t>Münchenstein</t>
        </is>
      </c>
      <c r="B389" s="12" t="inlineStr">
        <is>
          <t>Basel-Landschaft</t>
        </is>
      </c>
      <c r="C389" s="12" t="inlineStr">
        <is>
          <t>C5</t>
        </is>
      </c>
      <c r="D389" s="16" t="inlineStr">
        <is>
          <t>https://www.muenchenstein.ch/abstimmungen/vorlagen</t>
        </is>
      </c>
      <c r="E389" s="12" t="inlineStr">
        <is>
          <t>Archiv / Suche</t>
        </is>
      </c>
      <c r="F389" s="12" t="inlineStr">
        <is>
          <t>nein</t>
        </is>
      </c>
      <c r="G389" s="12" t="inlineStr">
        <is>
          <t>https://www.muenchenstein.ch/publikationen/621658</t>
        </is>
      </c>
      <c r="H389" s="12" t="inlineStr">
        <is>
          <t>Einstiegsseite</t>
        </is>
      </c>
      <c r="I389" s="12" t="inlineStr">
        <is>
          <t>Nein</t>
        </is>
      </c>
      <c r="J389" s="12" t="inlineStr">
        <is>
          <t>Ungeprüft – nicht kuratiert</t>
        </is>
      </c>
    </row>
    <row r="390">
      <c r="A390" s="12" t="inlineStr">
        <is>
          <t>Münchenstein</t>
        </is>
      </c>
      <c r="B390" s="12" t="inlineStr">
        <is>
          <t>Basel-Landschaft</t>
        </is>
      </c>
      <c r="C390" s="12" t="inlineStr">
        <is>
          <t>C5</t>
        </is>
      </c>
      <c r="D390" s="16" t="inlineStr">
        <is>
          <t>https://www.muenchenstein.ch/archivgemeindeversammlung</t>
        </is>
      </c>
      <c r="E390" s="12" t="inlineStr">
        <is>
          <t>Archiv</t>
        </is>
      </c>
      <c r="F390" s="12" t="inlineStr">
        <is>
          <t>nein</t>
        </is>
      </c>
      <c r="G390" s="12" t="inlineStr">
        <is>
          <t>https://www.muenchenstein.ch/publikationen/621658</t>
        </is>
      </c>
      <c r="H390" s="12" t="inlineStr">
        <is>
          <t>Einstiegsseite</t>
        </is>
      </c>
      <c r="I390" s="12" t="inlineStr">
        <is>
          <t>Nein</t>
        </is>
      </c>
      <c r="J390" s="12" t="inlineStr">
        <is>
          <t>Ungeprüft – nicht kuratiert</t>
        </is>
      </c>
    </row>
    <row r="391">
      <c r="A391" s="12" t="inlineStr">
        <is>
          <t>Münchenstein</t>
        </is>
      </c>
      <c r="B391" s="12" t="inlineStr">
        <is>
          <t>Basel-Landschaft</t>
        </is>
      </c>
      <c r="C391" s="12" t="inlineStr">
        <is>
          <t>C5</t>
        </is>
      </c>
      <c r="D391" s="16" t="inlineStr">
        <is>
          <t>https://www.muenchenstein.ch/legislaturziele</t>
        </is>
      </c>
      <c r="E391" s="12" t="inlineStr">
        <is>
          <t>Legislaturziele</t>
        </is>
      </c>
      <c r="F391" s="12" t="inlineStr">
        <is>
          <t>nein</t>
        </is>
      </c>
      <c r="G391" s="12" t="inlineStr">
        <is>
          <t>https://www.muenchenstein.ch/publikationen/621658</t>
        </is>
      </c>
      <c r="H391" s="12" t="inlineStr">
        <is>
          <t>Einstiegsseite</t>
        </is>
      </c>
      <c r="I391" s="12" t="inlineStr">
        <is>
          <t>Ja</t>
        </is>
      </c>
      <c r="J391" s="12" t="inlineStr">
        <is>
          <t>Ungeprüft – nicht kuratiert</t>
        </is>
      </c>
    </row>
    <row r="392">
      <c r="A392" s="12" t="inlineStr">
        <is>
          <t>Münchenstein</t>
        </is>
      </c>
      <c r="B392" s="12" t="inlineStr">
        <is>
          <t>Basel-Landschaft</t>
        </is>
      </c>
      <c r="C392" s="12" t="inlineStr">
        <is>
          <t>C5</t>
        </is>
      </c>
      <c r="D392" s="16" t="inlineStr">
        <is>
          <t>https://www.muenchenstein.ch/sitzung</t>
        </is>
      </c>
      <c r="E392" s="12" t="inlineStr">
        <is>
          <t>Gemeindeversammlungen</t>
        </is>
      </c>
      <c r="F392" s="12" t="inlineStr">
        <is>
          <t>nein</t>
        </is>
      </c>
      <c r="G392" s="12" t="inlineStr">
        <is>
          <t>https://www.muenchenstein.ch/publikationen/621658</t>
        </is>
      </c>
      <c r="H392" s="12" t="inlineStr">
        <is>
          <t>Einstiegsseite</t>
        </is>
      </c>
      <c r="I392" s="12" t="inlineStr">
        <is>
          <t>Nein</t>
        </is>
      </c>
      <c r="J392" s="12" t="inlineStr">
        <is>
          <t>Ungeprüft – nicht kuratiert</t>
        </is>
      </c>
    </row>
    <row r="393">
      <c r="A393" s="12" t="inlineStr">
        <is>
          <t>Münchenstein</t>
        </is>
      </c>
      <c r="B393" s="12" t="inlineStr">
        <is>
          <t>Basel-Landschaft</t>
        </is>
      </c>
      <c r="C393" s="12" t="inlineStr">
        <is>
          <t>C5</t>
        </is>
      </c>
      <c r="D393" s="16" t="inlineStr">
        <is>
          <t>https://www.muenchenstein.ch/sitzung/5729125</t>
        </is>
      </c>
      <c r="E393" s="12" t="inlineStr">
        <is>
          <t>Gemeindeversammlungen</t>
        </is>
      </c>
      <c r="F393" s="12" t="inlineStr">
        <is>
          <t>nein</t>
        </is>
      </c>
      <c r="G393" s="12" t="inlineStr">
        <is>
          <t>https://www.muenchenstein.ch/sitzung/5729125</t>
        </is>
      </c>
      <c r="H393" s="12" t="inlineStr">
        <is>
          <t>Einstiegsseite</t>
        </is>
      </c>
      <c r="I393" s="12" t="inlineStr">
        <is>
          <t>Nein</t>
        </is>
      </c>
      <c r="J393" s="12" t="inlineStr">
        <is>
          <t>Ungeprüft – nicht kuratiert</t>
        </is>
      </c>
    </row>
    <row r="394">
      <c r="A394" s="12" t="inlineStr">
        <is>
          <t>Münchenstein</t>
        </is>
      </c>
      <c r="B394" s="12" t="inlineStr">
        <is>
          <t>Basel-Landschaft</t>
        </is>
      </c>
      <c r="C394" s="12" t="inlineStr">
        <is>
          <t>C5</t>
        </is>
      </c>
      <c r="D394" s="16" t="inlineStr">
        <is>
          <t>https://www.muenchenstein.ch/sitzung/5729137</t>
        </is>
      </c>
      <c r="E394" s="12" t="inlineStr">
        <is>
          <t>Gemeindeversammlungen</t>
        </is>
      </c>
      <c r="F394" s="12" t="inlineStr">
        <is>
          <t>nein</t>
        </is>
      </c>
      <c r="G394" s="12" t="inlineStr">
        <is>
          <t>https://www.muenchenstein.ch/sitzung/5729137</t>
        </is>
      </c>
      <c r="H394" s="12" t="inlineStr">
        <is>
          <t>Einstiegsseite</t>
        </is>
      </c>
      <c r="I394" s="12" t="inlineStr">
        <is>
          <t>Ja</t>
        </is>
      </c>
      <c r="J394" s="12" t="inlineStr">
        <is>
          <t>Ungeprüft – nicht kuratiert</t>
        </is>
      </c>
    </row>
    <row r="395">
      <c r="A395" s="12" t="inlineStr">
        <is>
          <t>Seelisberg</t>
        </is>
      </c>
      <c r="B395" s="12" t="inlineStr">
        <is>
          <t>Uri</t>
        </is>
      </c>
      <c r="C395" s="12" t="inlineStr">
        <is>
          <t>C1</t>
        </is>
      </c>
      <c r="D395" s="16" t="inlineStr">
        <is>
          <t>https://www.seelisberg.ch/files/bilder/JR2023_Gde-Seelisberg.pdf</t>
        </is>
      </c>
      <c r="E395" s="12" t="inlineStr">
        <is>
          <t>Gemeinde-Rechnung 2023</t>
        </is>
      </c>
      <c r="F395" s="12" t="inlineStr">
        <is>
          <t>ja</t>
        </is>
      </c>
      <c r="G395" s="12" t="inlineStr">
        <is>
          <t>https://www.seelisberg.ch/politik/gemeindeversammlung</t>
        </is>
      </c>
      <c r="H395" s="12" t="inlineStr">
        <is>
          <t>Einstiegsseite</t>
        </is>
      </c>
      <c r="I395" s="12" t="inlineStr">
        <is>
          <t>Nein</t>
        </is>
      </c>
      <c r="J395" s="12" t="inlineStr">
        <is>
          <t>Ungeprüft – nicht kuratiert</t>
        </is>
      </c>
    </row>
    <row r="396">
      <c r="A396" s="12" t="inlineStr">
        <is>
          <t>Seelisberg</t>
        </is>
      </c>
      <c r="B396" s="12" t="inlineStr">
        <is>
          <t>Uri</t>
        </is>
      </c>
      <c r="C396" s="12" t="inlineStr">
        <is>
          <t>C1</t>
        </is>
      </c>
      <c r="D396" s="16" t="inlineStr">
        <is>
          <t>https://www.seelisberg.ch/files/pdf/BUDGET2024_extern-ohne-Text.pdf</t>
        </is>
      </c>
      <c r="E396" s="12" t="inlineStr">
        <is>
          <t>Gemeinde-Budget 2024</t>
        </is>
      </c>
      <c r="F396" s="12" t="inlineStr">
        <is>
          <t>ja</t>
        </is>
      </c>
      <c r="G396" s="12" t="inlineStr">
        <is>
          <t>https://www.seelisberg.ch/politik/gemeindeversammlung</t>
        </is>
      </c>
      <c r="H396" s="12" t="inlineStr">
        <is>
          <t>Einstiegsseite</t>
        </is>
      </c>
      <c r="I396" s="12" t="inlineStr">
        <is>
          <t>Nein</t>
        </is>
      </c>
      <c r="J396" s="12" t="inlineStr">
        <is>
          <t>Ungeprüft – nicht kuratiert</t>
        </is>
      </c>
    </row>
    <row r="397">
      <c r="A397" s="12" t="inlineStr">
        <is>
          <t>Seelisberg</t>
        </is>
      </c>
      <c r="B397" s="12" t="inlineStr">
        <is>
          <t>Uri</t>
        </is>
      </c>
      <c r="C397" s="12" t="inlineStr">
        <is>
          <t>C1</t>
        </is>
      </c>
      <c r="D397" s="16" t="inlineStr">
        <is>
          <t>https://www.seelisberg.ch/files/pdf/Budget-ER-2025_Gesamtauflage_ohne-Bemerkungen_öffentlich.pdf</t>
        </is>
      </c>
      <c r="E397" s="12" t="inlineStr">
        <is>
          <t>Gemeinde-Budget 2025</t>
        </is>
      </c>
      <c r="F397" s="12" t="inlineStr">
        <is>
          <t>ja</t>
        </is>
      </c>
      <c r="G397" s="12" t="inlineStr">
        <is>
          <t>https://www.seelisberg.ch/politik/gemeindeversammlung</t>
        </is>
      </c>
      <c r="H397" s="12" t="inlineStr">
        <is>
          <t>Einstiegsseite</t>
        </is>
      </c>
      <c r="I397" s="12" t="inlineStr">
        <is>
          <t>Nein</t>
        </is>
      </c>
      <c r="J397" s="12" t="inlineStr">
        <is>
          <t>Ungeprüft – nicht kuratiert</t>
        </is>
      </c>
    </row>
    <row r="398">
      <c r="A398" s="12" t="inlineStr">
        <is>
          <t>Seelisberg</t>
        </is>
      </c>
      <c r="B398" s="12" t="inlineStr">
        <is>
          <t>Uri</t>
        </is>
      </c>
      <c r="C398" s="12" t="inlineStr">
        <is>
          <t>C1</t>
        </is>
      </c>
      <c r="D398" s="16" t="inlineStr">
        <is>
          <t>https://www.seelisberg.ch/files/pdf/Budget-ER-2026_Gesamtauflage_ohne-Bemerkungen_öffentlich.pdf</t>
        </is>
      </c>
      <c r="E398" s="12" t="inlineStr">
        <is>
          <t>Gemeinde- Budget 2026</t>
        </is>
      </c>
      <c r="F398" s="12" t="inlineStr">
        <is>
          <t>ja</t>
        </is>
      </c>
      <c r="G398" s="12" t="inlineStr">
        <is>
          <t>https://www.seelisberg.ch/politik/gemeindeversammlung</t>
        </is>
      </c>
      <c r="H398" s="12" t="inlineStr">
        <is>
          <t>Einstiegsseite</t>
        </is>
      </c>
      <c r="I398" s="12" t="inlineStr">
        <is>
          <t>Nein</t>
        </is>
      </c>
      <c r="J398" s="12" t="inlineStr">
        <is>
          <t>Ungeprüft – nicht kuratiert</t>
        </is>
      </c>
    </row>
    <row r="399">
      <c r="A399" s="12" t="inlineStr">
        <is>
          <t>Seelisberg</t>
        </is>
      </c>
      <c r="B399" s="12" t="inlineStr">
        <is>
          <t>Uri</t>
        </is>
      </c>
      <c r="C399" s="12" t="inlineStr">
        <is>
          <t>C1</t>
        </is>
      </c>
      <c r="D399" s="16" t="inlineStr">
        <is>
          <t>https://www.seelisberg.ch/files/pdf/Budget_2021.pdf</t>
        </is>
      </c>
      <c r="E399" s="12" t="inlineStr"/>
      <c r="F399" s="12" t="inlineStr">
        <is>
          <t>ja</t>
        </is>
      </c>
      <c r="G399" s="12" t="inlineStr">
        <is>
          <t>https://www.seelisberg.ch/politik/budget-rechnung</t>
        </is>
      </c>
      <c r="H399" s="12" t="inlineStr">
        <is>
          <t>Unterseite</t>
        </is>
      </c>
      <c r="I399" s="12" t="inlineStr">
        <is>
          <t>Nein</t>
        </is>
      </c>
      <c r="J399" s="12" t="inlineStr">
        <is>
          <t>Ungeprüft – nicht kuratiert</t>
        </is>
      </c>
    </row>
    <row r="400">
      <c r="A400" s="12" t="inlineStr">
        <is>
          <t>Seelisberg</t>
        </is>
      </c>
      <c r="B400" s="12" t="inlineStr">
        <is>
          <t>Uri</t>
        </is>
      </c>
      <c r="C400" s="12" t="inlineStr">
        <is>
          <t>C1</t>
        </is>
      </c>
      <c r="D400" s="16" t="inlineStr">
        <is>
          <t>https://www.seelisberg.ch/files/pdf/Budgetweb-2020.pdf</t>
        </is>
      </c>
      <c r="E400" s="12" t="inlineStr"/>
      <c r="F400" s="12" t="inlineStr">
        <is>
          <t>ja</t>
        </is>
      </c>
      <c r="G400" s="12" t="inlineStr">
        <is>
          <t>https://www.seelisberg.ch/politik/budget-rechnung</t>
        </is>
      </c>
      <c r="H400" s="12" t="inlineStr">
        <is>
          <t>Unterseite</t>
        </is>
      </c>
      <c r="I400" s="12" t="inlineStr">
        <is>
          <t>Nein</t>
        </is>
      </c>
      <c r="J400" s="12" t="inlineStr">
        <is>
          <t>Ungeprüft – nicht kuratiert</t>
        </is>
      </c>
    </row>
    <row r="401">
      <c r="A401" s="12" t="inlineStr">
        <is>
          <t>Seelisberg</t>
        </is>
      </c>
      <c r="B401" s="12" t="inlineStr">
        <is>
          <t>Uri</t>
        </is>
      </c>
      <c r="C401" s="12" t="inlineStr">
        <is>
          <t>C1</t>
        </is>
      </c>
      <c r="D401" s="16" t="inlineStr">
        <is>
          <t>https://www.seelisberg.ch/files/pdf/Gesamt-Budget_2022_extern-ohne-Text.pdf</t>
        </is>
      </c>
      <c r="E401" s="12" t="inlineStr">
        <is>
          <t>Gemeinde-Budget 2022</t>
        </is>
      </c>
      <c r="F401" s="12" t="inlineStr">
        <is>
          <t>ja</t>
        </is>
      </c>
      <c r="G401" s="12" t="inlineStr">
        <is>
          <t>https://www.seelisberg.ch/politik/gemeindeversammlung</t>
        </is>
      </c>
      <c r="H401" s="12" t="inlineStr">
        <is>
          <t>Einstiegsseite</t>
        </is>
      </c>
      <c r="I401" s="12" t="inlineStr">
        <is>
          <t>Nein</t>
        </is>
      </c>
      <c r="J401" s="12" t="inlineStr">
        <is>
          <t>Ungeprüft – nicht kuratiert</t>
        </is>
      </c>
    </row>
    <row r="402">
      <c r="A402" s="12" t="inlineStr">
        <is>
          <t>Seelisberg</t>
        </is>
      </c>
      <c r="B402" s="12" t="inlineStr">
        <is>
          <t>Uri</t>
        </is>
      </c>
      <c r="C402" s="12" t="inlineStr">
        <is>
          <t>C1</t>
        </is>
      </c>
      <c r="D402" s="16" t="inlineStr">
        <is>
          <t>https://www.seelisberg.ch/files/pdf/Gesamtbudget_2023_ohne-Text_Auflage-Bevölkerung-und-Webseite.pdf</t>
        </is>
      </c>
      <c r="E402" s="12" t="inlineStr">
        <is>
          <t>Gemeinde-Budget 2023</t>
        </is>
      </c>
      <c r="F402" s="12" t="inlineStr">
        <is>
          <t>ja</t>
        </is>
      </c>
      <c r="G402" s="12" t="inlineStr">
        <is>
          <t>https://www.seelisberg.ch/politik/gemeindeversammlung</t>
        </is>
      </c>
      <c r="H402" s="12" t="inlineStr">
        <is>
          <t>Einstiegsseite</t>
        </is>
      </c>
      <c r="I402" s="12" t="inlineStr">
        <is>
          <t>Nein</t>
        </is>
      </c>
      <c r="J402" s="12" t="inlineStr">
        <is>
          <t>Ungeprüft – nicht kuratiert</t>
        </is>
      </c>
    </row>
    <row r="403">
      <c r="A403" s="12" t="inlineStr">
        <is>
          <t>Seelisberg</t>
        </is>
      </c>
      <c r="B403" s="12" t="inlineStr">
        <is>
          <t>Uri</t>
        </is>
      </c>
      <c r="C403" s="12" t="inlineStr">
        <is>
          <t>C1</t>
        </is>
      </c>
      <c r="D403" s="16" t="inlineStr">
        <is>
          <t>https://www.seelisberg.ch/files/pdf/JR2024_Gde-Seelisberg.pdf</t>
        </is>
      </c>
      <c r="E403" s="12" t="inlineStr">
        <is>
          <t>Gemeinde- Rechnung 2024</t>
        </is>
      </c>
      <c r="F403" s="12" t="inlineStr">
        <is>
          <t>ja</t>
        </is>
      </c>
      <c r="G403" s="12" t="inlineStr">
        <is>
          <t>https://www.seelisberg.ch/politik/gemeindeversammlung</t>
        </is>
      </c>
      <c r="H403" s="12" t="inlineStr">
        <is>
          <t>Einstiegsseite</t>
        </is>
      </c>
      <c r="I403" s="12" t="inlineStr">
        <is>
          <t>Ja</t>
        </is>
      </c>
      <c r="J403" s="12" t="inlineStr">
        <is>
          <t>Ungeprüft – nicht kuratiert</t>
        </is>
      </c>
    </row>
    <row r="404">
      <c r="A404" s="12" t="inlineStr">
        <is>
          <t>Seelisberg</t>
        </is>
      </c>
      <c r="B404" s="12" t="inlineStr">
        <is>
          <t>Uri</t>
        </is>
      </c>
      <c r="C404" s="12" t="inlineStr">
        <is>
          <t>C1</t>
        </is>
      </c>
      <c r="D404" s="16" t="inlineStr">
        <is>
          <t>https://www.seelisberg.ch/files/pdf/Jahresrechnung_2020_end.pdf</t>
        </is>
      </c>
      <c r="E404" s="12" t="inlineStr"/>
      <c r="F404" s="12" t="inlineStr">
        <is>
          <t>ja</t>
        </is>
      </c>
      <c r="G404" s="12" t="inlineStr">
        <is>
          <t>https://www.seelisberg.ch/politik/budget-rechnung</t>
        </is>
      </c>
      <c r="H404" s="12" t="inlineStr">
        <is>
          <t>Unterseite</t>
        </is>
      </c>
      <c r="I404" s="12" t="inlineStr">
        <is>
          <t>Nein</t>
        </is>
      </c>
      <c r="J404" s="12" t="inlineStr">
        <is>
          <t>Ungeprüft – nicht kuratiert</t>
        </is>
      </c>
    </row>
    <row r="405">
      <c r="A405" s="12" t="inlineStr">
        <is>
          <t>Seelisberg</t>
        </is>
      </c>
      <c r="B405" s="12" t="inlineStr">
        <is>
          <t>Uri</t>
        </is>
      </c>
      <c r="C405" s="12" t="inlineStr">
        <is>
          <t>C1</t>
        </is>
      </c>
      <c r="D405" s="16" t="inlineStr">
        <is>
          <t>https://www.seelisberg.ch/files/pdf/Jahresrechnung_Gde-Seelisberg_2022.pdf</t>
        </is>
      </c>
      <c r="E405" s="12" t="inlineStr">
        <is>
          <t>Gemeinde-Rechnung 2022</t>
        </is>
      </c>
      <c r="F405" s="12" t="inlineStr">
        <is>
          <t>ja</t>
        </is>
      </c>
      <c r="G405" s="12" t="inlineStr">
        <is>
          <t>https://www.seelisberg.ch/politik/gemeindeversammlung</t>
        </is>
      </c>
      <c r="H405" s="12" t="inlineStr">
        <is>
          <t>Einstiegsseite</t>
        </is>
      </c>
      <c r="I405" s="12" t="inlineStr">
        <is>
          <t>Nein</t>
        </is>
      </c>
      <c r="J405" s="12" t="inlineStr">
        <is>
          <t>Ungeprüft – nicht kuratiert</t>
        </is>
      </c>
    </row>
    <row r="406">
      <c r="A406" s="12" t="inlineStr">
        <is>
          <t>Seelisberg</t>
        </is>
      </c>
      <c r="B406" s="12" t="inlineStr">
        <is>
          <t>Uri</t>
        </is>
      </c>
      <c r="C406" s="12" t="inlineStr">
        <is>
          <t>C1</t>
        </is>
      </c>
      <c r="D406" s="16" t="inlineStr">
        <is>
          <t>https://www.seelisberg.ch/files/pdf/Jahresrechnung_Gde-Seelisberg_2023.pdf</t>
        </is>
      </c>
      <c r="E406" s="12" t="inlineStr"/>
      <c r="F406" s="12" t="inlineStr">
        <is>
          <t>ja</t>
        </is>
      </c>
      <c r="G406" s="12" t="inlineStr">
        <is>
          <t>https://www.seelisberg.ch/politik/budget-rechnung</t>
        </is>
      </c>
      <c r="H406" s="12" t="inlineStr">
        <is>
          <t>Unterseite</t>
        </is>
      </c>
      <c r="I406" s="12" t="inlineStr">
        <is>
          <t>Ja</t>
        </is>
      </c>
      <c r="J406" s="12" t="inlineStr">
        <is>
          <t>Ungeprüft – nicht kuratiert</t>
        </is>
      </c>
    </row>
    <row r="407">
      <c r="A407" s="12" t="inlineStr">
        <is>
          <t>Seelisberg</t>
        </is>
      </c>
      <c r="B407" s="12" t="inlineStr">
        <is>
          <t>Uri</t>
        </is>
      </c>
      <c r="C407" s="12" t="inlineStr">
        <is>
          <t>C1</t>
        </is>
      </c>
      <c r="D407" s="16" t="inlineStr">
        <is>
          <t>https://www.seelisberg.ch/files/pdf/Original_DruckWebseite_RG2021.pdf</t>
        </is>
      </c>
      <c r="E407" s="12" t="inlineStr">
        <is>
          <t>Gemeinde-Rechnung 2021</t>
        </is>
      </c>
      <c r="F407" s="12" t="inlineStr">
        <is>
          <t>ja</t>
        </is>
      </c>
      <c r="G407" s="12" t="inlineStr">
        <is>
          <t>https://www.seelisberg.ch/politik/gemeindeversammlung</t>
        </is>
      </c>
      <c r="H407" s="12" t="inlineStr">
        <is>
          <t>Einstiegsseite</t>
        </is>
      </c>
      <c r="I407" s="12" t="inlineStr">
        <is>
          <t>Nein</t>
        </is>
      </c>
      <c r="J407" s="12" t="inlineStr">
        <is>
          <t>Ungeprüft – nicht kuratiert</t>
        </is>
      </c>
    </row>
    <row r="408">
      <c r="A408" s="12" t="inlineStr">
        <is>
          <t>Seelisberg</t>
        </is>
      </c>
      <c r="B408" s="12" t="inlineStr">
        <is>
          <t>Uri</t>
        </is>
      </c>
      <c r="C408" s="12" t="inlineStr">
        <is>
          <t>C1</t>
        </is>
      </c>
      <c r="D408" s="16" t="inlineStr">
        <is>
          <t>https://www.seelisberg.ch/politik/budget-rechnung</t>
        </is>
      </c>
      <c r="E408" s="12" t="inlineStr">
        <is>
          <t>Finanzen</t>
        </is>
      </c>
      <c r="F408" s="12" t="inlineStr">
        <is>
          <t>nein</t>
        </is>
      </c>
      <c r="G408" s="12" t="inlineStr">
        <is>
          <t>https://www.seelisberg.ch/politik/gemeindeversammlung</t>
        </is>
      </c>
      <c r="H408" s="12" t="inlineStr">
        <is>
          <t>Einstiegsseite</t>
        </is>
      </c>
      <c r="I408" s="12" t="inlineStr">
        <is>
          <t>Nein</t>
        </is>
      </c>
      <c r="J408" s="12" t="inlineStr">
        <is>
          <t>Ungeprüft – nicht kuratiert</t>
        </is>
      </c>
    </row>
    <row r="409">
      <c r="A409" s="12" t="inlineStr">
        <is>
          <t>Seelisberg</t>
        </is>
      </c>
      <c r="B409" s="12" t="inlineStr">
        <is>
          <t>Uri</t>
        </is>
      </c>
      <c r="C409" s="12" t="inlineStr">
        <is>
          <t>C2</t>
        </is>
      </c>
      <c r="D409" s="16" t="inlineStr">
        <is>
          <t>https://www.ur.ch/finanzen/1579</t>
        </is>
      </c>
      <c r="E409" s="12" t="inlineStr">
        <is>
          <t>Grundstückschätzungen</t>
        </is>
      </c>
      <c r="F409" s="12" t="inlineStr">
        <is>
          <t>nein</t>
        </is>
      </c>
      <c r="G409" s="12" t="inlineStr">
        <is>
          <t>https://www.ur.ch/publikationen/6680</t>
        </is>
      </c>
      <c r="H409" s="12" t="inlineStr">
        <is>
          <t>Einstiegsseite</t>
        </is>
      </c>
      <c r="I409" s="12" t="inlineStr">
        <is>
          <t>Nein</t>
        </is>
      </c>
      <c r="J409" s="12" t="inlineStr">
        <is>
          <t>Ungeprüft – nicht kuratiert</t>
        </is>
      </c>
    </row>
    <row r="410">
      <c r="A410" s="12" t="inlineStr">
        <is>
          <t>Seelisberg</t>
        </is>
      </c>
      <c r="B410" s="12" t="inlineStr">
        <is>
          <t>Uri</t>
        </is>
      </c>
      <c r="C410" s="12" t="inlineStr">
        <is>
          <t>C2</t>
        </is>
      </c>
      <c r="D410" s="16" t="inlineStr">
        <is>
          <t>https://www.ur.ch/finanzen/1585</t>
        </is>
      </c>
      <c r="E410" s="12" t="inlineStr">
        <is>
          <t>Grundstückgewinnsteuer</t>
        </is>
      </c>
      <c r="F410" s="12" t="inlineStr">
        <is>
          <t>nein</t>
        </is>
      </c>
      <c r="G410" s="12" t="inlineStr">
        <is>
          <t>https://www.ur.ch/publikationen/6680</t>
        </is>
      </c>
      <c r="H410" s="12" t="inlineStr">
        <is>
          <t>Einstiegsseite</t>
        </is>
      </c>
      <c r="I410" s="12" t="inlineStr">
        <is>
          <t>Nein</t>
        </is>
      </c>
      <c r="J410" s="12" t="inlineStr">
        <is>
          <t>Ungeprüft – nicht kuratiert</t>
        </is>
      </c>
    </row>
    <row r="411">
      <c r="A411" s="12" t="inlineStr">
        <is>
          <t>Seelisberg</t>
        </is>
      </c>
      <c r="B411" s="12" t="inlineStr">
        <is>
          <t>Uri</t>
        </is>
      </c>
      <c r="C411" s="12" t="inlineStr">
        <is>
          <t>C2</t>
        </is>
      </c>
      <c r="D411" s="16" t="inlineStr">
        <is>
          <t>https://www.ur.ch/wirtschaft/6658</t>
        </is>
      </c>
      <c r="E411" s="12" t="inlineStr">
        <is>
          <t>Grundstückerwerb durch Personen im Ausland «Lex Koller»</t>
        </is>
      </c>
      <c r="F411" s="12" t="inlineStr">
        <is>
          <t>nein</t>
        </is>
      </c>
      <c r="G411" s="12" t="inlineStr">
        <is>
          <t>https://www.ur.ch/publikationen/6680</t>
        </is>
      </c>
      <c r="H411" s="12" t="inlineStr">
        <is>
          <t>Einstiegsseite</t>
        </is>
      </c>
      <c r="I411" s="12" t="inlineStr">
        <is>
          <t>Nein</t>
        </is>
      </c>
      <c r="J411" s="12" t="inlineStr">
        <is>
          <t>Ungeprüft – nicht kuratiert</t>
        </is>
      </c>
    </row>
    <row r="412">
      <c r="A412" s="12" t="inlineStr">
        <is>
          <t>Seelisberg</t>
        </is>
      </c>
      <c r="B412" s="12" t="inlineStr">
        <is>
          <t>Uri</t>
        </is>
      </c>
      <c r="C412" s="12" t="inlineStr">
        <is>
          <t>C3</t>
        </is>
      </c>
      <c r="D412" s="16" t="inlineStr">
        <is>
          <t>https://www.seelisberg.ch/einwohner-service/rechtssammlung</t>
        </is>
      </c>
      <c r="E412" s="12" t="inlineStr">
        <is>
          <t>Rechtssammlung</t>
        </is>
      </c>
      <c r="F412" s="12" t="inlineStr">
        <is>
          <t>nein</t>
        </is>
      </c>
      <c r="G412" s="12" t="inlineStr">
        <is>
          <t>https://www.seelisberg.ch/politik/gemeindeversammlung</t>
        </is>
      </c>
      <c r="H412" s="12" t="inlineStr">
        <is>
          <t>Einstiegsseite</t>
        </is>
      </c>
      <c r="I412" s="12" t="inlineStr">
        <is>
          <t>Nein</t>
        </is>
      </c>
      <c r="J412" s="12" t="inlineStr">
        <is>
          <t>Ungeprüft – nicht kuratiert</t>
        </is>
      </c>
    </row>
    <row r="413">
      <c r="A413" s="12" t="inlineStr">
        <is>
          <t>Seelisberg</t>
        </is>
      </c>
      <c r="B413" s="12" t="inlineStr">
        <is>
          <t>Uri</t>
        </is>
      </c>
      <c r="C413" s="12" t="inlineStr">
        <is>
          <t>C3</t>
        </is>
      </c>
      <c r="D413" s="16" t="inlineStr">
        <is>
          <t>https://www.seelisberg.ch/files/pdf/Gemeindeordnung.pdf</t>
        </is>
      </c>
      <c r="E413" s="12" t="inlineStr"/>
      <c r="F413" s="12" t="inlineStr">
        <is>
          <t>ja</t>
        </is>
      </c>
      <c r="G413" s="12" t="inlineStr">
        <is>
          <t>https://www.seelisberg.ch/einwohner-service/rechtssammlung</t>
        </is>
      </c>
      <c r="H413" s="12" t="inlineStr">
        <is>
          <t>Unterseite</t>
        </is>
      </c>
      <c r="I413" s="12" t="inlineStr">
        <is>
          <t>Ja</t>
        </is>
      </c>
      <c r="J413" s="12" t="inlineStr">
        <is>
          <t>Ungeprüft – nicht kuratiert</t>
        </is>
      </c>
    </row>
    <row r="414">
      <c r="A414" s="12" t="inlineStr">
        <is>
          <t>Seelisberg</t>
        </is>
      </c>
      <c r="B414" s="12" t="inlineStr">
        <is>
          <t>Uri</t>
        </is>
      </c>
      <c r="C414" s="12" t="inlineStr">
        <is>
          <t>C3</t>
        </is>
      </c>
      <c r="D414" s="16" t="inlineStr">
        <is>
          <t>https://www.seelisberg.ch/files/pdf/Parkplatzreglement-PPR_NEUab2026.pdf</t>
        </is>
      </c>
      <c r="E414" s="12" t="inlineStr"/>
      <c r="F414" s="12" t="inlineStr">
        <is>
          <t>ja</t>
        </is>
      </c>
      <c r="G414" s="12" t="inlineStr">
        <is>
          <t>https://www.seelisberg.ch/einwohner-service/rechtssammlung</t>
        </is>
      </c>
      <c r="H414" s="12" t="inlineStr">
        <is>
          <t>Unterseite</t>
        </is>
      </c>
      <c r="I414" s="12" t="inlineStr">
        <is>
          <t>Nein</t>
        </is>
      </c>
      <c r="J414" s="12" t="inlineStr">
        <is>
          <t>Ungeprüft – nicht kuratiert</t>
        </is>
      </c>
    </row>
    <row r="415">
      <c r="A415" s="12" t="inlineStr">
        <is>
          <t>Seelisberg</t>
        </is>
      </c>
      <c r="B415" s="12" t="inlineStr">
        <is>
          <t>Uri</t>
        </is>
      </c>
      <c r="C415" s="12" t="inlineStr">
        <is>
          <t>C3</t>
        </is>
      </c>
      <c r="D415" s="16" t="inlineStr">
        <is>
          <t>https://www.seelisberg.ch/files/pdf/Parkplatzverordnung-PPV_Anpassung2026.pdf</t>
        </is>
      </c>
      <c r="E415" s="12" t="inlineStr"/>
      <c r="F415" s="12" t="inlineStr">
        <is>
          <t>ja</t>
        </is>
      </c>
      <c r="G415" s="12" t="inlineStr">
        <is>
          <t>https://www.seelisberg.ch/einwohner-service/rechtssammlung</t>
        </is>
      </c>
      <c r="H415" s="12" t="inlineStr">
        <is>
          <t>Unterseite</t>
        </is>
      </c>
      <c r="I415" s="12" t="inlineStr">
        <is>
          <t>Nein</t>
        </is>
      </c>
      <c r="J415" s="12" t="inlineStr">
        <is>
          <t>Ungeprüft – nicht kuratiert</t>
        </is>
      </c>
    </row>
    <row r="416">
      <c r="A416" s="12" t="inlineStr">
        <is>
          <t>Seelisberg</t>
        </is>
      </c>
      <c r="B416" s="12" t="inlineStr">
        <is>
          <t>Uri</t>
        </is>
      </c>
      <c r="C416" s="12" t="inlineStr">
        <is>
          <t>C3</t>
        </is>
      </c>
      <c r="D416" s="16" t="inlineStr">
        <is>
          <t>https://www.seelisberg.ch/files/pdf/Reglement-Tarife-Friedhof_2025.pdf</t>
        </is>
      </c>
      <c r="E416" s="12" t="inlineStr"/>
      <c r="F416" s="12" t="inlineStr">
        <is>
          <t>ja</t>
        </is>
      </c>
      <c r="G416" s="12" t="inlineStr">
        <is>
          <t>https://www.seelisberg.ch/einwohner-service/rechtssammlung</t>
        </is>
      </c>
      <c r="H416" s="12" t="inlineStr">
        <is>
          <t>Unterseite</t>
        </is>
      </c>
      <c r="I416" s="12" t="inlineStr">
        <is>
          <t>Nein</t>
        </is>
      </c>
      <c r="J416" s="12" t="inlineStr">
        <is>
          <t>Ungeprüft – nicht kuratiert</t>
        </is>
      </c>
    </row>
    <row r="417">
      <c r="A417" s="12" t="inlineStr">
        <is>
          <t>Seelisberg</t>
        </is>
      </c>
      <c r="B417" s="12" t="inlineStr">
        <is>
          <t>Uri</t>
        </is>
      </c>
      <c r="C417" s="12" t="inlineStr">
        <is>
          <t>C3</t>
        </is>
      </c>
      <c r="D417" s="16" t="inlineStr">
        <is>
          <t>https://www.seelisberg.ch/files/pdf/Reglement_Wissigstrasse.pdf</t>
        </is>
      </c>
      <c r="E417" s="12" t="inlineStr"/>
      <c r="F417" s="12" t="inlineStr">
        <is>
          <t>ja</t>
        </is>
      </c>
      <c r="G417" s="12" t="inlineStr">
        <is>
          <t>https://www.seelisberg.ch/einwohner-service/rechtssammlung</t>
        </is>
      </c>
      <c r="H417" s="12" t="inlineStr">
        <is>
          <t>Unterseite</t>
        </is>
      </c>
      <c r="I417" s="12" t="inlineStr">
        <is>
          <t>Nein</t>
        </is>
      </c>
      <c r="J417" s="12" t="inlineStr">
        <is>
          <t>Ungeprüft – nicht kuratiert</t>
        </is>
      </c>
    </row>
    <row r="418">
      <c r="A418" s="12" t="inlineStr">
        <is>
          <t>Seelisberg</t>
        </is>
      </c>
      <c r="B418" s="12" t="inlineStr">
        <is>
          <t>Uri</t>
        </is>
      </c>
      <c r="C418" s="12" t="inlineStr">
        <is>
          <t>C3</t>
        </is>
      </c>
      <c r="D418" s="16" t="inlineStr">
        <is>
          <t>https://www.seelisberg.ch/files/pdf/Verordnung-über-die-Hundehaltung-und-die-Hundetaxe-HHV.pdf</t>
        </is>
      </c>
      <c r="E418" s="12" t="inlineStr"/>
      <c r="F418" s="12" t="inlineStr">
        <is>
          <t>ja</t>
        </is>
      </c>
      <c r="G418" s="12" t="inlineStr">
        <is>
          <t>https://www.seelisberg.ch/einwohner-service/rechtssammlung</t>
        </is>
      </c>
      <c r="H418" s="12" t="inlineStr">
        <is>
          <t>Unterseite</t>
        </is>
      </c>
      <c r="I418" s="12" t="inlineStr">
        <is>
          <t>Nein</t>
        </is>
      </c>
      <c r="J418" s="12" t="inlineStr">
        <is>
          <t>Ungeprüft – nicht kuratiert</t>
        </is>
      </c>
    </row>
    <row r="419">
      <c r="A419" s="12" t="inlineStr">
        <is>
          <t>Seelisberg</t>
        </is>
      </c>
      <c r="B419" s="12" t="inlineStr">
        <is>
          <t>Uri</t>
        </is>
      </c>
      <c r="C419" s="12" t="inlineStr">
        <is>
          <t>C3</t>
        </is>
      </c>
      <c r="D419" s="16" t="inlineStr">
        <is>
          <t>https://www.seelisberg.ch/files/pdf/Verordnung_über_das_Personal.pdf</t>
        </is>
      </c>
      <c r="E419" s="12" t="inlineStr"/>
      <c r="F419" s="12" t="inlineStr">
        <is>
          <t>ja</t>
        </is>
      </c>
      <c r="G419" s="12" t="inlineStr">
        <is>
          <t>https://www.seelisberg.ch/einwohner-service/rechtssammlung</t>
        </is>
      </c>
      <c r="H419" s="12" t="inlineStr">
        <is>
          <t>Unterseite</t>
        </is>
      </c>
      <c r="I419" s="12" t="inlineStr">
        <is>
          <t>Nein</t>
        </is>
      </c>
      <c r="J419" s="12" t="inlineStr">
        <is>
          <t>Ungeprüft – nicht kuratiert</t>
        </is>
      </c>
    </row>
    <row r="420">
      <c r="A420" s="12" t="inlineStr">
        <is>
          <t>Seelisberg</t>
        </is>
      </c>
      <c r="B420" s="12" t="inlineStr">
        <is>
          <t>Uri</t>
        </is>
      </c>
      <c r="C420" s="12" t="inlineStr">
        <is>
          <t>C3</t>
        </is>
      </c>
      <c r="D420" s="16" t="inlineStr">
        <is>
          <t>https://www.seelisberg.ch/files/pdf/Verordnung_über_das_Verfahren_in_den_Behörden.pdf</t>
        </is>
      </c>
      <c r="E420" s="12" t="inlineStr"/>
      <c r="F420" s="12" t="inlineStr">
        <is>
          <t>ja</t>
        </is>
      </c>
      <c r="G420" s="12" t="inlineStr">
        <is>
          <t>https://www.seelisberg.ch/einwohner-service/rechtssammlung</t>
        </is>
      </c>
      <c r="H420" s="12" t="inlineStr">
        <is>
          <t>Unterseite</t>
        </is>
      </c>
      <c r="I420" s="12" t="inlineStr">
        <is>
          <t>Nein</t>
        </is>
      </c>
      <c r="J420" s="12" t="inlineStr">
        <is>
          <t>Ungeprüft – nicht kuratiert</t>
        </is>
      </c>
    </row>
    <row r="421">
      <c r="A421" s="12" t="inlineStr">
        <is>
          <t>Seelisberg</t>
        </is>
      </c>
      <c r="B421" s="12" t="inlineStr">
        <is>
          <t>Uri</t>
        </is>
      </c>
      <c r="C421" s="12" t="inlineStr">
        <is>
          <t>C3</t>
        </is>
      </c>
      <c r="D421" s="16" t="inlineStr">
        <is>
          <t>https://www.seelisberg.ch/files/pdf/Verordnung_über_den_Feuerschutz.pdf</t>
        </is>
      </c>
      <c r="E421" s="12" t="inlineStr"/>
      <c r="F421" s="12" t="inlineStr">
        <is>
          <t>ja</t>
        </is>
      </c>
      <c r="G421" s="12" t="inlineStr">
        <is>
          <t>https://www.seelisberg.ch/einwohner-service/rechtssammlung</t>
        </is>
      </c>
      <c r="H421" s="12" t="inlineStr">
        <is>
          <t>Unterseite</t>
        </is>
      </c>
      <c r="I421" s="12" t="inlineStr">
        <is>
          <t>Nein</t>
        </is>
      </c>
      <c r="J421" s="12" t="inlineStr">
        <is>
          <t>Ungeprüft – nicht kuratiert</t>
        </is>
      </c>
    </row>
    <row r="422">
      <c r="A422" s="12" t="inlineStr">
        <is>
          <t>Seelisberg</t>
        </is>
      </c>
      <c r="B422" s="12" t="inlineStr">
        <is>
          <t>Uri</t>
        </is>
      </c>
      <c r="C422" s="12" t="inlineStr">
        <is>
          <t>C3</t>
        </is>
      </c>
      <c r="D422" s="16" t="inlineStr">
        <is>
          <t>https://www.seelisberg.ch/files/pdf/Verordnung_über_die_Entschädigung.pdf</t>
        </is>
      </c>
      <c r="E422" s="12" t="inlineStr"/>
      <c r="F422" s="12" t="inlineStr">
        <is>
          <t>ja</t>
        </is>
      </c>
      <c r="G422" s="12" t="inlineStr">
        <is>
          <t>https://www.seelisberg.ch/einwohner-service/rechtssammlung</t>
        </is>
      </c>
      <c r="H422" s="12" t="inlineStr">
        <is>
          <t>Unterseite</t>
        </is>
      </c>
      <c r="I422" s="12" t="inlineStr">
        <is>
          <t>Nein</t>
        </is>
      </c>
      <c r="J422" s="12" t="inlineStr">
        <is>
          <t>Ungeprüft – nicht kuratiert</t>
        </is>
      </c>
    </row>
    <row r="423">
      <c r="A423" s="12" t="inlineStr">
        <is>
          <t>Seelisberg</t>
        </is>
      </c>
      <c r="B423" s="12" t="inlineStr">
        <is>
          <t>Uri</t>
        </is>
      </c>
      <c r="C423" s="12" t="inlineStr">
        <is>
          <t>C3</t>
        </is>
      </c>
      <c r="D423" s="16" t="inlineStr">
        <is>
          <t>https://www.seelisberg.ch/files/pdf/Verordnung_über_die_Gästetaxen.pdf</t>
        </is>
      </c>
      <c r="E423" s="12" t="inlineStr"/>
      <c r="F423" s="12" t="inlineStr">
        <is>
          <t>ja</t>
        </is>
      </c>
      <c r="G423" s="12" t="inlineStr">
        <is>
          <t>https://www.seelisberg.ch/einwohner-service/rechtssammlung</t>
        </is>
      </c>
      <c r="H423" s="12" t="inlineStr">
        <is>
          <t>Unterseite</t>
        </is>
      </c>
      <c r="I423" s="12" t="inlineStr">
        <is>
          <t>Nein</t>
        </is>
      </c>
      <c r="J423" s="12" t="inlineStr">
        <is>
          <t>Ungeprüft – nicht kuratiert</t>
        </is>
      </c>
    </row>
    <row r="424">
      <c r="A424" s="12" t="inlineStr">
        <is>
          <t>Seelisberg</t>
        </is>
      </c>
      <c r="B424" s="12" t="inlineStr">
        <is>
          <t>Uri</t>
        </is>
      </c>
      <c r="C424" s="12" t="inlineStr">
        <is>
          <t>C3</t>
        </is>
      </c>
      <c r="D424" s="16" t="inlineStr">
        <is>
          <t>https://www.seelisberg.ch/files/pdf/Verordnung_über_die_Tarife_der_Wasserversorgung.pdf</t>
        </is>
      </c>
      <c r="E424" s="12" t="inlineStr"/>
      <c r="F424" s="12" t="inlineStr">
        <is>
          <t>ja</t>
        </is>
      </c>
      <c r="G424" s="12" t="inlineStr">
        <is>
          <t>https://www.seelisberg.ch/einwohner-service/rechtssammlung</t>
        </is>
      </c>
      <c r="H424" s="12" t="inlineStr">
        <is>
          <t>Unterseite</t>
        </is>
      </c>
      <c r="I424" s="12" t="inlineStr">
        <is>
          <t>Nein</t>
        </is>
      </c>
      <c r="J424" s="12" t="inlineStr">
        <is>
          <t>Ungeprüft – nicht kuratiert</t>
        </is>
      </c>
    </row>
    <row r="425">
      <c r="A425" s="12" t="inlineStr">
        <is>
          <t>Seelisberg</t>
        </is>
      </c>
      <c r="B425" s="12" t="inlineStr">
        <is>
          <t>Uri</t>
        </is>
      </c>
      <c r="C425" s="12" t="inlineStr">
        <is>
          <t>C3</t>
        </is>
      </c>
      <c r="D425" s="16" t="inlineStr">
        <is>
          <t>https://www.seelisberg.ch/files/pdf/Verordnung_über_die_Wasserversorgung.pdf</t>
        </is>
      </c>
      <c r="E425" s="12" t="inlineStr"/>
      <c r="F425" s="12" t="inlineStr">
        <is>
          <t>ja</t>
        </is>
      </c>
      <c r="G425" s="12" t="inlineStr">
        <is>
          <t>https://www.seelisberg.ch/einwohner-service/rechtssammlung</t>
        </is>
      </c>
      <c r="H425" s="12" t="inlineStr">
        <is>
          <t>Unterseite</t>
        </is>
      </c>
      <c r="I425" s="12" t="inlineStr">
        <is>
          <t>Nein</t>
        </is>
      </c>
      <c r="J425" s="12" t="inlineStr">
        <is>
          <t>Ungeprüft – nicht kuratiert</t>
        </is>
      </c>
    </row>
    <row r="426">
      <c r="A426" s="12" t="inlineStr">
        <is>
          <t>Seelisberg</t>
        </is>
      </c>
      <c r="B426" s="12" t="inlineStr">
        <is>
          <t>Uri</t>
        </is>
      </c>
      <c r="C426" s="12" t="inlineStr">
        <is>
          <t>C3</t>
        </is>
      </c>
      <c r="D426" s="16" t="inlineStr">
        <is>
          <t>https://www.seelisberg.ch/politik/rechtssammlung</t>
        </is>
      </c>
      <c r="E426" s="12" t="inlineStr">
        <is>
          <t>Rechtssammlung</t>
        </is>
      </c>
      <c r="F426" s="12" t="inlineStr">
        <is>
          <t>nein</t>
        </is>
      </c>
      <c r="G426" s="12" t="inlineStr">
        <is>
          <t>https://www.seelisberg.ch/politik/gemeindeversammlung</t>
        </is>
      </c>
      <c r="H426" s="12" t="inlineStr">
        <is>
          <t>Einstiegsseite</t>
        </is>
      </c>
      <c r="I426" s="12" t="inlineStr">
        <is>
          <t>Nein</t>
        </is>
      </c>
      <c r="J426" s="12" t="inlineStr">
        <is>
          <t>Ungeprüft – nicht kuratiert</t>
        </is>
      </c>
    </row>
    <row r="427">
      <c r="A427" s="12" t="inlineStr">
        <is>
          <t>Seelisberg</t>
        </is>
      </c>
      <c r="B427" s="12" t="inlineStr">
        <is>
          <t>Uri</t>
        </is>
      </c>
      <c r="C427" s="12" t="inlineStr">
        <is>
          <t>C3</t>
        </is>
      </c>
      <c r="D427" s="16" t="inlineStr">
        <is>
          <t>https://www.ur.ch/raumumwelt/4181</t>
        </is>
      </c>
      <c r="E427" s="12" t="inlineStr">
        <is>
          <t>Agglomerationsprogramm Unteres Reusstal (AP URT)</t>
        </is>
      </c>
      <c r="F427" s="12" t="inlineStr">
        <is>
          <t>nein</t>
        </is>
      </c>
      <c r="G427" s="12" t="inlineStr">
        <is>
          <t>https://www.ur.ch/publikationen/6680</t>
        </is>
      </c>
      <c r="H427" s="12" t="inlineStr">
        <is>
          <t>Einstiegsseite</t>
        </is>
      </c>
      <c r="I427" s="12" t="inlineStr">
        <is>
          <t>Nein</t>
        </is>
      </c>
      <c r="J427" s="12" t="inlineStr">
        <is>
          <t>Ungeprüft – nicht kuratiert</t>
        </is>
      </c>
    </row>
    <row r="428">
      <c r="A428" s="12" t="inlineStr">
        <is>
          <t>Seelisberg</t>
        </is>
      </c>
      <c r="B428" s="12" t="inlineStr">
        <is>
          <t>Uri</t>
        </is>
      </c>
      <c r="C428" s="12" t="inlineStr">
        <is>
          <t>C3,C5</t>
        </is>
      </c>
      <c r="D428" s="16" t="inlineStr">
        <is>
          <t>https://www.seelisberg.ch/files/pdf/Verordnung_über_das_Verfahren_an_der_Gemeindeversammlung.pdf</t>
        </is>
      </c>
      <c r="E428" s="12" t="inlineStr"/>
      <c r="F428" s="12" t="inlineStr">
        <is>
          <t>ja</t>
        </is>
      </c>
      <c r="G428" s="12" t="inlineStr">
        <is>
          <t>https://www.seelisberg.ch/einwohner-service/rechtssammlung</t>
        </is>
      </c>
      <c r="H428" s="12" t="inlineStr">
        <is>
          <t>Unterseite</t>
        </is>
      </c>
      <c r="I428" s="12" t="inlineStr">
        <is>
          <t>Nein</t>
        </is>
      </c>
      <c r="J428" s="12" t="inlineStr">
        <is>
          <t>Ungeprüft – nicht kuratiert</t>
        </is>
      </c>
    </row>
    <row r="429">
      <c r="A429" s="12" t="inlineStr">
        <is>
          <t>Seelisberg</t>
        </is>
      </c>
      <c r="B429" s="12" t="inlineStr">
        <is>
          <t>Uri</t>
        </is>
      </c>
      <c r="C429" s="12" t="inlineStr">
        <is>
          <t>C4</t>
        </is>
      </c>
      <c r="D429" s="16" t="inlineStr">
        <is>
          <t>https://www.ur.ch/staatrecht/1486</t>
        </is>
      </c>
      <c r="E429" s="12" t="inlineStr">
        <is>
          <t>Submissionskalender</t>
        </is>
      </c>
      <c r="F429" s="12" t="inlineStr">
        <is>
          <t>nein</t>
        </is>
      </c>
      <c r="G429" s="12" t="inlineStr">
        <is>
          <t>https://www.ur.ch/publikationen/6680</t>
        </is>
      </c>
      <c r="H429" s="12" t="inlineStr">
        <is>
          <t>Einstiegsseite</t>
        </is>
      </c>
      <c r="I429" s="12" t="inlineStr">
        <is>
          <t>Nein</t>
        </is>
      </c>
      <c r="J429" s="12" t="inlineStr">
        <is>
          <t>Ungeprüft – nicht kuratiert</t>
        </is>
      </c>
    </row>
    <row r="430">
      <c r="A430" s="12" t="inlineStr">
        <is>
          <t>Seelisberg</t>
        </is>
      </c>
      <c r="B430" s="12" t="inlineStr">
        <is>
          <t>Uri</t>
        </is>
      </c>
      <c r="C430" s="12" t="inlineStr">
        <is>
          <t>C4</t>
        </is>
      </c>
      <c r="D430" s="16" t="inlineStr">
        <is>
          <t>https://www.ur.ch/staatrecht/5828</t>
        </is>
      </c>
      <c r="E430" s="12" t="inlineStr">
        <is>
          <t>E-Government &amp; Digitalisierung</t>
        </is>
      </c>
      <c r="F430" s="12" t="inlineStr">
        <is>
          <t>nein</t>
        </is>
      </c>
      <c r="G430" s="12" t="inlineStr">
        <is>
          <t>https://www.ur.ch/publikationen/6680</t>
        </is>
      </c>
      <c r="H430" s="12" t="inlineStr">
        <is>
          <t>Einstiegsseite</t>
        </is>
      </c>
      <c r="I430" s="12" t="inlineStr">
        <is>
          <t>Nein</t>
        </is>
      </c>
      <c r="J430" s="12" t="inlineStr">
        <is>
          <t>Ungeprüft – nicht kuratiert</t>
        </is>
      </c>
    </row>
    <row r="431">
      <c r="A431" s="12" t="inlineStr">
        <is>
          <t>Seelisberg</t>
        </is>
      </c>
      <c r="B431" s="12" t="inlineStr">
        <is>
          <t>Uri</t>
        </is>
      </c>
      <c r="C431" s="12" t="inlineStr">
        <is>
          <t>C4</t>
        </is>
      </c>
      <c r="D431" s="16" t="inlineStr">
        <is>
          <t>https://www.ur.ch/uebersichtverwaltung</t>
        </is>
      </c>
      <c r="E431" s="12" t="inlineStr">
        <is>
          <t>Organigramm</t>
        </is>
      </c>
      <c r="F431" s="12" t="inlineStr">
        <is>
          <t>nein</t>
        </is>
      </c>
      <c r="G431" s="12" t="inlineStr">
        <is>
          <t>https://www.ur.ch/publikationen/6680</t>
        </is>
      </c>
      <c r="H431" s="12" t="inlineStr">
        <is>
          <t>Einstiegsseite</t>
        </is>
      </c>
      <c r="I431" s="12" t="inlineStr">
        <is>
          <t>Nein</t>
        </is>
      </c>
      <c r="J431" s="12" t="inlineStr">
        <is>
          <t>Ungeprüft – nicht kuratiert</t>
        </is>
      </c>
    </row>
    <row r="432">
      <c r="A432" s="12" t="inlineStr">
        <is>
          <t>Seelisberg</t>
        </is>
      </c>
      <c r="B432" s="12" t="inlineStr">
        <is>
          <t>Uri</t>
        </is>
      </c>
      <c r="C432" s="12" t="inlineStr">
        <is>
          <t>C5</t>
        </is>
      </c>
      <c r="D432" s="16" t="inlineStr">
        <is>
          <t>https://www.admin.ch/de/volksabstimmung-vom-27-september-2026</t>
        </is>
      </c>
      <c r="E432" s="12" t="inlineStr"/>
      <c r="F432" s="12" t="inlineStr">
        <is>
          <t>nein</t>
        </is>
      </c>
      <c r="G432" s="12" t="inlineStr">
        <is>
          <t>https://www.seelisberg.ch/politik/abstimmungen-wahlen</t>
        </is>
      </c>
      <c r="H432" s="12" t="inlineStr">
        <is>
          <t>Unterseite</t>
        </is>
      </c>
      <c r="I432" s="12" t="inlineStr">
        <is>
          <t>Nein</t>
        </is>
      </c>
      <c r="J432" s="12" t="inlineStr">
        <is>
          <t>Ungeprüft – nicht kuratiert</t>
        </is>
      </c>
    </row>
    <row r="433">
      <c r="A433" s="12" t="inlineStr">
        <is>
          <t>Seelisberg</t>
        </is>
      </c>
      <c r="B433" s="12" t="inlineStr">
        <is>
          <t>Uri</t>
        </is>
      </c>
      <c r="C433" s="12" t="inlineStr">
        <is>
          <t>C5</t>
        </is>
      </c>
      <c r="D433" s="16" t="inlineStr">
        <is>
          <t>https://www.bk.admin.ch/de/volksabstimmung/?date=2024-09-22</t>
        </is>
      </c>
      <c r="E433" s="12" t="inlineStr"/>
      <c r="F433" s="12" t="inlineStr">
        <is>
          <t>nein</t>
        </is>
      </c>
      <c r="G433" s="12" t="inlineStr">
        <is>
          <t>https://www.seelisberg.ch/politik/abstimmungen-wahlen</t>
        </is>
      </c>
      <c r="H433" s="12" t="inlineStr">
        <is>
          <t>Unterseite</t>
        </is>
      </c>
      <c r="I433" s="12" t="inlineStr">
        <is>
          <t>Nein</t>
        </is>
      </c>
      <c r="J433" s="12" t="inlineStr">
        <is>
          <t>Ungeprüft – nicht kuratiert</t>
        </is>
      </c>
    </row>
    <row r="434">
      <c r="A434" s="12" t="inlineStr">
        <is>
          <t>Seelisberg</t>
        </is>
      </c>
      <c r="B434" s="12" t="inlineStr">
        <is>
          <t>Uri</t>
        </is>
      </c>
      <c r="C434" s="12" t="inlineStr">
        <is>
          <t>C5</t>
        </is>
      </c>
      <c r="D434" s="16" t="inlineStr">
        <is>
          <t>https://www.bk.admin.ch/de/volksabstimmung/?date=2024-11-24</t>
        </is>
      </c>
      <c r="E434" s="12" t="inlineStr"/>
      <c r="F434" s="12" t="inlineStr">
        <is>
          <t>nein</t>
        </is>
      </c>
      <c r="G434" s="12" t="inlineStr">
        <is>
          <t>https://www.seelisberg.ch/politik/abstimmungen-wahlen</t>
        </is>
      </c>
      <c r="H434" s="12" t="inlineStr">
        <is>
          <t>Unterseite</t>
        </is>
      </c>
      <c r="I434" s="12" t="inlineStr">
        <is>
          <t>Nein</t>
        </is>
      </c>
      <c r="J434" s="12" t="inlineStr">
        <is>
          <t>Ungeprüft – nicht kuratiert</t>
        </is>
      </c>
    </row>
    <row r="435">
      <c r="A435" s="12" t="inlineStr">
        <is>
          <t>Seelisberg</t>
        </is>
      </c>
      <c r="B435" s="12" t="inlineStr">
        <is>
          <t>Uri</t>
        </is>
      </c>
      <c r="C435" s="12" t="inlineStr">
        <is>
          <t>C5</t>
        </is>
      </c>
      <c r="D435" s="16" t="inlineStr">
        <is>
          <t>https://www.bk.admin.ch/de/volksabstimmung/?date=2025-02-09</t>
        </is>
      </c>
      <c r="E435" s="12" t="inlineStr"/>
      <c r="F435" s="12" t="inlineStr">
        <is>
          <t>nein</t>
        </is>
      </c>
      <c r="G435" s="12" t="inlineStr">
        <is>
          <t>https://www.seelisberg.ch/politik/abstimmungen-wahlen</t>
        </is>
      </c>
      <c r="H435" s="12" t="inlineStr">
        <is>
          <t>Unterseite</t>
        </is>
      </c>
      <c r="I435" s="12" t="inlineStr">
        <is>
          <t>Nein</t>
        </is>
      </c>
      <c r="J435" s="12" t="inlineStr">
        <is>
          <t>Ungeprüft – nicht kuratiert</t>
        </is>
      </c>
    </row>
    <row r="436">
      <c r="A436" s="12" t="inlineStr">
        <is>
          <t>Seelisberg</t>
        </is>
      </c>
      <c r="B436" s="12" t="inlineStr">
        <is>
          <t>Uri</t>
        </is>
      </c>
      <c r="C436" s="12" t="inlineStr">
        <is>
          <t>C5</t>
        </is>
      </c>
      <c r="D436" s="16" t="inlineStr">
        <is>
          <t>https://www.bk.admin.ch/de/volksabstimmung/?date=2025-09-28</t>
        </is>
      </c>
      <c r="E436" s="12" t="inlineStr"/>
      <c r="F436" s="12" t="inlineStr">
        <is>
          <t>nein</t>
        </is>
      </c>
      <c r="G436" s="12" t="inlineStr">
        <is>
          <t>https://www.seelisberg.ch/politik/abstimmungen-wahlen</t>
        </is>
      </c>
      <c r="H436" s="12" t="inlineStr">
        <is>
          <t>Unterseite</t>
        </is>
      </c>
      <c r="I436" s="12" t="inlineStr">
        <is>
          <t>Nein</t>
        </is>
      </c>
      <c r="J436" s="12" t="inlineStr">
        <is>
          <t>Ungeprüft – nicht kuratiert</t>
        </is>
      </c>
    </row>
    <row r="437">
      <c r="A437" s="12" t="inlineStr">
        <is>
          <t>Seelisberg</t>
        </is>
      </c>
      <c r="B437" s="12" t="inlineStr">
        <is>
          <t>Uri</t>
        </is>
      </c>
      <c r="C437" s="12" t="inlineStr">
        <is>
          <t>C5</t>
        </is>
      </c>
      <c r="D437" s="16" t="inlineStr">
        <is>
          <t>https://www.bk.admin.ch/de/volksabstimmung/?date=2025-11-30</t>
        </is>
      </c>
      <c r="E437" s="12" t="inlineStr"/>
      <c r="F437" s="12" t="inlineStr">
        <is>
          <t>nein</t>
        </is>
      </c>
      <c r="G437" s="12" t="inlineStr">
        <is>
          <t>https://www.seelisberg.ch/politik/abstimmungen-wahlen</t>
        </is>
      </c>
      <c r="H437" s="12" t="inlineStr">
        <is>
          <t>Unterseite</t>
        </is>
      </c>
      <c r="I437" s="12" t="inlineStr">
        <is>
          <t>Nein</t>
        </is>
      </c>
      <c r="J437" s="12" t="inlineStr">
        <is>
          <t>Ungeprüft – nicht kuratiert</t>
        </is>
      </c>
    </row>
    <row r="438">
      <c r="A438" s="12" t="inlineStr">
        <is>
          <t>Seelisberg</t>
        </is>
      </c>
      <c r="B438" s="12" t="inlineStr">
        <is>
          <t>Uri</t>
        </is>
      </c>
      <c r="C438" s="12" t="inlineStr">
        <is>
          <t>C5</t>
        </is>
      </c>
      <c r="D438" s="16" t="inlineStr">
        <is>
          <t>https://www.bk.admin.ch/de/volksabstimmung/?date=2026-03-08</t>
        </is>
      </c>
      <c r="E438" s="12" t="inlineStr"/>
      <c r="F438" s="12" t="inlineStr">
        <is>
          <t>nein</t>
        </is>
      </c>
      <c r="G438" s="12" t="inlineStr">
        <is>
          <t>https://www.seelisberg.ch/politik/abstimmungen-wahlen</t>
        </is>
      </c>
      <c r="H438" s="12" t="inlineStr">
        <is>
          <t>Unterseite</t>
        </is>
      </c>
      <c r="I438" s="12" t="inlineStr">
        <is>
          <t>Nein</t>
        </is>
      </c>
      <c r="J438" s="12" t="inlineStr">
        <is>
          <t>Ungeprüft – nicht kuratiert</t>
        </is>
      </c>
    </row>
    <row r="439">
      <c r="A439" s="12" t="inlineStr">
        <is>
          <t>Seelisberg</t>
        </is>
      </c>
      <c r="B439" s="12" t="inlineStr">
        <is>
          <t>Uri</t>
        </is>
      </c>
      <c r="C439" s="12" t="inlineStr">
        <is>
          <t>C5</t>
        </is>
      </c>
      <c r="D439" s="16" t="inlineStr">
        <is>
          <t>https://www.bk.admin.ch/de/volksabstimmung/?date=2026-06-14</t>
        </is>
      </c>
      <c r="E439" s="12" t="inlineStr"/>
      <c r="F439" s="12" t="inlineStr">
        <is>
          <t>nein</t>
        </is>
      </c>
      <c r="G439" s="12" t="inlineStr">
        <is>
          <t>https://www.seelisberg.ch/politik/abstimmungen-wahlen</t>
        </is>
      </c>
      <c r="H439" s="12" t="inlineStr">
        <is>
          <t>Unterseite</t>
        </is>
      </c>
      <c r="I439" s="12" t="inlineStr">
        <is>
          <t>Nein</t>
        </is>
      </c>
      <c r="J439" s="12" t="inlineStr">
        <is>
          <t>Ungeprüft – nicht kuratiert</t>
        </is>
      </c>
    </row>
    <row r="440">
      <c r="A440" s="12" t="inlineStr">
        <is>
          <t>Seelisberg</t>
        </is>
      </c>
      <c r="B440" s="12" t="inlineStr">
        <is>
          <t>Uri</t>
        </is>
      </c>
      <c r="C440" s="12" t="inlineStr">
        <is>
          <t>C5</t>
        </is>
      </c>
      <c r="D440" s="16" t="inlineStr">
        <is>
          <t>https://www.seelisberg.ch/files/bilder/Protokoll-Beschlüsse_24052024.pdf</t>
        </is>
      </c>
      <c r="E440" s="12" t="inlineStr">
        <is>
          <t>Beschlussprotokoll_GV_24.05.2024</t>
        </is>
      </c>
      <c r="F440" s="12" t="inlineStr">
        <is>
          <t>ja</t>
        </is>
      </c>
      <c r="G440" s="12" t="inlineStr">
        <is>
          <t>https://www.seelisberg.ch/politik/gemeindeversammlung</t>
        </is>
      </c>
      <c r="H440" s="12" t="inlineStr">
        <is>
          <t>Einstiegsseite</t>
        </is>
      </c>
      <c r="I440" s="12" t="inlineStr">
        <is>
          <t>Nein</t>
        </is>
      </c>
      <c r="J440" s="12" t="inlineStr">
        <is>
          <t>Ungeprüft – nicht kuratiert</t>
        </is>
      </c>
    </row>
    <row r="441">
      <c r="A441" s="12" t="inlineStr">
        <is>
          <t>Seelisberg</t>
        </is>
      </c>
      <c r="B441" s="12" t="inlineStr">
        <is>
          <t>Uri</t>
        </is>
      </c>
      <c r="C441" s="12" t="inlineStr">
        <is>
          <t>C5</t>
        </is>
      </c>
      <c r="D441" s="16" t="inlineStr">
        <is>
          <t>https://www.seelisberg.ch/files/pdf/20052022_Protokoll-Beschlüsse.pdf</t>
        </is>
      </c>
      <c r="E441" s="12" t="inlineStr">
        <is>
          <t>Beschlussprotokoll_GV_20.05.2022</t>
        </is>
      </c>
      <c r="F441" s="12" t="inlineStr">
        <is>
          <t>ja</t>
        </is>
      </c>
      <c r="G441" s="12" t="inlineStr">
        <is>
          <t>https://www.seelisberg.ch/politik/gemeindeversammlung</t>
        </is>
      </c>
      <c r="H441" s="12" t="inlineStr">
        <is>
          <t>Einstiegsseite</t>
        </is>
      </c>
      <c r="I441" s="12" t="inlineStr">
        <is>
          <t>Nein</t>
        </is>
      </c>
      <c r="J441" s="12" t="inlineStr">
        <is>
          <t>Ungeprüft – nicht kuratiert</t>
        </is>
      </c>
    </row>
    <row r="442">
      <c r="A442" s="12" t="inlineStr">
        <is>
          <t>Seelisberg</t>
        </is>
      </c>
      <c r="B442" s="12" t="inlineStr">
        <is>
          <t>Uri</t>
        </is>
      </c>
      <c r="C442" s="12" t="inlineStr">
        <is>
          <t>C5</t>
        </is>
      </c>
      <c r="D442" s="16" t="inlineStr">
        <is>
          <t>https://www.seelisberg.ch/files/pdf/26112021_Protokoll-Beschlüsse.pdf</t>
        </is>
      </c>
      <c r="E442" s="12" t="inlineStr"/>
      <c r="F442" s="12" t="inlineStr">
        <is>
          <t>ja</t>
        </is>
      </c>
      <c r="G442" s="12" t="inlineStr">
        <is>
          <t>https://www.seelisberg.ch/politik/gemeindeversammlung</t>
        </is>
      </c>
      <c r="H442" s="12" t="inlineStr">
        <is>
          <t>Einstiegsseite</t>
        </is>
      </c>
      <c r="I442" s="12" t="inlineStr">
        <is>
          <t>Nein</t>
        </is>
      </c>
      <c r="J442" s="12" t="inlineStr">
        <is>
          <t>Ungeprüft – nicht kuratiert</t>
        </is>
      </c>
    </row>
    <row r="443">
      <c r="A443" s="12" t="inlineStr">
        <is>
          <t>Seelisberg</t>
        </is>
      </c>
      <c r="B443" s="12" t="inlineStr">
        <is>
          <t>Uri</t>
        </is>
      </c>
      <c r="C443" s="12" t="inlineStr">
        <is>
          <t>C5</t>
        </is>
      </c>
      <c r="D443" s="16" t="inlineStr">
        <is>
          <t>https://www.seelisberg.ch/files/pdf/Abstimmung_GdeSeelisberg_220924.pdf</t>
        </is>
      </c>
      <c r="E443" s="12" t="inlineStr"/>
      <c r="F443" s="12" t="inlineStr">
        <is>
          <t>ja</t>
        </is>
      </c>
      <c r="G443" s="12" t="inlineStr">
        <is>
          <t>https://www.seelisberg.ch/politik/abstimmungen-wahlen</t>
        </is>
      </c>
      <c r="H443" s="12" t="inlineStr">
        <is>
          <t>Unterseite</t>
        </is>
      </c>
      <c r="I443" s="12" t="inlineStr">
        <is>
          <t>Nein</t>
        </is>
      </c>
      <c r="J443" s="12" t="inlineStr">
        <is>
          <t>Ungeprüft – nicht kuratiert</t>
        </is>
      </c>
    </row>
    <row r="444">
      <c r="A444" s="12" t="inlineStr">
        <is>
          <t>Seelisberg</t>
        </is>
      </c>
      <c r="B444" s="12" t="inlineStr">
        <is>
          <t>Uri</t>
        </is>
      </c>
      <c r="C444" s="12" t="inlineStr">
        <is>
          <t>C5</t>
        </is>
      </c>
      <c r="D444" s="16" t="inlineStr">
        <is>
          <t>https://www.seelisberg.ch/files/pdf/BP_GV_25.11.22.pdf</t>
        </is>
      </c>
      <c r="E444" s="12" t="inlineStr">
        <is>
          <t>Beschlussprotokoll_GV_25.11.2022</t>
        </is>
      </c>
      <c r="F444" s="12" t="inlineStr">
        <is>
          <t>ja</t>
        </is>
      </c>
      <c r="G444" s="12" t="inlineStr">
        <is>
          <t>https://www.seelisberg.ch/politik/gemeindeversammlung</t>
        </is>
      </c>
      <c r="H444" s="12" t="inlineStr">
        <is>
          <t>Einstiegsseite</t>
        </is>
      </c>
      <c r="I444" s="12" t="inlineStr">
        <is>
          <t>Nein</t>
        </is>
      </c>
      <c r="J444" s="12" t="inlineStr">
        <is>
          <t>Ungeprüft – nicht kuratiert</t>
        </is>
      </c>
    </row>
    <row r="445">
      <c r="A445" s="12" t="inlineStr">
        <is>
          <t>Seelisberg</t>
        </is>
      </c>
      <c r="B445" s="12" t="inlineStr">
        <is>
          <t>Uri</t>
        </is>
      </c>
      <c r="C445" s="12" t="inlineStr">
        <is>
          <t>C5</t>
        </is>
      </c>
      <c r="D445" s="16" t="inlineStr">
        <is>
          <t>https://www.seelisberg.ch/files/pdf/Beschluss_Protokoll_260523.pdf</t>
        </is>
      </c>
      <c r="E445" s="12" t="inlineStr">
        <is>
          <t>Beschlussprotokoll_GV_26.05.2023</t>
        </is>
      </c>
      <c r="F445" s="12" t="inlineStr">
        <is>
          <t>ja</t>
        </is>
      </c>
      <c r="G445" s="12" t="inlineStr">
        <is>
          <t>https://www.seelisberg.ch/politik/gemeindeversammlung</t>
        </is>
      </c>
      <c r="H445" s="12" t="inlineStr">
        <is>
          <t>Einstiegsseite</t>
        </is>
      </c>
      <c r="I445" s="12" t="inlineStr">
        <is>
          <t>Nein</t>
        </is>
      </c>
      <c r="J445" s="12" t="inlineStr">
        <is>
          <t>Ungeprüft – nicht kuratiert</t>
        </is>
      </c>
    </row>
    <row r="446">
      <c r="A446" s="12" t="inlineStr">
        <is>
          <t>Seelisberg</t>
        </is>
      </c>
      <c r="B446" s="12" t="inlineStr">
        <is>
          <t>Uri</t>
        </is>
      </c>
      <c r="C446" s="12" t="inlineStr">
        <is>
          <t>C5</t>
        </is>
      </c>
      <c r="D446" s="16" t="inlineStr">
        <is>
          <t>https://www.seelisberg.ch/files/pdf/Beschlussprotokoll-GV-Mai-2025.pdf</t>
        </is>
      </c>
      <c r="E446" s="12" t="inlineStr">
        <is>
          <t>Beschlussprotokoll_GV_28.05.2025</t>
        </is>
      </c>
      <c r="F446" s="12" t="inlineStr">
        <is>
          <t>ja</t>
        </is>
      </c>
      <c r="G446" s="12" t="inlineStr">
        <is>
          <t>https://www.seelisberg.ch/politik/gemeindeversammlung</t>
        </is>
      </c>
      <c r="H446" s="12" t="inlineStr">
        <is>
          <t>Einstiegsseite</t>
        </is>
      </c>
      <c r="I446" s="12" t="inlineStr">
        <is>
          <t>Ja</t>
        </is>
      </c>
      <c r="J446" s="12" t="inlineStr">
        <is>
          <t>Ungeprüft – nicht kuratiert</t>
        </is>
      </c>
    </row>
    <row r="447">
      <c r="A447" s="12" t="inlineStr">
        <is>
          <t>Seelisberg</t>
        </is>
      </c>
      <c r="B447" s="12" t="inlineStr">
        <is>
          <t>Uri</t>
        </is>
      </c>
      <c r="C447" s="12" t="inlineStr">
        <is>
          <t>C5</t>
        </is>
      </c>
      <c r="D447" s="16" t="inlineStr">
        <is>
          <t>https://www.seelisberg.ch/files/pdf/Beschlussprotokoll-GV_29.11.2024.pdf</t>
        </is>
      </c>
      <c r="E447" s="12" t="inlineStr">
        <is>
          <t>Beschlussprotokoll_GV_29.11.2024</t>
        </is>
      </c>
      <c r="F447" s="12" t="inlineStr">
        <is>
          <t>ja</t>
        </is>
      </c>
      <c r="G447" s="12" t="inlineStr">
        <is>
          <t>https://www.seelisberg.ch/politik/gemeindeversammlung</t>
        </is>
      </c>
      <c r="H447" s="12" t="inlineStr">
        <is>
          <t>Einstiegsseite</t>
        </is>
      </c>
      <c r="I447" s="12" t="inlineStr">
        <is>
          <t>Nein</t>
        </is>
      </c>
      <c r="J447" s="12" t="inlineStr">
        <is>
          <t>Ungeprüft – nicht kuratiert</t>
        </is>
      </c>
    </row>
    <row r="448">
      <c r="A448" s="12" t="inlineStr">
        <is>
          <t>Seelisberg</t>
        </is>
      </c>
      <c r="B448" s="12" t="inlineStr">
        <is>
          <t>Uri</t>
        </is>
      </c>
      <c r="C448" s="12" t="inlineStr">
        <is>
          <t>C5</t>
        </is>
      </c>
      <c r="D448" s="16" t="inlineStr">
        <is>
          <t>https://www.seelisberg.ch/files/pdf/Beschlussprotokoll_GV_24.11.2023.pdf</t>
        </is>
      </c>
      <c r="E448" s="12" t="inlineStr">
        <is>
          <t>Beschlussprotokoll_GV_24.11.2023</t>
        </is>
      </c>
      <c r="F448" s="12" t="inlineStr">
        <is>
          <t>ja</t>
        </is>
      </c>
      <c r="G448" s="12" t="inlineStr">
        <is>
          <t>https://www.seelisberg.ch/politik/gemeindeversammlung</t>
        </is>
      </c>
      <c r="H448" s="12" t="inlineStr">
        <is>
          <t>Einstiegsseite</t>
        </is>
      </c>
      <c r="I448" s="12" t="inlineStr">
        <is>
          <t>Ja</t>
        </is>
      </c>
      <c r="J448" s="12" t="inlineStr">
        <is>
          <t>Ungeprüft – nicht kuratiert</t>
        </is>
      </c>
    </row>
    <row r="449">
      <c r="A449" s="12" t="inlineStr">
        <is>
          <t>Seelisberg</t>
        </is>
      </c>
      <c r="B449" s="12" t="inlineStr">
        <is>
          <t>Uri</t>
        </is>
      </c>
      <c r="C449" s="12" t="inlineStr">
        <is>
          <t>C5</t>
        </is>
      </c>
      <c r="D449" s="16" t="inlineStr">
        <is>
          <t>https://www.seelisberg.ch/files/pdf/Beschlussprotokoll_GV_28.11.2025.pdf</t>
        </is>
      </c>
      <c r="E449" s="12" t="inlineStr">
        <is>
          <t>Beschlussprotokoll_GV_28.11.2025</t>
        </is>
      </c>
      <c r="F449" s="12" t="inlineStr">
        <is>
          <t>ja</t>
        </is>
      </c>
      <c r="G449" s="12" t="inlineStr">
        <is>
          <t>https://www.seelisberg.ch/politik/gemeindeversammlung</t>
        </is>
      </c>
      <c r="H449" s="12" t="inlineStr">
        <is>
          <t>Einstiegsseite</t>
        </is>
      </c>
      <c r="I449" s="12" t="inlineStr">
        <is>
          <t>Ja</t>
        </is>
      </c>
      <c r="J449" s="12" t="inlineStr">
        <is>
          <t>Ungeprüft – nicht kuratiert</t>
        </is>
      </c>
    </row>
    <row r="450">
      <c r="A450" s="12" t="inlineStr">
        <is>
          <t>Seelisberg</t>
        </is>
      </c>
      <c r="B450" s="12" t="inlineStr">
        <is>
          <t>Uri</t>
        </is>
      </c>
      <c r="C450" s="12" t="inlineStr">
        <is>
          <t>C5</t>
        </is>
      </c>
      <c r="D450" s="16" t="inlineStr">
        <is>
          <t>https://www.seelisberg.ch/files/pdf/ORIGINAL-Leitbild-Seelisberg-2025-für-Webseite.pdf</t>
        </is>
      </c>
      <c r="E450" s="12" t="inlineStr">
        <is>
          <t>Leitbild Seelisberg - 2025</t>
        </is>
      </c>
      <c r="F450" s="12" t="inlineStr">
        <is>
          <t>ja</t>
        </is>
      </c>
      <c r="G450" s="12" t="inlineStr">
        <is>
          <t>https://www.seelisberg.ch/ueber-seelisberg/leitbild</t>
        </is>
      </c>
      <c r="H450" s="12" t="inlineStr">
        <is>
          <t>Unterseite</t>
        </is>
      </c>
      <c r="I450" s="12" t="inlineStr">
        <is>
          <t>Nein</t>
        </is>
      </c>
      <c r="J450" s="12" t="inlineStr">
        <is>
          <t>Ungeprüft – nicht kuratiert</t>
        </is>
      </c>
    </row>
    <row r="451">
      <c r="A451" s="12" t="inlineStr">
        <is>
          <t>Seelisberg</t>
        </is>
      </c>
      <c r="B451" s="12" t="inlineStr">
        <is>
          <t>Uri</t>
        </is>
      </c>
      <c r="C451" s="12" t="inlineStr">
        <is>
          <t>C5</t>
        </is>
      </c>
      <c r="D451" s="16" t="inlineStr">
        <is>
          <t>https://www.seelisberg.ch/files/pdf/Webseite_Medienmitteilung_nach_GV_Leitbild_DEF.pdf</t>
        </is>
      </c>
      <c r="E451" s="12" t="inlineStr">
        <is>
          <t>Medienmitteilung im Dezember 2025</t>
        </is>
      </c>
      <c r="F451" s="12" t="inlineStr">
        <is>
          <t>ja</t>
        </is>
      </c>
      <c r="G451" s="12" t="inlineStr">
        <is>
          <t>https://www.seelisberg.ch/ueber-seelisberg/leitbild</t>
        </is>
      </c>
      <c r="H451" s="12" t="inlineStr">
        <is>
          <t>Unterseite</t>
        </is>
      </c>
      <c r="I451" s="12" t="inlineStr">
        <is>
          <t>Nein</t>
        </is>
      </c>
      <c r="J451" s="12" t="inlineStr">
        <is>
          <t>Ungeprüft – nicht kuratiert</t>
        </is>
      </c>
    </row>
    <row r="452">
      <c r="A452" s="12" t="inlineStr">
        <is>
          <t>Seelisberg</t>
        </is>
      </c>
      <c r="B452" s="12" t="inlineStr">
        <is>
          <t>Uri</t>
        </is>
      </c>
      <c r="C452" s="12" t="inlineStr">
        <is>
          <t>C5</t>
        </is>
      </c>
      <c r="D452" s="16" t="inlineStr">
        <is>
          <t>https://www.seelisberg.ch/files/pdf/kommunale-Abstimmung-Seelisberg_260308.pdf</t>
        </is>
      </c>
      <c r="E452" s="12" t="inlineStr"/>
      <c r="F452" s="12" t="inlineStr">
        <is>
          <t>ja</t>
        </is>
      </c>
      <c r="G452" s="12" t="inlineStr">
        <is>
          <t>https://www.seelisberg.ch/politik/abstimmungen-wahlen</t>
        </is>
      </c>
      <c r="H452" s="12" t="inlineStr">
        <is>
          <t>Unterseite</t>
        </is>
      </c>
      <c r="I452" s="12" t="inlineStr">
        <is>
          <t>Ja</t>
        </is>
      </c>
      <c r="J452" s="12" t="inlineStr">
        <is>
          <t>Ungeprüft – nicht kuratiert</t>
        </is>
      </c>
    </row>
    <row r="453">
      <c r="A453" s="12" t="inlineStr">
        <is>
          <t>Seelisberg</t>
        </is>
      </c>
      <c r="B453" s="12" t="inlineStr">
        <is>
          <t>Uri</t>
        </is>
      </c>
      <c r="C453" s="12" t="inlineStr">
        <is>
          <t>C5</t>
        </is>
      </c>
      <c r="D453" s="16" t="inlineStr">
        <is>
          <t>https://www.seelisberg.ch/politik/abstimmungen-wahlen</t>
        </is>
      </c>
      <c r="E453" s="12" t="inlineStr">
        <is>
          <t>Abstimmungen &amp; Wahlen</t>
        </is>
      </c>
      <c r="F453" s="12" t="inlineStr">
        <is>
          <t>nein</t>
        </is>
      </c>
      <c r="G453" s="12" t="inlineStr">
        <is>
          <t>https://www.seelisberg.ch/politik/gemeindeversammlung</t>
        </is>
      </c>
      <c r="H453" s="12" t="inlineStr">
        <is>
          <t>Einstiegsseite</t>
        </is>
      </c>
      <c r="I453" s="12" t="inlineStr">
        <is>
          <t>Nein</t>
        </is>
      </c>
      <c r="J453" s="12" t="inlineStr">
        <is>
          <t>Ungeprüft – nicht kuratiert</t>
        </is>
      </c>
    </row>
    <row r="454">
      <c r="A454" s="12" t="inlineStr">
        <is>
          <t>Seelisberg</t>
        </is>
      </c>
      <c r="B454" s="12" t="inlineStr">
        <is>
          <t>Uri</t>
        </is>
      </c>
      <c r="C454" s="12" t="inlineStr">
        <is>
          <t>C5</t>
        </is>
      </c>
      <c r="D454" s="16" t="inlineStr">
        <is>
          <t>https://www.seelisberg.ch/politik/gemeindeversammlung</t>
        </is>
      </c>
      <c r="E454" s="12" t="inlineStr"/>
      <c r="F454" s="12" t="inlineStr">
        <is>
          <t>nein</t>
        </is>
      </c>
      <c r="G454" s="12" t="inlineStr">
        <is>
          <t>https://www.seelisberg.ch/politik/gemeindeversammlung</t>
        </is>
      </c>
      <c r="H454" s="12" t="inlineStr">
        <is>
          <t>Einstiegsseite</t>
        </is>
      </c>
      <c r="I454" s="12" t="inlineStr">
        <is>
          <t>Ja</t>
        </is>
      </c>
      <c r="J454" s="12" t="inlineStr">
        <is>
          <t>Ungeprüft – nicht kuratiert</t>
        </is>
      </c>
    </row>
    <row r="455">
      <c r="A455" s="12" t="inlineStr">
        <is>
          <t>Seelisberg</t>
        </is>
      </c>
      <c r="B455" s="12" t="inlineStr">
        <is>
          <t>Uri</t>
        </is>
      </c>
      <c r="C455" s="12" t="inlineStr">
        <is>
          <t>C5</t>
        </is>
      </c>
      <c r="D455" s="16" t="inlineStr">
        <is>
          <t>https://www.seelisberg.ch/ueber-seelisberg/leitbild</t>
        </is>
      </c>
      <c r="E455" s="12" t="inlineStr">
        <is>
          <t>Leitbild</t>
        </is>
      </c>
      <c r="F455" s="12" t="inlineStr">
        <is>
          <t>nein</t>
        </is>
      </c>
      <c r="G455" s="12" t="inlineStr">
        <is>
          <t>https://www.seelisberg.ch/politik/gemeindeversammlung</t>
        </is>
      </c>
      <c r="H455" s="12" t="inlineStr">
        <is>
          <t>Einstiegsseite</t>
        </is>
      </c>
      <c r="I455" s="12" t="inlineStr">
        <is>
          <t>Nein</t>
        </is>
      </c>
      <c r="J455" s="12" t="inlineStr">
        <is>
          <t>Ungeprüft – nicht kuratiert</t>
        </is>
      </c>
    </row>
    <row r="456">
      <c r="A456" s="12" t="inlineStr">
        <is>
          <t>Seelisberg</t>
        </is>
      </c>
      <c r="B456" s="12" t="inlineStr">
        <is>
          <t>Uri</t>
        </is>
      </c>
      <c r="C456" s="12" t="inlineStr">
        <is>
          <t>C5</t>
        </is>
      </c>
      <c r="D456" s="16" t="inlineStr">
        <is>
          <t>https://www.ur.ch/abstimmungen</t>
        </is>
      </c>
      <c r="E456" s="12" t="inlineStr">
        <is>
          <t>Termine</t>
        </is>
      </c>
      <c r="F456" s="12" t="inlineStr">
        <is>
          <t>nein</t>
        </is>
      </c>
      <c r="G456" s="12" t="inlineStr">
        <is>
          <t>https://www.ur.ch/publikationen/6680</t>
        </is>
      </c>
      <c r="H456" s="12" t="inlineStr">
        <is>
          <t>Einstiegsseite</t>
        </is>
      </c>
      <c r="I456" s="12" t="inlineStr">
        <is>
          <t>Nein</t>
        </is>
      </c>
      <c r="J456" s="12" t="inlineStr">
        <is>
          <t>Ungeprüft – nicht kuratiert</t>
        </is>
      </c>
    </row>
    <row r="457">
      <c r="A457" s="12" t="inlineStr">
        <is>
          <t>Seelisberg</t>
        </is>
      </c>
      <c r="B457" s="12" t="inlineStr">
        <is>
          <t>Uri</t>
        </is>
      </c>
      <c r="C457" s="12" t="inlineStr">
        <is>
          <t>C5</t>
        </is>
      </c>
      <c r="D457" s="16" t="inlineStr">
        <is>
          <t>https://www.ur.ch/abstimmungen/termine/25418</t>
        </is>
      </c>
      <c r="E457" s="12" t="inlineStr"/>
      <c r="F457" s="12" t="inlineStr">
        <is>
          <t>nein</t>
        </is>
      </c>
      <c r="G457" s="12" t="inlineStr">
        <is>
          <t>https://www.seelisberg.ch/politik/abstimmungen-wahlen</t>
        </is>
      </c>
      <c r="H457" s="12" t="inlineStr">
        <is>
          <t>Unterseite</t>
        </is>
      </c>
      <c r="I457" s="12" t="inlineStr">
        <is>
          <t>Nein</t>
        </is>
      </c>
      <c r="J457" s="12" t="inlineStr">
        <is>
          <t>Ungeprüft – nicht kuratiert</t>
        </is>
      </c>
    </row>
    <row r="458">
      <c r="A458" s="12" t="inlineStr">
        <is>
          <t>Seelisberg</t>
        </is>
      </c>
      <c r="B458" s="12" t="inlineStr">
        <is>
          <t>Uri</t>
        </is>
      </c>
      <c r="C458" s="12" t="inlineStr">
        <is>
          <t>C5</t>
        </is>
      </c>
      <c r="D458" s="16" t="inlineStr">
        <is>
          <t>https://www.ur.ch/abstimmungen/termine/39667</t>
        </is>
      </c>
      <c r="E458" s="12" t="inlineStr"/>
      <c r="F458" s="12" t="inlineStr">
        <is>
          <t>nein</t>
        </is>
      </c>
      <c r="G458" s="12" t="inlineStr">
        <is>
          <t>https://www.seelisberg.ch/politik/abstimmungen-wahlen</t>
        </is>
      </c>
      <c r="H458" s="12" t="inlineStr">
        <is>
          <t>Unterseite</t>
        </is>
      </c>
      <c r="I458" s="12" t="inlineStr">
        <is>
          <t>Nein</t>
        </is>
      </c>
      <c r="J458" s="12" t="inlineStr">
        <is>
          <t>Ungeprüft – nicht kuratiert</t>
        </is>
      </c>
    </row>
    <row r="459">
      <c r="A459" s="12" t="inlineStr">
        <is>
          <t>Seelisberg</t>
        </is>
      </c>
      <c r="B459" s="12" t="inlineStr">
        <is>
          <t>Uri</t>
        </is>
      </c>
      <c r="C459" s="12" t="inlineStr">
        <is>
          <t>C5</t>
        </is>
      </c>
      <c r="D459" s="16" t="inlineStr">
        <is>
          <t>https://www.ur.ch/abstimmungen/termine/65818</t>
        </is>
      </c>
      <c r="E459" s="12" t="inlineStr"/>
      <c r="F459" s="12" t="inlineStr">
        <is>
          <t>nein</t>
        </is>
      </c>
      <c r="G459" s="12" t="inlineStr">
        <is>
          <t>https://www.seelisberg.ch/politik/abstimmungen-wahlen</t>
        </is>
      </c>
      <c r="H459" s="12" t="inlineStr">
        <is>
          <t>Unterseite</t>
        </is>
      </c>
      <c r="I459" s="12" t="inlineStr">
        <is>
          <t>Nein</t>
        </is>
      </c>
      <c r="J459" s="12" t="inlineStr">
        <is>
          <t>Ungeprüft – nicht kuratiert</t>
        </is>
      </c>
    </row>
    <row r="460">
      <c r="A460" s="12" t="inlineStr">
        <is>
          <t>Seelisberg</t>
        </is>
      </c>
      <c r="B460" s="12" t="inlineStr">
        <is>
          <t>Uri</t>
        </is>
      </c>
      <c r="C460" s="12" t="inlineStr">
        <is>
          <t>C5</t>
        </is>
      </c>
      <c r="D460" s="16" t="inlineStr">
        <is>
          <t>https://www.ur.ch/abstimmungen/termine/65830</t>
        </is>
      </c>
      <c r="E460" s="12" t="inlineStr"/>
      <c r="F460" s="12" t="inlineStr">
        <is>
          <t>nein</t>
        </is>
      </c>
      <c r="G460" s="12" t="inlineStr">
        <is>
          <t>https://www.seelisberg.ch/politik/abstimmungen-wahlen</t>
        </is>
      </c>
      <c r="H460" s="12" t="inlineStr">
        <is>
          <t>Unterseite</t>
        </is>
      </c>
      <c r="I460" s="12" t="inlineStr">
        <is>
          <t>Nein</t>
        </is>
      </c>
      <c r="J460" s="12" t="inlineStr">
        <is>
          <t>Ungeprüft – nicht kuratiert</t>
        </is>
      </c>
    </row>
    <row r="461">
      <c r="A461" s="12" t="inlineStr">
        <is>
          <t>Seelisberg</t>
        </is>
      </c>
      <c r="B461" s="12" t="inlineStr">
        <is>
          <t>Uri</t>
        </is>
      </c>
      <c r="C461" s="12" t="inlineStr">
        <is>
          <t>C5</t>
        </is>
      </c>
      <c r="D461" s="16" t="inlineStr">
        <is>
          <t>https://www.ur.ch/abstimmungen/termine/78493</t>
        </is>
      </c>
      <c r="E461" s="12" t="inlineStr"/>
      <c r="F461" s="12" t="inlineStr">
        <is>
          <t>nein</t>
        </is>
      </c>
      <c r="G461" s="12" t="inlineStr">
        <is>
          <t>https://www.seelisberg.ch/politik/abstimmungen-wahlen</t>
        </is>
      </c>
      <c r="H461" s="12" t="inlineStr">
        <is>
          <t>Unterseite</t>
        </is>
      </c>
      <c r="I461" s="12" t="inlineStr">
        <is>
          <t>Nein</t>
        </is>
      </c>
      <c r="J461" s="12" t="inlineStr">
        <is>
          <t>Ungeprüft – nicht kuratiert</t>
        </is>
      </c>
    </row>
    <row r="462">
      <c r="A462" s="12" t="inlineStr">
        <is>
          <t>Seelisberg</t>
        </is>
      </c>
      <c r="B462" s="12" t="inlineStr">
        <is>
          <t>Uri</t>
        </is>
      </c>
      <c r="C462" s="12" t="inlineStr">
        <is>
          <t>C5</t>
        </is>
      </c>
      <c r="D462" s="16" t="inlineStr">
        <is>
          <t>https://www.ur.ch/abstimmungen/vorlagen</t>
        </is>
      </c>
      <c r="E462" s="12" t="inlineStr">
        <is>
          <t>Archiv / Suche</t>
        </is>
      </c>
      <c r="F462" s="12" t="inlineStr">
        <is>
          <t>nein</t>
        </is>
      </c>
      <c r="G462" s="12" t="inlineStr">
        <is>
          <t>https://www.ur.ch/publikationen/6680</t>
        </is>
      </c>
      <c r="H462" s="12" t="inlineStr">
        <is>
          <t>Einstiegsseite</t>
        </is>
      </c>
      <c r="I462" s="12" t="inlineStr">
        <is>
          <t>Nein</t>
        </is>
      </c>
      <c r="J462" s="12" t="inlineStr">
        <is>
          <t>Ungeprüft – nicht kuratiert</t>
        </is>
      </c>
    </row>
    <row r="463">
      <c r="A463" s="12" t="inlineStr">
        <is>
          <t>Seelisberg</t>
        </is>
      </c>
      <c r="B463" s="12" t="inlineStr">
        <is>
          <t>Uri</t>
        </is>
      </c>
      <c r="C463" s="12" t="inlineStr">
        <is>
          <t>C5</t>
        </is>
      </c>
      <c r="D463" s="16" t="inlineStr">
        <is>
          <t>https://www.ur.ch/exekutivgeschaefte</t>
        </is>
      </c>
      <c r="E463" s="12" t="inlineStr">
        <is>
          <t>Vernehmlassungen</t>
        </is>
      </c>
      <c r="F463" s="12" t="inlineStr">
        <is>
          <t>nein</t>
        </is>
      </c>
      <c r="G463" s="12" t="inlineStr">
        <is>
          <t>https://www.ur.ch/publikationen/6680</t>
        </is>
      </c>
      <c r="H463" s="12" t="inlineStr">
        <is>
          <t>Einstiegsseite</t>
        </is>
      </c>
      <c r="I463" s="12" t="inlineStr">
        <is>
          <t>Nein</t>
        </is>
      </c>
      <c r="J463" s="12" t="inlineStr">
        <is>
          <t>Ungeprüft – nicht kuratiert</t>
        </is>
      </c>
    </row>
    <row r="464">
      <c r="A464" s="12" t="inlineStr">
        <is>
          <t>Seelisberg</t>
        </is>
      </c>
      <c r="B464" s="12" t="inlineStr">
        <is>
          <t>Uri</t>
        </is>
      </c>
      <c r="C464" s="12" t="inlineStr">
        <is>
          <t>C5</t>
        </is>
      </c>
      <c r="D464" s="16" t="inlineStr">
        <is>
          <t>https://www.ur.ch/wahlenundabstimmungen</t>
        </is>
      </c>
      <c r="E464" s="12" t="inlineStr">
        <is>
          <t>Wahlen &amp; Abstimmungen</t>
        </is>
      </c>
      <c r="F464" s="12" t="inlineStr">
        <is>
          <t>nein</t>
        </is>
      </c>
      <c r="G464" s="12" t="inlineStr">
        <is>
          <t>https://www.ur.ch/publikationen/6680</t>
        </is>
      </c>
      <c r="H464" s="12" t="inlineStr">
        <is>
          <t>Einstiegsseite</t>
        </is>
      </c>
      <c r="I464" s="12" t="inlineStr">
        <is>
          <t>Nein</t>
        </is>
      </c>
      <c r="J464" s="12" t="inlineStr">
        <is>
          <t>Ungeprüft – nicht kuratiert</t>
        </is>
      </c>
    </row>
    <row r="465">
      <c r="A465" s="12" t="inlineStr">
        <is>
          <t>Seelisberg</t>
        </is>
      </c>
      <c r="B465" s="12" t="inlineStr">
        <is>
          <t>Uri</t>
        </is>
      </c>
      <c r="C465" s="12" t="inlineStr">
        <is>
          <t>C5</t>
        </is>
      </c>
      <c r="D465" s="16" t="inlineStr">
        <is>
          <t>https://www.ur.ch/wirtschaft/6172</t>
        </is>
      </c>
      <c r="E465" s="12" t="inlineStr">
        <is>
          <t>Urner Botschafternetz</t>
        </is>
      </c>
      <c r="F465" s="12" t="inlineStr">
        <is>
          <t>nein</t>
        </is>
      </c>
      <c r="G465" s="12" t="inlineStr">
        <is>
          <t>https://www.ur.ch/publikationen/6680</t>
        </is>
      </c>
      <c r="H465" s="12" t="inlineStr">
        <is>
          <t>Einstiegsseite</t>
        </is>
      </c>
      <c r="I465" s="12" t="inlineStr">
        <is>
          <t>Nein</t>
        </is>
      </c>
      <c r="J465" s="12" t="inlineStr">
        <is>
          <t>Ungeprüft – nicht kuratiert</t>
        </is>
      </c>
    </row>
    <row r="466">
      <c r="A466" s="12" t="inlineStr">
        <is>
          <t>Wil</t>
        </is>
      </c>
      <c r="B466" s="12" t="inlineStr">
        <is>
          <t>St. Gallen</t>
        </is>
      </c>
      <c r="C466" s="12" t="inlineStr">
        <is>
          <t>C1</t>
        </is>
      </c>
      <c r="D466" s="16" t="inlineStr">
        <is>
          <t>https://www.sg.ch/content/dam/sgch/politik-verwaltung/gemeinden/gemeindenfinanzen/rechnungslegung-rmsg/berichterstattung/Beispiel%20Bericht%20zum%20Budget%20Spezialgemeinde.docx</t>
        </is>
      </c>
      <c r="E466" s="12" t="inlineStr">
        <is>
          <t>Beispiel Bericht zum Budget Spezialgemeinde neues Fenster</t>
        </is>
      </c>
      <c r="F466" s="12" t="inlineStr">
        <is>
          <t>ja</t>
        </is>
      </c>
      <c r="G466" s="12" t="inlineStr">
        <is>
          <t>https://www.sg.ch/politik-verwaltung/gemeinden/gemeindefinanzen/rechnungslegung--rmsg-.html</t>
        </is>
      </c>
      <c r="H466" s="12" t="inlineStr">
        <is>
          <t>Einstiegsseite</t>
        </is>
      </c>
      <c r="I466" s="12" t="inlineStr">
        <is>
          <t>Nein</t>
        </is>
      </c>
      <c r="J466" s="12" t="inlineStr">
        <is>
          <t>Ungeprüft – nicht kuratiert</t>
        </is>
      </c>
    </row>
    <row r="467">
      <c r="A467" s="12" t="inlineStr">
        <is>
          <t>Wil</t>
        </is>
      </c>
      <c r="B467" s="12" t="inlineStr">
        <is>
          <t>St. Gallen</t>
        </is>
      </c>
      <c r="C467" s="12" t="inlineStr">
        <is>
          <t>C1</t>
        </is>
      </c>
      <c r="D467" s="16" t="inlineStr">
        <is>
          <t>https://www.sg.ch/content/dam/sgch/politik-verwaltung/gemeinden/gemeindenfinanzen/rechnungslegung-rmsg/berichterstattung/Beispiel%20Bericht%20zum%20Budget%20politische%20Gemeinde.docx</t>
        </is>
      </c>
      <c r="E467" s="12" t="inlineStr">
        <is>
          <t>Beispiel Bericht zum Budget politische Gemeinde neues Fenster</t>
        </is>
      </c>
      <c r="F467" s="12" t="inlineStr">
        <is>
          <t>ja</t>
        </is>
      </c>
      <c r="G467" s="12" t="inlineStr">
        <is>
          <t>https://www.sg.ch/politik-verwaltung/gemeinden/gemeindefinanzen/rechnungslegung--rmsg-.html</t>
        </is>
      </c>
      <c r="H467" s="12" t="inlineStr">
        <is>
          <t>Einstiegsseite</t>
        </is>
      </c>
      <c r="I467" s="12" t="inlineStr">
        <is>
          <t>Nein</t>
        </is>
      </c>
      <c r="J467" s="12" t="inlineStr">
        <is>
          <t>Ungeprüft – nicht kuratiert</t>
        </is>
      </c>
    </row>
    <row r="468">
      <c r="A468" s="12" t="inlineStr">
        <is>
          <t>Wil</t>
        </is>
      </c>
      <c r="B468" s="12" t="inlineStr">
        <is>
          <t>St. Gallen</t>
        </is>
      </c>
      <c r="C468" s="12" t="inlineStr">
        <is>
          <t>C1</t>
        </is>
      </c>
      <c r="D468" s="16" t="inlineStr">
        <is>
          <t>https://www.sg.ch/content/dam/sgch/politik-verwaltung/gemeinden/gemeindenfinanzen/rechnungslegung-rmsg/berichterstattung/Beispiel%20Finanzbericht%20Spezialgemeinde.docx</t>
        </is>
      </c>
      <c r="E468" s="12" t="inlineStr">
        <is>
          <t>Beispiel Finanzbericht Spezialgemeinde neues Fenster</t>
        </is>
      </c>
      <c r="F468" s="12" t="inlineStr">
        <is>
          <t>ja</t>
        </is>
      </c>
      <c r="G468" s="12" t="inlineStr">
        <is>
          <t>https://www.sg.ch/politik-verwaltung/gemeinden/gemeindefinanzen/rechnungslegung--rmsg-.html</t>
        </is>
      </c>
      <c r="H468" s="12" t="inlineStr">
        <is>
          <t>Einstiegsseite</t>
        </is>
      </c>
      <c r="I468" s="12" t="inlineStr">
        <is>
          <t>Nein</t>
        </is>
      </c>
      <c r="J468" s="12" t="inlineStr">
        <is>
          <t>Ungeprüft – nicht kuratiert</t>
        </is>
      </c>
    </row>
    <row r="469">
      <c r="A469" s="12" t="inlineStr">
        <is>
          <t>Wil</t>
        </is>
      </c>
      <c r="B469" s="12" t="inlineStr">
        <is>
          <t>St. Gallen</t>
        </is>
      </c>
      <c r="C469" s="12" t="inlineStr">
        <is>
          <t>C1</t>
        </is>
      </c>
      <c r="D469" s="16" t="inlineStr">
        <is>
          <t>https://www.sg.ch/content/dam/sgch/politik-verwaltung/gemeinden/gemeindenfinanzen/rechnungslegung-rmsg/berichterstattung/Beispiel%20Finanzbericht%20politische%20Gemeinde.docx</t>
        </is>
      </c>
      <c r="E469" s="12" t="inlineStr">
        <is>
          <t>Beispiel Finanzbericht politische Gemeinde neues Fenster</t>
        </is>
      </c>
      <c r="F469" s="12" t="inlineStr">
        <is>
          <t>ja</t>
        </is>
      </c>
      <c r="G469" s="12" t="inlineStr">
        <is>
          <t>https://www.sg.ch/politik-verwaltung/gemeinden/gemeindefinanzen/rechnungslegung--rmsg-.html</t>
        </is>
      </c>
      <c r="H469" s="12" t="inlineStr">
        <is>
          <t>Einstiegsseite</t>
        </is>
      </c>
      <c r="I469" s="12" t="inlineStr">
        <is>
          <t>Nein</t>
        </is>
      </c>
      <c r="J469" s="12" t="inlineStr">
        <is>
          <t>Ungeprüft – nicht kuratiert</t>
        </is>
      </c>
    </row>
    <row r="470">
      <c r="A470" s="12" t="inlineStr">
        <is>
          <t>Wil</t>
        </is>
      </c>
      <c r="B470" s="12" t="inlineStr">
        <is>
          <t>St. Gallen</t>
        </is>
      </c>
      <c r="C470" s="12" t="inlineStr">
        <is>
          <t>C1</t>
        </is>
      </c>
      <c r="D470" s="16" t="inlineStr">
        <is>
          <t>https://www.sg.ch/content/dam/sgch/politik-verwaltung/gemeinden/gemeindenfinanzen/rechnungslegung-rmsg/berichterstattung/Muster%20Anhang%20der%20Jahresrechnung%20(Version%201.3).docx</t>
        </is>
      </c>
      <c r="E470" s="12" t="inlineStr">
        <is>
          <t>Muster Anhang der Jahresrechnung neues Fenster</t>
        </is>
      </c>
      <c r="F470" s="12" t="inlineStr">
        <is>
          <t>ja</t>
        </is>
      </c>
      <c r="G470" s="12" t="inlineStr">
        <is>
          <t>https://www.sg.ch/politik-verwaltung/gemeinden/gemeindefinanzen/rechnungslegung--rmsg-.html</t>
        </is>
      </c>
      <c r="H470" s="12" t="inlineStr">
        <is>
          <t>Einstiegsseite</t>
        </is>
      </c>
      <c r="I470" s="12" t="inlineStr">
        <is>
          <t>Nein</t>
        </is>
      </c>
      <c r="J470" s="12" t="inlineStr">
        <is>
          <t>Ungeprüft – nicht kuratiert</t>
        </is>
      </c>
    </row>
    <row r="471">
      <c r="A471" s="12" t="inlineStr">
        <is>
          <t>Wil</t>
        </is>
      </c>
      <c r="B471" s="12" t="inlineStr">
        <is>
          <t>St. Gallen</t>
        </is>
      </c>
      <c r="C471" s="12" t="inlineStr">
        <is>
          <t>C1</t>
        </is>
      </c>
      <c r="D471" s="16" t="inlineStr">
        <is>
          <t>https://www.sg.ch/content/dam/sgch/politik-verwaltung/gemeinden/gemeindenfinanzen/rechnungslegung-rmsg/berichterstattung/Muster%20Anhang%20der%20Jahresrechnung%20kleine%20Spezialgemeinden%20(Version%201.3).docx</t>
        </is>
      </c>
      <c r="E471" s="12" t="inlineStr">
        <is>
          <t>Muster Anhang der Jahresrechnung kleine Spezialgemeinden neues Fenster</t>
        </is>
      </c>
      <c r="F471" s="12" t="inlineStr">
        <is>
          <t>ja</t>
        </is>
      </c>
      <c r="G471" s="12" t="inlineStr">
        <is>
          <t>https://www.sg.ch/politik-verwaltung/gemeinden/gemeindefinanzen/rechnungslegung--rmsg-.html</t>
        </is>
      </c>
      <c r="H471" s="12" t="inlineStr">
        <is>
          <t>Einstiegsseite</t>
        </is>
      </c>
      <c r="I471" s="12" t="inlineStr">
        <is>
          <t>Nein</t>
        </is>
      </c>
      <c r="J471" s="12" t="inlineStr">
        <is>
          <t>Ungeprüft – nicht kuratiert</t>
        </is>
      </c>
    </row>
    <row r="472">
      <c r="A472" s="12" t="inlineStr">
        <is>
          <t>Wil</t>
        </is>
      </c>
      <c r="B472" s="12" t="inlineStr">
        <is>
          <t>St. Gallen</t>
        </is>
      </c>
      <c r="C472" s="12" t="inlineStr">
        <is>
          <t>C1</t>
        </is>
      </c>
      <c r="D472" s="16" t="inlineStr">
        <is>
          <t>https://www.sg.ch/content/dam/sgch/politik-verwaltung/gemeinden/gemeindenfinanzen/rechnungslegung-rmsg/hilfsmittel-und-vorlagen/Finanzplanungstool%20f%C3%BCr%20Spezialgemeinden.xlsx</t>
        </is>
      </c>
      <c r="E472" s="12" t="inlineStr">
        <is>
          <t>Finanzplanungstool für Spezialgemeinden neues Fenster</t>
        </is>
      </c>
      <c r="F472" s="12" t="inlineStr">
        <is>
          <t>ja</t>
        </is>
      </c>
      <c r="G472" s="12" t="inlineStr">
        <is>
          <t>https://www.sg.ch/politik-verwaltung/gemeinden/gemeindefinanzen/rechnungslegung--rmsg-.html</t>
        </is>
      </c>
      <c r="H472" s="12" t="inlineStr">
        <is>
          <t>Einstiegsseite</t>
        </is>
      </c>
      <c r="I472" s="12" t="inlineStr">
        <is>
          <t>Nein</t>
        </is>
      </c>
      <c r="J472" s="12" t="inlineStr">
        <is>
          <t>Ungeprüft – nicht kuratiert</t>
        </is>
      </c>
    </row>
    <row r="473">
      <c r="A473" s="12" t="inlineStr">
        <is>
          <t>Wil</t>
        </is>
      </c>
      <c r="B473" s="12" t="inlineStr">
        <is>
          <t>St. Gallen</t>
        </is>
      </c>
      <c r="C473" s="12" t="inlineStr">
        <is>
          <t>C1</t>
        </is>
      </c>
      <c r="D473" s="16" t="inlineStr">
        <is>
          <t>https://www.sg.ch/content/dam/sgch/politik-verwaltung/gemeinden/gemeindenfinanzen/rmsg-handbuch/05%20Investitionsrechnung.pdf</t>
        </is>
      </c>
      <c r="E473" s="12" t="inlineStr">
        <is>
          <t>Investitionsrechnung</t>
        </is>
      </c>
      <c r="F473" s="12" t="inlineStr">
        <is>
          <t>ja</t>
        </is>
      </c>
      <c r="G473" s="12" t="inlineStr">
        <is>
          <t>https://www.sg.ch/politik-verwaltung/gemeinden/gemeindefinanzen/rechnungslegung--rmsg-.html</t>
        </is>
      </c>
      <c r="H473" s="12" t="inlineStr">
        <is>
          <t>Einstiegsseite</t>
        </is>
      </c>
      <c r="I473" s="12" t="inlineStr">
        <is>
          <t>Nein</t>
        </is>
      </c>
      <c r="J473" s="12" t="inlineStr">
        <is>
          <t>Ungeprüft – nicht kuratiert</t>
        </is>
      </c>
    </row>
    <row r="474">
      <c r="A474" s="12" t="inlineStr">
        <is>
          <t>Wil</t>
        </is>
      </c>
      <c r="B474" s="12" t="inlineStr">
        <is>
          <t>St. Gallen</t>
        </is>
      </c>
      <c r="C474" s="12" t="inlineStr">
        <is>
          <t>C1</t>
        </is>
      </c>
      <c r="D474" s="16" t="inlineStr">
        <is>
          <t>https://www.sg.ch/content/dam/sgch/politik-verwaltung/gemeinden/gemeindenfinanzen/rmsg-handbuch/08%20Anhang%20Jahresrechnung.pdf</t>
        </is>
      </c>
      <c r="E474" s="12" t="inlineStr">
        <is>
          <t>Anhang der Jahresrechnung</t>
        </is>
      </c>
      <c r="F474" s="12" t="inlineStr">
        <is>
          <t>ja</t>
        </is>
      </c>
      <c r="G474" s="12" t="inlineStr">
        <is>
          <t>https://www.sg.ch/politik-verwaltung/gemeinden/gemeindefinanzen/rechnungslegung--rmsg-.html</t>
        </is>
      </c>
      <c r="H474" s="12" t="inlineStr">
        <is>
          <t>Einstiegsseite</t>
        </is>
      </c>
      <c r="I474" s="12" t="inlineStr">
        <is>
          <t>Nein</t>
        </is>
      </c>
      <c r="J474" s="12" t="inlineStr">
        <is>
          <t>Ungeprüft – nicht kuratiert</t>
        </is>
      </c>
    </row>
    <row r="475">
      <c r="A475" s="12" t="inlineStr">
        <is>
          <t>Wil</t>
        </is>
      </c>
      <c r="B475" s="12" t="inlineStr">
        <is>
          <t>St. Gallen</t>
        </is>
      </c>
      <c r="C475" s="12" t="inlineStr">
        <is>
          <t>C1</t>
        </is>
      </c>
      <c r="D475" s="16" t="inlineStr">
        <is>
          <t>https://www.sg.ch/content/dam/sgch/politik-verwaltung/gemeinden/gemeindenfinanzen/rmsg-handbuch/16%20Finanzberichterstattung.pdf</t>
        </is>
      </c>
      <c r="E475" s="12" t="inlineStr">
        <is>
          <t>Finanzberichterstattung</t>
        </is>
      </c>
      <c r="F475" s="12" t="inlineStr">
        <is>
          <t>ja</t>
        </is>
      </c>
      <c r="G475" s="12" t="inlineStr">
        <is>
          <t>https://www.sg.ch/politik-verwaltung/gemeinden/gemeindefinanzen/rechnungslegung--rmsg-.html</t>
        </is>
      </c>
      <c r="H475" s="12" t="inlineStr">
        <is>
          <t>Einstiegsseite</t>
        </is>
      </c>
      <c r="I475" s="12" t="inlineStr">
        <is>
          <t>Nein</t>
        </is>
      </c>
      <c r="J475" s="12" t="inlineStr">
        <is>
          <t>Ungeprüft – nicht kuratiert</t>
        </is>
      </c>
    </row>
    <row r="476">
      <c r="A476" s="12" t="inlineStr">
        <is>
          <t>Wil</t>
        </is>
      </c>
      <c r="B476" s="12" t="inlineStr">
        <is>
          <t>St. Gallen</t>
        </is>
      </c>
      <c r="C476" s="12" t="inlineStr">
        <is>
          <t>C1</t>
        </is>
      </c>
      <c r="D476" s="16" t="inlineStr">
        <is>
          <t>https://www.sg.ch/steuern-finanzen/steuern/steuerkalkulator/steuerfuss-uebersicht-aller-sg-gemeinden.initialLetter__Wil.html</t>
        </is>
      </c>
      <c r="E476" s="12" t="inlineStr">
        <is>
          <t>Website des Kantons St.Gallen</t>
        </is>
      </c>
      <c r="F476" s="12" t="inlineStr">
        <is>
          <t>nein</t>
        </is>
      </c>
      <c r="G476" s="12" t="inlineStr">
        <is>
          <t>https://www.stadtwil.ch/topics/stadt-politik-und-recht/finanzen</t>
        </is>
      </c>
      <c r="H476" s="12" t="inlineStr">
        <is>
          <t>Einstiegsseite</t>
        </is>
      </c>
      <c r="I476" s="12" t="inlineStr">
        <is>
          <t>Nein</t>
        </is>
      </c>
      <c r="J476" s="12" t="inlineStr">
        <is>
          <t>Ungeprüft – nicht kuratiert</t>
        </is>
      </c>
    </row>
    <row r="477">
      <c r="A477" s="12" t="inlineStr">
        <is>
          <t>Wil</t>
        </is>
      </c>
      <c r="B477" s="12" t="inlineStr">
        <is>
          <t>St. Gallen</t>
        </is>
      </c>
      <c r="C477" s="12" t="inlineStr">
        <is>
          <t>C1</t>
        </is>
      </c>
      <c r="D477" s="16" t="inlineStr">
        <is>
          <t>https://www.stadtwil.ch/_docn/3339526/Stadt_Wil_Investitionsplan_2022_-_2026.pdf</t>
        </is>
      </c>
      <c r="E477" s="12" t="inlineStr">
        <is>
          <t>I</t>
        </is>
      </c>
      <c r="F477" s="12" t="inlineStr">
        <is>
          <t>ja</t>
        </is>
      </c>
      <c r="G477" s="12" t="inlineStr">
        <is>
          <t>https://www.stadtwil.ch/topics/stadt-politik-und-recht/finanzen</t>
        </is>
      </c>
      <c r="H477" s="12" t="inlineStr">
        <is>
          <t>Einstiegsseite</t>
        </is>
      </c>
      <c r="I477" s="12" t="inlineStr">
        <is>
          <t>Nein</t>
        </is>
      </c>
      <c r="J477" s="12" t="inlineStr">
        <is>
          <t>Ungeprüft – nicht kuratiert</t>
        </is>
      </c>
    </row>
    <row r="478">
      <c r="A478" s="12" t="inlineStr">
        <is>
          <t>Wil</t>
        </is>
      </c>
      <c r="B478" s="12" t="inlineStr">
        <is>
          <t>St. Gallen</t>
        </is>
      </c>
      <c r="C478" s="12" t="inlineStr">
        <is>
          <t>C1</t>
        </is>
      </c>
      <c r="D478" s="16" t="inlineStr">
        <is>
          <t>https://www.stadtwil.ch/_docn/4363013/004_Beilage_Details_zur_Jahresrechnung_2022.pdf</t>
        </is>
      </c>
      <c r="E478" s="12" t="inlineStr">
        <is>
          <t>,</t>
        </is>
      </c>
      <c r="F478" s="12" t="inlineStr">
        <is>
          <t>ja</t>
        </is>
      </c>
      <c r="G478" s="12" t="inlineStr">
        <is>
          <t>https://www.stadtwil.ch/topics/stadt-politik-und-recht/finanzen</t>
        </is>
      </c>
      <c r="H478" s="12" t="inlineStr">
        <is>
          <t>Einstiegsseite</t>
        </is>
      </c>
      <c r="I478" s="12" t="inlineStr">
        <is>
          <t>Nein</t>
        </is>
      </c>
      <c r="J478" s="12" t="inlineStr">
        <is>
          <t>Ungeprüft – nicht kuratiert</t>
        </is>
      </c>
    </row>
    <row r="479">
      <c r="A479" s="12" t="inlineStr">
        <is>
          <t>Wil</t>
        </is>
      </c>
      <c r="B479" s="12" t="inlineStr">
        <is>
          <t>St. Gallen</t>
        </is>
      </c>
      <c r="C479" s="12" t="inlineStr">
        <is>
          <t>C1</t>
        </is>
      </c>
      <c r="D479" s="16" t="inlineStr">
        <is>
          <t>https://www.stadtwil.ch/_docn/4510712/Kurzfassung_zur_Jahresrechnung_2022.pdf</t>
        </is>
      </c>
      <c r="E479" s="12" t="inlineStr">
        <is>
          <t>,</t>
        </is>
      </c>
      <c r="F479" s="12" t="inlineStr">
        <is>
          <t>ja</t>
        </is>
      </c>
      <c r="G479" s="12" t="inlineStr">
        <is>
          <t>https://www.stadtwil.ch/topics/stadt-politik-und-recht/finanzen</t>
        </is>
      </c>
      <c r="H479" s="12" t="inlineStr">
        <is>
          <t>Einstiegsseite</t>
        </is>
      </c>
      <c r="I479" s="12" t="inlineStr">
        <is>
          <t>Nein</t>
        </is>
      </c>
      <c r="J479" s="12" t="inlineStr">
        <is>
          <t>Ungeprüft – nicht kuratiert</t>
        </is>
      </c>
    </row>
    <row r="480">
      <c r="A480" s="12" t="inlineStr">
        <is>
          <t>Wil</t>
        </is>
      </c>
      <c r="B480" s="12" t="inlineStr">
        <is>
          <t>St. Gallen</t>
        </is>
      </c>
      <c r="C480" s="12" t="inlineStr">
        <is>
          <t>C1</t>
        </is>
      </c>
      <c r="D480" s="16" t="inlineStr">
        <is>
          <t>https://www.stadtwil.ch/political-business/28da2d58a16b4b85b0504eeaa7e396dc</t>
        </is>
      </c>
      <c r="E480" s="12" t="inlineStr">
        <is>
          <t>Jahresrechnung 2025 Stadt Wil</t>
        </is>
      </c>
      <c r="F480" s="12" t="inlineStr">
        <is>
          <t>nein</t>
        </is>
      </c>
      <c r="G480" s="12" t="inlineStr">
        <is>
          <t>https://www.stadtwil.ch/political-business/28da2d58a16b4b85b0504eeaa7e396dc</t>
        </is>
      </c>
      <c r="H480" s="12" t="inlineStr">
        <is>
          <t>Einstiegsseite</t>
        </is>
      </c>
      <c r="I480" s="12" t="inlineStr">
        <is>
          <t>Ja</t>
        </is>
      </c>
      <c r="J480" s="12" t="inlineStr">
        <is>
          <t>Ungeprüft – nicht kuratiert</t>
        </is>
      </c>
    </row>
    <row r="481">
      <c r="A481" s="12" t="inlineStr">
        <is>
          <t>Wil</t>
        </is>
      </c>
      <c r="B481" s="12" t="inlineStr">
        <is>
          <t>St. Gallen</t>
        </is>
      </c>
      <c r="C481" s="12" t="inlineStr">
        <is>
          <t>C1</t>
        </is>
      </c>
      <c r="D481" s="16" t="inlineStr">
        <is>
          <t>https://www.stadtwil.ch/storage/00d786594258b2cfb99d6fa189b3ef62aa32d331ad569520e84a05600afecd48</t>
        </is>
      </c>
      <c r="E481" s="12" t="inlineStr">
        <is>
          <t>Jahresrechnung 2025</t>
        </is>
      </c>
      <c r="F481" s="12" t="inlineStr">
        <is>
          <t>nein</t>
        </is>
      </c>
      <c r="G481" s="12" t="inlineStr">
        <is>
          <t>https://www.stadtwil.ch/topics/stadt-politik-und-recht/finanzen</t>
        </is>
      </c>
      <c r="H481" s="12" t="inlineStr">
        <is>
          <t>Einstiegsseite</t>
        </is>
      </c>
      <c r="I481" s="12" t="inlineStr">
        <is>
          <t>Nein</t>
        </is>
      </c>
      <c r="J481" s="12" t="inlineStr">
        <is>
          <t>Ungeprüft – nicht kuratiert</t>
        </is>
      </c>
    </row>
    <row r="482">
      <c r="A482" s="12" t="inlineStr">
        <is>
          <t>Wil</t>
        </is>
      </c>
      <c r="B482" s="12" t="inlineStr">
        <is>
          <t>St. Gallen</t>
        </is>
      </c>
      <c r="C482" s="12" t="inlineStr">
        <is>
          <t>C1</t>
        </is>
      </c>
      <c r="D482" s="16" t="inlineStr">
        <is>
          <t>https://www.stadtwil.ch/storage/0279b67c0c75a1a9b93aee7a4fec6c852443ea304ec204ad040905643a7075ac</t>
        </is>
      </c>
      <c r="E482" s="12" t="inlineStr">
        <is>
          <t>Investitionsplan 2023 - 2027</t>
        </is>
      </c>
      <c r="F482" s="12" t="inlineStr">
        <is>
          <t>nein</t>
        </is>
      </c>
      <c r="G482" s="12" t="inlineStr">
        <is>
          <t>https://www.stadtwil.ch/topics/stadt-politik-und-recht/finanzen</t>
        </is>
      </c>
      <c r="H482" s="12" t="inlineStr">
        <is>
          <t>Einstiegsseite</t>
        </is>
      </c>
      <c r="I482" s="12" t="inlineStr">
        <is>
          <t>Nein</t>
        </is>
      </c>
      <c r="J482" s="12" t="inlineStr">
        <is>
          <t>Ungeprüft – nicht kuratiert</t>
        </is>
      </c>
    </row>
    <row r="483">
      <c r="A483" s="12" t="inlineStr">
        <is>
          <t>Wil</t>
        </is>
      </c>
      <c r="B483" s="12" t="inlineStr">
        <is>
          <t>St. Gallen</t>
        </is>
      </c>
      <c r="C483" s="12" t="inlineStr">
        <is>
          <t>C1</t>
        </is>
      </c>
      <c r="D483" s="16" t="inlineStr">
        <is>
          <t>https://www.stadtwil.ch/storage/03f5d61667f9d47a687cfd0f6e9bfc88857fc052c44cec8a7bd99d527a224938</t>
        </is>
      </c>
      <c r="E483" s="12" t="inlineStr">
        <is>
          <t>Kommentar zur Jahresrechnung 2025</t>
        </is>
      </c>
      <c r="F483" s="12" t="inlineStr">
        <is>
          <t>nein</t>
        </is>
      </c>
      <c r="G483" s="12" t="inlineStr">
        <is>
          <t>https://www.stadtwil.ch/topics/stadt-politik-und-recht/finanzen</t>
        </is>
      </c>
      <c r="H483" s="12" t="inlineStr">
        <is>
          <t>Einstiegsseite</t>
        </is>
      </c>
      <c r="I483" s="12" t="inlineStr">
        <is>
          <t>Nein</t>
        </is>
      </c>
      <c r="J483" s="12" t="inlineStr">
        <is>
          <t>Ungeprüft – nicht kuratiert</t>
        </is>
      </c>
    </row>
    <row r="484">
      <c r="A484" s="12" t="inlineStr">
        <is>
          <t>Wil</t>
        </is>
      </c>
      <c r="B484" s="12" t="inlineStr">
        <is>
          <t>St. Gallen</t>
        </is>
      </c>
      <c r="C484" s="12" t="inlineStr">
        <is>
          <t>C1</t>
        </is>
      </c>
      <c r="D484" s="16" t="inlineStr">
        <is>
          <t>https://www.stadtwil.ch/storage/0a41b0f55fb3f0e7c1072cdfb72a5a3674d2854d2b41565090e104b85e8dbdc0</t>
        </is>
      </c>
      <c r="E484" s="12" t="inlineStr">
        <is>
          <t>Budget 2023</t>
        </is>
      </c>
      <c r="F484" s="12" t="inlineStr">
        <is>
          <t>nein</t>
        </is>
      </c>
      <c r="G484" s="12" t="inlineStr">
        <is>
          <t>https://www.stadtwil.ch/topics/stadt-politik-und-recht/finanzen</t>
        </is>
      </c>
      <c r="H484" s="12" t="inlineStr">
        <is>
          <t>Einstiegsseite</t>
        </is>
      </c>
      <c r="I484" s="12" t="inlineStr">
        <is>
          <t>Nein</t>
        </is>
      </c>
      <c r="J484" s="12" t="inlineStr">
        <is>
          <t>Ungeprüft – nicht kuratiert</t>
        </is>
      </c>
    </row>
    <row r="485">
      <c r="A485" s="12" t="inlineStr">
        <is>
          <t>Wil</t>
        </is>
      </c>
      <c r="B485" s="12" t="inlineStr">
        <is>
          <t>St. Gallen</t>
        </is>
      </c>
      <c r="C485" s="12" t="inlineStr">
        <is>
          <t>C1</t>
        </is>
      </c>
      <c r="D485" s="16" t="inlineStr">
        <is>
          <t>https://www.stadtwil.ch/storage/0f0d7ad95464bf91a72506e63d2aae1d5c18327f9bff4bf34b8400c36999b277</t>
        </is>
      </c>
      <c r="E485" s="12" t="inlineStr">
        <is>
          <t>Jahresrechnung 2024</t>
        </is>
      </c>
      <c r="F485" s="12" t="inlineStr">
        <is>
          <t>nein</t>
        </is>
      </c>
      <c r="G485" s="12" t="inlineStr">
        <is>
          <t>https://www.stadtwil.ch/topics/stadt-politik-und-recht/finanzen</t>
        </is>
      </c>
      <c r="H485" s="12" t="inlineStr">
        <is>
          <t>Einstiegsseite</t>
        </is>
      </c>
      <c r="I485" s="12" t="inlineStr">
        <is>
          <t>Ja</t>
        </is>
      </c>
      <c r="J485" s="12" t="inlineStr">
        <is>
          <t>Ungeprüft – nicht kuratiert</t>
        </is>
      </c>
    </row>
    <row r="486">
      <c r="A486" s="12" t="inlineStr">
        <is>
          <t>Wil</t>
        </is>
      </c>
      <c r="B486" s="12" t="inlineStr">
        <is>
          <t>St. Gallen</t>
        </is>
      </c>
      <c r="C486" s="12" t="inlineStr">
        <is>
          <t>C1</t>
        </is>
      </c>
      <c r="D486" s="16" t="inlineStr">
        <is>
          <t>https://www.stadtwil.ch/storage/197a35d219836653f6b15e7e92afca47253da6a8f398262e5767db635043decd</t>
        </is>
      </c>
      <c r="E486" s="12" t="inlineStr">
        <is>
          <t>Kommentar zur Jahresrechnung 2017</t>
        </is>
      </c>
      <c r="F486" s="12" t="inlineStr">
        <is>
          <t>nein</t>
        </is>
      </c>
      <c r="G486" s="12" t="inlineStr">
        <is>
          <t>https://www.stadtwil.ch/topics/stadt-politik-und-recht/finanzen</t>
        </is>
      </c>
      <c r="H486" s="12" t="inlineStr">
        <is>
          <t>Einstiegsseite</t>
        </is>
      </c>
      <c r="I486" s="12" t="inlineStr">
        <is>
          <t>Nein</t>
        </is>
      </c>
      <c r="J486" s="12" t="inlineStr">
        <is>
          <t>Ungeprüft – nicht kuratiert</t>
        </is>
      </c>
    </row>
    <row r="487">
      <c r="A487" s="12" t="inlineStr">
        <is>
          <t>Wil</t>
        </is>
      </c>
      <c r="B487" s="12" t="inlineStr">
        <is>
          <t>St. Gallen</t>
        </is>
      </c>
      <c r="C487" s="12" t="inlineStr">
        <is>
          <t>C1</t>
        </is>
      </c>
      <c r="D487" s="16" t="inlineStr">
        <is>
          <t>https://www.stadtwil.ch/storage/204cfb504af6defbd8e383feff026c2e9b98eb4864ea01a90d5ddd5759da7129</t>
        </is>
      </c>
      <c r="E487" s="12" t="inlineStr">
        <is>
          <t>Konsolidierung Jahresrechnung 2020</t>
        </is>
      </c>
      <c r="F487" s="12" t="inlineStr">
        <is>
          <t>nein</t>
        </is>
      </c>
      <c r="G487" s="12" t="inlineStr">
        <is>
          <t>https://www.stadtwil.ch/topics/stadt-politik-und-recht/finanzen</t>
        </is>
      </c>
      <c r="H487" s="12" t="inlineStr">
        <is>
          <t>Einstiegsseite</t>
        </is>
      </c>
      <c r="I487" s="12" t="inlineStr">
        <is>
          <t>Nein</t>
        </is>
      </c>
      <c r="J487" s="12" t="inlineStr">
        <is>
          <t>Ungeprüft – nicht kuratiert</t>
        </is>
      </c>
    </row>
    <row r="488">
      <c r="A488" s="12" t="inlineStr">
        <is>
          <t>Wil</t>
        </is>
      </c>
      <c r="B488" s="12" t="inlineStr">
        <is>
          <t>St. Gallen</t>
        </is>
      </c>
      <c r="C488" s="12" t="inlineStr">
        <is>
          <t>C1</t>
        </is>
      </c>
      <c r="D488" s="16" t="inlineStr">
        <is>
          <t>https://www.stadtwil.ch/storage/2c4305c8237790be04c1d9e3757331ab7ebaed4ee3d518b89827edd1c8fef611</t>
        </is>
      </c>
      <c r="E488" s="12" t="inlineStr">
        <is>
          <t>Finanzplan 2022 - 2026,</t>
        </is>
      </c>
      <c r="F488" s="12" t="inlineStr">
        <is>
          <t>nein</t>
        </is>
      </c>
      <c r="G488" s="12" t="inlineStr">
        <is>
          <t>https://www.stadtwil.ch/topics/stadt-politik-und-recht/finanzen</t>
        </is>
      </c>
      <c r="H488" s="12" t="inlineStr">
        <is>
          <t>Einstiegsseite</t>
        </is>
      </c>
      <c r="I488" s="12" t="inlineStr">
        <is>
          <t>Nein</t>
        </is>
      </c>
      <c r="J488" s="12" t="inlineStr">
        <is>
          <t>Ungeprüft – nicht kuratiert</t>
        </is>
      </c>
    </row>
    <row r="489">
      <c r="A489" s="12" t="inlineStr">
        <is>
          <t>Wil</t>
        </is>
      </c>
      <c r="B489" s="12" t="inlineStr">
        <is>
          <t>St. Gallen</t>
        </is>
      </c>
      <c r="C489" s="12" t="inlineStr">
        <is>
          <t>C1</t>
        </is>
      </c>
      <c r="D489" s="16" t="inlineStr">
        <is>
          <t>https://www.stadtwil.ch/storage/2d0ebf4e24c5b08a5138fd5e812f0fd5619a5ee31a30e222c83992d81aa62876</t>
        </is>
      </c>
      <c r="E489" s="12" t="inlineStr">
        <is>
          <t>Details zur Jahresrechnung 2018</t>
        </is>
      </c>
      <c r="F489" s="12" t="inlineStr">
        <is>
          <t>nein</t>
        </is>
      </c>
      <c r="G489" s="12" t="inlineStr">
        <is>
          <t>https://www.stadtwil.ch/topics/stadt-politik-und-recht/finanzen</t>
        </is>
      </c>
      <c r="H489" s="12" t="inlineStr">
        <is>
          <t>Einstiegsseite</t>
        </is>
      </c>
      <c r="I489" s="12" t="inlineStr">
        <is>
          <t>Nein</t>
        </is>
      </c>
      <c r="J489" s="12" t="inlineStr">
        <is>
          <t>Ungeprüft – nicht kuratiert</t>
        </is>
      </c>
    </row>
    <row r="490">
      <c r="A490" s="12" t="inlineStr">
        <is>
          <t>Wil</t>
        </is>
      </c>
      <c r="B490" s="12" t="inlineStr">
        <is>
          <t>St. Gallen</t>
        </is>
      </c>
      <c r="C490" s="12" t="inlineStr">
        <is>
          <t>C1</t>
        </is>
      </c>
      <c r="D490" s="16" t="inlineStr">
        <is>
          <t>https://www.stadtwil.ch/storage/2d73b525635182a0188b65eaff90bf5a1ac12049d362a321d7c1b13631e11d1e</t>
        </is>
      </c>
      <c r="E490" s="12" t="inlineStr">
        <is>
          <t>Budget 2021</t>
        </is>
      </c>
      <c r="F490" s="12" t="inlineStr">
        <is>
          <t>nein</t>
        </is>
      </c>
      <c r="G490" s="12" t="inlineStr">
        <is>
          <t>https://www.stadtwil.ch/topics/stadt-politik-und-recht/finanzen</t>
        </is>
      </c>
      <c r="H490" s="12" t="inlineStr">
        <is>
          <t>Einstiegsseite</t>
        </is>
      </c>
      <c r="I490" s="12" t="inlineStr">
        <is>
          <t>Nein</t>
        </is>
      </c>
      <c r="J490" s="12" t="inlineStr">
        <is>
          <t>Ungeprüft – nicht kuratiert</t>
        </is>
      </c>
    </row>
    <row r="491">
      <c r="A491" s="12" t="inlineStr">
        <is>
          <t>Wil</t>
        </is>
      </c>
      <c r="B491" s="12" t="inlineStr">
        <is>
          <t>St. Gallen</t>
        </is>
      </c>
      <c r="C491" s="12" t="inlineStr">
        <is>
          <t>C1</t>
        </is>
      </c>
      <c r="D491" s="16" t="inlineStr">
        <is>
          <t>https://www.stadtwil.ch/storage/2ecd9e697734cc2262543c9da23828c2b6ad0129cf1654fcfa47f21ba113bf8a</t>
        </is>
      </c>
      <c r="E491" s="12" t="inlineStr">
        <is>
          <t>Budget 2026</t>
        </is>
      </c>
      <c r="F491" s="12" t="inlineStr">
        <is>
          <t>nein</t>
        </is>
      </c>
      <c r="G491" s="12" t="inlineStr">
        <is>
          <t>https://www.stadtwil.ch/topics/stadt-politik-und-recht/finanzen</t>
        </is>
      </c>
      <c r="H491" s="12" t="inlineStr">
        <is>
          <t>Einstiegsseite</t>
        </is>
      </c>
      <c r="I491" s="12" t="inlineStr">
        <is>
          <t>Ja</t>
        </is>
      </c>
      <c r="J491" s="12" t="inlineStr">
        <is>
          <t>Ungeprüft – nicht kuratiert</t>
        </is>
      </c>
    </row>
    <row r="492">
      <c r="A492" s="12" t="inlineStr">
        <is>
          <t>Wil</t>
        </is>
      </c>
      <c r="B492" s="12" t="inlineStr">
        <is>
          <t>St. Gallen</t>
        </is>
      </c>
      <c r="C492" s="12" t="inlineStr">
        <is>
          <t>C1</t>
        </is>
      </c>
      <c r="D492" s="16" t="inlineStr">
        <is>
          <t>https://www.stadtwil.ch/storage/356e8846d2f4bf3596af93ee31e7f436d1672e86221637431d0a5d3e772db643</t>
        </is>
      </c>
      <c r="E492" s="12" t="inlineStr">
        <is>
          <t>Details zur Jahresrechnung 2021</t>
        </is>
      </c>
      <c r="F492" s="12" t="inlineStr">
        <is>
          <t>nein</t>
        </is>
      </c>
      <c r="G492" s="12" t="inlineStr">
        <is>
          <t>https://www.stadtwil.ch/topics/stadt-politik-und-recht/finanzen</t>
        </is>
      </c>
      <c r="H492" s="12" t="inlineStr">
        <is>
          <t>Einstiegsseite</t>
        </is>
      </c>
      <c r="I492" s="12" t="inlineStr">
        <is>
          <t>Nein</t>
        </is>
      </c>
      <c r="J492" s="12" t="inlineStr">
        <is>
          <t>Ungeprüft – nicht kuratiert</t>
        </is>
      </c>
    </row>
    <row r="493">
      <c r="A493" s="12" t="inlineStr">
        <is>
          <t>Wil</t>
        </is>
      </c>
      <c r="B493" s="12" t="inlineStr">
        <is>
          <t>St. Gallen</t>
        </is>
      </c>
      <c r="C493" s="12" t="inlineStr">
        <is>
          <t>C1</t>
        </is>
      </c>
      <c r="D493" s="16" t="inlineStr">
        <is>
          <t>https://www.stadtwil.ch/storage/39e2da726959f1aebbd8de80d3c4e5cef24ca537c69c7bc0ddad4756830dd400</t>
        </is>
      </c>
      <c r="E493" s="12" t="inlineStr">
        <is>
          <t>Kommentar zur Jahresrechnung 2021</t>
        </is>
      </c>
      <c r="F493" s="12" t="inlineStr">
        <is>
          <t>nein</t>
        </is>
      </c>
      <c r="G493" s="12" t="inlineStr">
        <is>
          <t>https://www.stadtwil.ch/topics/stadt-politik-und-recht/finanzen</t>
        </is>
      </c>
      <c r="H493" s="12" t="inlineStr">
        <is>
          <t>Einstiegsseite</t>
        </is>
      </c>
      <c r="I493" s="12" t="inlineStr">
        <is>
          <t>Nein</t>
        </is>
      </c>
      <c r="J493" s="12" t="inlineStr">
        <is>
          <t>Ungeprüft – nicht kuratiert</t>
        </is>
      </c>
    </row>
    <row r="494">
      <c r="A494" s="12" t="inlineStr">
        <is>
          <t>Wil</t>
        </is>
      </c>
      <c r="B494" s="12" t="inlineStr">
        <is>
          <t>St. Gallen</t>
        </is>
      </c>
      <c r="C494" s="12" t="inlineStr">
        <is>
          <t>C1</t>
        </is>
      </c>
      <c r="D494" s="16" t="inlineStr">
        <is>
          <t>https://www.stadtwil.ch/storage/3eedf5399f7a4cdf58e325351954838cac425d01156db4562cefc13a1b796b21</t>
        </is>
      </c>
      <c r="E494" s="12" t="inlineStr">
        <is>
          <t>Budget 2024</t>
        </is>
      </c>
      <c r="F494" s="12" t="inlineStr">
        <is>
          <t>nein</t>
        </is>
      </c>
      <c r="G494" s="12" t="inlineStr">
        <is>
          <t>https://www.stadtwil.ch/topics/stadt-politik-und-recht/finanzen</t>
        </is>
      </c>
      <c r="H494" s="12" t="inlineStr">
        <is>
          <t>Einstiegsseite</t>
        </is>
      </c>
      <c r="I494" s="12" t="inlineStr">
        <is>
          <t>Nein</t>
        </is>
      </c>
      <c r="J494" s="12" t="inlineStr">
        <is>
          <t>Ungeprüft – nicht kuratiert</t>
        </is>
      </c>
    </row>
    <row r="495">
      <c r="A495" s="12" t="inlineStr">
        <is>
          <t>Wil</t>
        </is>
      </c>
      <c r="B495" s="12" t="inlineStr">
        <is>
          <t>St. Gallen</t>
        </is>
      </c>
      <c r="C495" s="12" t="inlineStr">
        <is>
          <t>C1</t>
        </is>
      </c>
      <c r="D495" s="16" t="inlineStr">
        <is>
          <t>https://www.stadtwil.ch/storage/40c39c8fc0dfef1db64e95bbcc57cbcd2982873ebbd6b70e1064fe31786f6f75</t>
        </is>
      </c>
      <c r="E495" s="12" t="inlineStr">
        <is>
          <t>Budget 2022</t>
        </is>
      </c>
      <c r="F495" s="12" t="inlineStr">
        <is>
          <t>nein</t>
        </is>
      </c>
      <c r="G495" s="12" t="inlineStr">
        <is>
          <t>https://www.stadtwil.ch/topics/stadt-politik-und-recht/finanzen</t>
        </is>
      </c>
      <c r="H495" s="12" t="inlineStr">
        <is>
          <t>Einstiegsseite</t>
        </is>
      </c>
      <c r="I495" s="12" t="inlineStr">
        <is>
          <t>Nein</t>
        </is>
      </c>
      <c r="J495" s="12" t="inlineStr">
        <is>
          <t>Ungeprüft – nicht kuratiert</t>
        </is>
      </c>
    </row>
    <row r="496">
      <c r="A496" s="12" t="inlineStr">
        <is>
          <t>Wil</t>
        </is>
      </c>
      <c r="B496" s="12" t="inlineStr">
        <is>
          <t>St. Gallen</t>
        </is>
      </c>
      <c r="C496" s="12" t="inlineStr">
        <is>
          <t>C1</t>
        </is>
      </c>
      <c r="D496" s="16" t="inlineStr">
        <is>
          <t>https://www.stadtwil.ch/storage/42d72d8b75f4551ef31e1bf56c19bb941441a9b66f14f5b3acb209f4021e729b</t>
        </is>
      </c>
      <c r="E496" s="12" t="inlineStr">
        <is>
          <t>Kommentar zur Jahresrechnung 2018</t>
        </is>
      </c>
      <c r="F496" s="12" t="inlineStr">
        <is>
          <t>nein</t>
        </is>
      </c>
      <c r="G496" s="12" t="inlineStr">
        <is>
          <t>https://www.stadtwil.ch/topics/stadt-politik-und-recht/finanzen</t>
        </is>
      </c>
      <c r="H496" s="12" t="inlineStr">
        <is>
          <t>Einstiegsseite</t>
        </is>
      </c>
      <c r="I496" s="12" t="inlineStr">
        <is>
          <t>Nein</t>
        </is>
      </c>
      <c r="J496" s="12" t="inlineStr">
        <is>
          <t>Ungeprüft – nicht kuratiert</t>
        </is>
      </c>
    </row>
    <row r="497">
      <c r="A497" s="12" t="inlineStr">
        <is>
          <t>Wil</t>
        </is>
      </c>
      <c r="B497" s="12" t="inlineStr">
        <is>
          <t>St. Gallen</t>
        </is>
      </c>
      <c r="C497" s="12" t="inlineStr">
        <is>
          <t>C1</t>
        </is>
      </c>
      <c r="D497" s="16" t="inlineStr">
        <is>
          <t>https://www.stadtwil.ch/storage/46c11db85e782dc122cd9a61cc291529509f659681277125f8b019bce5a31b9c</t>
        </is>
      </c>
      <c r="E497" s="12" t="inlineStr">
        <is>
          <t>Jahresrechnung 2023</t>
        </is>
      </c>
      <c r="F497" s="12" t="inlineStr">
        <is>
          <t>nein</t>
        </is>
      </c>
      <c r="G497" s="12" t="inlineStr">
        <is>
          <t>https://www.stadtwil.ch/topics/stadt-politik-und-recht/finanzen</t>
        </is>
      </c>
      <c r="H497" s="12" t="inlineStr">
        <is>
          <t>Einstiegsseite</t>
        </is>
      </c>
      <c r="I497" s="12" t="inlineStr">
        <is>
          <t>Ja</t>
        </is>
      </c>
      <c r="J497" s="12" t="inlineStr">
        <is>
          <t>Ungeprüft – nicht kuratiert</t>
        </is>
      </c>
    </row>
    <row r="498">
      <c r="A498" s="12" t="inlineStr">
        <is>
          <t>Wil</t>
        </is>
      </c>
      <c r="B498" s="12" t="inlineStr">
        <is>
          <t>St. Gallen</t>
        </is>
      </c>
      <c r="C498" s="12" t="inlineStr">
        <is>
          <t>C1</t>
        </is>
      </c>
      <c r="D498" s="16" t="inlineStr">
        <is>
          <t>https://www.stadtwil.ch/storage/4a0a82111e8a55ab573cafb35e0d1ac286837e9573fc981685d2576b96b5a0ed</t>
        </is>
      </c>
      <c r="E498" s="12" t="inlineStr">
        <is>
          <t>Finanzplan 2019 - 2023</t>
        </is>
      </c>
      <c r="F498" s="12" t="inlineStr">
        <is>
          <t>nein</t>
        </is>
      </c>
      <c r="G498" s="12" t="inlineStr">
        <is>
          <t>https://www.stadtwil.ch/topics/stadt-politik-und-recht/finanzen</t>
        </is>
      </c>
      <c r="H498" s="12" t="inlineStr">
        <is>
          <t>Einstiegsseite</t>
        </is>
      </c>
      <c r="I498" s="12" t="inlineStr">
        <is>
          <t>Nein</t>
        </is>
      </c>
      <c r="J498" s="12" t="inlineStr">
        <is>
          <t>Ungeprüft – nicht kuratiert</t>
        </is>
      </c>
    </row>
    <row r="499">
      <c r="A499" s="12" t="inlineStr">
        <is>
          <t>Wil</t>
        </is>
      </c>
      <c r="B499" s="12" t="inlineStr">
        <is>
          <t>St. Gallen</t>
        </is>
      </c>
      <c r="C499" s="12" t="inlineStr">
        <is>
          <t>C1</t>
        </is>
      </c>
      <c r="D499" s="16" t="inlineStr">
        <is>
          <t>https://www.stadtwil.ch/storage/4c38defa65317565cc56097db8e1c95352a57abe9c101d1df3f6646b3aeeb048</t>
        </is>
      </c>
      <c r="E499" s="12" t="inlineStr">
        <is>
          <t>Flyer zur Jahresrechnung 2025</t>
        </is>
      </c>
      <c r="F499" s="12" t="inlineStr">
        <is>
          <t>nein</t>
        </is>
      </c>
      <c r="G499" s="12" t="inlineStr">
        <is>
          <t>https://www.stadtwil.ch/topics/stadt-politik-und-recht/finanzen</t>
        </is>
      </c>
      <c r="H499" s="12" t="inlineStr">
        <is>
          <t>Einstiegsseite</t>
        </is>
      </c>
      <c r="I499" s="12" t="inlineStr">
        <is>
          <t>Nein</t>
        </is>
      </c>
      <c r="J499" s="12" t="inlineStr">
        <is>
          <t>Ungeprüft – nicht kuratiert</t>
        </is>
      </c>
    </row>
    <row r="500">
      <c r="A500" s="12" t="inlineStr">
        <is>
          <t>Wil</t>
        </is>
      </c>
      <c r="B500" s="12" t="inlineStr">
        <is>
          <t>St. Gallen</t>
        </is>
      </c>
      <c r="C500" s="12" t="inlineStr">
        <is>
          <t>C1</t>
        </is>
      </c>
      <c r="D500" s="16" t="inlineStr">
        <is>
          <t>https://www.stadtwil.ch/storage/4fb8e4ddcabaf660fd11996f1a55d976088369d5656270e836392fa18e4b11d1</t>
        </is>
      </c>
      <c r="E500" s="12" t="inlineStr">
        <is>
          <t>Details zur Jahresrechnung 2022</t>
        </is>
      </c>
      <c r="F500" s="12" t="inlineStr">
        <is>
          <t>nein</t>
        </is>
      </c>
      <c r="G500" s="12" t="inlineStr">
        <is>
          <t>https://www.stadtwil.ch/topics/stadt-politik-und-recht/finanzen</t>
        </is>
      </c>
      <c r="H500" s="12" t="inlineStr">
        <is>
          <t>Einstiegsseite</t>
        </is>
      </c>
      <c r="I500" s="12" t="inlineStr">
        <is>
          <t>Nein</t>
        </is>
      </c>
      <c r="J500" s="12" t="inlineStr">
        <is>
          <t>Ungeprüft – nicht kuratiert</t>
        </is>
      </c>
    </row>
    <row r="501">
      <c r="A501" s="12" t="inlineStr">
        <is>
          <t>Wil</t>
        </is>
      </c>
      <c r="B501" s="12" t="inlineStr">
        <is>
          <t>St. Gallen</t>
        </is>
      </c>
      <c r="C501" s="12" t="inlineStr">
        <is>
          <t>C1</t>
        </is>
      </c>
      <c r="D501" s="16" t="inlineStr">
        <is>
          <t>https://www.stadtwil.ch/storage/5a29d6b9cdaf623457dcd17cd5c2b5314dbcf07469b1765575c887a6b398aaad</t>
        </is>
      </c>
      <c r="E501" s="12" t="inlineStr">
        <is>
          <t>Finanzplan 2020 - 2024</t>
        </is>
      </c>
      <c r="F501" s="12" t="inlineStr">
        <is>
          <t>nein</t>
        </is>
      </c>
      <c r="G501" s="12" t="inlineStr">
        <is>
          <t>https://www.stadtwil.ch/topics/stadt-politik-und-recht/finanzen</t>
        </is>
      </c>
      <c r="H501" s="12" t="inlineStr">
        <is>
          <t>Einstiegsseite</t>
        </is>
      </c>
      <c r="I501" s="12" t="inlineStr">
        <is>
          <t>Nein</t>
        </is>
      </c>
      <c r="J501" s="12" t="inlineStr">
        <is>
          <t>Ungeprüft – nicht kuratiert</t>
        </is>
      </c>
    </row>
    <row r="502">
      <c r="A502" s="12" t="inlineStr">
        <is>
          <t>Wil</t>
        </is>
      </c>
      <c r="B502" s="12" t="inlineStr">
        <is>
          <t>St. Gallen</t>
        </is>
      </c>
      <c r="C502" s="12" t="inlineStr">
        <is>
          <t>C1</t>
        </is>
      </c>
      <c r="D502" s="16" t="inlineStr">
        <is>
          <t>https://www.stadtwil.ch/storage/5b157eed47c9c8d58206c7f00a29347dffd41ec7d250787056c8ec6177beb8eb</t>
        </is>
      </c>
      <c r="E502" s="12" t="inlineStr">
        <is>
          <t>Details zur Jahresrechnung 2024</t>
        </is>
      </c>
      <c r="F502" s="12" t="inlineStr">
        <is>
          <t>nein</t>
        </is>
      </c>
      <c r="G502" s="12" t="inlineStr">
        <is>
          <t>https://www.stadtwil.ch/topics/stadt-politik-und-recht/finanzen</t>
        </is>
      </c>
      <c r="H502" s="12" t="inlineStr">
        <is>
          <t>Einstiegsseite</t>
        </is>
      </c>
      <c r="I502" s="12" t="inlineStr">
        <is>
          <t>Nein</t>
        </is>
      </c>
      <c r="J502" s="12" t="inlineStr">
        <is>
          <t>Ungeprüft – nicht kuratiert</t>
        </is>
      </c>
    </row>
    <row r="503">
      <c r="A503" s="12" t="inlineStr">
        <is>
          <t>Wil</t>
        </is>
      </c>
      <c r="B503" s="12" t="inlineStr">
        <is>
          <t>St. Gallen</t>
        </is>
      </c>
      <c r="C503" s="12" t="inlineStr">
        <is>
          <t>C1</t>
        </is>
      </c>
      <c r="D503" s="16" t="inlineStr">
        <is>
          <t>https://www.stadtwil.ch/storage/5cb00d7f9aeff9ba44244c064ce31fd19d469fc3a66f632832ae5bfb29385c2c</t>
        </is>
      </c>
      <c r="E503" s="12" t="inlineStr">
        <is>
          <t>Details zur Jahresrechnung 2025</t>
        </is>
      </c>
      <c r="F503" s="12" t="inlineStr">
        <is>
          <t>nein</t>
        </is>
      </c>
      <c r="G503" s="12" t="inlineStr">
        <is>
          <t>https://www.stadtwil.ch/political-business/28da2d58a16b4b85b0504eeaa7e396dc</t>
        </is>
      </c>
      <c r="H503" s="12" t="inlineStr">
        <is>
          <t>Einstiegsseite</t>
        </is>
      </c>
      <c r="I503" s="12" t="inlineStr">
        <is>
          <t>Nein</t>
        </is>
      </c>
      <c r="J503" s="12" t="inlineStr">
        <is>
          <t>Ungeprüft – nicht kuratiert</t>
        </is>
      </c>
    </row>
    <row r="504">
      <c r="A504" s="12" t="inlineStr">
        <is>
          <t>Wil</t>
        </is>
      </c>
      <c r="B504" s="12" t="inlineStr">
        <is>
          <t>St. Gallen</t>
        </is>
      </c>
      <c r="C504" s="12" t="inlineStr">
        <is>
          <t>C1</t>
        </is>
      </c>
      <c r="D504" s="16" t="inlineStr">
        <is>
          <t>https://www.stadtwil.ch/storage/6d5b005537c160414488cccbf31bcaf9bf78c6739f29071102deaaccde73a2e6</t>
        </is>
      </c>
      <c r="E504" s="12" t="inlineStr">
        <is>
          <t>Flyer zur Jahresrechnung 2024</t>
        </is>
      </c>
      <c r="F504" s="12" t="inlineStr">
        <is>
          <t>nein</t>
        </is>
      </c>
      <c r="G504" s="12" t="inlineStr">
        <is>
          <t>https://www.stadtwil.ch/topics/stadt-politik-und-recht/finanzen</t>
        </is>
      </c>
      <c r="H504" s="12" t="inlineStr">
        <is>
          <t>Einstiegsseite</t>
        </is>
      </c>
      <c r="I504" s="12" t="inlineStr">
        <is>
          <t>Nein</t>
        </is>
      </c>
      <c r="J504" s="12" t="inlineStr">
        <is>
          <t>Ungeprüft – nicht kuratiert</t>
        </is>
      </c>
    </row>
    <row r="505">
      <c r="A505" s="12" t="inlineStr">
        <is>
          <t>Wil</t>
        </is>
      </c>
      <c r="B505" s="12" t="inlineStr">
        <is>
          <t>St. Gallen</t>
        </is>
      </c>
      <c r="C505" s="12" t="inlineStr">
        <is>
          <t>C1</t>
        </is>
      </c>
      <c r="D505" s="16" t="inlineStr">
        <is>
          <t>https://www.stadtwil.ch/storage/6e02479eb8654b404e3eeb9bd65987c1e41c82b2323556284836c616510568c6</t>
        </is>
      </c>
      <c r="E505" s="12" t="inlineStr">
        <is>
          <t>Konsolidierung Jahresrechnung 2024</t>
        </is>
      </c>
      <c r="F505" s="12" t="inlineStr">
        <is>
          <t>nein</t>
        </is>
      </c>
      <c r="G505" s="12" t="inlineStr">
        <is>
          <t>https://www.stadtwil.ch/topics/stadt-politik-und-recht/finanzen</t>
        </is>
      </c>
      <c r="H505" s="12" t="inlineStr">
        <is>
          <t>Einstiegsseite</t>
        </is>
      </c>
      <c r="I505" s="12" t="inlineStr">
        <is>
          <t>Nein</t>
        </is>
      </c>
      <c r="J505" s="12" t="inlineStr">
        <is>
          <t>Ungeprüft – nicht kuratiert</t>
        </is>
      </c>
    </row>
    <row r="506">
      <c r="A506" s="12" t="inlineStr">
        <is>
          <t>Wil</t>
        </is>
      </c>
      <c r="B506" s="12" t="inlineStr">
        <is>
          <t>St. Gallen</t>
        </is>
      </c>
      <c r="C506" s="12" t="inlineStr">
        <is>
          <t>C1</t>
        </is>
      </c>
      <c r="D506" s="16" t="inlineStr">
        <is>
          <t>https://www.stadtwil.ch/storage/6ea6b4489bbef7799a32e0edc1e5cce4fd2a4e5e778b129aa2c419aa235a94ed</t>
        </is>
      </c>
      <c r="E506" s="12" t="inlineStr">
        <is>
          <t>Details zur Jahresrechnung 2025</t>
        </is>
      </c>
      <c r="F506" s="12" t="inlineStr">
        <is>
          <t>nein</t>
        </is>
      </c>
      <c r="G506" s="12" t="inlineStr">
        <is>
          <t>https://www.stadtwil.ch/topics/stadt-politik-und-recht/finanzen</t>
        </is>
      </c>
      <c r="H506" s="12" t="inlineStr">
        <is>
          <t>Einstiegsseite</t>
        </is>
      </c>
      <c r="I506" s="12" t="inlineStr">
        <is>
          <t>Nein</t>
        </is>
      </c>
      <c r="J506" s="12" t="inlineStr">
        <is>
          <t>Ungeprüft – nicht kuratiert</t>
        </is>
      </c>
    </row>
    <row r="507">
      <c r="A507" s="12" t="inlineStr">
        <is>
          <t>Wil</t>
        </is>
      </c>
      <c r="B507" s="12" t="inlineStr">
        <is>
          <t>St. Gallen</t>
        </is>
      </c>
      <c r="C507" s="12" t="inlineStr">
        <is>
          <t>C1</t>
        </is>
      </c>
      <c r="D507" s="16" t="inlineStr">
        <is>
          <t>https://www.stadtwil.ch/storage/759d2f265e269ce8f5234f782a6828f5b4ff7aebe66417956d2f3eb3605f1f64</t>
        </is>
      </c>
      <c r="E507" s="12" t="inlineStr">
        <is>
          <t>Jahresrechnung 2020,</t>
        </is>
      </c>
      <c r="F507" s="12" t="inlineStr">
        <is>
          <t>nein</t>
        </is>
      </c>
      <c r="G507" s="12" t="inlineStr">
        <is>
          <t>https://www.stadtwil.ch/topics/stadt-politik-und-recht/finanzen</t>
        </is>
      </c>
      <c r="H507" s="12" t="inlineStr">
        <is>
          <t>Einstiegsseite</t>
        </is>
      </c>
      <c r="I507" s="12" t="inlineStr">
        <is>
          <t>Nein</t>
        </is>
      </c>
      <c r="J507" s="12" t="inlineStr">
        <is>
          <t>Ungeprüft – nicht kuratiert</t>
        </is>
      </c>
    </row>
    <row r="508">
      <c r="A508" s="12" t="inlineStr">
        <is>
          <t>Wil</t>
        </is>
      </c>
      <c r="B508" s="12" t="inlineStr">
        <is>
          <t>St. Gallen</t>
        </is>
      </c>
      <c r="C508" s="12" t="inlineStr">
        <is>
          <t>C1</t>
        </is>
      </c>
      <c r="D508" s="16" t="inlineStr">
        <is>
          <t>https://www.stadtwil.ch/storage/7bdf3cf3bc6fbe1586e1b1535d10b86be6d22895e39bf623b35dd6f392849ead</t>
        </is>
      </c>
      <c r="E508" s="12" t="inlineStr">
        <is>
          <t>Details zur Jahresrechnung 2023</t>
        </is>
      </c>
      <c r="F508" s="12" t="inlineStr">
        <is>
          <t>nein</t>
        </is>
      </c>
      <c r="G508" s="12" t="inlineStr">
        <is>
          <t>https://www.stadtwil.ch/topics/stadt-politik-und-recht/finanzen</t>
        </is>
      </c>
      <c r="H508" s="12" t="inlineStr">
        <is>
          <t>Einstiegsseite</t>
        </is>
      </c>
      <c r="I508" s="12" t="inlineStr">
        <is>
          <t>Nein</t>
        </is>
      </c>
      <c r="J508" s="12" t="inlineStr">
        <is>
          <t>Ungeprüft – nicht kuratiert</t>
        </is>
      </c>
    </row>
    <row r="509">
      <c r="A509" s="12" t="inlineStr">
        <is>
          <t>Wil</t>
        </is>
      </c>
      <c r="B509" s="12" t="inlineStr">
        <is>
          <t>St. Gallen</t>
        </is>
      </c>
      <c r="C509" s="12" t="inlineStr">
        <is>
          <t>C1</t>
        </is>
      </c>
      <c r="D509" s="16" t="inlineStr">
        <is>
          <t>https://www.stadtwil.ch/storage/7d4a85f5922095a07eeaee7457ca1babed8908385d93d833be82af43298b18f6</t>
        </is>
      </c>
      <c r="E509" s="12" t="inlineStr">
        <is>
          <t>Jahresrechnung 2022</t>
        </is>
      </c>
      <c r="F509" s="12" t="inlineStr">
        <is>
          <t>nein</t>
        </is>
      </c>
      <c r="G509" s="12" t="inlineStr">
        <is>
          <t>https://www.stadtwil.ch/topics/stadt-politik-und-recht/finanzen</t>
        </is>
      </c>
      <c r="H509" s="12" t="inlineStr">
        <is>
          <t>Einstiegsseite</t>
        </is>
      </c>
      <c r="I509" s="12" t="inlineStr">
        <is>
          <t>Nein</t>
        </is>
      </c>
      <c r="J509" s="12" t="inlineStr">
        <is>
          <t>Ungeprüft – nicht kuratiert</t>
        </is>
      </c>
    </row>
    <row r="510">
      <c r="A510" s="12" t="inlineStr">
        <is>
          <t>Wil</t>
        </is>
      </c>
      <c r="B510" s="12" t="inlineStr">
        <is>
          <t>St. Gallen</t>
        </is>
      </c>
      <c r="C510" s="12" t="inlineStr">
        <is>
          <t>C1</t>
        </is>
      </c>
      <c r="D510" s="16" t="inlineStr">
        <is>
          <t>https://www.stadtwil.ch/storage/8577e1164c4d536edeec4b8e0318e0339a79eb5b436493c1b5f5e427addb139d</t>
        </is>
      </c>
      <c r="E510" s="12" t="inlineStr">
        <is>
          <t>Jahresrechnung 2019</t>
        </is>
      </c>
      <c r="F510" s="12" t="inlineStr">
        <is>
          <t>nein</t>
        </is>
      </c>
      <c r="G510" s="12" t="inlineStr">
        <is>
          <t>https://www.stadtwil.ch/topics/stadt-politik-und-recht/finanzen</t>
        </is>
      </c>
      <c r="H510" s="12" t="inlineStr">
        <is>
          <t>Einstiegsseite</t>
        </is>
      </c>
      <c r="I510" s="12" t="inlineStr">
        <is>
          <t>Nein</t>
        </is>
      </c>
      <c r="J510" s="12" t="inlineStr">
        <is>
          <t>Ungeprüft – nicht kuratiert</t>
        </is>
      </c>
    </row>
    <row r="511">
      <c r="A511" s="12" t="inlineStr">
        <is>
          <t>Wil</t>
        </is>
      </c>
      <c r="B511" s="12" t="inlineStr">
        <is>
          <t>St. Gallen</t>
        </is>
      </c>
      <c r="C511" s="12" t="inlineStr">
        <is>
          <t>C1</t>
        </is>
      </c>
      <c r="D511" s="16" t="inlineStr">
        <is>
          <t>https://www.stadtwil.ch/storage/86c954451190b5683f4cea602b5746ce096ff6338c9f35fbea68172b58f684d1</t>
        </is>
      </c>
      <c r="E511" s="12" t="inlineStr">
        <is>
          <t>Budget 2027</t>
        </is>
      </c>
      <c r="F511" s="12" t="inlineStr">
        <is>
          <t>nein</t>
        </is>
      </c>
      <c r="G511" s="12" t="inlineStr">
        <is>
          <t>https://www.stadtwil.ch/topics/stadt-politik-und-recht/finanzen</t>
        </is>
      </c>
      <c r="H511" s="12" t="inlineStr">
        <is>
          <t>Einstiegsseite</t>
        </is>
      </c>
      <c r="I511" s="12" t="inlineStr">
        <is>
          <t>Ja</t>
        </is>
      </c>
      <c r="J511" s="12" t="inlineStr">
        <is>
          <t>Ungeprüft – nicht kuratiert</t>
        </is>
      </c>
    </row>
    <row r="512">
      <c r="A512" s="12" t="inlineStr">
        <is>
          <t>Wil</t>
        </is>
      </c>
      <c r="B512" s="12" t="inlineStr">
        <is>
          <t>St. Gallen</t>
        </is>
      </c>
      <c r="C512" s="12" t="inlineStr">
        <is>
          <t>C1</t>
        </is>
      </c>
      <c r="D512" s="16" t="inlineStr">
        <is>
          <t>https://www.stadtwil.ch/storage/875d422378d72386aae96efa76356fbfa05e9a0e1e03f208fbbe599dea21021c</t>
        </is>
      </c>
      <c r="E512" s="12" t="inlineStr">
        <is>
          <t>Finanzplan 2026 - 2030</t>
        </is>
      </c>
      <c r="F512" s="12" t="inlineStr">
        <is>
          <t>nein</t>
        </is>
      </c>
      <c r="G512" s="12" t="inlineStr">
        <is>
          <t>https://www.stadtwil.ch/topics/stadt-politik-und-recht/finanzen</t>
        </is>
      </c>
      <c r="H512" s="12" t="inlineStr">
        <is>
          <t>Einstiegsseite</t>
        </is>
      </c>
      <c r="I512" s="12" t="inlineStr">
        <is>
          <t>Ja</t>
        </is>
      </c>
      <c r="J512" s="12" t="inlineStr">
        <is>
          <t>Ungeprüft – nicht kuratiert</t>
        </is>
      </c>
    </row>
    <row r="513">
      <c r="A513" s="12" t="inlineStr">
        <is>
          <t>Wil</t>
        </is>
      </c>
      <c r="B513" s="12" t="inlineStr">
        <is>
          <t>St. Gallen</t>
        </is>
      </c>
      <c r="C513" s="12" t="inlineStr">
        <is>
          <t>C1</t>
        </is>
      </c>
      <c r="D513" s="16" t="inlineStr">
        <is>
          <t>https://www.stadtwil.ch/storage/8af13c3aa622166e4f3f58f05540340ab4be9f11d1ad3d638bc88055963ca6b1</t>
        </is>
      </c>
      <c r="E513" s="12" t="inlineStr">
        <is>
          <t>Kommentar zur Jahresrechnung 2024</t>
        </is>
      </c>
      <c r="F513" s="12" t="inlineStr">
        <is>
          <t>nein</t>
        </is>
      </c>
      <c r="G513" s="12" t="inlineStr">
        <is>
          <t>https://www.stadtwil.ch/topics/stadt-politik-und-recht/finanzen</t>
        </is>
      </c>
      <c r="H513" s="12" t="inlineStr">
        <is>
          <t>Einstiegsseite</t>
        </is>
      </c>
      <c r="I513" s="12" t="inlineStr">
        <is>
          <t>Nein</t>
        </is>
      </c>
      <c r="J513" s="12" t="inlineStr">
        <is>
          <t>Ungeprüft – nicht kuratiert</t>
        </is>
      </c>
    </row>
    <row r="514">
      <c r="A514" s="12" t="inlineStr">
        <is>
          <t>Wil</t>
        </is>
      </c>
      <c r="B514" s="12" t="inlineStr">
        <is>
          <t>St. Gallen</t>
        </is>
      </c>
      <c r="C514" s="12" t="inlineStr">
        <is>
          <t>C1</t>
        </is>
      </c>
      <c r="D514" s="16" t="inlineStr">
        <is>
          <t>https://www.stadtwil.ch/storage/94e86a376773e81cb93ed169653e0496eb46d77418be4b8a72d41ff7e6e22884</t>
        </is>
      </c>
      <c r="E514" s="12" t="inlineStr">
        <is>
          <t>Budget 2019</t>
        </is>
      </c>
      <c r="F514" s="12" t="inlineStr">
        <is>
          <t>nein</t>
        </is>
      </c>
      <c r="G514" s="12" t="inlineStr">
        <is>
          <t>https://www.stadtwil.ch/topics/stadt-politik-und-recht/finanzen</t>
        </is>
      </c>
      <c r="H514" s="12" t="inlineStr">
        <is>
          <t>Einstiegsseite</t>
        </is>
      </c>
      <c r="I514" s="12" t="inlineStr">
        <is>
          <t>Nein</t>
        </is>
      </c>
      <c r="J514" s="12" t="inlineStr">
        <is>
          <t>Ungeprüft – nicht kuratiert</t>
        </is>
      </c>
    </row>
    <row r="515">
      <c r="A515" s="12" t="inlineStr">
        <is>
          <t>Wil</t>
        </is>
      </c>
      <c r="B515" s="12" t="inlineStr">
        <is>
          <t>St. Gallen</t>
        </is>
      </c>
      <c r="C515" s="12" t="inlineStr">
        <is>
          <t>C1</t>
        </is>
      </c>
      <c r="D515" s="16" t="inlineStr">
        <is>
          <t>https://www.stadtwil.ch/storage/99172bc54b50f4ed3a9d5ca84fbefb64712f971674a34f7aa65b1237a0444c47</t>
        </is>
      </c>
      <c r="E515" s="12" t="inlineStr">
        <is>
          <t>Kommentar zur Jahresrechnung 2022</t>
        </is>
      </c>
      <c r="F515" s="12" t="inlineStr">
        <is>
          <t>nein</t>
        </is>
      </c>
      <c r="G515" s="12" t="inlineStr">
        <is>
          <t>https://www.stadtwil.ch/topics/stadt-politik-und-recht/finanzen</t>
        </is>
      </c>
      <c r="H515" s="12" t="inlineStr">
        <is>
          <t>Einstiegsseite</t>
        </is>
      </c>
      <c r="I515" s="12" t="inlineStr">
        <is>
          <t>Nein</t>
        </is>
      </c>
      <c r="J515" s="12" t="inlineStr">
        <is>
          <t>Ungeprüft – nicht kuratiert</t>
        </is>
      </c>
    </row>
    <row r="516">
      <c r="A516" s="12" t="inlineStr">
        <is>
          <t>Wil</t>
        </is>
      </c>
      <c r="B516" s="12" t="inlineStr">
        <is>
          <t>St. Gallen</t>
        </is>
      </c>
      <c r="C516" s="12" t="inlineStr">
        <is>
          <t>C1</t>
        </is>
      </c>
      <c r="D516" s="16" t="inlineStr">
        <is>
          <t>https://www.stadtwil.ch/storage/a53d14e43381dcba8be88edcba28536ce9c34222a88bf8093fe1897d508ee5a9</t>
        </is>
      </c>
      <c r="E516" s="12" t="inlineStr">
        <is>
          <t>Investitionsplan 2024 - 2028</t>
        </is>
      </c>
      <c r="F516" s="12" t="inlineStr">
        <is>
          <t>nein</t>
        </is>
      </c>
      <c r="G516" s="12" t="inlineStr">
        <is>
          <t>https://www.stadtwil.ch/topics/stadt-politik-und-recht/finanzen</t>
        </is>
      </c>
      <c r="H516" s="12" t="inlineStr">
        <is>
          <t>Einstiegsseite</t>
        </is>
      </c>
      <c r="I516" s="12" t="inlineStr">
        <is>
          <t>Nein</t>
        </is>
      </c>
      <c r="J516" s="12" t="inlineStr">
        <is>
          <t>Ungeprüft – nicht kuratiert</t>
        </is>
      </c>
    </row>
    <row r="517">
      <c r="A517" s="12" t="inlineStr">
        <is>
          <t>Wil</t>
        </is>
      </c>
      <c r="B517" s="12" t="inlineStr">
        <is>
          <t>St. Gallen</t>
        </is>
      </c>
      <c r="C517" s="12" t="inlineStr">
        <is>
          <t>C1</t>
        </is>
      </c>
      <c r="D517" s="16" t="inlineStr">
        <is>
          <t>https://www.stadtwil.ch/storage/a5932de8419506bf56d4910acd4662ed2ff77b4f123214fb41e56d85938aafb7</t>
        </is>
      </c>
      <c r="E517" s="12" t="inlineStr">
        <is>
          <t>Budget 2020</t>
        </is>
      </c>
      <c r="F517" s="12" t="inlineStr">
        <is>
          <t>nein</t>
        </is>
      </c>
      <c r="G517" s="12" t="inlineStr">
        <is>
          <t>https://www.stadtwil.ch/topics/stadt-politik-und-recht/finanzen</t>
        </is>
      </c>
      <c r="H517" s="12" t="inlineStr">
        <is>
          <t>Einstiegsseite</t>
        </is>
      </c>
      <c r="I517" s="12" t="inlineStr">
        <is>
          <t>Nein</t>
        </is>
      </c>
      <c r="J517" s="12" t="inlineStr">
        <is>
          <t>Ungeprüft – nicht kuratiert</t>
        </is>
      </c>
    </row>
    <row r="518">
      <c r="A518" s="12" t="inlineStr">
        <is>
          <t>Wil</t>
        </is>
      </c>
      <c r="B518" s="12" t="inlineStr">
        <is>
          <t>St. Gallen</t>
        </is>
      </c>
      <c r="C518" s="12" t="inlineStr">
        <is>
          <t>C1</t>
        </is>
      </c>
      <c r="D518" s="16" t="inlineStr">
        <is>
          <t>https://www.stadtwil.ch/storage/aa4410dab8a7d70c48ab1e5dbdf30735f3f604c1175100db3f2ae05ccbe37316</t>
        </is>
      </c>
      <c r="E518" s="12" t="inlineStr">
        <is>
          <t>Details zur Jahresrechnung 2020</t>
        </is>
      </c>
      <c r="F518" s="12" t="inlineStr">
        <is>
          <t>nein</t>
        </is>
      </c>
      <c r="G518" s="12" t="inlineStr">
        <is>
          <t>https://www.stadtwil.ch/topics/stadt-politik-und-recht/finanzen</t>
        </is>
      </c>
      <c r="H518" s="12" t="inlineStr">
        <is>
          <t>Einstiegsseite</t>
        </is>
      </c>
      <c r="I518" s="12" t="inlineStr">
        <is>
          <t>Nein</t>
        </is>
      </c>
      <c r="J518" s="12" t="inlineStr">
        <is>
          <t>Ungeprüft – nicht kuratiert</t>
        </is>
      </c>
    </row>
    <row r="519">
      <c r="A519" s="12" t="inlineStr">
        <is>
          <t>Wil</t>
        </is>
      </c>
      <c r="B519" s="12" t="inlineStr">
        <is>
          <t>St. Gallen</t>
        </is>
      </c>
      <c r="C519" s="12" t="inlineStr">
        <is>
          <t>C1</t>
        </is>
      </c>
      <c r="D519" s="16" t="inlineStr">
        <is>
          <t>https://www.stadtwil.ch/storage/af262256d670e42b38e29b3778421d715ef05070895c92d8768e99512c911da5</t>
        </is>
      </c>
      <c r="E519" s="12" t="inlineStr">
        <is>
          <t>Jahresrechnung 2017</t>
        </is>
      </c>
      <c r="F519" s="12" t="inlineStr">
        <is>
          <t>nein</t>
        </is>
      </c>
      <c r="G519" s="12" t="inlineStr">
        <is>
          <t>https://www.stadtwil.ch/topics/stadt-politik-und-recht/finanzen</t>
        </is>
      </c>
      <c r="H519" s="12" t="inlineStr">
        <is>
          <t>Einstiegsseite</t>
        </is>
      </c>
      <c r="I519" s="12" t="inlineStr">
        <is>
          <t>Nein</t>
        </is>
      </c>
      <c r="J519" s="12" t="inlineStr">
        <is>
          <t>Ungeprüft – nicht kuratiert</t>
        </is>
      </c>
    </row>
    <row r="520">
      <c r="A520" s="12" t="inlineStr">
        <is>
          <t>Wil</t>
        </is>
      </c>
      <c r="B520" s="12" t="inlineStr">
        <is>
          <t>St. Gallen</t>
        </is>
      </c>
      <c r="C520" s="12" t="inlineStr">
        <is>
          <t>C1</t>
        </is>
      </c>
      <c r="D520" s="16" t="inlineStr">
        <is>
          <t>https://www.stadtwil.ch/storage/b3e745abec838919a0d3512ab05ab817b75f2910b864625c5abe1b4aa0304157</t>
        </is>
      </c>
      <c r="E520" s="12" t="inlineStr">
        <is>
          <t>Jahresrechnung 2018</t>
        </is>
      </c>
      <c r="F520" s="12" t="inlineStr">
        <is>
          <t>nein</t>
        </is>
      </c>
      <c r="G520" s="12" t="inlineStr">
        <is>
          <t>https://www.stadtwil.ch/topics/stadt-politik-und-recht/finanzen</t>
        </is>
      </c>
      <c r="H520" s="12" t="inlineStr">
        <is>
          <t>Einstiegsseite</t>
        </is>
      </c>
      <c r="I520" s="12" t="inlineStr">
        <is>
          <t>Nein</t>
        </is>
      </c>
      <c r="J520" s="12" t="inlineStr">
        <is>
          <t>Ungeprüft – nicht kuratiert</t>
        </is>
      </c>
    </row>
    <row r="521">
      <c r="A521" s="12" t="inlineStr">
        <is>
          <t>Wil</t>
        </is>
      </c>
      <c r="B521" s="12" t="inlineStr">
        <is>
          <t>St. Gallen</t>
        </is>
      </c>
      <c r="C521" s="12" t="inlineStr">
        <is>
          <t>C1</t>
        </is>
      </c>
      <c r="D521" s="16" t="inlineStr">
        <is>
          <t>https://www.stadtwil.ch/storage/bda848a1c8c0099d7fa141d2ce4b72de3cd99bf41fbadf83f7d4ed51f0748f90</t>
        </is>
      </c>
      <c r="E521" s="12" t="inlineStr">
        <is>
          <t>Finanzplan 2023 - 2027</t>
        </is>
      </c>
      <c r="F521" s="12" t="inlineStr">
        <is>
          <t>nein</t>
        </is>
      </c>
      <c r="G521" s="12" t="inlineStr">
        <is>
          <t>https://www.stadtwil.ch/topics/stadt-politik-und-recht/finanzen</t>
        </is>
      </c>
      <c r="H521" s="12" t="inlineStr">
        <is>
          <t>Einstiegsseite</t>
        </is>
      </c>
      <c r="I521" s="12" t="inlineStr">
        <is>
          <t>Nein</t>
        </is>
      </c>
      <c r="J521" s="12" t="inlineStr">
        <is>
          <t>Ungeprüft – nicht kuratiert</t>
        </is>
      </c>
    </row>
    <row r="522">
      <c r="A522" s="12" t="inlineStr">
        <is>
          <t>Wil</t>
        </is>
      </c>
      <c r="B522" s="12" t="inlineStr">
        <is>
          <t>St. Gallen</t>
        </is>
      </c>
      <c r="C522" s="12" t="inlineStr">
        <is>
          <t>C1</t>
        </is>
      </c>
      <c r="D522" s="16" t="inlineStr">
        <is>
          <t>https://www.stadtwil.ch/storage/c6097b5ae815fb81f14b4db7630b14d9452e3be1ae3cbddd9f8e28d9d0777c7f</t>
        </is>
      </c>
      <c r="E522" s="12" t="inlineStr">
        <is>
          <t>Investitionsplan 2026 - 2030</t>
        </is>
      </c>
      <c r="F522" s="12" t="inlineStr">
        <is>
          <t>nein</t>
        </is>
      </c>
      <c r="G522" s="12" t="inlineStr">
        <is>
          <t>https://www.stadtwil.ch/topics/stadt-politik-und-recht/finanzen</t>
        </is>
      </c>
      <c r="H522" s="12" t="inlineStr">
        <is>
          <t>Einstiegsseite</t>
        </is>
      </c>
      <c r="I522" s="12" t="inlineStr">
        <is>
          <t>Ja</t>
        </is>
      </c>
      <c r="J522" s="12" t="inlineStr">
        <is>
          <t>Ungeprüft – nicht kuratiert</t>
        </is>
      </c>
    </row>
    <row r="523">
      <c r="A523" s="12" t="inlineStr">
        <is>
          <t>Wil</t>
        </is>
      </c>
      <c r="B523" s="12" t="inlineStr">
        <is>
          <t>St. Gallen</t>
        </is>
      </c>
      <c r="C523" s="12" t="inlineStr">
        <is>
          <t>C1</t>
        </is>
      </c>
      <c r="D523" s="16" t="inlineStr">
        <is>
          <t>https://www.stadtwil.ch/storage/c7e05a885ee1a6860975358848101c3f21fe558650ccfc5ba12339d34d3232e9</t>
        </is>
      </c>
      <c r="E523" s="12" t="inlineStr">
        <is>
          <t>Finanzplan 2025 - 2029</t>
        </is>
      </c>
      <c r="F523" s="12" t="inlineStr">
        <is>
          <t>nein</t>
        </is>
      </c>
      <c r="G523" s="12" t="inlineStr">
        <is>
          <t>https://www.stadtwil.ch/topics/stadt-politik-und-recht/finanzen</t>
        </is>
      </c>
      <c r="H523" s="12" t="inlineStr">
        <is>
          <t>Einstiegsseite</t>
        </is>
      </c>
      <c r="I523" s="12" t="inlineStr">
        <is>
          <t>Ja</t>
        </is>
      </c>
      <c r="J523" s="12" t="inlineStr">
        <is>
          <t>Ungeprüft – nicht kuratiert</t>
        </is>
      </c>
    </row>
    <row r="524">
      <c r="A524" s="12" t="inlineStr">
        <is>
          <t>Wil</t>
        </is>
      </c>
      <c r="B524" s="12" t="inlineStr">
        <is>
          <t>St. Gallen</t>
        </is>
      </c>
      <c r="C524" s="12" t="inlineStr">
        <is>
          <t>C1</t>
        </is>
      </c>
      <c r="D524" s="16" t="inlineStr">
        <is>
          <t>https://www.stadtwil.ch/storage/cbd766fe3fd1038fca54c289885daa4a6d26dc377f5bacb650abf735e8370f7c</t>
        </is>
      </c>
      <c r="E524" s="12" t="inlineStr">
        <is>
          <t>Details zur Jahresrechnung 2019</t>
        </is>
      </c>
      <c r="F524" s="12" t="inlineStr">
        <is>
          <t>nein</t>
        </is>
      </c>
      <c r="G524" s="12" t="inlineStr">
        <is>
          <t>https://www.stadtwil.ch/topics/stadt-politik-und-recht/finanzen</t>
        </is>
      </c>
      <c r="H524" s="12" t="inlineStr">
        <is>
          <t>Einstiegsseite</t>
        </is>
      </c>
      <c r="I524" s="12" t="inlineStr">
        <is>
          <t>Nein</t>
        </is>
      </c>
      <c r="J524" s="12" t="inlineStr">
        <is>
          <t>Ungeprüft – nicht kuratiert</t>
        </is>
      </c>
    </row>
    <row r="525">
      <c r="A525" s="12" t="inlineStr">
        <is>
          <t>Wil</t>
        </is>
      </c>
      <c r="B525" s="12" t="inlineStr">
        <is>
          <t>St. Gallen</t>
        </is>
      </c>
      <c r="C525" s="12" t="inlineStr">
        <is>
          <t>C1</t>
        </is>
      </c>
      <c r="D525" s="16" t="inlineStr">
        <is>
          <t>https://www.stadtwil.ch/storage/d628d6f81fdc76bc3955ba748092dbc74e3eb55fba1186bc0a551d48bb67d902</t>
        </is>
      </c>
      <c r="E525" s="12" t="inlineStr">
        <is>
          <t>Investitionsplan 2025 - 2029</t>
        </is>
      </c>
      <c r="F525" s="12" t="inlineStr">
        <is>
          <t>nein</t>
        </is>
      </c>
      <c r="G525" s="12" t="inlineStr">
        <is>
          <t>https://www.stadtwil.ch/topics/stadt-politik-und-recht/finanzen</t>
        </is>
      </c>
      <c r="H525" s="12" t="inlineStr">
        <is>
          <t>Einstiegsseite</t>
        </is>
      </c>
      <c r="I525" s="12" t="inlineStr">
        <is>
          <t>Nein</t>
        </is>
      </c>
      <c r="J525" s="12" t="inlineStr">
        <is>
          <t>Ungeprüft – nicht kuratiert</t>
        </is>
      </c>
    </row>
    <row r="526">
      <c r="A526" s="12" t="inlineStr">
        <is>
          <t>Wil</t>
        </is>
      </c>
      <c r="B526" s="12" t="inlineStr">
        <is>
          <t>St. Gallen</t>
        </is>
      </c>
      <c r="C526" s="12" t="inlineStr">
        <is>
          <t>C1</t>
        </is>
      </c>
      <c r="D526" s="16" t="inlineStr">
        <is>
          <t>https://www.stadtwil.ch/storage/d9c02697aa4a2bf1cb1185338aa8c4455c0625e752a48c9f9188654ff4b1c29e</t>
        </is>
      </c>
      <c r="E526" s="12" t="inlineStr">
        <is>
          <t>Jahresrechnung 2021</t>
        </is>
      </c>
      <c r="F526" s="12" t="inlineStr">
        <is>
          <t>nein</t>
        </is>
      </c>
      <c r="G526" s="12" t="inlineStr">
        <is>
          <t>https://www.stadtwil.ch/topics/stadt-politik-und-recht/finanzen</t>
        </is>
      </c>
      <c r="H526" s="12" t="inlineStr">
        <is>
          <t>Einstiegsseite</t>
        </is>
      </c>
      <c r="I526" s="12" t="inlineStr">
        <is>
          <t>Nein</t>
        </is>
      </c>
      <c r="J526" s="12" t="inlineStr">
        <is>
          <t>Ungeprüft – nicht kuratiert</t>
        </is>
      </c>
    </row>
    <row r="527">
      <c r="A527" s="12" t="inlineStr">
        <is>
          <t>Wil</t>
        </is>
      </c>
      <c r="B527" s="12" t="inlineStr">
        <is>
          <t>St. Gallen</t>
        </is>
      </c>
      <c r="C527" s="12" t="inlineStr">
        <is>
          <t>C1</t>
        </is>
      </c>
      <c r="D527" s="16" t="inlineStr">
        <is>
          <t>https://www.stadtwil.ch/storage/ddeac884afc78b2938e796f1428750d12aa86aecb33c94eea593cc6cab1b312b</t>
        </is>
      </c>
      <c r="E527" s="12" t="inlineStr">
        <is>
          <t>Details zur Jahresrechnung 2017</t>
        </is>
      </c>
      <c r="F527" s="12" t="inlineStr">
        <is>
          <t>nein</t>
        </is>
      </c>
      <c r="G527" s="12" t="inlineStr">
        <is>
          <t>https://www.stadtwil.ch/topics/stadt-politik-und-recht/finanzen</t>
        </is>
      </c>
      <c r="H527" s="12" t="inlineStr">
        <is>
          <t>Einstiegsseite</t>
        </is>
      </c>
      <c r="I527" s="12" t="inlineStr">
        <is>
          <t>Nein</t>
        </is>
      </c>
      <c r="J527" s="12" t="inlineStr">
        <is>
          <t>Ungeprüft – nicht kuratiert</t>
        </is>
      </c>
    </row>
    <row r="528">
      <c r="A528" s="12" t="inlineStr">
        <is>
          <t>Wil</t>
        </is>
      </c>
      <c r="B528" s="12" t="inlineStr">
        <is>
          <t>St. Gallen</t>
        </is>
      </c>
      <c r="C528" s="12" t="inlineStr">
        <is>
          <t>C1</t>
        </is>
      </c>
      <c r="D528" s="16" t="inlineStr">
        <is>
          <t>https://www.stadtwil.ch/storage/e068dbaa9fded889bfe861fbff297036691451b5ac887565ba087a4d424a1dbb</t>
        </is>
      </c>
      <c r="E528" s="12" t="inlineStr">
        <is>
          <t>Budget 2025</t>
        </is>
      </c>
      <c r="F528" s="12" t="inlineStr">
        <is>
          <t>nein</t>
        </is>
      </c>
      <c r="G528" s="12" t="inlineStr">
        <is>
          <t>https://www.stadtwil.ch/topics/stadt-politik-und-recht/finanzen</t>
        </is>
      </c>
      <c r="H528" s="12" t="inlineStr">
        <is>
          <t>Einstiegsseite</t>
        </is>
      </c>
      <c r="I528" s="12" t="inlineStr">
        <is>
          <t>Nein</t>
        </is>
      </c>
      <c r="J528" s="12" t="inlineStr">
        <is>
          <t>Ungeprüft – nicht kuratiert</t>
        </is>
      </c>
    </row>
    <row r="529">
      <c r="A529" s="12" t="inlineStr">
        <is>
          <t>Wil</t>
        </is>
      </c>
      <c r="B529" s="12" t="inlineStr">
        <is>
          <t>St. Gallen</t>
        </is>
      </c>
      <c r="C529" s="12" t="inlineStr">
        <is>
          <t>C1</t>
        </is>
      </c>
      <c r="D529" s="16" t="inlineStr">
        <is>
          <t>https://www.stadtwil.ch/storage/e0f88b7e95fa8922956f75f20b7d25a8df06e52d5c19f687aa8b236830592835</t>
        </is>
      </c>
      <c r="E529" s="12" t="inlineStr">
        <is>
          <t>Finanzplan 2018 - 2022</t>
        </is>
      </c>
      <c r="F529" s="12" t="inlineStr">
        <is>
          <t>nein</t>
        </is>
      </c>
      <c r="G529" s="12" t="inlineStr">
        <is>
          <t>https://www.stadtwil.ch/topics/stadt-politik-und-recht/finanzen</t>
        </is>
      </c>
      <c r="H529" s="12" t="inlineStr">
        <is>
          <t>Einstiegsseite</t>
        </is>
      </c>
      <c r="I529" s="12" t="inlineStr">
        <is>
          <t>Nein</t>
        </is>
      </c>
      <c r="J529" s="12" t="inlineStr">
        <is>
          <t>Ungeprüft – nicht kuratiert</t>
        </is>
      </c>
    </row>
    <row r="530">
      <c r="A530" s="12" t="inlineStr">
        <is>
          <t>Wil</t>
        </is>
      </c>
      <c r="B530" s="12" t="inlineStr">
        <is>
          <t>St. Gallen</t>
        </is>
      </c>
      <c r="C530" s="12" t="inlineStr">
        <is>
          <t>C1</t>
        </is>
      </c>
      <c r="D530" s="16" t="inlineStr">
        <is>
          <t>https://www.stadtwil.ch/storage/e85e215076ce8aba4c1370d0a77a6b96fc4cba8d5f2ab5821c01f989ca208947</t>
        </is>
      </c>
      <c r="E530" s="12" t="inlineStr">
        <is>
          <t>Kommentar zur Jahresrechnung 2023</t>
        </is>
      </c>
      <c r="F530" s="12" t="inlineStr">
        <is>
          <t>nein</t>
        </is>
      </c>
      <c r="G530" s="12" t="inlineStr">
        <is>
          <t>https://www.stadtwil.ch/topics/stadt-politik-und-recht/finanzen</t>
        </is>
      </c>
      <c r="H530" s="12" t="inlineStr">
        <is>
          <t>Einstiegsseite</t>
        </is>
      </c>
      <c r="I530" s="12" t="inlineStr">
        <is>
          <t>Nein</t>
        </is>
      </c>
      <c r="J530" s="12" t="inlineStr">
        <is>
          <t>Ungeprüft – nicht kuratiert</t>
        </is>
      </c>
    </row>
    <row r="531">
      <c r="A531" s="12" t="inlineStr">
        <is>
          <t>Wil</t>
        </is>
      </c>
      <c r="B531" s="12" t="inlineStr">
        <is>
          <t>St. Gallen</t>
        </is>
      </c>
      <c r="C531" s="12" t="inlineStr">
        <is>
          <t>C1</t>
        </is>
      </c>
      <c r="D531" s="16" t="inlineStr">
        <is>
          <t>https://www.stadtwil.ch/storage/f7491b91662ef70522e65b7274a5dc0caae60a57fbe5bf763d0e499763ecc62f</t>
        </is>
      </c>
      <c r="E531" s="12" t="inlineStr">
        <is>
          <t>Kommentar zur Jahresrechnung 2020</t>
        </is>
      </c>
      <c r="F531" s="12" t="inlineStr">
        <is>
          <t>nein</t>
        </is>
      </c>
      <c r="G531" s="12" t="inlineStr">
        <is>
          <t>https://www.stadtwil.ch/topics/stadt-politik-und-recht/finanzen</t>
        </is>
      </c>
      <c r="H531" s="12" t="inlineStr">
        <is>
          <t>Einstiegsseite</t>
        </is>
      </c>
      <c r="I531" s="12" t="inlineStr">
        <is>
          <t>Nein</t>
        </is>
      </c>
      <c r="J531" s="12" t="inlineStr">
        <is>
          <t>Ungeprüft – nicht kuratiert</t>
        </is>
      </c>
    </row>
    <row r="532">
      <c r="A532" s="12" t="inlineStr">
        <is>
          <t>Wil</t>
        </is>
      </c>
      <c r="B532" s="12" t="inlineStr">
        <is>
          <t>St. Gallen</t>
        </is>
      </c>
      <c r="C532" s="12" t="inlineStr">
        <is>
          <t>C1</t>
        </is>
      </c>
      <c r="D532" s="16" t="inlineStr">
        <is>
          <t>https://www.stadtwil.ch/storage/f803e67775f3c070290c11030ec10b22728ee55edbbdf5eebd0bf86b0b1385a8</t>
        </is>
      </c>
      <c r="E532" s="12" t="inlineStr">
        <is>
          <t>Finanzplan 2024 - 2028,</t>
        </is>
      </c>
      <c r="F532" s="12" t="inlineStr">
        <is>
          <t>nein</t>
        </is>
      </c>
      <c r="G532" s="12" t="inlineStr">
        <is>
          <t>https://www.stadtwil.ch/topics/stadt-politik-und-recht/finanzen</t>
        </is>
      </c>
      <c r="H532" s="12" t="inlineStr">
        <is>
          <t>Einstiegsseite</t>
        </is>
      </c>
      <c r="I532" s="12" t="inlineStr">
        <is>
          <t>Nein</t>
        </is>
      </c>
      <c r="J532" s="12" t="inlineStr">
        <is>
          <t>Ungeprüft – nicht kuratiert</t>
        </is>
      </c>
    </row>
    <row r="533">
      <c r="A533" s="12" t="inlineStr">
        <is>
          <t>Wil</t>
        </is>
      </c>
      <c r="B533" s="12" t="inlineStr">
        <is>
          <t>St. Gallen</t>
        </is>
      </c>
      <c r="C533" s="12" t="inlineStr">
        <is>
          <t>C1</t>
        </is>
      </c>
      <c r="D533" s="16" t="inlineStr">
        <is>
          <t>https://www.stadtwil.ch/storage/ffd718635b7c2a94e0f145b0c480c805c782b69056ac86e1ebbcec20de229793</t>
        </is>
      </c>
      <c r="E533" s="12" t="inlineStr">
        <is>
          <t>Kommentar zur Jahresrechnung 2019</t>
        </is>
      </c>
      <c r="F533" s="12" t="inlineStr">
        <is>
          <t>nein</t>
        </is>
      </c>
      <c r="G533" s="12" t="inlineStr">
        <is>
          <t>https://www.stadtwil.ch/topics/stadt-politik-und-recht/finanzen</t>
        </is>
      </c>
      <c r="H533" s="12" t="inlineStr">
        <is>
          <t>Einstiegsseite</t>
        </is>
      </c>
      <c r="I533" s="12" t="inlineStr">
        <is>
          <t>Nein</t>
        </is>
      </c>
      <c r="J533" s="12" t="inlineStr">
        <is>
          <t>Ungeprüft – nicht kuratiert</t>
        </is>
      </c>
    </row>
    <row r="534">
      <c r="A534" s="12" t="inlineStr">
        <is>
          <t>Wil</t>
        </is>
      </c>
      <c r="B534" s="12" t="inlineStr">
        <is>
          <t>St. Gallen</t>
        </is>
      </c>
      <c r="C534" s="12" t="inlineStr">
        <is>
          <t>C1,C3</t>
        </is>
      </c>
      <c r="D534" s="16" t="inlineStr">
        <is>
          <t>https://www.gesetzessammlung.sg.ch/app/de/texts_of_law/151.53</t>
        </is>
      </c>
      <c r="E534" s="12" t="inlineStr">
        <is>
          <t>Verordnung über den Finanzhaushalt der Gemeinden neues Fenster</t>
        </is>
      </c>
      <c r="F534" s="12" t="inlineStr">
        <is>
          <t>nein</t>
        </is>
      </c>
      <c r="G534" s="12" t="inlineStr">
        <is>
          <t>https://www.sg.ch/politik-verwaltung/gemeinden/gemeindefinanzen/rechnungslegung--rmsg-.html</t>
        </is>
      </c>
      <c r="H534" s="12" t="inlineStr">
        <is>
          <t>Einstiegsseite</t>
        </is>
      </c>
      <c r="I534" s="12" t="inlineStr">
        <is>
          <t>Ja</t>
        </is>
      </c>
      <c r="J534" s="12" t="inlineStr">
        <is>
          <t>Ungeprüft – nicht kuratiert</t>
        </is>
      </c>
    </row>
    <row r="535">
      <c r="A535" s="12" t="inlineStr">
        <is>
          <t>Wil</t>
        </is>
      </c>
      <c r="B535" s="12" t="inlineStr">
        <is>
          <t>St. Gallen</t>
        </is>
      </c>
      <c r="C535" s="12" t="inlineStr">
        <is>
          <t>C1,C3,C5</t>
        </is>
      </c>
      <c r="D535" s="16" t="inlineStr">
        <is>
          <t>https://www.sg.ch/news/sgch_aussenbeziehungen/2026/09/verordnung-ueber-die-pruefung-auslaendischer-investitionen--inve.html</t>
        </is>
      </c>
      <c r="E535" s="12" t="inlineStr">
        <is>
          <t>10.09.2026 12:19 Verordnung über die Prüfung ausländischer Investitionen (Investitionsprüfverordnung) Mit Schreiben vom 10. September 2026 antwortet die Regierung des Kantons St.Gallen auf die Vernehm</t>
        </is>
      </c>
      <c r="F535" s="12" t="inlineStr">
        <is>
          <t>nein</t>
        </is>
      </c>
      <c r="G535" s="12" t="inlineStr">
        <is>
          <t>https://www.sg.ch/politik-verwaltung/eidgenoessische-vernehmlassungen.html</t>
        </is>
      </c>
      <c r="H535" s="12" t="inlineStr">
        <is>
          <t>Unterseite</t>
        </is>
      </c>
      <c r="I535" s="12" t="inlineStr">
        <is>
          <t>Nein</t>
        </is>
      </c>
      <c r="J535" s="12" t="inlineStr">
        <is>
          <t>Ungeprüft – nicht kuratiert</t>
        </is>
      </c>
    </row>
    <row r="536">
      <c r="A536" s="12" t="inlineStr">
        <is>
          <t>Wil</t>
        </is>
      </c>
      <c r="B536" s="12" t="inlineStr">
        <is>
          <t>St. Gallen</t>
        </is>
      </c>
      <c r="C536" s="12" t="inlineStr">
        <is>
          <t>C1,C5</t>
        </is>
      </c>
      <c r="D536" s="16" t="inlineStr">
        <is>
          <t>https://www.stadtwil.ch/_docn/5199082/Details_zur_Jahresrechnung_2023_nach_Genehmigung_Parlament.pdf</t>
        </is>
      </c>
      <c r="E536" s="12" t="inlineStr">
        <is>
          <t>,</t>
        </is>
      </c>
      <c r="F536" s="12" t="inlineStr">
        <is>
          <t>ja</t>
        </is>
      </c>
      <c r="G536" s="12" t="inlineStr">
        <is>
          <t>https://www.stadtwil.ch/topics/stadt-politik-und-recht/finanzen</t>
        </is>
      </c>
      <c r="H536" s="12" t="inlineStr">
        <is>
          <t>Einstiegsseite</t>
        </is>
      </c>
      <c r="I536" s="12" t="inlineStr">
        <is>
          <t>Nein</t>
        </is>
      </c>
      <c r="J536" s="12" t="inlineStr">
        <is>
          <t>Ungeprüft – nicht kuratiert</t>
        </is>
      </c>
    </row>
    <row r="537">
      <c r="A537" s="12" t="inlineStr">
        <is>
          <t>Wil</t>
        </is>
      </c>
      <c r="B537" s="12" t="inlineStr">
        <is>
          <t>St. Gallen</t>
        </is>
      </c>
      <c r="C537" s="12" t="inlineStr">
        <is>
          <t>C1,C5</t>
        </is>
      </c>
      <c r="D537" s="16" t="inlineStr">
        <is>
          <t>https://www.stadtwil.ch/news/abstimmung-zum-steuerfuss-2026-der-stadt-wil-stimmberechtigte-entscheiden-sich-fuer-115</t>
        </is>
      </c>
      <c r="E537" s="12" t="inlineStr">
        <is>
          <t>Medienmitteilung</t>
        </is>
      </c>
      <c r="F537" s="12" t="inlineStr">
        <is>
          <t>nein</t>
        </is>
      </c>
      <c r="G537" s="12" t="inlineStr">
        <is>
          <t>https://www.stadtwil.ch/topics/stadt-politik-und-recht/abstimmungen-und-wahlen/aktuelle-ergebnisse</t>
        </is>
      </c>
      <c r="H537" s="12" t="inlineStr">
        <is>
          <t>Unterseite</t>
        </is>
      </c>
      <c r="I537" s="12" t="inlineStr">
        <is>
          <t>Nein</t>
        </is>
      </c>
      <c r="J537" s="12" t="inlineStr">
        <is>
          <t>Ungeprüft – nicht kuratiert</t>
        </is>
      </c>
    </row>
    <row r="538">
      <c r="A538" s="12" t="inlineStr">
        <is>
          <t>Wil</t>
        </is>
      </c>
      <c r="B538" s="12" t="inlineStr">
        <is>
          <t>St. Gallen</t>
        </is>
      </c>
      <c r="C538" s="12" t="inlineStr">
        <is>
          <t>C1,C5</t>
        </is>
      </c>
      <c r="D538" s="16" t="inlineStr">
        <is>
          <t>https://www.stadtwil.ch/storage/29c5f20fab1dac2f0bb20acb4fcea87395ead1bf5f83c33e3d690cd2a2f695c7</t>
        </is>
      </c>
      <c r="E538" s="12" t="inlineStr">
        <is>
          <t>Stadt Wil_Abstimmungsprotokoll_Steuerfuss 2026</t>
        </is>
      </c>
      <c r="F538" s="12" t="inlineStr">
        <is>
          <t>nein</t>
        </is>
      </c>
      <c r="G538" s="12" t="inlineStr">
        <is>
          <t>https://www.stadtwil.ch/topics/stadt-politik-und-recht/abstimmungen-und-wahlen/aktuelle-ergebnisse</t>
        </is>
      </c>
      <c r="H538" s="12" t="inlineStr">
        <is>
          <t>Unterseite</t>
        </is>
      </c>
      <c r="I538" s="12" t="inlineStr">
        <is>
          <t>Nein</t>
        </is>
      </c>
      <c r="J538" s="12" t="inlineStr">
        <is>
          <t>Ungeprüft – nicht kuratiert</t>
        </is>
      </c>
    </row>
    <row r="539">
      <c r="A539" s="12" t="inlineStr">
        <is>
          <t>Wil</t>
        </is>
      </c>
      <c r="B539" s="12" t="inlineStr">
        <is>
          <t>St. Gallen</t>
        </is>
      </c>
      <c r="C539" s="12" t="inlineStr">
        <is>
          <t>C1,C5</t>
        </is>
      </c>
      <c r="D539" s="16" t="inlineStr">
        <is>
          <t>https://www.stadtwil.ch/storage/36e01fa373b8b4452a123dda5eb4e2c97823382f52e80e05fa53611f526b1d73</t>
        </is>
      </c>
      <c r="E539" s="12" t="inlineStr">
        <is>
          <t>Flyer Budget 2026 vor Parlamentsdebatte</t>
        </is>
      </c>
      <c r="F539" s="12" t="inlineStr">
        <is>
          <t>nein</t>
        </is>
      </c>
      <c r="G539" s="12" t="inlineStr">
        <is>
          <t>https://www.stadtwil.ch/topics/stadt-politik-und-recht/finanzen</t>
        </is>
      </c>
      <c r="H539" s="12" t="inlineStr">
        <is>
          <t>Einstiegsseite</t>
        </is>
      </c>
      <c r="I539" s="12" t="inlineStr">
        <is>
          <t>Nein</t>
        </is>
      </c>
      <c r="J539" s="12" t="inlineStr">
        <is>
          <t>Ungeprüft – nicht kuratiert</t>
        </is>
      </c>
    </row>
    <row r="540">
      <c r="A540" s="12" t="inlineStr">
        <is>
          <t>Wil</t>
        </is>
      </c>
      <c r="B540" s="12" t="inlineStr">
        <is>
          <t>St. Gallen</t>
        </is>
      </c>
      <c r="C540" s="12" t="inlineStr">
        <is>
          <t>C1,C5</t>
        </is>
      </c>
      <c r="D540" s="16" t="inlineStr">
        <is>
          <t>https://www.stadtwil.ch/storage/3b8e93a0d261c1692cb8772c28b1c33b2db0bd708893a7f4793df26afb153620</t>
        </is>
      </c>
      <c r="E540" s="12" t="inlineStr">
        <is>
          <t>Stadt Wil_Medienmitteilung_Abstimmungsergebnis zum Steuerfuss 2026</t>
        </is>
      </c>
      <c r="F540" s="12" t="inlineStr">
        <is>
          <t>nein</t>
        </is>
      </c>
      <c r="G540" s="12" t="inlineStr">
        <is>
          <t>https://www.stadtwil.ch/topics/stadt-politik-und-recht/abstimmungen-und-wahlen/aktuelle-ergebnisse</t>
        </is>
      </c>
      <c r="H540" s="12" t="inlineStr">
        <is>
          <t>Unterseite</t>
        </is>
      </c>
      <c r="I540" s="12" t="inlineStr">
        <is>
          <t>Nein</t>
        </is>
      </c>
      <c r="J540" s="12" t="inlineStr">
        <is>
          <t>Ungeprüft – nicht kuratiert</t>
        </is>
      </c>
    </row>
    <row r="541">
      <c r="A541" s="12" t="inlineStr">
        <is>
          <t>Wil</t>
        </is>
      </c>
      <c r="B541" s="12" t="inlineStr">
        <is>
          <t>St. Gallen</t>
        </is>
      </c>
      <c r="C541" s="12" t="inlineStr">
        <is>
          <t>C1,C5</t>
        </is>
      </c>
      <c r="D541" s="16" t="inlineStr">
        <is>
          <t>https://www.stadtwil.ch/storage/431f232a4601281ffda55c76f7ee5d95185e84eaa2c96b087984242856f46900</t>
        </is>
      </c>
      <c r="E541" s="12" t="inlineStr">
        <is>
          <t>Abstimmungszettel Steuerfuss 2026</t>
        </is>
      </c>
      <c r="F541" s="12" t="inlineStr">
        <is>
          <t>nein</t>
        </is>
      </c>
      <c r="G541" s="12" t="inlineStr">
        <is>
          <t>https://www.stadtwil.ch/topics/stadt-politik-und-recht/abstimmungen-und-wahlen/2026-kommende-abstimmungen/2026-kommende-abstimmungen-und-wahlen/27-09-2026-eidgenoessisches-blankodatum</t>
        </is>
      </c>
      <c r="H541" s="12" t="inlineStr">
        <is>
          <t>Unterseite</t>
        </is>
      </c>
      <c r="I541" s="12" t="inlineStr">
        <is>
          <t>Nein</t>
        </is>
      </c>
      <c r="J541" s="12" t="inlineStr">
        <is>
          <t>Ungeprüft – nicht kuratiert</t>
        </is>
      </c>
    </row>
    <row r="542">
      <c r="A542" s="12" t="inlineStr">
        <is>
          <t>Wil</t>
        </is>
      </c>
      <c r="B542" s="12" t="inlineStr">
        <is>
          <t>St. Gallen</t>
        </is>
      </c>
      <c r="C542" s="12" t="inlineStr">
        <is>
          <t>C1,C5</t>
        </is>
      </c>
      <c r="D542" s="16" t="inlineStr">
        <is>
          <t>https://www.stadtwil.ch/topics/stadt-politik-und-recht/abstimmungen-und-wahlen/vergangene-abstimmungen/2024-vergangene-abstimmungen-und-wahlen/14-04-2024-kommunale-abstimmung-und-2-wahlgang-regierung/steuerfuss-2024-der-stadt-wil</t>
        </is>
      </c>
      <c r="E542" s="12" t="inlineStr">
        <is>
          <t>Steuerfuss 2024 der Stadt Wil</t>
        </is>
      </c>
      <c r="F542" s="12" t="inlineStr">
        <is>
          <t>nein</t>
        </is>
      </c>
      <c r="G542" s="12" t="inlineStr">
        <is>
          <t>https://www.stadtwil.ch/topics/stadt-politik-und-recht/finanzen</t>
        </is>
      </c>
      <c r="H542" s="12" t="inlineStr">
        <is>
          <t>Einstiegsseite</t>
        </is>
      </c>
      <c r="I542" s="12" t="inlineStr">
        <is>
          <t>Nein</t>
        </is>
      </c>
      <c r="J542" s="12" t="inlineStr">
        <is>
          <t>Ungeprüft – nicht kuratiert</t>
        </is>
      </c>
    </row>
    <row r="543">
      <c r="A543" s="12" t="inlineStr">
        <is>
          <t>Wil</t>
        </is>
      </c>
      <c r="B543" s="12" t="inlineStr">
        <is>
          <t>St. Gallen</t>
        </is>
      </c>
      <c r="C543" s="12" t="inlineStr">
        <is>
          <t>C1,C5</t>
        </is>
      </c>
      <c r="D543" s="16" t="inlineStr">
        <is>
          <t>https://www.stadtwil.ch/topics/stadt-politik-und-recht/abstimmungen-und-wahlen/vergangene-abstimmungen/2025-vergangene-abstimmungen-und-wahlen-1/18-05-2025-eidgenoessisches-blankodatum/v-nachtrag-zum-finanzausgleichsgesetz</t>
        </is>
      </c>
      <c r="E543" s="12" t="inlineStr">
        <is>
          <t>V. Nachtrag zum Finanzausgleichsgesetz</t>
        </is>
      </c>
      <c r="F543" s="12" t="inlineStr">
        <is>
          <t>nein</t>
        </is>
      </c>
      <c r="G543" s="12" t="inlineStr">
        <is>
          <t>https://www.stadtwil.ch/topics/stadt-politik-und-recht/finanzen</t>
        </is>
      </c>
      <c r="H543" s="12" t="inlineStr">
        <is>
          <t>Einstiegsseite</t>
        </is>
      </c>
      <c r="I543" s="12" t="inlineStr">
        <is>
          <t>Nein</t>
        </is>
      </c>
      <c r="J543" s="12" t="inlineStr">
        <is>
          <t>Ungeprüft – nicht kuratiert</t>
        </is>
      </c>
    </row>
    <row r="544">
      <c r="A544" s="12" t="inlineStr">
        <is>
          <t>Wil</t>
        </is>
      </c>
      <c r="B544" s="12" t="inlineStr">
        <is>
          <t>St. Gallen</t>
        </is>
      </c>
      <c r="C544" s="12" t="inlineStr">
        <is>
          <t>C1,C5</t>
        </is>
      </c>
      <c r="D544" s="16" t="inlineStr">
        <is>
          <t>https://www.stadtwil.ch/topics/stadt-politik-und-recht/abstimmungen-und-wahlen/vorlagen/kantonale-vorlagen/18-05-2025-v-nachtrag-zum-finanzausgleichsgesetz</t>
        </is>
      </c>
      <c r="E544" s="12" t="inlineStr">
        <is>
          <t>18.05.2025 - V. Nachtrag zum Finanzausgleichsgesetz</t>
        </is>
      </c>
      <c r="F544" s="12" t="inlineStr">
        <is>
          <t>nein</t>
        </is>
      </c>
      <c r="G544" s="12" t="inlineStr">
        <is>
          <t>https://www.stadtwil.ch/topics/stadt-politik-und-recht/finanzen</t>
        </is>
      </c>
      <c r="H544" s="12" t="inlineStr">
        <is>
          <t>Einstiegsseite</t>
        </is>
      </c>
      <c r="I544" s="12" t="inlineStr">
        <is>
          <t>Nein</t>
        </is>
      </c>
      <c r="J544" s="12" t="inlineStr">
        <is>
          <t>Ungeprüft – nicht kuratiert</t>
        </is>
      </c>
    </row>
    <row r="545">
      <c r="A545" s="12" t="inlineStr">
        <is>
          <t>Wil</t>
        </is>
      </c>
      <c r="B545" s="12" t="inlineStr">
        <is>
          <t>St. Gallen</t>
        </is>
      </c>
      <c r="C545" s="12" t="inlineStr">
        <is>
          <t>C1,C5</t>
        </is>
      </c>
      <c r="D545" s="16" t="inlineStr">
        <is>
          <t>https://www.stadtwil.ch/topics/stadt-politik-und-recht/abstimmungen-und-wahlen/vorlagen/kommunale-vorlagen/14-04-2024-steuerfuss-2024-der-stadt-wil</t>
        </is>
      </c>
      <c r="E545" s="12" t="inlineStr">
        <is>
          <t>14.04.2024 - Steuerfuss 2024 der Stadt Wil</t>
        </is>
      </c>
      <c r="F545" s="12" t="inlineStr">
        <is>
          <t>nein</t>
        </is>
      </c>
      <c r="G545" s="12" t="inlineStr">
        <is>
          <t>https://www.stadtwil.ch/topics/stadt-politik-und-recht/finanzen</t>
        </is>
      </c>
      <c r="H545" s="12" t="inlineStr">
        <is>
          <t>Einstiegsseite</t>
        </is>
      </c>
      <c r="I545" s="12" t="inlineStr">
        <is>
          <t>Nein</t>
        </is>
      </c>
      <c r="J545" s="12" t="inlineStr">
        <is>
          <t>Ungeprüft – nicht kuratiert</t>
        </is>
      </c>
    </row>
    <row r="546">
      <c r="A546" s="12" t="inlineStr">
        <is>
          <t>Wil</t>
        </is>
      </c>
      <c r="B546" s="12" t="inlineStr">
        <is>
          <t>St. Gallen</t>
        </is>
      </c>
      <c r="C546" s="12" t="inlineStr">
        <is>
          <t>C2</t>
        </is>
      </c>
      <c r="D546" s="16" t="inlineStr">
        <is>
          <t>http://www.kindlimann-areal.ch</t>
        </is>
      </c>
      <c r="E546" s="12" t="inlineStr">
        <is>
          <t>Kindlimann Areal</t>
        </is>
      </c>
      <c r="F546" s="12" t="inlineStr">
        <is>
          <t>nein</t>
        </is>
      </c>
      <c r="G546" s="12" t="inlineStr">
        <is>
          <t>https://www.stadtwil.ch/topics/bauen-und-planen/wil-vivendo/ortsplanungsrevision/news/richtprojekt-kindlimann-areal/ein-neues-stuecl-stadt-fuer-wil</t>
        </is>
      </c>
      <c r="H546" s="12" t="inlineStr">
        <is>
          <t>Unterseite</t>
        </is>
      </c>
      <c r="I546" s="12" t="inlineStr">
        <is>
          <t>Nein</t>
        </is>
      </c>
      <c r="J546" s="12" t="inlineStr">
        <is>
          <t>Ungeprüft – nicht kuratiert</t>
        </is>
      </c>
    </row>
    <row r="547">
      <c r="A547" s="12" t="inlineStr">
        <is>
          <t>Wil</t>
        </is>
      </c>
      <c r="B547" s="12" t="inlineStr">
        <is>
          <t>St. Gallen</t>
        </is>
      </c>
      <c r="C547" s="12" t="inlineStr">
        <is>
          <t>C2</t>
        </is>
      </c>
      <c r="D547" s="16" t="inlineStr">
        <is>
          <t>http://www.kindlimann-areal.ch/</t>
        </is>
      </c>
      <c r="E547" s="12" t="inlineStr">
        <is>
          <t>www.kindlimann-areal.ch</t>
        </is>
      </c>
      <c r="F547" s="12" t="inlineStr">
        <is>
          <t>nein</t>
        </is>
      </c>
      <c r="G547" s="12" t="inlineStr">
        <is>
          <t>https://www.stadtwil.ch/topics/bauen-und-planen/wil-vivendo/ortsplanungsrevision/news/wichtige-meilensteine-erreicht/grosser-schritt-fuer-das-kindlimann-areal</t>
        </is>
      </c>
      <c r="H547" s="12" t="inlineStr">
        <is>
          <t>Unterseite</t>
        </is>
      </c>
      <c r="I547" s="12" t="inlineStr">
        <is>
          <t>Nein</t>
        </is>
      </c>
      <c r="J547" s="12" t="inlineStr">
        <is>
          <t>Ungeprüft – nicht kuratiert</t>
        </is>
      </c>
    </row>
    <row r="548">
      <c r="A548" s="12" t="inlineStr">
        <is>
          <t>Wil</t>
        </is>
      </c>
      <c r="B548" s="12" t="inlineStr">
        <is>
          <t>St. Gallen</t>
        </is>
      </c>
      <c r="C548" s="12" t="inlineStr">
        <is>
          <t>C2</t>
        </is>
      </c>
      <c r="D548" s="16" t="inlineStr">
        <is>
          <t>https://app-eu.readspeaker.com/cgi-bin/rsent?customerid=11974&amp;lang=de_de&amp;readid=maincontent&amp;url=https%3A%2F%2Fwww.sg.ch%2Fpolitik-verwaltung%2Fgemeinden%2Fgrundstueckerwerb-durch-personen-im-ausland.html</t>
        </is>
      </c>
      <c r="E548" s="12" t="inlineStr">
        <is>
          <t>Vorlesen</t>
        </is>
      </c>
      <c r="F548" s="12" t="inlineStr">
        <is>
          <t>nein</t>
        </is>
      </c>
      <c r="G548" s="12" t="inlineStr">
        <is>
          <t>https://www.sg.ch/politik-verwaltung/gemeinden/grundstueckerwerb-durch-personen-im-ausland.html</t>
        </is>
      </c>
      <c r="H548" s="12" t="inlineStr">
        <is>
          <t>Unterseite</t>
        </is>
      </c>
      <c r="I548" s="12" t="inlineStr">
        <is>
          <t>Nein</t>
        </is>
      </c>
      <c r="J548" s="12" t="inlineStr">
        <is>
          <t>Ungeprüft – nicht kuratiert</t>
        </is>
      </c>
    </row>
    <row r="549">
      <c r="A549" s="12" t="inlineStr">
        <is>
          <t>Wil</t>
        </is>
      </c>
      <c r="B549" s="12" t="inlineStr">
        <is>
          <t>St. Gallen</t>
        </is>
      </c>
      <c r="C549" s="12" t="inlineStr">
        <is>
          <t>C2</t>
        </is>
      </c>
      <c r="D549" s="16" t="inlineStr">
        <is>
          <t>https://www.admin.ch/opc/de/classified-compilation/19830373/index.html</t>
        </is>
      </c>
      <c r="E549" s="12" t="inlineStr">
        <is>
          <t>Bundesgesetz über den Erwerb von Grundstücken durch Personen im Ausland (SR 211.412.41) neues Fenster</t>
        </is>
      </c>
      <c r="F549" s="12" t="inlineStr">
        <is>
          <t>nein</t>
        </is>
      </c>
      <c r="G549" s="12" t="inlineStr">
        <is>
          <t>https://www.sg.ch/politik-verwaltung/gemeinden/grundstueckerwerb-durch-personen-im-ausland.html</t>
        </is>
      </c>
      <c r="H549" s="12" t="inlineStr">
        <is>
          <t>Unterseite</t>
        </is>
      </c>
      <c r="I549" s="12" t="inlineStr">
        <is>
          <t>Nein</t>
        </is>
      </c>
      <c r="J549" s="12" t="inlineStr">
        <is>
          <t>Ungeprüft – nicht kuratiert</t>
        </is>
      </c>
    </row>
    <row r="550">
      <c r="A550" s="12" t="inlineStr">
        <is>
          <t>Wil</t>
        </is>
      </c>
      <c r="B550" s="12" t="inlineStr">
        <is>
          <t>St. Gallen</t>
        </is>
      </c>
      <c r="C550" s="12" t="inlineStr">
        <is>
          <t>C2</t>
        </is>
      </c>
      <c r="D550" s="16" t="inlineStr">
        <is>
          <t>https://www.bj.admin.ch/de/fragen-und-antworten</t>
        </is>
      </c>
      <c r="E550" s="12" t="inlineStr">
        <is>
          <t>FAQ zum Erwerb von Grundstücken durch Personen im Ausland (PDF am Schluss der Seite) neues Fenster</t>
        </is>
      </c>
      <c r="F550" s="12" t="inlineStr">
        <is>
          <t>nein</t>
        </is>
      </c>
      <c r="G550" s="12" t="inlineStr">
        <is>
          <t>https://www.sg.ch/politik-verwaltung/gemeinden/grundstueckerwerb-durch-personen-im-ausland.html</t>
        </is>
      </c>
      <c r="H550" s="12" t="inlineStr">
        <is>
          <t>Unterseite</t>
        </is>
      </c>
      <c r="I550" s="12" t="inlineStr">
        <is>
          <t>Nein</t>
        </is>
      </c>
      <c r="J550" s="12" t="inlineStr">
        <is>
          <t>Ungeprüft – nicht kuratiert</t>
        </is>
      </c>
    </row>
    <row r="551">
      <c r="A551" s="12" t="inlineStr">
        <is>
          <t>Wil</t>
        </is>
      </c>
      <c r="B551" s="12" t="inlineStr">
        <is>
          <t>St. Gallen</t>
        </is>
      </c>
      <c r="C551" s="12" t="inlineStr">
        <is>
          <t>C2</t>
        </is>
      </c>
      <c r="D551" s="16" t="inlineStr">
        <is>
          <t>https://www.bj.admin.ch/de/grundstueckerwerb-durch-personen-im-ausland</t>
        </is>
      </c>
      <c r="E551" s="12" t="inlineStr">
        <is>
          <t>Publikationen des Bundesamtes für Justiz neues Fenster</t>
        </is>
      </c>
      <c r="F551" s="12" t="inlineStr">
        <is>
          <t>nein</t>
        </is>
      </c>
      <c r="G551" s="12" t="inlineStr">
        <is>
          <t>https://www.sg.ch/politik-verwaltung/gemeinden/grundstueckerwerb-durch-personen-im-ausland.html</t>
        </is>
      </c>
      <c r="H551" s="12" t="inlineStr">
        <is>
          <t>Unterseite</t>
        </is>
      </c>
      <c r="I551" s="12" t="inlineStr">
        <is>
          <t>Nein</t>
        </is>
      </c>
      <c r="J551" s="12" t="inlineStr">
        <is>
          <t>Ungeprüft – nicht kuratiert</t>
        </is>
      </c>
    </row>
    <row r="552">
      <c r="A552" s="12" t="inlineStr">
        <is>
          <t>Wil</t>
        </is>
      </c>
      <c r="B552" s="12" t="inlineStr">
        <is>
          <t>St. Gallen</t>
        </is>
      </c>
      <c r="C552" s="12" t="inlineStr">
        <is>
          <t>C2</t>
        </is>
      </c>
      <c r="D552" s="16" t="inlineStr">
        <is>
          <t>https://www.gesetzessammlung.sg.ch/app/de/texts_of_law/914.1</t>
        </is>
      </c>
      <c r="E552" s="12" t="inlineStr">
        <is>
          <t>Einführungsgesetz zum Bundesgesetz über den Erwerb von Grundstücken durch Personen im Ausland (sGS 914.1) neues Fenster</t>
        </is>
      </c>
      <c r="F552" s="12" t="inlineStr">
        <is>
          <t>nein</t>
        </is>
      </c>
      <c r="G552" s="12" t="inlineStr">
        <is>
          <t>https://www.sg.ch/politik-verwaltung/gemeinden/grundstueckerwerb-durch-personen-im-ausland.html</t>
        </is>
      </c>
      <c r="H552" s="12" t="inlineStr">
        <is>
          <t>Unterseite</t>
        </is>
      </c>
      <c r="I552" s="12" t="inlineStr">
        <is>
          <t>Nein</t>
        </is>
      </c>
      <c r="J552" s="12" t="inlineStr">
        <is>
          <t>Ungeprüft – nicht kuratiert</t>
        </is>
      </c>
    </row>
    <row r="553">
      <c r="A553" s="12" t="inlineStr">
        <is>
          <t>Wil</t>
        </is>
      </c>
      <c r="B553" s="12" t="inlineStr">
        <is>
          <t>St. Gallen</t>
        </is>
      </c>
      <c r="C553" s="12" t="inlineStr">
        <is>
          <t>C2</t>
        </is>
      </c>
      <c r="D553" s="16" t="inlineStr">
        <is>
          <t>https://www.sg.ch/content/sgch/politik-verwaltung/gemeinden/grundstueckerwerb-durch-personen-im-ausland/verfahren.html</t>
        </is>
      </c>
      <c r="E553" s="12" t="inlineStr">
        <is>
          <t>hier</t>
        </is>
      </c>
      <c r="F553" s="12" t="inlineStr">
        <is>
          <t>nein</t>
        </is>
      </c>
      <c r="G553" s="12" t="inlineStr">
        <is>
          <t>https://www.sg.ch/politik-verwaltung/gemeinden/grundstueckerwerb-durch-personen-im-ausland.html</t>
        </is>
      </c>
      <c r="H553" s="12" t="inlineStr">
        <is>
          <t>Unterseite</t>
        </is>
      </c>
      <c r="I553" s="12" t="inlineStr">
        <is>
          <t>Nein</t>
        </is>
      </c>
      <c r="J553" s="12" t="inlineStr">
        <is>
          <t>Ungeprüft – nicht kuratiert</t>
        </is>
      </c>
    </row>
    <row r="554">
      <c r="A554" s="12" t="inlineStr">
        <is>
          <t>Wil</t>
        </is>
      </c>
      <c r="B554" s="12" t="inlineStr">
        <is>
          <t>St. Gallen</t>
        </is>
      </c>
      <c r="C554" s="12" t="inlineStr">
        <is>
          <t>C2</t>
        </is>
      </c>
      <c r="D554" s="16" t="inlineStr">
        <is>
          <t>https://www.sg.ch/politik-verwaltung/gemeinden/grundstueckerwerb-durch-personen-im-ausland.html</t>
        </is>
      </c>
      <c r="E554" s="12" t="inlineStr">
        <is>
          <t>Gemeinden Grundstückerwerb durch Personen im Ausland</t>
        </is>
      </c>
      <c r="F554" s="12" t="inlineStr">
        <is>
          <t>nein</t>
        </is>
      </c>
      <c r="G554" s="12" t="inlineStr">
        <is>
          <t>https://www.sg.ch/politik-verwaltung/gemeinden/gemeindefinanzen/rechnungslegung--rmsg-.html</t>
        </is>
      </c>
      <c r="H554" s="12" t="inlineStr">
        <is>
          <t>Einstiegsseite</t>
        </is>
      </c>
      <c r="I554" s="12" t="inlineStr">
        <is>
          <t>Nein</t>
        </is>
      </c>
      <c r="J554" s="12" t="inlineStr">
        <is>
          <t>Ungeprüft – nicht kuratiert</t>
        </is>
      </c>
    </row>
    <row r="555">
      <c r="A555" s="12" t="inlineStr">
        <is>
          <t>Wil</t>
        </is>
      </c>
      <c r="B555" s="12" t="inlineStr">
        <is>
          <t>St. Gallen</t>
        </is>
      </c>
      <c r="C555" s="12" t="inlineStr">
        <is>
          <t>C2</t>
        </is>
      </c>
      <c r="D555" s="16" t="inlineStr">
        <is>
          <t>https://www.sg.ch/politik-verwaltung/gemeinden/grundstueckerwerb-durch-personen-im-ausland/betriebsstaette.html</t>
        </is>
      </c>
      <c r="E555" s="12" t="inlineStr">
        <is>
          <t>Betriebsstätte</t>
        </is>
      </c>
      <c r="F555" s="12" t="inlineStr">
        <is>
          <t>nein</t>
        </is>
      </c>
      <c r="G555" s="12" t="inlineStr">
        <is>
          <t>https://www.sg.ch/politik-verwaltung/gemeinden/grundstueckerwerb-durch-personen-im-ausland.html</t>
        </is>
      </c>
      <c r="H555" s="12" t="inlineStr">
        <is>
          <t>Unterseite</t>
        </is>
      </c>
      <c r="I555" s="12" t="inlineStr">
        <is>
          <t>Nein</t>
        </is>
      </c>
      <c r="J555" s="12" t="inlineStr">
        <is>
          <t>Ungeprüft – nicht kuratiert</t>
        </is>
      </c>
    </row>
    <row r="556">
      <c r="A556" s="12" t="inlineStr">
        <is>
          <t>Wil</t>
        </is>
      </c>
      <c r="B556" s="12" t="inlineStr">
        <is>
          <t>St. Gallen</t>
        </is>
      </c>
      <c r="C556" s="12" t="inlineStr">
        <is>
          <t>C2</t>
        </is>
      </c>
      <c r="D556" s="16" t="inlineStr">
        <is>
          <t>https://www.sg.ch/politik-verwaltung/gemeinden/grundstueckerwerb-durch-personen-im-ausland/ferienwohnung--haus.html</t>
        </is>
      </c>
      <c r="E556" s="12" t="inlineStr">
        <is>
          <t>Ferienwohnung/-haus</t>
        </is>
      </c>
      <c r="F556" s="12" t="inlineStr">
        <is>
          <t>nein</t>
        </is>
      </c>
      <c r="G556" s="12" t="inlineStr">
        <is>
          <t>https://www.sg.ch/politik-verwaltung/gemeinden/grundstueckerwerb-durch-personen-im-ausland.html</t>
        </is>
      </c>
      <c r="H556" s="12" t="inlineStr">
        <is>
          <t>Unterseite</t>
        </is>
      </c>
      <c r="I556" s="12" t="inlineStr">
        <is>
          <t>Nein</t>
        </is>
      </c>
      <c r="J556" s="12" t="inlineStr">
        <is>
          <t>Ungeprüft – nicht kuratiert</t>
        </is>
      </c>
    </row>
    <row r="557">
      <c r="A557" s="12" t="inlineStr">
        <is>
          <t>Wil</t>
        </is>
      </c>
      <c r="B557" s="12" t="inlineStr">
        <is>
          <t>St. Gallen</t>
        </is>
      </c>
      <c r="C557" s="12" t="inlineStr">
        <is>
          <t>C2</t>
        </is>
      </c>
      <c r="D557" s="16" t="inlineStr">
        <is>
          <t>https://www.sg.ch/politik-verwaltung/gemeinden/grundstueckerwerb-durch-personen-im-ausland/hauptwohnung.html</t>
        </is>
      </c>
      <c r="E557" s="12" t="inlineStr">
        <is>
          <t>Hauptwohnung</t>
        </is>
      </c>
      <c r="F557" s="12" t="inlineStr">
        <is>
          <t>nein</t>
        </is>
      </c>
      <c r="G557" s="12" t="inlineStr">
        <is>
          <t>https://www.sg.ch/politik-verwaltung/gemeinden/grundstueckerwerb-durch-personen-im-ausland.html</t>
        </is>
      </c>
      <c r="H557" s="12" t="inlineStr">
        <is>
          <t>Unterseite</t>
        </is>
      </c>
      <c r="I557" s="12" t="inlineStr">
        <is>
          <t>Nein</t>
        </is>
      </c>
      <c r="J557" s="12" t="inlineStr">
        <is>
          <t>Ungeprüft – nicht kuratiert</t>
        </is>
      </c>
    </row>
    <row r="558">
      <c r="A558" s="12" t="inlineStr">
        <is>
          <t>Wil</t>
        </is>
      </c>
      <c r="B558" s="12" t="inlineStr">
        <is>
          <t>St. Gallen</t>
        </is>
      </c>
      <c r="C558" s="12" t="inlineStr">
        <is>
          <t>C2</t>
        </is>
      </c>
      <c r="D558" s="16" t="inlineStr">
        <is>
          <t>https://www.sg.ch/politik-verwaltung/gemeinden/grundstueckerwerb-durch-personen-im-ausland/juristische-personen-und-vermoegensfaehige-gesellschaften.html</t>
        </is>
      </c>
      <c r="E558" s="12" t="inlineStr">
        <is>
          <t>Juristische Personen und vermögensfähige Gesellschaften</t>
        </is>
      </c>
      <c r="F558" s="12" t="inlineStr">
        <is>
          <t>nein</t>
        </is>
      </c>
      <c r="G558" s="12" t="inlineStr">
        <is>
          <t>https://www.sg.ch/politik-verwaltung/gemeinden/grundstueckerwerb-durch-personen-im-ausland.html</t>
        </is>
      </c>
      <c r="H558" s="12" t="inlineStr">
        <is>
          <t>Unterseite</t>
        </is>
      </c>
      <c r="I558" s="12" t="inlineStr">
        <is>
          <t>Nein</t>
        </is>
      </c>
      <c r="J558" s="12" t="inlineStr">
        <is>
          <t>Ungeprüft – nicht kuratiert</t>
        </is>
      </c>
    </row>
    <row r="559">
      <c r="A559" s="12" t="inlineStr">
        <is>
          <t>Wil</t>
        </is>
      </c>
      <c r="B559" s="12" t="inlineStr">
        <is>
          <t>St. Gallen</t>
        </is>
      </c>
      <c r="C559" s="12" t="inlineStr">
        <is>
          <t>C2</t>
        </is>
      </c>
      <c r="D559" s="16" t="inlineStr">
        <is>
          <t>https://www.sg.ch/politik-verwaltung/gemeinden/grundstueckerwerb-durch-personen-im-ausland/natuerliche-personen.html</t>
        </is>
      </c>
      <c r="E559" s="12" t="inlineStr">
        <is>
          <t>Natürliche Personen</t>
        </is>
      </c>
      <c r="F559" s="12" t="inlineStr">
        <is>
          <t>nein</t>
        </is>
      </c>
      <c r="G559" s="12" t="inlineStr">
        <is>
          <t>https://www.sg.ch/politik-verwaltung/gemeinden/grundstueckerwerb-durch-personen-im-ausland.html</t>
        </is>
      </c>
      <c r="H559" s="12" t="inlineStr">
        <is>
          <t>Unterseite</t>
        </is>
      </c>
      <c r="I559" s="12" t="inlineStr">
        <is>
          <t>Nein</t>
        </is>
      </c>
      <c r="J559" s="12" t="inlineStr">
        <is>
          <t>Ungeprüft – nicht kuratiert</t>
        </is>
      </c>
    </row>
    <row r="560">
      <c r="A560" s="12" t="inlineStr">
        <is>
          <t>Wil</t>
        </is>
      </c>
      <c r="B560" s="12" t="inlineStr">
        <is>
          <t>St. Gallen</t>
        </is>
      </c>
      <c r="C560" s="12" t="inlineStr">
        <is>
          <t>C2</t>
        </is>
      </c>
      <c r="D560" s="16" t="inlineStr">
        <is>
          <t>https://www.sg.ch/politik-verwaltung/gemeinden/grundstueckerwerb-durch-personen-im-ausland/verfahren.html</t>
        </is>
      </c>
      <c r="E560" s="12" t="inlineStr">
        <is>
          <t>Verfahren</t>
        </is>
      </c>
      <c r="F560" s="12" t="inlineStr">
        <is>
          <t>nein</t>
        </is>
      </c>
      <c r="G560" s="12" t="inlineStr">
        <is>
          <t>https://www.sg.ch/politik-verwaltung/gemeinden/grundstueckerwerb-durch-personen-im-ausland.html</t>
        </is>
      </c>
      <c r="H560" s="12" t="inlineStr">
        <is>
          <t>Unterseite</t>
        </is>
      </c>
      <c r="I560" s="12" t="inlineStr">
        <is>
          <t>Nein</t>
        </is>
      </c>
      <c r="J560" s="12" t="inlineStr">
        <is>
          <t>Ungeprüft – nicht kuratiert</t>
        </is>
      </c>
    </row>
    <row r="561">
      <c r="A561" s="12" t="inlineStr">
        <is>
          <t>Wil</t>
        </is>
      </c>
      <c r="B561" s="12" t="inlineStr">
        <is>
          <t>St. Gallen</t>
        </is>
      </c>
      <c r="C561" s="12" t="inlineStr">
        <is>
          <t>C2</t>
        </is>
      </c>
      <c r="D561" s="16" t="inlineStr">
        <is>
          <t>https://www.stadtwil.ch/auth/login?skip=0&amp;to=%2Ftopics%2Fbauen-und-planen%2Fwil-vivendo%2Fortsplanungsrevision%2Fnews%2Frichtprojekt-kindlimann-areal%2Feditorial</t>
        </is>
      </c>
      <c r="E561" s="12" t="inlineStr">
        <is>
          <t>Anmelden</t>
        </is>
      </c>
      <c r="F561" s="12" t="inlineStr">
        <is>
          <t>nein</t>
        </is>
      </c>
      <c r="G561" s="12" t="inlineStr">
        <is>
          <t>https://www.stadtwil.ch/topics/bauen-und-planen/wil-vivendo/ortsplanungsrevision/news/richtprojekt-kindlimann-areal/editorial</t>
        </is>
      </c>
      <c r="H561" s="12" t="inlineStr">
        <is>
          <t>Unterseite</t>
        </is>
      </c>
      <c r="I561" s="12" t="inlineStr">
        <is>
          <t>Nein</t>
        </is>
      </c>
      <c r="J561" s="12" t="inlineStr">
        <is>
          <t>Ungeprüft – nicht kuratiert</t>
        </is>
      </c>
    </row>
    <row r="562">
      <c r="A562" s="12" t="inlineStr">
        <is>
          <t>Wil</t>
        </is>
      </c>
      <c r="B562" s="12" t="inlineStr">
        <is>
          <t>St. Gallen</t>
        </is>
      </c>
      <c r="C562" s="12" t="inlineStr">
        <is>
          <t>C2</t>
        </is>
      </c>
      <c r="D562" s="16" t="inlineStr">
        <is>
          <t>https://www.stadtwil.ch/auth/login?skip=0&amp;to=%2Ftopics%2Fbauen-und-planen%2Fwil-vivendo%2Fortsplanungsrevision%2Fnews%2Frichtprojekt-kindlimann-areal%2Fein-neues-stuecl-stadt-fuer-wil</t>
        </is>
      </c>
      <c r="E562" s="12" t="inlineStr">
        <is>
          <t>Anmelden</t>
        </is>
      </c>
      <c r="F562" s="12" t="inlineStr">
        <is>
          <t>nein</t>
        </is>
      </c>
      <c r="G562" s="12" t="inlineStr">
        <is>
          <t>https://www.stadtwil.ch/topics/bauen-und-planen/wil-vivendo/ortsplanungsrevision/news/richtprojekt-kindlimann-areal/ein-neues-stuecl-stadt-fuer-wil</t>
        </is>
      </c>
      <c r="H562" s="12" t="inlineStr">
        <is>
          <t>Unterseite</t>
        </is>
      </c>
      <c r="I562" s="12" t="inlineStr">
        <is>
          <t>Nein</t>
        </is>
      </c>
      <c r="J562" s="12" t="inlineStr">
        <is>
          <t>Ungeprüft – nicht kuratiert</t>
        </is>
      </c>
    </row>
    <row r="563">
      <c r="A563" s="12" t="inlineStr">
        <is>
          <t>Wil</t>
        </is>
      </c>
      <c r="B563" s="12" t="inlineStr">
        <is>
          <t>St. Gallen</t>
        </is>
      </c>
      <c r="C563" s="12" t="inlineStr">
        <is>
          <t>C2</t>
        </is>
      </c>
      <c r="D563" s="16" t="inlineStr">
        <is>
          <t>https://www.stadtwil.ch/auth/login?skip=0&amp;to=%2Ftopics%2Fbauen-und-planen%2Fwil-vivendo%2Fortsplanungsrevision%2Fnews%2Frichtprojekt-kindlimann-areal%2Fkindlimann-areal-naechste-schritte-in-der-ortsplanungsrevision</t>
        </is>
      </c>
      <c r="E563" s="12" t="inlineStr">
        <is>
          <t>Anmelden</t>
        </is>
      </c>
      <c r="F563" s="12" t="inlineStr">
        <is>
          <t>nein</t>
        </is>
      </c>
      <c r="G563" s="12" t="inlineStr">
        <is>
          <t>https://www.stadtwil.ch/topics/bauen-und-planen/wil-vivendo/ortsplanungsrevision/news/richtprojekt-kindlimann-areal/kindlimann-areal-naechste-schritte-in-der-ortsplanungsrevision</t>
        </is>
      </c>
      <c r="H563" s="12" t="inlineStr">
        <is>
          <t>Unterseite</t>
        </is>
      </c>
      <c r="I563" s="12" t="inlineStr">
        <is>
          <t>Nein</t>
        </is>
      </c>
      <c r="J563" s="12" t="inlineStr">
        <is>
          <t>Ungeprüft – nicht kuratiert</t>
        </is>
      </c>
    </row>
    <row r="564">
      <c r="A564" s="12" t="inlineStr">
        <is>
          <t>Wil</t>
        </is>
      </c>
      <c r="B564" s="12" t="inlineStr">
        <is>
          <t>St. Gallen</t>
        </is>
      </c>
      <c r="C564" s="12" t="inlineStr">
        <is>
          <t>C2</t>
        </is>
      </c>
      <c r="D564" s="16" t="inlineStr">
        <is>
          <t>https://www.stadtwil.ch/auth/login?skip=0&amp;to=%2Ftopics%2Fbauen-und-planen%2Fwil-vivendo%2Fortsplanungsrevision%2Fnews%2Frichtprojekt-kindlimann-areal%2Fwie-gut-kennen-sie-die-stadt-wil</t>
        </is>
      </c>
      <c r="E564" s="12" t="inlineStr">
        <is>
          <t>Anmelden</t>
        </is>
      </c>
      <c r="F564" s="12" t="inlineStr">
        <is>
          <t>nein</t>
        </is>
      </c>
      <c r="G564" s="12" t="inlineStr">
        <is>
          <t>https://www.stadtwil.ch/topics/bauen-und-planen/wil-vivendo/ortsplanungsrevision/news/richtprojekt-kindlimann-areal/wie-gut-kennen-sie-die-stadt-wil</t>
        </is>
      </c>
      <c r="H564" s="12" t="inlineStr">
        <is>
          <t>Unterseite</t>
        </is>
      </c>
      <c r="I564" s="12" t="inlineStr">
        <is>
          <t>Nein</t>
        </is>
      </c>
      <c r="J564" s="12" t="inlineStr">
        <is>
          <t>Ungeprüft – nicht kuratiert</t>
        </is>
      </c>
    </row>
    <row r="565">
      <c r="A565" s="12" t="inlineStr">
        <is>
          <t>Wil</t>
        </is>
      </c>
      <c r="B565" s="12" t="inlineStr">
        <is>
          <t>St. Gallen</t>
        </is>
      </c>
      <c r="C565" s="12" t="inlineStr">
        <is>
          <t>C2</t>
        </is>
      </c>
      <c r="D565" s="16" t="inlineStr">
        <is>
          <t>https://www.stadtwil.ch/auth/login?skip=0&amp;to=%2Ftopics%2Fbauen-und-planen%2Fwil-vivendo%2Fortsplanungsrevision%2Fnews%2Frichtprojekt-kindlimann-areal%2Fzeitplan</t>
        </is>
      </c>
      <c r="E565" s="12" t="inlineStr">
        <is>
          <t>Anmelden</t>
        </is>
      </c>
      <c r="F565" s="12" t="inlineStr">
        <is>
          <t>nein</t>
        </is>
      </c>
      <c r="G565" s="12" t="inlineStr">
        <is>
          <t>https://www.stadtwil.ch/topics/bauen-und-planen/wil-vivendo/ortsplanungsrevision/news/richtprojekt-kindlimann-areal/zeitplan</t>
        </is>
      </c>
      <c r="H565" s="12" t="inlineStr">
        <is>
          <t>Unterseite</t>
        </is>
      </c>
      <c r="I565" s="12" t="inlineStr">
        <is>
          <t>Nein</t>
        </is>
      </c>
      <c r="J565" s="12" t="inlineStr">
        <is>
          <t>Ungeprüft – nicht kuratiert</t>
        </is>
      </c>
    </row>
    <row r="566">
      <c r="A566" s="12" t="inlineStr">
        <is>
          <t>Wil</t>
        </is>
      </c>
      <c r="B566" s="12" t="inlineStr">
        <is>
          <t>St. Gallen</t>
        </is>
      </c>
      <c r="C566" s="12" t="inlineStr">
        <is>
          <t>C2</t>
        </is>
      </c>
      <c r="D566" s="16" t="inlineStr">
        <is>
          <t>https://www.stadtwil.ch/auth/login?skip=0&amp;to=%2Ftopics%2Fbauen-und-planen%2Fwil-vivendo%2Fortsplanungsrevision%2Fnews%2Fwichtige-meilensteine-erreicht%2Fgrosser-schritt-fuer-das-kindlimann-areal</t>
        </is>
      </c>
      <c r="E566" s="12" t="inlineStr">
        <is>
          <t>Anmelden</t>
        </is>
      </c>
      <c r="F566" s="12" t="inlineStr">
        <is>
          <t>nein</t>
        </is>
      </c>
      <c r="G566" s="12" t="inlineStr">
        <is>
          <t>https://www.stadtwil.ch/topics/bauen-und-planen/wil-vivendo/ortsplanungsrevision/news/wichtige-meilensteine-erreicht/grosser-schritt-fuer-das-kindlimann-areal</t>
        </is>
      </c>
      <c r="H566" s="12" t="inlineStr">
        <is>
          <t>Unterseite</t>
        </is>
      </c>
      <c r="I566" s="12" t="inlineStr">
        <is>
          <t>Nein</t>
        </is>
      </c>
      <c r="J566" s="12" t="inlineStr">
        <is>
          <t>Ungeprüft – nicht kuratiert</t>
        </is>
      </c>
    </row>
    <row r="567">
      <c r="A567" s="12" t="inlineStr">
        <is>
          <t>Wil</t>
        </is>
      </c>
      <c r="B567" s="12" t="inlineStr">
        <is>
          <t>St. Gallen</t>
        </is>
      </c>
      <c r="C567" s="12" t="inlineStr">
        <is>
          <t>C2</t>
        </is>
      </c>
      <c r="D567" s="16" t="inlineStr">
        <is>
          <t>https://www.stadtwil.ch/auth/login?skip=0&amp;to=%2Ftopics%2Fbauen-und-planen%2Fwil-vivendo%2Fsiedlung%2Farealentwicklung-kindlimann</t>
        </is>
      </c>
      <c r="E567" s="12" t="inlineStr">
        <is>
          <t>Anmelden</t>
        </is>
      </c>
      <c r="F567" s="12" t="inlineStr">
        <is>
          <t>nein</t>
        </is>
      </c>
      <c r="G567" s="12" t="inlineStr">
        <is>
          <t>https://www.stadtwil.ch/topics/bauen-und-planen/wil-vivendo/siedlung/arealentwicklung-kindlimann</t>
        </is>
      </c>
      <c r="H567" s="12" t="inlineStr">
        <is>
          <t>Unterseite</t>
        </is>
      </c>
      <c r="I567" s="12" t="inlineStr">
        <is>
          <t>Nein</t>
        </is>
      </c>
      <c r="J567" s="12" t="inlineStr">
        <is>
          <t>Ungeprüft – nicht kuratiert</t>
        </is>
      </c>
    </row>
    <row r="568">
      <c r="A568" s="12" t="inlineStr">
        <is>
          <t>Wil</t>
        </is>
      </c>
      <c r="B568" s="12" t="inlineStr">
        <is>
          <t>St. Gallen</t>
        </is>
      </c>
      <c r="C568" s="12" t="inlineStr">
        <is>
          <t>C2</t>
        </is>
      </c>
      <c r="D568" s="16" t="inlineStr">
        <is>
          <t>https://www.stadtwil.ch/topics/bauen-und-planen/wil-vivendo/ortsplanungsrevision/news/richtprojekt-kindlimann-areal</t>
        </is>
      </c>
      <c r="E568" s="12" t="inlineStr">
        <is>
          <t>Link</t>
        </is>
      </c>
      <c r="F568" s="12" t="inlineStr">
        <is>
          <t>nein</t>
        </is>
      </c>
      <c r="G568" s="12" t="inlineStr">
        <is>
          <t>https://www.stadtwil.ch/topics/bauen-und-planen/wil-vivendo/ortsplanungsrevision/news/wichtige-meilensteine-erreicht/grosser-schritt-fuer-das-kindlimann-areal</t>
        </is>
      </c>
      <c r="H568" s="12" t="inlineStr">
        <is>
          <t>Unterseite</t>
        </is>
      </c>
      <c r="I568" s="12" t="inlineStr">
        <is>
          <t>Nein</t>
        </is>
      </c>
      <c r="J568" s="12" t="inlineStr">
        <is>
          <t>Ungeprüft – nicht kuratiert</t>
        </is>
      </c>
    </row>
    <row r="569">
      <c r="A569" s="12" t="inlineStr">
        <is>
          <t>Wil</t>
        </is>
      </c>
      <c r="B569" s="12" t="inlineStr">
        <is>
          <t>St. Gallen</t>
        </is>
      </c>
      <c r="C569" s="12" t="inlineStr">
        <is>
          <t>C2</t>
        </is>
      </c>
      <c r="D569" s="16" t="inlineStr">
        <is>
          <t>https://www.stadtwil.ch/topics/bauen-und-planen/wil-vivendo/ortsplanungsrevision/news/richtprojekt-kindlimann-areal/editorial</t>
        </is>
      </c>
      <c r="E569" s="12" t="inlineStr">
        <is>
          <t>Editorial</t>
        </is>
      </c>
      <c r="F569" s="12" t="inlineStr">
        <is>
          <t>nein</t>
        </is>
      </c>
      <c r="G569" s="12" t="inlineStr">
        <is>
          <t>https://www.stadtwil.ch/topics/stadt-politik-und-recht/finanzen</t>
        </is>
      </c>
      <c r="H569" s="12" t="inlineStr">
        <is>
          <t>Einstiegsseite</t>
        </is>
      </c>
      <c r="I569" s="12" t="inlineStr">
        <is>
          <t>Nein</t>
        </is>
      </c>
      <c r="J569" s="12" t="inlineStr">
        <is>
          <t>Ungeprüft – nicht kuratiert</t>
        </is>
      </c>
    </row>
    <row r="570">
      <c r="A570" s="12" t="inlineStr">
        <is>
          <t>Wil</t>
        </is>
      </c>
      <c r="B570" s="12" t="inlineStr">
        <is>
          <t>St. Gallen</t>
        </is>
      </c>
      <c r="C570" s="12" t="inlineStr">
        <is>
          <t>C2</t>
        </is>
      </c>
      <c r="D570" s="16" t="inlineStr">
        <is>
          <t>https://www.stadtwil.ch/topics/bauen-und-planen/wil-vivendo/ortsplanungsrevision/news/richtprojekt-kindlimann-areal/ein-neues-stuecl-stadt-fuer-wil</t>
        </is>
      </c>
      <c r="E570" s="12" t="inlineStr">
        <is>
          <t>Ein neues Stück Stadt für Wil</t>
        </is>
      </c>
      <c r="F570" s="12" t="inlineStr">
        <is>
          <t>nein</t>
        </is>
      </c>
      <c r="G570" s="12" t="inlineStr">
        <is>
          <t>https://www.stadtwil.ch/topics/stadt-politik-und-recht/finanzen</t>
        </is>
      </c>
      <c r="H570" s="12" t="inlineStr">
        <is>
          <t>Einstiegsseite</t>
        </is>
      </c>
      <c r="I570" s="12" t="inlineStr">
        <is>
          <t>Nein</t>
        </is>
      </c>
      <c r="J570" s="12" t="inlineStr">
        <is>
          <t>Ungeprüft – nicht kuratiert</t>
        </is>
      </c>
    </row>
    <row r="571">
      <c r="A571" s="12" t="inlineStr">
        <is>
          <t>Wil</t>
        </is>
      </c>
      <c r="B571" s="12" t="inlineStr">
        <is>
          <t>St. Gallen</t>
        </is>
      </c>
      <c r="C571" s="12" t="inlineStr">
        <is>
          <t>C2</t>
        </is>
      </c>
      <c r="D571" s="16" t="inlineStr">
        <is>
          <t>https://www.stadtwil.ch/topics/bauen-und-planen/wil-vivendo/ortsplanungsrevision/news/richtprojekt-kindlimann-areal/kindlimann-areal-naechste-schritte-in-der-ortsplanungsrevision</t>
        </is>
      </c>
      <c r="E571" s="12" t="inlineStr">
        <is>
          <t>Kindlimann-Areal: Nächste Schritte in der Ortsplanungsrevision</t>
        </is>
      </c>
      <c r="F571" s="12" t="inlineStr">
        <is>
          <t>nein</t>
        </is>
      </c>
      <c r="G571" s="12" t="inlineStr">
        <is>
          <t>https://www.stadtwil.ch/topics/stadt-politik-und-recht/finanzen</t>
        </is>
      </c>
      <c r="H571" s="12" t="inlineStr">
        <is>
          <t>Einstiegsseite</t>
        </is>
      </c>
      <c r="I571" s="12" t="inlineStr">
        <is>
          <t>Nein</t>
        </is>
      </c>
      <c r="J571" s="12" t="inlineStr">
        <is>
          <t>Ungeprüft – nicht kuratiert</t>
        </is>
      </c>
    </row>
    <row r="572">
      <c r="A572" s="12" t="inlineStr">
        <is>
          <t>Wil</t>
        </is>
      </c>
      <c r="B572" s="12" t="inlineStr">
        <is>
          <t>St. Gallen</t>
        </is>
      </c>
      <c r="C572" s="12" t="inlineStr">
        <is>
          <t>C2</t>
        </is>
      </c>
      <c r="D572" s="16" t="inlineStr">
        <is>
          <t>https://www.stadtwil.ch/topics/bauen-und-planen/wil-vivendo/ortsplanungsrevision/news/richtprojekt-kindlimann-areal/wie-gut-kennen-sie-die-stadt-wil</t>
        </is>
      </c>
      <c r="E572" s="12" t="inlineStr">
        <is>
          <t>Wie gut kennen Sie die Stadt Wil?</t>
        </is>
      </c>
      <c r="F572" s="12" t="inlineStr">
        <is>
          <t>nein</t>
        </is>
      </c>
      <c r="G572" s="12" t="inlineStr">
        <is>
          <t>https://www.stadtwil.ch/topics/stadt-politik-und-recht/finanzen</t>
        </is>
      </c>
      <c r="H572" s="12" t="inlineStr">
        <is>
          <t>Einstiegsseite</t>
        </is>
      </c>
      <c r="I572" s="12" t="inlineStr">
        <is>
          <t>Nein</t>
        </is>
      </c>
      <c r="J572" s="12" t="inlineStr">
        <is>
          <t>Ungeprüft – nicht kuratiert</t>
        </is>
      </c>
    </row>
    <row r="573">
      <c r="A573" s="12" t="inlineStr">
        <is>
          <t>Wil</t>
        </is>
      </c>
      <c r="B573" s="12" t="inlineStr">
        <is>
          <t>St. Gallen</t>
        </is>
      </c>
      <c r="C573" s="12" t="inlineStr">
        <is>
          <t>C2</t>
        </is>
      </c>
      <c r="D573" s="16" t="inlineStr">
        <is>
          <t>https://www.stadtwil.ch/topics/bauen-und-planen/wil-vivendo/ortsplanungsrevision/news/richtprojekt-kindlimann-areal/zeitplan</t>
        </is>
      </c>
      <c r="E573" s="12" t="inlineStr">
        <is>
          <t>Zeitplan</t>
        </is>
      </c>
      <c r="F573" s="12" t="inlineStr">
        <is>
          <t>nein</t>
        </is>
      </c>
      <c r="G573" s="12" t="inlineStr">
        <is>
          <t>https://www.stadtwil.ch/topics/stadt-politik-und-recht/finanzen</t>
        </is>
      </c>
      <c r="H573" s="12" t="inlineStr">
        <is>
          <t>Einstiegsseite</t>
        </is>
      </c>
      <c r="I573" s="12" t="inlineStr">
        <is>
          <t>Nein</t>
        </is>
      </c>
      <c r="J573" s="12" t="inlineStr">
        <is>
          <t>Ungeprüft – nicht kuratiert</t>
        </is>
      </c>
    </row>
    <row r="574">
      <c r="A574" s="12" t="inlineStr">
        <is>
          <t>Wil</t>
        </is>
      </c>
      <c r="B574" s="12" t="inlineStr">
        <is>
          <t>St. Gallen</t>
        </is>
      </c>
      <c r="C574" s="12" t="inlineStr">
        <is>
          <t>C2</t>
        </is>
      </c>
      <c r="D574" s="16" t="inlineStr">
        <is>
          <t>https://www.stadtwil.ch/topics/bauen-und-planen/wil-vivendo/ortsplanungsrevision/news/wichtige-meilensteine-erreicht/grosser-schritt-fuer-das-kindlimann-areal</t>
        </is>
      </c>
      <c r="E574" s="12" t="inlineStr">
        <is>
          <t>Grosser Schritt für das Kindlimann-Areal</t>
        </is>
      </c>
      <c r="F574" s="12" t="inlineStr">
        <is>
          <t>nein</t>
        </is>
      </c>
      <c r="G574" s="12" t="inlineStr">
        <is>
          <t>https://www.stadtwil.ch/topics/stadt-politik-und-recht/finanzen</t>
        </is>
      </c>
      <c r="H574" s="12" t="inlineStr">
        <is>
          <t>Einstiegsseite</t>
        </is>
      </c>
      <c r="I574" s="12" t="inlineStr">
        <is>
          <t>Nein</t>
        </is>
      </c>
      <c r="J574" s="12" t="inlineStr">
        <is>
          <t>Ungeprüft – nicht kuratiert</t>
        </is>
      </c>
    </row>
    <row r="575">
      <c r="A575" s="12" t="inlineStr">
        <is>
          <t>Wil</t>
        </is>
      </c>
      <c r="B575" s="12" t="inlineStr">
        <is>
          <t>St. Gallen</t>
        </is>
      </c>
      <c r="C575" s="12" t="inlineStr">
        <is>
          <t>C2</t>
        </is>
      </c>
      <c r="D575" s="16" t="inlineStr">
        <is>
          <t>https://www.stadtwil.ch/topics/bauen-und-planen/wil-vivendo/siedlung/arealentwicklung-kindlimann</t>
        </is>
      </c>
      <c r="E575" s="12" t="inlineStr">
        <is>
          <t>Arealentwicklung Kindlimann</t>
        </is>
      </c>
      <c r="F575" s="12" t="inlineStr">
        <is>
          <t>nein</t>
        </is>
      </c>
      <c r="G575" s="12" t="inlineStr">
        <is>
          <t>https://www.stadtwil.ch/topics/stadt-politik-und-recht/finanzen</t>
        </is>
      </c>
      <c r="H575" s="12" t="inlineStr">
        <is>
          <t>Einstiegsseite</t>
        </is>
      </c>
      <c r="I575" s="12" t="inlineStr">
        <is>
          <t>Nein</t>
        </is>
      </c>
      <c r="J575" s="12" t="inlineStr">
        <is>
          <t>Ungeprüft – nicht kuratiert</t>
        </is>
      </c>
    </row>
    <row r="576">
      <c r="A576" s="12" t="inlineStr">
        <is>
          <t>Wil</t>
        </is>
      </c>
      <c r="B576" s="12" t="inlineStr">
        <is>
          <t>St. Gallen</t>
        </is>
      </c>
      <c r="C576" s="12" t="inlineStr">
        <is>
          <t>C2,C3</t>
        </is>
      </c>
      <c r="D576" s="16" t="inlineStr">
        <is>
          <t>https://www.admin.ch/opc/de/classified-compilation/19840201/index.html</t>
        </is>
      </c>
      <c r="E576" s="12" t="inlineStr">
        <is>
          <t>Verordnung über den Erwerb von Grundstücken durch Personen im Ausland (SR 211.412.411) neues Fenster</t>
        </is>
      </c>
      <c r="F576" s="12" t="inlineStr">
        <is>
          <t>nein</t>
        </is>
      </c>
      <c r="G576" s="12" t="inlineStr">
        <is>
          <t>https://www.sg.ch/politik-verwaltung/gemeinden/grundstueckerwerb-durch-personen-im-ausland.html</t>
        </is>
      </c>
      <c r="H576" s="12" t="inlineStr">
        <is>
          <t>Unterseite</t>
        </is>
      </c>
      <c r="I576" s="12" t="inlineStr">
        <is>
          <t>Nein</t>
        </is>
      </c>
      <c r="J576" s="12" t="inlineStr">
        <is>
          <t>Ungeprüft – nicht kuratiert</t>
        </is>
      </c>
    </row>
    <row r="577">
      <c r="A577" s="12" t="inlineStr">
        <is>
          <t>Wil</t>
        </is>
      </c>
      <c r="B577" s="12" t="inlineStr">
        <is>
          <t>St. Gallen</t>
        </is>
      </c>
      <c r="C577" s="12" t="inlineStr">
        <is>
          <t>C2,C3</t>
        </is>
      </c>
      <c r="D577" s="16" t="inlineStr">
        <is>
          <t>https://www.gesetzessammlung.sg.ch/app/de/texts_of_law/914.11</t>
        </is>
      </c>
      <c r="E577" s="12" t="inlineStr">
        <is>
          <t>Verordnung zum Einführungsgesetz zum Bundesgesetz über den Erwerb von Grundstücken durch Personen im Ausland (sGS 914.11) neues Fenster</t>
        </is>
      </c>
      <c r="F577" s="12" t="inlineStr">
        <is>
          <t>nein</t>
        </is>
      </c>
      <c r="G577" s="12" t="inlineStr">
        <is>
          <t>https://www.sg.ch/politik-verwaltung/gemeinden/grundstueckerwerb-durch-personen-im-ausland.html</t>
        </is>
      </c>
      <c r="H577" s="12" t="inlineStr">
        <is>
          <t>Unterseite</t>
        </is>
      </c>
      <c r="I577" s="12" t="inlineStr">
        <is>
          <t>Nein</t>
        </is>
      </c>
      <c r="J577" s="12" t="inlineStr">
        <is>
          <t>Ungeprüft – nicht kuratiert</t>
        </is>
      </c>
    </row>
    <row r="578">
      <c r="A578" s="12" t="inlineStr">
        <is>
          <t>Wil</t>
        </is>
      </c>
      <c r="B578" s="12" t="inlineStr">
        <is>
          <t>St. Gallen</t>
        </is>
      </c>
      <c r="C578" s="12" t="inlineStr">
        <is>
          <t>C2,C5</t>
        </is>
      </c>
      <c r="D578" s="16" t="inlineStr">
        <is>
          <t>https://www.stadtwil.ch/auth/login?skip=0&amp;to=%2Ftopics%2Fbauen-und-planen%2Fwil-vivendo%2Fortsplanungsrevision%2Fnews%2Fgute-planung-ist-teamarbeit%2Fe-mitwirkung-zu-arealentwicklungen</t>
        </is>
      </c>
      <c r="E578" s="12" t="inlineStr">
        <is>
          <t>Anmelden</t>
        </is>
      </c>
      <c r="F578" s="12" t="inlineStr">
        <is>
          <t>nein</t>
        </is>
      </c>
      <c r="G578" s="12" t="inlineStr">
        <is>
          <t>https://www.stadtwil.ch/topics/bauen-und-planen/wil-vivendo/ortsplanungsrevision/news/gute-planung-ist-teamarbeit/e-mitwirkung-zu-arealentwicklungen</t>
        </is>
      </c>
      <c r="H578" s="12" t="inlineStr">
        <is>
          <t>Unterseite</t>
        </is>
      </c>
      <c r="I578" s="12" t="inlineStr">
        <is>
          <t>Nein</t>
        </is>
      </c>
      <c r="J578" s="12" t="inlineStr">
        <is>
          <t>Ungeprüft – nicht kuratiert</t>
        </is>
      </c>
    </row>
    <row r="579">
      <c r="A579" s="12" t="inlineStr">
        <is>
          <t>Wil</t>
        </is>
      </c>
      <c r="B579" s="12" t="inlineStr">
        <is>
          <t>St. Gallen</t>
        </is>
      </c>
      <c r="C579" s="12" t="inlineStr">
        <is>
          <t>C2,C5</t>
        </is>
      </c>
      <c r="D579" s="16" t="inlineStr">
        <is>
          <t>https://www.stadtwil.ch/auth/login?skip=0&amp;to=%2Ftopics%2Fbauen-und-planen%2Fwil-vivendo%2Fortsplanungsrevision%2Fnews%2Fhalbzeit-mitwirkung%2Fvom-areal-zum-lebensraum</t>
        </is>
      </c>
      <c r="E579" s="12" t="inlineStr">
        <is>
          <t>Anmelden</t>
        </is>
      </c>
      <c r="F579" s="12" t="inlineStr">
        <is>
          <t>nein</t>
        </is>
      </c>
      <c r="G579" s="12" t="inlineStr">
        <is>
          <t>https://www.stadtwil.ch/topics/bauen-und-planen/wil-vivendo/ortsplanungsrevision/news/halbzeit-mitwirkung/vom-areal-zum-lebensraum</t>
        </is>
      </c>
      <c r="H579" s="12" t="inlineStr">
        <is>
          <t>Unterseite</t>
        </is>
      </c>
      <c r="I579" s="12" t="inlineStr">
        <is>
          <t>Nein</t>
        </is>
      </c>
      <c r="J579" s="12" t="inlineStr">
        <is>
          <t>Ungeprüft – nicht kuratiert</t>
        </is>
      </c>
    </row>
    <row r="580">
      <c r="A580" s="12" t="inlineStr">
        <is>
          <t>Wil</t>
        </is>
      </c>
      <c r="B580" s="12" t="inlineStr">
        <is>
          <t>St. Gallen</t>
        </is>
      </c>
      <c r="C580" s="12" t="inlineStr">
        <is>
          <t>C2,C5</t>
        </is>
      </c>
      <c r="D580" s="16" t="inlineStr">
        <is>
          <t>https://www.stadtwil.ch/auth/login?skip=0&amp;to=%2Ftopics%2Fbauen-und-planen%2Fwil-vivendo%2Fortsplanungsrevision%2Fnews%2Fortsplanungsrevision-newsletter-nr-19-langfristige-entwicklung-im-zusammenspiel-vieler-prozesse%2Fmitwirkung-arealentwicklungen-kindlimann-areal-und-allmend</t>
        </is>
      </c>
      <c r="E580" s="12" t="inlineStr">
        <is>
          <t>Anmelden</t>
        </is>
      </c>
      <c r="F580" s="12" t="inlineStr">
        <is>
          <t>nein</t>
        </is>
      </c>
      <c r="G580" s="12" t="inlineStr">
        <is>
          <t>https://www.stadtwil.ch/topics/bauen-und-planen/wil-vivendo/ortsplanungsrevision/news/ortsplanungsrevision-newsletter-nr-19-langfristige-entwicklung-im-zusammenspiel-vieler-prozesse/mitwirkung-arealentwicklungen-kindlimann-areal-und-allmend</t>
        </is>
      </c>
      <c r="H580" s="12" t="inlineStr">
        <is>
          <t>Unterseite</t>
        </is>
      </c>
      <c r="I580" s="12" t="inlineStr">
        <is>
          <t>Nein</t>
        </is>
      </c>
      <c r="J580" s="12" t="inlineStr">
        <is>
          <t>Ungeprüft – nicht kuratiert</t>
        </is>
      </c>
    </row>
    <row r="581">
      <c r="A581" s="12" t="inlineStr">
        <is>
          <t>Wil</t>
        </is>
      </c>
      <c r="B581" s="12" t="inlineStr">
        <is>
          <t>St. Gallen</t>
        </is>
      </c>
      <c r="C581" s="12" t="inlineStr">
        <is>
          <t>C2,C5</t>
        </is>
      </c>
      <c r="D581" s="16" t="inlineStr">
        <is>
          <t>https://www.stadtwil.ch/auth/login?skip=0&amp;to=%2Ftopics%2Fbauen-und-planen%2Fwil-vivendo%2Fortsplanungsrevision%2Fveranstaltungen-und-mitwirkung%2Fmitwirkungen%2Fmitwirkung-kindlimann-areal-und-allmend</t>
        </is>
      </c>
      <c r="E581" s="12" t="inlineStr">
        <is>
          <t>Anmelden</t>
        </is>
      </c>
      <c r="F581" s="12" t="inlineStr">
        <is>
          <t>nein</t>
        </is>
      </c>
      <c r="G581" s="12" t="inlineStr">
        <is>
          <t>https://www.stadtwil.ch/topics/bauen-und-planen/wil-vivendo/ortsplanungsrevision/veranstaltungen-und-mitwirkung/mitwirkungen/mitwirkung-kindlimann-areal-und-allmend</t>
        </is>
      </c>
      <c r="H581" s="12" t="inlineStr">
        <is>
          <t>Unterseite</t>
        </is>
      </c>
      <c r="I581" s="12" t="inlineStr">
        <is>
          <t>Nein</t>
        </is>
      </c>
      <c r="J581" s="12" t="inlineStr">
        <is>
          <t>Ungeprüft – nicht kuratiert</t>
        </is>
      </c>
    </row>
    <row r="582">
      <c r="A582" s="12" t="inlineStr">
        <is>
          <t>Wil</t>
        </is>
      </c>
      <c r="B582" s="12" t="inlineStr">
        <is>
          <t>St. Gallen</t>
        </is>
      </c>
      <c r="C582" s="12" t="inlineStr">
        <is>
          <t>C2,C5</t>
        </is>
      </c>
      <c r="D582" s="16" t="inlineStr">
        <is>
          <t>https://www.stadtwil.ch/topics/bauen-und-planen/wil-vivendo/ortsplanungsrevision/news/gute-planung-ist-teamarbeit/e-mitwirkung-zu-arealentwicklungen</t>
        </is>
      </c>
      <c r="E582" s="12" t="inlineStr">
        <is>
          <t>E-Mitwirkung zu Arealentwicklungen</t>
        </is>
      </c>
      <c r="F582" s="12" t="inlineStr">
        <is>
          <t>nein</t>
        </is>
      </c>
      <c r="G582" s="12" t="inlineStr">
        <is>
          <t>https://www.stadtwil.ch/topics/stadt-politik-und-recht/finanzen</t>
        </is>
      </c>
      <c r="H582" s="12" t="inlineStr">
        <is>
          <t>Einstiegsseite</t>
        </is>
      </c>
      <c r="I582" s="12" t="inlineStr">
        <is>
          <t>Nein</t>
        </is>
      </c>
      <c r="J582" s="12" t="inlineStr">
        <is>
          <t>Ungeprüft – nicht kuratiert</t>
        </is>
      </c>
    </row>
    <row r="583">
      <c r="A583" s="12" t="inlineStr">
        <is>
          <t>Wil</t>
        </is>
      </c>
      <c r="B583" s="12" t="inlineStr">
        <is>
          <t>St. Gallen</t>
        </is>
      </c>
      <c r="C583" s="12" t="inlineStr">
        <is>
          <t>C2,C5</t>
        </is>
      </c>
      <c r="D583" s="16" t="inlineStr">
        <is>
          <t>https://www.stadtwil.ch/topics/bauen-und-planen/wil-vivendo/ortsplanungsrevision/news/halbzeit-mitwirkung/vom-areal-zum-lebensraum</t>
        </is>
      </c>
      <c r="E583" s="12" t="inlineStr">
        <is>
          <t>Vom Areal zum Lebensraum</t>
        </is>
      </c>
      <c r="F583" s="12" t="inlineStr">
        <is>
          <t>nein</t>
        </is>
      </c>
      <c r="G583" s="12" t="inlineStr">
        <is>
          <t>https://www.stadtwil.ch/topics/stadt-politik-und-recht/finanzen</t>
        </is>
      </c>
      <c r="H583" s="12" t="inlineStr">
        <is>
          <t>Einstiegsseite</t>
        </is>
      </c>
      <c r="I583" s="12" t="inlineStr">
        <is>
          <t>Nein</t>
        </is>
      </c>
      <c r="J583" s="12" t="inlineStr">
        <is>
          <t>Ungeprüft – nicht kuratiert</t>
        </is>
      </c>
    </row>
    <row r="584">
      <c r="A584" s="12" t="inlineStr">
        <is>
          <t>Wil</t>
        </is>
      </c>
      <c r="B584" s="12" t="inlineStr">
        <is>
          <t>St. Gallen</t>
        </is>
      </c>
      <c r="C584" s="12" t="inlineStr">
        <is>
          <t>C2,C5</t>
        </is>
      </c>
      <c r="D584" s="16" t="inlineStr">
        <is>
          <t>https://www.stadtwil.ch/topics/bauen-und-planen/wil-vivendo/ortsplanungsrevision/news/ortsplanungsrevision-newsletter-nr-19-langfristige-entwicklung-im-zusammenspiel-vieler-prozesse/mitwirkung-arealentwicklungen-kindlimann-areal-und-allmend</t>
        </is>
      </c>
      <c r="E584" s="12" t="inlineStr">
        <is>
          <t>Arealentwicklungen Kindlimann und Allmend</t>
        </is>
      </c>
      <c r="F584" s="12" t="inlineStr">
        <is>
          <t>nein</t>
        </is>
      </c>
      <c r="G584" s="12" t="inlineStr">
        <is>
          <t>https://www.stadtwil.ch/topics/stadt-politik-und-recht/finanzen</t>
        </is>
      </c>
      <c r="H584" s="12" t="inlineStr">
        <is>
          <t>Einstiegsseite</t>
        </is>
      </c>
      <c r="I584" s="12" t="inlineStr">
        <is>
          <t>Nein</t>
        </is>
      </c>
      <c r="J584" s="12" t="inlineStr">
        <is>
          <t>Ungeprüft – nicht kuratiert</t>
        </is>
      </c>
    </row>
    <row r="585">
      <c r="A585" s="12" t="inlineStr">
        <is>
          <t>Wil</t>
        </is>
      </c>
      <c r="B585" s="12" t="inlineStr">
        <is>
          <t>St. Gallen</t>
        </is>
      </c>
      <c r="C585" s="12" t="inlineStr">
        <is>
          <t>C2,C5</t>
        </is>
      </c>
      <c r="D585" s="16" t="inlineStr">
        <is>
          <t>https://www.stadtwil.ch/topics/bauen-und-planen/wil-vivendo/ortsplanungsrevision/veranstaltungen-und-mitwirkung/mitwirkungen/mitwirkung-kindlimann-areal-und-allmend</t>
        </is>
      </c>
      <c r="E585" s="12" t="inlineStr">
        <is>
          <t>Mitwirkung Kindlimann-Areal und Allmend</t>
        </is>
      </c>
      <c r="F585" s="12" t="inlineStr">
        <is>
          <t>nein</t>
        </is>
      </c>
      <c r="G585" s="12" t="inlineStr">
        <is>
          <t>https://www.stadtwil.ch/topics/stadt-politik-und-recht/finanzen</t>
        </is>
      </c>
      <c r="H585" s="12" t="inlineStr">
        <is>
          <t>Einstiegsseite</t>
        </is>
      </c>
      <c r="I585" s="12" t="inlineStr">
        <is>
          <t>Nein</t>
        </is>
      </c>
      <c r="J585" s="12" t="inlineStr">
        <is>
          <t>Ungeprüft – nicht kuratiert</t>
        </is>
      </c>
    </row>
    <row r="586">
      <c r="A586" s="12" t="inlineStr">
        <is>
          <t>Wil</t>
        </is>
      </c>
      <c r="B586" s="12" t="inlineStr">
        <is>
          <t>St. Gallen</t>
        </is>
      </c>
      <c r="C586" s="12" t="inlineStr">
        <is>
          <t>C2,C5</t>
        </is>
      </c>
      <c r="D586" s="16" t="inlineStr">
        <is>
          <t>https://www.stadtwil.ch/topics/stadt-politik-und-recht/abstimmungen-und-wahlen/vergangene-abstimmungen/2025-vergangene-abstimmungen-und-wahlen-1/28-09-2025-eidgenoessische-abstimmung/bundesbeschluss-vom-20-dezember-2024-ueber-die-kantonalen-liegenschaftssteuern-auf-zweitliegenschaften</t>
        </is>
      </c>
      <c r="E586" s="12" t="inlineStr">
        <is>
          <t>Bundesbeschluss vom 20. Dezember 2024 über die kantonalen Liegenschaftssteuern auf Zweitliegenschaften</t>
        </is>
      </c>
      <c r="F586" s="12" t="inlineStr">
        <is>
          <t>nein</t>
        </is>
      </c>
      <c r="G586" s="12" t="inlineStr">
        <is>
          <t>https://www.stadtwil.ch/topics/stadt-politik-und-recht/finanzen</t>
        </is>
      </c>
      <c r="H586" s="12" t="inlineStr">
        <is>
          <t>Einstiegsseite</t>
        </is>
      </c>
      <c r="I586" s="12" t="inlineStr">
        <is>
          <t>Nein</t>
        </is>
      </c>
      <c r="J586" s="12" t="inlineStr">
        <is>
          <t>Ungeprüft – nicht kuratiert</t>
        </is>
      </c>
    </row>
    <row r="587">
      <c r="A587" s="12" t="inlineStr">
        <is>
          <t>Wil</t>
        </is>
      </c>
      <c r="B587" s="12" t="inlineStr">
        <is>
          <t>St. Gallen</t>
        </is>
      </c>
      <c r="C587" s="12" t="inlineStr">
        <is>
          <t>C2,C5</t>
        </is>
      </c>
      <c r="D587" s="16" t="inlineStr">
        <is>
          <t>https://www.stadtwil.ch/topics/stadt-politik-und-recht/abstimmungen-und-wahlen/vergangene-abstimmungen/2026-vergangene-abstimmungen-und-wahlen/08-03-2026-eidgenoessisches-blankodatum/kantonale-abstimmungen/kantonsratsbeschluss-ueber-den-verkauf-der-grundstuecke-wilwest-und-die-kompensation-von-fruchtfolgeflaechen</t>
        </is>
      </c>
      <c r="E587" s="12" t="inlineStr">
        <is>
          <t>Kantonsratsbeschluss über den Verkauf der Grundstücke „WILWEST“ und die Kompensation von Fruchtfolgeflächen</t>
        </is>
      </c>
      <c r="F587" s="12" t="inlineStr">
        <is>
          <t>nein</t>
        </is>
      </c>
      <c r="G587" s="12" t="inlineStr">
        <is>
          <t>https://www.stadtwil.ch/topics/stadt-politik-und-recht/finanzen</t>
        </is>
      </c>
      <c r="H587" s="12" t="inlineStr">
        <is>
          <t>Einstiegsseite</t>
        </is>
      </c>
      <c r="I587" s="12" t="inlineStr">
        <is>
          <t>Nein</t>
        </is>
      </c>
      <c r="J587" s="12" t="inlineStr">
        <is>
          <t>Ungeprüft – nicht kuratiert</t>
        </is>
      </c>
    </row>
    <row r="588">
      <c r="A588" s="12" t="inlineStr">
        <is>
          <t>Wil</t>
        </is>
      </c>
      <c r="B588" s="12" t="inlineStr">
        <is>
          <t>St. Gallen</t>
        </is>
      </c>
      <c r="C588" s="12" t="inlineStr">
        <is>
          <t>C2,C5</t>
        </is>
      </c>
      <c r="D588" s="16" t="inlineStr">
        <is>
          <t>https://www.stadtwil.ch/topics/stadt-politik-und-recht/abstimmungen-und-wahlen/vorlagen/eidgenoessische-vorlagen/bundesbeschluss-vom-20-dezember-2024-ueber-die-kantonalen-liegenschaftssteuern-auf-zweitliegenschaften</t>
        </is>
      </c>
      <c r="E588" s="12" t="inlineStr">
        <is>
          <t>Bundesbeschluss vom 20. Dezember 2024 über die kantonalen Liegenschaftssteuern auf Zweitliegenschaften</t>
        </is>
      </c>
      <c r="F588" s="12" t="inlineStr">
        <is>
          <t>nein</t>
        </is>
      </c>
      <c r="G588" s="12" t="inlineStr">
        <is>
          <t>https://www.stadtwil.ch/topics/stadt-politik-und-recht/finanzen</t>
        </is>
      </c>
      <c r="H588" s="12" t="inlineStr">
        <is>
          <t>Einstiegsseite</t>
        </is>
      </c>
      <c r="I588" s="12" t="inlineStr">
        <is>
          <t>Nein</t>
        </is>
      </c>
      <c r="J588" s="12" t="inlineStr">
        <is>
          <t>Ungeprüft – nicht kuratiert</t>
        </is>
      </c>
    </row>
    <row r="589">
      <c r="A589" s="12" t="inlineStr">
        <is>
          <t>Wil</t>
        </is>
      </c>
      <c r="B589" s="12" t="inlineStr">
        <is>
          <t>St. Gallen</t>
        </is>
      </c>
      <c r="C589" s="12" t="inlineStr">
        <is>
          <t>C3</t>
        </is>
      </c>
      <c r="D589" s="16" t="inlineStr">
        <is>
          <t>https://wil-sg.tlex.ch/api/annex_document_dictionaries/23</t>
        </is>
      </c>
      <c r="E589" s="12" t="inlineStr">
        <is>
          <t>Baureglement - integriertes Dokument für die Praxis</t>
        </is>
      </c>
      <c r="F589" s="12" t="inlineStr">
        <is>
          <t>nein</t>
        </is>
      </c>
      <c r="G589" s="12" t="inlineStr">
        <is>
          <t>https://www.stadtwil.ch/topics/bauen-und-planen/private-bauprojekte/rechtsgrundlagen-bauen-und-planen/baureglement</t>
        </is>
      </c>
      <c r="H589" s="12" t="inlineStr">
        <is>
          <t>Unterseite</t>
        </is>
      </c>
      <c r="I589" s="12" t="inlineStr">
        <is>
          <t>Nein</t>
        </is>
      </c>
      <c r="J589" s="12" t="inlineStr">
        <is>
          <t>Ungeprüft – nicht kuratiert</t>
        </is>
      </c>
    </row>
    <row r="590">
      <c r="A590" s="12" t="inlineStr">
        <is>
          <t>Wil</t>
        </is>
      </c>
      <c r="B590" s="12" t="inlineStr">
        <is>
          <t>St. Gallen</t>
        </is>
      </c>
      <c r="C590" s="12" t="inlineStr">
        <is>
          <t>C3</t>
        </is>
      </c>
      <c r="D590" s="16" t="inlineStr">
        <is>
          <t>https://wil-sg.tlex.ch/app/de/quick_search/systematic/direct/21/0d0a08bd59c0071627c3b4bdf3b4a43f</t>
        </is>
      </c>
      <c r="E590" s="12" t="inlineStr">
        <is>
          <t>(Beitragsreglement).</t>
        </is>
      </c>
      <c r="F590" s="12" t="inlineStr">
        <is>
          <t>nein</t>
        </is>
      </c>
      <c r="G590" s="12" t="inlineStr">
        <is>
          <t>https://www.stadtwil.ch/topics/bauen-und-planen/private-bauprojekte/rechtsgrundlagen-bauen-und-planen/kommunale-schutzverordnung/beitragsreglement-fuer-kommunale-schutzobjekte</t>
        </is>
      </c>
      <c r="H590" s="12" t="inlineStr">
        <is>
          <t>Unterseite</t>
        </is>
      </c>
      <c r="I590" s="12" t="inlineStr">
        <is>
          <t>Nein</t>
        </is>
      </c>
      <c r="J590" s="12" t="inlineStr">
        <is>
          <t>Ungeprüft – nicht kuratiert</t>
        </is>
      </c>
    </row>
    <row r="591">
      <c r="A591" s="12" t="inlineStr">
        <is>
          <t>Wil</t>
        </is>
      </c>
      <c r="B591" s="12" t="inlineStr">
        <is>
          <t>St. Gallen</t>
        </is>
      </c>
      <c r="C591" s="12" t="inlineStr">
        <is>
          <t>C3</t>
        </is>
      </c>
      <c r="D591" s="16" t="inlineStr">
        <is>
          <t>https://wil-sg.tlex.ch/app/de/systematic/texts_of_law</t>
        </is>
      </c>
      <c r="E591" s="12" t="inlineStr">
        <is>
          <t>Rechtssammlung</t>
        </is>
      </c>
      <c r="F591" s="12" t="inlineStr">
        <is>
          <t>nein</t>
        </is>
      </c>
      <c r="G591" s="12" t="inlineStr">
        <is>
          <t>https://www.stadtwil.ch/topics/bauen-und-planen/private-bauprojekte/rechtsgrundlagen-bauen-und-planen/kommunale-schutzverordnung/schutzinventar-der-bau-und-gartendenkmaeler</t>
        </is>
      </c>
      <c r="H591" s="12" t="inlineStr">
        <is>
          <t>Unterseite</t>
        </is>
      </c>
      <c r="I591" s="12" t="inlineStr">
        <is>
          <t>Nein</t>
        </is>
      </c>
      <c r="J591" s="12" t="inlineStr">
        <is>
          <t>Ungeprüft – nicht kuratiert</t>
        </is>
      </c>
    </row>
    <row r="592">
      <c r="A592" s="12" t="inlineStr">
        <is>
          <t>Wil</t>
        </is>
      </c>
      <c r="B592" s="12" t="inlineStr">
        <is>
          <t>St. Gallen</t>
        </is>
      </c>
      <c r="C592" s="12" t="inlineStr">
        <is>
          <t>C3</t>
        </is>
      </c>
      <c r="D592" s="16" t="inlineStr">
        <is>
          <t>https://wil-sg.tlex.ch/app/de/texts_of_law/7.4.3-6</t>
        </is>
      </c>
      <c r="E592" s="12" t="inlineStr">
        <is>
          <t>Abwasserreglement</t>
        </is>
      </c>
      <c r="F592" s="12" t="inlineStr">
        <is>
          <t>nein</t>
        </is>
      </c>
      <c r="G592" s="12" t="inlineStr">
        <is>
          <t>https://www.stadtwil.ch/topics/bauen-und-planen/private-bauprojekte/rechtsgrundlagen-bauen-und-planen/abwasserreglement</t>
        </is>
      </c>
      <c r="H592" s="12" t="inlineStr">
        <is>
          <t>Unterseite</t>
        </is>
      </c>
      <c r="I592" s="12" t="inlineStr">
        <is>
          <t>Nein</t>
        </is>
      </c>
      <c r="J592" s="12" t="inlineStr">
        <is>
          <t>Ungeprüft – nicht kuratiert</t>
        </is>
      </c>
    </row>
    <row r="593">
      <c r="A593" s="12" t="inlineStr">
        <is>
          <t>Wil</t>
        </is>
      </c>
      <c r="B593" s="12" t="inlineStr">
        <is>
          <t>St. Gallen</t>
        </is>
      </c>
      <c r="C593" s="12" t="inlineStr">
        <is>
          <t>C3</t>
        </is>
      </c>
      <c r="D593" s="16" t="inlineStr">
        <is>
          <t>https://wil-sg.tlex.ch/app/de/texts_of_law/7.4.3-6.1</t>
        </is>
      </c>
      <c r="E593" s="12" t="inlineStr">
        <is>
          <t>Vollzugsreglement zum Abwasserreglement</t>
        </is>
      </c>
      <c r="F593" s="12" t="inlineStr">
        <is>
          <t>nein</t>
        </is>
      </c>
      <c r="G593" s="12" t="inlineStr">
        <is>
          <t>https://www.stadtwil.ch/topics/bauen-und-planen/private-bauprojekte/rechtsgrundlagen-bauen-und-planen/abwasserreglement</t>
        </is>
      </c>
      <c r="H593" s="12" t="inlineStr">
        <is>
          <t>Unterseite</t>
        </is>
      </c>
      <c r="I593" s="12" t="inlineStr">
        <is>
          <t>Nein</t>
        </is>
      </c>
      <c r="J593" s="12" t="inlineStr">
        <is>
          <t>Ungeprüft – nicht kuratiert</t>
        </is>
      </c>
    </row>
    <row r="594">
      <c r="A594" s="12" t="inlineStr">
        <is>
          <t>Wil</t>
        </is>
      </c>
      <c r="B594" s="12" t="inlineStr">
        <is>
          <t>St. Gallen</t>
        </is>
      </c>
      <c r="C594" s="12" t="inlineStr">
        <is>
          <t>C3</t>
        </is>
      </c>
      <c r="D594" s="16" t="inlineStr">
        <is>
          <t>https://wil-sg.tlex.ch/app/de/texts_of_law/7.4.3-6.2</t>
        </is>
      </c>
      <c r="E594" s="12" t="inlineStr">
        <is>
          <t>Gebührentarif zum Abwasserreglement</t>
        </is>
      </c>
      <c r="F594" s="12" t="inlineStr">
        <is>
          <t>nein</t>
        </is>
      </c>
      <c r="G594" s="12" t="inlineStr">
        <is>
          <t>https://www.stadtwil.ch/topics/bauen-und-planen/private-bauprojekte/rechtsgrundlagen-bauen-und-planen/abwasserreglement</t>
        </is>
      </c>
      <c r="H594" s="12" t="inlineStr">
        <is>
          <t>Unterseite</t>
        </is>
      </c>
      <c r="I594" s="12" t="inlineStr">
        <is>
          <t>Nein</t>
        </is>
      </c>
      <c r="J594" s="12" t="inlineStr">
        <is>
          <t>Ungeprüft – nicht kuratiert</t>
        </is>
      </c>
    </row>
    <row r="595">
      <c r="A595" s="12" t="inlineStr">
        <is>
          <t>Wil</t>
        </is>
      </c>
      <c r="B595" s="12" t="inlineStr">
        <is>
          <t>St. Gallen</t>
        </is>
      </c>
      <c r="C595" s="12" t="inlineStr">
        <is>
          <t>C3</t>
        </is>
      </c>
      <c r="D595" s="16" t="inlineStr">
        <is>
          <t>https://wil-sg.tlex.ch/app/de/texts_of_law/8.2-1</t>
        </is>
      </c>
      <c r="E595" s="12" t="inlineStr">
        <is>
          <t>415.1 Friedhof- und Bestattungsreglement</t>
        </is>
      </c>
      <c r="F595" s="12" t="inlineStr">
        <is>
          <t>nein</t>
        </is>
      </c>
      <c r="G595" s="12" t="inlineStr">
        <is>
          <t>https://www.stadtwil.ch/topics/persoenliches/todesfall/friedhoefe/friedhof-und-bestattungsreglemente</t>
        </is>
      </c>
      <c r="H595" s="12" t="inlineStr">
        <is>
          <t>Unterseite</t>
        </is>
      </c>
      <c r="I595" s="12" t="inlineStr">
        <is>
          <t>Nein</t>
        </is>
      </c>
      <c r="J595" s="12" t="inlineStr">
        <is>
          <t>Ungeprüft – nicht kuratiert</t>
        </is>
      </c>
    </row>
    <row r="596">
      <c r="A596" s="12" t="inlineStr">
        <is>
          <t>Wil</t>
        </is>
      </c>
      <c r="B596" s="12" t="inlineStr">
        <is>
          <t>St. Gallen</t>
        </is>
      </c>
      <c r="C596" s="12" t="inlineStr">
        <is>
          <t>C3</t>
        </is>
      </c>
      <c r="D596" s="16" t="inlineStr">
        <is>
          <t>https://wil-sg.tlex.ch/app/de/texts_of_law/8.2-1.1</t>
        </is>
      </c>
      <c r="E596" s="12" t="inlineStr">
        <is>
          <t>415.11 Vollzugsreglement zum Friedhof- und Bestattungsreglement</t>
        </is>
      </c>
      <c r="F596" s="12" t="inlineStr">
        <is>
          <t>nein</t>
        </is>
      </c>
      <c r="G596" s="12" t="inlineStr">
        <is>
          <t>https://www.stadtwil.ch/topics/persoenliches/todesfall/friedhoefe/friedhof-und-bestattungsreglemente</t>
        </is>
      </c>
      <c r="H596" s="12" t="inlineStr">
        <is>
          <t>Unterseite</t>
        </is>
      </c>
      <c r="I596" s="12" t="inlineStr">
        <is>
          <t>Nein</t>
        </is>
      </c>
      <c r="J596" s="12" t="inlineStr">
        <is>
          <t>Ungeprüft – nicht kuratiert</t>
        </is>
      </c>
    </row>
    <row r="597">
      <c r="A597" s="12" t="inlineStr">
        <is>
          <t>Wil</t>
        </is>
      </c>
      <c r="B597" s="12" t="inlineStr">
        <is>
          <t>St. Gallen</t>
        </is>
      </c>
      <c r="C597" s="12" t="inlineStr">
        <is>
          <t>C3</t>
        </is>
      </c>
      <c r="D597" s="16" t="inlineStr">
        <is>
          <t>https://www.sg.ch/content/dam/sgch/politik-verwaltung/gemeinden/gemeindenfinanzen/rechnungslegung-rmsg/hilfsmittel-und-vorlagen/Tool%20Bewertung%20Beteiligungen%20im%20Verwaltungsverm%C3%B6gen.xlsx</t>
        </is>
      </c>
      <c r="E597" s="12" t="inlineStr">
        <is>
          <t>Tool Bewertung Beteiligungen im Verwaltungsvermögen neues Fenster</t>
        </is>
      </c>
      <c r="F597" s="12" t="inlineStr">
        <is>
          <t>ja</t>
        </is>
      </c>
      <c r="G597" s="12" t="inlineStr">
        <is>
          <t>https://www.sg.ch/politik-verwaltung/gemeinden/gemeindefinanzen/rechnungslegung--rmsg-.html</t>
        </is>
      </c>
      <c r="H597" s="12" t="inlineStr">
        <is>
          <t>Einstiegsseite</t>
        </is>
      </c>
      <c r="I597" s="12" t="inlineStr">
        <is>
          <t>Nein</t>
        </is>
      </c>
      <c r="J597" s="12" t="inlineStr">
        <is>
          <t>Ungeprüft – nicht kuratiert</t>
        </is>
      </c>
    </row>
    <row r="598">
      <c r="A598" s="12" t="inlineStr">
        <is>
          <t>Wil</t>
        </is>
      </c>
      <c r="B598" s="12" t="inlineStr">
        <is>
          <t>St. Gallen</t>
        </is>
      </c>
      <c r="C598" s="12" t="inlineStr">
        <is>
          <t>C3</t>
        </is>
      </c>
      <c r="D598" s="16" t="inlineStr">
        <is>
          <t>https://www.sg.ch/content/dam/sgch/politik-verwaltung/gemeinden/gemeindenfinanzen/rechnungslegung-rmsg/hilfsmittel-und-vorlagen/Vorlage%20Reglement%20Werterhalt%20Finanzverm%C3%B6gen.docx</t>
        </is>
      </c>
      <c r="E598" s="12" t="inlineStr">
        <is>
          <t>Vorlage Reglement Werterhalt Finanzvermögen neues Fenster</t>
        </is>
      </c>
      <c r="F598" s="12" t="inlineStr">
        <is>
          <t>ja</t>
        </is>
      </c>
      <c r="G598" s="12" t="inlineStr">
        <is>
          <t>https://www.sg.ch/politik-verwaltung/gemeinden/gemeindefinanzen/rechnungslegung--rmsg-.html</t>
        </is>
      </c>
      <c r="H598" s="12" t="inlineStr">
        <is>
          <t>Einstiegsseite</t>
        </is>
      </c>
      <c r="I598" s="12" t="inlineStr">
        <is>
          <t>Nein</t>
        </is>
      </c>
      <c r="J598" s="12" t="inlineStr">
        <is>
          <t>Ungeprüft – nicht kuratiert</t>
        </is>
      </c>
    </row>
    <row r="599">
      <c r="A599" s="12" t="inlineStr">
        <is>
          <t>Wil</t>
        </is>
      </c>
      <c r="B599" s="12" t="inlineStr">
        <is>
          <t>St. Gallen</t>
        </is>
      </c>
      <c r="C599" s="12" t="inlineStr">
        <is>
          <t>C3</t>
        </is>
      </c>
      <c r="D599" s="16" t="inlineStr">
        <is>
          <t>https://www.sg.ch/content/dam/sgch/politik-verwaltung/gemeinden/gemeindenfinanzen/rechnungslegung-rmsg/merkbl%C3%A4tter-und-weisungen/Merkblatt%20Beteiligungen.pdf</t>
        </is>
      </c>
      <c r="E599" s="12" t="inlineStr">
        <is>
          <t>Merkblatt Beteiligungen neues Fenster</t>
        </is>
      </c>
      <c r="F599" s="12" t="inlineStr">
        <is>
          <t>ja</t>
        </is>
      </c>
      <c r="G599" s="12" t="inlineStr">
        <is>
          <t>https://www.sg.ch/politik-verwaltung/gemeinden/gemeindefinanzen/rechnungslegung--rmsg-.html</t>
        </is>
      </c>
      <c r="H599" s="12" t="inlineStr">
        <is>
          <t>Einstiegsseite</t>
        </is>
      </c>
      <c r="I599" s="12" t="inlineStr">
        <is>
          <t>Nein</t>
        </is>
      </c>
      <c r="J599" s="12" t="inlineStr">
        <is>
          <t>Ungeprüft – nicht kuratiert</t>
        </is>
      </c>
    </row>
    <row r="600">
      <c r="A600" s="12" t="inlineStr">
        <is>
          <t>Wil</t>
        </is>
      </c>
      <c r="B600" s="12" t="inlineStr">
        <is>
          <t>St. Gallen</t>
        </is>
      </c>
      <c r="C600" s="12" t="inlineStr">
        <is>
          <t>C3</t>
        </is>
      </c>
      <c r="D600" s="16" t="inlineStr">
        <is>
          <t>https://www.sg.ch/kultur/denkmalpflege/Subventionen/beitragsgesuch.html</t>
        </is>
      </c>
      <c r="E600" s="12" t="inlineStr">
        <is>
          <t>kantonalen Denkmalpflege</t>
        </is>
      </c>
      <c r="F600" s="12" t="inlineStr">
        <is>
          <t>nein</t>
        </is>
      </c>
      <c r="G600" s="12" t="inlineStr">
        <is>
          <t>https://www.stadtwil.ch/topics/bauen-und-planen/private-bauprojekte/rechtsgrundlagen-bauen-und-planen/kommunale-schutzverordnung/beitragsreglement-fuer-kommunale-schutzobjekte</t>
        </is>
      </c>
      <c r="H600" s="12" t="inlineStr">
        <is>
          <t>Unterseite</t>
        </is>
      </c>
      <c r="I600" s="12" t="inlineStr">
        <is>
          <t>Nein</t>
        </is>
      </c>
      <c r="J600" s="12" t="inlineStr">
        <is>
          <t>Ungeprüft – nicht kuratiert</t>
        </is>
      </c>
    </row>
    <row r="601">
      <c r="A601" s="12" t="inlineStr">
        <is>
          <t>Wil</t>
        </is>
      </c>
      <c r="B601" s="12" t="inlineStr">
        <is>
          <t>St. Gallen</t>
        </is>
      </c>
      <c r="C601" s="12" t="inlineStr">
        <is>
          <t>C3</t>
        </is>
      </c>
      <c r="D601" s="16" t="inlineStr">
        <is>
          <t>https://www.sg.ch/news/sgch_allgemein/2025/11/ii--nachtrag-zur-verordnung-zum-gesetz-ueber-die-abgeltung-oekol.html</t>
        </is>
      </c>
      <c r="E601" s="12" t="inlineStr">
        <is>
          <t>abgelaufen 10.11.2025 10:00 II. Nachtrag zur Verordnung zum Gesetz über die Abgeltung ökologischer Leistungen Zur Umsetzung der am 17. Februar 2021 vom Kantonsrat gutgeheissenen Motion 42.20.19 «Neure</t>
        </is>
      </c>
      <c r="F601" s="12" t="inlineStr">
        <is>
          <t>nein</t>
        </is>
      </c>
      <c r="G601" s="12" t="inlineStr">
        <is>
          <t>https://www.sg.ch/politik-verwaltung/kantonale-vernehmlassungen.html</t>
        </is>
      </c>
      <c r="H601" s="12" t="inlineStr">
        <is>
          <t>Unterseite</t>
        </is>
      </c>
      <c r="I601" s="12" t="inlineStr">
        <is>
          <t>Nein</t>
        </is>
      </c>
      <c r="J601" s="12" t="inlineStr">
        <is>
          <t>Ungeprüft – nicht kuratiert</t>
        </is>
      </c>
    </row>
    <row r="602">
      <c r="A602" s="12" t="inlineStr">
        <is>
          <t>Wil</t>
        </is>
      </c>
      <c r="B602" s="12" t="inlineStr">
        <is>
          <t>St. Gallen</t>
        </is>
      </c>
      <c r="C602" s="12" t="inlineStr">
        <is>
          <t>C3</t>
        </is>
      </c>
      <c r="D602" s="16" t="inlineStr">
        <is>
          <t>https://www.sg.ch/news/sgch_allgemein/2026/09/ii--nachtrag-zur-verordnung-zum-gesetz-ueber-die-abgeltung-oekol.html</t>
        </is>
      </c>
      <c r="E602" s="12" t="inlineStr">
        <is>
          <t>24.09.2026 10:00 II. Nachtrag zur Verordnung zum Gesetz über die Abgeltung ökologischer Leistungen Die Regierung hat am 22. September 2026 den Entwurf eines II. Nachtrags zur Verordnung zum Gesetz übe</t>
        </is>
      </c>
      <c r="F602" s="12" t="inlineStr">
        <is>
          <t>nein</t>
        </is>
      </c>
      <c r="G602" s="12" t="inlineStr">
        <is>
          <t>https://www.sg.ch/politik-verwaltung/kantonale-vernehmlassungen.html</t>
        </is>
      </c>
      <c r="H602" s="12" t="inlineStr">
        <is>
          <t>Unterseite</t>
        </is>
      </c>
      <c r="I602" s="12" t="inlineStr">
        <is>
          <t>Nein</t>
        </is>
      </c>
      <c r="J602" s="12" t="inlineStr">
        <is>
          <t>Ungeprüft – nicht kuratiert</t>
        </is>
      </c>
    </row>
    <row r="603">
      <c r="A603" s="12" t="inlineStr">
        <is>
          <t>Wil</t>
        </is>
      </c>
      <c r="B603" s="12" t="inlineStr">
        <is>
          <t>St. Gallen</t>
        </is>
      </c>
      <c r="C603" s="12" t="inlineStr">
        <is>
          <t>C3</t>
        </is>
      </c>
      <c r="D603" s="16" t="inlineStr">
        <is>
          <t>https://www.sg.ch/news/sgch_allgemein/2026/10/verordnung-familien--und-schulergaenzende-kinderbetreuung.html</t>
        </is>
      </c>
      <c r="E603" s="12" t="inlineStr">
        <is>
          <t>05.10.2026 08:00 Verordnung über Beiträge für familien- und schulergänzende Kinderbetreuung Ab 1. August 2028 erhalten Familien mit dem neuen Kinderbetreuungsgesetz eine kantonsweit einheitliche Minde</t>
        </is>
      </c>
      <c r="F603" s="12" t="inlineStr">
        <is>
          <t>nein</t>
        </is>
      </c>
      <c r="G603" s="12" t="inlineStr">
        <is>
          <t>https://www.sg.ch/politik-verwaltung/kantonale-vernehmlassungen.html</t>
        </is>
      </c>
      <c r="H603" s="12" t="inlineStr">
        <is>
          <t>Unterseite</t>
        </is>
      </c>
      <c r="I603" s="12" t="inlineStr">
        <is>
          <t>Nein</t>
        </is>
      </c>
      <c r="J603" s="12" t="inlineStr">
        <is>
          <t>Ungeprüft – nicht kuratiert</t>
        </is>
      </c>
    </row>
    <row r="604">
      <c r="A604" s="12" t="inlineStr">
        <is>
          <t>Wil</t>
        </is>
      </c>
      <c r="B604" s="12" t="inlineStr">
        <is>
          <t>St. Gallen</t>
        </is>
      </c>
      <c r="C604" s="12" t="inlineStr">
        <is>
          <t>C3</t>
        </is>
      </c>
      <c r="D604" s="16" t="inlineStr">
        <is>
          <t>https://www.stadtwil.ch/auth/login?skip=0&amp;to=%2Ftopics%2Fbauen-und-planen%2Fprivate-bauprojekte%2Frechtsgrundlagen-bauen-und-planen%2Fbaureglement</t>
        </is>
      </c>
      <c r="E604" s="12" t="inlineStr">
        <is>
          <t>Anmelden</t>
        </is>
      </c>
      <c r="F604" s="12" t="inlineStr">
        <is>
          <t>nein</t>
        </is>
      </c>
      <c r="G604" s="12" t="inlineStr">
        <is>
          <t>https://www.stadtwil.ch/topics/bauen-und-planen/private-bauprojekte/rechtsgrundlagen-bauen-und-planen/baureglement</t>
        </is>
      </c>
      <c r="H604" s="12" t="inlineStr">
        <is>
          <t>Unterseite</t>
        </is>
      </c>
      <c r="I604" s="12" t="inlineStr">
        <is>
          <t>Nein</t>
        </is>
      </c>
      <c r="J604" s="12" t="inlineStr">
        <is>
          <t>Ungeprüft – nicht kuratiert</t>
        </is>
      </c>
    </row>
    <row r="605">
      <c r="A605" s="12" t="inlineStr">
        <is>
          <t>Wil</t>
        </is>
      </c>
      <c r="B605" s="12" t="inlineStr">
        <is>
          <t>St. Gallen</t>
        </is>
      </c>
      <c r="C605" s="12" t="inlineStr">
        <is>
          <t>C3</t>
        </is>
      </c>
      <c r="D605" s="16" t="inlineStr">
        <is>
          <t>https://www.stadtwil.ch/auth/login?skip=0&amp;to=%2Ftopics%2Fbauen-und-planen%2Fprivate-bauprojekte%2Frechtsgrundlagen-bauen-und-planen%2Fkommunale-schutzverordnung%2Fbeitragsreglement-fuer-kommunale-schutzobjekte</t>
        </is>
      </c>
      <c r="E605" s="12" t="inlineStr">
        <is>
          <t>Anmelden</t>
        </is>
      </c>
      <c r="F605" s="12" t="inlineStr">
        <is>
          <t>nein</t>
        </is>
      </c>
      <c r="G605" s="12" t="inlineStr">
        <is>
          <t>https://www.stadtwil.ch/topics/bauen-und-planen/private-bauprojekte/rechtsgrundlagen-bauen-und-planen/kommunale-schutzverordnung/beitragsreglement-fuer-kommunale-schutzobjekte</t>
        </is>
      </c>
      <c r="H605" s="12" t="inlineStr">
        <is>
          <t>Unterseite</t>
        </is>
      </c>
      <c r="I605" s="12" t="inlineStr">
        <is>
          <t>Nein</t>
        </is>
      </c>
      <c r="J605" s="12" t="inlineStr">
        <is>
          <t>Ungeprüft – nicht kuratiert</t>
        </is>
      </c>
    </row>
    <row r="606">
      <c r="A606" s="12" t="inlineStr">
        <is>
          <t>Wil</t>
        </is>
      </c>
      <c r="B606" s="12" t="inlineStr">
        <is>
          <t>St. Gallen</t>
        </is>
      </c>
      <c r="C606" s="12" t="inlineStr">
        <is>
          <t>C3</t>
        </is>
      </c>
      <c r="D606" s="16" t="inlineStr">
        <is>
          <t>https://www.stadtwil.ch/auth/login?skip=0&amp;to=%2Ftopics%2Fbauen-und-planen%2Fprivate-bauprojekte%2Frechtsgrundlagen-bauen-und-planen%2Fkommunale-schutzverordnung%2Fschutzinventar-der-bau-und-gartendenkmaeler</t>
        </is>
      </c>
      <c r="E606" s="12" t="inlineStr">
        <is>
          <t>Anmelden</t>
        </is>
      </c>
      <c r="F606" s="12" t="inlineStr">
        <is>
          <t>nein</t>
        </is>
      </c>
      <c r="G606" s="12" t="inlineStr">
        <is>
          <t>https://www.stadtwil.ch/topics/bauen-und-planen/private-bauprojekte/rechtsgrundlagen-bauen-und-planen/kommunale-schutzverordnung/schutzinventar-der-bau-und-gartendenkmaeler</t>
        </is>
      </c>
      <c r="H606" s="12" t="inlineStr">
        <is>
          <t>Unterseite</t>
        </is>
      </c>
      <c r="I606" s="12" t="inlineStr">
        <is>
          <t>Nein</t>
        </is>
      </c>
      <c r="J606" s="12" t="inlineStr">
        <is>
          <t>Ungeprüft – nicht kuratiert</t>
        </is>
      </c>
    </row>
    <row r="607">
      <c r="A607" s="12" t="inlineStr">
        <is>
          <t>Wil</t>
        </is>
      </c>
      <c r="B607" s="12" t="inlineStr">
        <is>
          <t>St. Gallen</t>
        </is>
      </c>
      <c r="C607" s="12" t="inlineStr">
        <is>
          <t>C3</t>
        </is>
      </c>
      <c r="D607" s="16" t="inlineStr">
        <is>
          <t>https://www.stadtwil.ch/auth/login?skip=0&amp;to=%2Ftopics%2Fpersoenliches%2Ftodesfall%2Ffriedhoefe%2Ffriedhof-und-bestattungsreglemente</t>
        </is>
      </c>
      <c r="E607" s="12" t="inlineStr">
        <is>
          <t>Anmelden</t>
        </is>
      </c>
      <c r="F607" s="12" t="inlineStr">
        <is>
          <t>nein</t>
        </is>
      </c>
      <c r="G607" s="12" t="inlineStr">
        <is>
          <t>https://www.stadtwil.ch/topics/persoenliches/todesfall/friedhoefe/friedhof-und-bestattungsreglemente</t>
        </is>
      </c>
      <c r="H607" s="12" t="inlineStr">
        <is>
          <t>Unterseite</t>
        </is>
      </c>
      <c r="I607" s="12" t="inlineStr">
        <is>
          <t>Nein</t>
        </is>
      </c>
      <c r="J607" s="12" t="inlineStr">
        <is>
          <t>Ungeprüft – nicht kuratiert</t>
        </is>
      </c>
    </row>
    <row r="608">
      <c r="A608" s="12" t="inlineStr">
        <is>
          <t>Wil</t>
        </is>
      </c>
      <c r="B608" s="12" t="inlineStr">
        <is>
          <t>St. Gallen</t>
        </is>
      </c>
      <c r="C608" s="12" t="inlineStr">
        <is>
          <t>C3</t>
        </is>
      </c>
      <c r="D608" s="16" t="inlineStr">
        <is>
          <t>https://www.stadtwil.ch/auth/login?skip=0&amp;to=%2Ftopics%2Fstadt-politik-und-recht%2Frechtssammlung-1</t>
        </is>
      </c>
      <c r="E608" s="12" t="inlineStr">
        <is>
          <t>Anmelden</t>
        </is>
      </c>
      <c r="F608" s="12" t="inlineStr">
        <is>
          <t>nein</t>
        </is>
      </c>
      <c r="G608" s="12" t="inlineStr">
        <is>
          <t>https://www.stadtwil.ch/topics/stadt-politik-und-recht/rechtssammlung-1</t>
        </is>
      </c>
      <c r="H608" s="12" t="inlineStr">
        <is>
          <t>Einstiegsseite</t>
        </is>
      </c>
      <c r="I608" s="12" t="inlineStr">
        <is>
          <t>Nein</t>
        </is>
      </c>
      <c r="J608" s="12" t="inlineStr">
        <is>
          <t>Ungeprüft – nicht kuratiert</t>
        </is>
      </c>
    </row>
    <row r="609">
      <c r="A609" s="12" t="inlineStr">
        <is>
          <t>Wil</t>
        </is>
      </c>
      <c r="B609" s="12" t="inlineStr">
        <is>
          <t>St. Gallen</t>
        </is>
      </c>
      <c r="C609" s="12" t="inlineStr">
        <is>
          <t>C3</t>
        </is>
      </c>
      <c r="D609" s="16" t="inlineStr">
        <is>
          <t>https://www.stadtwil.ch/topics/bauen-und-planen/private-bauprojekte/rechtsgrundlagen-bauen-und-planen/abwasserreglement</t>
        </is>
      </c>
      <c r="E609" s="12" t="inlineStr">
        <is>
          <t>Abwasserreglement</t>
        </is>
      </c>
      <c r="F609" s="12" t="inlineStr">
        <is>
          <t>nein</t>
        </is>
      </c>
      <c r="G609" s="12" t="inlineStr">
        <is>
          <t>https://www.stadtwil.ch/topics/stadt-politik-und-recht/finanzen</t>
        </is>
      </c>
      <c r="H609" s="12" t="inlineStr">
        <is>
          <t>Einstiegsseite</t>
        </is>
      </c>
      <c r="I609" s="12" t="inlineStr">
        <is>
          <t>Nein</t>
        </is>
      </c>
      <c r="J609" s="12" t="inlineStr">
        <is>
          <t>Ungeprüft – nicht kuratiert</t>
        </is>
      </c>
    </row>
    <row r="610">
      <c r="A610" s="12" t="inlineStr">
        <is>
          <t>Wil</t>
        </is>
      </c>
      <c r="B610" s="12" t="inlineStr">
        <is>
          <t>St. Gallen</t>
        </is>
      </c>
      <c r="C610" s="12" t="inlineStr">
        <is>
          <t>C3</t>
        </is>
      </c>
      <c r="D610" s="16" t="inlineStr">
        <is>
          <t>https://www.stadtwil.ch/topics/bauen-und-planen/private-bauprojekte/rechtsgrundlagen-bauen-und-planen/baureglement</t>
        </is>
      </c>
      <c r="E610" s="12" t="inlineStr">
        <is>
          <t>Baureglement</t>
        </is>
      </c>
      <c r="F610" s="12" t="inlineStr">
        <is>
          <t>nein</t>
        </is>
      </c>
      <c r="G610" s="12" t="inlineStr">
        <is>
          <t>https://www.stadtwil.ch/topics/stadt-politik-und-recht/finanzen</t>
        </is>
      </c>
      <c r="H610" s="12" t="inlineStr">
        <is>
          <t>Einstiegsseite</t>
        </is>
      </c>
      <c r="I610" s="12" t="inlineStr">
        <is>
          <t>Nein</t>
        </is>
      </c>
      <c r="J610" s="12" t="inlineStr">
        <is>
          <t>Ungeprüft – nicht kuratiert</t>
        </is>
      </c>
    </row>
    <row r="611">
      <c r="A611" s="12" t="inlineStr">
        <is>
          <t>Wil</t>
        </is>
      </c>
      <c r="B611" s="12" t="inlineStr">
        <is>
          <t>St. Gallen</t>
        </is>
      </c>
      <c r="C611" s="12" t="inlineStr">
        <is>
          <t>C3</t>
        </is>
      </c>
      <c r="D611" s="16" t="inlineStr">
        <is>
          <t>https://www.stadtwil.ch/topics/bauen-und-planen/private-bauprojekte/rechtsgrundlagen-bauen-und-planen/kommunale-schutzverordnung</t>
        </is>
      </c>
      <c r="E611" s="12" t="inlineStr">
        <is>
          <t>Kommunale Schutzverordnung</t>
        </is>
      </c>
      <c r="F611" s="12" t="inlineStr">
        <is>
          <t>nein</t>
        </is>
      </c>
      <c r="G611" s="12" t="inlineStr">
        <is>
          <t>https://www.stadtwil.ch/topics/bauen-und-planen/private-bauprojekte/rechtsgrundlagen-bauen-und-planen/kommunale-schutzverordnung/schutzinventar-der-bau-und-gartendenkmaeler</t>
        </is>
      </c>
      <c r="H611" s="12" t="inlineStr">
        <is>
          <t>Unterseite</t>
        </is>
      </c>
      <c r="I611" s="12" t="inlineStr">
        <is>
          <t>Nein</t>
        </is>
      </c>
      <c r="J611" s="12" t="inlineStr">
        <is>
          <t>Ungeprüft – nicht kuratiert</t>
        </is>
      </c>
    </row>
    <row r="612">
      <c r="A612" s="12" t="inlineStr">
        <is>
          <t>Wil</t>
        </is>
      </c>
      <c r="B612" s="12" t="inlineStr">
        <is>
          <t>St. Gallen</t>
        </is>
      </c>
      <c r="C612" s="12" t="inlineStr">
        <is>
          <t>C3</t>
        </is>
      </c>
      <c r="D612" s="16" t="inlineStr">
        <is>
          <t>https://www.stadtwil.ch/topics/bauen-und-planen/private-bauprojekte/rechtsgrundlagen-bauen-und-planen/kommunale-schutzverordnung/beitragsreglement-fuer-kommunale-schutzobjekte</t>
        </is>
      </c>
      <c r="E612" s="12" t="inlineStr">
        <is>
          <t>Beitragsreglement für kommunale Schutzobjekte</t>
        </is>
      </c>
      <c r="F612" s="12" t="inlineStr">
        <is>
          <t>nein</t>
        </is>
      </c>
      <c r="G612" s="12" t="inlineStr">
        <is>
          <t>https://www.stadtwil.ch/topics/stadt-politik-und-recht/finanzen</t>
        </is>
      </c>
      <c r="H612" s="12" t="inlineStr">
        <is>
          <t>Einstiegsseite</t>
        </is>
      </c>
      <c r="I612" s="12" t="inlineStr">
        <is>
          <t>Nein</t>
        </is>
      </c>
      <c r="J612" s="12" t="inlineStr">
        <is>
          <t>Ungeprüft – nicht kuratiert</t>
        </is>
      </c>
    </row>
    <row r="613">
      <c r="A613" s="12" t="inlineStr">
        <is>
          <t>Wil</t>
        </is>
      </c>
      <c r="B613" s="12" t="inlineStr">
        <is>
          <t>St. Gallen</t>
        </is>
      </c>
      <c r="C613" s="12" t="inlineStr">
        <is>
          <t>C3</t>
        </is>
      </c>
      <c r="D613" s="16" t="inlineStr">
        <is>
          <t>https://www.stadtwil.ch/topics/bauen-und-planen/private-bauprojekte/rechtsgrundlagen-bauen-und-planen/kommunale-schutzverordnung/schutzinventar-der-bau-und-gartendenkmaeler</t>
        </is>
      </c>
      <c r="E613" s="12" t="inlineStr">
        <is>
          <t>Schutzinventar der Bau- und Gartendenkmäler</t>
        </is>
      </c>
      <c r="F613" s="12" t="inlineStr">
        <is>
          <t>nein</t>
        </is>
      </c>
      <c r="G613" s="12" t="inlineStr">
        <is>
          <t>https://www.stadtwil.ch/topics/stadt-politik-und-recht/finanzen</t>
        </is>
      </c>
      <c r="H613" s="12" t="inlineStr">
        <is>
          <t>Einstiegsseite</t>
        </is>
      </c>
      <c r="I613" s="12" t="inlineStr">
        <is>
          <t>Nein</t>
        </is>
      </c>
      <c r="J613" s="12" t="inlineStr">
        <is>
          <t>Ungeprüft – nicht kuratiert</t>
        </is>
      </c>
    </row>
    <row r="614">
      <c r="A614" s="12" t="inlineStr">
        <is>
          <t>Wil</t>
        </is>
      </c>
      <c r="B614" s="12" t="inlineStr">
        <is>
          <t>St. Gallen</t>
        </is>
      </c>
      <c r="C614" s="12" t="inlineStr">
        <is>
          <t>C3</t>
        </is>
      </c>
      <c r="D614" s="16" t="inlineStr">
        <is>
          <t>https://www.stadtwil.ch/topics/persoenliches/todesfall/friedhoefe/friedhof-und-bestattungsreglemente</t>
        </is>
      </c>
      <c r="E614" s="12" t="inlineStr">
        <is>
          <t>Rechtliche Grundlagen / Tarife / Gesuche</t>
        </is>
      </c>
      <c r="F614" s="12" t="inlineStr">
        <is>
          <t>nein</t>
        </is>
      </c>
      <c r="G614" s="12" t="inlineStr">
        <is>
          <t>https://www.stadtwil.ch/topics/stadt-politik-und-recht/finanzen</t>
        </is>
      </c>
      <c r="H614" s="12" t="inlineStr">
        <is>
          <t>Einstiegsseite</t>
        </is>
      </c>
      <c r="I614" s="12" t="inlineStr">
        <is>
          <t>Nein</t>
        </is>
      </c>
      <c r="J614" s="12" t="inlineStr">
        <is>
          <t>Ungeprüft – nicht kuratiert</t>
        </is>
      </c>
    </row>
    <row r="615">
      <c r="A615" s="12" t="inlineStr">
        <is>
          <t>Wil</t>
        </is>
      </c>
      <c r="B615" s="12" t="inlineStr">
        <is>
          <t>St. Gallen</t>
        </is>
      </c>
      <c r="C615" s="12" t="inlineStr">
        <is>
          <t>C3</t>
        </is>
      </c>
      <c r="D615" s="16" t="inlineStr">
        <is>
          <t>https://www.stadtwil.ch/topics/stadt-politik-und-recht/kommissionen-und-delegationen/regionale-und-wirtschaftliche-organisationen/regio-wil</t>
        </is>
      </c>
      <c r="E615" s="12" t="inlineStr">
        <is>
          <t>Regio Wil</t>
        </is>
      </c>
      <c r="F615" s="12" t="inlineStr">
        <is>
          <t>nein</t>
        </is>
      </c>
      <c r="G615" s="12" t="inlineStr">
        <is>
          <t>https://www.stadtwil.ch/topics/stadt-politik-und-recht/finanzen</t>
        </is>
      </c>
      <c r="H615" s="12" t="inlineStr">
        <is>
          <t>Einstiegsseite</t>
        </is>
      </c>
      <c r="I615" s="12" t="inlineStr">
        <is>
          <t>Nein</t>
        </is>
      </c>
      <c r="J615" s="12" t="inlineStr">
        <is>
          <t>Ungeprüft – nicht kuratiert</t>
        </is>
      </c>
    </row>
    <row r="616">
      <c r="A616" s="12" t="inlineStr">
        <is>
          <t>Wil</t>
        </is>
      </c>
      <c r="B616" s="12" t="inlineStr">
        <is>
          <t>St. Gallen</t>
        </is>
      </c>
      <c r="C616" s="12" t="inlineStr">
        <is>
          <t>C3</t>
        </is>
      </c>
      <c r="D616" s="16" t="inlineStr">
        <is>
          <t>https://www.stadtwil.ch/topics/stadt-politik-und-recht/kommissionen-und-delegationen/regionale-und-wirtschaftliche-organisationen/regio-wil-fachgruppe-mobilitaet-miv-ov-langsamverkehr</t>
        </is>
      </c>
      <c r="E616" s="12" t="inlineStr">
        <is>
          <t>Regio Wil: Fachgruppe Mobilität (MIV, ÖV, Langsamverkehr)</t>
        </is>
      </c>
      <c r="F616" s="12" t="inlineStr">
        <is>
          <t>nein</t>
        </is>
      </c>
      <c r="G616" s="12" t="inlineStr">
        <is>
          <t>https://www.stadtwil.ch/topics/stadt-politik-und-recht/finanzen</t>
        </is>
      </c>
      <c r="H616" s="12" t="inlineStr">
        <is>
          <t>Einstiegsseite</t>
        </is>
      </c>
      <c r="I616" s="12" t="inlineStr">
        <is>
          <t>Nein</t>
        </is>
      </c>
      <c r="J616" s="12" t="inlineStr">
        <is>
          <t>Ungeprüft – nicht kuratiert</t>
        </is>
      </c>
    </row>
    <row r="617">
      <c r="A617" s="12" t="inlineStr">
        <is>
          <t>Wil</t>
        </is>
      </c>
      <c r="B617" s="12" t="inlineStr">
        <is>
          <t>St. Gallen</t>
        </is>
      </c>
      <c r="C617" s="12" t="inlineStr">
        <is>
          <t>C3</t>
        </is>
      </c>
      <c r="D617" s="16" t="inlineStr">
        <is>
          <t>https://www.stadtwil.ch/topics/stadt-politik-und-recht/kommissionen-und-delegationen/regionale-und-wirtschaftliche-organisationen/regio-wil-fachgruppe-siedlung-landschaft-und-umwelt</t>
        </is>
      </c>
      <c r="E617" s="12" t="inlineStr">
        <is>
          <t>Regio Wil: Fachgruppe Siedlung, Landschaft und Umwelt</t>
        </is>
      </c>
      <c r="F617" s="12" t="inlineStr">
        <is>
          <t>nein</t>
        </is>
      </c>
      <c r="G617" s="12" t="inlineStr">
        <is>
          <t>https://www.stadtwil.ch/topics/stadt-politik-und-recht/finanzen</t>
        </is>
      </c>
      <c r="H617" s="12" t="inlineStr">
        <is>
          <t>Einstiegsseite</t>
        </is>
      </c>
      <c r="I617" s="12" t="inlineStr">
        <is>
          <t>Nein</t>
        </is>
      </c>
      <c r="J617" s="12" t="inlineStr">
        <is>
          <t>Ungeprüft – nicht kuratiert</t>
        </is>
      </c>
    </row>
    <row r="618">
      <c r="A618" s="12" t="inlineStr">
        <is>
          <t>Wil</t>
        </is>
      </c>
      <c r="B618" s="12" t="inlineStr">
        <is>
          <t>St. Gallen</t>
        </is>
      </c>
      <c r="C618" s="12" t="inlineStr">
        <is>
          <t>C3</t>
        </is>
      </c>
      <c r="D618" s="16" t="inlineStr">
        <is>
          <t>https://www.stadtwil.ch/topics/stadt-politik-und-recht/kommissionen-und-delegationen/zweckverbaende/zweckverband-abfallverwertung-bazenheid-zab</t>
        </is>
      </c>
      <c r="E618" s="12" t="inlineStr">
        <is>
          <t>Zweckverband Abfallverwertung Bazenheid (ZAB)</t>
        </is>
      </c>
      <c r="F618" s="12" t="inlineStr">
        <is>
          <t>nein</t>
        </is>
      </c>
      <c r="G618" s="12" t="inlineStr">
        <is>
          <t>https://www.stadtwil.ch/topics/stadt-politik-und-recht/finanzen</t>
        </is>
      </c>
      <c r="H618" s="12" t="inlineStr">
        <is>
          <t>Einstiegsseite</t>
        </is>
      </c>
      <c r="I618" s="12" t="inlineStr">
        <is>
          <t>Nein</t>
        </is>
      </c>
      <c r="J618" s="12" t="inlineStr">
        <is>
          <t>Ungeprüft – nicht kuratiert</t>
        </is>
      </c>
    </row>
    <row r="619">
      <c r="A619" s="12" t="inlineStr">
        <is>
          <t>Wil</t>
        </is>
      </c>
      <c r="B619" s="12" t="inlineStr">
        <is>
          <t>St. Gallen</t>
        </is>
      </c>
      <c r="C619" s="12" t="inlineStr">
        <is>
          <t>C3</t>
        </is>
      </c>
      <c r="D619" s="16" t="inlineStr">
        <is>
          <t>https://www.stadtwil.ch/topics/stadt-politik-und-recht/kommissionen-und-delegationen/zweckverbaende/zweckverband-regionalwasserversorgung-mittelthurgau-sued</t>
        </is>
      </c>
      <c r="E619" s="12" t="inlineStr">
        <is>
          <t>Zweckverband Regionalwasserversorgung Mittelthurgau-Süd</t>
        </is>
      </c>
      <c r="F619" s="12" t="inlineStr">
        <is>
          <t>nein</t>
        </is>
      </c>
      <c r="G619" s="12" t="inlineStr">
        <is>
          <t>https://www.stadtwil.ch/topics/stadt-politik-und-recht/finanzen</t>
        </is>
      </c>
      <c r="H619" s="12" t="inlineStr">
        <is>
          <t>Einstiegsseite</t>
        </is>
      </c>
      <c r="I619" s="12" t="inlineStr">
        <is>
          <t>Nein</t>
        </is>
      </c>
      <c r="J619" s="12" t="inlineStr">
        <is>
          <t>Ungeprüft – nicht kuratiert</t>
        </is>
      </c>
    </row>
    <row r="620">
      <c r="A620" s="12" t="inlineStr">
        <is>
          <t>Wil</t>
        </is>
      </c>
      <c r="B620" s="12" t="inlineStr">
        <is>
          <t>St. Gallen</t>
        </is>
      </c>
      <c r="C620" s="12" t="inlineStr">
        <is>
          <t>C3</t>
        </is>
      </c>
      <c r="D620" s="16" t="inlineStr">
        <is>
          <t>https://www.stadtwil.ch/topics/stadt-politik-und-recht/kommissionen-und-delegationen/zweckverbaende/zweckverband-sicherheitsverbund-region-wil</t>
        </is>
      </c>
      <c r="E620" s="12" t="inlineStr">
        <is>
          <t>Zweckverband Sicherheitsverbund Region Wil</t>
        </is>
      </c>
      <c r="F620" s="12" t="inlineStr">
        <is>
          <t>nein</t>
        </is>
      </c>
      <c r="G620" s="12" t="inlineStr">
        <is>
          <t>https://www.stadtwil.ch/topics/stadt-politik-und-recht/finanzen</t>
        </is>
      </c>
      <c r="H620" s="12" t="inlineStr">
        <is>
          <t>Einstiegsseite</t>
        </is>
      </c>
      <c r="I620" s="12" t="inlineStr">
        <is>
          <t>Nein</t>
        </is>
      </c>
      <c r="J620" s="12" t="inlineStr">
        <is>
          <t>Ungeprüft – nicht kuratiert</t>
        </is>
      </c>
    </row>
    <row r="621">
      <c r="A621" s="12" t="inlineStr">
        <is>
          <t>Wil</t>
        </is>
      </c>
      <c r="B621" s="12" t="inlineStr">
        <is>
          <t>St. Gallen</t>
        </is>
      </c>
      <c r="C621" s="12" t="inlineStr">
        <is>
          <t>C3</t>
        </is>
      </c>
      <c r="D621" s="16" t="inlineStr">
        <is>
          <t>https://www.stadtwil.ch/topics/stadt-politik-und-recht/rechtssammlung-1</t>
        </is>
      </c>
      <c r="E621" s="12" t="inlineStr">
        <is>
          <t>Rechtssammlung</t>
        </is>
      </c>
      <c r="F621" s="12" t="inlineStr">
        <is>
          <t>nein</t>
        </is>
      </c>
      <c r="G621" s="12" t="inlineStr">
        <is>
          <t>https://www.stadtwil.ch/topics/stadt-politik-und-recht/finanzen</t>
        </is>
      </c>
      <c r="H621" s="12" t="inlineStr">
        <is>
          <t>Einstiegsseite</t>
        </is>
      </c>
      <c r="I621" s="12" t="inlineStr">
        <is>
          <t>Ja</t>
        </is>
      </c>
      <c r="J621" s="12" t="inlineStr">
        <is>
          <t>Ungeprüft – nicht kuratiert</t>
        </is>
      </c>
    </row>
    <row r="622">
      <c r="A622" s="12" t="inlineStr">
        <is>
          <t>Wil</t>
        </is>
      </c>
      <c r="B622" s="12" t="inlineStr">
        <is>
          <t>St. Gallen</t>
        </is>
      </c>
      <c r="C622" s="12" t="inlineStr">
        <is>
          <t>C3</t>
        </is>
      </c>
      <c r="D622" s="16" t="inlineStr">
        <is>
          <t>https://www.stadtwil.ch/topics/umwelt-und-energie/immissionsschutz/erteilte-ausnahmebewilligungen-gemaess-immissionsschutzreglement</t>
        </is>
      </c>
      <c r="E622" s="12" t="inlineStr">
        <is>
          <t>Erteilte Ausnahmebewilligungen gemäss Immissionsschutzreglement</t>
        </is>
      </c>
      <c r="F622" s="12" t="inlineStr">
        <is>
          <t>nein</t>
        </is>
      </c>
      <c r="G622" s="12" t="inlineStr">
        <is>
          <t>https://www.stadtwil.ch/topics/stadt-politik-und-recht/finanzen</t>
        </is>
      </c>
      <c r="H622" s="12" t="inlineStr">
        <is>
          <t>Einstiegsseite</t>
        </is>
      </c>
      <c r="I622" s="12" t="inlineStr">
        <is>
          <t>Nein</t>
        </is>
      </c>
      <c r="J622" s="12" t="inlineStr">
        <is>
          <t>Ungeprüft – nicht kuratiert</t>
        </is>
      </c>
    </row>
    <row r="623">
      <c r="A623" s="12" t="inlineStr">
        <is>
          <t>Wil</t>
        </is>
      </c>
      <c r="B623" s="12" t="inlineStr">
        <is>
          <t>St. Gallen</t>
        </is>
      </c>
      <c r="C623" s="12" t="inlineStr">
        <is>
          <t>C3</t>
        </is>
      </c>
      <c r="D623" s="16" t="inlineStr">
        <is>
          <t>https://www.stadtwil.ch/topics/wohnen/kanalisation-siedlungsentwaesserung/gebuehren-und-gebaeudebeitrag</t>
        </is>
      </c>
      <c r="E623" s="12" t="inlineStr">
        <is>
          <t>Gebühren, Gebäudebeitrag, Normen und Reglemente</t>
        </is>
      </c>
      <c r="F623" s="12" t="inlineStr">
        <is>
          <t>nein</t>
        </is>
      </c>
      <c r="G623" s="12" t="inlineStr">
        <is>
          <t>https://www.stadtwil.ch/topics/stadt-politik-und-recht/finanzen</t>
        </is>
      </c>
      <c r="H623" s="12" t="inlineStr">
        <is>
          <t>Einstiegsseite</t>
        </is>
      </c>
      <c r="I623" s="12" t="inlineStr">
        <is>
          <t>Nein</t>
        </is>
      </c>
      <c r="J623" s="12" t="inlineStr">
        <is>
          <t>Ungeprüft – nicht kuratiert</t>
        </is>
      </c>
    </row>
    <row r="624">
      <c r="A624" s="12" t="inlineStr">
        <is>
          <t>Wil</t>
        </is>
      </c>
      <c r="B624" s="12" t="inlineStr">
        <is>
          <t>St. Gallen</t>
        </is>
      </c>
      <c r="C624" s="12" t="inlineStr">
        <is>
          <t>C3,C5</t>
        </is>
      </c>
      <c r="D624" s="16" t="inlineStr">
        <is>
          <t>https://www.sg.ch/news/sgch_aussenbeziehungen/2026/09/aenderung-der-verordnung-ueber-die-schweizerische-nationalbiblio.html</t>
        </is>
      </c>
      <c r="E624" s="12" t="inlineStr">
        <is>
          <t xml:space="preserve">10.09.2026 11:43 Änderung der Verordnung über die Schweizerische Nationalbibliothek Mit Schreiben vom 10. September 2026 antwortet die Regierung des Kantons St.Gallen auf die Vernehmlassungseinladung </t>
        </is>
      </c>
      <c r="F624" s="12" t="inlineStr">
        <is>
          <t>nein</t>
        </is>
      </c>
      <c r="G624" s="12" t="inlineStr">
        <is>
          <t>https://www.sg.ch/politik-verwaltung/eidgenoessische-vernehmlassungen.html</t>
        </is>
      </c>
      <c r="H624" s="12" t="inlineStr">
        <is>
          <t>Unterseite</t>
        </is>
      </c>
      <c r="I624" s="12" t="inlineStr">
        <is>
          <t>Nein</t>
        </is>
      </c>
      <c r="J624" s="12" t="inlineStr">
        <is>
          <t>Ungeprüft – nicht kuratiert</t>
        </is>
      </c>
    </row>
    <row r="625">
      <c r="A625" s="12" t="inlineStr">
        <is>
          <t>Wil</t>
        </is>
      </c>
      <c r="B625" s="12" t="inlineStr">
        <is>
          <t>St. Gallen</t>
        </is>
      </c>
      <c r="C625" s="12" t="inlineStr">
        <is>
          <t>C3,C5</t>
        </is>
      </c>
      <c r="D625" s="16" t="inlineStr">
        <is>
          <t>https://www.sg.ch/news/sgch_aussenbeziehungen/2026/09/aenderung-der-verordnungen-ueber-die-verrechnungssteuer--ueber-d.html</t>
        </is>
      </c>
      <c r="E625" s="12" t="inlineStr">
        <is>
          <t>24.09.2026 11:08 Änderung der Verordnungen über die Verrechnungssteuer, über die Stempelabgaben, über die Steuerentlastungen schweizerischer Dividenden aus wesentlichen Beteiligungen ausländischer Ges</t>
        </is>
      </c>
      <c r="F625" s="12" t="inlineStr">
        <is>
          <t>nein</t>
        </is>
      </c>
      <c r="G625" s="12" t="inlineStr">
        <is>
          <t>https://www.sg.ch/politik-verwaltung/eidgenoessische-vernehmlassungen.html</t>
        </is>
      </c>
      <c r="H625" s="12" t="inlineStr">
        <is>
          <t>Unterseite</t>
        </is>
      </c>
      <c r="I625" s="12" t="inlineStr">
        <is>
          <t>Nein</t>
        </is>
      </c>
      <c r="J625" s="12" t="inlineStr">
        <is>
          <t>Ungeprüft – nicht kuratiert</t>
        </is>
      </c>
    </row>
    <row r="626">
      <c r="A626" s="12" t="inlineStr">
        <is>
          <t>Wil</t>
        </is>
      </c>
      <c r="B626" s="12" t="inlineStr">
        <is>
          <t>St. Gallen</t>
        </is>
      </c>
      <c r="C626" s="12" t="inlineStr">
        <is>
          <t>C3,C5</t>
        </is>
      </c>
      <c r="D626" s="16" t="inlineStr">
        <is>
          <t>https://www.sg.ch/news/sgch_aussenbeziehungen/2026/09/aenderung-der-waffenverordnung.html</t>
        </is>
      </c>
      <c r="E626" s="12" t="inlineStr">
        <is>
          <t>24.09.2026 12:21 Änderung der Waffenverordnung Mit Schreiben vom 24. September 2026 antwortet die Regierung des Kantons St.Gallen auf die Vernehmlassungseinladung des Eidgenössischen Justiz- und...</t>
        </is>
      </c>
      <c r="F626" s="12" t="inlineStr">
        <is>
          <t>nein</t>
        </is>
      </c>
      <c r="G626" s="12" t="inlineStr">
        <is>
          <t>https://www.sg.ch/politik-verwaltung/eidgenoessische-vernehmlassungen.html</t>
        </is>
      </c>
      <c r="H626" s="12" t="inlineStr">
        <is>
          <t>Unterseite</t>
        </is>
      </c>
      <c r="I626" s="12" t="inlineStr">
        <is>
          <t>Nein</t>
        </is>
      </c>
      <c r="J626" s="12" t="inlineStr">
        <is>
          <t>Ungeprüft – nicht kuratiert</t>
        </is>
      </c>
    </row>
    <row r="627">
      <c r="A627" s="12" t="inlineStr">
        <is>
          <t>Wil</t>
        </is>
      </c>
      <c r="B627" s="12" t="inlineStr">
        <is>
          <t>St. Gallen</t>
        </is>
      </c>
      <c r="C627" s="12" t="inlineStr">
        <is>
          <t>C3,C5</t>
        </is>
      </c>
      <c r="D627" s="16" t="inlineStr">
        <is>
          <t>https://www.sg.ch/news/sgch_aussenbeziehungen/2026/09/revision-der-verordnung-ueber-die-gebuehren-im-zivilstandswesen.html</t>
        </is>
      </c>
      <c r="E627" s="12" t="inlineStr">
        <is>
          <t>22.09.2026 11:54 Revision der Verordnung über die Gebühren im Zivilstandswesen Mit Schreiben vom 22. September 2026 antwortet die Regierung des Kantons St.Gallen auf die Vernehmlassungseinladung des E</t>
        </is>
      </c>
      <c r="F627" s="12" t="inlineStr">
        <is>
          <t>nein</t>
        </is>
      </c>
      <c r="G627" s="12" t="inlineStr">
        <is>
          <t>https://www.sg.ch/politik-verwaltung/eidgenoessische-vernehmlassungen.html</t>
        </is>
      </c>
      <c r="H627" s="12" t="inlineStr">
        <is>
          <t>Unterseite</t>
        </is>
      </c>
      <c r="I627" s="12" t="inlineStr">
        <is>
          <t>Nein</t>
        </is>
      </c>
      <c r="J627" s="12" t="inlineStr">
        <is>
          <t>Ungeprüft – nicht kuratiert</t>
        </is>
      </c>
    </row>
    <row r="628">
      <c r="A628" s="12" t="inlineStr">
        <is>
          <t>Wil</t>
        </is>
      </c>
      <c r="B628" s="12" t="inlineStr">
        <is>
          <t>St. Gallen</t>
        </is>
      </c>
      <c r="C628" s="12" t="inlineStr">
        <is>
          <t>C3,C5</t>
        </is>
      </c>
      <c r="D628" s="16" t="inlineStr">
        <is>
          <t>https://www.stadtwil.ch/directories/rechtssammlung/323-1-reglement-ueber-das-jugendparlament</t>
        </is>
      </c>
      <c r="E628" s="12" t="inlineStr">
        <is>
          <t>Reglement über das Jugendparlament</t>
        </is>
      </c>
      <c r="F628" s="12" t="inlineStr">
        <is>
          <t>nein</t>
        </is>
      </c>
      <c r="G628" s="12" t="inlineStr">
        <is>
          <t>https://www.stadtwil.ch/topics/kinder-jugendliche-und-familie/jugendliche/jugendparlament</t>
        </is>
      </c>
      <c r="H628" s="12" t="inlineStr">
        <is>
          <t>Unterseite</t>
        </is>
      </c>
      <c r="I628" s="12" t="inlineStr">
        <is>
          <t>Nein</t>
        </is>
      </c>
      <c r="J628" s="12" t="inlineStr">
        <is>
          <t>Ungeprüft – nicht kuratiert</t>
        </is>
      </c>
    </row>
    <row r="629">
      <c r="A629" s="12" t="inlineStr">
        <is>
          <t>Wil</t>
        </is>
      </c>
      <c r="B629" s="12" t="inlineStr">
        <is>
          <t>St. Gallen</t>
        </is>
      </c>
      <c r="C629" s="12" t="inlineStr">
        <is>
          <t>C3,C5</t>
        </is>
      </c>
      <c r="D629" s="16" t="inlineStr">
        <is>
          <t>https://www.stadtwil.ch/topics/stadt-politik-und-recht/abstimmungen-und-wahlen/vergangene-abstimmungen/2024-vergangene-abstimmungen-und-wahlen/22-09-2024-eidgenoessische-und-kommunale-abstimmungen-sowie-kommunale-erneuerungswahlen/anderung-vom-17-maerz-2023-des-bundesgesetzes-ueber-die-berufliche-alters-hinterlassenen-und-invalidenvorsorge-bvg-reform-der-beruflichen-vorsorge</t>
        </is>
      </c>
      <c r="E629" s="12" t="inlineStr">
        <is>
          <t>Änderung vom 17. März 2023 des Bundesgesetzes über die berufliche Alters-, Hinterlassenen- und Invalidenvorsorge (BVG) (Reform der beruflichen Vorsorge)</t>
        </is>
      </c>
      <c r="F629" s="12" t="inlineStr">
        <is>
          <t>nein</t>
        </is>
      </c>
      <c r="G629" s="12" t="inlineStr">
        <is>
          <t>https://www.stadtwil.ch/topics/stadt-politik-und-recht/finanzen</t>
        </is>
      </c>
      <c r="H629" s="12" t="inlineStr">
        <is>
          <t>Einstiegsseite</t>
        </is>
      </c>
      <c r="I629" s="12" t="inlineStr">
        <is>
          <t>Nein</t>
        </is>
      </c>
      <c r="J629" s="12" t="inlineStr">
        <is>
          <t>Ungeprüft – nicht kuratiert</t>
        </is>
      </c>
    </row>
    <row r="630">
      <c r="A630" s="12" t="inlineStr">
        <is>
          <t>Wil</t>
        </is>
      </c>
      <c r="B630" s="12" t="inlineStr">
        <is>
          <t>St. Gallen</t>
        </is>
      </c>
      <c r="C630" s="12" t="inlineStr">
        <is>
          <t>C3,C5</t>
        </is>
      </c>
      <c r="D630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nachtrag-iv-zur-gemeindeordnung</t>
        </is>
      </c>
      <c r="E630" s="12" t="inlineStr">
        <is>
          <t>Nachtrag IV zur Gemeindeordnung</t>
        </is>
      </c>
      <c r="F630" s="12" t="inlineStr">
        <is>
          <t>nein</t>
        </is>
      </c>
      <c r="G630" s="12" t="inlineStr">
        <is>
          <t>https://www.stadtwil.ch/topics/stadt-politik-und-recht/finanzen</t>
        </is>
      </c>
      <c r="H630" s="12" t="inlineStr">
        <is>
          <t>Einstiegsseite</t>
        </is>
      </c>
      <c r="I630" s="12" t="inlineStr">
        <is>
          <t>Ja</t>
        </is>
      </c>
      <c r="J630" s="12" t="inlineStr">
        <is>
          <t>Ungeprüft – nicht kuratiert</t>
        </is>
      </c>
    </row>
    <row r="631">
      <c r="A631" s="12" t="inlineStr">
        <is>
          <t>Wil</t>
        </is>
      </c>
      <c r="B631" s="12" t="inlineStr">
        <is>
          <t>St. Gallen</t>
        </is>
      </c>
      <c r="C631" s="12" t="inlineStr">
        <is>
          <t>C3,C5</t>
        </is>
      </c>
      <c r="D631" s="16" t="inlineStr">
        <is>
          <t>https://www.stadtwil.ch/topics/stadt-politik-und-recht/abstimmungen-und-wahlen/vergangene-abstimmungen/2026-vergangene-abstimmungen-und-wahlen/08-03-2026-eidgenoessisches-blankodatum/kantonale-abstimmungen/kantonsratsbeschluss-ueber-den-bau-der-kantonsstrasse-zum-see-inklusive-kostenbeteiligung-am-anschluss-witen-mit-zubringer</t>
        </is>
      </c>
      <c r="E631" s="12" t="inlineStr">
        <is>
          <t>Kantonsratsbeschluss über den Bau der «Kantonsstrasse zum See» inklusive Kostenbeteiligung am Anschluss Witen mit Zubringer</t>
        </is>
      </c>
      <c r="F631" s="12" t="inlineStr">
        <is>
          <t>nein</t>
        </is>
      </c>
      <c r="G631" s="12" t="inlineStr">
        <is>
          <t>https://www.stadtwil.ch/topics/stadt-politik-und-recht/finanzen</t>
        </is>
      </c>
      <c r="H631" s="12" t="inlineStr">
        <is>
          <t>Einstiegsseite</t>
        </is>
      </c>
      <c r="I631" s="12" t="inlineStr">
        <is>
          <t>Nein</t>
        </is>
      </c>
      <c r="J631" s="12" t="inlineStr">
        <is>
          <t>Ungeprüft – nicht kuratiert</t>
        </is>
      </c>
    </row>
    <row r="632">
      <c r="A632" s="12" t="inlineStr">
        <is>
          <t>Wil</t>
        </is>
      </c>
      <c r="B632" s="12" t="inlineStr">
        <is>
          <t>St. Gallen</t>
        </is>
      </c>
      <c r="C632" s="12" t="inlineStr">
        <is>
          <t>C3,C5</t>
        </is>
      </c>
      <c r="D632" s="16" t="inlineStr">
        <is>
          <t>https://www.stadtwil.ch/topics/stadt-politik-und-recht/abstimmungen-und-wahlen/vorlagen/eidgenoessische-vorlagen/02-09-2024-anderung-vom-17-maerz-2023-des-bundesgesetzes-ueber-die-berufliche-alters-hinterlassenen-und-invalidenvorsorge-bvg-reform-der-beruflichen-vorsorge</t>
        </is>
      </c>
      <c r="E632" s="12" t="inlineStr">
        <is>
          <t>02.09.2024 - Änderung vom 17. März 2023 des Bundesgesetzes über die berufliche Alters-, Hinterlassenen- und Invalidenvorsorge (BVG) (Reform der beruflichen Vorsorge)</t>
        </is>
      </c>
      <c r="F632" s="12" t="inlineStr">
        <is>
          <t>nein</t>
        </is>
      </c>
      <c r="G632" s="12" t="inlineStr">
        <is>
          <t>https://www.stadtwil.ch/topics/stadt-politik-und-recht/finanzen</t>
        </is>
      </c>
      <c r="H632" s="12" t="inlineStr">
        <is>
          <t>Einstiegsseite</t>
        </is>
      </c>
      <c r="I632" s="12" t="inlineStr">
        <is>
          <t>Nein</t>
        </is>
      </c>
      <c r="J632" s="12" t="inlineStr">
        <is>
          <t>Ungeprüft – nicht kuratiert</t>
        </is>
      </c>
    </row>
    <row r="633">
      <c r="A633" s="12" t="inlineStr">
        <is>
          <t>Wil</t>
        </is>
      </c>
      <c r="B633" s="12" t="inlineStr">
        <is>
          <t>St. Gallen</t>
        </is>
      </c>
      <c r="C633" s="12" t="inlineStr">
        <is>
          <t>C3,C5</t>
        </is>
      </c>
      <c r="D633" s="16" t="inlineStr">
        <is>
          <t>https://www.stadtwil.ch/topics/stadt-politik-und-recht/abstimmungen-und-wahlen/vorlagen/kommunale-vorlagen/22-11-2024-nachtrag-iv-zur-gemeindeordnung</t>
        </is>
      </c>
      <c r="E633" s="12" t="inlineStr">
        <is>
          <t>22.11.2024 - Nachtrag IV zur Gemeindeordnung</t>
        </is>
      </c>
      <c r="F633" s="12" t="inlineStr">
        <is>
          <t>nein</t>
        </is>
      </c>
      <c r="G633" s="12" t="inlineStr">
        <is>
          <t>https://www.stadtwil.ch/topics/stadt-politik-und-recht/finanzen</t>
        </is>
      </c>
      <c r="H633" s="12" t="inlineStr">
        <is>
          <t>Einstiegsseite</t>
        </is>
      </c>
      <c r="I633" s="12" t="inlineStr">
        <is>
          <t>Nein</t>
        </is>
      </c>
      <c r="J633" s="12" t="inlineStr">
        <is>
          <t>Ungeprüft – nicht kuratiert</t>
        </is>
      </c>
    </row>
    <row r="634">
      <c r="A634" s="12" t="inlineStr">
        <is>
          <t>Wil</t>
        </is>
      </c>
      <c r="B634" s="12" t="inlineStr">
        <is>
          <t>St. Gallen</t>
        </is>
      </c>
      <c r="C634" s="12" t="inlineStr">
        <is>
          <t>C4</t>
        </is>
      </c>
      <c r="D634" s="16" t="inlineStr">
        <is>
          <t>https://www.stadtwil.ch/auth/login?skip=0&amp;to=%2Ftopics%2Fstadt-politik-und-recht%2Fgeschaeftsberichte</t>
        </is>
      </c>
      <c r="E634" s="12" t="inlineStr">
        <is>
          <t>Anmelden</t>
        </is>
      </c>
      <c r="F634" s="12" t="inlineStr">
        <is>
          <t>nein</t>
        </is>
      </c>
      <c r="G634" s="12" t="inlineStr">
        <is>
          <t>https://www.stadtwil.ch/topics/stadt-politik-und-recht/geschaeftsberichte</t>
        </is>
      </c>
      <c r="H634" s="12" t="inlineStr">
        <is>
          <t>Einstiegsseite</t>
        </is>
      </c>
      <c r="I634" s="12" t="inlineStr">
        <is>
          <t>Nein</t>
        </is>
      </c>
      <c r="J634" s="12" t="inlineStr">
        <is>
          <t>Ungeprüft – nicht kuratiert</t>
        </is>
      </c>
    </row>
    <row r="635">
      <c r="A635" s="12" t="inlineStr">
        <is>
          <t>Wil</t>
        </is>
      </c>
      <c r="B635" s="12" t="inlineStr">
        <is>
          <t>St. Gallen</t>
        </is>
      </c>
      <c r="C635" s="12" t="inlineStr">
        <is>
          <t>C4</t>
        </is>
      </c>
      <c r="D635" s="16" t="inlineStr">
        <is>
          <t>https://www.stadtwil.ch/storage/0365b801e4a6979a9deedfdb1e4474f6218fc0f46dc651c6573af4f3dbbcb1b0</t>
        </is>
      </c>
      <c r="E635" s="12" t="inlineStr">
        <is>
          <t>Geschäftsbericht 2019</t>
        </is>
      </c>
      <c r="F635" s="12" t="inlineStr">
        <is>
          <t>nein</t>
        </is>
      </c>
      <c r="G635" s="12" t="inlineStr">
        <is>
          <t>https://www.stadtwil.ch/topics/stadt-politik-und-recht/geschaeftsberichte</t>
        </is>
      </c>
      <c r="H635" s="12" t="inlineStr">
        <is>
          <t>Einstiegsseite</t>
        </is>
      </c>
      <c r="I635" s="12" t="inlineStr">
        <is>
          <t>Nein</t>
        </is>
      </c>
      <c r="J635" s="12" t="inlineStr">
        <is>
          <t>Ungeprüft – nicht kuratiert</t>
        </is>
      </c>
    </row>
    <row r="636">
      <c r="A636" s="12" t="inlineStr">
        <is>
          <t>Wil</t>
        </is>
      </c>
      <c r="B636" s="12" t="inlineStr">
        <is>
          <t>St. Gallen</t>
        </is>
      </c>
      <c r="C636" s="12" t="inlineStr">
        <is>
          <t>C4</t>
        </is>
      </c>
      <c r="D636" s="16" t="inlineStr">
        <is>
          <t>https://www.stadtwil.ch/storage/0b5116215dd91160edb9d31e91f4c82e0ca99fc3b5a0b928237570842495f61b</t>
        </is>
      </c>
      <c r="E636" s="12" t="inlineStr">
        <is>
          <t>Geschäftsbericht 2008</t>
        </is>
      </c>
      <c r="F636" s="12" t="inlineStr">
        <is>
          <t>nein</t>
        </is>
      </c>
      <c r="G636" s="12" t="inlineStr">
        <is>
          <t>https://www.stadtwil.ch/topics/stadt-politik-und-recht/geschaeftsberichte</t>
        </is>
      </c>
      <c r="H636" s="12" t="inlineStr">
        <is>
          <t>Einstiegsseite</t>
        </is>
      </c>
      <c r="I636" s="12" t="inlineStr">
        <is>
          <t>Nein</t>
        </is>
      </c>
      <c r="J636" s="12" t="inlineStr">
        <is>
          <t>Ungeprüft – nicht kuratiert</t>
        </is>
      </c>
    </row>
    <row r="637">
      <c r="A637" s="12" t="inlineStr">
        <is>
          <t>Wil</t>
        </is>
      </c>
      <c r="B637" s="12" t="inlineStr">
        <is>
          <t>St. Gallen</t>
        </is>
      </c>
      <c r="C637" s="12" t="inlineStr">
        <is>
          <t>C4</t>
        </is>
      </c>
      <c r="D637" s="16" t="inlineStr">
        <is>
          <t>https://www.stadtwil.ch/storage/1fb848ed1d368dffceead9ee6f9d435d50e46b801aff2ee5412c10be82bbe25a</t>
        </is>
      </c>
      <c r="E637" s="12" t="inlineStr">
        <is>
          <t>Geschäftsbericht 2022</t>
        </is>
      </c>
      <c r="F637" s="12" t="inlineStr">
        <is>
          <t>nein</t>
        </is>
      </c>
      <c r="G637" s="12" t="inlineStr">
        <is>
          <t>https://www.stadtwil.ch/topics/stadt-politik-und-recht/geschaeftsberichte</t>
        </is>
      </c>
      <c r="H637" s="12" t="inlineStr">
        <is>
          <t>Einstiegsseite</t>
        </is>
      </c>
      <c r="I637" s="12" t="inlineStr">
        <is>
          <t>Nein</t>
        </is>
      </c>
      <c r="J637" s="12" t="inlineStr">
        <is>
          <t>Ungeprüft – nicht kuratiert</t>
        </is>
      </c>
    </row>
    <row r="638">
      <c r="A638" s="12" t="inlineStr">
        <is>
          <t>Wil</t>
        </is>
      </c>
      <c r="B638" s="12" t="inlineStr">
        <is>
          <t>St. Gallen</t>
        </is>
      </c>
      <c r="C638" s="12" t="inlineStr">
        <is>
          <t>C4</t>
        </is>
      </c>
      <c r="D638" s="16" t="inlineStr">
        <is>
          <t>https://www.stadtwil.ch/storage/248ab3893e7533b52b7e554517f010462be4194a23b8c4829801dba7e866b46a</t>
        </is>
      </c>
      <c r="E638" s="12" t="inlineStr">
        <is>
          <t>Geschäftsbericht 2016</t>
        </is>
      </c>
      <c r="F638" s="12" t="inlineStr">
        <is>
          <t>nein</t>
        </is>
      </c>
      <c r="G638" s="12" t="inlineStr">
        <is>
          <t>https://www.stadtwil.ch/topics/stadt-politik-und-recht/geschaeftsberichte</t>
        </is>
      </c>
      <c r="H638" s="12" t="inlineStr">
        <is>
          <t>Einstiegsseite</t>
        </is>
      </c>
      <c r="I638" s="12" t="inlineStr">
        <is>
          <t>Nein</t>
        </is>
      </c>
      <c r="J638" s="12" t="inlineStr">
        <is>
          <t>Ungeprüft – nicht kuratiert</t>
        </is>
      </c>
    </row>
    <row r="639">
      <c r="A639" s="12" t="inlineStr">
        <is>
          <t>Wil</t>
        </is>
      </c>
      <c r="B639" s="12" t="inlineStr">
        <is>
          <t>St. Gallen</t>
        </is>
      </c>
      <c r="C639" s="12" t="inlineStr">
        <is>
          <t>C4</t>
        </is>
      </c>
      <c r="D639" s="16" t="inlineStr">
        <is>
          <t>https://www.stadtwil.ch/storage/25210da970ea0f16696f6ddd4348a820c2e59eb2be1d668424eb39932fa993f5</t>
        </is>
      </c>
      <c r="E639" s="12" t="inlineStr">
        <is>
          <t>Geschäftsbericht 2013</t>
        </is>
      </c>
      <c r="F639" s="12" t="inlineStr">
        <is>
          <t>nein</t>
        </is>
      </c>
      <c r="G639" s="12" t="inlineStr">
        <is>
          <t>https://www.stadtwil.ch/topics/stadt-politik-und-recht/geschaeftsberichte</t>
        </is>
      </c>
      <c r="H639" s="12" t="inlineStr">
        <is>
          <t>Einstiegsseite</t>
        </is>
      </c>
      <c r="I639" s="12" t="inlineStr">
        <is>
          <t>Nein</t>
        </is>
      </c>
      <c r="J639" s="12" t="inlineStr">
        <is>
          <t>Ungeprüft – nicht kuratiert</t>
        </is>
      </c>
    </row>
    <row r="640">
      <c r="A640" s="12" t="inlineStr">
        <is>
          <t>Wil</t>
        </is>
      </c>
      <c r="B640" s="12" t="inlineStr">
        <is>
          <t>St. Gallen</t>
        </is>
      </c>
      <c r="C640" s="12" t="inlineStr">
        <is>
          <t>C4</t>
        </is>
      </c>
      <c r="D640" s="16" t="inlineStr">
        <is>
          <t>https://www.stadtwil.ch/storage/3d03332182e433d65a5340498b35b0517ac0c0c27c654861110fec8600308334</t>
        </is>
      </c>
      <c r="E640" s="12" t="inlineStr">
        <is>
          <t>Geschäftsbericht 2011</t>
        </is>
      </c>
      <c r="F640" s="12" t="inlineStr">
        <is>
          <t>nein</t>
        </is>
      </c>
      <c r="G640" s="12" t="inlineStr">
        <is>
          <t>https://www.stadtwil.ch/topics/stadt-politik-und-recht/geschaeftsberichte</t>
        </is>
      </c>
      <c r="H640" s="12" t="inlineStr">
        <is>
          <t>Einstiegsseite</t>
        </is>
      </c>
      <c r="I640" s="12" t="inlineStr">
        <is>
          <t>Nein</t>
        </is>
      </c>
      <c r="J640" s="12" t="inlineStr">
        <is>
          <t>Ungeprüft – nicht kuratiert</t>
        </is>
      </c>
    </row>
    <row r="641">
      <c r="A641" s="12" t="inlineStr">
        <is>
          <t>Wil</t>
        </is>
      </c>
      <c r="B641" s="12" t="inlineStr">
        <is>
          <t>St. Gallen</t>
        </is>
      </c>
      <c r="C641" s="12" t="inlineStr">
        <is>
          <t>C4</t>
        </is>
      </c>
      <c r="D641" s="16" t="inlineStr">
        <is>
          <t>https://www.stadtwil.ch/storage/53bd2727bc94617c323ce1fdbd7e5a48bfbcb9aab2a5463450aab414a81545b4</t>
        </is>
      </c>
      <c r="E641" s="12" t="inlineStr">
        <is>
          <t>Geschäftsbericht 2009</t>
        </is>
      </c>
      <c r="F641" s="12" t="inlineStr">
        <is>
          <t>nein</t>
        </is>
      </c>
      <c r="G641" s="12" t="inlineStr">
        <is>
          <t>https://www.stadtwil.ch/topics/stadt-politik-und-recht/geschaeftsberichte</t>
        </is>
      </c>
      <c r="H641" s="12" t="inlineStr">
        <is>
          <t>Einstiegsseite</t>
        </is>
      </c>
      <c r="I641" s="12" t="inlineStr">
        <is>
          <t>Nein</t>
        </is>
      </c>
      <c r="J641" s="12" t="inlineStr">
        <is>
          <t>Ungeprüft – nicht kuratiert</t>
        </is>
      </c>
    </row>
    <row r="642">
      <c r="A642" s="12" t="inlineStr">
        <is>
          <t>Wil</t>
        </is>
      </c>
      <c r="B642" s="12" t="inlineStr">
        <is>
          <t>St. Gallen</t>
        </is>
      </c>
      <c r="C642" s="12" t="inlineStr">
        <is>
          <t>C4</t>
        </is>
      </c>
      <c r="D642" s="16" t="inlineStr">
        <is>
          <t>https://www.stadtwil.ch/storage/56214d9002f99bb64434783cd8498f6b2a989f4cd19bf77ad3b1f0011730e0fc</t>
        </is>
      </c>
      <c r="E642" s="12" t="inlineStr">
        <is>
          <t>Geschäftsbericht 2014</t>
        </is>
      </c>
      <c r="F642" s="12" t="inlineStr">
        <is>
          <t>nein</t>
        </is>
      </c>
      <c r="G642" s="12" t="inlineStr">
        <is>
          <t>https://www.stadtwil.ch/topics/stadt-politik-und-recht/geschaeftsberichte</t>
        </is>
      </c>
      <c r="H642" s="12" t="inlineStr">
        <is>
          <t>Einstiegsseite</t>
        </is>
      </c>
      <c r="I642" s="12" t="inlineStr">
        <is>
          <t>Nein</t>
        </is>
      </c>
      <c r="J642" s="12" t="inlineStr">
        <is>
          <t>Ungeprüft – nicht kuratiert</t>
        </is>
      </c>
    </row>
    <row r="643">
      <c r="A643" s="12" t="inlineStr">
        <is>
          <t>Wil</t>
        </is>
      </c>
      <c r="B643" s="12" t="inlineStr">
        <is>
          <t>St. Gallen</t>
        </is>
      </c>
      <c r="C643" s="12" t="inlineStr">
        <is>
          <t>C4</t>
        </is>
      </c>
      <c r="D643" s="16" t="inlineStr">
        <is>
          <t>https://www.stadtwil.ch/storage/5f9c4578f72cb2fcdd0c9b8549a359fde555af1b3bff71552a51fd1ab0a34ce1</t>
        </is>
      </c>
      <c r="E643" s="12" t="inlineStr">
        <is>
          <t>Geschäftsbericht 2010</t>
        </is>
      </c>
      <c r="F643" s="12" t="inlineStr">
        <is>
          <t>nein</t>
        </is>
      </c>
      <c r="G643" s="12" t="inlineStr">
        <is>
          <t>https://www.stadtwil.ch/topics/stadt-politik-und-recht/geschaeftsberichte</t>
        </is>
      </c>
      <c r="H643" s="12" t="inlineStr">
        <is>
          <t>Einstiegsseite</t>
        </is>
      </c>
      <c r="I643" s="12" t="inlineStr">
        <is>
          <t>Nein</t>
        </is>
      </c>
      <c r="J643" s="12" t="inlineStr">
        <is>
          <t>Ungeprüft – nicht kuratiert</t>
        </is>
      </c>
    </row>
    <row r="644">
      <c r="A644" s="12" t="inlineStr">
        <is>
          <t>Wil</t>
        </is>
      </c>
      <c r="B644" s="12" t="inlineStr">
        <is>
          <t>St. Gallen</t>
        </is>
      </c>
      <c r="C644" s="12" t="inlineStr">
        <is>
          <t>C4</t>
        </is>
      </c>
      <c r="D644" s="16" t="inlineStr">
        <is>
          <t>https://www.stadtwil.ch/storage/6ad37fbf71a6783177e53d62242d53eea1eb8724d27919198ec26ccb4eb6f39b</t>
        </is>
      </c>
      <c r="E644" s="12" t="inlineStr">
        <is>
          <t>Geschäftsbericht 2017</t>
        </is>
      </c>
      <c r="F644" s="12" t="inlineStr">
        <is>
          <t>nein</t>
        </is>
      </c>
      <c r="G644" s="12" t="inlineStr">
        <is>
          <t>https://www.stadtwil.ch/topics/stadt-politik-und-recht/geschaeftsberichte</t>
        </is>
      </c>
      <c r="H644" s="12" t="inlineStr">
        <is>
          <t>Einstiegsseite</t>
        </is>
      </c>
      <c r="I644" s="12" t="inlineStr">
        <is>
          <t>Nein</t>
        </is>
      </c>
      <c r="J644" s="12" t="inlineStr">
        <is>
          <t>Ungeprüft – nicht kuratiert</t>
        </is>
      </c>
    </row>
    <row r="645">
      <c r="A645" s="12" t="inlineStr">
        <is>
          <t>Wil</t>
        </is>
      </c>
      <c r="B645" s="12" t="inlineStr">
        <is>
          <t>St. Gallen</t>
        </is>
      </c>
      <c r="C645" s="12" t="inlineStr">
        <is>
          <t>C4</t>
        </is>
      </c>
      <c r="D645" s="16" t="inlineStr">
        <is>
          <t>https://www.stadtwil.ch/storage/6e22361e6f21baf10f8b6c6f1059865c02d08c351c68c7a04847b93eea03c4f0</t>
        </is>
      </c>
      <c r="E645" s="12" t="inlineStr">
        <is>
          <t>Geschäftsbericht 2015</t>
        </is>
      </c>
      <c r="F645" s="12" t="inlineStr">
        <is>
          <t>nein</t>
        </is>
      </c>
      <c r="G645" s="12" t="inlineStr">
        <is>
          <t>https://www.stadtwil.ch/topics/stadt-politik-und-recht/geschaeftsberichte</t>
        </is>
      </c>
      <c r="H645" s="12" t="inlineStr">
        <is>
          <t>Einstiegsseite</t>
        </is>
      </c>
      <c r="I645" s="12" t="inlineStr">
        <is>
          <t>Nein</t>
        </is>
      </c>
      <c r="J645" s="12" t="inlineStr">
        <is>
          <t>Ungeprüft – nicht kuratiert</t>
        </is>
      </c>
    </row>
    <row r="646">
      <c r="A646" s="12" t="inlineStr">
        <is>
          <t>Wil</t>
        </is>
      </c>
      <c r="B646" s="12" t="inlineStr">
        <is>
          <t>St. Gallen</t>
        </is>
      </c>
      <c r="C646" s="12" t="inlineStr">
        <is>
          <t>C4</t>
        </is>
      </c>
      <c r="D646" s="16" t="inlineStr">
        <is>
          <t>https://www.stadtwil.ch/storage/714f9723c151af4778e93aa518f6d7c4e10da1d6bb6bee87f769115c2a52c5bf</t>
        </is>
      </c>
      <c r="E646" s="12" t="inlineStr">
        <is>
          <t>Geschäftsbericht 2021</t>
        </is>
      </c>
      <c r="F646" s="12" t="inlineStr">
        <is>
          <t>nein</t>
        </is>
      </c>
      <c r="G646" s="12" t="inlineStr">
        <is>
          <t>https://www.stadtwil.ch/topics/stadt-politik-und-recht/geschaeftsberichte</t>
        </is>
      </c>
      <c r="H646" s="12" t="inlineStr">
        <is>
          <t>Einstiegsseite</t>
        </is>
      </c>
      <c r="I646" s="12" t="inlineStr">
        <is>
          <t>Nein</t>
        </is>
      </c>
      <c r="J646" s="12" t="inlineStr">
        <is>
          <t>Ungeprüft – nicht kuratiert</t>
        </is>
      </c>
    </row>
    <row r="647">
      <c r="A647" s="12" t="inlineStr">
        <is>
          <t>Wil</t>
        </is>
      </c>
      <c r="B647" s="12" t="inlineStr">
        <is>
          <t>St. Gallen</t>
        </is>
      </c>
      <c r="C647" s="12" t="inlineStr">
        <is>
          <t>C4</t>
        </is>
      </c>
      <c r="D647" s="16" t="inlineStr">
        <is>
          <t>https://www.stadtwil.ch/storage/737121b648fd5d744522b0ee38f7d4467ce550219554db3d6197f1ae0feeb623</t>
        </is>
      </c>
      <c r="E647" s="12" t="inlineStr">
        <is>
          <t>Geschäftsbericht 2020</t>
        </is>
      </c>
      <c r="F647" s="12" t="inlineStr">
        <is>
          <t>nein</t>
        </is>
      </c>
      <c r="G647" s="12" t="inlineStr">
        <is>
          <t>https://www.stadtwil.ch/topics/stadt-politik-und-recht/geschaeftsberichte</t>
        </is>
      </c>
      <c r="H647" s="12" t="inlineStr">
        <is>
          <t>Einstiegsseite</t>
        </is>
      </c>
      <c r="I647" s="12" t="inlineStr">
        <is>
          <t>Nein</t>
        </is>
      </c>
      <c r="J647" s="12" t="inlineStr">
        <is>
          <t>Ungeprüft – nicht kuratiert</t>
        </is>
      </c>
    </row>
    <row r="648">
      <c r="A648" s="12" t="inlineStr">
        <is>
          <t>Wil</t>
        </is>
      </c>
      <c r="B648" s="12" t="inlineStr">
        <is>
          <t>St. Gallen</t>
        </is>
      </c>
      <c r="C648" s="12" t="inlineStr">
        <is>
          <t>C4</t>
        </is>
      </c>
      <c r="D648" s="16" t="inlineStr">
        <is>
          <t>https://www.stadtwil.ch/storage/8633ae9158140c04ff9f207328b47896a256e5505af8d0981a72ac65d8543cb3</t>
        </is>
      </c>
      <c r="E648" s="12" t="inlineStr">
        <is>
          <t>Geschäftsbericht 2018</t>
        </is>
      </c>
      <c r="F648" s="12" t="inlineStr">
        <is>
          <t>nein</t>
        </is>
      </c>
      <c r="G648" s="12" t="inlineStr">
        <is>
          <t>https://www.stadtwil.ch/topics/stadt-politik-und-recht/geschaeftsberichte</t>
        </is>
      </c>
      <c r="H648" s="12" t="inlineStr">
        <is>
          <t>Einstiegsseite</t>
        </is>
      </c>
      <c r="I648" s="12" t="inlineStr">
        <is>
          <t>Nein</t>
        </is>
      </c>
      <c r="J648" s="12" t="inlineStr">
        <is>
          <t>Ungeprüft – nicht kuratiert</t>
        </is>
      </c>
    </row>
    <row r="649">
      <c r="A649" s="12" t="inlineStr">
        <is>
          <t>Wil</t>
        </is>
      </c>
      <c r="B649" s="12" t="inlineStr">
        <is>
          <t>St. Gallen</t>
        </is>
      </c>
      <c r="C649" s="12" t="inlineStr">
        <is>
          <t>C4</t>
        </is>
      </c>
      <c r="D649" s="16" t="inlineStr">
        <is>
          <t>https://www.stadtwil.ch/storage/8eedf72c0fffec0e8192e6fc00a728c5891c83e7b8b7d3488c2f314a11582972</t>
        </is>
      </c>
      <c r="E649" s="12" t="inlineStr">
        <is>
          <t>Geschäftsbericht 2023</t>
        </is>
      </c>
      <c r="F649" s="12" t="inlineStr">
        <is>
          <t>nein</t>
        </is>
      </c>
      <c r="G649" s="12" t="inlineStr">
        <is>
          <t>https://www.stadtwil.ch/topics/stadt-politik-und-recht/geschaeftsberichte</t>
        </is>
      </c>
      <c r="H649" s="12" t="inlineStr">
        <is>
          <t>Einstiegsseite</t>
        </is>
      </c>
      <c r="I649" s="12" t="inlineStr">
        <is>
          <t>Nein</t>
        </is>
      </c>
      <c r="J649" s="12" t="inlineStr">
        <is>
          <t>Ungeprüft – nicht kuratiert</t>
        </is>
      </c>
    </row>
    <row r="650">
      <c r="A650" s="12" t="inlineStr">
        <is>
          <t>Wil</t>
        </is>
      </c>
      <c r="B650" s="12" t="inlineStr">
        <is>
          <t>St. Gallen</t>
        </is>
      </c>
      <c r="C650" s="12" t="inlineStr">
        <is>
          <t>C4</t>
        </is>
      </c>
      <c r="D650" s="16" t="inlineStr">
        <is>
          <t>https://www.stadtwil.ch/storage/df75667555ec04aaf5ca7c5df3b6993ef5db02b42fe25717d28391d56220d623</t>
        </is>
      </c>
      <c r="E650" s="12" t="inlineStr">
        <is>
          <t>Geschäftsbericht 2012</t>
        </is>
      </c>
      <c r="F650" s="12" t="inlineStr">
        <is>
          <t>nein</t>
        </is>
      </c>
      <c r="G650" s="12" t="inlineStr">
        <is>
          <t>https://www.stadtwil.ch/topics/stadt-politik-und-recht/geschaeftsberichte</t>
        </is>
      </c>
      <c r="H650" s="12" t="inlineStr">
        <is>
          <t>Einstiegsseite</t>
        </is>
      </c>
      <c r="I650" s="12" t="inlineStr">
        <is>
          <t>Nein</t>
        </is>
      </c>
      <c r="J650" s="12" t="inlineStr">
        <is>
          <t>Ungeprüft – nicht kuratiert</t>
        </is>
      </c>
    </row>
    <row r="651">
      <c r="A651" s="12" t="inlineStr">
        <is>
          <t>Wil</t>
        </is>
      </c>
      <c r="B651" s="12" t="inlineStr">
        <is>
          <t>St. Gallen</t>
        </is>
      </c>
      <c r="C651" s="12" t="inlineStr">
        <is>
          <t>C4</t>
        </is>
      </c>
      <c r="D651" s="16" t="inlineStr">
        <is>
          <t>https://www.stadtwil.ch/storage/ee8bae2cd080dda0bc77e69f99046109dc3e161b3498b17df7581cfe441bc612</t>
        </is>
      </c>
      <c r="E651" s="12" t="inlineStr">
        <is>
          <t>Geschäftsbericht 2025</t>
        </is>
      </c>
      <c r="F651" s="12" t="inlineStr">
        <is>
          <t>nein</t>
        </is>
      </c>
      <c r="G651" s="12" t="inlineStr">
        <is>
          <t>https://www.stadtwil.ch/topics/stadt-politik-und-recht/geschaeftsberichte</t>
        </is>
      </c>
      <c r="H651" s="12" t="inlineStr">
        <is>
          <t>Einstiegsseite</t>
        </is>
      </c>
      <c r="I651" s="12" t="inlineStr">
        <is>
          <t>Ja</t>
        </is>
      </c>
      <c r="J651" s="12" t="inlineStr">
        <is>
          <t>Ungeprüft – nicht kuratiert</t>
        </is>
      </c>
    </row>
    <row r="652">
      <c r="A652" s="12" t="inlineStr">
        <is>
          <t>Wil</t>
        </is>
      </c>
      <c r="B652" s="12" t="inlineStr">
        <is>
          <t>St. Gallen</t>
        </is>
      </c>
      <c r="C652" s="12" t="inlineStr">
        <is>
          <t>C4</t>
        </is>
      </c>
      <c r="D652" s="16" t="inlineStr">
        <is>
          <t>https://www.stadtwil.ch/storage/f6ec46b7be5614e3c273b611df314ff57a7d0368d0b9e43fa30220497eef5590</t>
        </is>
      </c>
      <c r="E652" s="12" t="inlineStr">
        <is>
          <t>Geschäftsbericht 2024</t>
        </is>
      </c>
      <c r="F652" s="12" t="inlineStr">
        <is>
          <t>nein</t>
        </is>
      </c>
      <c r="G652" s="12" t="inlineStr">
        <is>
          <t>https://www.stadtwil.ch/topics/stadt-politik-und-recht/geschaeftsberichte</t>
        </is>
      </c>
      <c r="H652" s="12" t="inlineStr">
        <is>
          <t>Einstiegsseite</t>
        </is>
      </c>
      <c r="I652" s="12" t="inlineStr">
        <is>
          <t>Nein</t>
        </is>
      </c>
      <c r="J652" s="12" t="inlineStr">
        <is>
          <t>Ungeprüft – nicht kuratiert</t>
        </is>
      </c>
    </row>
    <row r="653">
      <c r="A653" s="12" t="inlineStr">
        <is>
          <t>Wil</t>
        </is>
      </c>
      <c r="B653" s="12" t="inlineStr">
        <is>
          <t>St. Gallen</t>
        </is>
      </c>
      <c r="C653" s="12" t="inlineStr">
        <is>
          <t>C4</t>
        </is>
      </c>
      <c r="D653" s="16" t="inlineStr">
        <is>
          <t>https://www.stadtwil.ch/topics/stadt-politik-und-recht/geschaeftsberichte</t>
        </is>
      </c>
      <c r="E653" s="12" t="inlineStr">
        <is>
          <t>Geschäftsberichte</t>
        </is>
      </c>
      <c r="F653" s="12" t="inlineStr">
        <is>
          <t>nein</t>
        </is>
      </c>
      <c r="G653" s="12" t="inlineStr">
        <is>
          <t>https://www.stadtwil.ch/topics/stadt-politik-und-recht/finanzen</t>
        </is>
      </c>
      <c r="H653" s="12" t="inlineStr">
        <is>
          <t>Einstiegsseite</t>
        </is>
      </c>
      <c r="I653" s="12" t="inlineStr">
        <is>
          <t>Nein</t>
        </is>
      </c>
      <c r="J653" s="12" t="inlineStr">
        <is>
          <t>Ungeprüft – nicht kuratiert</t>
        </is>
      </c>
    </row>
    <row r="654">
      <c r="A654" s="12" t="inlineStr">
        <is>
          <t>Wil</t>
        </is>
      </c>
      <c r="B654" s="12" t="inlineStr">
        <is>
          <t>St. Gallen</t>
        </is>
      </c>
      <c r="C654" s="12" t="inlineStr">
        <is>
          <t>C5</t>
        </is>
      </c>
      <c r="D654" s="16" t="inlineStr">
        <is>
          <t>http://wab.sg.ch</t>
        </is>
      </c>
      <c r="E654" s="12" t="inlineStr">
        <is>
          <t>Ergebnisse Wahlen und Abstimmungen neues Fenster</t>
        </is>
      </c>
      <c r="F654" s="12" t="inlineStr">
        <is>
          <t>nein</t>
        </is>
      </c>
      <c r="G654" s="12" t="inlineStr">
        <is>
          <t>https://www.sg.ch/politik-verwaltung/abstimmungen-wahlen.html</t>
        </is>
      </c>
      <c r="H654" s="12" t="inlineStr">
        <is>
          <t>Unterseite</t>
        </is>
      </c>
      <c r="I654" s="12" t="inlineStr">
        <is>
          <t>Nein</t>
        </is>
      </c>
      <c r="J654" s="12" t="inlineStr">
        <is>
          <t>Ungeprüft – nicht kuratiert</t>
        </is>
      </c>
    </row>
    <row r="655">
      <c r="A655" s="12" t="inlineStr">
        <is>
          <t>Wil</t>
        </is>
      </c>
      <c r="B655" s="12" t="inlineStr">
        <is>
          <t>St. Gallen</t>
        </is>
      </c>
      <c r="C655" s="12" t="inlineStr">
        <is>
          <t>C5</t>
        </is>
      </c>
      <c r="D655" s="16" t="inlineStr">
        <is>
          <t>https://mitwirken.stadtwil.ch/de/</t>
        </is>
      </c>
      <c r="E655" s="12" t="inlineStr">
        <is>
          <t>Mitwirkungs-Plattform</t>
        </is>
      </c>
      <c r="F655" s="12" t="inlineStr">
        <is>
          <t>nein</t>
        </is>
      </c>
      <c r="G655" s="12" t="inlineStr">
        <is>
          <t>https://www.stadtwil.ch/topics/bauen-und-planen/wil-vivendo/ortsplanungsrevision/news/start-offentliche-mitwirkung</t>
        </is>
      </c>
      <c r="H655" s="12" t="inlineStr">
        <is>
          <t>Unterseite</t>
        </is>
      </c>
      <c r="I655" s="12" t="inlineStr">
        <is>
          <t>Nein</t>
        </is>
      </c>
      <c r="J655" s="12" t="inlineStr">
        <is>
          <t>Ungeprüft – nicht kuratiert</t>
        </is>
      </c>
    </row>
    <row r="656">
      <c r="A656" s="12" t="inlineStr">
        <is>
          <t>Wil</t>
        </is>
      </c>
      <c r="B656" s="12" t="inlineStr">
        <is>
          <t>St. Gallen</t>
        </is>
      </c>
      <c r="C656" s="12" t="inlineStr">
        <is>
          <t>C5</t>
        </is>
      </c>
      <c r="D656" s="16" t="inlineStr">
        <is>
          <t>https://www.jupawil.com/</t>
        </is>
      </c>
      <c r="E656" s="12" t="inlineStr">
        <is>
          <t>Jugendparlament Wil</t>
        </is>
      </c>
      <c r="F656" s="12" t="inlineStr">
        <is>
          <t>nein</t>
        </is>
      </c>
      <c r="G656" s="12" t="inlineStr">
        <is>
          <t>https://www.stadtwil.ch/topics/kinder-jugendliche-und-familie/jugendliche/jugendparlament</t>
        </is>
      </c>
      <c r="H656" s="12" t="inlineStr">
        <is>
          <t>Unterseite</t>
        </is>
      </c>
      <c r="I656" s="12" t="inlineStr">
        <is>
          <t>Nein</t>
        </is>
      </c>
      <c r="J656" s="12" t="inlineStr">
        <is>
          <t>Ungeprüft – nicht kuratiert</t>
        </is>
      </c>
    </row>
    <row r="657">
      <c r="A657" s="12" t="inlineStr">
        <is>
          <t>Wil</t>
        </is>
      </c>
      <c r="B657" s="12" t="inlineStr">
        <is>
          <t>St. Gallen</t>
        </is>
      </c>
      <c r="C657" s="12" t="inlineStr">
        <is>
          <t>C5</t>
        </is>
      </c>
      <c r="D657" s="16" t="inlineStr">
        <is>
          <t>https://www.sg.ch/content/dam/sgch/politik-verwaltung/gemeinden/gemeindenfinanzen/rechnungslegung-rmsg/Nachtrag%20zum%20Gemeindegesetz%20Botschaft%20und%20Entwurf%20der%20Regierung.pdf</t>
        </is>
      </c>
      <c r="E657" s="12" t="inlineStr">
        <is>
          <t>Nachtrag zum Gemeindegesetz</t>
        </is>
      </c>
      <c r="F657" s="12" t="inlineStr">
        <is>
          <t>ja</t>
        </is>
      </c>
      <c r="G657" s="12" t="inlineStr">
        <is>
          <t>https://www.sg.ch/politik-verwaltung/gemeinden/gemeindefinanzen/rechnungslegung--rmsg-.html</t>
        </is>
      </c>
      <c r="H657" s="12" t="inlineStr">
        <is>
          <t>Einstiegsseite</t>
        </is>
      </c>
      <c r="I657" s="12" t="inlineStr">
        <is>
          <t>Nein</t>
        </is>
      </c>
      <c r="J657" s="12" t="inlineStr">
        <is>
          <t>Ungeprüft – nicht kuratiert</t>
        </is>
      </c>
    </row>
    <row r="658">
      <c r="A658" s="12" t="inlineStr">
        <is>
          <t>Wil</t>
        </is>
      </c>
      <c r="B658" s="12" t="inlineStr">
        <is>
          <t>St. Gallen</t>
        </is>
      </c>
      <c r="C658" s="12" t="inlineStr">
        <is>
          <t>C5</t>
        </is>
      </c>
      <c r="D658" s="16" t="inlineStr">
        <is>
          <t>https://www.sg.ch/news/sgch_allgemein/2022/04/uebersicht-vernehmlassungen.html</t>
        </is>
      </c>
      <c r="E658" s="12" t="inlineStr">
        <is>
          <t>01.01.2030 00:01 Übersicht Vernehmlassungen (Geplante) Vernehmlassungen zu Gesetzesvorhaben und Regierungsprojekten</t>
        </is>
      </c>
      <c r="F658" s="12" t="inlineStr">
        <is>
          <t>nein</t>
        </is>
      </c>
      <c r="G658" s="12" t="inlineStr">
        <is>
          <t>https://www.sg.ch/politik-verwaltung/kantonale-vernehmlassungen.html</t>
        </is>
      </c>
      <c r="H658" s="12" t="inlineStr">
        <is>
          <t>Unterseite</t>
        </is>
      </c>
      <c r="I658" s="12" t="inlineStr">
        <is>
          <t>Nein</t>
        </is>
      </c>
      <c r="J658" s="12" t="inlineStr">
        <is>
          <t>Ungeprüft – nicht kuratiert</t>
        </is>
      </c>
    </row>
    <row r="659">
      <c r="A659" s="12" t="inlineStr">
        <is>
          <t>Wil</t>
        </is>
      </c>
      <c r="B659" s="12" t="inlineStr">
        <is>
          <t>St. Gallen</t>
        </is>
      </c>
      <c r="C659" s="12" t="inlineStr">
        <is>
          <t>C5</t>
        </is>
      </c>
      <c r="D659" s="16" t="inlineStr">
        <is>
          <t>https://www.sg.ch/news/sgch_allgemein/2025/12/gesetz-ueber-die-stattlichen-stipendien-und-studiendarlehen--sti.html</t>
        </is>
      </c>
      <c r="E659" s="12" t="inlineStr">
        <is>
          <t>abgelaufen 05.12.2025 08:30 Gesetz über die staatlichen Stipendien und Studiendarlehen (Stipendiengesetz) Die Regierung hat ein neues Stipendiengesetz erarbeitet und gibt den Entwurf in die öffentlich</t>
        </is>
      </c>
      <c r="F659" s="12" t="inlineStr">
        <is>
          <t>nein</t>
        </is>
      </c>
      <c r="G659" s="12" t="inlineStr">
        <is>
          <t>https://www.sg.ch/politik-verwaltung/kantonale-vernehmlassungen.html</t>
        </is>
      </c>
      <c r="H659" s="12" t="inlineStr">
        <is>
          <t>Unterseite</t>
        </is>
      </c>
      <c r="I659" s="12" t="inlineStr">
        <is>
          <t>Nein</t>
        </is>
      </c>
      <c r="J659" s="12" t="inlineStr">
        <is>
          <t>Ungeprüft – nicht kuratiert</t>
        </is>
      </c>
    </row>
    <row r="660">
      <c r="A660" s="12" t="inlineStr">
        <is>
          <t>Wil</t>
        </is>
      </c>
      <c r="B660" s="12" t="inlineStr">
        <is>
          <t>St. Gallen</t>
        </is>
      </c>
      <c r="C660" s="12" t="inlineStr">
        <is>
          <t>C5</t>
        </is>
      </c>
      <c r="D660" s="16" t="inlineStr">
        <is>
          <t>https://www.sg.ch/news/sgch_allgemein/2025/12/x--nachtrag-zum-strassengesetz.html</t>
        </is>
      </c>
      <c r="E660" s="12" t="inlineStr">
        <is>
          <t>abgelaufen 11.12.2025 08:10 X. Nachtrag zum Strassengesetz Die Regierung gibt den Entwurf des X. Nachtrags zum Strassengesetz zur Vernehmlassung frei. Mit dem Nachtrag sollen der geforderte Ausbaustan</t>
        </is>
      </c>
      <c r="F660" s="12" t="inlineStr">
        <is>
          <t>nein</t>
        </is>
      </c>
      <c r="G660" s="12" t="inlineStr">
        <is>
          <t>https://www.sg.ch/politik-verwaltung/kantonale-vernehmlassungen.html</t>
        </is>
      </c>
      <c r="H660" s="12" t="inlineStr">
        <is>
          <t>Unterseite</t>
        </is>
      </c>
      <c r="I660" s="12" t="inlineStr">
        <is>
          <t>Nein</t>
        </is>
      </c>
      <c r="J660" s="12" t="inlineStr">
        <is>
          <t>Ungeprüft – nicht kuratiert</t>
        </is>
      </c>
    </row>
    <row r="661">
      <c r="A661" s="12" t="inlineStr">
        <is>
          <t>Wil</t>
        </is>
      </c>
      <c r="B661" s="12" t="inlineStr">
        <is>
          <t>St. Gallen</t>
        </is>
      </c>
      <c r="C661" s="12" t="inlineStr">
        <is>
          <t>C5</t>
        </is>
      </c>
      <c r="D661" s="16" t="inlineStr">
        <is>
          <t>https://www.sg.ch/news/sgch_allgemein/2026/08/vi--nachtrag-zum-planungs--und-baugesetz.html</t>
        </is>
      </c>
      <c r="E661" s="12" t="inlineStr">
        <is>
          <t>abgelaufen 03.08.2026 08:00 VI. Nachtrag zum Planungs- und Baugesetz Die Regierung gibt den Entwurf zum VI. Nachtrag zum Planungs- und Baugesetz zur Vernehmlassung frei. Mit dem Nachtrag wird die Grun</t>
        </is>
      </c>
      <c r="F661" s="12" t="inlineStr">
        <is>
          <t>nein</t>
        </is>
      </c>
      <c r="G661" s="12" t="inlineStr">
        <is>
          <t>https://www.sg.ch/politik-verwaltung/kantonale-vernehmlassungen.html</t>
        </is>
      </c>
      <c r="H661" s="12" t="inlineStr">
        <is>
          <t>Unterseite</t>
        </is>
      </c>
      <c r="I661" s="12" t="inlineStr">
        <is>
          <t>Nein</t>
        </is>
      </c>
      <c r="J661" s="12" t="inlineStr">
        <is>
          <t>Ungeprüft – nicht kuratiert</t>
        </is>
      </c>
    </row>
    <row r="662">
      <c r="A662" s="12" t="inlineStr">
        <is>
          <t>Wil</t>
        </is>
      </c>
      <c r="B662" s="12" t="inlineStr">
        <is>
          <t>St. Gallen</t>
        </is>
      </c>
      <c r="C662" s="12" t="inlineStr">
        <is>
          <t>C5</t>
        </is>
      </c>
      <c r="D662" s="16" t="inlineStr">
        <is>
          <t>https://www.sg.ch/news/sgch_allgemein/2026/09/bewegungs--und-sportfoerderungsgesetz.html</t>
        </is>
      </c>
      <c r="E662" s="12" t="inlineStr">
        <is>
          <t>11.09.2026 09:00 Bewegungs- und Sportförderungsgesetz Die Regierung gibt den Entwurf für ein neues Bewegungs- und Sportförderungsgesetz in die Vernehmlassung. Mit dem neuen Gesetz wird die Bedeutung v</t>
        </is>
      </c>
      <c r="F662" s="12" t="inlineStr">
        <is>
          <t>nein</t>
        </is>
      </c>
      <c r="G662" s="12" t="inlineStr">
        <is>
          <t>https://www.sg.ch/politik-verwaltung/kantonale-vernehmlassungen.html</t>
        </is>
      </c>
      <c r="H662" s="12" t="inlineStr">
        <is>
          <t>Unterseite</t>
        </is>
      </c>
      <c r="I662" s="12" t="inlineStr">
        <is>
          <t>Nein</t>
        </is>
      </c>
      <c r="J662" s="12" t="inlineStr">
        <is>
          <t>Ungeprüft – nicht kuratiert</t>
        </is>
      </c>
    </row>
    <row r="663">
      <c r="A663" s="12" t="inlineStr">
        <is>
          <t>Wil</t>
        </is>
      </c>
      <c r="B663" s="12" t="inlineStr">
        <is>
          <t>St. Gallen</t>
        </is>
      </c>
      <c r="C663" s="12" t="inlineStr">
        <is>
          <t>C5</t>
        </is>
      </c>
      <c r="D663" s="16" t="inlineStr">
        <is>
          <t>https://www.sg.ch/news/sgch_aussenbeziehungen/2026/09/23-443-n-pa--iv--addor--ausweisung-krimineller-auslaenderinnen-u.html</t>
        </is>
      </c>
      <c r="E663" s="12" t="inlineStr">
        <is>
          <t>10.09.2026 11:56 23.443 n Pa. Iv. Addor. Ausweisung krimineller Ausländerinnen und Ausländer. Interessenabwägung mit gesundem Menschenverstand Mit Schreiben vom 10. September 2026 antwortet die Regier</t>
        </is>
      </c>
      <c r="F663" s="12" t="inlineStr">
        <is>
          <t>nein</t>
        </is>
      </c>
      <c r="G663" s="12" t="inlineStr">
        <is>
          <t>https://www.sg.ch/politik-verwaltung/eidgenoessische-vernehmlassungen.html</t>
        </is>
      </c>
      <c r="H663" s="12" t="inlineStr">
        <is>
          <t>Unterseite</t>
        </is>
      </c>
      <c r="I663" s="12" t="inlineStr">
        <is>
          <t>Nein</t>
        </is>
      </c>
      <c r="J663" s="12" t="inlineStr">
        <is>
          <t>Ungeprüft – nicht kuratiert</t>
        </is>
      </c>
    </row>
    <row r="664">
      <c r="A664" s="12" t="inlineStr">
        <is>
          <t>Wil</t>
        </is>
      </c>
      <c r="B664" s="12" t="inlineStr">
        <is>
          <t>St. Gallen</t>
        </is>
      </c>
      <c r="C664" s="12" t="inlineStr">
        <is>
          <t>C5</t>
        </is>
      </c>
      <c r="D664" s="16" t="inlineStr">
        <is>
          <t>https://www.sg.ch/news/sgch_aussenbeziehungen/2026/09/aenderung-des-bundesgesetzes-gegen-die-schwarzarbeit.html</t>
        </is>
      </c>
      <c r="E664" s="12" t="inlineStr">
        <is>
          <t>24.09.2026 11:51 Änderung des Bundesgesetzes gegen die Schwarzarbeit Mit Schreiben vom 24. September 2026 antwortet die Regierung des Kantons St.Gallen auf die Vernehmlassungseinladung des Eidgenössis</t>
        </is>
      </c>
      <c r="F664" s="12" t="inlineStr">
        <is>
          <t>nein</t>
        </is>
      </c>
      <c r="G664" s="12" t="inlineStr">
        <is>
          <t>https://www.sg.ch/politik-verwaltung/eidgenoessische-vernehmlassungen.html</t>
        </is>
      </c>
      <c r="H664" s="12" t="inlineStr">
        <is>
          <t>Unterseite</t>
        </is>
      </c>
      <c r="I664" s="12" t="inlineStr">
        <is>
          <t>Nein</t>
        </is>
      </c>
      <c r="J664" s="12" t="inlineStr">
        <is>
          <t>Ungeprüft – nicht kuratiert</t>
        </is>
      </c>
    </row>
    <row r="665">
      <c r="A665" s="12" t="inlineStr">
        <is>
          <t>Wil</t>
        </is>
      </c>
      <c r="B665" s="12" t="inlineStr">
        <is>
          <t>St. Gallen</t>
        </is>
      </c>
      <c r="C665" s="12" t="inlineStr">
        <is>
          <t>C5</t>
        </is>
      </c>
      <c r="D665" s="16" t="inlineStr">
        <is>
          <t>https://www.sg.ch/news/sgch_aussenbeziehungen/2026/09/aenderung-des-mehrwertsteuergesetzes-und-des-bundesgesetzes-uebe.html</t>
        </is>
      </c>
      <c r="E665" s="12" t="inlineStr">
        <is>
          <t>24.09.2026 11:24 Änderung des Mehrwertsteuergesetzes und des Bundesgesetzes über die Stempelabgaben (Wettbewerbsfähigkeit der Schweizer Wirtschaft stärken) Mit Schreiben vom 24. September 2026 antwort</t>
        </is>
      </c>
      <c r="F665" s="12" t="inlineStr">
        <is>
          <t>nein</t>
        </is>
      </c>
      <c r="G665" s="12" t="inlineStr">
        <is>
          <t>https://www.sg.ch/politik-verwaltung/eidgenoessische-vernehmlassungen.html</t>
        </is>
      </c>
      <c r="H665" s="12" t="inlineStr">
        <is>
          <t>Unterseite</t>
        </is>
      </c>
      <c r="I665" s="12" t="inlineStr">
        <is>
          <t>Nein</t>
        </is>
      </c>
      <c r="J665" s="12" t="inlineStr">
        <is>
          <t>Ungeprüft – nicht kuratiert</t>
        </is>
      </c>
    </row>
    <row r="666">
      <c r="A666" s="12" t="inlineStr">
        <is>
          <t>Wil</t>
        </is>
      </c>
      <c r="B666" s="12" t="inlineStr">
        <is>
          <t>St. Gallen</t>
        </is>
      </c>
      <c r="C666" s="12" t="inlineStr">
        <is>
          <t>C5</t>
        </is>
      </c>
      <c r="D666" s="16" t="inlineStr">
        <is>
          <t>https://www.sg.ch/news/sgch_aussenbeziehungen/2026/09/aenderung-des-sprachengesetzes.html</t>
        </is>
      </c>
      <c r="E666" s="12" t="inlineStr">
        <is>
          <t>25.09.2026 09:02 Änderung des Sprachengesetzes Mit Schreiben vom 25. September 2026 antwortet die Regierung des Kantons St.Gallen auf die Vernehmlassungseinladung des Eidgenössischen Departementes...</t>
        </is>
      </c>
      <c r="F666" s="12" t="inlineStr">
        <is>
          <t>nein</t>
        </is>
      </c>
      <c r="G666" s="12" t="inlineStr">
        <is>
          <t>https://www.sg.ch/politik-verwaltung/eidgenoessische-vernehmlassungen.html</t>
        </is>
      </c>
      <c r="H666" s="12" t="inlineStr">
        <is>
          <t>Unterseite</t>
        </is>
      </c>
      <c r="I666" s="12" t="inlineStr">
        <is>
          <t>Nein</t>
        </is>
      </c>
      <c r="J666" s="12" t="inlineStr">
        <is>
          <t>Ungeprüft – nicht kuratiert</t>
        </is>
      </c>
    </row>
    <row r="667">
      <c r="A667" s="12" t="inlineStr">
        <is>
          <t>Wil</t>
        </is>
      </c>
      <c r="B667" s="12" t="inlineStr">
        <is>
          <t>St. Gallen</t>
        </is>
      </c>
      <c r="C667" s="12" t="inlineStr">
        <is>
          <t>C5</t>
        </is>
      </c>
      <c r="D667" s="16" t="inlineStr">
        <is>
          <t>https://www.sg.ch/news/sgch_aussenbeziehungen/2026/09/bundesgesetz-zur-reform-der-bundesanwaltschaft-und-ihrer-aufsich.html</t>
        </is>
      </c>
      <c r="E667" s="12" t="inlineStr">
        <is>
          <t xml:space="preserve">24.09.2026 12:12 Bundesgesetz zur Reform der Bundesanwaltschaft und ihrer Aufsicht und zu Änderungen der Bundesgerichtsbarkeit Mit Schreiben vom 24. September 2026 antwortet die Regierung des Kantons </t>
        </is>
      </c>
      <c r="F667" s="12" t="inlineStr">
        <is>
          <t>nein</t>
        </is>
      </c>
      <c r="G667" s="12" t="inlineStr">
        <is>
          <t>https://www.sg.ch/politik-verwaltung/eidgenoessische-vernehmlassungen.html</t>
        </is>
      </c>
      <c r="H667" s="12" t="inlineStr">
        <is>
          <t>Unterseite</t>
        </is>
      </c>
      <c r="I667" s="12" t="inlineStr">
        <is>
          <t>Nein</t>
        </is>
      </c>
      <c r="J667" s="12" t="inlineStr">
        <is>
          <t>Ungeprüft – nicht kuratiert</t>
        </is>
      </c>
    </row>
    <row r="668">
      <c r="A668" s="12" t="inlineStr">
        <is>
          <t>Wil</t>
        </is>
      </c>
      <c r="B668" s="12" t="inlineStr">
        <is>
          <t>St. Gallen</t>
        </is>
      </c>
      <c r="C668" s="12" t="inlineStr">
        <is>
          <t>C5</t>
        </is>
      </c>
      <c r="D668" s="16" t="inlineStr">
        <is>
          <t>https://www.sg.ch/news/sgch_aussenbeziehungen/2026/09/kommission-fuer-rechtsfragen-des-nationalrates--rk-n---18-434-n-.html</t>
        </is>
      </c>
      <c r="E668" s="12" t="inlineStr">
        <is>
          <t>24.09.2026 12:31 18.434 n Pa. Iv. (Amherd) Bregy, «Cybergrooming mit Minderjährigen endlich unter Strafe stellen» Mit Schreiben vom 24. September 2026 antwortet die Regierung des Kantons St.Gallen auf</t>
        </is>
      </c>
      <c r="F668" s="12" t="inlineStr">
        <is>
          <t>nein</t>
        </is>
      </c>
      <c r="G668" s="12" t="inlineStr">
        <is>
          <t>https://www.sg.ch/politik-verwaltung/eidgenoessische-vernehmlassungen.html</t>
        </is>
      </c>
      <c r="H668" s="12" t="inlineStr">
        <is>
          <t>Unterseite</t>
        </is>
      </c>
      <c r="I668" s="12" t="inlineStr">
        <is>
          <t>Nein</t>
        </is>
      </c>
      <c r="J668" s="12" t="inlineStr">
        <is>
          <t>Ungeprüft – nicht kuratiert</t>
        </is>
      </c>
    </row>
    <row r="669">
      <c r="A669" s="12" t="inlineStr">
        <is>
          <t>Wil</t>
        </is>
      </c>
      <c r="B669" s="12" t="inlineStr">
        <is>
          <t>St. Gallen</t>
        </is>
      </c>
      <c r="C669" s="12" t="inlineStr">
        <is>
          <t>C5</t>
        </is>
      </c>
      <c r="D669" s="16" t="inlineStr">
        <is>
          <t>https://www.sg.ch/news/sgch_aussenbeziehungen/2026/09/ratifikation-und-umsetzung-des-internationalen-uebereinkommens-i.html</t>
        </is>
      </c>
      <c r="E669" s="12" t="inlineStr">
        <is>
          <t xml:space="preserve">09.09.2026 12:36 Ratifikation und Umsetzung des internationalen Übereinkommens im Rahmen des Seerechtsübereinkommens der Vereinten Nationen über die Erhaltung und nachhaltige Nutzung der biologischen </t>
        </is>
      </c>
      <c r="F669" s="12" t="inlineStr">
        <is>
          <t>nein</t>
        </is>
      </c>
      <c r="G669" s="12" t="inlineStr">
        <is>
          <t>https://www.sg.ch/politik-verwaltung/eidgenoessische-vernehmlassungen.html</t>
        </is>
      </c>
      <c r="H669" s="12" t="inlineStr">
        <is>
          <t>Unterseite</t>
        </is>
      </c>
      <c r="I669" s="12" t="inlineStr">
        <is>
          <t>Nein</t>
        </is>
      </c>
      <c r="J669" s="12" t="inlineStr">
        <is>
          <t>Ungeprüft – nicht kuratiert</t>
        </is>
      </c>
    </row>
    <row r="670">
      <c r="A670" s="12" t="inlineStr">
        <is>
          <t>Wil</t>
        </is>
      </c>
      <c r="B670" s="12" t="inlineStr">
        <is>
          <t>St. Gallen</t>
        </is>
      </c>
      <c r="C670" s="12" t="inlineStr">
        <is>
          <t>C5</t>
        </is>
      </c>
      <c r="D670" s="16" t="inlineStr">
        <is>
          <t>https://www.sg.ch/news/sgch_aussenbeziehungen/2026/09/teilrevision-des-bundesgesetzes-ueber-arzneimittel-und-medizinpr.html</t>
        </is>
      </c>
      <c r="E670" s="12" t="inlineStr">
        <is>
          <t>10.09.2026 11:58 Teilrevision des Bundesgesetzes über Arzneimittel und Medizinprodukte im Rahmen der Etappe 3b Mit Schreiben vom 10. September 2026 antwortet die Regierung des Kantons St.Gallen auf di</t>
        </is>
      </c>
      <c r="F670" s="12" t="inlineStr">
        <is>
          <t>nein</t>
        </is>
      </c>
      <c r="G670" s="12" t="inlineStr">
        <is>
          <t>https://www.sg.ch/politik-verwaltung/eidgenoessische-vernehmlassungen.html</t>
        </is>
      </c>
      <c r="H670" s="12" t="inlineStr">
        <is>
          <t>Unterseite</t>
        </is>
      </c>
      <c r="I670" s="12" t="inlineStr">
        <is>
          <t>Nein</t>
        </is>
      </c>
      <c r="J670" s="12" t="inlineStr">
        <is>
          <t>Ungeprüft – nicht kuratiert</t>
        </is>
      </c>
    </row>
    <row r="671">
      <c r="A671" s="12" t="inlineStr">
        <is>
          <t>Wil</t>
        </is>
      </c>
      <c r="B671" s="12" t="inlineStr">
        <is>
          <t>St. Gallen</t>
        </is>
      </c>
      <c r="C671" s="12" t="inlineStr">
        <is>
          <t>C5</t>
        </is>
      </c>
      <c r="D671" s="16" t="inlineStr">
        <is>
          <t>https://www.sg.ch/news/sgch_aussenbeziehungen/2026/09/teilrevision-des-bundesgesetzes-ueber-die-produktesicherheit.html</t>
        </is>
      </c>
      <c r="E671" s="12" t="inlineStr">
        <is>
          <t>10.09.2026 12:41 Teilrevision des Bundesgesetzes über die Produktesicherheit Mit Schreiben vom 10. September 2026 antwortet die Regierung des Kantons St.Gallen auf die Vernehmlassungseinladung des Eid</t>
        </is>
      </c>
      <c r="F671" s="12" t="inlineStr">
        <is>
          <t>nein</t>
        </is>
      </c>
      <c r="G671" s="12" t="inlineStr">
        <is>
          <t>https://www.sg.ch/politik-verwaltung/eidgenoessische-vernehmlassungen.html</t>
        </is>
      </c>
      <c r="H671" s="12" t="inlineStr">
        <is>
          <t>Unterseite</t>
        </is>
      </c>
      <c r="I671" s="12" t="inlineStr">
        <is>
          <t>Nein</t>
        </is>
      </c>
      <c r="J671" s="12" t="inlineStr">
        <is>
          <t>Ungeprüft – nicht kuratiert</t>
        </is>
      </c>
    </row>
    <row r="672">
      <c r="A672" s="12" t="inlineStr">
        <is>
          <t>Wil</t>
        </is>
      </c>
      <c r="B672" s="12" t="inlineStr">
        <is>
          <t>St. Gallen</t>
        </is>
      </c>
      <c r="C672" s="12" t="inlineStr">
        <is>
          <t>C5</t>
        </is>
      </c>
      <c r="D672" s="16" t="inlineStr">
        <is>
          <t>https://www.sg.ch/news/sgch_aussenbeziehungen/2026/09/vorlage-zur-verkehrstraegeruebergreifenden-bewaeltigung-der-mobi.html</t>
        </is>
      </c>
      <c r="E672" s="12" t="inlineStr">
        <is>
          <t xml:space="preserve">24.09.2026 12:34 Vorlage zur verkehrsträgerübergreifenden Bewältigung der Mobilitätsbedürfnisse: Verkehr '45 Mit Schreiben vom 24. September 2026 antwortet die Regierung des Kantons St.Gallen auf die </t>
        </is>
      </c>
      <c r="F672" s="12" t="inlineStr">
        <is>
          <t>nein</t>
        </is>
      </c>
      <c r="G672" s="12" t="inlineStr">
        <is>
          <t>https://www.sg.ch/politik-verwaltung/eidgenoessische-vernehmlassungen.html</t>
        </is>
      </c>
      <c r="H672" s="12" t="inlineStr">
        <is>
          <t>Unterseite</t>
        </is>
      </c>
      <c r="I672" s="12" t="inlineStr">
        <is>
          <t>Nein</t>
        </is>
      </c>
      <c r="J672" s="12" t="inlineStr">
        <is>
          <t>Ungeprüft – nicht kuratiert</t>
        </is>
      </c>
    </row>
    <row r="673">
      <c r="A673" s="12" t="inlineStr">
        <is>
          <t>Wil</t>
        </is>
      </c>
      <c r="B673" s="12" t="inlineStr">
        <is>
          <t>St. Gallen</t>
        </is>
      </c>
      <c r="C673" s="12" t="inlineStr">
        <is>
          <t>C5</t>
        </is>
      </c>
      <c r="D673" s="16" t="inlineStr">
        <is>
          <t>https://www.sg.ch/politik-verwaltung/abstimmungen-wahlen.html</t>
        </is>
      </c>
      <c r="E673" s="12" t="inlineStr">
        <is>
          <t>Wahlen &amp; Abstimmungen</t>
        </is>
      </c>
      <c r="F673" s="12" t="inlineStr">
        <is>
          <t>nein</t>
        </is>
      </c>
      <c r="G673" s="12" t="inlineStr">
        <is>
          <t>https://www.sg.ch/politik-verwaltung/gemeinden/gemeindefinanzen/rechnungslegung--rmsg-.html</t>
        </is>
      </c>
      <c r="H673" s="12" t="inlineStr">
        <is>
          <t>Einstiegsseite</t>
        </is>
      </c>
      <c r="I673" s="12" t="inlineStr">
        <is>
          <t>Nein</t>
        </is>
      </c>
      <c r="J673" s="12" t="inlineStr">
        <is>
          <t>Ungeprüft – nicht kuratiert</t>
        </is>
      </c>
    </row>
    <row r="674">
      <c r="A674" s="12" t="inlineStr">
        <is>
          <t>Wil</t>
        </is>
      </c>
      <c r="B674" s="12" t="inlineStr">
        <is>
          <t>St. Gallen</t>
        </is>
      </c>
      <c r="C674" s="12" t="inlineStr">
        <is>
          <t>C5</t>
        </is>
      </c>
      <c r="D674" s="16" t="inlineStr">
        <is>
          <t>https://www.sg.ch/politik-verwaltung/abstimmungen-wahlen/aktuelle-abstimmungen.html</t>
        </is>
      </c>
      <c r="E674" s="12" t="inlineStr">
        <is>
          <t>Abstimmungen</t>
        </is>
      </c>
      <c r="F674" s="12" t="inlineStr">
        <is>
          <t>nein</t>
        </is>
      </c>
      <c r="G674" s="12" t="inlineStr">
        <is>
          <t>https://www.sg.ch/politik-verwaltung/abstimmungen-wahlen.html</t>
        </is>
      </c>
      <c r="H674" s="12" t="inlineStr">
        <is>
          <t>Unterseite</t>
        </is>
      </c>
      <c r="I674" s="12" t="inlineStr">
        <is>
          <t>Nein</t>
        </is>
      </c>
      <c r="J674" s="12" t="inlineStr">
        <is>
          <t>Ungeprüft – nicht kuratiert</t>
        </is>
      </c>
    </row>
    <row r="675">
      <c r="A675" s="12" t="inlineStr">
        <is>
          <t>Wil</t>
        </is>
      </c>
      <c r="B675" s="12" t="inlineStr">
        <is>
          <t>St. Gallen</t>
        </is>
      </c>
      <c r="C675" s="12" t="inlineStr">
        <is>
          <t>C5</t>
        </is>
      </c>
      <c r="D675" s="16" t="inlineStr">
        <is>
          <t>https://www.sg.ch/politik-verwaltung/abstimmungen-wahlen/auslandschweizer--innen.html</t>
        </is>
      </c>
      <c r="E675" s="12" t="inlineStr">
        <is>
          <t>Auslandschweizer-/innen</t>
        </is>
      </c>
      <c r="F675" s="12" t="inlineStr">
        <is>
          <t>nein</t>
        </is>
      </c>
      <c r="G675" s="12" t="inlineStr">
        <is>
          <t>https://www.sg.ch/politik-verwaltung/abstimmungen-wahlen.html</t>
        </is>
      </c>
      <c r="H675" s="12" t="inlineStr">
        <is>
          <t>Unterseite</t>
        </is>
      </c>
      <c r="I675" s="12" t="inlineStr">
        <is>
          <t>Nein</t>
        </is>
      </c>
      <c r="J675" s="12" t="inlineStr">
        <is>
          <t>Ungeprüft – nicht kuratiert</t>
        </is>
      </c>
    </row>
    <row r="676">
      <c r="A676" s="12" t="inlineStr">
        <is>
          <t>Wil</t>
        </is>
      </c>
      <c r="B676" s="12" t="inlineStr">
        <is>
          <t>St. Gallen</t>
        </is>
      </c>
      <c r="C676" s="12" t="inlineStr">
        <is>
          <t>C5</t>
        </is>
      </c>
      <c r="D676" s="16" t="inlineStr">
        <is>
          <t>https://www.sg.ch/politik-verwaltung/abstimmungen-wahlen/e-collecting.html</t>
        </is>
      </c>
      <c r="E676" s="12" t="inlineStr">
        <is>
          <t>E-Collecting</t>
        </is>
      </c>
      <c r="F676" s="12" t="inlineStr">
        <is>
          <t>nein</t>
        </is>
      </c>
      <c r="G676" s="12" t="inlineStr">
        <is>
          <t>https://www.sg.ch/politik-verwaltung/abstimmungen-wahlen.html</t>
        </is>
      </c>
      <c r="H676" s="12" t="inlineStr">
        <is>
          <t>Unterseite</t>
        </is>
      </c>
      <c r="I676" s="12" t="inlineStr">
        <is>
          <t>Nein</t>
        </is>
      </c>
      <c r="J676" s="12" t="inlineStr">
        <is>
          <t>Ungeprüft – nicht kuratiert</t>
        </is>
      </c>
    </row>
    <row r="677">
      <c r="A677" s="12" t="inlineStr">
        <is>
          <t>Wil</t>
        </is>
      </c>
      <c r="B677" s="12" t="inlineStr">
        <is>
          <t>St. Gallen</t>
        </is>
      </c>
      <c r="C677" s="12" t="inlineStr">
        <is>
          <t>C5</t>
        </is>
      </c>
      <c r="D677" s="16" t="inlineStr">
        <is>
          <t>https://www.sg.ch/politik-verwaltung/abstimmungen-wahlen/e-voting.html</t>
        </is>
      </c>
      <c r="E677" s="12" t="inlineStr">
        <is>
          <t>E-Voting</t>
        </is>
      </c>
      <c r="F677" s="12" t="inlineStr">
        <is>
          <t>nein</t>
        </is>
      </c>
      <c r="G677" s="12" t="inlineStr">
        <is>
          <t>https://www.sg.ch/politik-verwaltung/abstimmungen-wahlen.html</t>
        </is>
      </c>
      <c r="H677" s="12" t="inlineStr">
        <is>
          <t>Unterseite</t>
        </is>
      </c>
      <c r="I677" s="12" t="inlineStr">
        <is>
          <t>Nein</t>
        </is>
      </c>
      <c r="J677" s="12" t="inlineStr">
        <is>
          <t>Ungeprüft – nicht kuratiert</t>
        </is>
      </c>
    </row>
    <row r="678">
      <c r="A678" s="12" t="inlineStr">
        <is>
          <t>Wil</t>
        </is>
      </c>
      <c r="B678" s="12" t="inlineStr">
        <is>
          <t>St. Gallen</t>
        </is>
      </c>
      <c r="C678" s="12" t="inlineStr">
        <is>
          <t>C5</t>
        </is>
      </c>
      <c r="D678" s="16" t="inlineStr">
        <is>
          <t>https://www.sg.ch/politik-verwaltung/abstimmungen-wahlen/initiativen---referenden.html</t>
        </is>
      </c>
      <c r="E678" s="12" t="inlineStr">
        <is>
          <t>Initiativen &amp; Referenden</t>
        </is>
      </c>
      <c r="F678" s="12" t="inlineStr">
        <is>
          <t>nein</t>
        </is>
      </c>
      <c r="G678" s="12" t="inlineStr">
        <is>
          <t>https://www.sg.ch/politik-verwaltung/abstimmungen-wahlen.html</t>
        </is>
      </c>
      <c r="H678" s="12" t="inlineStr">
        <is>
          <t>Unterseite</t>
        </is>
      </c>
      <c r="I678" s="12" t="inlineStr">
        <is>
          <t>Nein</t>
        </is>
      </c>
      <c r="J678" s="12" t="inlineStr">
        <is>
          <t>Ungeprüft – nicht kuratiert</t>
        </is>
      </c>
    </row>
    <row r="679">
      <c r="A679" s="12" t="inlineStr">
        <is>
          <t>Wil</t>
        </is>
      </c>
      <c r="B679" s="12" t="inlineStr">
        <is>
          <t>St. Gallen</t>
        </is>
      </c>
      <c r="C679" s="12" t="inlineStr">
        <is>
          <t>C5</t>
        </is>
      </c>
      <c r="D679" s="16" t="inlineStr">
        <is>
          <t>https://www.sg.ch/politik-verwaltung/abstimmungen-wahlen/wahlen.html</t>
        </is>
      </c>
      <c r="E679" s="12" t="inlineStr">
        <is>
          <t>Wahlen</t>
        </is>
      </c>
      <c r="F679" s="12" t="inlineStr">
        <is>
          <t>nein</t>
        </is>
      </c>
      <c r="G679" s="12" t="inlineStr">
        <is>
          <t>https://www.sg.ch/politik-verwaltung/abstimmungen-wahlen.html</t>
        </is>
      </c>
      <c r="H679" s="12" t="inlineStr">
        <is>
          <t>Unterseite</t>
        </is>
      </c>
      <c r="I679" s="12" t="inlineStr">
        <is>
          <t>Nein</t>
        </is>
      </c>
      <c r="J679" s="12" t="inlineStr">
        <is>
          <t>Ungeprüft – nicht kuratiert</t>
        </is>
      </c>
    </row>
    <row r="680">
      <c r="A680" s="12" t="inlineStr">
        <is>
          <t>Wil</t>
        </is>
      </c>
      <c r="B680" s="12" t="inlineStr">
        <is>
          <t>St. Gallen</t>
        </is>
      </c>
      <c r="C680" s="12" t="inlineStr">
        <is>
          <t>C5</t>
        </is>
      </c>
      <c r="D680" s="16" t="inlineStr">
        <is>
          <t>https://www.sg.ch/politik-verwaltung/eidgenoessische-vernehmlassungen.html</t>
        </is>
      </c>
      <c r="E680" s="12" t="inlineStr">
        <is>
          <t>Eidgenössische Vernehmlassungen</t>
        </is>
      </c>
      <c r="F680" s="12" t="inlineStr">
        <is>
          <t>nein</t>
        </is>
      </c>
      <c r="G680" s="12" t="inlineStr">
        <is>
          <t>https://www.sg.ch/politik-verwaltung/gemeinden/gemeindefinanzen/rechnungslegung--rmsg-.html</t>
        </is>
      </c>
      <c r="H680" s="12" t="inlineStr">
        <is>
          <t>Einstiegsseite</t>
        </is>
      </c>
      <c r="I680" s="12" t="inlineStr">
        <is>
          <t>Nein</t>
        </is>
      </c>
      <c r="J680" s="12" t="inlineStr">
        <is>
          <t>Ungeprüft – nicht kuratiert</t>
        </is>
      </c>
    </row>
    <row r="681">
      <c r="A681" s="12" t="inlineStr">
        <is>
          <t>Wil</t>
        </is>
      </c>
      <c r="B681" s="12" t="inlineStr">
        <is>
          <t>St. Gallen</t>
        </is>
      </c>
      <c r="C681" s="12" t="inlineStr">
        <is>
          <t>C5</t>
        </is>
      </c>
      <c r="D681" s="16" t="inlineStr">
        <is>
          <t>https://www.sg.ch/politik-verwaltung/eidgenoessische-vernehmlassungen.viewpage__1.html</t>
        </is>
      </c>
      <c r="E681" s="12" t="inlineStr">
        <is>
          <t>eine Seite vorwärts</t>
        </is>
      </c>
      <c r="F681" s="12" t="inlineStr">
        <is>
          <t>nein</t>
        </is>
      </c>
      <c r="G681" s="12" t="inlineStr">
        <is>
          <t>https://www.sg.ch/politik-verwaltung/eidgenoessische-vernehmlassungen.html</t>
        </is>
      </c>
      <c r="H681" s="12" t="inlineStr">
        <is>
          <t>Unterseite</t>
        </is>
      </c>
      <c r="I681" s="12" t="inlineStr">
        <is>
          <t>Nein</t>
        </is>
      </c>
      <c r="J681" s="12" t="inlineStr">
        <is>
          <t>Ungeprüft – nicht kuratiert</t>
        </is>
      </c>
    </row>
    <row r="682">
      <c r="A682" s="12" t="inlineStr">
        <is>
          <t>Wil</t>
        </is>
      </c>
      <c r="B682" s="12" t="inlineStr">
        <is>
          <t>St. Gallen</t>
        </is>
      </c>
      <c r="C682" s="12" t="inlineStr">
        <is>
          <t>C5</t>
        </is>
      </c>
      <c r="D682" s="16" t="inlineStr">
        <is>
          <t>https://www.sg.ch/politik-verwaltung/eidgenoessische-vernehmlassungen.viewpage__41.html</t>
        </is>
      </c>
      <c r="E682" s="12" t="inlineStr">
        <is>
          <t>zur letzten Seite</t>
        </is>
      </c>
      <c r="F682" s="12" t="inlineStr">
        <is>
          <t>nein</t>
        </is>
      </c>
      <c r="G682" s="12" t="inlineStr">
        <is>
          <t>https://www.sg.ch/politik-verwaltung/eidgenoessische-vernehmlassungen.html</t>
        </is>
      </c>
      <c r="H682" s="12" t="inlineStr">
        <is>
          <t>Unterseite</t>
        </is>
      </c>
      <c r="I682" s="12" t="inlineStr">
        <is>
          <t>Nein</t>
        </is>
      </c>
      <c r="J682" s="12" t="inlineStr">
        <is>
          <t>Ungeprüft – nicht kuratiert</t>
        </is>
      </c>
    </row>
    <row r="683">
      <c r="A683" s="12" t="inlineStr">
        <is>
          <t>Wil</t>
        </is>
      </c>
      <c r="B683" s="12" t="inlineStr">
        <is>
          <t>St. Gallen</t>
        </is>
      </c>
      <c r="C683" s="12" t="inlineStr">
        <is>
          <t>C5</t>
        </is>
      </c>
      <c r="D683" s="16" t="inlineStr">
        <is>
          <t>https://www.sg.ch/politik-verwaltung/kantonale-vernehmlassungen.html</t>
        </is>
      </c>
      <c r="E683" s="12" t="inlineStr">
        <is>
          <t>Kantonale Vernehmlassungen</t>
        </is>
      </c>
      <c r="F683" s="12" t="inlineStr">
        <is>
          <t>nein</t>
        </is>
      </c>
      <c r="G683" s="12" t="inlineStr">
        <is>
          <t>https://www.sg.ch/politik-verwaltung/gemeinden/gemeindefinanzen/rechnungslegung--rmsg-.html</t>
        </is>
      </c>
      <c r="H683" s="12" t="inlineStr">
        <is>
          <t>Einstiegsseite</t>
        </is>
      </c>
      <c r="I683" s="12" t="inlineStr">
        <is>
          <t>Nein</t>
        </is>
      </c>
      <c r="J683" s="12" t="inlineStr">
        <is>
          <t>Ungeprüft – nicht kuratiert</t>
        </is>
      </c>
    </row>
    <row r="684">
      <c r="A684" s="12" t="inlineStr">
        <is>
          <t>Wil</t>
        </is>
      </c>
      <c r="B684" s="12" t="inlineStr">
        <is>
          <t>St. Gallen</t>
        </is>
      </c>
      <c r="C684" s="12" t="inlineStr">
        <is>
          <t>C5</t>
        </is>
      </c>
      <c r="D684" s="16" t="inlineStr">
        <is>
          <t>https://www.sg.ch/politik-verwaltung/kantonale-vernehmlassungen.viewpage__1.html</t>
        </is>
      </c>
      <c r="E684" s="12" t="inlineStr">
        <is>
          <t>eine Seite vorwärts</t>
        </is>
      </c>
      <c r="F684" s="12" t="inlineStr">
        <is>
          <t>nein</t>
        </is>
      </c>
      <c r="G684" s="12" t="inlineStr">
        <is>
          <t>https://www.sg.ch/politik-verwaltung/kantonale-vernehmlassungen.html</t>
        </is>
      </c>
      <c r="H684" s="12" t="inlineStr">
        <is>
          <t>Unterseite</t>
        </is>
      </c>
      <c r="I684" s="12" t="inlineStr">
        <is>
          <t>Nein</t>
        </is>
      </c>
      <c r="J684" s="12" t="inlineStr">
        <is>
          <t>Ungeprüft – nicht kuratiert</t>
        </is>
      </c>
    </row>
    <row r="685">
      <c r="A685" s="12" t="inlineStr">
        <is>
          <t>Wil</t>
        </is>
      </c>
      <c r="B685" s="12" t="inlineStr">
        <is>
          <t>St. Gallen</t>
        </is>
      </c>
      <c r="C685" s="12" t="inlineStr">
        <is>
          <t>C5</t>
        </is>
      </c>
      <c r="D685" s="16" t="inlineStr">
        <is>
          <t>https://www.sg.ch/politik-verwaltung/kantonale-vernehmlassungen.viewpage__5.html</t>
        </is>
      </c>
      <c r="E685" s="12" t="inlineStr">
        <is>
          <t>zur letzten Seite</t>
        </is>
      </c>
      <c r="F685" s="12" t="inlineStr">
        <is>
          <t>nein</t>
        </is>
      </c>
      <c r="G685" s="12" t="inlineStr">
        <is>
          <t>https://www.sg.ch/politik-verwaltung/kantonale-vernehmlassungen.html</t>
        </is>
      </c>
      <c r="H685" s="12" t="inlineStr">
        <is>
          <t>Unterseite</t>
        </is>
      </c>
      <c r="I685" s="12" t="inlineStr">
        <is>
          <t>Nein</t>
        </is>
      </c>
      <c r="J685" s="12" t="inlineStr">
        <is>
          <t>Ungeprüft – nicht kuratiert</t>
        </is>
      </c>
    </row>
    <row r="686">
      <c r="A686" s="12" t="inlineStr">
        <is>
          <t>Wil</t>
        </is>
      </c>
      <c r="B686" s="12" t="inlineStr">
        <is>
          <t>St. Gallen</t>
        </is>
      </c>
      <c r="C686" s="12" t="inlineStr">
        <is>
          <t>C5</t>
        </is>
      </c>
      <c r="D686" s="16" t="inlineStr">
        <is>
          <t>https://www.stadtwil.ch/auth/login?skip=0&amp;to=%2Ftopics%2Falter%2Faktivitaet-und-mitwirkung</t>
        </is>
      </c>
      <c r="E686" s="12" t="inlineStr">
        <is>
          <t>Anmelden</t>
        </is>
      </c>
      <c r="F686" s="12" t="inlineStr">
        <is>
          <t>nein</t>
        </is>
      </c>
      <c r="G686" s="12" t="inlineStr">
        <is>
          <t>https://www.stadtwil.ch/topics/alter/aktivitaet-und-mitwirkung</t>
        </is>
      </c>
      <c r="H686" s="12" t="inlineStr">
        <is>
          <t>Unterseite</t>
        </is>
      </c>
      <c r="I686" s="12" t="inlineStr">
        <is>
          <t>Nein</t>
        </is>
      </c>
      <c r="J686" s="12" t="inlineStr">
        <is>
          <t>Ungeprüft – nicht kuratiert</t>
        </is>
      </c>
    </row>
    <row r="687">
      <c r="A687" s="12" t="inlineStr">
        <is>
          <t>Wil</t>
        </is>
      </c>
      <c r="B687" s="12" t="inlineStr">
        <is>
          <t>St. Gallen</t>
        </is>
      </c>
      <c r="C687" s="12" t="inlineStr">
        <is>
          <t>C5</t>
        </is>
      </c>
      <c r="D687" s="16" t="inlineStr">
        <is>
          <t>https://www.stadtwil.ch/auth/login?skip=0&amp;to=%2Ftopics%2Fbauen-und-planen%2Fmitwirkungen</t>
        </is>
      </c>
      <c r="E687" s="12" t="inlineStr">
        <is>
          <t>Anmelden</t>
        </is>
      </c>
      <c r="F687" s="12" t="inlineStr">
        <is>
          <t>nein</t>
        </is>
      </c>
      <c r="G687" s="12" t="inlineStr">
        <is>
          <t>https://www.stadtwil.ch/topics/bauen-und-planen/mitwirkungen</t>
        </is>
      </c>
      <c r="H687" s="12" t="inlineStr">
        <is>
          <t>Unterseite</t>
        </is>
      </c>
      <c r="I687" s="12" t="inlineStr">
        <is>
          <t>Nein</t>
        </is>
      </c>
      <c r="J687" s="12" t="inlineStr">
        <is>
          <t>Ungeprüft – nicht kuratiert</t>
        </is>
      </c>
    </row>
    <row r="688">
      <c r="A688" s="12" t="inlineStr">
        <is>
          <t>Wil</t>
        </is>
      </c>
      <c r="B688" s="12" t="inlineStr">
        <is>
          <t>St. Gallen</t>
        </is>
      </c>
      <c r="C688" s="12" t="inlineStr">
        <is>
          <t>C5</t>
        </is>
      </c>
      <c r="D688" s="16" t="inlineStr">
        <is>
          <t>https://www.stadtwil.ch/auth/login?skip=0&amp;to=%2Ftopics%2Fbauen-und-planen%2Fwil-vivendo%2Fmobilitaet%2Fnetzergaenzung-ost-neo%2Fveranstaltungen%2Fmitwirkungen</t>
        </is>
      </c>
      <c r="E688" s="12" t="inlineStr">
        <is>
          <t>Anmelden</t>
        </is>
      </c>
      <c r="F688" s="12" t="inlineStr">
        <is>
          <t>nein</t>
        </is>
      </c>
      <c r="G688" s="12" t="inlineStr">
        <is>
          <t>https://www.stadtwil.ch/topics/bauen-und-planen/wil-vivendo/mobilitaet/netzergaenzung-ost-neo/veranstaltungen/mitwirkungen</t>
        </is>
      </c>
      <c r="H688" s="12" t="inlineStr">
        <is>
          <t>Unterseite</t>
        </is>
      </c>
      <c r="I688" s="12" t="inlineStr">
        <is>
          <t>Nein</t>
        </is>
      </c>
      <c r="J688" s="12" t="inlineStr">
        <is>
          <t>Ungeprüft – nicht kuratiert</t>
        </is>
      </c>
    </row>
    <row r="689">
      <c r="A689" s="12" t="inlineStr">
        <is>
          <t>Wil</t>
        </is>
      </c>
      <c r="B689" s="12" t="inlineStr">
        <is>
          <t>St. Gallen</t>
        </is>
      </c>
      <c r="C689" s="12" t="inlineStr">
        <is>
          <t>C5</t>
        </is>
      </c>
      <c r="D689" s="16" t="inlineStr">
        <is>
          <t>https://www.stadtwil.ch/auth/login?skip=0&amp;to=%2Ftopics%2Fbauen-und-planen%2Fwil-vivendo%2Fortsplanungsrevision%2Fnews%2Fbisherige-uberlegungen-wurden-breit-gespiegelt%2Fe-mitwirkung-mitmachen-ist-angesagt</t>
        </is>
      </c>
      <c r="E689" s="12" t="inlineStr">
        <is>
          <t>Anmelden</t>
        </is>
      </c>
      <c r="F689" s="12" t="inlineStr">
        <is>
          <t>nein</t>
        </is>
      </c>
      <c r="G689" s="12" t="inlineStr">
        <is>
          <t>https://www.stadtwil.ch/topics/bauen-und-planen/wil-vivendo/ortsplanungsrevision/news/bisherige-uberlegungen-wurden-breit-gespiegelt/e-mitwirkung-mitmachen-ist-angesagt</t>
        </is>
      </c>
      <c r="H689" s="12" t="inlineStr">
        <is>
          <t>Unterseite</t>
        </is>
      </c>
      <c r="I689" s="12" t="inlineStr">
        <is>
          <t>Nein</t>
        </is>
      </c>
      <c r="J689" s="12" t="inlineStr">
        <is>
          <t>Ungeprüft – nicht kuratiert</t>
        </is>
      </c>
    </row>
    <row r="690">
      <c r="A690" s="12" t="inlineStr">
        <is>
          <t>Wil</t>
        </is>
      </c>
      <c r="B690" s="12" t="inlineStr">
        <is>
          <t>St. Gallen</t>
        </is>
      </c>
      <c r="C690" s="12" t="inlineStr">
        <is>
          <t>C5</t>
        </is>
      </c>
      <c r="D690" s="16" t="inlineStr">
        <is>
          <t>https://www.stadtwil.ch/auth/login?skip=0&amp;to=%2Ftopics%2Fbauen-und-planen%2Fwil-vivendo%2Fortsplanungsrevision%2Fnews%2Fhalbzeit-mitwirkung%2Faufloesung-der-frage</t>
        </is>
      </c>
      <c r="E690" s="12" t="inlineStr">
        <is>
          <t>Anmelden</t>
        </is>
      </c>
      <c r="F690" s="12" t="inlineStr">
        <is>
          <t>nein</t>
        </is>
      </c>
      <c r="G690" s="12" t="inlineStr">
        <is>
          <t>https://www.stadtwil.ch/topics/bauen-und-planen/wil-vivendo/ortsplanungsrevision/news/halbzeit-mitwirkung/aufloesung-der-frage</t>
        </is>
      </c>
      <c r="H690" s="12" t="inlineStr">
        <is>
          <t>Unterseite</t>
        </is>
      </c>
      <c r="I690" s="12" t="inlineStr">
        <is>
          <t>Nein</t>
        </is>
      </c>
      <c r="J690" s="12" t="inlineStr">
        <is>
          <t>Ungeprüft – nicht kuratiert</t>
        </is>
      </c>
    </row>
    <row r="691">
      <c r="A691" s="12" t="inlineStr">
        <is>
          <t>Wil</t>
        </is>
      </c>
      <c r="B691" s="12" t="inlineStr">
        <is>
          <t>St. Gallen</t>
        </is>
      </c>
      <c r="C691" s="12" t="inlineStr">
        <is>
          <t>C5</t>
        </is>
      </c>
      <c r="D691" s="16" t="inlineStr">
        <is>
          <t>https://www.stadtwil.ch/auth/login?skip=0&amp;to=%2Ftopics%2Fbauen-und-planen%2Fwil-vivendo%2Fortsplanungsrevision%2Fnews%2Fhalbzeit-mitwirkung%2Feditorial</t>
        </is>
      </c>
      <c r="E691" s="12" t="inlineStr">
        <is>
          <t>Anmelden</t>
        </is>
      </c>
      <c r="F691" s="12" t="inlineStr">
        <is>
          <t>nein</t>
        </is>
      </c>
      <c r="G691" s="12" t="inlineStr">
        <is>
          <t>https://www.stadtwil.ch/topics/bauen-und-planen/wil-vivendo/ortsplanungsrevision/news/halbzeit-mitwirkung/editorial</t>
        </is>
      </c>
      <c r="H691" s="12" t="inlineStr">
        <is>
          <t>Unterseite</t>
        </is>
      </c>
      <c r="I691" s="12" t="inlineStr">
        <is>
          <t>Nein</t>
        </is>
      </c>
      <c r="J691" s="12" t="inlineStr">
        <is>
          <t>Ungeprüft – nicht kuratiert</t>
        </is>
      </c>
    </row>
    <row r="692">
      <c r="A692" s="12" t="inlineStr">
        <is>
          <t>Wil</t>
        </is>
      </c>
      <c r="B692" s="12" t="inlineStr">
        <is>
          <t>St. Gallen</t>
        </is>
      </c>
      <c r="C692" s="12" t="inlineStr">
        <is>
          <t>C5</t>
        </is>
      </c>
      <c r="D692" s="16" t="inlineStr">
        <is>
          <t>https://www.stadtwil.ch/auth/login?skip=0&amp;to=%2Ftopics%2Fbauen-und-planen%2Fwil-vivendo%2Fortsplanungsrevision%2Fnews%2Fstart-offentliche-mitwirkung</t>
        </is>
      </c>
      <c r="E692" s="12" t="inlineStr">
        <is>
          <t>Anmelden</t>
        </is>
      </c>
      <c r="F692" s="12" t="inlineStr">
        <is>
          <t>nein</t>
        </is>
      </c>
      <c r="G692" s="12" t="inlineStr">
        <is>
          <t>https://www.stadtwil.ch/topics/bauen-und-planen/wil-vivendo/ortsplanungsrevision/news/start-offentliche-mitwirkung</t>
        </is>
      </c>
      <c r="H692" s="12" t="inlineStr">
        <is>
          <t>Unterseite</t>
        </is>
      </c>
      <c r="I692" s="12" t="inlineStr">
        <is>
          <t>Nein</t>
        </is>
      </c>
      <c r="J692" s="12" t="inlineStr">
        <is>
          <t>Ungeprüft – nicht kuratiert</t>
        </is>
      </c>
    </row>
    <row r="693">
      <c r="A693" s="12" t="inlineStr">
        <is>
          <t>Wil</t>
        </is>
      </c>
      <c r="B693" s="12" t="inlineStr">
        <is>
          <t>St. Gallen</t>
        </is>
      </c>
      <c r="C693" s="12" t="inlineStr">
        <is>
          <t>C5</t>
        </is>
      </c>
      <c r="D693" s="16" t="inlineStr">
        <is>
          <t>https://www.stadtwil.ch/auth/login?skip=0&amp;to=%2Ftopics%2Fbauen-und-planen%2Fwil-vivendo%2Fortsplanungsrevision%2Fveranstaltungen-und-mitwirkung%2Fmitwirkungen%2Fmitwirkung-zum-richtplan-siedlung-sowie-gruen-freiraeume</t>
        </is>
      </c>
      <c r="E693" s="12" t="inlineStr">
        <is>
          <t>Anmelden</t>
        </is>
      </c>
      <c r="F693" s="12" t="inlineStr">
        <is>
          <t>nein</t>
        </is>
      </c>
      <c r="G693" s="12" t="inlineStr">
        <is>
          <t>https://www.stadtwil.ch/topics/bauen-und-planen/wil-vivendo/ortsplanungsrevision/veranstaltungen-und-mitwirkung/mitwirkungen/mitwirkung-zum-richtplan-siedlung-sowie-gruen-freiraeume</t>
        </is>
      </c>
      <c r="H693" s="12" t="inlineStr">
        <is>
          <t>Unterseite</t>
        </is>
      </c>
      <c r="I693" s="12" t="inlineStr">
        <is>
          <t>Nein</t>
        </is>
      </c>
      <c r="J693" s="12" t="inlineStr">
        <is>
          <t>Ungeprüft – nicht kuratiert</t>
        </is>
      </c>
    </row>
    <row r="694">
      <c r="A694" s="12" t="inlineStr">
        <is>
          <t>Wil</t>
        </is>
      </c>
      <c r="B694" s="12" t="inlineStr">
        <is>
          <t>St. Gallen</t>
        </is>
      </c>
      <c r="C694" s="12" t="inlineStr">
        <is>
          <t>C5</t>
        </is>
      </c>
      <c r="D694" s="16" t="inlineStr">
        <is>
          <t>https://www.stadtwil.ch/auth/login?skip=0&amp;to=%2Ftopics%2Fbauen-und-planen%2Fwil-vivendo%2Fortsplanungsrevision%2Fveranstaltungen-und-mitwirkung%2Fstrategiekonferenzen%2F2-strategiekonferenz</t>
        </is>
      </c>
      <c r="E694" s="12" t="inlineStr">
        <is>
          <t>Anmelden</t>
        </is>
      </c>
      <c r="F694" s="12" t="inlineStr">
        <is>
          <t>nein</t>
        </is>
      </c>
      <c r="G694" s="12" t="inlineStr">
        <is>
          <t>https://www.stadtwil.ch/topics/bauen-und-planen/wil-vivendo/ortsplanungsrevision/veranstaltungen-und-mitwirkung/strategiekonferenzen/2-strategiekonferenz</t>
        </is>
      </c>
      <c r="H694" s="12" t="inlineStr">
        <is>
          <t>Unterseite</t>
        </is>
      </c>
      <c r="I694" s="12" t="inlineStr">
        <is>
          <t>Nein</t>
        </is>
      </c>
      <c r="J694" s="12" t="inlineStr">
        <is>
          <t>Ungeprüft – nicht kuratiert</t>
        </is>
      </c>
    </row>
    <row r="695">
      <c r="A695" s="12" t="inlineStr">
        <is>
          <t>Wil</t>
        </is>
      </c>
      <c r="B695" s="12" t="inlineStr">
        <is>
          <t>St. Gallen</t>
        </is>
      </c>
      <c r="C695" s="12" t="inlineStr">
        <is>
          <t>C5</t>
        </is>
      </c>
      <c r="D695" s="16" t="inlineStr">
        <is>
          <t>https://www.stadtwil.ch/auth/login?skip=0&amp;to=%2Ftopics%2Fbauen-und-planen%2Fwil-vivendo%2Fortsplanungsrevision%2Fveranstaltungen-und-mitwirkung%2Fstrategiekonferenzen%2F3-strategiekonferenz</t>
        </is>
      </c>
      <c r="E695" s="12" t="inlineStr">
        <is>
          <t>Anmelden</t>
        </is>
      </c>
      <c r="F695" s="12" t="inlineStr">
        <is>
          <t>nein</t>
        </is>
      </c>
      <c r="G695" s="12" t="inlineStr">
        <is>
          <t>https://www.stadtwil.ch/topics/bauen-und-planen/wil-vivendo/ortsplanungsrevision/veranstaltungen-und-mitwirkung/strategiekonferenzen/3-strategiekonferenz</t>
        </is>
      </c>
      <c r="H695" s="12" t="inlineStr">
        <is>
          <t>Unterseite</t>
        </is>
      </c>
      <c r="I695" s="12" t="inlineStr">
        <is>
          <t>Nein</t>
        </is>
      </c>
      <c r="J695" s="12" t="inlineStr">
        <is>
          <t>Ungeprüft – nicht kuratiert</t>
        </is>
      </c>
    </row>
    <row r="696">
      <c r="A696" s="12" t="inlineStr">
        <is>
          <t>Wil</t>
        </is>
      </c>
      <c r="B696" s="12" t="inlineStr">
        <is>
          <t>St. Gallen</t>
        </is>
      </c>
      <c r="C696" s="12" t="inlineStr">
        <is>
          <t>C5</t>
        </is>
      </c>
      <c r="D696" s="16" t="inlineStr">
        <is>
          <t>https://www.stadtwil.ch/auth/login?skip=0&amp;to=%2Ftopics%2Fbauen-und-planen%2Fwil-vivendo%2Fortsplanungsrevision%2Fveranstaltungen-und-mitwirkung%2Fstrategiekonferenzen%2F4-ortsplanungskonferenze</t>
        </is>
      </c>
      <c r="E696" s="12" t="inlineStr">
        <is>
          <t>Anmelden</t>
        </is>
      </c>
      <c r="F696" s="12" t="inlineStr">
        <is>
          <t>nein</t>
        </is>
      </c>
      <c r="G696" s="12" t="inlineStr">
        <is>
          <t>https://www.stadtwil.ch/topics/bauen-und-planen/wil-vivendo/ortsplanungsrevision/veranstaltungen-und-mitwirkung/strategiekonferenzen/4-ortsplanungskonferenze</t>
        </is>
      </c>
      <c r="H696" s="12" t="inlineStr">
        <is>
          <t>Unterseite</t>
        </is>
      </c>
      <c r="I696" s="12" t="inlineStr">
        <is>
          <t>Nein</t>
        </is>
      </c>
      <c r="J696" s="12" t="inlineStr">
        <is>
          <t>Ungeprüft – nicht kuratiert</t>
        </is>
      </c>
    </row>
    <row r="697">
      <c r="A697" s="12" t="inlineStr">
        <is>
          <t>Wil</t>
        </is>
      </c>
      <c r="B697" s="12" t="inlineStr">
        <is>
          <t>St. Gallen</t>
        </is>
      </c>
      <c r="C697" s="12" t="inlineStr">
        <is>
          <t>C5</t>
        </is>
      </c>
      <c r="D697" s="16" t="inlineStr">
        <is>
          <t>https://www.stadtwil.ch/auth/login?skip=0&amp;to=%2Ftopics%2Fbauen-und-planen%2Fwil-vivendo%2Fortsplanungsrevision%2Fveranstaltungen-und-mitwirkung%2Fstrategiekonferenzen%2Fstrategiekonferenz-1-am-30-august-2024</t>
        </is>
      </c>
      <c r="E697" s="12" t="inlineStr">
        <is>
          <t>Anmelden</t>
        </is>
      </c>
      <c r="F697" s="12" t="inlineStr">
        <is>
          <t>nein</t>
        </is>
      </c>
      <c r="G697" s="12" t="inlineStr">
        <is>
          <t>https://www.stadtwil.ch/topics/bauen-und-planen/wil-vivendo/ortsplanungsrevision/veranstaltungen-und-mitwirkung/strategiekonferenzen/strategiekonferenz-1-am-30-august-2024</t>
        </is>
      </c>
      <c r="H697" s="12" t="inlineStr">
        <is>
          <t>Unterseite</t>
        </is>
      </c>
      <c r="I697" s="12" t="inlineStr">
        <is>
          <t>Nein</t>
        </is>
      </c>
      <c r="J697" s="12" t="inlineStr">
        <is>
          <t>Ungeprüft – nicht kuratiert</t>
        </is>
      </c>
    </row>
    <row r="698">
      <c r="A698" s="12" t="inlineStr">
        <is>
          <t>Wil</t>
        </is>
      </c>
      <c r="B698" s="12" t="inlineStr">
        <is>
          <t>St. Gallen</t>
        </is>
      </c>
      <c r="C698" s="12" t="inlineStr">
        <is>
          <t>C5</t>
        </is>
      </c>
      <c r="D698" s="16" t="inlineStr">
        <is>
          <t>https://www.stadtwil.ch/auth/login?skip=0&amp;to=%2Ftopics%2Fbauen-und-planen%2Fwil-vivendo%2Fortsplanungsrevision%2Fveranstaltungen-und-mitwirkung%2Fveranstaltungen</t>
        </is>
      </c>
      <c r="E698" s="12" t="inlineStr">
        <is>
          <t>Anmelden</t>
        </is>
      </c>
      <c r="F698" s="12" t="inlineStr">
        <is>
          <t>nein</t>
        </is>
      </c>
      <c r="G698" s="12" t="inlineStr">
        <is>
          <t>https://www.stadtwil.ch/topics/bauen-und-planen/wil-vivendo/ortsplanungsrevision/veranstaltungen-und-mitwirkung/veranstaltungen</t>
        </is>
      </c>
      <c r="H698" s="12" t="inlineStr">
        <is>
          <t>Unterseite</t>
        </is>
      </c>
      <c r="I698" s="12" t="inlineStr">
        <is>
          <t>Nein</t>
        </is>
      </c>
      <c r="J698" s="12" t="inlineStr">
        <is>
          <t>Ungeprüft – nicht kuratiert</t>
        </is>
      </c>
    </row>
    <row r="699">
      <c r="A699" s="12" t="inlineStr">
        <is>
          <t>Wil</t>
        </is>
      </c>
      <c r="B699" s="12" t="inlineStr">
        <is>
          <t>St. Gallen</t>
        </is>
      </c>
      <c r="C699" s="12" t="inlineStr">
        <is>
          <t>C5</t>
        </is>
      </c>
      <c r="D699" s="16" t="inlineStr">
        <is>
          <t>https://www.stadtwil.ch/auth/login?skip=0&amp;to=%2Ftopics%2Fbauen-und-planen%2Fwil-vivendo%2Fsiedlung%2Fschulraumplanung%2Frueckblick-mitwirkung</t>
        </is>
      </c>
      <c r="E699" s="12" t="inlineStr">
        <is>
          <t>Anmelden</t>
        </is>
      </c>
      <c r="F699" s="12" t="inlineStr">
        <is>
          <t>nein</t>
        </is>
      </c>
      <c r="G699" s="12" t="inlineStr">
        <is>
          <t>https://www.stadtwil.ch/topics/bauen-und-planen/wil-vivendo/siedlung/schulraumplanung/rueckblick-mitwirkung</t>
        </is>
      </c>
      <c r="H699" s="12" t="inlineStr">
        <is>
          <t>Unterseite</t>
        </is>
      </c>
      <c r="I699" s="12" t="inlineStr">
        <is>
          <t>Nein</t>
        </is>
      </c>
      <c r="J699" s="12" t="inlineStr">
        <is>
          <t>Ungeprüft – nicht kuratiert</t>
        </is>
      </c>
    </row>
    <row r="700">
      <c r="A700" s="12" t="inlineStr">
        <is>
          <t>Wil</t>
        </is>
      </c>
      <c r="B700" s="12" t="inlineStr">
        <is>
          <t>St. Gallen</t>
        </is>
      </c>
      <c r="C700" s="12" t="inlineStr">
        <is>
          <t>C5</t>
        </is>
      </c>
      <c r="D700" s="16" t="inlineStr">
        <is>
          <t>https://www.stadtwil.ch/auth/login?skip=0&amp;to=%2Ftopics%2Fbildung%2Felternmitwirkung</t>
        </is>
      </c>
      <c r="E700" s="12" t="inlineStr">
        <is>
          <t>Anmelden</t>
        </is>
      </c>
      <c r="F700" s="12" t="inlineStr">
        <is>
          <t>nein</t>
        </is>
      </c>
      <c r="G700" s="12" t="inlineStr">
        <is>
          <t>https://www.stadtwil.ch/topics/bildung/elternmitwirkung</t>
        </is>
      </c>
      <c r="H700" s="12" t="inlineStr">
        <is>
          <t>Unterseite</t>
        </is>
      </c>
      <c r="I700" s="12" t="inlineStr">
        <is>
          <t>Nein</t>
        </is>
      </c>
      <c r="J700" s="12" t="inlineStr">
        <is>
          <t>Ungeprüft – nicht kuratiert</t>
        </is>
      </c>
    </row>
    <row r="701">
      <c r="A701" s="12" t="inlineStr">
        <is>
          <t>Wil</t>
        </is>
      </c>
      <c r="B701" s="12" t="inlineStr">
        <is>
          <t>St. Gallen</t>
        </is>
      </c>
      <c r="C701" s="12" t="inlineStr">
        <is>
          <t>C5</t>
        </is>
      </c>
      <c r="D701" s="16" t="inlineStr">
        <is>
          <t>https://www.stadtwil.ch/auth/login?skip=0&amp;to=%2Ftopics%2Fkinder-jugendliche-und-familie%2Fjugendliche%2Fjugendparlament</t>
        </is>
      </c>
      <c r="E701" s="12" t="inlineStr">
        <is>
          <t>Anmelden</t>
        </is>
      </c>
      <c r="F701" s="12" t="inlineStr">
        <is>
          <t>nein</t>
        </is>
      </c>
      <c r="G701" s="12" t="inlineStr">
        <is>
          <t>https://www.stadtwil.ch/topics/kinder-jugendliche-und-familie/jugendliche/jugendparlament</t>
        </is>
      </c>
      <c r="H701" s="12" t="inlineStr">
        <is>
          <t>Unterseite</t>
        </is>
      </c>
      <c r="I701" s="12" t="inlineStr">
        <is>
          <t>Nein</t>
        </is>
      </c>
      <c r="J701" s="12" t="inlineStr">
        <is>
          <t>Ungeprüft – nicht kuratiert</t>
        </is>
      </c>
    </row>
    <row r="702">
      <c r="A702" s="12" t="inlineStr">
        <is>
          <t>Wil</t>
        </is>
      </c>
      <c r="B702" s="12" t="inlineStr">
        <is>
          <t>St. Gallen</t>
        </is>
      </c>
      <c r="C702" s="12" t="inlineStr">
        <is>
          <t>C5</t>
        </is>
      </c>
      <c r="D702" s="16" t="inlineStr">
        <is>
          <t>https://www.stadtwil.ch/auth/login?skip=0&amp;to=%2Ftopics%2Fsport%2Fsportfoerderung%2Fleitbild-sport</t>
        </is>
      </c>
      <c r="E702" s="12" t="inlineStr">
        <is>
          <t>Anmelden</t>
        </is>
      </c>
      <c r="F702" s="12" t="inlineStr">
        <is>
          <t>nein</t>
        </is>
      </c>
      <c r="G702" s="12" t="inlineStr">
        <is>
          <t>https://www.stadtwil.ch/topics/sport/sportfoerderung/leitbild-sport</t>
        </is>
      </c>
      <c r="H702" s="12" t="inlineStr">
        <is>
          <t>Unterseite</t>
        </is>
      </c>
      <c r="I702" s="12" t="inlineStr">
        <is>
          <t>Nein</t>
        </is>
      </c>
      <c r="J702" s="12" t="inlineStr">
        <is>
          <t>Ungeprüft – nicht kuratiert</t>
        </is>
      </c>
    </row>
    <row r="703">
      <c r="A703" s="12" t="inlineStr">
        <is>
          <t>Wil</t>
        </is>
      </c>
      <c r="B703" s="12" t="inlineStr">
        <is>
          <t>St. Gallen</t>
        </is>
      </c>
      <c r="C703" s="12" t="inlineStr">
        <is>
          <t>C5</t>
        </is>
      </c>
      <c r="D703" s="16" t="inlineStr">
        <is>
          <t>https://www.stadtwil.ch/auth/login?skip=0&amp;to=%2Ftopics%2Fstadt-politik-und-recht%2Fabstimmungen-und-wahlen%2F2026-kommende-abstimmungen%2F2026-kommende-abstimmungen-und-wahlen%2F27-09-2026-eidgenoessisches-blankodatum</t>
        </is>
      </c>
      <c r="E703" s="12" t="inlineStr">
        <is>
          <t>Anmelden</t>
        </is>
      </c>
      <c r="F703" s="12" t="inlineStr">
        <is>
          <t>nein</t>
        </is>
      </c>
      <c r="G703" s="12" t="inlineStr">
        <is>
          <t>https://www.stadtwil.ch/topics/stadt-politik-und-recht/abstimmungen-und-wahlen/2026-kommende-abstimmungen/2026-kommende-abstimmungen-und-wahlen/27-09-2026-eidgenoessisches-blankodatum</t>
        </is>
      </c>
      <c r="H703" s="12" t="inlineStr">
        <is>
          <t>Unterseite</t>
        </is>
      </c>
      <c r="I703" s="12" t="inlineStr">
        <is>
          <t>Nein</t>
        </is>
      </c>
      <c r="J703" s="12" t="inlineStr">
        <is>
          <t>Ungeprüft – nicht kuratiert</t>
        </is>
      </c>
    </row>
    <row r="704">
      <c r="A704" s="12" t="inlineStr">
        <is>
          <t>Wil</t>
        </is>
      </c>
      <c r="B704" s="12" t="inlineStr">
        <is>
          <t>St. Gallen</t>
        </is>
      </c>
      <c r="C704" s="12" t="inlineStr">
        <is>
          <t>C5</t>
        </is>
      </c>
      <c r="D704" s="16" t="inlineStr">
        <is>
          <t>https://www.stadtwil.ch/auth/login?skip=0&amp;to=%2Ftopics%2Fstadt-politik-und-recht%2Fabstimmungen-und-wahlen%2F2026-kommende-abstimmungen%2F2026-kommende-abstimmungen-und-wahlen%2F29-11-2026-eidgenoessisches-blankodatum</t>
        </is>
      </c>
      <c r="E704" s="12" t="inlineStr">
        <is>
          <t>Anmelden</t>
        </is>
      </c>
      <c r="F704" s="12" t="inlineStr">
        <is>
          <t>nein</t>
        </is>
      </c>
      <c r="G704" s="12" t="inlineStr">
        <is>
          <t>https://www.stadtwil.ch/topics/stadt-politik-und-recht/abstimmungen-und-wahlen/2026-kommende-abstimmungen/2026-kommende-abstimmungen-und-wahlen/29-11-2026-eidgenoessisches-blankodatum</t>
        </is>
      </c>
      <c r="H704" s="12" t="inlineStr">
        <is>
          <t>Unterseite</t>
        </is>
      </c>
      <c r="I704" s="12" t="inlineStr">
        <is>
          <t>Nein</t>
        </is>
      </c>
      <c r="J704" s="12" t="inlineStr">
        <is>
          <t>Ungeprüft – nicht kuratiert</t>
        </is>
      </c>
    </row>
    <row r="705">
      <c r="A705" s="12" t="inlineStr">
        <is>
          <t>Wil</t>
        </is>
      </c>
      <c r="B705" s="12" t="inlineStr">
        <is>
          <t>St. Gallen</t>
        </is>
      </c>
      <c r="C705" s="12" t="inlineStr">
        <is>
          <t>C5</t>
        </is>
      </c>
      <c r="D705" s="16" t="inlineStr">
        <is>
          <t>https://www.stadtwil.ch/auth/login?skip=0&amp;to=%2Ftopics%2Fstadt-politik-und-recht%2Fabstimmungen-und-wahlen%2F2026-kommende-abstimmungen%2F2027-kommende-abstimmungen-und-wahlen%2F06-06-2027-eidgenoessisches-blankodatum</t>
        </is>
      </c>
      <c r="E705" s="12" t="inlineStr">
        <is>
          <t>Anmelden</t>
        </is>
      </c>
      <c r="F705" s="12" t="inlineStr">
        <is>
          <t>nein</t>
        </is>
      </c>
      <c r="G705" s="12" t="inlineStr">
        <is>
          <t>https://www.stadtwil.ch/topics/stadt-politik-und-recht/abstimmungen-und-wahlen/2026-kommende-abstimmungen/2027-kommende-abstimmungen-und-wahlen/06-06-2027-eidgenoessisches-blankodatum</t>
        </is>
      </c>
      <c r="H705" s="12" t="inlineStr">
        <is>
          <t>Unterseite</t>
        </is>
      </c>
      <c r="I705" s="12" t="inlineStr">
        <is>
          <t>Nein</t>
        </is>
      </c>
      <c r="J705" s="12" t="inlineStr">
        <is>
          <t>Ungeprüft – nicht kuratiert</t>
        </is>
      </c>
    </row>
    <row r="706">
      <c r="A706" s="12" t="inlineStr">
        <is>
          <t>Wil</t>
        </is>
      </c>
      <c r="B706" s="12" t="inlineStr">
        <is>
          <t>St. Gallen</t>
        </is>
      </c>
      <c r="C706" s="12" t="inlineStr">
        <is>
          <t>C5</t>
        </is>
      </c>
      <c r="D706" s="16" t="inlineStr">
        <is>
          <t>https://www.stadtwil.ch/auth/login?skip=0&amp;to=%2Ftopics%2Fstadt-politik-und-recht%2Fabstimmungen-und-wahlen%2F2026-kommende-abstimmungen%2F2027-kommende-abstimmungen-und-wahlen%2F24-10-2027-eidgenoessisches-blankodatum</t>
        </is>
      </c>
      <c r="E706" s="12" t="inlineStr">
        <is>
          <t>Anmelden</t>
        </is>
      </c>
      <c r="F706" s="12" t="inlineStr">
        <is>
          <t>nein</t>
        </is>
      </c>
      <c r="G706" s="12" t="inlineStr">
        <is>
          <t>https://www.stadtwil.ch/topics/stadt-politik-und-recht/abstimmungen-und-wahlen/2026-kommende-abstimmungen/2027-kommende-abstimmungen-und-wahlen/24-10-2027-eidgenoessisches-blankodatum</t>
        </is>
      </c>
      <c r="H706" s="12" t="inlineStr">
        <is>
          <t>Unterseite</t>
        </is>
      </c>
      <c r="I706" s="12" t="inlineStr">
        <is>
          <t>Nein</t>
        </is>
      </c>
      <c r="J706" s="12" t="inlineStr">
        <is>
          <t>Ungeprüft – nicht kuratiert</t>
        </is>
      </c>
    </row>
    <row r="707">
      <c r="A707" s="12" t="inlineStr">
        <is>
          <t>Wil</t>
        </is>
      </c>
      <c r="B707" s="12" t="inlineStr">
        <is>
          <t>St. Gallen</t>
        </is>
      </c>
      <c r="C707" s="12" t="inlineStr">
        <is>
          <t>C5</t>
        </is>
      </c>
      <c r="D707" s="16" t="inlineStr">
        <is>
          <t>https://www.stadtwil.ch/auth/login?skip=0&amp;to=%2Ftopics%2Fstadt-politik-und-recht%2Fabstimmungen-und-wahlen%2F2026-kommende-abstimmungen%2F2027-kommende-abstimmungen-und-wahlen%2F28-02-2027-eidgenoessisches-blankodatum</t>
        </is>
      </c>
      <c r="E707" s="12" t="inlineStr">
        <is>
          <t>Anmelden</t>
        </is>
      </c>
      <c r="F707" s="12" t="inlineStr">
        <is>
          <t>nein</t>
        </is>
      </c>
      <c r="G707" s="12" t="inlineStr">
        <is>
          <t>https://www.stadtwil.ch/topics/stadt-politik-und-recht/abstimmungen-und-wahlen/2026-kommende-abstimmungen/2027-kommende-abstimmungen-und-wahlen/28-02-2027-eidgenoessisches-blankodatum</t>
        </is>
      </c>
      <c r="H707" s="12" t="inlineStr">
        <is>
          <t>Unterseite</t>
        </is>
      </c>
      <c r="I707" s="12" t="inlineStr">
        <is>
          <t>Nein</t>
        </is>
      </c>
      <c r="J707" s="12" t="inlineStr">
        <is>
          <t>Ungeprüft – nicht kuratiert</t>
        </is>
      </c>
    </row>
    <row r="708">
      <c r="A708" s="12" t="inlineStr">
        <is>
          <t>Wil</t>
        </is>
      </c>
      <c r="B708" s="12" t="inlineStr">
        <is>
          <t>St. Gallen</t>
        </is>
      </c>
      <c r="C708" s="12" t="inlineStr">
        <is>
          <t>C5</t>
        </is>
      </c>
      <c r="D708" s="16" t="inlineStr">
        <is>
          <t>https://www.stadtwil.ch/auth/login?skip=0&amp;to=%2Ftopics%2Fstadt-politik-und-recht%2Fabstimmungen-und-wahlen%2F2026-kommende-abstimmungen%2F2027-kommende-abstimmungen-und-wahlen%2F28-11-2027-eidgenoessisches-blankodatum</t>
        </is>
      </c>
      <c r="E708" s="12" t="inlineStr">
        <is>
          <t>Anmelden</t>
        </is>
      </c>
      <c r="F708" s="12" t="inlineStr">
        <is>
          <t>nein</t>
        </is>
      </c>
      <c r="G708" s="12" t="inlineStr">
        <is>
          <t>https://www.stadtwil.ch/topics/stadt-politik-und-recht/abstimmungen-und-wahlen/2026-kommende-abstimmungen/2027-kommende-abstimmungen-und-wahlen/28-11-2027-eidgenoessisches-blankodatum</t>
        </is>
      </c>
      <c r="H708" s="12" t="inlineStr">
        <is>
          <t>Unterseite</t>
        </is>
      </c>
      <c r="I708" s="12" t="inlineStr">
        <is>
          <t>Nein</t>
        </is>
      </c>
      <c r="J708" s="12" t="inlineStr">
        <is>
          <t>Ungeprüft – nicht kuratiert</t>
        </is>
      </c>
    </row>
    <row r="709">
      <c r="A709" s="12" t="inlineStr">
        <is>
          <t>Wil</t>
        </is>
      </c>
      <c r="B709" s="12" t="inlineStr">
        <is>
          <t>St. Gallen</t>
        </is>
      </c>
      <c r="C709" s="12" t="inlineStr">
        <is>
          <t>C5</t>
        </is>
      </c>
      <c r="D709" s="16" t="inlineStr">
        <is>
          <t>https://www.stadtwil.ch/auth/login?skip=0&amp;to=%2Ftopics%2Fstadt-politik-und-recht%2Fabstimmungen-und-wahlen%2Faktuelle-ergebnisse</t>
        </is>
      </c>
      <c r="E709" s="12" t="inlineStr">
        <is>
          <t>Anmelden</t>
        </is>
      </c>
      <c r="F709" s="12" t="inlineStr">
        <is>
          <t>nein</t>
        </is>
      </c>
      <c r="G709" s="12" t="inlineStr">
        <is>
          <t>https://www.stadtwil.ch/topics/stadt-politik-und-recht/abstimmungen-und-wahlen/aktuelle-ergebnisse</t>
        </is>
      </c>
      <c r="H709" s="12" t="inlineStr">
        <is>
          <t>Unterseite</t>
        </is>
      </c>
      <c r="I709" s="12" t="inlineStr">
        <is>
          <t>Nein</t>
        </is>
      </c>
      <c r="J709" s="12" t="inlineStr">
        <is>
          <t>Ungeprüft – nicht kuratiert</t>
        </is>
      </c>
    </row>
    <row r="710">
      <c r="A710" s="12" t="inlineStr">
        <is>
          <t>Wil</t>
        </is>
      </c>
      <c r="B710" s="12" t="inlineStr">
        <is>
          <t>St. Gallen</t>
        </is>
      </c>
      <c r="C710" s="12" t="inlineStr">
        <is>
          <t>C5</t>
        </is>
      </c>
      <c r="D710" s="16" t="inlineStr">
        <is>
          <t>https://www.stadtwil.ch/meeting/444e7874c34f40a7b7b575c6cb99dec6</t>
        </is>
      </c>
      <c r="E710" s="12" t="inlineStr">
        <is>
          <t>Sitzung des Stadtparlaments</t>
        </is>
      </c>
      <c r="F710" s="12" t="inlineStr">
        <is>
          <t>nein</t>
        </is>
      </c>
      <c r="G710" s="12" t="inlineStr">
        <is>
          <t>https://www.stadtwil.ch/political-business/28da2d58a16b4b85b0504eeaa7e396dc</t>
        </is>
      </c>
      <c r="H710" s="12" t="inlineStr">
        <is>
          <t>Einstiegsseite</t>
        </is>
      </c>
      <c r="I710" s="12" t="inlineStr">
        <is>
          <t>Nein</t>
        </is>
      </c>
      <c r="J710" s="12" t="inlineStr">
        <is>
          <t>Ungeprüft – nicht kuratiert</t>
        </is>
      </c>
    </row>
    <row r="711">
      <c r="A711" s="12" t="inlineStr">
        <is>
          <t>Wil</t>
        </is>
      </c>
      <c r="B711" s="12" t="inlineStr">
        <is>
          <t>St. Gallen</t>
        </is>
      </c>
      <c r="C711" s="12" t="inlineStr">
        <is>
          <t>C5</t>
        </is>
      </c>
      <c r="D711" s="16" t="inlineStr">
        <is>
          <t>https://www.stadtwil.ch/storage/088a20259e10bb81e5a5cfd8124c13374ad9b4896295230c069067cd32d4ce5d</t>
        </is>
      </c>
      <c r="E711" s="12" t="inlineStr">
        <is>
          <t>Abstimmungsbroschüre</t>
        </is>
      </c>
      <c r="F711" s="12" t="inlineStr">
        <is>
          <t>nein</t>
        </is>
      </c>
      <c r="G711" s="12" t="inlineStr">
        <is>
          <t>https://www.stadtwil.ch/topics/stadt-politik-und-recht/abstimmungen-und-wahlen/2026-kommende-abstimmungen/2026-kommende-abstimmungen-und-wahlen/27-09-2026-eidgenoessisches-blankodatum</t>
        </is>
      </c>
      <c r="H711" s="12" t="inlineStr">
        <is>
          <t>Unterseite</t>
        </is>
      </c>
      <c r="I711" s="12" t="inlineStr">
        <is>
          <t>Nein</t>
        </is>
      </c>
      <c r="J711" s="12" t="inlineStr">
        <is>
          <t>Ungeprüft – nicht kuratiert</t>
        </is>
      </c>
    </row>
    <row r="712">
      <c r="A712" s="12" t="inlineStr">
        <is>
          <t>Wil</t>
        </is>
      </c>
      <c r="B712" s="12" t="inlineStr">
        <is>
          <t>St. Gallen</t>
        </is>
      </c>
      <c r="C712" s="12" t="inlineStr">
        <is>
          <t>C5</t>
        </is>
      </c>
      <c r="D712" s="16" t="inlineStr">
        <is>
          <t>https://www.stadtwil.ch/storage/1b4765efbafbefc15fc64cf1bfc688afb0e9e90ed7497a5c73733856005bd031</t>
        </is>
      </c>
      <c r="E712" s="12" t="inlineStr">
        <is>
          <t>OPR-Mitwirkungsbericht Siedlung Grün-Freiraum</t>
        </is>
      </c>
      <c r="F712" s="12" t="inlineStr">
        <is>
          <t>nein</t>
        </is>
      </c>
      <c r="G712" s="12" t="inlineStr">
        <is>
          <t>https://www.stadtwil.ch/topics/bauen-und-planen/wil-vivendo/ortsplanungsrevision/veranstaltungen-und-mitwirkung/mitwirkungen/mitwirkung-zum-richtplan-siedlung-sowie-gruen-freiraeume</t>
        </is>
      </c>
      <c r="H712" s="12" t="inlineStr">
        <is>
          <t>Unterseite</t>
        </is>
      </c>
      <c r="I712" s="12" t="inlineStr">
        <is>
          <t>Nein</t>
        </is>
      </c>
      <c r="J712" s="12" t="inlineStr">
        <is>
          <t>Ungeprüft – nicht kuratiert</t>
        </is>
      </c>
    </row>
    <row r="713">
      <c r="A713" s="12" t="inlineStr">
        <is>
          <t>Wil</t>
        </is>
      </c>
      <c r="B713" s="12" t="inlineStr">
        <is>
          <t>St. Gallen</t>
        </is>
      </c>
      <c r="C713" s="12" t="inlineStr">
        <is>
          <t>C5</t>
        </is>
      </c>
      <c r="D713" s="16" t="inlineStr">
        <is>
          <t>https://www.stadtwil.ch/storage/8e977f4e9cada5e8fe9140b3b89dd2d65730a957f233c5ea828624ee6ce7a67c</t>
        </is>
      </c>
      <c r="E713" s="12" t="inlineStr">
        <is>
          <t>Sport der Stadt Wil Leitbild 2023</t>
        </is>
      </c>
      <c r="F713" s="12" t="inlineStr">
        <is>
          <t>nein</t>
        </is>
      </c>
      <c r="G713" s="12" t="inlineStr">
        <is>
          <t>https://www.stadtwil.ch/topics/sport/sportfoerderung/leitbild-sport</t>
        </is>
      </c>
      <c r="H713" s="12" t="inlineStr">
        <is>
          <t>Unterseite</t>
        </is>
      </c>
      <c r="I713" s="12" t="inlineStr">
        <is>
          <t>Nein</t>
        </is>
      </c>
      <c r="J713" s="12" t="inlineStr">
        <is>
          <t>Ungeprüft – nicht kuratiert</t>
        </is>
      </c>
    </row>
    <row r="714">
      <c r="A714" s="12" t="inlineStr">
        <is>
          <t>Wil</t>
        </is>
      </c>
      <c r="B714" s="12" t="inlineStr">
        <is>
          <t>St. Gallen</t>
        </is>
      </c>
      <c r="C714" s="12" t="inlineStr">
        <is>
          <t>C5</t>
        </is>
      </c>
      <c r="D714" s="16" t="inlineStr">
        <is>
          <t>https://www.stadtwil.ch/storage/bb298f2c3ce9bfb1480c586dfa9c66a9b99f4a775a9d65ea869a8adddb3b9693</t>
        </is>
      </c>
      <c r="E714" s="12" t="inlineStr">
        <is>
          <t>Altersleitbild der Stadt Wil</t>
        </is>
      </c>
      <c r="F714" s="12" t="inlineStr">
        <is>
          <t>nein</t>
        </is>
      </c>
      <c r="G714" s="12" t="inlineStr">
        <is>
          <t>https://www.stadtwil.ch/topics/alter/aktivitaet-und-mitwirkung</t>
        </is>
      </c>
      <c r="H714" s="12" t="inlineStr">
        <is>
          <t>Unterseite</t>
        </is>
      </c>
      <c r="I714" s="12" t="inlineStr">
        <is>
          <t>Nein</t>
        </is>
      </c>
      <c r="J714" s="12" t="inlineStr">
        <is>
          <t>Ungeprüft – nicht kuratiert</t>
        </is>
      </c>
    </row>
    <row r="715">
      <c r="A715" s="12" t="inlineStr">
        <is>
          <t>Wil</t>
        </is>
      </c>
      <c r="B715" s="12" t="inlineStr">
        <is>
          <t>St. Gallen</t>
        </is>
      </c>
      <c r="C715" s="12" t="inlineStr">
        <is>
          <t>C5</t>
        </is>
      </c>
      <c r="D715" s="16" t="inlineStr">
        <is>
          <t>https://www.stadtwil.ch/storage/d88eb4851dead2a157160e532c982b8753bf002afa0cb8d9ae834fb998c4c6ba</t>
        </is>
      </c>
      <c r="E715" s="12" t="inlineStr">
        <is>
          <t>Schule Statut Elternmitwirkung</t>
        </is>
      </c>
      <c r="F715" s="12" t="inlineStr">
        <is>
          <t>nein</t>
        </is>
      </c>
      <c r="G715" s="12" t="inlineStr">
        <is>
          <t>https://www.stadtwil.ch/topics/bildung/elternmitwirkung</t>
        </is>
      </c>
      <c r="H715" s="12" t="inlineStr">
        <is>
          <t>Unterseite</t>
        </is>
      </c>
      <c r="I715" s="12" t="inlineStr">
        <is>
          <t>Nein</t>
        </is>
      </c>
      <c r="J715" s="12" t="inlineStr">
        <is>
          <t>Ungeprüft – nicht kuratiert</t>
        </is>
      </c>
    </row>
    <row r="716">
      <c r="A716" s="12" t="inlineStr">
        <is>
          <t>Wil</t>
        </is>
      </c>
      <c r="B716" s="12" t="inlineStr">
        <is>
          <t>St. Gallen</t>
        </is>
      </c>
      <c r="C716" s="12" t="inlineStr">
        <is>
          <t>C5</t>
        </is>
      </c>
      <c r="D716" s="16" t="inlineStr">
        <is>
          <t>https://www.stadtwil.ch/storage/dd90ae19a11187fb8b4e58db16f7d39b8ae467612d9a6aabc1bf979d5ea98da0</t>
        </is>
      </c>
      <c r="E716" s="12" t="inlineStr">
        <is>
          <t>Abstimmungsprotokoll_CHSG_20260927</t>
        </is>
      </c>
      <c r="F716" s="12" t="inlineStr">
        <is>
          <t>nein</t>
        </is>
      </c>
      <c r="G716" s="12" t="inlineStr">
        <is>
          <t>https://www.stadtwil.ch/topics/stadt-politik-und-recht/abstimmungen-und-wahlen/aktuelle-ergebnisse</t>
        </is>
      </c>
      <c r="H716" s="12" t="inlineStr">
        <is>
          <t>Unterseite</t>
        </is>
      </c>
      <c r="I716" s="12" t="inlineStr">
        <is>
          <t>Nein</t>
        </is>
      </c>
      <c r="J716" s="12" t="inlineStr">
        <is>
          <t>Ungeprüft – nicht kuratiert</t>
        </is>
      </c>
    </row>
    <row r="717">
      <c r="A717" s="12" t="inlineStr">
        <is>
          <t>Wil</t>
        </is>
      </c>
      <c r="B717" s="12" t="inlineStr">
        <is>
          <t>St. Gallen</t>
        </is>
      </c>
      <c r="C717" s="12" t="inlineStr">
        <is>
          <t>C5</t>
        </is>
      </c>
      <c r="D717" s="16" t="inlineStr">
        <is>
          <t>https://www.stadtwil.ch/topics/alter/aktivitaet-und-mitwirkung</t>
        </is>
      </c>
      <c r="E717" s="12" t="inlineStr">
        <is>
          <t>Alters- und Generationenpolitik</t>
        </is>
      </c>
      <c r="F717" s="12" t="inlineStr">
        <is>
          <t>nein</t>
        </is>
      </c>
      <c r="G717" s="12" t="inlineStr">
        <is>
          <t>https://www.stadtwil.ch/topics/stadt-politik-und-recht/finanzen</t>
        </is>
      </c>
      <c r="H717" s="12" t="inlineStr">
        <is>
          <t>Einstiegsseite</t>
        </is>
      </c>
      <c r="I717" s="12" t="inlineStr">
        <is>
          <t>Nein</t>
        </is>
      </c>
      <c r="J717" s="12" t="inlineStr">
        <is>
          <t>Ungeprüft – nicht kuratiert</t>
        </is>
      </c>
    </row>
    <row r="718">
      <c r="A718" s="12" t="inlineStr">
        <is>
          <t>Wil</t>
        </is>
      </c>
      <c r="B718" s="12" t="inlineStr">
        <is>
          <t>St. Gallen</t>
        </is>
      </c>
      <c r="C718" s="12" t="inlineStr">
        <is>
          <t>C5</t>
        </is>
      </c>
      <c r="D718" s="16" t="inlineStr">
        <is>
          <t>https://www.stadtwil.ch/topics/bauen-und-planen/mitwirkungen</t>
        </is>
      </c>
      <c r="E718" s="12" t="inlineStr">
        <is>
          <t>Mitwirkungen</t>
        </is>
      </c>
      <c r="F718" s="12" t="inlineStr">
        <is>
          <t>nein</t>
        </is>
      </c>
      <c r="G718" s="12" t="inlineStr">
        <is>
          <t>https://www.stadtwil.ch/topics/stadt-politik-und-recht/finanzen</t>
        </is>
      </c>
      <c r="H718" s="12" t="inlineStr">
        <is>
          <t>Einstiegsseite</t>
        </is>
      </c>
      <c r="I718" s="12" t="inlineStr">
        <is>
          <t>Nein</t>
        </is>
      </c>
      <c r="J718" s="12" t="inlineStr">
        <is>
          <t>Ungeprüft – nicht kuratiert</t>
        </is>
      </c>
    </row>
    <row r="719">
      <c r="A719" s="12" t="inlineStr">
        <is>
          <t>Wil</t>
        </is>
      </c>
      <c r="B719" s="12" t="inlineStr">
        <is>
          <t>St. Gallen</t>
        </is>
      </c>
      <c r="C719" s="12" t="inlineStr">
        <is>
          <t>C5</t>
        </is>
      </c>
      <c r="D719" s="16" t="inlineStr">
        <is>
          <t>https://www.stadtwil.ch/topics/bauen-und-planen/wil-vivendo/mobilitaet/netzergaenzung-ost-neo/veranstaltungen</t>
        </is>
      </c>
      <c r="E719" s="12" t="inlineStr">
        <is>
          <t>Veranstaltungen und Mitwirkungen</t>
        </is>
      </c>
      <c r="F719" s="12" t="inlineStr">
        <is>
          <t>nein</t>
        </is>
      </c>
      <c r="G719" s="12" t="inlineStr">
        <is>
          <t>https://www.stadtwil.ch/topics/bauen-und-planen/wil-vivendo/mobilitaet/netzergaenzung-ost-neo/veranstaltungen/mitwirkungen</t>
        </is>
      </c>
      <c r="H719" s="12" t="inlineStr">
        <is>
          <t>Unterseite</t>
        </is>
      </c>
      <c r="I719" s="12" t="inlineStr">
        <is>
          <t>Nein</t>
        </is>
      </c>
      <c r="J719" s="12" t="inlineStr">
        <is>
          <t>Ungeprüft – nicht kuratiert</t>
        </is>
      </c>
    </row>
    <row r="720">
      <c r="A720" s="12" t="inlineStr">
        <is>
          <t>Wil</t>
        </is>
      </c>
      <c r="B720" s="12" t="inlineStr">
        <is>
          <t>St. Gallen</t>
        </is>
      </c>
      <c r="C720" s="12" t="inlineStr">
        <is>
          <t>C5</t>
        </is>
      </c>
      <c r="D720" s="16" t="inlineStr">
        <is>
          <t>https://www.stadtwil.ch/topics/bauen-und-planen/wil-vivendo/mobilitaet/netzergaenzung-ost-neo/veranstaltungen/mitwirkungen</t>
        </is>
      </c>
      <c r="E720" s="12" t="inlineStr">
        <is>
          <t>Mitwirkungen</t>
        </is>
      </c>
      <c r="F720" s="12" t="inlineStr">
        <is>
          <t>nein</t>
        </is>
      </c>
      <c r="G720" s="12" t="inlineStr">
        <is>
          <t>https://www.stadtwil.ch/topics/stadt-politik-und-recht/finanzen</t>
        </is>
      </c>
      <c r="H720" s="12" t="inlineStr">
        <is>
          <t>Einstiegsseite</t>
        </is>
      </c>
      <c r="I720" s="12" t="inlineStr">
        <is>
          <t>Nein</t>
        </is>
      </c>
      <c r="J720" s="12" t="inlineStr">
        <is>
          <t>Ungeprüft – nicht kuratiert</t>
        </is>
      </c>
    </row>
    <row r="721">
      <c r="A721" s="12" t="inlineStr">
        <is>
          <t>Wil</t>
        </is>
      </c>
      <c r="B721" s="12" t="inlineStr">
        <is>
          <t>St. Gallen</t>
        </is>
      </c>
      <c r="C721" s="12" t="inlineStr">
        <is>
          <t>C5</t>
        </is>
      </c>
      <c r="D721" s="16" t="inlineStr">
        <is>
          <t>https://www.stadtwil.ch/topics/bauen-und-planen/wil-vivendo/ortsplanungsrevision/news/bisherige-uberlegungen-wurden-breit-gespiegelt/e-mitwirkung-mitmachen-ist-angesagt</t>
        </is>
      </c>
      <c r="E721" s="12" t="inlineStr">
        <is>
          <t>E-Mitwirkung - Mitmachen ist angesagt</t>
        </is>
      </c>
      <c r="F721" s="12" t="inlineStr">
        <is>
          <t>nein</t>
        </is>
      </c>
      <c r="G721" s="12" t="inlineStr">
        <is>
          <t>https://www.stadtwil.ch/topics/stadt-politik-und-recht/finanzen</t>
        </is>
      </c>
      <c r="H721" s="12" t="inlineStr">
        <is>
          <t>Einstiegsseite</t>
        </is>
      </c>
      <c r="I721" s="12" t="inlineStr">
        <is>
          <t>Nein</t>
        </is>
      </c>
      <c r="J721" s="12" t="inlineStr">
        <is>
          <t>Ungeprüft – nicht kuratiert</t>
        </is>
      </c>
    </row>
    <row r="722">
      <c r="A722" s="12" t="inlineStr">
        <is>
          <t>Wil</t>
        </is>
      </c>
      <c r="B722" s="12" t="inlineStr">
        <is>
          <t>St. Gallen</t>
        </is>
      </c>
      <c r="C722" s="12" t="inlineStr">
        <is>
          <t>C5</t>
        </is>
      </c>
      <c r="D722" s="16" t="inlineStr">
        <is>
          <t>https://www.stadtwil.ch/topics/bauen-und-planen/wil-vivendo/ortsplanungsrevision/news/halbzeit-mitwirkung</t>
        </is>
      </c>
      <c r="E722" s="12" t="inlineStr">
        <is>
          <t>Halbzeit Mitwirkung</t>
        </is>
      </c>
      <c r="F722" s="12" t="inlineStr">
        <is>
          <t>nein</t>
        </is>
      </c>
      <c r="G722" s="12" t="inlineStr">
        <is>
          <t>https://www.stadtwil.ch/topics/bauen-und-planen/wil-vivendo/ortsplanungsrevision/news/halbzeit-mitwirkung/editorial</t>
        </is>
      </c>
      <c r="H722" s="12" t="inlineStr">
        <is>
          <t>Unterseite</t>
        </is>
      </c>
      <c r="I722" s="12" t="inlineStr">
        <is>
          <t>Nein</t>
        </is>
      </c>
      <c r="J722" s="12" t="inlineStr">
        <is>
          <t>Ungeprüft – nicht kuratiert</t>
        </is>
      </c>
    </row>
    <row r="723">
      <c r="A723" s="12" t="inlineStr">
        <is>
          <t>Wil</t>
        </is>
      </c>
      <c r="B723" s="12" t="inlineStr">
        <is>
          <t>St. Gallen</t>
        </is>
      </c>
      <c r="C723" s="12" t="inlineStr">
        <is>
          <t>C5</t>
        </is>
      </c>
      <c r="D723" s="16" t="inlineStr">
        <is>
          <t>https://www.stadtwil.ch/topics/bauen-und-planen/wil-vivendo/ortsplanungsrevision/news/halbzeit-mitwirkung/aufloesung-der-frage</t>
        </is>
      </c>
      <c r="E723" s="12" t="inlineStr">
        <is>
          <t>Wie gut kennen Sie die Stadt Wil?</t>
        </is>
      </c>
      <c r="F723" s="12" t="inlineStr">
        <is>
          <t>nein</t>
        </is>
      </c>
      <c r="G723" s="12" t="inlineStr">
        <is>
          <t>https://www.stadtwil.ch/topics/stadt-politik-und-recht/finanzen</t>
        </is>
      </c>
      <c r="H723" s="12" t="inlineStr">
        <is>
          <t>Einstiegsseite</t>
        </is>
      </c>
      <c r="I723" s="12" t="inlineStr">
        <is>
          <t>Nein</t>
        </is>
      </c>
      <c r="J723" s="12" t="inlineStr">
        <is>
          <t>Ungeprüft – nicht kuratiert</t>
        </is>
      </c>
    </row>
    <row r="724">
      <c r="A724" s="12" t="inlineStr">
        <is>
          <t>Wil</t>
        </is>
      </c>
      <c r="B724" s="12" t="inlineStr">
        <is>
          <t>St. Gallen</t>
        </is>
      </c>
      <c r="C724" s="12" t="inlineStr">
        <is>
          <t>C5</t>
        </is>
      </c>
      <c r="D724" s="16" t="inlineStr">
        <is>
          <t>https://www.stadtwil.ch/topics/bauen-und-planen/wil-vivendo/ortsplanungsrevision/news/halbzeit-mitwirkung/editorial</t>
        </is>
      </c>
      <c r="E724" s="12" t="inlineStr">
        <is>
          <t>Editorial</t>
        </is>
      </c>
      <c r="F724" s="12" t="inlineStr">
        <is>
          <t>nein</t>
        </is>
      </c>
      <c r="G724" s="12" t="inlineStr">
        <is>
          <t>https://www.stadtwil.ch/topics/stadt-politik-und-recht/finanzen</t>
        </is>
      </c>
      <c r="H724" s="12" t="inlineStr">
        <is>
          <t>Einstiegsseite</t>
        </is>
      </c>
      <c r="I724" s="12" t="inlineStr">
        <is>
          <t>Nein</t>
        </is>
      </c>
      <c r="J724" s="12" t="inlineStr">
        <is>
          <t>Ungeprüft – nicht kuratiert</t>
        </is>
      </c>
    </row>
    <row r="725">
      <c r="A725" s="12" t="inlineStr">
        <is>
          <t>Wil</t>
        </is>
      </c>
      <c r="B725" s="12" t="inlineStr">
        <is>
          <t>St. Gallen</t>
        </is>
      </c>
      <c r="C725" s="12" t="inlineStr">
        <is>
          <t>C5</t>
        </is>
      </c>
      <c r="D725" s="16" t="inlineStr">
        <is>
          <t>https://www.stadtwil.ch/topics/bauen-und-planen/wil-vivendo/ortsplanungsrevision/news/start-offentliche-mitwirkung</t>
        </is>
      </c>
      <c r="E725" s="12" t="inlineStr">
        <is>
          <t>Start Öffentliche Mitwirkung</t>
        </is>
      </c>
      <c r="F725" s="12" t="inlineStr">
        <is>
          <t>nein</t>
        </is>
      </c>
      <c r="G725" s="12" t="inlineStr">
        <is>
          <t>https://www.stadtwil.ch/topics/stadt-politik-und-recht/finanzen</t>
        </is>
      </c>
      <c r="H725" s="12" t="inlineStr">
        <is>
          <t>Einstiegsseite</t>
        </is>
      </c>
      <c r="I725" s="12" t="inlineStr">
        <is>
          <t>Nein</t>
        </is>
      </c>
      <c r="J725" s="12" t="inlineStr">
        <is>
          <t>Ungeprüft – nicht kuratiert</t>
        </is>
      </c>
    </row>
    <row r="726">
      <c r="A726" s="12" t="inlineStr">
        <is>
          <t>Wil</t>
        </is>
      </c>
      <c r="B726" s="12" t="inlineStr">
        <is>
          <t>St. Gallen</t>
        </is>
      </c>
      <c r="C726" s="12" t="inlineStr">
        <is>
          <t>C5</t>
        </is>
      </c>
      <c r="D726" s="16" t="inlineStr">
        <is>
          <t>https://www.stadtwil.ch/topics/bauen-und-planen/wil-vivendo/ortsplanungsrevision/veranstaltungen-und-mitwirkung</t>
        </is>
      </c>
      <c r="E726" s="12" t="inlineStr">
        <is>
          <t>Veranstaltungen und Mitwirkungen</t>
        </is>
      </c>
      <c r="F726" s="12" t="inlineStr">
        <is>
          <t>nein</t>
        </is>
      </c>
      <c r="G726" s="12" t="inlineStr">
        <is>
          <t>https://www.stadtwil.ch/topics/bauen-und-planen/wil-vivendo/ortsplanungsrevision/veranstaltungen-und-mitwirkung/mitwirkungen/mitwirkung-kindlimann-areal-und-allmend</t>
        </is>
      </c>
      <c r="H726" s="12" t="inlineStr">
        <is>
          <t>Unterseite</t>
        </is>
      </c>
      <c r="I726" s="12" t="inlineStr">
        <is>
          <t>Nein</t>
        </is>
      </c>
      <c r="J726" s="12" t="inlineStr">
        <is>
          <t>Ungeprüft – nicht kuratiert</t>
        </is>
      </c>
    </row>
    <row r="727">
      <c r="A727" s="12" t="inlineStr">
        <is>
          <t>Wil</t>
        </is>
      </c>
      <c r="B727" s="12" t="inlineStr">
        <is>
          <t>St. Gallen</t>
        </is>
      </c>
      <c r="C727" s="12" t="inlineStr">
        <is>
          <t>C5</t>
        </is>
      </c>
      <c r="D727" s="16" t="inlineStr">
        <is>
          <t>https://www.stadtwil.ch/topics/bauen-und-planen/wil-vivendo/ortsplanungsrevision/veranstaltungen-und-mitwirkung/mitwirkungen</t>
        </is>
      </c>
      <c r="E727" s="12" t="inlineStr">
        <is>
          <t>Mitwirkungen</t>
        </is>
      </c>
      <c r="F727" s="12" t="inlineStr">
        <is>
          <t>nein</t>
        </is>
      </c>
      <c r="G727" s="12" t="inlineStr">
        <is>
          <t>https://www.stadtwil.ch/topics/bauen-und-planen/wil-vivendo/ortsplanungsrevision/veranstaltungen-und-mitwirkung/mitwirkungen/mitwirkung-kindlimann-areal-und-allmend</t>
        </is>
      </c>
      <c r="H727" s="12" t="inlineStr">
        <is>
          <t>Unterseite</t>
        </is>
      </c>
      <c r="I727" s="12" t="inlineStr">
        <is>
          <t>Nein</t>
        </is>
      </c>
      <c r="J727" s="12" t="inlineStr">
        <is>
          <t>Ungeprüft – nicht kuratiert</t>
        </is>
      </c>
    </row>
    <row r="728">
      <c r="A728" s="12" t="inlineStr">
        <is>
          <t>Wil</t>
        </is>
      </c>
      <c r="B728" s="12" t="inlineStr">
        <is>
          <t>St. Gallen</t>
        </is>
      </c>
      <c r="C728" s="12" t="inlineStr">
        <is>
          <t>C5</t>
        </is>
      </c>
      <c r="D728" s="16" t="inlineStr">
        <is>
          <t>https://www.stadtwil.ch/topics/bauen-und-planen/wil-vivendo/ortsplanungsrevision/veranstaltungen-und-mitwirkung/mitwirkungen/mitwirkung-zum-richtplan-siedlung-sowie-gruen-freiraeume</t>
        </is>
      </c>
      <c r="E728" s="12" t="inlineStr">
        <is>
          <t>Mitwirkung zum Richtplan Siedlung sowie Grün-/Freiräume</t>
        </is>
      </c>
      <c r="F728" s="12" t="inlineStr">
        <is>
          <t>nein</t>
        </is>
      </c>
      <c r="G728" s="12" t="inlineStr">
        <is>
          <t>https://www.stadtwil.ch/topics/stadt-politik-und-recht/finanzen</t>
        </is>
      </c>
      <c r="H728" s="12" t="inlineStr">
        <is>
          <t>Einstiegsseite</t>
        </is>
      </c>
      <c r="I728" s="12" t="inlineStr">
        <is>
          <t>Nein</t>
        </is>
      </c>
      <c r="J728" s="12" t="inlineStr">
        <is>
          <t>Ungeprüft – nicht kuratiert</t>
        </is>
      </c>
    </row>
    <row r="729">
      <c r="A729" s="12" t="inlineStr">
        <is>
          <t>Wil</t>
        </is>
      </c>
      <c r="B729" s="12" t="inlineStr">
        <is>
          <t>St. Gallen</t>
        </is>
      </c>
      <c r="C729" s="12" t="inlineStr">
        <is>
          <t>C5</t>
        </is>
      </c>
      <c r="D729" s="16" t="inlineStr">
        <is>
          <t>https://www.stadtwil.ch/topics/bauen-und-planen/wil-vivendo/ortsplanungsrevision/veranstaltungen-und-mitwirkung/strategiekonferenzen</t>
        </is>
      </c>
      <c r="E729" s="12" t="inlineStr">
        <is>
          <t>Konferenzen</t>
        </is>
      </c>
      <c r="F729" s="12" t="inlineStr">
        <is>
          <t>nein</t>
        </is>
      </c>
      <c r="G729" s="12" t="inlineStr">
        <is>
          <t>https://www.stadtwil.ch/topics/bauen-und-planen/wil-vivendo/ortsplanungsrevision/veranstaltungen-und-mitwirkung/strategiekonferenzen/strategiekonferenz-1-am-30-august-2024</t>
        </is>
      </c>
      <c r="H729" s="12" t="inlineStr">
        <is>
          <t>Unterseite</t>
        </is>
      </c>
      <c r="I729" s="12" t="inlineStr">
        <is>
          <t>Nein</t>
        </is>
      </c>
      <c r="J729" s="12" t="inlineStr">
        <is>
          <t>Ungeprüft – nicht kuratiert</t>
        </is>
      </c>
    </row>
    <row r="730">
      <c r="A730" s="12" t="inlineStr">
        <is>
          <t>Wil</t>
        </is>
      </c>
      <c r="B730" s="12" t="inlineStr">
        <is>
          <t>St. Gallen</t>
        </is>
      </c>
      <c r="C730" s="12" t="inlineStr">
        <is>
          <t>C5</t>
        </is>
      </c>
      <c r="D730" s="16" t="inlineStr">
        <is>
          <t>https://www.stadtwil.ch/topics/bauen-und-planen/wil-vivendo/ortsplanungsrevision/veranstaltungen-und-mitwirkung/strategiekonferenzen/2-strategiekonferenz</t>
        </is>
      </c>
      <c r="E730" s="12" t="inlineStr">
        <is>
          <t>2. Strategiekonferenz</t>
        </is>
      </c>
      <c r="F730" s="12" t="inlineStr">
        <is>
          <t>nein</t>
        </is>
      </c>
      <c r="G730" s="12" t="inlineStr">
        <is>
          <t>https://www.stadtwil.ch/topics/stadt-politik-und-recht/finanzen</t>
        </is>
      </c>
      <c r="H730" s="12" t="inlineStr">
        <is>
          <t>Einstiegsseite</t>
        </is>
      </c>
      <c r="I730" s="12" t="inlineStr">
        <is>
          <t>Nein</t>
        </is>
      </c>
      <c r="J730" s="12" t="inlineStr">
        <is>
          <t>Ungeprüft – nicht kuratiert</t>
        </is>
      </c>
    </row>
    <row r="731">
      <c r="A731" s="12" t="inlineStr">
        <is>
          <t>Wil</t>
        </is>
      </c>
      <c r="B731" s="12" t="inlineStr">
        <is>
          <t>St. Gallen</t>
        </is>
      </c>
      <c r="C731" s="12" t="inlineStr">
        <is>
          <t>C5</t>
        </is>
      </c>
      <c r="D731" s="16" t="inlineStr">
        <is>
          <t>https://www.stadtwil.ch/topics/bauen-und-planen/wil-vivendo/ortsplanungsrevision/veranstaltungen-und-mitwirkung/strategiekonferenzen/3-strategiekonferenz</t>
        </is>
      </c>
      <c r="E731" s="12" t="inlineStr">
        <is>
          <t>3. Strategiekonferenz</t>
        </is>
      </c>
      <c r="F731" s="12" t="inlineStr">
        <is>
          <t>nein</t>
        </is>
      </c>
      <c r="G731" s="12" t="inlineStr">
        <is>
          <t>https://www.stadtwil.ch/topics/stadt-politik-und-recht/finanzen</t>
        </is>
      </c>
      <c r="H731" s="12" t="inlineStr">
        <is>
          <t>Einstiegsseite</t>
        </is>
      </c>
      <c r="I731" s="12" t="inlineStr">
        <is>
          <t>Nein</t>
        </is>
      </c>
      <c r="J731" s="12" t="inlineStr">
        <is>
          <t>Ungeprüft – nicht kuratiert</t>
        </is>
      </c>
    </row>
    <row r="732">
      <c r="A732" s="12" t="inlineStr">
        <is>
          <t>Wil</t>
        </is>
      </c>
      <c r="B732" s="12" t="inlineStr">
        <is>
          <t>St. Gallen</t>
        </is>
      </c>
      <c r="C732" s="12" t="inlineStr">
        <is>
          <t>C5</t>
        </is>
      </c>
      <c r="D732" s="16" t="inlineStr">
        <is>
          <t>https://www.stadtwil.ch/topics/bauen-und-planen/wil-vivendo/ortsplanungsrevision/veranstaltungen-und-mitwirkung/strategiekonferenzen/4-ortsplanungskonferenze</t>
        </is>
      </c>
      <c r="E732" s="12" t="inlineStr">
        <is>
          <t>4. Ortsplanungskonferenz</t>
        </is>
      </c>
      <c r="F732" s="12" t="inlineStr">
        <is>
          <t>nein</t>
        </is>
      </c>
      <c r="G732" s="12" t="inlineStr">
        <is>
          <t>https://www.stadtwil.ch/topics/stadt-politik-und-recht/finanzen</t>
        </is>
      </c>
      <c r="H732" s="12" t="inlineStr">
        <is>
          <t>Einstiegsseite</t>
        </is>
      </c>
      <c r="I732" s="12" t="inlineStr">
        <is>
          <t>Nein</t>
        </is>
      </c>
      <c r="J732" s="12" t="inlineStr">
        <is>
          <t>Ungeprüft – nicht kuratiert</t>
        </is>
      </c>
    </row>
    <row r="733">
      <c r="A733" s="12" t="inlineStr">
        <is>
          <t>Wil</t>
        </is>
      </c>
      <c r="B733" s="12" t="inlineStr">
        <is>
          <t>St. Gallen</t>
        </is>
      </c>
      <c r="C733" s="12" t="inlineStr">
        <is>
          <t>C5</t>
        </is>
      </c>
      <c r="D733" s="16" t="inlineStr">
        <is>
          <t>https://www.stadtwil.ch/topics/bauen-und-planen/wil-vivendo/ortsplanungsrevision/veranstaltungen-und-mitwirkung/strategiekonferenzen/strategiekonferenz-1-am-30-august-2024</t>
        </is>
      </c>
      <c r="E733" s="12" t="inlineStr">
        <is>
          <t>1. Strategiekonferenz</t>
        </is>
      </c>
      <c r="F733" s="12" t="inlineStr">
        <is>
          <t>nein</t>
        </is>
      </c>
      <c r="G733" s="12" t="inlineStr">
        <is>
          <t>https://www.stadtwil.ch/topics/stadt-politik-und-recht/finanzen</t>
        </is>
      </c>
      <c r="H733" s="12" t="inlineStr">
        <is>
          <t>Einstiegsseite</t>
        </is>
      </c>
      <c r="I733" s="12" t="inlineStr">
        <is>
          <t>Nein</t>
        </is>
      </c>
      <c r="J733" s="12" t="inlineStr">
        <is>
          <t>Ungeprüft – nicht kuratiert</t>
        </is>
      </c>
    </row>
    <row r="734">
      <c r="A734" s="12" t="inlineStr">
        <is>
          <t>Wil</t>
        </is>
      </c>
      <c r="B734" s="12" t="inlineStr">
        <is>
          <t>St. Gallen</t>
        </is>
      </c>
      <c r="C734" s="12" t="inlineStr">
        <is>
          <t>C5</t>
        </is>
      </c>
      <c r="D734" s="16" t="inlineStr">
        <is>
          <t>https://www.stadtwil.ch/topics/bauen-und-planen/wil-vivendo/ortsplanungsrevision/veranstaltungen-und-mitwirkung/veranstaltungen</t>
        </is>
      </c>
      <c r="E734" s="12" t="inlineStr">
        <is>
          <t>Veranstaltungen</t>
        </is>
      </c>
      <c r="F734" s="12" t="inlineStr">
        <is>
          <t>nein</t>
        </is>
      </c>
      <c r="G734" s="12" t="inlineStr">
        <is>
          <t>https://www.stadtwil.ch/topics/stadt-politik-und-recht/finanzen</t>
        </is>
      </c>
      <c r="H734" s="12" t="inlineStr">
        <is>
          <t>Einstiegsseite</t>
        </is>
      </c>
      <c r="I734" s="12" t="inlineStr">
        <is>
          <t>Nein</t>
        </is>
      </c>
      <c r="J734" s="12" t="inlineStr">
        <is>
          <t>Ungeprüft – nicht kuratiert</t>
        </is>
      </c>
    </row>
    <row r="735">
      <c r="A735" s="12" t="inlineStr">
        <is>
          <t>Wil</t>
        </is>
      </c>
      <c r="B735" s="12" t="inlineStr">
        <is>
          <t>St. Gallen</t>
        </is>
      </c>
      <c r="C735" s="12" t="inlineStr">
        <is>
          <t>C5</t>
        </is>
      </c>
      <c r="D735" s="16" t="inlineStr">
        <is>
          <t>https://www.stadtwil.ch/topics/bauen-und-planen/wil-vivendo/siedlung/schulraumplanung/rueckblick-mitwirkung</t>
        </is>
      </c>
      <c r="E735" s="12" t="inlineStr">
        <is>
          <t>Rückblick Mitwirkung</t>
        </is>
      </c>
      <c r="F735" s="12" t="inlineStr">
        <is>
          <t>nein</t>
        </is>
      </c>
      <c r="G735" s="12" t="inlineStr">
        <is>
          <t>https://www.stadtwil.ch/topics/stadt-politik-und-recht/finanzen</t>
        </is>
      </c>
      <c r="H735" s="12" t="inlineStr">
        <is>
          <t>Einstiegsseite</t>
        </is>
      </c>
      <c r="I735" s="12" t="inlineStr">
        <is>
          <t>Nein</t>
        </is>
      </c>
      <c r="J735" s="12" t="inlineStr">
        <is>
          <t>Ungeprüft – nicht kuratiert</t>
        </is>
      </c>
    </row>
    <row r="736">
      <c r="A736" s="12" t="inlineStr">
        <is>
          <t>Wil</t>
        </is>
      </c>
      <c r="B736" s="12" t="inlineStr">
        <is>
          <t>St. Gallen</t>
        </is>
      </c>
      <c r="C736" s="12" t="inlineStr">
        <is>
          <t>C5</t>
        </is>
      </c>
      <c r="D736" s="16" t="inlineStr">
        <is>
          <t>https://www.stadtwil.ch/topics/bildung/elternmitwirkung</t>
        </is>
      </c>
      <c r="E736" s="12" t="inlineStr">
        <is>
          <t>Elternmitwirkung</t>
        </is>
      </c>
      <c r="F736" s="12" t="inlineStr">
        <is>
          <t>nein</t>
        </is>
      </c>
      <c r="G736" s="12" t="inlineStr">
        <is>
          <t>https://www.stadtwil.ch/topics/stadt-politik-und-recht/finanzen</t>
        </is>
      </c>
      <c r="H736" s="12" t="inlineStr">
        <is>
          <t>Einstiegsseite</t>
        </is>
      </c>
      <c r="I736" s="12" t="inlineStr">
        <is>
          <t>Nein</t>
        </is>
      </c>
      <c r="J736" s="12" t="inlineStr">
        <is>
          <t>Ungeprüft – nicht kuratiert</t>
        </is>
      </c>
    </row>
    <row r="737">
      <c r="A737" s="12" t="inlineStr">
        <is>
          <t>Wil</t>
        </is>
      </c>
      <c r="B737" s="12" t="inlineStr">
        <is>
          <t>St. Gallen</t>
        </is>
      </c>
      <c r="C737" s="12" t="inlineStr">
        <is>
          <t>C5</t>
        </is>
      </c>
      <c r="D737" s="16" t="inlineStr">
        <is>
          <t>https://www.stadtwil.ch/topics/kinder-jugendliche-und-familie/jugendliche/jugendparlament</t>
        </is>
      </c>
      <c r="E737" s="12" t="inlineStr">
        <is>
          <t>Jugendparlament</t>
        </is>
      </c>
      <c r="F737" s="12" t="inlineStr">
        <is>
          <t>nein</t>
        </is>
      </c>
      <c r="G737" s="12" t="inlineStr">
        <is>
          <t>https://www.stadtwil.ch/topics/stadt-politik-und-recht/finanzen</t>
        </is>
      </c>
      <c r="H737" s="12" t="inlineStr">
        <is>
          <t>Einstiegsseite</t>
        </is>
      </c>
      <c r="I737" s="12" t="inlineStr">
        <is>
          <t>Nein</t>
        </is>
      </c>
      <c r="J737" s="12" t="inlineStr">
        <is>
          <t>Ungeprüft – nicht kuratiert</t>
        </is>
      </c>
    </row>
    <row r="738">
      <c r="A738" s="12" t="inlineStr">
        <is>
          <t>Wil</t>
        </is>
      </c>
      <c r="B738" s="12" t="inlineStr">
        <is>
          <t>St. Gallen</t>
        </is>
      </c>
      <c r="C738" s="12" t="inlineStr">
        <is>
          <t>C5</t>
        </is>
      </c>
      <c r="D738" s="16" t="inlineStr">
        <is>
          <t>https://www.stadtwil.ch/topics/sport/sportfoerderung/leitbild-sport</t>
        </is>
      </c>
      <c r="E738" s="12" t="inlineStr">
        <is>
          <t>Leitbild Sport der Stadt Wil</t>
        </is>
      </c>
      <c r="F738" s="12" t="inlineStr">
        <is>
          <t>nein</t>
        </is>
      </c>
      <c r="G738" s="12" t="inlineStr">
        <is>
          <t>https://www.stadtwil.ch/topics/stadt-politik-und-recht/finanzen</t>
        </is>
      </c>
      <c r="H738" s="12" t="inlineStr">
        <is>
          <t>Einstiegsseite</t>
        </is>
      </c>
      <c r="I738" s="12" t="inlineStr">
        <is>
          <t>Nein</t>
        </is>
      </c>
      <c r="J738" s="12" t="inlineStr">
        <is>
          <t>Ungeprüft – nicht kuratiert</t>
        </is>
      </c>
    </row>
    <row r="739">
      <c r="A739" s="12" t="inlineStr">
        <is>
          <t>Wil</t>
        </is>
      </c>
      <c r="B739" s="12" t="inlineStr">
        <is>
          <t>St. Gallen</t>
        </is>
      </c>
      <c r="C739" s="12" t="inlineStr">
        <is>
          <t>C5</t>
        </is>
      </c>
      <c r="D739" s="16" t="inlineStr">
        <is>
          <t>https://www.stadtwil.ch/topics/stadt-politik-und-recht/abstimmungen-und-wahlen</t>
        </is>
      </c>
      <c r="E739" s="12" t="inlineStr">
        <is>
          <t>Abstimmungen und Wahlen</t>
        </is>
      </c>
      <c r="F739" s="12" t="inlineStr">
        <is>
          <t>nein</t>
        </is>
      </c>
      <c r="G739" s="12" t="inlineStr">
        <is>
          <t>https://www.stadtwil.ch/topics/stadt-politik-und-recht</t>
        </is>
      </c>
      <c r="H739" s="12" t="inlineStr">
        <is>
          <t>Einstiegsseite</t>
        </is>
      </c>
      <c r="I739" s="12" t="inlineStr">
        <is>
          <t>Nein</t>
        </is>
      </c>
      <c r="J739" s="12" t="inlineStr">
        <is>
          <t>Ungeprüft – nicht kuratiert</t>
        </is>
      </c>
    </row>
    <row r="740">
      <c r="A740" s="12" t="inlineStr">
        <is>
          <t>Wil</t>
        </is>
      </c>
      <c r="B740" s="12" t="inlineStr">
        <is>
          <t>St. Gallen</t>
        </is>
      </c>
      <c r="C740" s="12" t="inlineStr">
        <is>
          <t>C5</t>
        </is>
      </c>
      <c r="D740" s="16" t="inlineStr">
        <is>
          <t>https://www.stadtwil.ch/topics/stadt-politik-und-recht/abstimmungen-und-wahlen/2026-kommende-abstimmungen</t>
        </is>
      </c>
      <c r="E740" s="12" t="inlineStr">
        <is>
          <t>Kommende Abstimmungen und Wahlen</t>
        </is>
      </c>
      <c r="F740" s="12" t="inlineStr">
        <is>
          <t>nein</t>
        </is>
      </c>
      <c r="G740" s="12" t="inlineStr">
        <is>
          <t>https://www.stadtwil.ch/topics/stadt-politik-und-recht/abstimmungen-und-wahlen/2026-kommende-abstimmungen/2026-kommende-abstimmungen-und-wahlen/27-09-2026-eidgenoessisches-blankodatum</t>
        </is>
      </c>
      <c r="H740" s="12" t="inlineStr">
        <is>
          <t>Unterseite</t>
        </is>
      </c>
      <c r="I740" s="12" t="inlineStr">
        <is>
          <t>Nein</t>
        </is>
      </c>
      <c r="J740" s="12" t="inlineStr">
        <is>
          <t>Ungeprüft – nicht kuratiert</t>
        </is>
      </c>
    </row>
    <row r="741">
      <c r="A741" s="12" t="inlineStr">
        <is>
          <t>Wil</t>
        </is>
      </c>
      <c r="B741" s="12" t="inlineStr">
        <is>
          <t>St. Gallen</t>
        </is>
      </c>
      <c r="C741" s="12" t="inlineStr">
        <is>
          <t>C5</t>
        </is>
      </c>
      <c r="D741" s="16" t="inlineStr">
        <is>
          <t>https://www.stadtwil.ch/topics/stadt-politik-und-recht/abstimmungen-und-wahlen/2026-kommende-abstimmungen/2026-kommende-abstimmungen-und-wahlen</t>
        </is>
      </c>
      <c r="E741" s="12" t="inlineStr">
        <is>
          <t>2026 - Kommende Abstimmungen und Wahlen</t>
        </is>
      </c>
      <c r="F741" s="12" t="inlineStr">
        <is>
          <t>nein</t>
        </is>
      </c>
      <c r="G741" s="12" t="inlineStr">
        <is>
          <t>https://www.stadtwil.ch/topics/stadt-politik-und-recht/abstimmungen-und-wahlen/2026-kommende-abstimmungen/2026-kommende-abstimmungen-und-wahlen/27-09-2026-eidgenoessisches-blankodatum</t>
        </is>
      </c>
      <c r="H741" s="12" t="inlineStr">
        <is>
          <t>Unterseite</t>
        </is>
      </c>
      <c r="I741" s="12" t="inlineStr">
        <is>
          <t>Nein</t>
        </is>
      </c>
      <c r="J741" s="12" t="inlineStr">
        <is>
          <t>Ungeprüft – nicht kuratiert</t>
        </is>
      </c>
    </row>
    <row r="742">
      <c r="A742" s="12" t="inlineStr">
        <is>
          <t>Wil</t>
        </is>
      </c>
      <c r="B742" s="12" t="inlineStr">
        <is>
          <t>St. Gallen</t>
        </is>
      </c>
      <c r="C742" s="12" t="inlineStr">
        <is>
          <t>C5</t>
        </is>
      </c>
      <c r="D742" s="16" t="inlineStr">
        <is>
          <t>https://www.stadtwil.ch/topics/stadt-politik-und-recht/abstimmungen-und-wahlen/2026-kommende-abstimmungen/2026-kommende-abstimmungen-und-wahlen/27-09-2026-eidgenoessisches-blankodatum</t>
        </is>
      </c>
      <c r="E742" s="12" t="inlineStr">
        <is>
          <t>27.09.2026 - Abstimmungstermin</t>
        </is>
      </c>
      <c r="F742" s="12" t="inlineStr">
        <is>
          <t>nein</t>
        </is>
      </c>
      <c r="G742" s="12" t="inlineStr">
        <is>
          <t>https://www.stadtwil.ch/topics/stadt-politik-und-recht/finanzen</t>
        </is>
      </c>
      <c r="H742" s="12" t="inlineStr">
        <is>
          <t>Einstiegsseite</t>
        </is>
      </c>
      <c r="I742" s="12" t="inlineStr">
        <is>
          <t>Nein</t>
        </is>
      </c>
      <c r="J742" s="12" t="inlineStr">
        <is>
          <t>Ungeprüft – nicht kuratiert</t>
        </is>
      </c>
    </row>
    <row r="743">
      <c r="A743" s="12" t="inlineStr">
        <is>
          <t>Wil</t>
        </is>
      </c>
      <c r="B743" s="12" t="inlineStr">
        <is>
          <t>St. Gallen</t>
        </is>
      </c>
      <c r="C743" s="12" t="inlineStr">
        <is>
          <t>C5</t>
        </is>
      </c>
      <c r="D743" s="16" t="inlineStr">
        <is>
          <t>https://www.stadtwil.ch/topics/stadt-politik-und-recht/abstimmungen-und-wahlen/2026-kommende-abstimmungen/2026-kommende-abstimmungen-und-wahlen/29-11-2026-eidgenoessisches-blankodatum</t>
        </is>
      </c>
      <c r="E743" s="12" t="inlineStr">
        <is>
          <t>29.11.2026 - Eidgenössisches Blankodatum</t>
        </is>
      </c>
      <c r="F743" s="12" t="inlineStr">
        <is>
          <t>nein</t>
        </is>
      </c>
      <c r="G743" s="12" t="inlineStr">
        <is>
          <t>https://www.stadtwil.ch/topics/stadt-politik-und-recht/finanzen</t>
        </is>
      </c>
      <c r="H743" s="12" t="inlineStr">
        <is>
          <t>Einstiegsseite</t>
        </is>
      </c>
      <c r="I743" s="12" t="inlineStr">
        <is>
          <t>Nein</t>
        </is>
      </c>
      <c r="J743" s="12" t="inlineStr">
        <is>
          <t>Ungeprüft – nicht kuratiert</t>
        </is>
      </c>
    </row>
    <row r="744">
      <c r="A744" s="12" t="inlineStr">
        <is>
          <t>Wil</t>
        </is>
      </c>
      <c r="B744" s="12" t="inlineStr">
        <is>
          <t>St. Gallen</t>
        </is>
      </c>
      <c r="C744" s="12" t="inlineStr">
        <is>
          <t>C5</t>
        </is>
      </c>
      <c r="D744" s="16" t="inlineStr">
        <is>
          <t>https://www.stadtwil.ch/topics/stadt-politik-und-recht/abstimmungen-und-wahlen/2026-kommende-abstimmungen/2027-kommende-abstimmungen-und-wahlen</t>
        </is>
      </c>
      <c r="E744" s="12" t="inlineStr">
        <is>
          <t>2027 - Kommende Abstimmungen und Wahlen</t>
        </is>
      </c>
      <c r="F744" s="12" t="inlineStr">
        <is>
          <t>nein</t>
        </is>
      </c>
      <c r="G744" s="12" t="inlineStr">
        <is>
          <t>https://www.stadtwil.ch/topics/stadt-politik-und-recht/abstimmungen-und-wahlen/2026-kommende-abstimmungen/2027-kommende-abstimmungen-und-wahlen/28-02-2027-eidgenoessisches-blankodatum</t>
        </is>
      </c>
      <c r="H744" s="12" t="inlineStr">
        <is>
          <t>Unterseite</t>
        </is>
      </c>
      <c r="I744" s="12" t="inlineStr">
        <is>
          <t>Nein</t>
        </is>
      </c>
      <c r="J744" s="12" t="inlineStr">
        <is>
          <t>Ungeprüft – nicht kuratiert</t>
        </is>
      </c>
    </row>
    <row r="745">
      <c r="A745" s="12" t="inlineStr">
        <is>
          <t>Wil</t>
        </is>
      </c>
      <c r="B745" s="12" t="inlineStr">
        <is>
          <t>St. Gallen</t>
        </is>
      </c>
      <c r="C745" s="12" t="inlineStr">
        <is>
          <t>C5</t>
        </is>
      </c>
      <c r="D745" s="16" t="inlineStr">
        <is>
          <t>https://www.stadtwil.ch/topics/stadt-politik-und-recht/abstimmungen-und-wahlen/2026-kommende-abstimmungen/2027-kommende-abstimmungen-und-wahlen/06-06-2027-eidgenoessisches-blankodatum</t>
        </is>
      </c>
      <c r="E745" s="12" t="inlineStr">
        <is>
          <t>06.06.2027 - Eidgenössisches Blankodatum</t>
        </is>
      </c>
      <c r="F745" s="12" t="inlineStr">
        <is>
          <t>nein</t>
        </is>
      </c>
      <c r="G745" s="12" t="inlineStr">
        <is>
          <t>https://www.stadtwil.ch/topics/stadt-politik-und-recht/finanzen</t>
        </is>
      </c>
      <c r="H745" s="12" t="inlineStr">
        <is>
          <t>Einstiegsseite</t>
        </is>
      </c>
      <c r="I745" s="12" t="inlineStr">
        <is>
          <t>Nein</t>
        </is>
      </c>
      <c r="J745" s="12" t="inlineStr">
        <is>
          <t>Ungeprüft – nicht kuratiert</t>
        </is>
      </c>
    </row>
    <row r="746">
      <c r="A746" s="12" t="inlineStr">
        <is>
          <t>Wil</t>
        </is>
      </c>
      <c r="B746" s="12" t="inlineStr">
        <is>
          <t>St. Gallen</t>
        </is>
      </c>
      <c r="C746" s="12" t="inlineStr">
        <is>
          <t>C5</t>
        </is>
      </c>
      <c r="D746" s="16" t="inlineStr">
        <is>
          <t>https://www.stadtwil.ch/topics/stadt-politik-und-recht/abstimmungen-und-wahlen/2026-kommende-abstimmungen/2027-kommende-abstimmungen-und-wahlen/24-10-2027-eidgenoessisches-blankodatum</t>
        </is>
      </c>
      <c r="E746" s="12" t="inlineStr">
        <is>
          <t>24.10.2027 - Eidgenössisches Blankodatum</t>
        </is>
      </c>
      <c r="F746" s="12" t="inlineStr">
        <is>
          <t>nein</t>
        </is>
      </c>
      <c r="G746" s="12" t="inlineStr">
        <is>
          <t>https://www.stadtwil.ch/topics/stadt-politik-und-recht/finanzen</t>
        </is>
      </c>
      <c r="H746" s="12" t="inlineStr">
        <is>
          <t>Einstiegsseite</t>
        </is>
      </c>
      <c r="I746" s="12" t="inlineStr">
        <is>
          <t>Nein</t>
        </is>
      </c>
      <c r="J746" s="12" t="inlineStr">
        <is>
          <t>Ungeprüft – nicht kuratiert</t>
        </is>
      </c>
    </row>
    <row r="747">
      <c r="A747" s="12" t="inlineStr">
        <is>
          <t>Wil</t>
        </is>
      </c>
      <c r="B747" s="12" t="inlineStr">
        <is>
          <t>St. Gallen</t>
        </is>
      </c>
      <c r="C747" s="12" t="inlineStr">
        <is>
          <t>C5</t>
        </is>
      </c>
      <c r="D747" s="16" t="inlineStr">
        <is>
          <t>https://www.stadtwil.ch/topics/stadt-politik-und-recht/abstimmungen-und-wahlen/2026-kommende-abstimmungen/2027-kommende-abstimmungen-und-wahlen/28-02-2027-eidgenoessisches-blankodatum</t>
        </is>
      </c>
      <c r="E747" s="12" t="inlineStr">
        <is>
          <t>28.02.2027 - Eidgenössisches Blankodatum</t>
        </is>
      </c>
      <c r="F747" s="12" t="inlineStr">
        <is>
          <t>nein</t>
        </is>
      </c>
      <c r="G747" s="12" t="inlineStr">
        <is>
          <t>https://www.stadtwil.ch/topics/stadt-politik-und-recht/finanzen</t>
        </is>
      </c>
      <c r="H747" s="12" t="inlineStr">
        <is>
          <t>Einstiegsseite</t>
        </is>
      </c>
      <c r="I747" s="12" t="inlineStr">
        <is>
          <t>Nein</t>
        </is>
      </c>
      <c r="J747" s="12" t="inlineStr">
        <is>
          <t>Ungeprüft – nicht kuratiert</t>
        </is>
      </c>
    </row>
    <row r="748">
      <c r="A748" s="12" t="inlineStr">
        <is>
          <t>Wil</t>
        </is>
      </c>
      <c r="B748" s="12" t="inlineStr">
        <is>
          <t>St. Gallen</t>
        </is>
      </c>
      <c r="C748" s="12" t="inlineStr">
        <is>
          <t>C5</t>
        </is>
      </c>
      <c r="D748" s="16" t="inlineStr">
        <is>
          <t>https://www.stadtwil.ch/topics/stadt-politik-und-recht/abstimmungen-und-wahlen/2026-kommende-abstimmungen/2027-kommende-abstimmungen-und-wahlen/28-11-2027-eidgenoessisches-blankodatum</t>
        </is>
      </c>
      <c r="E748" s="12" t="inlineStr">
        <is>
          <t>28.11.2027 - Eidgenössisches Blankodatum</t>
        </is>
      </c>
      <c r="F748" s="12" t="inlineStr">
        <is>
          <t>nein</t>
        </is>
      </c>
      <c r="G748" s="12" t="inlineStr">
        <is>
          <t>https://www.stadtwil.ch/topics/stadt-politik-und-recht/finanzen</t>
        </is>
      </c>
      <c r="H748" s="12" t="inlineStr">
        <is>
          <t>Einstiegsseite</t>
        </is>
      </c>
      <c r="I748" s="12" t="inlineStr">
        <is>
          <t>Nein</t>
        </is>
      </c>
      <c r="J748" s="12" t="inlineStr">
        <is>
          <t>Ungeprüft – nicht kuratiert</t>
        </is>
      </c>
    </row>
    <row r="749">
      <c r="A749" s="12" t="inlineStr">
        <is>
          <t>Wil</t>
        </is>
      </c>
      <c r="B749" s="12" t="inlineStr">
        <is>
          <t>St. Gallen</t>
        </is>
      </c>
      <c r="C749" s="12" t="inlineStr">
        <is>
          <t>C5</t>
        </is>
      </c>
      <c r="D749" s="16" t="inlineStr">
        <is>
          <t>https://www.stadtwil.ch/topics/stadt-politik-und-recht/abstimmungen-und-wahlen/aktuelle-ergebnisse</t>
        </is>
      </c>
      <c r="E749" s="12" t="inlineStr">
        <is>
          <t>Aktuelle Ergebnisse</t>
        </is>
      </c>
      <c r="F749" s="12" t="inlineStr">
        <is>
          <t>nein</t>
        </is>
      </c>
      <c r="G749" s="12" t="inlineStr">
        <is>
          <t>https://www.stadtwil.ch/topics/stadt-politik-und-recht/finanzen</t>
        </is>
      </c>
      <c r="H749" s="12" t="inlineStr">
        <is>
          <t>Einstiegsseite</t>
        </is>
      </c>
      <c r="I749" s="12" t="inlineStr">
        <is>
          <t>Nein</t>
        </is>
      </c>
      <c r="J749" s="12" t="inlineStr">
        <is>
          <t>Ungeprüft – nicht kuratiert</t>
        </is>
      </c>
    </row>
    <row r="750">
      <c r="A750" s="12" t="inlineStr">
        <is>
          <t>Wil</t>
        </is>
      </c>
      <c r="B750" s="12" t="inlineStr">
        <is>
          <t>St. Gallen</t>
        </is>
      </c>
      <c r="C750" s="12" t="inlineStr">
        <is>
          <t>C5</t>
        </is>
      </c>
      <c r="D750" s="16" t="inlineStr">
        <is>
          <t>https://www.stadtwil.ch/topics/stadt-politik-und-recht/abstimmungen-und-wahlen/politische-rechte</t>
        </is>
      </c>
      <c r="E750" s="12" t="inlineStr">
        <is>
          <t>Politische Rechte</t>
        </is>
      </c>
      <c r="F750" s="12" t="inlineStr">
        <is>
          <t>nein</t>
        </is>
      </c>
      <c r="G750" s="12" t="inlineStr">
        <is>
          <t>https://www.stadtwil.ch/topics/stadt-politik-und-recht/finanzen</t>
        </is>
      </c>
      <c r="H750" s="12" t="inlineStr">
        <is>
          <t>Einstiegsseite</t>
        </is>
      </c>
      <c r="I750" s="12" t="inlineStr">
        <is>
          <t>Nein</t>
        </is>
      </c>
      <c r="J750" s="12" t="inlineStr">
        <is>
          <t>Ungeprüft – nicht kuratiert</t>
        </is>
      </c>
    </row>
    <row r="751">
      <c r="A751" s="12" t="inlineStr">
        <is>
          <t>Wil</t>
        </is>
      </c>
      <c r="B751" s="12" t="inlineStr">
        <is>
          <t>St. Gallen</t>
        </is>
      </c>
      <c r="C751" s="12" t="inlineStr">
        <is>
          <t>C5</t>
        </is>
      </c>
      <c r="D751" s="16" t="inlineStr">
        <is>
          <t>https://www.stadtwil.ch/topics/stadt-politik-und-recht/abstimmungen-und-wahlen/vergangene-abstimmungen/2024-vergangene-abstimmungen-und-wahlen/03-03-2024-eidgenoessische-abstimmungen-kantonale-wahlen/erneuerungswahlen-der-mitglieder-der-regierung</t>
        </is>
      </c>
      <c r="E751" s="12" t="inlineStr">
        <is>
          <t>Erneuerungswahlen der Mitglieder der Regierung</t>
        </is>
      </c>
      <c r="F751" s="12" t="inlineStr">
        <is>
          <t>nein</t>
        </is>
      </c>
      <c r="G751" s="12" t="inlineStr">
        <is>
          <t>https://www.stadtwil.ch/topics/stadt-politik-und-recht/finanzen</t>
        </is>
      </c>
      <c r="H751" s="12" t="inlineStr">
        <is>
          <t>Einstiegsseite</t>
        </is>
      </c>
      <c r="I751" s="12" t="inlineStr">
        <is>
          <t>Nein</t>
        </is>
      </c>
      <c r="J751" s="12" t="inlineStr">
        <is>
          <t>Ungeprüft – nicht kuratiert</t>
        </is>
      </c>
    </row>
    <row r="752">
      <c r="A752" s="12" t="inlineStr">
        <is>
          <t>Wil</t>
        </is>
      </c>
      <c r="B752" s="12" t="inlineStr">
        <is>
          <t>St. Gallen</t>
        </is>
      </c>
      <c r="C752" s="12" t="inlineStr">
        <is>
          <t>C5</t>
        </is>
      </c>
      <c r="D752" s="16" t="inlineStr">
        <is>
          <t>https://www.stadtwil.ch/topics/stadt-politik-und-recht/abstimmungen-und-wahlen/vergangene-abstimmungen/2024-vergangene-abstimmungen-und-wahlen/03-03-2024-eidgenoessische-abstimmungen-kantonale-wahlen/erneuerungswahlen-des-kantonsrates</t>
        </is>
      </c>
      <c r="E752" s="12" t="inlineStr">
        <is>
          <t>Erneuerungswahlen des Kantonsrates</t>
        </is>
      </c>
      <c r="F752" s="12" t="inlineStr">
        <is>
          <t>nein</t>
        </is>
      </c>
      <c r="G752" s="12" t="inlineStr">
        <is>
          <t>https://www.stadtwil.ch/topics/stadt-politik-und-recht/finanzen</t>
        </is>
      </c>
      <c r="H752" s="12" t="inlineStr">
        <is>
          <t>Einstiegsseite</t>
        </is>
      </c>
      <c r="I752" s="12" t="inlineStr">
        <is>
          <t>Nein</t>
        </is>
      </c>
      <c r="J752" s="12" t="inlineStr">
        <is>
          <t>Ungeprüft – nicht kuratiert</t>
        </is>
      </c>
    </row>
    <row r="753">
      <c r="A753" s="12" t="inlineStr">
        <is>
          <t>Wil</t>
        </is>
      </c>
      <c r="B753" s="12" t="inlineStr">
        <is>
          <t>St. Gallen</t>
        </is>
      </c>
      <c r="C753" s="12" t="inlineStr">
        <is>
          <t>C5</t>
        </is>
      </c>
      <c r="D753" s="16" t="inlineStr">
        <is>
          <t>https://www.stadtwil.ch/topics/stadt-politik-und-recht/abstimmungen-und-wahlen/vergangene-abstimmungen/2024-vergangene-abstimmungen-und-wahlen/03-03-2024-eidgenoessische-abstimmungen-kantonale-wahlen/volksinitiative-vom-16-juli-2021-fuer-eine-sichere-und-nachhaltige-altersvorsorge</t>
        </is>
      </c>
      <c r="E753" s="12" t="inlineStr">
        <is>
          <t>Volksinitiative vom 16. Juli 2021 «Für eine sichere und nachhaltige Altersvorsorge »</t>
        </is>
      </c>
      <c r="F753" s="12" t="inlineStr">
        <is>
          <t>nein</t>
        </is>
      </c>
      <c r="G753" s="12" t="inlineStr">
        <is>
          <t>https://www.stadtwil.ch/topics/stadt-politik-und-recht/finanzen</t>
        </is>
      </c>
      <c r="H753" s="12" t="inlineStr">
        <is>
          <t>Einstiegsseite</t>
        </is>
      </c>
      <c r="I753" s="12" t="inlineStr">
        <is>
          <t>Nein</t>
        </is>
      </c>
      <c r="J753" s="12" t="inlineStr">
        <is>
          <t>Ungeprüft – nicht kuratiert</t>
        </is>
      </c>
    </row>
    <row r="754">
      <c r="A754" s="12" t="inlineStr">
        <is>
          <t>Wil</t>
        </is>
      </c>
      <c r="B754" s="12" t="inlineStr">
        <is>
          <t>St. Gallen</t>
        </is>
      </c>
      <c r="C754" s="12" t="inlineStr">
        <is>
          <t>C5</t>
        </is>
      </c>
      <c r="D754" s="16" t="inlineStr">
        <is>
          <t>https://www.stadtwil.ch/topics/stadt-politik-und-recht/abstimmungen-und-wahlen/vergangene-abstimmungen/2024-vergangene-abstimmungen-und-wahlen/03-03-2024-eidgenoessische-abstimmungen-kantonale-wahlen/volksinitiative-vom-28-mai-2021-fuer-ein-besseres-leben-im-alter</t>
        </is>
      </c>
      <c r="E754" s="12" t="inlineStr">
        <is>
          <t>Volksinitiative vom 28. Mai 2021 «Für ein besseres Leben im Alter »</t>
        </is>
      </c>
      <c r="F754" s="12" t="inlineStr">
        <is>
          <t>nein</t>
        </is>
      </c>
      <c r="G754" s="12" t="inlineStr">
        <is>
          <t>https://www.stadtwil.ch/topics/stadt-politik-und-recht/finanzen</t>
        </is>
      </c>
      <c r="H754" s="12" t="inlineStr">
        <is>
          <t>Einstiegsseite</t>
        </is>
      </c>
      <c r="I754" s="12" t="inlineStr">
        <is>
          <t>Nein</t>
        </is>
      </c>
      <c r="J754" s="12" t="inlineStr">
        <is>
          <t>Ungeprüft – nicht kuratiert</t>
        </is>
      </c>
    </row>
    <row r="755">
      <c r="A755" s="12" t="inlineStr">
        <is>
          <t>Wil</t>
        </is>
      </c>
      <c r="B755" s="12" t="inlineStr">
        <is>
          <t>St. Gallen</t>
        </is>
      </c>
      <c r="C755" s="12" t="inlineStr">
        <is>
          <t>C5</t>
        </is>
      </c>
      <c r="D755" s="16" t="inlineStr">
        <is>
          <t>https://www.stadtwil.ch/topics/stadt-politik-und-recht/abstimmungen-und-wahlen/vergangene-abstimmungen/2024-vergangene-abstimmungen-und-wahlen/09-juni-2024-eidgenoessische-volksabstimmung/bundesgesetz-vom-29-september-2023-ueber-eine-sichere-stromversorgung-mit-erneuerbaren-energien</t>
        </is>
      </c>
      <c r="E755" s="12" t="inlineStr">
        <is>
          <t>Bundesgesetz vom 29. September 2023 über eine sichere Stromversorgung mit erneuerbaren Energien</t>
        </is>
      </c>
      <c r="F755" s="12" t="inlineStr">
        <is>
          <t>nein</t>
        </is>
      </c>
      <c r="G755" s="12" t="inlineStr">
        <is>
          <t>https://www.stadtwil.ch/topics/stadt-politik-und-recht/finanzen</t>
        </is>
      </c>
      <c r="H755" s="12" t="inlineStr">
        <is>
          <t>Einstiegsseite</t>
        </is>
      </c>
      <c r="I755" s="12" t="inlineStr">
        <is>
          <t>Nein</t>
        </is>
      </c>
      <c r="J755" s="12" t="inlineStr">
        <is>
          <t>Ungeprüft – nicht kuratiert</t>
        </is>
      </c>
    </row>
    <row r="756">
      <c r="A756" s="12" t="inlineStr">
        <is>
          <t>Wil</t>
        </is>
      </c>
      <c r="B756" s="12" t="inlineStr">
        <is>
          <t>St. Gallen</t>
        </is>
      </c>
      <c r="C756" s="12" t="inlineStr">
        <is>
          <t>C5</t>
        </is>
      </c>
      <c r="D756" s="16" t="inlineStr">
        <is>
          <t>https://www.stadtwil.ch/topics/stadt-politik-und-recht/abstimmungen-und-wahlen/vergangene-abstimmungen/2024-vergangene-abstimmungen-und-wahlen/09-juni-2024-eidgenoessische-volksabstimmung/fuer-freiheit-und-koerperliche-unversehrtheit</t>
        </is>
      </c>
      <c r="E756" s="12" t="inlineStr">
        <is>
          <t>«Für Freiheit und körperliche Unversehrtheit»</t>
        </is>
      </c>
      <c r="F756" s="12" t="inlineStr">
        <is>
          <t>nein</t>
        </is>
      </c>
      <c r="G756" s="12" t="inlineStr">
        <is>
          <t>https://www.stadtwil.ch/topics/stadt-politik-und-recht/finanzen</t>
        </is>
      </c>
      <c r="H756" s="12" t="inlineStr">
        <is>
          <t>Einstiegsseite</t>
        </is>
      </c>
      <c r="I756" s="12" t="inlineStr">
        <is>
          <t>Nein</t>
        </is>
      </c>
      <c r="J756" s="12" t="inlineStr">
        <is>
          <t>Ungeprüft – nicht kuratiert</t>
        </is>
      </c>
    </row>
    <row r="757">
      <c r="A757" s="12" t="inlineStr">
        <is>
          <t>Wil</t>
        </is>
      </c>
      <c r="B757" s="12" t="inlineStr">
        <is>
          <t>St. Gallen</t>
        </is>
      </c>
      <c r="C757" s="12" t="inlineStr">
        <is>
          <t>C5</t>
        </is>
      </c>
      <c r="D757" s="16" t="inlineStr">
        <is>
          <t>https://www.stadtwil.ch/topics/stadt-politik-und-recht/abstimmungen-und-wahlen/vergangene-abstimmungen/2024-vergangene-abstimmungen-und-wahlen/09-juni-2024-eidgenoessische-volksabstimmung/maximal-10-des-einkommens-fuer-die-krankenkassenpraemien-praemien-entlastungs-initiative</t>
        </is>
      </c>
      <c r="E757" s="12" t="inlineStr">
        <is>
          <t>«Maximal 10 % des Einkommens für die Krankenkassenprämien (Prämien-Entlastungs-Initiative)»</t>
        </is>
      </c>
      <c r="F757" s="12" t="inlineStr">
        <is>
          <t>nein</t>
        </is>
      </c>
      <c r="G757" s="12" t="inlineStr">
        <is>
          <t>https://www.stadtwil.ch/topics/stadt-politik-und-recht/finanzen</t>
        </is>
      </c>
      <c r="H757" s="12" t="inlineStr">
        <is>
          <t>Einstiegsseite</t>
        </is>
      </c>
      <c r="I757" s="12" t="inlineStr">
        <is>
          <t>Nein</t>
        </is>
      </c>
      <c r="J757" s="12" t="inlineStr">
        <is>
          <t>Ungeprüft – nicht kuratiert</t>
        </is>
      </c>
    </row>
    <row r="758">
      <c r="A758" s="12" t="inlineStr">
        <is>
          <t>Wil</t>
        </is>
      </c>
      <c r="B758" s="12" t="inlineStr">
        <is>
          <t>St. Gallen</t>
        </is>
      </c>
      <c r="C758" s="12" t="inlineStr">
        <is>
          <t>C5</t>
        </is>
      </c>
      <c r="D758" s="16" t="inlineStr">
        <is>
          <t>https://www.stadtwil.ch/topics/stadt-politik-und-recht/abstimmungen-und-wahlen/vergangene-abstimmungen/2024-vergangene-abstimmungen-und-wahlen/09-juni-2024-eidgenoessische-volksabstimmung/volksinitiative-vom-10-maerz-2020</t>
        </is>
      </c>
      <c r="E758" s="12" t="inlineStr">
        <is>
          <t>«Für tiefere Prämien – Kostenbremse im Gesundheitswesen (Kostenbremse-Initiative)»</t>
        </is>
      </c>
      <c r="F758" s="12" t="inlineStr">
        <is>
          <t>nein</t>
        </is>
      </c>
      <c r="G758" s="12" t="inlineStr">
        <is>
          <t>https://www.stadtwil.ch/topics/stadt-politik-und-recht/finanzen</t>
        </is>
      </c>
      <c r="H758" s="12" t="inlineStr">
        <is>
          <t>Einstiegsseite</t>
        </is>
      </c>
      <c r="I758" s="12" t="inlineStr">
        <is>
          <t>Nein</t>
        </is>
      </c>
      <c r="J758" s="12" t="inlineStr">
        <is>
          <t>Ungeprüft – nicht kuratiert</t>
        </is>
      </c>
    </row>
    <row r="759">
      <c r="A759" s="12" t="inlineStr">
        <is>
          <t>Wil</t>
        </is>
      </c>
      <c r="B759" s="12" t="inlineStr">
        <is>
          <t>St. Gallen</t>
        </is>
      </c>
      <c r="C759" s="12" t="inlineStr">
        <is>
          <t>C5</t>
        </is>
      </c>
      <c r="D759" s="16" t="inlineStr">
        <is>
          <t>https://www.stadtwil.ch/topics/stadt-politik-und-recht/abstimmungen-und-wahlen/vergangene-abstimmungen/2024-vergangene-abstimmungen-und-wahlen/14-04-2024-kommunale-abstimmung-und-2-wahlgang-regierung/2-wahlgang-regierung-kanton-st-gallen</t>
        </is>
      </c>
      <c r="E759" s="12" t="inlineStr">
        <is>
          <t>2. Wahlgang Regierung Kanton St.Gallen</t>
        </is>
      </c>
      <c r="F759" s="12" t="inlineStr">
        <is>
          <t>nein</t>
        </is>
      </c>
      <c r="G759" s="12" t="inlineStr">
        <is>
          <t>https://www.stadtwil.ch/topics/stadt-politik-und-recht/finanzen</t>
        </is>
      </c>
      <c r="H759" s="12" t="inlineStr">
        <is>
          <t>Einstiegsseite</t>
        </is>
      </c>
      <c r="I759" s="12" t="inlineStr">
        <is>
          <t>Nein</t>
        </is>
      </c>
      <c r="J759" s="12" t="inlineStr">
        <is>
          <t>Ungeprüft – nicht kuratiert</t>
        </is>
      </c>
    </row>
    <row r="760">
      <c r="A760" s="12" t="inlineStr">
        <is>
          <t>Wil</t>
        </is>
      </c>
      <c r="B760" s="12" t="inlineStr">
        <is>
          <t>St. Gallen</t>
        </is>
      </c>
      <c r="C760" s="12" t="inlineStr">
        <is>
          <t>C5</t>
        </is>
      </c>
      <c r="D760" s="16" t="inlineStr">
        <is>
          <t>https://www.stadtwil.ch/topics/stadt-politik-und-recht/abstimmungen-und-wahlen/vergangene-abstimmungen/2024-vergangene-abstimmungen-und-wahlen/22-09-2024-eidgenoessische-und-kommunale-abstimmungen-sowie-kommunale-erneuerungswahlen/baukredit-fuer-den-ersatzneubau-der-unterfuehrung-hubstrasse-mit-fuss-und-velosteg-sowie-umgestaltung-churfirstenpark</t>
        </is>
      </c>
      <c r="E760" s="12" t="inlineStr">
        <is>
          <t>Baukredit für den Ersatzneubau der Unterführung Hubstrasse mit Fuss- und Velosteg sowie Umgestaltung Churfirstenpark</t>
        </is>
      </c>
      <c r="F760" s="12" t="inlineStr">
        <is>
          <t>nein</t>
        </is>
      </c>
      <c r="G760" s="12" t="inlineStr">
        <is>
          <t>https://www.stadtwil.ch/topics/stadt-politik-und-recht/finanzen</t>
        </is>
      </c>
      <c r="H760" s="12" t="inlineStr">
        <is>
          <t>Einstiegsseite</t>
        </is>
      </c>
      <c r="I760" s="12" t="inlineStr">
        <is>
          <t>Nein</t>
        </is>
      </c>
      <c r="J760" s="12" t="inlineStr">
        <is>
          <t>Ungeprüft – nicht kuratiert</t>
        </is>
      </c>
    </row>
    <row r="761">
      <c r="A761" s="12" t="inlineStr">
        <is>
          <t>Wil</t>
        </is>
      </c>
      <c r="B761" s="12" t="inlineStr">
        <is>
          <t>St. Gallen</t>
        </is>
      </c>
      <c r="C761" s="12" t="inlineStr">
        <is>
          <t>C5</t>
        </is>
      </c>
      <c r="D761" s="16" t="inlineStr">
        <is>
          <t>https://www.stadtwil.ch/topics/stadt-politik-und-recht/abstimmungen-und-wahlen/vergangene-abstimmungen/2024-vergangene-abstimmungen-und-wahlen/22-09-2024-eidgenoessische-und-kommunale-abstimmungen-sowie-kommunale-erneuerungswahlen/erneuerungswahl-der-fuenf-mitglieder-des-stadtrats-1-wahlgang-fuer-die-amtsdauer-2025-2028</t>
        </is>
      </c>
      <c r="E761" s="12" t="inlineStr">
        <is>
          <t>Erneuerungswahl der fünf Mitglieder des Stadtrats (1. Wahlgang) für die Amtsdauer 2025-2028</t>
        </is>
      </c>
      <c r="F761" s="12" t="inlineStr">
        <is>
          <t>nein</t>
        </is>
      </c>
      <c r="G761" s="12" t="inlineStr">
        <is>
          <t>https://www.stadtwil.ch/topics/stadt-politik-und-recht/finanzen</t>
        </is>
      </c>
      <c r="H761" s="12" t="inlineStr">
        <is>
          <t>Einstiegsseite</t>
        </is>
      </c>
      <c r="I761" s="12" t="inlineStr">
        <is>
          <t>Nein</t>
        </is>
      </c>
      <c r="J761" s="12" t="inlineStr">
        <is>
          <t>Ungeprüft – nicht kuratiert</t>
        </is>
      </c>
    </row>
    <row r="762">
      <c r="A762" s="12" t="inlineStr">
        <is>
          <t>Wil</t>
        </is>
      </c>
      <c r="B762" s="12" t="inlineStr">
        <is>
          <t>St. Gallen</t>
        </is>
      </c>
      <c r="C762" s="12" t="inlineStr">
        <is>
          <t>C5</t>
        </is>
      </c>
      <c r="D762" s="16" t="inlineStr">
        <is>
          <t>https://www.stadtwil.ch/topics/stadt-politik-und-recht/abstimmungen-und-wahlen/vergangene-abstimmungen/2024-vergangene-abstimmungen-und-wahlen/22-09-2024-eidgenoessische-und-kommunale-abstimmungen-sowie-kommunale-erneuerungswahlen/erneuerungswahl-des-stadtpraesidenten-1-wahlgang-fuer-die-amtsdauer-2025-2028</t>
        </is>
      </c>
      <c r="E762" s="12" t="inlineStr">
        <is>
          <t>Erneuerungswahl des Stadtpräsidenten (1. Wahlgang) für die Amtsdauer 2025-2028</t>
        </is>
      </c>
      <c r="F762" s="12" t="inlineStr">
        <is>
          <t>nein</t>
        </is>
      </c>
      <c r="G762" s="12" t="inlineStr">
        <is>
          <t>https://www.stadtwil.ch/topics/stadt-politik-und-recht/finanzen</t>
        </is>
      </c>
      <c r="H762" s="12" t="inlineStr">
        <is>
          <t>Einstiegsseite</t>
        </is>
      </c>
      <c r="I762" s="12" t="inlineStr">
        <is>
          <t>Nein</t>
        </is>
      </c>
      <c r="J762" s="12" t="inlineStr">
        <is>
          <t>Ungeprüft – nicht kuratiert</t>
        </is>
      </c>
    </row>
    <row r="763">
      <c r="A763" s="12" t="inlineStr">
        <is>
          <t>Wil</t>
        </is>
      </c>
      <c r="B763" s="12" t="inlineStr">
        <is>
          <t>St. Gallen</t>
        </is>
      </c>
      <c r="C763" s="12" t="inlineStr">
        <is>
          <t>C5</t>
        </is>
      </c>
      <c r="D763" s="16" t="inlineStr">
        <is>
          <t>https://www.stadtwil.ch/topics/stadt-politik-und-recht/abstimmungen-und-wahlen/vergangene-abstimmungen/2024-vergangene-abstimmungen-und-wahlen/22-09-2024-eidgenoessische-und-kommunale-abstimmungen-sowie-kommunale-erneuerungswahlen/erneuerungswahlen-des-stadtparlaments-fuer-die-amtsdauer-2025-2029</t>
        </is>
      </c>
      <c r="E763" s="12" t="inlineStr">
        <is>
          <t>Erneuerungswahlen des Stadtparlaments für die Amtsdauer 2025-2028</t>
        </is>
      </c>
      <c r="F763" s="12" t="inlineStr">
        <is>
          <t>nein</t>
        </is>
      </c>
      <c r="G763" s="12" t="inlineStr">
        <is>
          <t>https://www.stadtwil.ch/topics/stadt-politik-und-recht/finanzen</t>
        </is>
      </c>
      <c r="H763" s="12" t="inlineStr">
        <is>
          <t>Einstiegsseite</t>
        </is>
      </c>
      <c r="I763" s="12" t="inlineStr">
        <is>
          <t>Nein</t>
        </is>
      </c>
      <c r="J763" s="12" t="inlineStr">
        <is>
          <t>Ungeprüft – nicht kuratiert</t>
        </is>
      </c>
    </row>
    <row r="764">
      <c r="A764" s="12" t="inlineStr">
        <is>
          <t>Wil</t>
        </is>
      </c>
      <c r="B764" s="12" t="inlineStr">
        <is>
          <t>St. Gallen</t>
        </is>
      </c>
      <c r="C764" s="12" t="inlineStr">
        <is>
          <t>C5</t>
        </is>
      </c>
      <c r="D764" s="16" t="inlineStr">
        <is>
          <t>https://www.stadtwil.ch/topics/stadt-politik-und-recht/abstimmungen-und-wahlen/vergangene-abstimmungen/2024-vergangene-abstimmungen-und-wahlen/22-09-2024-eidgenoessische-und-kommunale-abstimmungen-sowie-kommunale-erneuerungswahlen/volksinitiative-vom-8-september-2020-fuer-die-zukunft-unserer-natur-und-landschaft-biodiversitaetsinitiative</t>
        </is>
      </c>
      <c r="E764" s="12" t="inlineStr">
        <is>
          <t>Volksinitiative vom 8. September 2020 «Für die Zukunft unserer Natur und Landschaft (Biodiversitätsinitiative)»</t>
        </is>
      </c>
      <c r="F764" s="12" t="inlineStr">
        <is>
          <t>nein</t>
        </is>
      </c>
      <c r="G764" s="12" t="inlineStr">
        <is>
          <t>https://www.stadtwil.ch/topics/stadt-politik-und-recht/finanzen</t>
        </is>
      </c>
      <c r="H764" s="12" t="inlineStr">
        <is>
          <t>Einstiegsseite</t>
        </is>
      </c>
      <c r="I764" s="12" t="inlineStr">
        <is>
          <t>Nein</t>
        </is>
      </c>
      <c r="J764" s="12" t="inlineStr">
        <is>
          <t>Ungeprüft – nicht kuratiert</t>
        </is>
      </c>
    </row>
    <row r="765">
      <c r="A765" s="12" t="inlineStr">
        <is>
          <t>Wil</t>
        </is>
      </c>
      <c r="B765" s="12" t="inlineStr">
        <is>
          <t>St. Gallen</t>
        </is>
      </c>
      <c r="C765" s="12" t="inlineStr">
        <is>
          <t>C5</t>
        </is>
      </c>
      <c r="D765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anderung-vom-22-dezember-2023-des-bundesgesetzes-ueber-die-krankenversicherung-kvg-einheitliche-finanzierung-der-leistungen</t>
        </is>
      </c>
      <c r="E765" s="12" t="inlineStr">
        <is>
          <t>Änderung vom 22.Dezember 2023 des Bundesgesetzes über die Krankenversicherung (KVG)</t>
        </is>
      </c>
      <c r="F765" s="12" t="inlineStr">
        <is>
          <t>nein</t>
        </is>
      </c>
      <c r="G765" s="12" t="inlineStr">
        <is>
          <t>https://www.stadtwil.ch/topics/stadt-politik-und-recht/finanzen</t>
        </is>
      </c>
      <c r="H765" s="12" t="inlineStr">
        <is>
          <t>Einstiegsseite</t>
        </is>
      </c>
      <c r="I765" s="12" t="inlineStr">
        <is>
          <t>Nein</t>
        </is>
      </c>
      <c r="J765" s="12" t="inlineStr">
        <is>
          <t>Ungeprüft – nicht kuratiert</t>
        </is>
      </c>
    </row>
    <row r="766">
      <c r="A766" s="12" t="inlineStr">
        <is>
          <t>Wil</t>
        </is>
      </c>
      <c r="B766" s="12" t="inlineStr">
        <is>
          <t>St. Gallen</t>
        </is>
      </c>
      <c r="C766" s="12" t="inlineStr">
        <is>
          <t>C5</t>
        </is>
      </c>
      <c r="D766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anderung-vom-29-september-2023-des-obligationenrechts</t>
        </is>
      </c>
      <c r="E766" s="12" t="inlineStr">
        <is>
          <t>Änderung vom 29. September 2023 des Obligationenrechts (Kündigung wegen Eigenbedarfs)</t>
        </is>
      </c>
      <c r="F766" s="12" t="inlineStr">
        <is>
          <t>nein</t>
        </is>
      </c>
      <c r="G766" s="12" t="inlineStr">
        <is>
          <t>https://www.stadtwil.ch/topics/stadt-politik-und-recht/finanzen</t>
        </is>
      </c>
      <c r="H766" s="12" t="inlineStr">
        <is>
          <t>Einstiegsseite</t>
        </is>
      </c>
      <c r="I766" s="12" t="inlineStr">
        <is>
          <t>Nein</t>
        </is>
      </c>
      <c r="J766" s="12" t="inlineStr">
        <is>
          <t>Ungeprüft – nicht kuratiert</t>
        </is>
      </c>
    </row>
    <row r="767">
      <c r="A767" s="12" t="inlineStr">
        <is>
          <t>Wil</t>
        </is>
      </c>
      <c r="B767" s="12" t="inlineStr">
        <is>
          <t>St. Gallen</t>
        </is>
      </c>
      <c r="C767" s="12" t="inlineStr">
        <is>
          <t>C5</t>
        </is>
      </c>
      <c r="D767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anderung-vom-29-september-2023-des-obligationenrechts-anderung-vom-29-september-2023-des-obligationenrechts</t>
        </is>
      </c>
      <c r="E767" s="12" t="inlineStr">
        <is>
          <t>Änderung vom 29. September 2023 des Obligationenrechts (Untermiete)</t>
        </is>
      </c>
      <c r="F767" s="12" t="inlineStr">
        <is>
          <t>nein</t>
        </is>
      </c>
      <c r="G767" s="12" t="inlineStr">
        <is>
          <t>https://www.stadtwil.ch/topics/stadt-politik-und-recht/finanzen</t>
        </is>
      </c>
      <c r="H767" s="12" t="inlineStr">
        <is>
          <t>Einstiegsseite</t>
        </is>
      </c>
      <c r="I767" s="12" t="inlineStr">
        <is>
          <t>Nein</t>
        </is>
      </c>
      <c r="J767" s="12" t="inlineStr">
        <is>
          <t>Ungeprüft – nicht kuratiert</t>
        </is>
      </c>
    </row>
    <row r="768">
      <c r="A768" s="12" t="inlineStr">
        <is>
          <t>Wil</t>
        </is>
      </c>
      <c r="B768" s="12" t="inlineStr">
        <is>
          <t>St. Gallen</t>
        </is>
      </c>
      <c r="C768" s="12" t="inlineStr">
        <is>
          <t>C5</t>
        </is>
      </c>
      <c r="D768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baukredit-fuer-den-neubau-werkhof-wil</t>
        </is>
      </c>
      <c r="E768" s="12" t="inlineStr">
        <is>
          <t>Baukredit für den Neubau Werkhof Wil</t>
        </is>
      </c>
      <c r="F768" s="12" t="inlineStr">
        <is>
          <t>nein</t>
        </is>
      </c>
      <c r="G768" s="12" t="inlineStr">
        <is>
          <t>https://www.stadtwil.ch/topics/stadt-politik-und-recht/finanzen</t>
        </is>
      </c>
      <c r="H768" s="12" t="inlineStr">
        <is>
          <t>Einstiegsseite</t>
        </is>
      </c>
      <c r="I768" s="12" t="inlineStr">
        <is>
          <t>Nein</t>
        </is>
      </c>
      <c r="J768" s="12" t="inlineStr">
        <is>
          <t>Ungeprüft – nicht kuratiert</t>
        </is>
      </c>
    </row>
    <row r="769">
      <c r="A769" s="12" t="inlineStr">
        <is>
          <t>Wil</t>
        </is>
      </c>
      <c r="B769" s="12" t="inlineStr">
        <is>
          <t>St. Gallen</t>
        </is>
      </c>
      <c r="C769" s="12" t="inlineStr">
        <is>
          <t>C5</t>
        </is>
      </c>
      <c r="D769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bundesbeschluss-vom-29-september-2023-ueber-den-ausbauschritt-2023-fuer-die-nationalstrassen</t>
        </is>
      </c>
      <c r="E769" s="12" t="inlineStr">
        <is>
          <t>Bundesbeschluss vom 29. September 2023 über den Ausbauschritt 2023 für die Nationalstrassen</t>
        </is>
      </c>
      <c r="F769" s="12" t="inlineStr">
        <is>
          <t>nein</t>
        </is>
      </c>
      <c r="G769" s="12" t="inlineStr">
        <is>
          <t>https://www.stadtwil.ch/topics/stadt-politik-und-recht/finanzen</t>
        </is>
      </c>
      <c r="H769" s="12" t="inlineStr">
        <is>
          <t>Einstiegsseite</t>
        </is>
      </c>
      <c r="I769" s="12" t="inlineStr">
        <is>
          <t>Nein</t>
        </is>
      </c>
      <c r="J769" s="12" t="inlineStr">
        <is>
          <t>Ungeprüft – nicht kuratiert</t>
        </is>
      </c>
    </row>
    <row r="770">
      <c r="A770" s="12" t="inlineStr">
        <is>
          <t>Wil</t>
        </is>
      </c>
      <c r="B770" s="12" t="inlineStr">
        <is>
          <t>St. Gallen</t>
        </is>
      </c>
      <c r="C770" s="12" t="inlineStr">
        <is>
          <t>C5</t>
        </is>
      </c>
      <c r="D770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einfuehrungsgesetz-zum-bundesgesetz-ueber-die-foerderung-der-ausbildung-im-bereich-der-pflege</t>
        </is>
      </c>
      <c r="E770" s="12" t="inlineStr">
        <is>
          <t>Einführungsgesetz zum Bundesgesetz über die Förderung der Ausbildung im Bereich der Pflege</t>
        </is>
      </c>
      <c r="F770" s="12" t="inlineStr">
        <is>
          <t>nein</t>
        </is>
      </c>
      <c r="G770" s="12" t="inlineStr">
        <is>
          <t>https://www.stadtwil.ch/topics/stadt-politik-und-recht/finanzen</t>
        </is>
      </c>
      <c r="H770" s="12" t="inlineStr">
        <is>
          <t>Einstiegsseite</t>
        </is>
      </c>
      <c r="I770" s="12" t="inlineStr">
        <is>
          <t>Nein</t>
        </is>
      </c>
      <c r="J770" s="12" t="inlineStr">
        <is>
          <t>Ungeprüft – nicht kuratiert</t>
        </is>
      </c>
    </row>
    <row r="771">
      <c r="A771" s="12" t="inlineStr">
        <is>
          <t>Wil</t>
        </is>
      </c>
      <c r="B771" s="12" t="inlineStr">
        <is>
          <t>St. Gallen</t>
        </is>
      </c>
      <c r="C771" s="12" t="inlineStr">
        <is>
          <t>C5</t>
        </is>
      </c>
      <c r="D771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erneuerungswahl-der-fuenf-mitglieder-des-stadtrats-2-wahlgang-fuer-die-amtsdauer-2025-2028</t>
        </is>
      </c>
      <c r="E771" s="12" t="inlineStr">
        <is>
          <t>Erneuerungswahl der fünf Mitglieder des Stadtrats (2. Wahlgang) für die Amtsdauer 2025 – 2028</t>
        </is>
      </c>
      <c r="F771" s="12" t="inlineStr">
        <is>
          <t>nein</t>
        </is>
      </c>
      <c r="G771" s="12" t="inlineStr">
        <is>
          <t>https://www.stadtwil.ch/topics/stadt-politik-und-recht/finanzen</t>
        </is>
      </c>
      <c r="H771" s="12" t="inlineStr">
        <is>
          <t>Einstiegsseite</t>
        </is>
      </c>
      <c r="I771" s="12" t="inlineStr">
        <is>
          <t>Nein</t>
        </is>
      </c>
      <c r="J771" s="12" t="inlineStr">
        <is>
          <t>Ungeprüft – nicht kuratiert</t>
        </is>
      </c>
    </row>
    <row r="772">
      <c r="A772" s="12" t="inlineStr">
        <is>
          <t>Wil</t>
        </is>
      </c>
      <c r="B772" s="12" t="inlineStr">
        <is>
          <t>St. Gallen</t>
        </is>
      </c>
      <c r="C772" s="12" t="inlineStr">
        <is>
          <t>C5</t>
        </is>
      </c>
      <c r="D772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vii-nachtrag-zum-sozialhilfegesetz-foerderung-und-finanzierung-von-spezialpflegeangeboten</t>
        </is>
      </c>
      <c r="E772" s="12" t="inlineStr">
        <is>
          <t>VII. Nachtrag zum Sozialhilfegesetz (Förderung und Finanzierung von Spezialpflegeangeboten)</t>
        </is>
      </c>
      <c r="F772" s="12" t="inlineStr">
        <is>
          <t>nein</t>
        </is>
      </c>
      <c r="G772" s="12" t="inlineStr">
        <is>
          <t>https://www.stadtwil.ch/topics/stadt-politik-und-recht/finanzen</t>
        </is>
      </c>
      <c r="H772" s="12" t="inlineStr">
        <is>
          <t>Einstiegsseite</t>
        </is>
      </c>
      <c r="I772" s="12" t="inlineStr">
        <is>
          <t>Nein</t>
        </is>
      </c>
      <c r="J772" s="12" t="inlineStr">
        <is>
          <t>Ungeprüft – nicht kuratiert</t>
        </is>
      </c>
    </row>
    <row r="773">
      <c r="A773" s="12" t="inlineStr">
        <is>
          <t>Wil</t>
        </is>
      </c>
      <c r="B773" s="12" t="inlineStr">
        <is>
          <t>St. Gallen</t>
        </is>
      </c>
      <c r="C773" s="12" t="inlineStr">
        <is>
          <t>C5</t>
        </is>
      </c>
      <c r="D773" s="16" t="inlineStr">
        <is>
          <t>https://www.stadtwil.ch/topics/stadt-politik-und-recht/abstimmungen-und-wahlen/vergangene-abstimmungen/2024-vergangene-abstimmungen-und-wahlen/24-11-2024-eidgenoessische-kantonale-und-kommunale-abstimmungen-sowie-2-wahlgang-kommunale-erneuerungswahlen/xxii-nachtrag-zum-steuergesetz-erhoehung-des-fahrkostenabzugs</t>
        </is>
      </c>
      <c r="E773" s="12" t="inlineStr">
        <is>
          <t>XXII. Nachtrag zum Steuergesetz (Erhöhung des Fahrkostenabzugs)</t>
        </is>
      </c>
      <c r="F773" s="12" t="inlineStr">
        <is>
          <t>nein</t>
        </is>
      </c>
      <c r="G773" s="12" t="inlineStr">
        <is>
          <t>https://www.stadtwil.ch/topics/stadt-politik-und-recht/finanzen</t>
        </is>
      </c>
      <c r="H773" s="12" t="inlineStr">
        <is>
          <t>Einstiegsseite</t>
        </is>
      </c>
      <c r="I773" s="12" t="inlineStr">
        <is>
          <t>Nein</t>
        </is>
      </c>
      <c r="J773" s="12" t="inlineStr">
        <is>
          <t>Ungeprüft – nicht kuratiert</t>
        </is>
      </c>
    </row>
    <row r="774">
      <c r="A774" s="12" t="inlineStr">
        <is>
          <t>Wil</t>
        </is>
      </c>
      <c r="B774" s="12" t="inlineStr">
        <is>
          <t>St. Gallen</t>
        </is>
      </c>
      <c r="C774" s="12" t="inlineStr">
        <is>
          <t>C5</t>
        </is>
      </c>
      <c r="D774" s="16" t="inlineStr">
        <is>
          <t>https://www.stadtwil.ch/topics/stadt-politik-und-recht/abstimmungen-und-wahlen/vergangene-abstimmungen/2025-vergangene-abstimmungen-und-wahlen-1/09-02-2025-eidgenoessisches-blankodatum/volksinitiative-vom-21-februar-2023-fuer-eine-verantwortungsvolle-wirtschaft-innerhalb-der-planetaren-grenzen</t>
        </is>
      </c>
      <c r="E774" s="12" t="inlineStr">
        <is>
          <t>Volksinitiative vom 21. Februar 2023 «Für eine verantwortungsvolle Wirtschaft innerhalb der planetaren Grenzen</t>
        </is>
      </c>
      <c r="F774" s="12" t="inlineStr">
        <is>
          <t>nein</t>
        </is>
      </c>
      <c r="G774" s="12" t="inlineStr">
        <is>
          <t>https://www.stadtwil.ch/topics/stadt-politik-und-recht/finanzen</t>
        </is>
      </c>
      <c r="H774" s="12" t="inlineStr">
        <is>
          <t>Einstiegsseite</t>
        </is>
      </c>
      <c r="I774" s="12" t="inlineStr">
        <is>
          <t>Nein</t>
        </is>
      </c>
      <c r="J774" s="12" t="inlineStr">
        <is>
          <t>Ungeprüft – nicht kuratiert</t>
        </is>
      </c>
    </row>
    <row r="775">
      <c r="A775" s="12" t="inlineStr">
        <is>
          <t>Wil</t>
        </is>
      </c>
      <c r="B775" s="12" t="inlineStr">
        <is>
          <t>St. Gallen</t>
        </is>
      </c>
      <c r="C775" s="12" t="inlineStr">
        <is>
          <t>C5</t>
        </is>
      </c>
      <c r="D775" s="16" t="inlineStr">
        <is>
          <t>https://www.stadtwil.ch/topics/stadt-politik-und-recht/abstimmungen-und-wahlen/vergangene-abstimmungen/2025-vergangene-abstimmungen-und-wahlen-1/18-05-2025-eidgenoessisches-blankodatum/iii-nachtrag-zum-gesetz-ueber-ruhetag-und-ladenoeffnung</t>
        </is>
      </c>
      <c r="E775" s="12" t="inlineStr">
        <is>
          <t>III. Nachtrag zum Gesetz über Ruhetag und Ladenöffnung</t>
        </is>
      </c>
      <c r="F775" s="12" t="inlineStr">
        <is>
          <t>nein</t>
        </is>
      </c>
      <c r="G775" s="12" t="inlineStr">
        <is>
          <t>https://www.stadtwil.ch/topics/stadt-politik-und-recht/finanzen</t>
        </is>
      </c>
      <c r="H775" s="12" t="inlineStr">
        <is>
          <t>Einstiegsseite</t>
        </is>
      </c>
      <c r="I775" s="12" t="inlineStr">
        <is>
          <t>Nein</t>
        </is>
      </c>
      <c r="J775" s="12" t="inlineStr">
        <is>
          <t>Ungeprüft – nicht kuratiert</t>
        </is>
      </c>
    </row>
    <row r="776">
      <c r="A776" s="12" t="inlineStr">
        <is>
          <t>Wil</t>
        </is>
      </c>
      <c r="B776" s="12" t="inlineStr">
        <is>
          <t>St. Gallen</t>
        </is>
      </c>
      <c r="C776" s="12" t="inlineStr">
        <is>
          <t>C5</t>
        </is>
      </c>
      <c r="D776" s="16" t="inlineStr">
        <is>
          <t>https://www.stadtwil.ch/topics/stadt-politik-und-recht/abstimmungen-und-wahlen/vergangene-abstimmungen/2025-vergangene-abstimmungen-und-wahlen-1/28-09-2025-eidgenoessische-abstimmung/bundesgesetz-vom-20-dezember-2024-ueber-den-elektronischen-identitaetsnachweis-und-andere-elektronische-nachweise-e-id-gesetz-bgeid</t>
        </is>
      </c>
      <c r="E776" s="12" t="inlineStr">
        <is>
          <t>Bundesgesetz vom 20. Dezember 2024 über den elektronischen Identitätsnachweis und andere elektronische Nachweise (E-ID-Gesetz, BGEID)</t>
        </is>
      </c>
      <c r="F776" s="12" t="inlineStr">
        <is>
          <t>nein</t>
        </is>
      </c>
      <c r="G776" s="12" t="inlineStr">
        <is>
          <t>https://www.stadtwil.ch/topics/stadt-politik-und-recht/finanzen</t>
        </is>
      </c>
      <c r="H776" s="12" t="inlineStr">
        <is>
          <t>Einstiegsseite</t>
        </is>
      </c>
      <c r="I776" s="12" t="inlineStr">
        <is>
          <t>Nein</t>
        </is>
      </c>
      <c r="J776" s="12" t="inlineStr">
        <is>
          <t>Ungeprüft – nicht kuratiert</t>
        </is>
      </c>
    </row>
    <row r="777">
      <c r="A777" s="12" t="inlineStr">
        <is>
          <t>Wil</t>
        </is>
      </c>
      <c r="B777" s="12" t="inlineStr">
        <is>
          <t>St. Gallen</t>
        </is>
      </c>
      <c r="C777" s="12" t="inlineStr">
        <is>
          <t>C5</t>
        </is>
      </c>
      <c r="D777" s="16" t="inlineStr">
        <is>
          <t>https://www.stadtwil.ch/topics/stadt-politik-und-recht/abstimmungen-und-wahlen/vergangene-abstimmungen/2026-vergangene-abstimmungen-und-wahlen/08-03-2026-eidgenoessisches-blankodatum/eidgenoessische-abstimmungen/bundesgesetz-ueber-die-individualbesteuerung</t>
        </is>
      </c>
      <c r="E777" s="12" t="inlineStr">
        <is>
          <t>Bundesgesetz über die Individualbesteuerung</t>
        </is>
      </c>
      <c r="F777" s="12" t="inlineStr">
        <is>
          <t>nein</t>
        </is>
      </c>
      <c r="G777" s="12" t="inlineStr">
        <is>
          <t>https://www.stadtwil.ch/topics/stadt-politik-und-recht/finanzen</t>
        </is>
      </c>
      <c r="H777" s="12" t="inlineStr">
        <is>
          <t>Einstiegsseite</t>
        </is>
      </c>
      <c r="I777" s="12" t="inlineStr">
        <is>
          <t>Nein</t>
        </is>
      </c>
      <c r="J777" s="12" t="inlineStr">
        <is>
          <t>Ungeprüft – nicht kuratiert</t>
        </is>
      </c>
    </row>
    <row r="778">
      <c r="A778" s="12" t="inlineStr">
        <is>
          <t>Wil</t>
        </is>
      </c>
      <c r="B778" s="12" t="inlineStr">
        <is>
          <t>St. Gallen</t>
        </is>
      </c>
      <c r="C778" s="12" t="inlineStr">
        <is>
          <t>C5</t>
        </is>
      </c>
      <c r="D778" s="16" t="inlineStr">
        <is>
          <t>https://www.stadtwil.ch/topics/stadt-politik-und-recht/abstimmungen-und-wahlen/vergangene-abstimmungen/2026-vergangene-abstimmungen-und-wahlen/08-03-2026-eidgenoessisches-blankodatum/eidgenoessische-abstimmungen/volksinitiative-200-franken-sind-genug-srg-initiative</t>
        </is>
      </c>
      <c r="E778" s="12" t="inlineStr">
        <is>
          <t>Volksinitiative «200 Franken sind genug! (SRG-Initiative)»</t>
        </is>
      </c>
      <c r="F778" s="12" t="inlineStr">
        <is>
          <t>nein</t>
        </is>
      </c>
      <c r="G778" s="12" t="inlineStr">
        <is>
          <t>https://www.stadtwil.ch/topics/stadt-politik-und-recht/finanzen</t>
        </is>
      </c>
      <c r="H778" s="12" t="inlineStr">
        <is>
          <t>Einstiegsseite</t>
        </is>
      </c>
      <c r="I778" s="12" t="inlineStr">
        <is>
          <t>Nein</t>
        </is>
      </c>
      <c r="J778" s="12" t="inlineStr">
        <is>
          <t>Ungeprüft – nicht kuratiert</t>
        </is>
      </c>
    </row>
    <row r="779">
      <c r="A779" s="12" t="inlineStr">
        <is>
          <t>Wil</t>
        </is>
      </c>
      <c r="B779" s="12" t="inlineStr">
        <is>
          <t>St. Gallen</t>
        </is>
      </c>
      <c r="C779" s="12" t="inlineStr">
        <is>
          <t>C5</t>
        </is>
      </c>
      <c r="D779" s="16" t="inlineStr">
        <is>
          <t>https://www.stadtwil.ch/topics/stadt-politik-und-recht/abstimmungen-und-wahlen/vergangene-abstimmungen/2026-vergangene-abstimmungen-und-wahlen/08-03-2026-eidgenoessisches-blankodatum/eidgenoessische-abstimmungen/volksinitiative-fuer-einen-wirksamen-klimaschutz-klimafonds-initiative</t>
        </is>
      </c>
      <c r="E779" s="12" t="inlineStr">
        <is>
          <t>Volksinitiative «Für einen wirksamen Klimaschutz (Klimafonds-Initiative)»</t>
        </is>
      </c>
      <c r="F779" s="12" t="inlineStr">
        <is>
          <t>nein</t>
        </is>
      </c>
      <c r="G779" s="12" t="inlineStr">
        <is>
          <t>https://www.stadtwil.ch/topics/stadt-politik-und-recht/finanzen</t>
        </is>
      </c>
      <c r="H779" s="12" t="inlineStr">
        <is>
          <t>Einstiegsseite</t>
        </is>
      </c>
      <c r="I779" s="12" t="inlineStr">
        <is>
          <t>Nein</t>
        </is>
      </c>
      <c r="J779" s="12" t="inlineStr">
        <is>
          <t>Ungeprüft – nicht kuratiert</t>
        </is>
      </c>
    </row>
    <row r="780">
      <c r="A780" s="12" t="inlineStr">
        <is>
          <t>Wil</t>
        </is>
      </c>
      <c r="B780" s="12" t="inlineStr">
        <is>
          <t>St. Gallen</t>
        </is>
      </c>
      <c r="C780" s="12" t="inlineStr">
        <is>
          <t>C5</t>
        </is>
      </c>
      <c r="D780" s="16" t="inlineStr">
        <is>
          <t>https://www.stadtwil.ch/topics/stadt-politik-und-recht/abstimmungen-und-wahlen/vergangene-abstimmungen/2026-vergangene-abstimmungen-und-wahlen/08-03-2026-eidgenoessisches-blankodatum/eidgenoessische-abstimmungen/volksinitiative-ja-zu-einer-unabhaengigen-freien-schweizer-waehrung-mit-muenzen-oder-banknoten-bargeld-ist-freiheit</t>
        </is>
      </c>
      <c r="E780" s="12" t="inlineStr">
        <is>
          <t>Volksinitiative «Ja zu einer unabhängigen, freien Schweizer Währung mit Münzen oder Banknoten (Bargeld ist Freiheit)»</t>
        </is>
      </c>
      <c r="F780" s="12" t="inlineStr">
        <is>
          <t>nein</t>
        </is>
      </c>
      <c r="G780" s="12" t="inlineStr">
        <is>
          <t>https://www.stadtwil.ch/topics/stadt-politik-und-recht/finanzen</t>
        </is>
      </c>
      <c r="H780" s="12" t="inlineStr">
        <is>
          <t>Einstiegsseite</t>
        </is>
      </c>
      <c r="I780" s="12" t="inlineStr">
        <is>
          <t>Nein</t>
        </is>
      </c>
      <c r="J780" s="12" t="inlineStr">
        <is>
          <t>Ungeprüft – nicht kuratiert</t>
        </is>
      </c>
    </row>
    <row r="781">
      <c r="A781" s="12" t="inlineStr">
        <is>
          <t>Wil</t>
        </is>
      </c>
      <c r="B781" s="12" t="inlineStr">
        <is>
          <t>St. Gallen</t>
        </is>
      </c>
      <c r="C781" s="12" t="inlineStr">
        <is>
          <t>C5</t>
        </is>
      </c>
      <c r="D781" s="16" t="inlineStr">
        <is>
          <t>https://www.stadtwil.ch/topics/stadt-politik-und-recht/abstimmungen-und-wahlen/vergangene-abstimmungen/2026-vergangene-abstimmungen-und-wahlen/08-03-2026-eidgenoessisches-blankodatum/kantonale-abstimmungen/kantonsratsbeschluss-ueber-den-neubau-des-berufs-und-weiterbildungszentrums-rapperswil-jona-standort-suedquartier</t>
        </is>
      </c>
      <c r="E781" s="12" t="inlineStr">
        <is>
          <t>Kantonsratsbeschluss über den Neubau des Berufs- und Weiterbildungszentrums Rapperswil-Jona (Standort „Südquartier“)</t>
        </is>
      </c>
      <c r="F781" s="12" t="inlineStr">
        <is>
          <t>nein</t>
        </is>
      </c>
      <c r="G781" s="12" t="inlineStr">
        <is>
          <t>https://www.stadtwil.ch/topics/stadt-politik-und-recht/finanzen</t>
        </is>
      </c>
      <c r="H781" s="12" t="inlineStr">
        <is>
          <t>Einstiegsseite</t>
        </is>
      </c>
      <c r="I781" s="12" t="inlineStr">
        <is>
          <t>Nein</t>
        </is>
      </c>
      <c r="J781" s="12" t="inlineStr">
        <is>
          <t>Ungeprüft – nicht kuratiert</t>
        </is>
      </c>
    </row>
    <row r="782">
      <c r="A782" s="12" t="inlineStr">
        <is>
          <t>Wil</t>
        </is>
      </c>
      <c r="B782" s="12" t="inlineStr">
        <is>
          <t>St. Gallen</t>
        </is>
      </c>
      <c r="C782" s="12" t="inlineStr">
        <is>
          <t>C5</t>
        </is>
      </c>
      <c r="D782" s="16" t="inlineStr">
        <is>
          <t>https://www.stadtwil.ch/topics/stadt-politik-und-recht/abstimmungen-und-wahlen/vergangene-abstimmungen/2026-vergangene-abstimmungen-und-wahlen/08-03-2026-eidgenoessisches-blankodatum/kommunale-abstimmung</t>
        </is>
      </c>
      <c r="E782" s="12" t="inlineStr">
        <is>
          <t>Kommunale Abstimmung</t>
        </is>
      </c>
      <c r="F782" s="12" t="inlineStr">
        <is>
          <t>nein</t>
        </is>
      </c>
      <c r="G782" s="12" t="inlineStr">
        <is>
          <t>https://www.stadtwil.ch/topics/stadt-politik-und-recht/finanzen</t>
        </is>
      </c>
      <c r="H782" s="12" t="inlineStr">
        <is>
          <t>Einstiegsseite</t>
        </is>
      </c>
      <c r="I782" s="12" t="inlineStr">
        <is>
          <t>Nein</t>
        </is>
      </c>
      <c r="J782" s="12" t="inlineStr">
        <is>
          <t>Ungeprüft – nicht kuratiert</t>
        </is>
      </c>
    </row>
    <row r="783">
      <c r="A783" s="12" t="inlineStr">
        <is>
          <t>Wil</t>
        </is>
      </c>
      <c r="B783" s="12" t="inlineStr">
        <is>
          <t>St. Gallen</t>
        </is>
      </c>
      <c r="C783" s="12" t="inlineStr">
        <is>
          <t>C5</t>
        </is>
      </c>
      <c r="D783" s="16" t="inlineStr">
        <is>
          <t>https://www.stadtwil.ch/topics/stadt-politik-und-recht/abstimmungen-und-wahlen/vergangene-abstimmungen/2026-vergangene-abstimmungen-und-wahlen/14-06-2026-abstimmungstermin</t>
        </is>
      </c>
      <c r="E783" s="12" t="inlineStr">
        <is>
          <t>14.06.2026 - Abstimmungstermin</t>
        </is>
      </c>
      <c r="F783" s="12" t="inlineStr">
        <is>
          <t>nein</t>
        </is>
      </c>
      <c r="G783" s="12" t="inlineStr">
        <is>
          <t>https://www.stadtwil.ch/topics/stadt-politik-und-recht/finanzen</t>
        </is>
      </c>
      <c r="H783" s="12" t="inlineStr">
        <is>
          <t>Einstiegsseite</t>
        </is>
      </c>
      <c r="I783" s="12" t="inlineStr">
        <is>
          <t>Nein</t>
        </is>
      </c>
      <c r="J783" s="12" t="inlineStr">
        <is>
          <t>Ungeprüft – nicht kuratiert</t>
        </is>
      </c>
    </row>
    <row r="784">
      <c r="A784" s="12" t="inlineStr">
        <is>
          <t>Wil</t>
        </is>
      </c>
      <c r="B784" s="12" t="inlineStr">
        <is>
          <t>St. Gallen</t>
        </is>
      </c>
      <c r="C784" s="12" t="inlineStr">
        <is>
          <t>C5</t>
        </is>
      </c>
      <c r="D784" s="16" t="inlineStr">
        <is>
          <t>https://www.stadtwil.ch/topics/stadt-politik-und-recht/abstimmungen-und-wahlen/vergangene-abstimmungen/2026-vergangene-abstimmungen-und-wahlen/16-08-2026-abstimmungstermin</t>
        </is>
      </c>
      <c r="E784" s="12" t="inlineStr">
        <is>
          <t>16.08.2026 - Abstimmungstermin</t>
        </is>
      </c>
      <c r="F784" s="12" t="inlineStr">
        <is>
          <t>nein</t>
        </is>
      </c>
      <c r="G784" s="12" t="inlineStr">
        <is>
          <t>https://www.stadtwil.ch/topics/stadt-politik-und-recht/finanzen</t>
        </is>
      </c>
      <c r="H784" s="12" t="inlineStr">
        <is>
          <t>Einstiegsseite</t>
        </is>
      </c>
      <c r="I784" s="12" t="inlineStr">
        <is>
          <t>Nein</t>
        </is>
      </c>
      <c r="J784" s="12" t="inlineStr">
        <is>
          <t>Ungeprüft – nicht kuratiert</t>
        </is>
      </c>
    </row>
    <row r="785">
      <c r="A785" s="12" t="inlineStr">
        <is>
          <t>Wil</t>
        </is>
      </c>
      <c r="B785" s="12" t="inlineStr">
        <is>
          <t>St. Gallen</t>
        </is>
      </c>
      <c r="C785" s="12" t="inlineStr">
        <is>
          <t>C5</t>
        </is>
      </c>
      <c r="D785" s="16" t="inlineStr">
        <is>
          <t>https://www.stadtwil.ch/topics/stadt-politik-und-recht/abstimmungen-und-wahlen/vorlagen/eidgenoessische-vorlagen/02-09-2024-volksinitiative-vom-8-september-2020-fuer-die-zukunft-unserer-natur-und-landschaft-biodiversitaetsinitiative</t>
        </is>
      </c>
      <c r="E785" s="12" t="inlineStr">
        <is>
          <t>02.09.2024 - Volksinitiative vom 8. September 2020 «Für die Zukunft unserer Natur und Landschaft (Biodiversitätsinitiative)»</t>
        </is>
      </c>
      <c r="F785" s="12" t="inlineStr">
        <is>
          <t>nein</t>
        </is>
      </c>
      <c r="G785" s="12" t="inlineStr">
        <is>
          <t>https://www.stadtwil.ch/topics/stadt-politik-und-recht/finanzen</t>
        </is>
      </c>
      <c r="H785" s="12" t="inlineStr">
        <is>
          <t>Einstiegsseite</t>
        </is>
      </c>
      <c r="I785" s="12" t="inlineStr">
        <is>
          <t>Nein</t>
        </is>
      </c>
      <c r="J785" s="12" t="inlineStr">
        <is>
          <t>Ungeprüft – nicht kuratiert</t>
        </is>
      </c>
    </row>
    <row r="786">
      <c r="A786" s="12" t="inlineStr">
        <is>
          <t>Wil</t>
        </is>
      </c>
      <c r="B786" s="12" t="inlineStr">
        <is>
          <t>St. Gallen</t>
        </is>
      </c>
      <c r="C786" s="12" t="inlineStr">
        <is>
          <t>C5</t>
        </is>
      </c>
      <c r="D786" s="16" t="inlineStr">
        <is>
          <t>https://www.stadtwil.ch/topics/stadt-politik-und-recht/abstimmungen-und-wahlen/vorlagen/eidgenoessische-vorlagen/03-03-2024-volksinitiative-vom-16-juli-2021-fuer-eine-sichere-und-nachhaltige-altersvorsorge</t>
        </is>
      </c>
      <c r="E786" s="12" t="inlineStr">
        <is>
          <t>03.03.2024 - Volksinitiative vom 16. Juli 2021 «Für eine sichere und nachhaltige Altersvorsorge »</t>
        </is>
      </c>
      <c r="F786" s="12" t="inlineStr">
        <is>
          <t>nein</t>
        </is>
      </c>
      <c r="G786" s="12" t="inlineStr">
        <is>
          <t>https://www.stadtwil.ch/topics/stadt-politik-und-recht/finanzen</t>
        </is>
      </c>
      <c r="H786" s="12" t="inlineStr">
        <is>
          <t>Einstiegsseite</t>
        </is>
      </c>
      <c r="I786" s="12" t="inlineStr">
        <is>
          <t>Nein</t>
        </is>
      </c>
      <c r="J786" s="12" t="inlineStr">
        <is>
          <t>Ungeprüft – nicht kuratiert</t>
        </is>
      </c>
    </row>
    <row r="787">
      <c r="A787" s="12" t="inlineStr">
        <is>
          <t>Wil</t>
        </is>
      </c>
      <c r="B787" s="12" t="inlineStr">
        <is>
          <t>St. Gallen</t>
        </is>
      </c>
      <c r="C787" s="12" t="inlineStr">
        <is>
          <t>C5</t>
        </is>
      </c>
      <c r="D787" s="16" t="inlineStr">
        <is>
          <t>https://www.stadtwil.ch/topics/stadt-politik-und-recht/abstimmungen-und-wahlen/vorlagen/eidgenoessische-vorlagen/03-03-2024-volksinitiative-vom-28-mai-2021-fuer-ein-besseres-leben-im-alter</t>
        </is>
      </c>
      <c r="E787" s="12" t="inlineStr">
        <is>
          <t>03.03.2024 - Volksinitiative vom 28. Mai 2021 «Für ein besseres Leben im Alter »</t>
        </is>
      </c>
      <c r="F787" s="12" t="inlineStr">
        <is>
          <t>nein</t>
        </is>
      </c>
      <c r="G787" s="12" t="inlineStr">
        <is>
          <t>https://www.stadtwil.ch/topics/stadt-politik-und-recht/finanzen</t>
        </is>
      </c>
      <c r="H787" s="12" t="inlineStr">
        <is>
          <t>Einstiegsseite</t>
        </is>
      </c>
      <c r="I787" s="12" t="inlineStr">
        <is>
          <t>Nein</t>
        </is>
      </c>
      <c r="J787" s="12" t="inlineStr">
        <is>
          <t>Ungeprüft – nicht kuratiert</t>
        </is>
      </c>
    </row>
    <row r="788">
      <c r="A788" s="12" t="inlineStr">
        <is>
          <t>Wil</t>
        </is>
      </c>
      <c r="B788" s="12" t="inlineStr">
        <is>
          <t>St. Gallen</t>
        </is>
      </c>
      <c r="C788" s="12" t="inlineStr">
        <is>
          <t>C5</t>
        </is>
      </c>
      <c r="D788" s="16" t="inlineStr">
        <is>
          <t>https://www.stadtwil.ch/topics/stadt-politik-und-recht/abstimmungen-und-wahlen/vorlagen/eidgenoessische-vorlagen/09-02-2025-volksinitiative-vom-21-februar-2023-fuer-eine-verantwortungsvolle-wirtschaft-innerhalb-der-planetaren-grenzen</t>
        </is>
      </c>
      <c r="E788" s="12" t="inlineStr">
        <is>
          <t>09.02.2025 -  Volksinitiative vom 21. Februar 2023 «Für eine verantwortungsvolle Wirtschaft innerhalb der planetaren Grenzen»</t>
        </is>
      </c>
      <c r="F788" s="12" t="inlineStr">
        <is>
          <t>nein</t>
        </is>
      </c>
      <c r="G788" s="12" t="inlineStr">
        <is>
          <t>https://www.stadtwil.ch/topics/stadt-politik-und-recht/finanzen</t>
        </is>
      </c>
      <c r="H788" s="12" t="inlineStr">
        <is>
          <t>Einstiegsseite</t>
        </is>
      </c>
      <c r="I788" s="12" t="inlineStr">
        <is>
          <t>Nein</t>
        </is>
      </c>
      <c r="J788" s="12" t="inlineStr">
        <is>
          <t>Ungeprüft – nicht kuratiert</t>
        </is>
      </c>
    </row>
    <row r="789">
      <c r="A789" s="12" t="inlineStr">
        <is>
          <t>Wil</t>
        </is>
      </c>
      <c r="B789" s="12" t="inlineStr">
        <is>
          <t>St. Gallen</t>
        </is>
      </c>
      <c r="C789" s="12" t="inlineStr">
        <is>
          <t>C5</t>
        </is>
      </c>
      <c r="D789" s="16" t="inlineStr">
        <is>
          <t>https://www.stadtwil.ch/topics/stadt-politik-und-recht/abstimmungen-und-wahlen/vorlagen/eidgenoessische-vorlagen/09-02-2025-volksinitiative-vom-21-februar-2023-fuer-eine-verantwortungsvolle-wirtschaft-innerhalb-der-planetaren-grenzen-1</t>
        </is>
      </c>
      <c r="E789" s="12" t="inlineStr">
        <is>
          <t>09.02.2025 - Volksinitiative vom 21. Februar 2023 «Für eine verantwortungsvolle Wirtschaft innerhalb der planetaren Grenzen</t>
        </is>
      </c>
      <c r="F789" s="12" t="inlineStr">
        <is>
          <t>nein</t>
        </is>
      </c>
      <c r="G789" s="12" t="inlineStr">
        <is>
          <t>https://www.stadtwil.ch/topics/stadt-politik-und-recht/finanzen</t>
        </is>
      </c>
      <c r="H789" s="12" t="inlineStr">
        <is>
          <t>Einstiegsseite</t>
        </is>
      </c>
      <c r="I789" s="12" t="inlineStr">
        <is>
          <t>Nein</t>
        </is>
      </c>
      <c r="J789" s="12" t="inlineStr">
        <is>
          <t>Ungeprüft – nicht kuratiert</t>
        </is>
      </c>
    </row>
    <row r="790">
      <c r="A790" s="12" t="inlineStr">
        <is>
          <t>Wil</t>
        </is>
      </c>
      <c r="B790" s="12" t="inlineStr">
        <is>
          <t>St. Gallen</t>
        </is>
      </c>
      <c r="C790" s="12" t="inlineStr">
        <is>
          <t>C5</t>
        </is>
      </c>
      <c r="D790" s="16" t="inlineStr">
        <is>
          <t>https://www.stadtwil.ch/topics/stadt-politik-und-recht/abstimmungen-und-wahlen/vorlagen/eidgenoessische-vorlagen/09-06-2024-bundesgesetz-vom-29-september-2023-ueber-eine-sichere-stromversorgung-mit-erneuerbaren-energien</t>
        </is>
      </c>
      <c r="E790" s="12" t="inlineStr">
        <is>
          <t>09.06.2024 - Bundesgesetz vom 29. September 2023 über eine sichere Stromversorgung mit erneuerbaren Energien</t>
        </is>
      </c>
      <c r="F790" s="12" t="inlineStr">
        <is>
          <t>nein</t>
        </is>
      </c>
      <c r="G790" s="12" t="inlineStr">
        <is>
          <t>https://www.stadtwil.ch/topics/stadt-politik-und-recht/finanzen</t>
        </is>
      </c>
      <c r="H790" s="12" t="inlineStr">
        <is>
          <t>Einstiegsseite</t>
        </is>
      </c>
      <c r="I790" s="12" t="inlineStr">
        <is>
          <t>Nein</t>
        </is>
      </c>
      <c r="J790" s="12" t="inlineStr">
        <is>
          <t>Ungeprüft – nicht kuratiert</t>
        </is>
      </c>
    </row>
    <row r="791">
      <c r="A791" s="12" t="inlineStr">
        <is>
          <t>Wil</t>
        </is>
      </c>
      <c r="B791" s="12" t="inlineStr">
        <is>
          <t>St. Gallen</t>
        </is>
      </c>
      <c r="C791" s="12" t="inlineStr">
        <is>
          <t>C5</t>
        </is>
      </c>
      <c r="D791" s="16" t="inlineStr">
        <is>
          <t>https://www.stadtwil.ch/topics/stadt-politik-und-recht/abstimmungen-und-wahlen/vorlagen/eidgenoessische-vorlagen/09-06-2024-fuer-freiheit-und-koerperliche-unversehrtheit</t>
        </is>
      </c>
      <c r="E791" s="12" t="inlineStr">
        <is>
          <t>09.06.2024 - «Für Freiheit und körperliche Unversehrtheit»</t>
        </is>
      </c>
      <c r="F791" s="12" t="inlineStr">
        <is>
          <t>nein</t>
        </is>
      </c>
      <c r="G791" s="12" t="inlineStr">
        <is>
          <t>https://www.stadtwil.ch/topics/stadt-politik-und-recht/finanzen</t>
        </is>
      </c>
      <c r="H791" s="12" t="inlineStr">
        <is>
          <t>Einstiegsseite</t>
        </is>
      </c>
      <c r="I791" s="12" t="inlineStr">
        <is>
          <t>Nein</t>
        </is>
      </c>
      <c r="J791" s="12" t="inlineStr">
        <is>
          <t>Ungeprüft – nicht kuratiert</t>
        </is>
      </c>
    </row>
    <row r="792">
      <c r="A792" s="12" t="inlineStr">
        <is>
          <t>Wil</t>
        </is>
      </c>
      <c r="B792" s="12" t="inlineStr">
        <is>
          <t>St. Gallen</t>
        </is>
      </c>
      <c r="C792" s="12" t="inlineStr">
        <is>
          <t>C5</t>
        </is>
      </c>
      <c r="D792" s="16" t="inlineStr">
        <is>
          <t>https://www.stadtwil.ch/topics/stadt-politik-und-recht/abstimmungen-und-wahlen/vorlagen/eidgenoessische-vorlagen/09-06-2024-fuer-tiefere-praemien-kostenbremse-im-gesundheitswesen-kostenbremse-initiative</t>
        </is>
      </c>
      <c r="E792" s="12" t="inlineStr">
        <is>
          <t>09.06.2024 - «Für tiefere Prämien – Kostenbremse im Gesundheitswesen (Kostenbremse-Initiative)»</t>
        </is>
      </c>
      <c r="F792" s="12" t="inlineStr">
        <is>
          <t>nein</t>
        </is>
      </c>
      <c r="G792" s="12" t="inlineStr">
        <is>
          <t>https://www.stadtwil.ch/topics/stadt-politik-und-recht/finanzen</t>
        </is>
      </c>
      <c r="H792" s="12" t="inlineStr">
        <is>
          <t>Einstiegsseite</t>
        </is>
      </c>
      <c r="I792" s="12" t="inlineStr">
        <is>
          <t>Nein</t>
        </is>
      </c>
      <c r="J792" s="12" t="inlineStr">
        <is>
          <t>Ungeprüft – nicht kuratiert</t>
        </is>
      </c>
    </row>
    <row r="793">
      <c r="A793" s="12" t="inlineStr">
        <is>
          <t>Wil</t>
        </is>
      </c>
      <c r="B793" s="12" t="inlineStr">
        <is>
          <t>St. Gallen</t>
        </is>
      </c>
      <c r="C793" s="12" t="inlineStr">
        <is>
          <t>C5</t>
        </is>
      </c>
      <c r="D793" s="16" t="inlineStr">
        <is>
          <t>https://www.stadtwil.ch/topics/stadt-politik-und-recht/abstimmungen-und-wahlen/vorlagen/eidgenoessische-vorlagen/09-06-2024-maximal-10-des-einkommens-fuer-die-krankenkassenpraemien-praemien-entlastungs-initiative</t>
        </is>
      </c>
      <c r="E793" s="12" t="inlineStr">
        <is>
          <t>09.06.2024 - «Maximal 10 % des Einkommens für die Krankenkassenprämien (Prämien-Entlastungs-Initiative)»</t>
        </is>
      </c>
      <c r="F793" s="12" t="inlineStr">
        <is>
          <t>nein</t>
        </is>
      </c>
      <c r="G793" s="12" t="inlineStr">
        <is>
          <t>https://www.stadtwil.ch/topics/stadt-politik-und-recht/finanzen</t>
        </is>
      </c>
      <c r="H793" s="12" t="inlineStr">
        <is>
          <t>Einstiegsseite</t>
        </is>
      </c>
      <c r="I793" s="12" t="inlineStr">
        <is>
          <t>Nein</t>
        </is>
      </c>
      <c r="J793" s="12" t="inlineStr">
        <is>
          <t>Ungeprüft – nicht kuratiert</t>
        </is>
      </c>
    </row>
    <row r="794">
      <c r="A794" s="12" t="inlineStr">
        <is>
          <t>Wil</t>
        </is>
      </c>
      <c r="B794" s="12" t="inlineStr">
        <is>
          <t>St. Gallen</t>
        </is>
      </c>
      <c r="C794" s="12" t="inlineStr">
        <is>
          <t>C5</t>
        </is>
      </c>
      <c r="D794" s="16" t="inlineStr">
        <is>
          <t>https://www.stadtwil.ch/topics/stadt-politik-und-recht/abstimmungen-und-wahlen/vorlagen/eidgenoessische-vorlagen/24-11-2024-anderung-vom-22-dezember-2023-des-bundesgesetzes-ueber-die-krankenversicherung-kvg</t>
        </is>
      </c>
      <c r="E794" s="12" t="inlineStr">
        <is>
          <t>24.11.2024 - Änderung vom 22.Dezember 2023 des Bundesgesetzes über die Krankenversicherung (KVG)</t>
        </is>
      </c>
      <c r="F794" s="12" t="inlineStr">
        <is>
          <t>nein</t>
        </is>
      </c>
      <c r="G794" s="12" t="inlineStr">
        <is>
          <t>https://www.stadtwil.ch/topics/stadt-politik-und-recht/finanzen</t>
        </is>
      </c>
      <c r="H794" s="12" t="inlineStr">
        <is>
          <t>Einstiegsseite</t>
        </is>
      </c>
      <c r="I794" s="12" t="inlineStr">
        <is>
          <t>Nein</t>
        </is>
      </c>
      <c r="J794" s="12" t="inlineStr">
        <is>
          <t>Ungeprüft – nicht kuratiert</t>
        </is>
      </c>
    </row>
    <row r="795">
      <c r="A795" s="12" t="inlineStr">
        <is>
          <t>Wil</t>
        </is>
      </c>
      <c r="B795" s="12" t="inlineStr">
        <is>
          <t>St. Gallen</t>
        </is>
      </c>
      <c r="C795" s="12" t="inlineStr">
        <is>
          <t>C5</t>
        </is>
      </c>
      <c r="D795" s="16" t="inlineStr">
        <is>
          <t>https://www.stadtwil.ch/topics/stadt-politik-und-recht/abstimmungen-und-wahlen/vorlagen/eidgenoessische-vorlagen/24-11-2024-anderung-vom-29-september-2023-des-obligationenrechts-kuendigung-wegen-eigenbedarfs</t>
        </is>
      </c>
      <c r="E795" s="12" t="inlineStr">
        <is>
          <t>24.11.2024 - Änderung vom 29. September 2023 des Obligationenrechts (Kündigung wegen Eigenbedarfs)</t>
        </is>
      </c>
      <c r="F795" s="12" t="inlineStr">
        <is>
          <t>nein</t>
        </is>
      </c>
      <c r="G795" s="12" t="inlineStr">
        <is>
          <t>https://www.stadtwil.ch/topics/stadt-politik-und-recht/finanzen</t>
        </is>
      </c>
      <c r="H795" s="12" t="inlineStr">
        <is>
          <t>Einstiegsseite</t>
        </is>
      </c>
      <c r="I795" s="12" t="inlineStr">
        <is>
          <t>Nein</t>
        </is>
      </c>
      <c r="J795" s="12" t="inlineStr">
        <is>
          <t>Ungeprüft – nicht kuratiert</t>
        </is>
      </c>
    </row>
    <row r="796">
      <c r="A796" s="12" t="inlineStr">
        <is>
          <t>Wil</t>
        </is>
      </c>
      <c r="B796" s="12" t="inlineStr">
        <is>
          <t>St. Gallen</t>
        </is>
      </c>
      <c r="C796" s="12" t="inlineStr">
        <is>
          <t>C5</t>
        </is>
      </c>
      <c r="D796" s="16" t="inlineStr">
        <is>
          <t>https://www.stadtwil.ch/topics/stadt-politik-und-recht/abstimmungen-und-wahlen/vorlagen/eidgenoessische-vorlagen/24-11-2024-anderung-vom-29-september-2023-des-obligationenrechts-untermiete</t>
        </is>
      </c>
      <c r="E796" s="12" t="inlineStr">
        <is>
          <t>24.11.2024 - Änderung vom 29. September 2023 des Obligationenrechts (Untermiete)</t>
        </is>
      </c>
      <c r="F796" s="12" t="inlineStr">
        <is>
          <t>nein</t>
        </is>
      </c>
      <c r="G796" s="12" t="inlineStr">
        <is>
          <t>https://www.stadtwil.ch/topics/stadt-politik-und-recht/finanzen</t>
        </is>
      </c>
      <c r="H796" s="12" t="inlineStr">
        <is>
          <t>Einstiegsseite</t>
        </is>
      </c>
      <c r="I796" s="12" t="inlineStr">
        <is>
          <t>Nein</t>
        </is>
      </c>
      <c r="J796" s="12" t="inlineStr">
        <is>
          <t>Ungeprüft – nicht kuratiert</t>
        </is>
      </c>
    </row>
    <row r="797">
      <c r="A797" s="12" t="inlineStr">
        <is>
          <t>Wil</t>
        </is>
      </c>
      <c r="B797" s="12" t="inlineStr">
        <is>
          <t>St. Gallen</t>
        </is>
      </c>
      <c r="C797" s="12" t="inlineStr">
        <is>
          <t>C5</t>
        </is>
      </c>
      <c r="D797" s="16" t="inlineStr">
        <is>
          <t>https://www.stadtwil.ch/topics/stadt-politik-und-recht/abstimmungen-und-wahlen/vorlagen/eidgenoessische-vorlagen/24-11-2024-bundesbeschluss-vom-29-september-2023-ueber-den-ausbauschritt-2023-fuer-die-nationalstrassen</t>
        </is>
      </c>
      <c r="E797" s="12" t="inlineStr">
        <is>
          <t>24.11.2024 - Bundesbeschluss vom 29. September 2023 über den Ausbauschritt 2023 für die Nationalstrassen</t>
        </is>
      </c>
      <c r="F797" s="12" t="inlineStr">
        <is>
          <t>nein</t>
        </is>
      </c>
      <c r="G797" s="12" t="inlineStr">
        <is>
          <t>https://www.stadtwil.ch/topics/stadt-politik-und-recht/finanzen</t>
        </is>
      </c>
      <c r="H797" s="12" t="inlineStr">
        <is>
          <t>Einstiegsseite</t>
        </is>
      </c>
      <c r="I797" s="12" t="inlineStr">
        <is>
          <t>Nein</t>
        </is>
      </c>
      <c r="J797" s="12" t="inlineStr">
        <is>
          <t>Ungeprüft – nicht kuratiert</t>
        </is>
      </c>
    </row>
    <row r="798">
      <c r="A798" s="12" t="inlineStr">
        <is>
          <t>Wil</t>
        </is>
      </c>
      <c r="B798" s="12" t="inlineStr">
        <is>
          <t>St. Gallen</t>
        </is>
      </c>
      <c r="C798" s="12" t="inlineStr">
        <is>
          <t>C5</t>
        </is>
      </c>
      <c r="D798" s="16" t="inlineStr">
        <is>
          <t>https://www.stadtwil.ch/topics/stadt-politik-und-recht/abstimmungen-und-wahlen/vorlagen/eidgenoessische-vorlagen/anderung-vom-26-september-2025-des-bundesgesetzes-ueber-den-zivilen-ersatzdienst-zivildienstgesetz-zdg</t>
        </is>
      </c>
      <c r="E798" s="12" t="inlineStr">
        <is>
          <t>14.06.2026 Änderung vom 26. September 2025 des Bundesgesetzes über den zivilen Ersatzdienst (Zivildienstgesetz, ZDG)</t>
        </is>
      </c>
      <c r="F798" s="12" t="inlineStr">
        <is>
          <t>nein</t>
        </is>
      </c>
      <c r="G798" s="12" t="inlineStr">
        <is>
          <t>https://www.stadtwil.ch/topics/stadt-politik-und-recht/finanzen</t>
        </is>
      </c>
      <c r="H798" s="12" t="inlineStr">
        <is>
          <t>Einstiegsseite</t>
        </is>
      </c>
      <c r="I798" s="12" t="inlineStr">
        <is>
          <t>Nein</t>
        </is>
      </c>
      <c r="J798" s="12" t="inlineStr">
        <is>
          <t>Ungeprüft – nicht kuratiert</t>
        </is>
      </c>
    </row>
    <row r="799">
      <c r="A799" s="12" t="inlineStr">
        <is>
          <t>Wil</t>
        </is>
      </c>
      <c r="B799" s="12" t="inlineStr">
        <is>
          <t>St. Gallen</t>
        </is>
      </c>
      <c r="C799" s="12" t="inlineStr">
        <is>
          <t>C5</t>
        </is>
      </c>
      <c r="D799" s="16" t="inlineStr">
        <is>
          <t>https://www.stadtwil.ch/topics/stadt-politik-und-recht/abstimmungen-und-wahlen/vorlagen/eidgenoessische-vorlagen/test</t>
        </is>
      </c>
      <c r="E799" s="12" t="inlineStr">
        <is>
          <t>14.06.2026 Volksinitiative «Keine 10-Millionen-Schweiz! (Nachhaltigkeitsinitiative)»</t>
        </is>
      </c>
      <c r="F799" s="12" t="inlineStr">
        <is>
          <t>nein</t>
        </is>
      </c>
      <c r="G799" s="12" t="inlineStr">
        <is>
          <t>https://www.stadtwil.ch/topics/stadt-politik-und-recht/finanzen</t>
        </is>
      </c>
      <c r="H799" s="12" t="inlineStr">
        <is>
          <t>Einstiegsseite</t>
        </is>
      </c>
      <c r="I799" s="12" t="inlineStr">
        <is>
          <t>Nein</t>
        </is>
      </c>
      <c r="J799" s="12" t="inlineStr">
        <is>
          <t>Ungeprüft – nicht kuratiert</t>
        </is>
      </c>
    </row>
    <row r="800">
      <c r="A800" s="12" t="inlineStr">
        <is>
          <t>Wil</t>
        </is>
      </c>
      <c r="B800" s="12" t="inlineStr">
        <is>
          <t>St. Gallen</t>
        </is>
      </c>
      <c r="C800" s="12" t="inlineStr">
        <is>
          <t>C5</t>
        </is>
      </c>
      <c r="D800" s="16" t="inlineStr">
        <is>
          <t>https://www.stadtwil.ch/topics/stadt-politik-und-recht/abstimmungen-und-wahlen/vorlagen/eidgenoessische-vorlagen/volksinitiative-fuer-eine-engagierte-schweiz-service-citoyen-initiative</t>
        </is>
      </c>
      <c r="E800" s="12" t="inlineStr">
        <is>
          <t>30.11.2025 - Volksinitiative «Für eine engagierte Schweiz (Service-citoyen-Initiative)»</t>
        </is>
      </c>
      <c r="F800" s="12" t="inlineStr">
        <is>
          <t>nein</t>
        </is>
      </c>
      <c r="G800" s="12" t="inlineStr">
        <is>
          <t>https://www.stadtwil.ch/topics/stadt-politik-und-recht/finanzen</t>
        </is>
      </c>
      <c r="H800" s="12" t="inlineStr">
        <is>
          <t>Einstiegsseite</t>
        </is>
      </c>
      <c r="I800" s="12" t="inlineStr">
        <is>
          <t>Nein</t>
        </is>
      </c>
      <c r="J800" s="12" t="inlineStr">
        <is>
          <t>Ungeprüft – nicht kuratiert</t>
        </is>
      </c>
    </row>
    <row r="801">
      <c r="A801" s="12" t="inlineStr">
        <is>
          <t>Wil</t>
        </is>
      </c>
      <c r="B801" s="12" t="inlineStr">
        <is>
          <t>St. Gallen</t>
        </is>
      </c>
      <c r="C801" s="12" t="inlineStr">
        <is>
          <t>C5</t>
        </is>
      </c>
      <c r="D801" s="16" t="inlineStr">
        <is>
          <t>https://www.stadtwil.ch/topics/stadt-politik-und-recht/abstimmungen-und-wahlen/vorlagen/eidgenoessische-vorlagen/volksinitiative-fuer-eine-soziale-klimapolitik-steuerlich-gerecht-finanziert-initiative-fuer-eine-zukunft</t>
        </is>
      </c>
      <c r="E801" s="12" t="inlineStr">
        <is>
          <t>30.11.2025 - Volksinitiative «Für eine soziale Klimapolitik - steuerlich gerecht finanziert (Initiative für eine Zukunft)»</t>
        </is>
      </c>
      <c r="F801" s="12" t="inlineStr">
        <is>
          <t>nein</t>
        </is>
      </c>
      <c r="G801" s="12" t="inlineStr">
        <is>
          <t>https://www.stadtwil.ch/topics/stadt-politik-und-recht/finanzen</t>
        </is>
      </c>
      <c r="H801" s="12" t="inlineStr">
        <is>
          <t>Einstiegsseite</t>
        </is>
      </c>
      <c r="I801" s="12" t="inlineStr">
        <is>
          <t>Nein</t>
        </is>
      </c>
      <c r="J801" s="12" t="inlineStr">
        <is>
          <t>Ungeprüft – nicht kuratiert</t>
        </is>
      </c>
    </row>
    <row r="802">
      <c r="A802" s="12" t="inlineStr">
        <is>
          <t>Wil</t>
        </is>
      </c>
      <c r="B802" s="12" t="inlineStr">
        <is>
          <t>St. Gallen</t>
        </is>
      </c>
      <c r="C802" s="12" t="inlineStr">
        <is>
          <t>C5</t>
        </is>
      </c>
      <c r="D802" s="16" t="inlineStr">
        <is>
          <t>https://www.stadtwil.ch/topics/stadt-politik-und-recht/abstimmungen-und-wahlen/vorlagen/kantonale-vorlagen/18-05-2025-iii-nachtrag-zum-gesetz-ueber-ruhetag-und-ladenoeffnung</t>
        </is>
      </c>
      <c r="E802" s="12" t="inlineStr">
        <is>
          <t>18.05.2025 - III. Nachtrag zum Gesetz über Ruhetag und Ladenöffnung</t>
        </is>
      </c>
      <c r="F802" s="12" t="inlineStr">
        <is>
          <t>nein</t>
        </is>
      </c>
      <c r="G802" s="12" t="inlineStr">
        <is>
          <t>https://www.stadtwil.ch/topics/stadt-politik-und-recht/finanzen</t>
        </is>
      </c>
      <c r="H802" s="12" t="inlineStr">
        <is>
          <t>Einstiegsseite</t>
        </is>
      </c>
      <c r="I802" s="12" t="inlineStr">
        <is>
          <t>Nein</t>
        </is>
      </c>
      <c r="J802" s="12" t="inlineStr">
        <is>
          <t>Ungeprüft – nicht kuratiert</t>
        </is>
      </c>
    </row>
    <row r="803">
      <c r="A803" s="12" t="inlineStr">
        <is>
          <t>Wil</t>
        </is>
      </c>
      <c r="B803" s="12" t="inlineStr">
        <is>
          <t>St. Gallen</t>
        </is>
      </c>
      <c r="C803" s="12" t="inlineStr">
        <is>
          <t>C5</t>
        </is>
      </c>
      <c r="D803" s="16" t="inlineStr">
        <is>
          <t>https://www.stadtwil.ch/topics/stadt-politik-und-recht/abstimmungen-und-wahlen/vorlagen/kantonale-vorlagen/24-11-2024-einfuehrungsgesetz-zum-bundesgesetz-ueber-die-foerderung-der-ausbildung-im-bereich-der-pflege</t>
        </is>
      </c>
      <c r="E803" s="12" t="inlineStr">
        <is>
          <t>24.11.2024 - Einführungsgesetz zum Bundesgesetz über die Förderung der Ausbildung im Bereich der Pflege</t>
        </is>
      </c>
      <c r="F803" s="12" t="inlineStr">
        <is>
          <t>nein</t>
        </is>
      </c>
      <c r="G803" s="12" t="inlineStr">
        <is>
          <t>https://www.stadtwil.ch/topics/stadt-politik-und-recht/finanzen</t>
        </is>
      </c>
      <c r="H803" s="12" t="inlineStr">
        <is>
          <t>Einstiegsseite</t>
        </is>
      </c>
      <c r="I803" s="12" t="inlineStr">
        <is>
          <t>Nein</t>
        </is>
      </c>
      <c r="J803" s="12" t="inlineStr">
        <is>
          <t>Ungeprüft – nicht kuratiert</t>
        </is>
      </c>
    </row>
    <row r="804">
      <c r="A804" s="12" t="inlineStr">
        <is>
          <t>Wil</t>
        </is>
      </c>
      <c r="B804" s="12" t="inlineStr">
        <is>
          <t>St. Gallen</t>
        </is>
      </c>
      <c r="C804" s="12" t="inlineStr">
        <is>
          <t>C5</t>
        </is>
      </c>
      <c r="D804" s="16" t="inlineStr">
        <is>
          <t>https://www.stadtwil.ch/topics/stadt-politik-und-recht/abstimmungen-und-wahlen/vorlagen/kantonale-vorlagen/24-11-2024-vii-nachtrag-zum-sozialhilfegesetz-foerderung-und-finanzierung-von-spezialpflegeangeboten</t>
        </is>
      </c>
      <c r="E804" s="12" t="inlineStr">
        <is>
          <t>24.11.2024 - VII. Nachtrag zum Sozialhilfegesetz (Förderung und Finanzierung von Spezialpflegeangeboten)</t>
        </is>
      </c>
      <c r="F804" s="12" t="inlineStr">
        <is>
          <t>nein</t>
        </is>
      </c>
      <c r="G804" s="12" t="inlineStr">
        <is>
          <t>https://www.stadtwil.ch/topics/stadt-politik-und-recht/finanzen</t>
        </is>
      </c>
      <c r="H804" s="12" t="inlineStr">
        <is>
          <t>Einstiegsseite</t>
        </is>
      </c>
      <c r="I804" s="12" t="inlineStr">
        <is>
          <t>Nein</t>
        </is>
      </c>
      <c r="J804" s="12" t="inlineStr">
        <is>
          <t>Ungeprüft – nicht kuratiert</t>
        </is>
      </c>
    </row>
    <row r="805">
      <c r="A805" s="12" t="inlineStr">
        <is>
          <t>Wil</t>
        </is>
      </c>
      <c r="B805" s="12" t="inlineStr">
        <is>
          <t>St. Gallen</t>
        </is>
      </c>
      <c r="C805" s="12" t="inlineStr">
        <is>
          <t>C5</t>
        </is>
      </c>
      <c r="D805" s="16" t="inlineStr">
        <is>
          <t>https://www.stadtwil.ch/topics/stadt-politik-und-recht/abstimmungen-und-wahlen/vorlagen/kantonale-vorlagen/24-11-2024-xxii-nachtrag-zum-steuergesetz-erhoehung-des-fahrkostenabzugs</t>
        </is>
      </c>
      <c r="E805" s="12" t="inlineStr">
        <is>
          <t>24.11.2024 - XXII. Nachtrag zum Steuergesetz (Erhöhung des Fahrkostenabzugs)</t>
        </is>
      </c>
      <c r="F805" s="12" t="inlineStr">
        <is>
          <t>nein</t>
        </is>
      </c>
      <c r="G805" s="12" t="inlineStr">
        <is>
          <t>https://www.stadtwil.ch/topics/stadt-politik-und-recht/finanzen</t>
        </is>
      </c>
      <c r="H805" s="12" t="inlineStr">
        <is>
          <t>Einstiegsseite</t>
        </is>
      </c>
      <c r="I805" s="12" t="inlineStr">
        <is>
          <t>Nein</t>
        </is>
      </c>
      <c r="J805" s="12" t="inlineStr">
        <is>
          <t>Ungeprüft – nicht kuratiert</t>
        </is>
      </c>
    </row>
    <row r="806">
      <c r="A806" s="12" t="inlineStr">
        <is>
          <t>Wil</t>
        </is>
      </c>
      <c r="B806" s="12" t="inlineStr">
        <is>
          <t>St. Gallen</t>
        </is>
      </c>
      <c r="C806" s="12" t="inlineStr">
        <is>
          <t>C5</t>
        </is>
      </c>
      <c r="D806" s="16" t="inlineStr">
        <is>
          <t>https://www.stadtwil.ch/topics/stadt-politik-und-recht/abstimmungen-und-wahlen/vorlagen/kantonale-vorlagen/30-11-2025-kantonsratsbeschluss-ueber-die-sonderkredite-fuer-die-erneuerung-und-den-ausbau-sowie-fuer-den-betrieb-des-reinraums-am-campus-buchs</t>
        </is>
      </c>
      <c r="E806" s="12" t="inlineStr">
        <is>
          <t>30.11.2025 - Kantonsratsbeschluss über die Sonderkredite für die Erneuerung und den Ausbau sowie für den Betrieb des Reinraums am Campus Buchs</t>
        </is>
      </c>
      <c r="F806" s="12" t="inlineStr">
        <is>
          <t>nein</t>
        </is>
      </c>
      <c r="G806" s="12" t="inlineStr">
        <is>
          <t>https://www.stadtwil.ch/topics/stadt-politik-und-recht/finanzen</t>
        </is>
      </c>
      <c r="H806" s="12" t="inlineStr">
        <is>
          <t>Einstiegsseite</t>
        </is>
      </c>
      <c r="I806" s="12" t="inlineStr">
        <is>
          <t>Nein</t>
        </is>
      </c>
      <c r="J806" s="12" t="inlineStr">
        <is>
          <t>Ungeprüft – nicht kuratiert</t>
        </is>
      </c>
    </row>
    <row r="807">
      <c r="A807" s="12" t="inlineStr">
        <is>
          <t>Wil</t>
        </is>
      </c>
      <c r="B807" s="12" t="inlineStr">
        <is>
          <t>St. Gallen</t>
        </is>
      </c>
      <c r="C807" s="12" t="inlineStr">
        <is>
          <t>C5</t>
        </is>
      </c>
      <c r="D807" s="16" t="inlineStr">
        <is>
          <t>https://www.stadtwil.ch/topics/stadt-politik-und-recht/abstimmungen-und-wahlen/vorlagen/kantonale-vorlagen/30-11-2025-kantonsratsbeschluss-ueber-mietkosten-fuer-die-kantonspolizei-st-gallen-im-interventionszentrum-des-bundes-fuer-den-zoll-ost-in-st-margrethen</t>
        </is>
      </c>
      <c r="E807" s="12" t="inlineStr">
        <is>
          <t>30.11.2025 - Kantonsratsbeschluss über Mietkosten für die Kantonspolizei St.Gallen im Interventionszentrum des Bundes für den Zoll Ost in St. Margrethen</t>
        </is>
      </c>
      <c r="F807" s="12" t="inlineStr">
        <is>
          <t>nein</t>
        </is>
      </c>
      <c r="G807" s="12" t="inlineStr">
        <is>
          <t>https://www.stadtwil.ch/topics/stadt-politik-und-recht/finanzen</t>
        </is>
      </c>
      <c r="H807" s="12" t="inlineStr">
        <is>
          <t>Einstiegsseite</t>
        </is>
      </c>
      <c r="I807" s="12" t="inlineStr">
        <is>
          <t>Nein</t>
        </is>
      </c>
      <c r="J807" s="12" t="inlineStr">
        <is>
          <t>Ungeprüft – nicht kuratiert</t>
        </is>
      </c>
    </row>
    <row r="808">
      <c r="A808" s="12" t="inlineStr">
        <is>
          <t>Wil</t>
        </is>
      </c>
      <c r="B808" s="12" t="inlineStr">
        <is>
          <t>St. Gallen</t>
        </is>
      </c>
      <c r="C808" s="12" t="inlineStr">
        <is>
          <t>C5</t>
        </is>
      </c>
      <c r="D808" s="16" t="inlineStr">
        <is>
          <t>https://www.stadtwil.ch/topics/stadt-politik-und-recht/abstimmungen-und-wahlen/vorlagen/kantonale-vorlagen/gesetz-ueber-beitraege-fuer-familien-und-schulergaenzende-kinderbetreuung</t>
        </is>
      </c>
      <c r="E808" s="12" t="inlineStr">
        <is>
          <t>14.06.2026 Gesetz über Beiträge für familien- und schulergänzende Kinderbetreuung</t>
        </is>
      </c>
      <c r="F808" s="12" t="inlineStr">
        <is>
          <t>nein</t>
        </is>
      </c>
      <c r="G808" s="12" t="inlineStr">
        <is>
          <t>https://www.stadtwil.ch/topics/stadt-politik-und-recht/finanzen</t>
        </is>
      </c>
      <c r="H808" s="12" t="inlineStr">
        <is>
          <t>Einstiegsseite</t>
        </is>
      </c>
      <c r="I808" s="12" t="inlineStr">
        <is>
          <t>Nein</t>
        </is>
      </c>
      <c r="J808" s="12" t="inlineStr">
        <is>
          <t>Ungeprüft – nicht kuratiert</t>
        </is>
      </c>
    </row>
    <row r="809">
      <c r="A809" s="12" t="inlineStr">
        <is>
          <t>Wil</t>
        </is>
      </c>
      <c r="B809" s="12" t="inlineStr">
        <is>
          <t>St. Gallen</t>
        </is>
      </c>
      <c r="C809" s="12" t="inlineStr">
        <is>
          <t>C5</t>
        </is>
      </c>
      <c r="D809" s="16" t="inlineStr">
        <is>
          <t>https://www.stadtwil.ch/topics/stadt-politik-und-recht/abstimmungen-und-wahlen/vorlagen/kantonale-wahlen/03-03-2024-erneuerungswahlen-der-mitglieder-der-regierung</t>
        </is>
      </c>
      <c r="E809" s="12" t="inlineStr">
        <is>
          <t>03.03.2024 - Erneuerungswahlen der Mitglieder der Regierung</t>
        </is>
      </c>
      <c r="F809" s="12" t="inlineStr">
        <is>
          <t>nein</t>
        </is>
      </c>
      <c r="G809" s="12" t="inlineStr">
        <is>
          <t>https://www.stadtwil.ch/topics/stadt-politik-und-recht/finanzen</t>
        </is>
      </c>
      <c r="H809" s="12" t="inlineStr">
        <is>
          <t>Einstiegsseite</t>
        </is>
      </c>
      <c r="I809" s="12" t="inlineStr">
        <is>
          <t>Nein</t>
        </is>
      </c>
      <c r="J809" s="12" t="inlineStr">
        <is>
          <t>Ungeprüft – nicht kuratiert</t>
        </is>
      </c>
    </row>
    <row r="810">
      <c r="A810" s="12" t="inlineStr">
        <is>
          <t>Wil</t>
        </is>
      </c>
      <c r="B810" s="12" t="inlineStr">
        <is>
          <t>St. Gallen</t>
        </is>
      </c>
      <c r="C810" s="12" t="inlineStr">
        <is>
          <t>C5</t>
        </is>
      </c>
      <c r="D810" s="16" t="inlineStr">
        <is>
          <t>https://www.stadtwil.ch/topics/stadt-politik-und-recht/abstimmungen-und-wahlen/vorlagen/kantonale-wahlen/03-03-2024-erneuerungswahlen-des-kantonsrates</t>
        </is>
      </c>
      <c r="E810" s="12" t="inlineStr">
        <is>
          <t>03.03.2024 - Erneuerungswahlen des Kantonsrates</t>
        </is>
      </c>
      <c r="F810" s="12" t="inlineStr">
        <is>
          <t>nein</t>
        </is>
      </c>
      <c r="G810" s="12" t="inlineStr">
        <is>
          <t>https://www.stadtwil.ch/topics/stadt-politik-und-recht/finanzen</t>
        </is>
      </c>
      <c r="H810" s="12" t="inlineStr">
        <is>
          <t>Einstiegsseite</t>
        </is>
      </c>
      <c r="I810" s="12" t="inlineStr">
        <is>
          <t>Nein</t>
        </is>
      </c>
      <c r="J810" s="12" t="inlineStr">
        <is>
          <t>Ungeprüft – nicht kuratiert</t>
        </is>
      </c>
    </row>
    <row r="811">
      <c r="A811" s="12" t="inlineStr">
        <is>
          <t>Wil</t>
        </is>
      </c>
      <c r="B811" s="12" t="inlineStr">
        <is>
          <t>St. Gallen</t>
        </is>
      </c>
      <c r="C811" s="12" t="inlineStr">
        <is>
          <t>C5</t>
        </is>
      </c>
      <c r="D811" s="16" t="inlineStr">
        <is>
          <t>https://www.stadtwil.ch/topics/stadt-politik-und-recht/abstimmungen-und-wahlen/vorlagen/kantonale-wahlen/14-04-2024-2-wahlgang-regierung-kanton-st-gallen</t>
        </is>
      </c>
      <c r="E811" s="12" t="inlineStr">
        <is>
          <t>14.04.2024 - 2. Wahlgang Regierung Kanton St.Gallen</t>
        </is>
      </c>
      <c r="F811" s="12" t="inlineStr">
        <is>
          <t>nein</t>
        </is>
      </c>
      <c r="G811" s="12" t="inlineStr">
        <is>
          <t>https://www.stadtwil.ch/topics/stadt-politik-und-recht/finanzen</t>
        </is>
      </c>
      <c r="H811" s="12" t="inlineStr">
        <is>
          <t>Einstiegsseite</t>
        </is>
      </c>
      <c r="I811" s="12" t="inlineStr">
        <is>
          <t>Nein</t>
        </is>
      </c>
      <c r="J811" s="12" t="inlineStr">
        <is>
          <t>Ungeprüft – nicht kuratiert</t>
        </is>
      </c>
    </row>
    <row r="812">
      <c r="A812" s="12" t="inlineStr">
        <is>
          <t>Wil</t>
        </is>
      </c>
      <c r="B812" s="12" t="inlineStr">
        <is>
          <t>St. Gallen</t>
        </is>
      </c>
      <c r="C812" s="12" t="inlineStr">
        <is>
          <t>C5</t>
        </is>
      </c>
      <c r="D812" s="16" t="inlineStr">
        <is>
          <t>https://www.stadtwil.ch/topics/stadt-politik-und-recht/abstimmungen-und-wahlen/vorlagen/kommunale-vorlagen/22-09-2024-baukredit-fuer-den-ersatzneubau-der-unterfuehrung-hubstrasse-mit-fuss-und-velosteg-sowie-umgestaltung-churfirstenpark</t>
        </is>
      </c>
      <c r="E812" s="12" t="inlineStr">
        <is>
          <t>22.09.2024 - Baukredit für den Ersatzneubau der Unterführung Hubstrasse mit Fuss- und Velosteg sowie Umgestaltung Churfirstenpark</t>
        </is>
      </c>
      <c r="F812" s="12" t="inlineStr">
        <is>
          <t>nein</t>
        </is>
      </c>
      <c r="G812" s="12" t="inlineStr">
        <is>
          <t>https://www.stadtwil.ch/topics/stadt-politik-und-recht/finanzen</t>
        </is>
      </c>
      <c r="H812" s="12" t="inlineStr">
        <is>
          <t>Einstiegsseite</t>
        </is>
      </c>
      <c r="I812" s="12" t="inlineStr">
        <is>
          <t>Nein</t>
        </is>
      </c>
      <c r="J812" s="12" t="inlineStr">
        <is>
          <t>Ungeprüft – nicht kuratiert</t>
        </is>
      </c>
    </row>
    <row r="813">
      <c r="A813" s="12" t="inlineStr">
        <is>
          <t>Wil</t>
        </is>
      </c>
      <c r="B813" s="12" t="inlineStr">
        <is>
          <t>St. Gallen</t>
        </is>
      </c>
      <c r="C813" s="12" t="inlineStr">
        <is>
          <t>C5</t>
        </is>
      </c>
      <c r="D813" s="16" t="inlineStr">
        <is>
          <t>https://www.stadtwil.ch/topics/stadt-politik-und-recht/abstimmungen-und-wahlen/vorlagen/kommunale-vorlagen/22-11-2024-baukredit-fuer-den-neubau-werkhof-wil</t>
        </is>
      </c>
      <c r="E813" s="12" t="inlineStr">
        <is>
          <t>22.11.2024 - Baukredit für den Neubau Werkhof Wil</t>
        </is>
      </c>
      <c r="F813" s="12" t="inlineStr">
        <is>
          <t>nein</t>
        </is>
      </c>
      <c r="G813" s="12" t="inlineStr">
        <is>
          <t>https://www.stadtwil.ch/topics/stadt-politik-und-recht/finanzen</t>
        </is>
      </c>
      <c r="H813" s="12" t="inlineStr">
        <is>
          <t>Einstiegsseite</t>
        </is>
      </c>
      <c r="I813" s="12" t="inlineStr">
        <is>
          <t>Nein</t>
        </is>
      </c>
      <c r="J813" s="12" t="inlineStr">
        <is>
          <t>Ungeprüft – nicht kuratiert</t>
        </is>
      </c>
    </row>
    <row r="814">
      <c r="A814" s="12" t="inlineStr">
        <is>
          <t>Wil</t>
        </is>
      </c>
      <c r="B814" s="12" t="inlineStr">
        <is>
          <t>St. Gallen</t>
        </is>
      </c>
      <c r="C814" s="12" t="inlineStr">
        <is>
          <t>C5</t>
        </is>
      </c>
      <c r="D814" s="16" t="inlineStr">
        <is>
          <t>https://www.stadtwil.ch/topics/stadt-politik-und-recht/abstimmungen-und-wahlen/vorlagen/kumunale-wahlen/14-juni-2026-pendent</t>
        </is>
      </c>
      <c r="E814" s="12" t="inlineStr">
        <is>
          <t>14.06.2026 - Ersatzwahl ins Stadtpräsidium und Mitglied Stadtrat für den Rest der Amtsdauer 2025 - 2028</t>
        </is>
      </c>
      <c r="F814" s="12" t="inlineStr">
        <is>
          <t>nein</t>
        </is>
      </c>
      <c r="G814" s="12" t="inlineStr">
        <is>
          <t>https://www.stadtwil.ch/topics/stadt-politik-und-recht/finanzen</t>
        </is>
      </c>
      <c r="H814" s="12" t="inlineStr">
        <is>
          <t>Einstiegsseite</t>
        </is>
      </c>
      <c r="I814" s="12" t="inlineStr">
        <is>
          <t>Nein</t>
        </is>
      </c>
      <c r="J814" s="12" t="inlineStr">
        <is>
          <t>Ungeprüft – nicht kuratiert</t>
        </is>
      </c>
    </row>
    <row r="815">
      <c r="A815" s="12" t="inlineStr">
        <is>
          <t>Wil</t>
        </is>
      </c>
      <c r="B815" s="12" t="inlineStr">
        <is>
          <t>St. Gallen</t>
        </is>
      </c>
      <c r="C815" s="12" t="inlineStr">
        <is>
          <t>C5</t>
        </is>
      </c>
      <c r="D815" s="16" t="inlineStr">
        <is>
          <t>https://www.stadtwil.ch/topics/stadt-politik-und-recht/abstimmungen-und-wahlen/vorlagen/kumunale-wahlen/22-09-2024-erneuerungswahl-der-fuenf-mitglieder-des-stadtrats-1-wahlgang-fuer-die-amtsdauer-2025-2028</t>
        </is>
      </c>
      <c r="E815" s="12" t="inlineStr">
        <is>
          <t>22.09.2024 - Erneuerungswahl der fünf Mitglieder des Stadtrats (1. Wahlgang) für die Amtsdauer 2025-2028</t>
        </is>
      </c>
      <c r="F815" s="12" t="inlineStr">
        <is>
          <t>nein</t>
        </is>
      </c>
      <c r="G815" s="12" t="inlineStr">
        <is>
          <t>https://www.stadtwil.ch/topics/stadt-politik-und-recht/finanzen</t>
        </is>
      </c>
      <c r="H815" s="12" t="inlineStr">
        <is>
          <t>Einstiegsseite</t>
        </is>
      </c>
      <c r="I815" s="12" t="inlineStr">
        <is>
          <t>Nein</t>
        </is>
      </c>
      <c r="J815" s="12" t="inlineStr">
        <is>
          <t>Ungeprüft – nicht kuratiert</t>
        </is>
      </c>
    </row>
    <row r="816">
      <c r="A816" s="12" t="inlineStr">
        <is>
          <t>Wil</t>
        </is>
      </c>
      <c r="B816" s="12" t="inlineStr">
        <is>
          <t>St. Gallen</t>
        </is>
      </c>
      <c r="C816" s="12" t="inlineStr">
        <is>
          <t>C5</t>
        </is>
      </c>
      <c r="D816" s="16" t="inlineStr">
        <is>
          <t>https://www.stadtwil.ch/topics/stadt-politik-und-recht/abstimmungen-und-wahlen/vorlagen/kumunale-wahlen/22-09-2024-erneuerungswahl-des-stadtpraesidenten-1-wahlgang-fuer-die-amtsdauer-2025-2028</t>
        </is>
      </c>
      <c r="E816" s="12" t="inlineStr">
        <is>
          <t>22.09.2024 - Erneuerungswahl des Stadtpräsidenten (1. Wahlgang) für die Amtsdauer 2025-2028</t>
        </is>
      </c>
      <c r="F816" s="12" t="inlineStr">
        <is>
          <t>nein</t>
        </is>
      </c>
      <c r="G816" s="12" t="inlineStr">
        <is>
          <t>https://www.stadtwil.ch/topics/stadt-politik-und-recht/finanzen</t>
        </is>
      </c>
      <c r="H816" s="12" t="inlineStr">
        <is>
          <t>Einstiegsseite</t>
        </is>
      </c>
      <c r="I816" s="12" t="inlineStr">
        <is>
          <t>Nein</t>
        </is>
      </c>
      <c r="J816" s="12" t="inlineStr">
        <is>
          <t>Ungeprüft – nicht kuratiert</t>
        </is>
      </c>
    </row>
    <row r="817">
      <c r="A817" s="12" t="inlineStr">
        <is>
          <t>Wil</t>
        </is>
      </c>
      <c r="B817" s="12" t="inlineStr">
        <is>
          <t>St. Gallen</t>
        </is>
      </c>
      <c r="C817" s="12" t="inlineStr">
        <is>
          <t>C5</t>
        </is>
      </c>
      <c r="D817" s="16" t="inlineStr">
        <is>
          <t>https://www.stadtwil.ch/topics/stadt-politik-und-recht/abstimmungen-und-wahlen/vorlagen/kumunale-wahlen/22-09-2024-erneuerungswahlen-des-stadtparlaments-fuer-die-amtsdauer-2025-2028</t>
        </is>
      </c>
      <c r="E817" s="12" t="inlineStr">
        <is>
          <t>22.09.2024 - Erneuerungswahlen des Stadtparlaments für die Amtsdauer 2025-2028</t>
        </is>
      </c>
      <c r="F817" s="12" t="inlineStr">
        <is>
          <t>nein</t>
        </is>
      </c>
      <c r="G817" s="12" t="inlineStr">
        <is>
          <t>https://www.stadtwil.ch/topics/stadt-politik-und-recht/finanzen</t>
        </is>
      </c>
      <c r="H817" s="12" t="inlineStr">
        <is>
          <t>Einstiegsseite</t>
        </is>
      </c>
      <c r="I817" s="12" t="inlineStr">
        <is>
          <t>Nein</t>
        </is>
      </c>
      <c r="J817" s="12" t="inlineStr">
        <is>
          <t>Ungeprüft – nicht kuratiert</t>
        </is>
      </c>
    </row>
    <row r="818">
      <c r="A818" s="12" t="inlineStr">
        <is>
          <t>Wil</t>
        </is>
      </c>
      <c r="B818" s="12" t="inlineStr">
        <is>
          <t>St. Gallen</t>
        </is>
      </c>
      <c r="C818" s="12" t="inlineStr">
        <is>
          <t>C5</t>
        </is>
      </c>
      <c r="D818" s="16" t="inlineStr">
        <is>
          <t>https://www.stadtwil.ch/topics/stadt-politik-und-recht/abstimmungen-und-wahlen/vorlagen/kumunale-wahlen/24-11-2024-erneuerungswahl-der-fuenf-mitglieder-des-stadtrats-2-wahlgang-fuer-die-amtsdauer-2025-2028</t>
        </is>
      </c>
      <c r="E818" s="12" t="inlineStr">
        <is>
          <t>24.11.2024 - Erneuerungswahl der fünf Mitglieder des Stadtrats (2. Wahlgang) für die Amtsdauer 2025 – 2028</t>
        </is>
      </c>
      <c r="F818" s="12" t="inlineStr">
        <is>
          <t>nein</t>
        </is>
      </c>
      <c r="G818" s="12" t="inlineStr">
        <is>
          <t>https://www.stadtwil.ch/topics/stadt-politik-und-recht/finanzen</t>
        </is>
      </c>
      <c r="H818" s="12" t="inlineStr">
        <is>
          <t>Einstiegsseite</t>
        </is>
      </c>
      <c r="I818" s="12" t="inlineStr">
        <is>
          <t>Nein</t>
        </is>
      </c>
      <c r="J818" s="12" t="inlineStr">
        <is>
          <t>Ungeprüft – nicht kuratiert</t>
        </is>
      </c>
    </row>
    <row r="819">
      <c r="A819" s="12" t="inlineStr">
        <is>
          <t>Wil</t>
        </is>
      </c>
      <c r="B819" s="12" t="inlineStr">
        <is>
          <t>St. Gallen</t>
        </is>
      </c>
      <c r="C819" s="12" t="inlineStr">
        <is>
          <t>C5</t>
        </is>
      </c>
      <c r="D819" s="16" t="inlineStr">
        <is>
          <t>https://www.stadtwil.ch/topics/stadt-politik-und-recht/kommissionen-und-delegationen/regionale-und-wirtschaftliche-organisationen/thurvita-ag-bestaetigung-durch-parlament</t>
        </is>
      </c>
      <c r="E819" s="12" t="inlineStr">
        <is>
          <t>Thurvita AG – Bestätigung durch Parlament</t>
        </is>
      </c>
      <c r="F819" s="12" t="inlineStr">
        <is>
          <t>nein</t>
        </is>
      </c>
      <c r="G819" s="12" t="inlineStr">
        <is>
          <t>https://www.stadtwil.ch/topics/stadt-politik-und-recht/finanzen</t>
        </is>
      </c>
      <c r="H819" s="12" t="inlineStr">
        <is>
          <t>Einstiegsseite</t>
        </is>
      </c>
      <c r="I819" s="12" t="inlineStr">
        <is>
          <t>Nein</t>
        </is>
      </c>
      <c r="J819" s="12" t="inlineStr">
        <is>
          <t>Ungeprüft – nicht kuratiert</t>
        </is>
      </c>
    </row>
    <row r="820">
      <c r="A820" s="12" t="inlineStr">
        <is>
          <t>Wil</t>
        </is>
      </c>
      <c r="B820" s="12" t="inlineStr">
        <is>
          <t>St. Gallen</t>
        </is>
      </c>
      <c r="C820" s="12" t="inlineStr">
        <is>
          <t>C5</t>
        </is>
      </c>
      <c r="D820" s="16" t="inlineStr">
        <is>
          <t>https://www.stadtwil.ch/topics/stadt-politik-und-recht/kommissionen-und-delegationen/regionale-und-wirtschaftliche-organisationen/wiler-sportanlagen-ag-wispag-bestaetigung-durch-parlament</t>
        </is>
      </c>
      <c r="E820" s="12" t="inlineStr">
        <is>
          <t>Wiler Sportanlagen AG (WISPAG) – Bestätigung durch Parlament</t>
        </is>
      </c>
      <c r="F820" s="12" t="inlineStr">
        <is>
          <t>nein</t>
        </is>
      </c>
      <c r="G820" s="12" t="inlineStr">
        <is>
          <t>https://www.stadtwil.ch/topics/stadt-politik-und-recht/finanzen</t>
        </is>
      </c>
      <c r="H820" s="12" t="inlineStr">
        <is>
          <t>Einstiegsseite</t>
        </is>
      </c>
      <c r="I820" s="12" t="inlineStr">
        <is>
          <t>Nein</t>
        </is>
      </c>
      <c r="J820" s="12" t="inlineStr">
        <is>
          <t>Ungeprüft – nicht kuratiert</t>
        </is>
      </c>
    </row>
    <row r="821">
      <c r="A821" s="12" t="inlineStr">
        <is>
          <t>Wil</t>
        </is>
      </c>
      <c r="B821" s="12" t="inlineStr">
        <is>
          <t>St. Gallen</t>
        </is>
      </c>
      <c r="C821" s="12" t="inlineStr">
        <is>
          <t>C5</t>
        </is>
      </c>
      <c r="D821" s="16" t="inlineStr">
        <is>
          <t>https://www.stadtwil.ch/topics/stadt-politik-und-recht/stadtparlament</t>
        </is>
      </c>
      <c r="E821" s="12" t="inlineStr">
        <is>
          <t>Ratsinformationssystem</t>
        </is>
      </c>
      <c r="F821" s="12" t="inlineStr">
        <is>
          <t>nein</t>
        </is>
      </c>
      <c r="G821" s="12" t="inlineStr">
        <is>
          <t>https://www.stadtwil.ch/political-business/28da2d58a16b4b85b0504eeaa7e396dc</t>
        </is>
      </c>
      <c r="H821" s="12" t="inlineStr">
        <is>
          <t>Einstiegsseite</t>
        </is>
      </c>
      <c r="I821" s="12" t="inlineStr">
        <is>
          <t>Nein</t>
        </is>
      </c>
      <c r="J821" s="12" t="inlineStr">
        <is>
          <t>Ungeprüft – nicht kuratiert</t>
        </is>
      </c>
    </row>
    <row r="822">
      <c r="A822" s="12" t="inlineStr">
        <is>
          <t>Wil</t>
        </is>
      </c>
      <c r="B822" s="12" t="inlineStr">
        <is>
          <t>St. Gallen</t>
        </is>
      </c>
      <c r="C822" s="12" t="inlineStr">
        <is>
          <t>C5</t>
        </is>
      </c>
      <c r="D822" s="16" t="inlineStr">
        <is>
          <t>https://www.stadtwil.ch/topics/stadt-politik-und-recht/stadtparlament/fraktionen</t>
        </is>
      </c>
      <c r="E822" s="12" t="inlineStr">
        <is>
          <t>Fraktionen</t>
        </is>
      </c>
      <c r="F822" s="12" t="inlineStr">
        <is>
          <t>nein</t>
        </is>
      </c>
      <c r="G822" s="12" t="inlineStr">
        <is>
          <t>https://www.stadtwil.ch/topics/stadt-politik-und-recht/finanzen</t>
        </is>
      </c>
      <c r="H822" s="12" t="inlineStr">
        <is>
          <t>Einstiegsseite</t>
        </is>
      </c>
      <c r="I822" s="12" t="inlineStr">
        <is>
          <t>Nein</t>
        </is>
      </c>
      <c r="J822" s="12" t="inlineStr">
        <is>
          <t>Ungeprüft – nicht kuratiert</t>
        </is>
      </c>
    </row>
    <row r="823">
      <c r="A823" s="12" t="inlineStr">
        <is>
          <t>Wil</t>
        </is>
      </c>
      <c r="B823" s="12" t="inlineStr">
        <is>
          <t>St. Gallen</t>
        </is>
      </c>
      <c r="C823" s="12" t="inlineStr">
        <is>
          <t>C5</t>
        </is>
      </c>
      <c r="D823" s="16" t="inlineStr">
        <is>
          <t>https://www.stadtwil.ch/topics/stadt-politik-und-recht/stadtparlament/kommissionen</t>
        </is>
      </c>
      <c r="E823" s="12" t="inlineStr">
        <is>
          <t>Kommissionen</t>
        </is>
      </c>
      <c r="F823" s="12" t="inlineStr">
        <is>
          <t>nein</t>
        </is>
      </c>
      <c r="G823" s="12" t="inlineStr">
        <is>
          <t>https://www.stadtwil.ch/topics/stadt-politik-und-recht/finanzen</t>
        </is>
      </c>
      <c r="H823" s="12" t="inlineStr">
        <is>
          <t>Einstiegsseite</t>
        </is>
      </c>
      <c r="I823" s="12" t="inlineStr">
        <is>
          <t>Nein</t>
        </is>
      </c>
      <c r="J823" s="12" t="inlineStr">
        <is>
          <t>Ungeprüft – nicht kuratiert</t>
        </is>
      </c>
    </row>
    <row r="824">
      <c r="A824" s="12" t="inlineStr">
        <is>
          <t>Wil</t>
        </is>
      </c>
      <c r="B824" s="12" t="inlineStr">
        <is>
          <t>St. Gallen</t>
        </is>
      </c>
      <c r="C824" s="12" t="inlineStr">
        <is>
          <t>C5</t>
        </is>
      </c>
      <c r="D824" s="16" t="inlineStr">
        <is>
          <t>https://www.stadtwil.ch/topics/stadt-politik-und-recht/stadtparlament/mitglieder</t>
        </is>
      </c>
      <c r="E824" s="12" t="inlineStr">
        <is>
          <t>Mitglieder</t>
        </is>
      </c>
      <c r="F824" s="12" t="inlineStr">
        <is>
          <t>nein</t>
        </is>
      </c>
      <c r="G824" s="12" t="inlineStr">
        <is>
          <t>https://www.stadtwil.ch/topics/stadt-politik-und-recht/finanzen</t>
        </is>
      </c>
      <c r="H824" s="12" t="inlineStr">
        <is>
          <t>Einstiegsseite</t>
        </is>
      </c>
      <c r="I824" s="12" t="inlineStr">
        <is>
          <t>Nein</t>
        </is>
      </c>
      <c r="J824" s="12" t="inlineStr">
        <is>
          <t>Ungeprüft – nicht kuratiert</t>
        </is>
      </c>
    </row>
    <row r="825">
      <c r="A825" s="12" t="inlineStr">
        <is>
          <t>Wil</t>
        </is>
      </c>
      <c r="B825" s="12" t="inlineStr">
        <is>
          <t>St. Gallen</t>
        </is>
      </c>
      <c r="C825" s="12" t="inlineStr">
        <is>
          <t>C5</t>
        </is>
      </c>
      <c r="D825" s="16" t="inlineStr">
        <is>
          <t>https://www.stadtwil.ch/topics/stadt-politik-und-recht/stadtparlament/politische-geschaefte</t>
        </is>
      </c>
      <c r="E825" s="12" t="inlineStr">
        <is>
          <t>Politische Geschäfte</t>
        </is>
      </c>
      <c r="F825" s="12" t="inlineStr">
        <is>
          <t>nein</t>
        </is>
      </c>
      <c r="G825" s="12" t="inlineStr">
        <is>
          <t>https://www.stadtwil.ch/topics/stadt-politik-und-recht/finanzen</t>
        </is>
      </c>
      <c r="H825" s="12" t="inlineStr">
        <is>
          <t>Einstiegsseite</t>
        </is>
      </c>
      <c r="I825" s="12" t="inlineStr">
        <is>
          <t>Nein</t>
        </is>
      </c>
      <c r="J825" s="12" t="inlineStr">
        <is>
          <t>Ungeprüft – nicht kuratiert</t>
        </is>
      </c>
    </row>
    <row r="826">
      <c r="A826" s="12" t="inlineStr">
        <is>
          <t>Wil</t>
        </is>
      </c>
      <c r="B826" s="12" t="inlineStr">
        <is>
          <t>St. Gallen</t>
        </is>
      </c>
      <c r="C826" s="12" t="inlineStr">
        <is>
          <t>C5</t>
        </is>
      </c>
      <c r="D826" s="16" t="inlineStr">
        <is>
          <t>https://www.stadtwil.ch/topics/stadt-politik-und-recht/stadtparlament/sitzordung</t>
        </is>
      </c>
      <c r="E826" s="12" t="inlineStr">
        <is>
          <t>Sitzordnung</t>
        </is>
      </c>
      <c r="F826" s="12" t="inlineStr">
        <is>
          <t>nein</t>
        </is>
      </c>
      <c r="G826" s="12" t="inlineStr">
        <is>
          <t>https://www.stadtwil.ch/topics/stadt-politik-und-recht/finanzen</t>
        </is>
      </c>
      <c r="H826" s="12" t="inlineStr">
        <is>
          <t>Einstiegsseite</t>
        </is>
      </c>
      <c r="I826" s="12" t="inlineStr">
        <is>
          <t>Nein</t>
        </is>
      </c>
      <c r="J826" s="12" t="inlineStr">
        <is>
          <t>Ungeprüft – nicht kuratiert</t>
        </is>
      </c>
    </row>
    <row r="827">
      <c r="A827" s="12" t="inlineStr">
        <is>
          <t>Wil</t>
        </is>
      </c>
      <c r="B827" s="12" t="inlineStr">
        <is>
          <t>St. Gallen</t>
        </is>
      </c>
      <c r="C827" s="12" t="inlineStr">
        <is>
          <t>C5</t>
        </is>
      </c>
      <c r="D827" s="16" t="inlineStr">
        <is>
          <t>https://www.stadtwil.ch/topics/stadt-politik-und-recht/stadtparlament/sitzungen</t>
        </is>
      </c>
      <c r="E827" s="12" t="inlineStr">
        <is>
          <t>Sitzungen</t>
        </is>
      </c>
      <c r="F827" s="12" t="inlineStr">
        <is>
          <t>nein</t>
        </is>
      </c>
      <c r="G827" s="12" t="inlineStr">
        <is>
          <t>https://www.stadtwil.ch/topics/stadt-politik-und-recht/finanzen</t>
        </is>
      </c>
      <c r="H827" s="12" t="inlineStr">
        <is>
          <t>Einstiegsseite</t>
        </is>
      </c>
      <c r="I827" s="12" t="inlineStr">
        <is>
          <t>Nein</t>
        </is>
      </c>
      <c r="J827" s="12" t="inlineStr">
        <is>
          <t>Ungeprüft – nicht kuratiert</t>
        </is>
      </c>
    </row>
    <row r="828">
      <c r="A828" s="12" t="inlineStr">
        <is>
          <t>Wil</t>
        </is>
      </c>
      <c r="B828" s="12" t="inlineStr">
        <is>
          <t>St. Gallen</t>
        </is>
      </c>
      <c r="C828" s="12" t="inlineStr">
        <is>
          <t>C5</t>
        </is>
      </c>
      <c r="D828" s="16" t="inlineStr">
        <is>
          <t>https://www.stadtwil.ch/topics/stadt-politik-und-recht/verwaltung/departemente/finanzen-und-verwaltung/stadtkanzlei</t>
        </is>
      </c>
      <c r="E828" s="12" t="inlineStr">
        <is>
          <t>Stadtkanzlei / Parlamentsdienste</t>
        </is>
      </c>
      <c r="F828" s="12" t="inlineStr">
        <is>
          <t>nein</t>
        </is>
      </c>
      <c r="G828" s="12" t="inlineStr">
        <is>
          <t>https://www.stadtwil.ch/topics/stadt-politik-und-recht/finanzen</t>
        </is>
      </c>
      <c r="H828" s="12" t="inlineStr">
        <is>
          <t>Einstiegsseite</t>
        </is>
      </c>
      <c r="I828" s="12" t="inlineStr">
        <is>
          <t>Nein</t>
        </is>
      </c>
      <c r="J828" s="12" t="inlineStr">
        <is>
          <t>Ungeprüft – nicht kuratiert</t>
        </is>
      </c>
    </row>
  </sheetData>
  <autoFilter ref="A1:J82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37" customWidth="1" min="3" max="3"/>
    <col width="38" customWidth="1" min="4" max="4"/>
    <col width="38" customWidth="1" min="5" max="5"/>
    <col width="38" customWidth="1" min="6" max="6"/>
    <col width="46" customWidth="1" min="7" max="7"/>
    <col width="60" customWidth="1" min="8" max="8"/>
  </cols>
  <sheetData>
    <row r="1" ht="36" customHeight="1">
      <c r="A1" s="1" t="inlineStr">
        <is>
          <t>Dimension</t>
        </is>
      </c>
      <c r="B1" s="1" t="inlineStr">
        <is>
          <t>Messung / Prüfbereiche</t>
        </is>
      </c>
      <c r="C1" s="1" t="inlineStr">
        <is>
          <t>Empfohlener Massstab</t>
        </is>
      </c>
      <c r="D1" s="1" t="inlineStr">
        <is>
          <t>Tragfähigkeit hoch</t>
        </is>
      </c>
      <c r="E1" s="1" t="inlineStr">
        <is>
          <t>Tragfähigkeit mittel</t>
        </is>
      </c>
      <c r="F1" s="1" t="inlineStr">
        <is>
          <t>Tragfähigkeit gering</t>
        </is>
      </c>
      <c r="G1" s="1" t="inlineStr">
        <is>
          <t>Status</t>
        </is>
      </c>
      <c r="H1" s="1" t="inlineStr">
        <is>
          <t>Anwendung im verifizierten Stand</t>
        </is>
      </c>
    </row>
    <row r="2" ht="38" customHeight="1">
      <c r="A2" s="2" t="inlineStr">
        <is>
          <t>C1</t>
        </is>
      </c>
      <c r="B2" s="2" t="inlineStr">
        <is>
          <t>Selbstfinanzierung, Nettoschuld, Investitionsspielraum, Planungshorizont</t>
        </is>
      </c>
      <c r="C2" s="2" t="inlineStr">
        <is>
          <t>Kanton × Grösse plus Richtwerte</t>
        </is>
      </c>
      <c r="D2" s="2" t="inlineStr">
        <is>
          <t>Finanzierung belastbar</t>
        </is>
      </c>
      <c r="E2" s="2" t="inlineStr">
        <is>
          <t>Engpässe beherrschbar</t>
        </is>
      </c>
      <c r="F2" s="2" t="inlineStr">
        <is>
          <t>Wesentliche Finanzierungslücken</t>
        </is>
      </c>
      <c r="G2" s="2" t="inlineStr">
        <is>
          <t>Vorschlag; Schwellen noch begründen und validieren</t>
        </is>
      </c>
      <c r="H2" s="2" t="inlineStr">
        <is>
          <t>Nicht angewendet: Kennzahlen (Selbstfinanzierungsgrad, Nettoschuld/Einw., Investitionsanteil) noch nicht aus den verifizierten Jahresrechnungen extrahiert; Peer-Gruppe Kanton × Grössenklasse noch nicht gebildet.</t>
        </is>
      </c>
    </row>
    <row r="3" ht="38" customHeight="1">
      <c r="A3" s="3" t="inlineStr">
        <is>
          <t>C2</t>
        </is>
      </c>
      <c r="B3" s="3" t="inlineStr">
        <is>
          <t>Eigene Flächen, Baurechte, Mobilisierbarkeit, Eigentumsstruktur</t>
        </is>
      </c>
      <c r="C3" s="3" t="inlineStr">
        <is>
          <t>Qualitative Reifegradskala</t>
        </is>
      </c>
      <c r="D3" s="3" t="inlineStr">
        <is>
          <t>Geeignete Verfügungsrechte vorhanden</t>
        </is>
      </c>
      <c r="E3" s="3" t="inlineStr">
        <is>
          <t>Nur teilweise mobilisierbar</t>
        </is>
      </c>
      <c r="F3" s="3" t="inlineStr">
        <is>
          <t>Keine ausreichenden Rechte</t>
        </is>
      </c>
      <c r="G3" s="3" t="inlineStr">
        <is>
          <t>Vorschlag; Schwellen noch begründen und validieren</t>
        </is>
      </c>
      <c r="H3" s="3" t="inlineStr">
        <is>
          <t>Nicht angewendet: kommunales Grundeigentum ist öffentlich nicht belegt (ÖBA-Zonen ≠ Eigentum). Liegenschaftsverzeichnis per Gemeindeanfrage.</t>
        </is>
      </c>
    </row>
    <row r="4" ht="38" customHeight="1">
      <c r="A4" s="2" t="inlineStr">
        <is>
          <t>C3</t>
        </is>
      </c>
      <c r="B4" s="2" t="inlineStr">
        <is>
          <t>Klare Zuständigkeiten, Verträge, Kooperationen</t>
        </is>
      </c>
      <c r="C4" s="2" t="inlineStr">
        <is>
          <t>Qualitative Reifegradskala</t>
        </is>
      </c>
      <c r="D4" s="2" t="inlineStr">
        <is>
          <t>Klare tragfähige Governance</t>
        </is>
      </c>
      <c r="E4" s="2" t="inlineStr">
        <is>
          <t>Klärungsbedarf</t>
        </is>
      </c>
      <c r="F4" s="2" t="inlineStr">
        <is>
          <t>Wesentliche Zuständigkeitslücken</t>
        </is>
      </c>
      <c r="G4" s="2" t="inlineStr">
        <is>
          <t>Vorschlag; Schwellen noch begründen und validieren</t>
        </is>
      </c>
      <c r="H4" s="2" t="inlineStr">
        <is>
          <t>Nicht angewendet: Gemeindeordnungen/Reglemente teilweise verifiziert; Kooperationsverträge nicht öffentlich vollständig.</t>
        </is>
      </c>
    </row>
    <row r="5" ht="38" customHeight="1">
      <c r="A5" s="3" t="inlineStr">
        <is>
          <t>C4</t>
        </is>
      </c>
      <c r="B5" s="3" t="inlineStr">
        <is>
          <t>Personal, Projektsteuerung, Beschaffung, Bestellerkompetenz</t>
        </is>
      </c>
      <c r="C5" s="3" t="inlineStr">
        <is>
          <t>Qualitative Reifegradskala</t>
        </is>
      </c>
      <c r="D5" s="3" t="inlineStr">
        <is>
          <t>Ausreichende Kapazitäten</t>
        </is>
      </c>
      <c r="E5" s="3" t="inlineStr">
        <is>
          <t>Gezielter Aufbau nötig</t>
        </is>
      </c>
      <c r="F5" s="3" t="inlineStr">
        <is>
          <t>Wesentliche Kapazitätslücken</t>
        </is>
      </c>
      <c r="G5" s="3" t="inlineStr">
        <is>
          <t>Vorschlag; Schwellen noch begründen und validieren</t>
        </is>
      </c>
      <c r="H5" s="3" t="inlineStr">
        <is>
          <t>Nicht angewendet: Organigramme belegen Struktur, nicht Kompetenz/Kapazität. Stellenplan und Projektressourcen per Gemeindeanfrage.</t>
        </is>
      </c>
    </row>
    <row r="6" ht="38" customHeight="1">
      <c r="A6" s="2" t="inlineStr">
        <is>
          <t>C5</t>
        </is>
      </c>
      <c r="B6" s="2" t="inlineStr">
        <is>
          <t>Entscheidungswege, Mitwirkung, Beschlüsse, Konflikte</t>
        </is>
      </c>
      <c r="C6" s="2" t="inlineStr">
        <is>
          <t>Qualitative Reifegradskala</t>
        </is>
      </c>
      <c r="D6" s="2" t="inlineStr">
        <is>
          <t>Politisch abgestützt</t>
        </is>
      </c>
      <c r="E6" s="2" t="inlineStr">
        <is>
          <t>Offene Legitimation</t>
        </is>
      </c>
      <c r="F6" s="2" t="inlineStr">
        <is>
          <t>Wesentliche Blockaden</t>
        </is>
      </c>
      <c r="G6" s="2" t="inlineStr">
        <is>
          <t>Vorschlag; Schwellen noch begründen und validieren</t>
        </is>
      </c>
      <c r="H6" s="2" t="inlineStr">
        <is>
          <t>Nicht angewendet: Leitbild/Mitwirkung belegt keine Akzeptanz. Beschlüsse und Abstimmungsergebnisse noch auszuwerten.</t>
        </is>
      </c>
    </row>
  </sheetData>
  <autoFilter ref="A1:H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00" customWidth="1" min="3" max="3"/>
  </cols>
  <sheetData>
    <row r="1">
      <c r="A1" s="17" t="inlineStr">
        <is>
          <t>Feld</t>
        </is>
      </c>
      <c r="B1" s="17" t="inlineStr">
        <is>
          <t>Wert</t>
        </is>
      </c>
      <c r="C1" s="17" t="inlineStr">
        <is>
          <t>Bedeutung</t>
        </is>
      </c>
    </row>
    <row r="2">
      <c r="A2" s="18" t="inlineStr">
        <is>
          <t>Linkstatus</t>
        </is>
      </c>
      <c r="B2" s="18" t="inlineStr">
        <is>
          <t>Verifiziert</t>
        </is>
      </c>
      <c r="C2" s="18" t="inlineStr">
        <is>
          <t>HTTP 2xx, keine Umleitung auf eine andere Adresse.</t>
        </is>
      </c>
    </row>
    <row r="3">
      <c r="A3" s="3" t="inlineStr">
        <is>
          <t>Linkstatus</t>
        </is>
      </c>
      <c r="B3" s="3" t="inlineStr">
        <is>
          <t>Weiterleitung</t>
        </is>
      </c>
      <c r="C3" s="3" t="inlineStr">
        <is>
          <t>HTTP 2xx nach Umleitung; Finale URL ersetzt ggf. den Link.</t>
        </is>
      </c>
    </row>
    <row r="4">
      <c r="A4" s="18" t="inlineStr">
        <is>
          <t>Linkstatus</t>
        </is>
      </c>
      <c r="B4" s="18" t="inlineStr">
        <is>
          <t>Fehler</t>
        </is>
      </c>
      <c r="C4" s="18" t="inlineStr">
        <is>
          <t>Syntaxfehler, DNS-Fehler, HTTP 4xx/5xx, Zeitüberschreitung oder Fehlerseite mit HTTP 200.</t>
        </is>
      </c>
    </row>
    <row r="5">
      <c r="A5" s="3" t="inlineStr">
        <is>
          <t>Linkstatus</t>
        </is>
      </c>
      <c r="B5" s="3" t="inlineStr">
        <is>
          <t>Nicht prüfbar</t>
        </is>
      </c>
      <c r="C5" s="3" t="inlineStr">
        <is>
          <t>Zugriff verweigert (401/403/451), gedrosselt (429) oder keine Netzverbindung. Keine Umgehung versucht.</t>
        </is>
      </c>
    </row>
    <row r="6">
      <c r="A6" s="18" t="inlineStr">
        <is>
          <t>Inhaltsprüfung</t>
        </is>
      </c>
      <c r="B6" s="18" t="inlineStr">
        <is>
          <t>Bestätigt</t>
        </is>
      </c>
      <c r="C6" s="18" t="inlineStr">
        <is>
          <t>Alle erwarteten Schlüsselwörter sowie Ort/Zuständigkeit im Dokumenttitel oder -text gefunden.</t>
        </is>
      </c>
    </row>
    <row r="7">
      <c r="A7" s="3" t="inlineStr">
        <is>
          <t>Inhaltsprüfung</t>
        </is>
      </c>
      <c r="B7" s="3" t="inlineStr">
        <is>
          <t>Teilweise bestätigt</t>
        </is>
      </c>
      <c r="C7" s="3" t="inlineStr">
        <is>
          <t>Nur ein Teil der Schlüsselwörter oder nur der Ort gefunden.</t>
        </is>
      </c>
    </row>
    <row r="8">
      <c r="A8" s="18" t="inlineStr">
        <is>
          <t>Inhaltsprüfung</t>
        </is>
      </c>
      <c r="B8" s="18" t="inlineStr">
        <is>
          <t>Offen</t>
        </is>
      </c>
      <c r="C8" s="18" t="inlineStr">
        <is>
          <t>Kein auswertbarer Text (JavaScript-Seite, Scan) oder keine Übereinstimmung.</t>
        </is>
      </c>
    </row>
    <row r="9">
      <c r="A9" s="3" t="inlineStr">
        <is>
          <t>Quellenverfügbarkeit</t>
        </is>
      </c>
      <c r="B9" s="3" t="inlineStr">
        <is>
          <t>Öffentlich verfügbar und verifiziert</t>
        </is>
      </c>
      <c r="C9" s="3" t="inlineStr">
        <is>
          <t>Link erreichbar und Dokumentidentität automatisiert bestätigt.</t>
        </is>
      </c>
    </row>
    <row r="10">
      <c r="A10" s="18" t="inlineStr">
        <is>
          <t>Quellenverfügbarkeit</t>
        </is>
      </c>
      <c r="B10" s="18" t="inlineStr">
        <is>
          <t>Öffentlich verfügbar – noch nicht geprüft</t>
        </is>
      </c>
      <c r="C10" s="18" t="inlineStr">
        <is>
          <t>Link erreichbar, Identität nicht oder nur teilweise bestätigt.</t>
        </is>
      </c>
    </row>
    <row r="11">
      <c r="A11" s="3" t="inlineStr">
        <is>
          <t>Quellenverfügbarkeit</t>
        </is>
      </c>
      <c r="B11" s="3" t="inlineStr">
        <is>
          <t>Nicht öffentlich auffindbar</t>
        </is>
      </c>
      <c r="C11" s="3" t="inlineStr">
        <is>
          <t>Recherche ohne Treffer (nur in Gemeindeanfragen).</t>
        </is>
      </c>
    </row>
    <row r="12">
      <c r="A12" s="18" t="inlineStr">
        <is>
          <t>Quellenverfügbarkeit</t>
        </is>
      </c>
      <c r="B12" s="18" t="inlineStr">
        <is>
          <t>Nur über Gemeindeanfrage erhältlich</t>
        </is>
      </c>
      <c r="C12" s="18" t="inlineStr">
        <is>
          <t>Information liegt erkennbar nur intern vor (nur in Gemeindeanfragen).</t>
        </is>
      </c>
    </row>
    <row r="13">
      <c r="A13" s="3" t="inlineStr">
        <is>
          <t>Quellenverfügbarkeit</t>
        </is>
      </c>
      <c r="B13" s="3" t="inlineStr">
        <is>
          <t>Nicht zugänglich / nicht prüfbar</t>
        </is>
      </c>
      <c r="C13" s="3" t="inlineStr">
        <is>
          <t>Link defekt, gesperrt oder nicht prüfbar.</t>
        </is>
      </c>
    </row>
    <row r="14">
      <c r="A14" s="18" t="inlineStr">
        <is>
          <t>Linkstabilität</t>
        </is>
      </c>
      <c r="B14" s="18" t="inlineStr">
        <is>
          <t>Hoch / Mittel / Gering</t>
        </is>
      </c>
      <c r="C14" s="18" t="inlineStr">
        <is>
          <t>Heuristik nach URL-Typ: ELI-Permalinks und Erlassnummern hoch; CMS-Dokumentlinks mittel; Session-/Temp-Downloads gering.</t>
        </is>
      </c>
    </row>
    <row r="15">
      <c r="A15" s="3" t="inlineStr">
        <is>
          <t>Bearbeitungsstatus</t>
        </is>
      </c>
      <c r="B15" s="3" t="inlineStr">
        <is>
          <t>Offen / In Prüfung / Abgeschlossen</t>
        </is>
      </c>
      <c r="C15" s="3" t="inlineStr">
        <is>
          <t>In Prüfung = Dokument identifiziert, Auswertung offen; Abgeschlossen erst nach fachlicher Auswertung (manuell).</t>
        </is>
      </c>
    </row>
    <row r="16">
      <c r="A16" s="18" t="inlineStr">
        <is>
          <t>Reifegrad / Tragfähigkeit</t>
        </is>
      </c>
      <c r="B16" s="18" t="inlineStr">
        <is>
          <t>Noch nicht bewertet</t>
        </is>
      </c>
      <c r="C16" s="18" t="inlineStr">
        <is>
          <t>Standard. Hoch/Mittel/Gering nur mit Bewertungsbegründung gemäss Blatt Bewertungslogik.</t>
        </is>
      </c>
    </row>
    <row r="17">
      <c r="A17" s="3" t="inlineStr">
        <is>
          <t>Confidence</t>
        </is>
      </c>
      <c r="B17" s="3" t="inlineStr">
        <is>
          <t>Hoch / Mittel / Niedrig</t>
        </is>
      </c>
      <c r="C17" s="3" t="inlineStr">
        <is>
          <t>Aussagekraft der Katalogzeile (nicht Gemeindequalität). Bestehende Werte unverändert übernommen; neue Zeilen: Hoch = direktes amtliches Dokument, Mittel = amtliche Übersichtsseite.</t>
        </is>
      </c>
    </row>
    <row r="18">
      <c r="A18" s="18" t="inlineStr">
        <is>
          <t>ID</t>
        </is>
      </c>
      <c r="B18" s="18" t="inlineStr">
        <is>
          <t>XX-Cn-nn</t>
        </is>
      </c>
      <c r="C18" s="18" t="inlineStr">
        <is>
          <t>CH/UR/BL/SG = Bund/Kantone; SEE/MUE/WIL = Gemeinden; Cn = Dimension; nn = laufende Nummer. IDs bleiben stabil.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2026-10-14T12:21:21Z</dcterms:created>
  <dcterms:modified xmlns:dcterms="http://purl.org/dc/terms/" xmlns:xsi="http://www.w3.org/2001/XMLSchema-instance" xsi:type="dcterms:W3CDTF">2026-10-14T14:01:14Z</dcterms:modified>
</cp:coreProperties>
</file>