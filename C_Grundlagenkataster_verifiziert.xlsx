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xr:revisionPtr revIDLastSave="0" documentId="8_{E5DF109E-F227-4880-9DAB-C3F8BB622E21}" xr6:coauthVersionLast="47" xr6:coauthVersionMax="47" xr10:uidLastSave="{00000000-0000-0000-0000-000000000000}"/>
  <bookViews>
    <workbookView xWindow="0" yWindow="0" windowWidth="0" windowHeight="0" firstSheet="1" activeTab="1" xr2:uid="{00000000-000D-0000-FFFF-FFFF00000000}"/>
  </bookViews>
  <sheets>
    <sheet name="Hinweise" sheetId="1" r:id="rId1"/>
    <sheet name="Gesamtübersicht" sheetId="2" r:id="rId2"/>
    <sheet name="Seelisberg" sheetId="3" r:id="rId3"/>
    <sheet name="Münchenstein" sheetId="4" r:id="rId4"/>
    <sheet name="Wil" sheetId="5" r:id="rId5"/>
    <sheet name="Gemeindeanfragen" sheetId="6" r:id="rId6"/>
    <sheet name="Recherche-Kandidaten" sheetId="7" r:id="rId7"/>
    <sheet name="Bewertungslogik" sheetId="8" r:id="rId8"/>
    <sheet name="Legende" sheetId="9" r:id="rId9"/>
  </sheets>
  <definedNames>
    <definedName name="_xlnm._FilterDatabase" localSheetId="5" hidden="1">Gemeindeanfragen!$A$1:$L$28</definedName>
    <definedName name="_xlnm._FilterDatabase" localSheetId="6" hidden="1">'Recherche-Kandidaten'!$A$1:$J$828</definedName>
    <definedName name="_xlnm._FilterDatabase" localSheetId="7" hidden="1">Bewertungslogik!$A$1:$H$6</definedName>
    <definedName name="_xlnm._FilterDatabase" localSheetId="8" hidden="1">Legende!$A$1:$C$18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41" i="5" l="1"/>
  <c r="AX40" i="5"/>
  <c r="AX39" i="5"/>
  <c r="AX38" i="5"/>
  <c r="AX37" i="5"/>
  <c r="AX36" i="5"/>
  <c r="AX35" i="5"/>
  <c r="AX34" i="5"/>
  <c r="AX33" i="5"/>
  <c r="AX32" i="5"/>
  <c r="AX31" i="5"/>
  <c r="AX30" i="5"/>
  <c r="AX29" i="5"/>
  <c r="AX28" i="5"/>
  <c r="AX27" i="5"/>
  <c r="AX26" i="5"/>
  <c r="AX25" i="5"/>
  <c r="AX24" i="5"/>
  <c r="AX23" i="5"/>
  <c r="AX22" i="5"/>
  <c r="AX21" i="5"/>
  <c r="AX20" i="5"/>
  <c r="AX19" i="5"/>
  <c r="AX18" i="5"/>
  <c r="AX17" i="5"/>
  <c r="AX16" i="5"/>
  <c r="AX15" i="5"/>
  <c r="AX14" i="5"/>
  <c r="AX13" i="5"/>
  <c r="AX12" i="5"/>
  <c r="AX11" i="5"/>
  <c r="AX10" i="5"/>
  <c r="AX9" i="5"/>
  <c r="AX8" i="5"/>
  <c r="AX7" i="5"/>
  <c r="AX6" i="5"/>
  <c r="AX5" i="5"/>
  <c r="AX4" i="5"/>
  <c r="AX3" i="5"/>
  <c r="AX2" i="5"/>
  <c r="AX42" i="4"/>
  <c r="AX41" i="4"/>
  <c r="AX40" i="4"/>
  <c r="AX39" i="4"/>
  <c r="AX38" i="4"/>
  <c r="AX37" i="4"/>
  <c r="AX36" i="4"/>
  <c r="AX35" i="4"/>
  <c r="AX34" i="4"/>
  <c r="AX33" i="4"/>
  <c r="AX32" i="4"/>
  <c r="AX31" i="4"/>
  <c r="AX30" i="4"/>
  <c r="AX29" i="4"/>
  <c r="AX28" i="4"/>
  <c r="AX27" i="4"/>
  <c r="AX26" i="4"/>
  <c r="AX25" i="4"/>
  <c r="AX24" i="4"/>
  <c r="AX23" i="4"/>
  <c r="AX22" i="4"/>
  <c r="AX21" i="4"/>
  <c r="AX20" i="4"/>
  <c r="AX19" i="4"/>
  <c r="AX18" i="4"/>
  <c r="AX17" i="4"/>
  <c r="AX16" i="4"/>
  <c r="AX15" i="4"/>
  <c r="AX14" i="4"/>
  <c r="AX13" i="4"/>
  <c r="AX12" i="4"/>
  <c r="AX11" i="4"/>
  <c r="AX10" i="4"/>
  <c r="AX9" i="4"/>
  <c r="AX8" i="4"/>
  <c r="AX7" i="4"/>
  <c r="AX6" i="4"/>
  <c r="AX5" i="4"/>
  <c r="AX4" i="4"/>
  <c r="AX3" i="4"/>
  <c r="AX2" i="4"/>
  <c r="AX49" i="3"/>
  <c r="AX48" i="3"/>
  <c r="AX47" i="3"/>
  <c r="AX46" i="3"/>
  <c r="AX45" i="3"/>
  <c r="AX44" i="3"/>
  <c r="AX43" i="3"/>
  <c r="AX42" i="3"/>
  <c r="AX41" i="3"/>
  <c r="AX40" i="3"/>
  <c r="AX39" i="3"/>
  <c r="AX38" i="3"/>
  <c r="AX37" i="3"/>
  <c r="AX36" i="3"/>
  <c r="AX35" i="3"/>
  <c r="AX34" i="3"/>
  <c r="AX33" i="3"/>
  <c r="AX32" i="3"/>
  <c r="AX31" i="3"/>
  <c r="AX30" i="3"/>
  <c r="AX29" i="3"/>
  <c r="AX28" i="3"/>
  <c r="AX27" i="3"/>
  <c r="AX26" i="3"/>
  <c r="AX25" i="3"/>
  <c r="AX24" i="3"/>
  <c r="AX23" i="3"/>
  <c r="AX22" i="3"/>
  <c r="AX21" i="3"/>
  <c r="AX20" i="3"/>
  <c r="AX19" i="3"/>
  <c r="AX18" i="3"/>
  <c r="AX17" i="3"/>
  <c r="AX16" i="3"/>
  <c r="AX15" i="3"/>
  <c r="AX14" i="3"/>
  <c r="AX13" i="3"/>
  <c r="AX12" i="3"/>
  <c r="AX11" i="3"/>
  <c r="AX10" i="3"/>
  <c r="AX9" i="3"/>
  <c r="AX8" i="3"/>
  <c r="AX7" i="3"/>
  <c r="AX6" i="3"/>
  <c r="AX5" i="3"/>
  <c r="AX4" i="3"/>
  <c r="AX3" i="3"/>
  <c r="AX2" i="3"/>
  <c r="B25" i="1"/>
  <c r="B24" i="1"/>
  <c r="B23" i="1"/>
</calcChain>
</file>

<file path=xl/sharedStrings.xml><?xml version="1.0" encoding="utf-8"?>
<sst xmlns="http://schemas.openxmlformats.org/spreadsheetml/2006/main" count="18431" uniqueCount="2952">
  <si>
    <t>C-Grundlagenkataster – institutionelle Ausgangslage</t>
  </si>
  <si>
    <t>Stand: 14.10.2026 (verifizierte Fassung)</t>
  </si>
  <si>
    <t>Zweck</t>
  </si>
  <si>
    <t>Arbeitskataster C1–C5 für Niklas Assignment 01; kein fertiges Tragfähigkeitsrating.</t>
  </si>
  <si>
    <t>Hierarchie</t>
  </si>
  <si>
    <t>Bund → Kantone Uri / Basel-Landschaft / St. Gallen → Pilotgemeinden Seelisberg / Münchenstein / Wil.</t>
  </si>
  <si>
    <t>Datenlage</t>
  </si>
  <si>
    <t>Offizielle Links wurden recherchiert; Portal-Links sind ausdrücklich keine Belege für spezifische Einzelangaben.</t>
  </si>
  <si>
    <t>Geltung</t>
  </si>
  <si>
    <t>Rechtsfassungen, Berichtsjahre und konkrete Werte vor Verwendung prüfen.</t>
  </si>
  <si>
    <t>Tragfähigkeit</t>
  </si>
  <si>
    <t>Noch nicht bewertet, da Kennzahlen und qualitative Befunde nicht vollständig erhoben wurden.</t>
  </si>
  <si>
    <t>Confidence</t>
  </si>
  <si>
    <t>Confidence bewertet die Aussagekraft der Katalogzeile, nicht die Gemeindequalität.</t>
  </si>
  <si>
    <t>Aufgabenprofil</t>
  </si>
  <si>
    <t>C1 Finanzen, C2 Boden, C3 Governance, C4 Verwaltung, C5 Politik; Kennzahlen/Reifegrade begründen.</t>
  </si>
  <si>
    <t>Peer-Logik</t>
  </si>
  <si>
    <t>Ausgangshypothese: C1 Kanton × Grössenklasse plus Richtwerte; C2–C5 ohne Peer.</t>
  </si>
  <si>
    <t>Zusammenarbeit</t>
  </si>
  <si>
    <t>A-Daten von Lias und Luucy-/B-Daten von Nikolaos übernehmen, nicht neu erheben.</t>
  </si>
  <si>
    <t>Datenanfrage</t>
  </si>
  <si>
    <t>Blatt Gemeindeanfragen enthält pro Pilotgemeinde benötigte Ergänzungen.</t>
  </si>
  <si>
    <t>Quellenkonvention</t>
  </si>
  <si>
    <t>Herkunft unterscheidet öffentliche Webrecherche von methodischen Ableitungen aus Aufgabenprofil und Grundlagendokument.</t>
  </si>
  <si>
    <t>Verifikation</t>
  </si>
  <si>
    <t>Alle URLs werden per Skript scripts/verify_c_sources.py (GitHub Actions) geprüft: Syntax, DNS, HTTP (HEAD, GET-Fallback), Weiterleitungen, Dateityp, Titel/Text gegen erwartete Schlüsselwörter und Ort. HTTP 200 allein gilt nicht als Verifikation.</t>
  </si>
  <si>
    <t>Linkstatus</t>
  </si>
  <si>
    <t>Verifiziert = erreichbar ohne Umleitung; Weiterleitung = erreichbar nach Umleitung (Finale URL beachten); Fehler = 4xx/5xx/DNS/Fehlerseite; Nicht prüfbar = Zugriff verweigert, gedrosselt oder kein Netz.</t>
  </si>
  <si>
    <t>Inhaltsprüfung</t>
  </si>
  <si>
    <t>Bestätigt = alle erwarteten Schlüsselwörter und Ort/Zuständigkeit im Titel oder Text gefunden; Teilweise bestätigt = nur ein Teil; Offen = kein auswertbarer Text oder keine Übereinstimmung. Automatischer Abgleich, keine fachliche Auswertung.</t>
  </si>
  <si>
    <t>Quellenverfügbarkeit</t>
  </si>
  <si>
    <t>Öffentlich verfügbar und verifiziert; Öffentlich verfügbar – noch nicht geprüft; Nicht öffentlich auffindbar; Nur über Gemeindeanfrage erhältlich; Nicht zugänglich / nicht prüfbar. Die Kategorien 3 und 4 werden im Blatt Gemeindeanfragen geführt.</t>
  </si>
  <si>
    <t>Weiterhin «Noch nicht bewertet»: ein verifizierter Link ist kein Beleg für institutionelle Tragfähigkeit. Einstufungen nur mit Bewertungsbegründung (Skript bricht sonst ab).</t>
  </si>
  <si>
    <t>Gemeindeblätter</t>
  </si>
  <si>
    <t>Seelisberg, Münchenstein und Wil sind generierte Ansichten der Gesamtübersicht (Bund + eigener Kanton + eigene Gemeinde). Nur in der Gesamtübersicht bearbeiten, danach «python3 scripts/verify_c_sources.py --sync-only &lt;Datei&gt;» ausführen. Die Spalte «Abgleich mit Gesamtübersicht» zeigt Abweichungen per Formel an.</t>
  </si>
  <si>
    <t>Recherche-Kandidaten</t>
  </si>
  <si>
    <t>Automatisch gefundene Dokumentlinks (Einstiegsseiten, Sitemaps, optional Such-API). Ungeprüft und nicht kuratiert – erst nach Sichtung in die Gesamtübersicht übernehmen.</t>
  </si>
  <si>
    <t>Kennzahlen Lauf</t>
  </si>
  <si>
    <t>Geprüfte URLs: 114; verifiziert/weitergeleitet: 109; Fehler: 0; nicht prüfbar: 5; Inhalt bestätigt: 104; neue Quellen: 69; ersetzte Links: 18.</t>
  </si>
  <si>
    <t>Konsistenz (Formel)</t>
  </si>
  <si>
    <t>Soll = Zeilen in der Gesamtübersicht, die zur Gemeinde gehören; Ist = Zeilen im Gemeindeblatt.</t>
  </si>
  <si>
    <t>Seelisberg</t>
  </si>
  <si>
    <t>Münchenstein</t>
  </si>
  <si>
    <t>Wil</t>
  </si>
  <si>
    <t>ID</t>
  </si>
  <si>
    <t>Ebene</t>
  </si>
  <si>
    <t>Schweiz</t>
  </si>
  <si>
    <t>Kanton</t>
  </si>
  <si>
    <t>Gemeinde</t>
  </si>
  <si>
    <t>C-Dimension</t>
  </si>
  <si>
    <t>Themenfeld</t>
  </si>
  <si>
    <t>Dokument / Datengrundlage</t>
  </si>
  <si>
    <t>Dokumenttyp</t>
  </si>
  <si>
    <t>Dokumentstatus</t>
  </si>
  <si>
    <t>Rechts- / Verbindlichkeitsstatus</t>
  </si>
  <si>
    <t>Herausgeber / Zuständigkeit</t>
  </si>
  <si>
    <t>Link / Quelle</t>
  </si>
  <si>
    <t>Bezugsjahr / Stand</t>
  </si>
  <si>
    <t>Aktualität geprüft am</t>
  </si>
  <si>
    <t>Konkrete Aussage / Relevanz</t>
  </si>
  <si>
    <t>Kennzahl / Prüfkriterium</t>
  </si>
  <si>
    <t>Erhebungs- / Bewertungsmethode</t>
  </si>
  <si>
    <t>Vergleichsmassstab</t>
  </si>
  <si>
    <t>Reifegrad / Tragfähigkeit</t>
  </si>
  <si>
    <t>Datenlücke / Gemeindeanfrage</t>
  </si>
  <si>
    <t>Verbindung A / B / Q</t>
  </si>
  <si>
    <t>Sprint-2-Verwendung</t>
  </si>
  <si>
    <t>Prüfstatus / nächste Aktion</t>
  </si>
  <si>
    <t>Herkunft / Nachweis</t>
  </si>
  <si>
    <t>Weitere C-Dimensionen</t>
  </si>
  <si>
    <t>Veröffentlichungsdatum</t>
  </si>
  <si>
    <t>Offizielle Fundstelle</t>
  </si>
  <si>
    <t>HTTP-Status</t>
  </si>
  <si>
    <t>Finale URL (nach Weiterleitung)</t>
  </si>
  <si>
    <t>Dateityp</t>
  </si>
  <si>
    <t>Inhaltsprüfung – Nachweis</t>
  </si>
  <si>
    <t>Erkannter Dokumenttitel</t>
  </si>
  <si>
    <t>Erkannte Jahresangaben</t>
  </si>
  <si>
    <t>Linkstabilität</t>
  </si>
  <si>
    <t>Letzte Linkprüfung</t>
  </si>
  <si>
    <t>Einheit / Bezugsjahr</t>
  </si>
  <si>
    <t>Prüfnachweis (belegbare Aussage)</t>
  </si>
  <si>
    <t>Bewertungsbegründung</t>
  </si>
  <si>
    <t>Gemeindeanfrage erforderlich</t>
  </si>
  <si>
    <t>Zuständige Stelle</t>
  </si>
  <si>
    <t>Bearbeitungsstatus</t>
  </si>
  <si>
    <t>Recherchehinweis</t>
  </si>
  <si>
    <t>Gleiche Quelle wie (ID)</t>
  </si>
  <si>
    <t>Änderungsprotokoll</t>
  </si>
  <si>
    <t>CH-C1-01</t>
  </si>
  <si>
    <t>Bund</t>
  </si>
  <si>
    <t>Alle</t>
  </si>
  <si>
    <t>C1</t>
  </si>
  <si>
    <t>Öffentliche Finanzstatistik</t>
  </si>
  <si>
    <t>Finanzstatistik: Daten der Eidgenössischen Finanzverwaltung</t>
  </si>
  <si>
    <t>Datenportal</t>
  </si>
  <si>
    <t>Offizielle Quelle recherchiert</t>
  </si>
  <si>
    <t>Orientierung / Datengrundlage</t>
  </si>
  <si>
    <t>https://www.efv.admin.ch/de/finanzstatistik-daten</t>
  </si>
  <si>
    <t>Zu prüfen</t>
  </si>
  <si>
    <t>14.10.2026</t>
  </si>
  <si>
    <t>Harmonisierte Finanzstatistik als Kontext und methodische Vergleichsbasis</t>
  </si>
  <si>
    <t>Finanzkennzahlen, Ausgaben, Einnahmen</t>
  </si>
  <si>
    <t>Zeitreihen und Aufgabenabgrenzung prüfen</t>
  </si>
  <si>
    <t>Kanton × Grössenklasse; Richtwerte</t>
  </si>
  <si>
    <t>Noch nicht bewertet</t>
  </si>
  <si>
    <t>Hoch</t>
  </si>
  <si>
    <t>A1/A2; C1</t>
  </si>
  <si>
    <t>Finanziellen Spielraum und DYN-Korridor plausibilisieren</t>
  </si>
  <si>
    <t>Dokument auswerten; Aktualität und Geltung prüfen</t>
  </si>
  <si>
    <t>Offizielles Bundesportal; methodische Auswahl</t>
  </si>
  <si>
    <t>https://www.efv.admin.ch/</t>
  </si>
  <si>
    <t>Verifiziert</t>
  </si>
  <si>
    <t>200</t>
  </si>
  <si>
    <t>HTML</t>
  </si>
  <si>
    <t>Bestätigt</t>
  </si>
  <si>
    <t>Schlüsselwörter 1/1 gefunden (Finanzstatistik)</t>
  </si>
  <si>
    <t>Übersicht über die Daten der Finanzstatistik | Übersicht über die Daten der Finanzstatistik</t>
  </si>
  <si>
    <t>2008, 2026, 2025, 2014</t>
  </si>
  <si>
    <t>Mittel (Webseite)</t>
  </si>
  <si>
    <t>2026-10-14 14:02</t>
  </si>
  <si>
    <t>Öffentlich verfügbar und verifiziert</t>
  </si>
  <si>
    <t>Belegt Existenz und Zugänglichkeit der Quelle; inhaltliche Aussagen erst nach Auswertung.</t>
  </si>
  <si>
    <t>Keine Einstufung: Kennzahlen/Befunde noch nicht ausgewertet; Schwellen der Bewertungslogik noch nicht validiert.</t>
  </si>
  <si>
    <t>Nein</t>
  </si>
  <si>
    <t>In Prüfung</t>
  </si>
  <si>
    <t>CH-C1-02</t>
  </si>
  <si>
    <t>Rechnungslegung</t>
  </si>
  <si>
    <t>EFV: Methodik und Vergleichbarkeit der Finanzstatistik</t>
  </si>
  <si>
    <t>Methodik</t>
  </si>
  <si>
    <t>https://www.efv.admin.ch/de/was-ist-die-finanzstatistik</t>
  </si>
  <si>
    <t>Kantonale Aufgabenverteilung begrenzt Vergleichbarkeit</t>
  </si>
  <si>
    <t>HRM / Aufgabenabgrenzung</t>
  </si>
  <si>
    <t>Vergleichbarkeit explizit dokumentieren</t>
  </si>
  <si>
    <t>Kanton × Grössenklasse</t>
  </si>
  <si>
    <t>A1; C1</t>
  </si>
  <si>
    <t>Vergleichsregeln absichern</t>
  </si>
  <si>
    <t>Was ist die Finanzstatistik? | Was ist die Finanzstatistik?</t>
  </si>
  <si>
    <t>2014, 2010, 2026, 2024, 2023, 2025</t>
  </si>
  <si>
    <t>CH-C1-03</t>
  </si>
  <si>
    <t>Finanzstatistik Methode</t>
  </si>
  <si>
    <t>EFV: Methoden der Finanzstatistik (FS-Modell, HRM2-Zuordnung)</t>
  </si>
  <si>
    <t>Webseite</t>
  </si>
  <si>
    <t>Methodische Grundlage</t>
  </si>
  <si>
    <t>Eidgenössische Finanzverwaltung (EFV)</t>
  </si>
  <si>
    <t>https://www.efv.admin.ch/de/methoden-finanzstatistik</t>
  </si>
  <si>
    <t>Definitionen der Kennzahlen und HRM2-Abbildung für Vergleichbarkeit</t>
  </si>
  <si>
    <t>Kennzahlendefinitionen</t>
  </si>
  <si>
    <t>Vergleichsregeln C1</t>
  </si>
  <si>
    <t>Automatische Recherche GitHub Actions (Discovery), Fundstelle siehe Spalte Offizielle Fundstelle</t>
  </si>
  <si>
    <t>Schlüsselwörter 2/2 gefunden (Methode, Finanzstatistik)</t>
  </si>
  <si>
    <t>Methoden der Finanzstatistik | Methoden der Finanzstatistik</t>
  </si>
  <si>
    <t>2016, 2026, 2015, 2020, 2014, 2025</t>
  </si>
  <si>
    <t>2026-10-14 14:03</t>
  </si>
  <si>
    <t>Früherer PDF-Link zum FS-Methodenband (efv.admin.ch/dam/…) liefert HTTP 502 (Website-Umbau); Methodenseite über EFV-Finanzstatistik ermittelt.</t>
  </si>
  <si>
    <t>2026-10-14: neu aufgenommen</t>
  </si>
  <si>
    <t>CH-C1-04</t>
  </si>
  <si>
    <t>Finanzdaten Gemeinden</t>
  </si>
  <si>
    <t>EFV: Detaillierte Daten FS- und GFS-Modell (Open Government Data)</t>
  </si>
  <si>
    <t>Datensatz</t>
  </si>
  <si>
    <t>Direktes Dokument</t>
  </si>
  <si>
    <t>Datengrundlage</t>
  </si>
  <si>
    <t>EFV / opendata.swiss</t>
  </si>
  <si>
    <t>https://opendata.swiss/en/dataset/detaillierte-daten-fs-und-gfs-modell-standardauswertungen</t>
  </si>
  <si>
    <t>Maschinenlesbare Finanzdaten für Peer-Vergleich</t>
  </si>
  <si>
    <t>Einnahmen, Ausgaben, Schulden</t>
  </si>
  <si>
    <t>Mittel</t>
  </si>
  <si>
    <t>Websuche 14.10.2026 (URL im Suchergebnis gefunden)</t>
  </si>
  <si>
    <t>Schlüsselwörter 2/2 gefunden (FS, GFS)</t>
  </si>
  <si>
    <t>Detailed data FS and GFS model: Regular tables | opendata.swiss | Detailed data FS and GFS model: Regular tables</t>
  </si>
  <si>
    <t>2008, 2025, 2014, 2023</t>
  </si>
  <si>
    <t>CH-C2-01</t>
  </si>
  <si>
    <t>C2</t>
  </si>
  <si>
    <t>Eigentumsrechte</t>
  </si>
  <si>
    <t>Schweizerisches Zivilgesetzbuch (ZGB)</t>
  </si>
  <si>
    <t>Bundesgesetz</t>
  </si>
  <si>
    <t>Bundesgesetz (verbindlich)</t>
  </si>
  <si>
    <t>https://www.fedlex.admin.ch/eli/cc/24/233_245_233/de</t>
  </si>
  <si>
    <t>SR 210, geltende Fassung</t>
  </si>
  <si>
    <t>Eigentum, Dienstbarkeiten und Baurechte als rechtlicher Rahmen</t>
  </si>
  <si>
    <t>Baurecht, Dienstbarkeit, Eigentum</t>
  </si>
  <si>
    <t>Grundbuch und Verträge gemeindespezifisch prüfen</t>
  </si>
  <si>
    <t>Kein Peer-Vergleich</t>
  </si>
  <si>
    <t>B; Q1</t>
  </si>
  <si>
    <t>Bodenmobilisierung / Verfügung prüfen</t>
  </si>
  <si>
    <t>Titel via Fedlex-SPARQL (https://fedlex.data.admin.ch/eli/cc/24/233_245_233); Schlüsselwörter 1/1 gefunden (Zivilgesetzbuch)</t>
  </si>
  <si>
    <t>Schweizerisches Zivilgesetzbuch vom 10. Dezember 1907 (ZGB)</t>
  </si>
  <si>
    <t>Hoch (ELI-Permalink)</t>
  </si>
  <si>
    <t>CH-C2-02</t>
  </si>
  <si>
    <t>Raumplanung / Baulandmobilisierung</t>
  </si>
  <si>
    <t>Bundesgesetz über die Raumplanung (RPG), SR 700</t>
  </si>
  <si>
    <t>https://www.fedlex.admin.ch/eli/cc/1979/1573_1573_1573/de</t>
  </si>
  <si>
    <t>SR 700, geltende Fassung</t>
  </si>
  <si>
    <t>Art. 15a RPG: Förderung der Verfügbarkeit von Bauland; Mehrwertausgleich Art. 5</t>
  </si>
  <si>
    <t>Bauverpflichtung, Mehrwertabgabe</t>
  </si>
  <si>
    <t>ELI-Permalink Fedlex; Identität per Fedlex-SPARQL geprüft</t>
  </si>
  <si>
    <t>Titel via Fedlex-SPARQL (https://fedlex.data.admin.ch/eli/cc/1979/1573_1573_1573); Schlüsselwörter 1/1 gefunden (Raumplanung)</t>
  </si>
  <si>
    <t>Bundesgesetz vom 22. Juni 1979 über die Raumplanung (Raumplanungsgesetz, RPG) (RPG)</t>
  </si>
  <si>
    <t>CH-C3-01</t>
  </si>
  <si>
    <t>C3</t>
  </si>
  <si>
    <t>Interkommunale Zusammenarbeit</t>
  </si>
  <si>
    <t>Bundesverfassung der Schweizerischen Eidgenossenschaft</t>
  </si>
  <si>
    <t>Bundesverfassung</t>
  </si>
  <si>
    <t>Bundesverfassung (verbindlich)</t>
  </si>
  <si>
    <t>https://www.fedlex.admin.ch/eli/cc/1999/404/de</t>
  </si>
  <si>
    <t>SR 101, geltende Fassung</t>
  </si>
  <si>
    <t>Grundlagen von Föderalismus und Gemeindeautonomie; Details kantonal</t>
  </si>
  <si>
    <t>Zuständigkeits- und Kooperationsregeln</t>
  </si>
  <si>
    <t>Kantonale Gemeindeerlasse ergänzen</t>
  </si>
  <si>
    <t>Qualitative Reifegradskala</t>
  </si>
  <si>
    <t>Q6; C4</t>
  </si>
  <si>
    <t>Trägerschaft und Kooperation beurteilen</t>
  </si>
  <si>
    <t>C5</t>
  </si>
  <si>
    <t>Titel via Fedlex-SPARQL (https://fedlex.data.admin.ch/eli/cc/1999/404); Schlüsselwörter 1/1 gefunden (Bundesverfassung)</t>
  </si>
  <si>
    <t>Bundesverfassung der Schweizerischen Eidgenossenschaft vom 18. April 1999 (BV)</t>
  </si>
  <si>
    <t>CH-C5-01</t>
  </si>
  <si>
    <t>CH-C4-01</t>
  </si>
  <si>
    <t>C4</t>
  </si>
  <si>
    <t>Öffentliche Beschaffung</t>
  </si>
  <si>
    <t>Bundesgesetz über das öffentliche Beschaffungswesen (BöB)</t>
  </si>
  <si>
    <t>Bundesgesetz (verbindlich für Bundesbeschaffungen; Gemeinden: IVöB/kantonales Recht)</t>
  </si>
  <si>
    <t>https://www.fedlex.admin.ch/eli/cc/2020/126/de</t>
  </si>
  <si>
    <t>SR 172.056.1, geltende Fassung</t>
  </si>
  <si>
    <t>Beschaffungsrechtlicher Orientierungsrahmen; kommunale Geltung kantonal prüfen</t>
  </si>
  <si>
    <t>Beschaffungsprozess, Zuständigkeit</t>
  </si>
  <si>
    <t>Kantonales Beschaffungsrecht vorrangig auf Geltung prüfen</t>
  </si>
  <si>
    <t>Q6; C3</t>
  </si>
  <si>
    <t>Bestellerkompetenz / Umsetzungsorganisation</t>
  </si>
  <si>
    <t>Titel via Fedlex-SPARQL (https://fedlex.data.admin.ch/eli/cc/2020/126); Schlüsselwörter 1/1 gefunden (öffentliche Beschaffungswesen)</t>
  </si>
  <si>
    <t>Bundesgesetz vom 21. Juni 2019 über das öffentliche Beschaffungswesen (BöB) (BöB)</t>
  </si>
  <si>
    <t>2019</t>
  </si>
  <si>
    <t>CH-C4-02</t>
  </si>
  <si>
    <t>Gemeindekennzahlen</t>
  </si>
  <si>
    <t>BFS: Regionalporträts – Kennzahlen aller Gemeinden (Datensatz)</t>
  </si>
  <si>
    <t>Bundesamt für Statistik (BFS)</t>
  </si>
  <si>
    <t>https://ckan.opendata.swiss/dataset/regionalportrats-2021-kennzahlen-aller-gemeinden</t>
  </si>
  <si>
    <t>2021 (neuere Ausgabe prüfen)</t>
  </si>
  <si>
    <t>Strukturdaten (Einwohner, Fläche) zur Bildung der Grössenklassen</t>
  </si>
  <si>
    <t>Grössenklasse</t>
  </si>
  <si>
    <t>Schlüsselwörter 1/1 gefunden (Regionalporträts)</t>
  </si>
  <si>
    <t>Regional portraits 2021: key data of all communes - Dataset - opendata.swiss | Regional portraits 2021: key data of all communes</t>
  </si>
  <si>
    <t>2021, 2019, 2004</t>
  </si>
  <si>
    <t>Ausgabe 2021; aktuelle Ausgabe beim BFS prüfen.</t>
  </si>
  <si>
    <t>Politische Rechte</t>
  </si>
  <si>
    <t>Demokratische Grundrechte und Beteiligung; konkrete kommunale Verfahren kantonal</t>
  </si>
  <si>
    <t>Mitwirkung / Legitimation</t>
  </si>
  <si>
    <t>Kommunale und kantonale Bestimmungen ergänzen</t>
  </si>
  <si>
    <t>Q1; C3</t>
  </si>
  <si>
    <t>Politische Machbarkeit</t>
  </si>
  <si>
    <t>Gleiche Quelle wie CH-C3-01; bewusst doppelt geführt (Zuordnung C5 politische Rechte).</t>
  </si>
  <si>
    <t>UR-C1-01</t>
  </si>
  <si>
    <t>Uri</t>
  </si>
  <si>
    <t>Finanzstatistik</t>
  </si>
  <si>
    <t>Gemeindefinanzstatistik Uri</t>
  </si>
  <si>
    <t>Statistik</t>
  </si>
  <si>
    <t>Kanton Uri</t>
  </si>
  <si>
    <t>https://www.ur.ch/publikationen/6680</t>
  </si>
  <si>
    <t>Kennzahlen aller Urner Gemeinden</t>
  </si>
  <si>
    <t>Selbstfinanzierung, Verschuldung, Investitionen</t>
  </si>
  <si>
    <t>Jahreswerte für Seelisberg extrahieren</t>
  </si>
  <si>
    <t>Kanton × Grössenklasse / Richtwerte</t>
  </si>
  <si>
    <t>Geltende kantonale Detailgrundlage und Datenstand prüfen</t>
  </si>
  <si>
    <t>Finanztragfähigkeit</t>
  </si>
  <si>
    <t>Webrecherche 14.10.2026</t>
  </si>
  <si>
    <t>Schlüsselwörter 1/1 gefunden (Gemeindefinanzstatistik); Ort/Zuständigkeit: Uri</t>
  </si>
  <si>
    <t>Kanton Uri - Gemeindefinanzstatistik | Kontakt</t>
  </si>
  <si>
    <t>2023, 2025, 2026, 2024, 2022, 2021</t>
  </si>
  <si>
    <t>Mittel (CMS-Dokumentlink)</t>
  </si>
  <si>
    <t>UR-C1-02</t>
  </si>
  <si>
    <t>Steuerkraft</t>
  </si>
  <si>
    <t>Steuerstatistiken Kanton Uri</t>
  </si>
  <si>
    <t>https://www.ur.ch/finanzen/1588</t>
  </si>
  <si>
    <t>Steuerbasis als Kontext zur Finanzkraft</t>
  </si>
  <si>
    <t>Steuerbares Einkommen und Vermögen</t>
  </si>
  <si>
    <t>Lias-Daten übernehmen, nicht neu erheben</t>
  </si>
  <si>
    <t>A1/A2</t>
  </si>
  <si>
    <t>DYN-Finanzkontext</t>
  </si>
  <si>
    <t>Schlüsselwörter 1/1 gefunden (Steuerstatistik); Ort/Zuständigkeit: Uri</t>
  </si>
  <si>
    <t>Kanton Uri - Steuerstatistiken | Kontakt</t>
  </si>
  <si>
    <t>2009, 2010, 2011, 2012, 2013, 2014</t>
  </si>
  <si>
    <t>UR-C1-03</t>
  </si>
  <si>
    <t>Finanzkennzahlen Gemeinden</t>
  </si>
  <si>
    <t>Kennzahlen Einwohnergemeinden Uri 2025 (Finanzkontrolle)</t>
  </si>
  <si>
    <t>Statistik / Bericht</t>
  </si>
  <si>
    <t>Kanton Uri, Finanzkontrolle</t>
  </si>
  <si>
    <t>https://www.ur.ch/_doc/451636</t>
  </si>
  <si>
    <t>Rechnungsjahr 2025 (publ. 2026)</t>
  </si>
  <si>
    <t>Kennzahlen je Urner Gemeinde inkl. Seelisberg (Selbstfinanzierung, Kapitaldienst)</t>
  </si>
  <si>
    <t>Selbstfinanzierungsanteil, Kapitaldienstanteil, Steuern/Kopf</t>
  </si>
  <si>
    <t>Finanztragfähigkeit Seelisberg im Kantonsvergleich</t>
  </si>
  <si>
    <t>Weiterleitung</t>
  </si>
  <si>
    <t>https://www.ur.ch/_docn/451636/Gemeindekennzahlen_2025_signiert.pdf</t>
  </si>
  <si>
    <t>PDF</t>
  </si>
  <si>
    <t>Schlüsselwörter 2/2 gefunden (Kennzahlen, Seelisberg); Ort/Zuständigkeit: Uri</t>
  </si>
  <si>
    <t>Microsoft Word - Brief Versand Kennzahlen.docx</t>
  </si>
  <si>
    <t>2025, 2026, 2013, 2019, 2024</t>
  </si>
  <si>
    <t>UR-C1-04</t>
  </si>
  <si>
    <t>Kennzahlen Einwohnergemeinden Uri 2024 (Finanzkontrolle)</t>
  </si>
  <si>
    <t>https://www.ur.ch/_doc/420775</t>
  </si>
  <si>
    <t>Rechnungsjahr 2024</t>
  </si>
  <si>
    <t>Vorjahreswerte für Zeitreihe</t>
  </si>
  <si>
    <t>wie UR-C1-03</t>
  </si>
  <si>
    <t>https://www.ur.ch/_docn/420775/Gemeindekennzahlen_2024_signiert.pdf</t>
  </si>
  <si>
    <t>Gemeindekennzahlen 2024_final.xlsx</t>
  </si>
  <si>
    <t>2024, 2025, 2013, 2018</t>
  </si>
  <si>
    <t>UR-C1-05</t>
  </si>
  <si>
    <t>Rechnungslegung Gemeinden</t>
  </si>
  <si>
    <t>Reglement über das Rechnungswesen der Einwohnergemeinden (RRE), RB 3.2115</t>
  </si>
  <si>
    <t>Kantonales Reglement</t>
  </si>
  <si>
    <t>Kantonales Recht (verbindlich)</t>
  </si>
  <si>
    <t>Regierungsrat Uri</t>
  </si>
  <si>
    <t>https://rechtsbuch.ur.ch/api/de/versions/776/pdf_file</t>
  </si>
  <si>
    <t>Version 776 (Stand prüfen)</t>
  </si>
  <si>
    <t>Rechtsgrundlage HRM2 und kantonale Finanzaufsicht über Gemeinden (Uri kennt kein separates FHGG)</t>
  </si>
  <si>
    <t>https://www.ur.ch/dienstleistungen/3150</t>
  </si>
  <si>
    <t>Schlüsselwörter 2/2 gefunden (Rechnungswesen, Einwohnergemeinden)</t>
  </si>
  <si>
    <t>3.2115 - Reglement über das Rechnungswesen der Einwohnergemeinden</t>
  </si>
  <si>
    <t>2010, 2021, 2009, 2008</t>
  </si>
  <si>
    <t>Hoch (Erlassnummer)</t>
  </si>
  <si>
    <t>Versions-PDF: prüfen, ob dies die geltende Fassung ist.</t>
  </si>
  <si>
    <t>UR-C1-06</t>
  </si>
  <si>
    <t>Finanzausgleich</t>
  </si>
  <si>
    <t>Gesetz über den Finanz- und Lastenausgleich zwischen dem Kanton und den Gemeinden (FiLaG), RB 3.2131</t>
  </si>
  <si>
    <t>Kantonales Gesetz</t>
  </si>
  <si>
    <t>https://rechtsbuch.ur.ch/app/de/texts_of_law/3.2131</t>
  </si>
  <si>
    <t>geltende Fassung</t>
  </si>
  <si>
    <t>Art. 22: Sonderbeitrag an Seelisberg (Abgeschiedenheit); Ressourcen- und Lastenausgleich</t>
  </si>
  <si>
    <t>Ausgleichszahlungen</t>
  </si>
  <si>
    <t>URL nach dokumentiertem Schema der amtlichen Rechtssammlung gebildet; Identität per Runner geprüft</t>
  </si>
  <si>
    <t>Titel via LexWork-API (https://rechtsbuch.ur.ch/api/de/texts_of_law/3.2131); Schlüsselwörter 1/1 gefunden (Lastenausgleich)</t>
  </si>
  <si>
    <t>Gesetz über den Finanz- und Lastenausgleich zwischen dem Kanton und den Gemeinden</t>
  </si>
  <si>
    <t>2007, 2026, 2025, 2008</t>
  </si>
  <si>
    <t>UR-C1-07</t>
  </si>
  <si>
    <t>Finanz- und Lastenausgleich (FiLa) 2025 – Berechnung je Gemeinde</t>
  </si>
  <si>
    <t>Berechnungstabelle</t>
  </si>
  <si>
    <t>Kanton Uri, Finanzdirektion</t>
  </si>
  <si>
    <t>https://www.ur.ch/_docn/426685/Berechnung_FiLa_2025.pdf</t>
  </si>
  <si>
    <t>2025</t>
  </si>
  <si>
    <t>Höhe der Ausgleichszahlungen an Seelisberg</t>
  </si>
  <si>
    <t>Ressourcenausgleich, Lastenausgleich CHF</t>
  </si>
  <si>
    <t>Schlüsselwörter 2/2 gefunden (2025, Seelisberg); Ort/Zuständigkeit: Uri</t>
  </si>
  <si>
    <t>FINANZDIREKTION Beilage 2</t>
  </si>
  <si>
    <t>2025, 2024, 2023, 2021, 2015, 2008</t>
  </si>
  <si>
    <t>UR-C2-01</t>
  </si>
  <si>
    <t>Geodaten / Eigentum</t>
  </si>
  <si>
    <t>Geoportal Uri: Liegenschaften und Nutzungsplanung</t>
  </si>
  <si>
    <t>Geodatenportal</t>
  </si>
  <si>
    <t>https://geo.ur.ch/</t>
  </si>
  <si>
    <t>Räumliche Parzellenstruktur; kein Nachweis kommunalen Eigentums</t>
  </si>
  <si>
    <t>Parzellen, ÖBA-Zonen</t>
  </si>
  <si>
    <t>Luucy übernehmen, Eigentum separat belegen</t>
  </si>
  <si>
    <t>Kein Peer</t>
  </si>
  <si>
    <t>Bodenpotenzial</t>
  </si>
  <si>
    <t>Schlüsselwörter 1/1 gefunden (Geo); Ort/Zuständigkeit: geo.ur</t>
  </si>
  <si>
    <t>geo.ur</t>
  </si>
  <si>
    <t>Mittel (Startseite, kein Dokument)</t>
  </si>
  <si>
    <t>Kartenportal (JavaScript); Inhaltsprüfung nur eingeschränkt möglich. Kein Eigentumsnachweis.</t>
  </si>
  <si>
    <t>UR-C2-02</t>
  </si>
  <si>
    <t>Planungs- und Baugesetz (PBG) des Kantons Uri, RB 40.1111</t>
  </si>
  <si>
    <t>https://rechtsbuch.ur.ch/app/de/texts_of_law/40.1111</t>
  </si>
  <si>
    <t>Bauverpflichtung/Baulandmobilisierung, Mehrwertausgleich</t>
  </si>
  <si>
    <t>Titel via LexWork-API (https://rechtsbuch.ur.ch/api/de/texts_of_law/40.1111); Schlüsselwörter 1/1 gefunden (Planungs)</t>
  </si>
  <si>
    <t>Planungs- und Baugesetz</t>
  </si>
  <si>
    <t>2010, 2022, 2012, 2021</t>
  </si>
  <si>
    <t>UR-C2-03</t>
  </si>
  <si>
    <t>Bauland</t>
  </si>
  <si>
    <t>Kanton Uri: Baulanddatenbank (unbebaute Bauzonen, Raum+)</t>
  </si>
  <si>
    <t>Datenbank / Webseite</t>
  </si>
  <si>
    <t>Information</t>
  </si>
  <si>
    <t>Kanton Uri, Amt für Raumentwicklung</t>
  </si>
  <si>
    <t>https://www.ur.ch/dienstleistungen/4297</t>
  </si>
  <si>
    <t>Unüberbaute Bauzonenreserven; kein Nachweis kommunalen Eigentums</t>
  </si>
  <si>
    <t>Schlüsselwörter 1/1 gefunden (Bauland); Ort/Zuständigkeit: Uri</t>
  </si>
  <si>
    <t>Kanton Uri - Baulanddatenbank | Kontakt</t>
  </si>
  <si>
    <t>2030, 2023, 2025, 2027, 2026</t>
  </si>
  <si>
    <t>UR-C3-01</t>
  </si>
  <si>
    <t>Gemeinderecht</t>
  </si>
  <si>
    <t>Gemeindegesetz (GEG) des Kantons Uri, RB 1.1111</t>
  </si>
  <si>
    <t>Kantonales Gesetz (verbindlich)</t>
  </si>
  <si>
    <t>https://rechtsbuch.ur.ch/app/de/texts_of_law/1.1111</t>
  </si>
  <si>
    <t>vom 21.5.2017; geltende Fassung</t>
  </si>
  <si>
    <t>Gemeinderechtliche Grundlagen und Zuständigkeiten recherchieren</t>
  </si>
  <si>
    <t>Zuständigkeiten / Kooperation</t>
  </si>
  <si>
    <t>Konkrete Erlasse und geltende Fassung identifizieren</t>
  </si>
  <si>
    <t>Qualitativ</t>
  </si>
  <si>
    <t>Q6; C5</t>
  </si>
  <si>
    <t>Governance</t>
  </si>
  <si>
    <t>Titel via LexWork-API (https://rechtsbuch.ur.ch/api/de/texts_of_law/1.1111); Schlüsselwörter 1/1 gefunden (Gemeindegesetz)</t>
  </si>
  <si>
    <t>Gemeindegesetz</t>
  </si>
  <si>
    <t>2017, 2026, 2025</t>
  </si>
  <si>
    <t>2026-10-14: Link ersetzt (vorher https://rechtsbuch.ur.ch/). Grund: Startseite der Rechtssammlung durch direkten Erlass ersetzt (Gemeindegesetz, RB 1.1111).</t>
  </si>
  <si>
    <t>UR-C3-02</t>
  </si>
  <si>
    <t>Kantonsverfassung</t>
  </si>
  <si>
    <t>Verfassung des Kantons Uri, RB 1.1101</t>
  </si>
  <si>
    <t>https://rechtsbuch.ur.ch/app/de/texts_of_law/1.1101</t>
  </si>
  <si>
    <t>vom 28.10.1984; geltende Fassung</t>
  </si>
  <si>
    <t>Gemeindeautonomie; Art. 58 Finanzplanung der Gemeinden; Art. 110 Rechtsetzung Gemeinden</t>
  </si>
  <si>
    <t>C1, C5</t>
  </si>
  <si>
    <t>Titel via LexWork-API (https://rechtsbuch.ur.ch/api/de/texts_of_law/1.1101); Schlüsselwörter 1/1 gefunden (Verfassung)</t>
  </si>
  <si>
    <t>Verfassung des Kantons Uri</t>
  </si>
  <si>
    <t>2023, 2018</t>
  </si>
  <si>
    <t>UR-C4-01</t>
  </si>
  <si>
    <t>Verwaltung</t>
  </si>
  <si>
    <t>Kanton Uri: Submissionsrecht (IVöB 2019, in Kraft seit 1.6.2023)</t>
  </si>
  <si>
    <t>Behördeninformation</t>
  </si>
  <si>
    <t>Information zu verbindlichem Recht</t>
  </si>
  <si>
    <t>https://www.ur.ch/dienstleistungen/8444</t>
  </si>
  <si>
    <t>Rahmenbedingungen und interkommunale Aufgaben</t>
  </si>
  <si>
    <t>Verwaltungsaufgaben / Organisation</t>
  </si>
  <si>
    <t>Gemeindespezifische Unterlagen ergänzen</t>
  </si>
  <si>
    <t>C3; Q6</t>
  </si>
  <si>
    <t>Verwaltungskapazität</t>
  </si>
  <si>
    <t>Schlüsselwörter 1/1 gefunden (Submission); Ort/Zuständigkeit: Uri</t>
  </si>
  <si>
    <t>Kanton Uri - Submissionsrecht | Kontakt</t>
  </si>
  <si>
    <t>2023, 2030, 2025, 2027, 2026</t>
  </si>
  <si>
    <t>2026-10-14: Link ersetzt (vorher https://www.ur.ch/). Grund: Allgemeine Startseite ur.ch durch themenspezifische Seite zum Beschaffungsrecht ersetzt.</t>
  </si>
  <si>
    <t>UR-C4-02</t>
  </si>
  <si>
    <t>Beschaffung</t>
  </si>
  <si>
    <t>Interkantonale Vereinbarung über das öffentliche Beschaffungswesen (IVöB 2019), RB 3.3111</t>
  </si>
  <si>
    <t>Interkantonales Recht</t>
  </si>
  <si>
    <t>Interkantonales Recht (verbindlich)</t>
  </si>
  <si>
    <t>https://rechtsbuch.ur.ch/app/de/texts_of_law/3.3111</t>
  </si>
  <si>
    <t>Beschaffungsrecht für Gemeinden (Schwellenwerte, Verfahren)</t>
  </si>
  <si>
    <t>Titel via LexWork-API (https://rechtsbuch.ur.ch/api/de/texts_of_law/3.3111); Schlüsselwörter 1/1 gefunden (Beschaffungswesen)</t>
  </si>
  <si>
    <t>Interkantonale Vereinbarung über das öffentliche Beschaffungswesen</t>
  </si>
  <si>
    <t>2023, 2019</t>
  </si>
  <si>
    <t>UR-C5-01</t>
  </si>
  <si>
    <t>Gesetz über die geheimen Wahlen, Abstimmungen und die Volksrechte (WAVG), RB 2.1201</t>
  </si>
  <si>
    <t>https://rechtsbuch.ur.ch/app/de/texts_of_law/2.1201</t>
  </si>
  <si>
    <t>geltende Fassung; Revision hängig (Synopse 2026)</t>
  </si>
  <si>
    <t>Rechtsrahmen für kommunale Entscheidungen</t>
  </si>
  <si>
    <t>Referendum / Zuständigkeiten</t>
  </si>
  <si>
    <t>Gemeindeordnung konkret prüfen</t>
  </si>
  <si>
    <t>C3; Q1</t>
  </si>
  <si>
    <t>Politische Tragfähigkeit</t>
  </si>
  <si>
    <t>Titel via LexWork-API (https://rechtsbuch.ur.ch/api/de/texts_of_law/2.1201); Schlüsselwörter 1/1 gefunden (Wahlen)</t>
  </si>
  <si>
    <t>Gesetz über die geheimen Wahlen, Abstimmungen und die Volksrechte</t>
  </si>
  <si>
    <t>2010, 2009</t>
  </si>
  <si>
    <t>2026-10-14: Link ersetzt (vorher https://rechtsbuch.ur.ch/). Grund: Startseite der Rechtssammlung durch direkten Erlass ersetzt (WAVG, RB 2.1201).</t>
  </si>
  <si>
    <t>BL-C1-01</t>
  </si>
  <si>
    <t>Basel-Landschaft</t>
  </si>
  <si>
    <t>Gemeindefinanzen</t>
  </si>
  <si>
    <t>Statistik Basel-Landschaft: Gemeindefinanzen / Finanzausgleich</t>
  </si>
  <si>
    <t>Kanton Basel-Landschaft</t>
  </si>
  <si>
    <t>https://statistik.bl.ch/web_portal/18_5</t>
  </si>
  <si>
    <t>Finanz- und Finanzausgleichsdaten nach Gemeinde</t>
  </si>
  <si>
    <t>Finanzausgleich, Finanzkennzahlen</t>
  </si>
  <si>
    <t>Münchenstein herausfiltern</t>
  </si>
  <si>
    <t>Schlüsselwörter 1/1 gefunden (Gemeindefinanzen); Ort/Zuständigkeit: Basel-Landschaft, Baselland</t>
  </si>
  <si>
    <t>Statistik Baselland</t>
  </si>
  <si>
    <t>2026, 2025, 2024, 2023, 2022, 2021</t>
  </si>
  <si>
    <t>BL-C1-02</t>
  </si>
  <si>
    <t>Gemeindefinanzen BL: Rechnungslegung und Excel-Vorlagen</t>
  </si>
  <si>
    <t>Arbeitshilfe</t>
  </si>
  <si>
    <t>https://www.baselland.ch/politik-und-behorden/gemeinden/gemeindefinanzen/rechnungslegung-einwohnergemeinden/excel-vorlagen</t>
  </si>
  <si>
    <t>HRM2-Struktur, Bilanz und Investitionsrechnung</t>
  </si>
  <si>
    <t>Investitionen / Bilanz</t>
  </si>
  <si>
    <t>Jahresrechnung nach einheitlichem Raster auswerten</t>
  </si>
  <si>
    <t>Vergleichbarkeit</t>
  </si>
  <si>
    <t>Nicht prüfbar</t>
  </si>
  <si>
    <t>403</t>
  </si>
  <si>
    <t>Offen</t>
  </si>
  <si>
    <t>Zugriff verweigert/gedrosselt (HTTP 403); keine Umgehung versucht</t>
  </si>
  <si>
    <t>Nicht zugänglich / nicht prüfbar</t>
  </si>
  <si>
    <t>Automatisch nicht prüfbar – manuell im Browser prüfen</t>
  </si>
  <si>
    <t>BL-C1-03</t>
  </si>
  <si>
    <t>Kanton BL: Gemeindefinanzen (Rechtsgrundlagen, Finanzausgleich, Rechnungslegung)</t>
  </si>
  <si>
    <t>Kanton Basel-Landschaft, Finanz- und Kirchendirektion</t>
  </si>
  <si>
    <t>https://www.baselland.ch/politik-und-behorden/gemeinden/gemeindefinanzen</t>
  </si>
  <si>
    <t>Einstieg zu Finanzhandbuch, Rechtsgrundlagen und Finanzausgleich</t>
  </si>
  <si>
    <t>BL-C1-05</t>
  </si>
  <si>
    <t>Finanzstatistik Gemeinden</t>
  </si>
  <si>
    <t>Statistisches Amt BL: Webartikel Gemeindefinanzen 2023 (18.9.2024)</t>
  </si>
  <si>
    <t>Statistischer Bericht</t>
  </si>
  <si>
    <t>Statistisches Amt Basel-Landschaft</t>
  </si>
  <si>
    <t>https://www.baselland.ch/politik-und-behorden/direktionen/finanz-und-kirchendirektion/daten-statistik/abteilung-statistik/publikationen-und-statistiken/finanzen-und-steuern/webartikel-vom-18-09-2024-gemeindefinanzen-2023</t>
  </si>
  <si>
    <t>2023</t>
  </si>
  <si>
    <t>Kantonaler Überblick Ergebnis/Eigenkapital der Gemeinden</t>
  </si>
  <si>
    <t>BL-C1-06</t>
  </si>
  <si>
    <t>Finanzausgleichsgesetz (FAG) Basel-Landschaft, SGS 185</t>
  </si>
  <si>
    <t>https://bl.clex.ch/app/de/texts_of_law/185</t>
  </si>
  <si>
    <t>Ressourcen- und Lastenausgleich; Münchenstein als Geber/Nehmer prüfen</t>
  </si>
  <si>
    <t>Titel via LexWork-API (https://bl.clex.ch/api/de/texts_of_law/185); Schlüsselwörter 1/1 gefunden (Finanzausgleich)</t>
  </si>
  <si>
    <t>Finanzausgleichsgesetz</t>
  </si>
  <si>
    <t>2023, 2009, 2010, 2024, 2025, 2026</t>
  </si>
  <si>
    <t>BL-C2-01</t>
  </si>
  <si>
    <t>Geodaten</t>
  </si>
  <si>
    <t>Geoportal Basel-Landschaft</t>
  </si>
  <si>
    <t>https://geoview.bl.ch/</t>
  </si>
  <si>
    <t>Parzellen- und Zoneninformationen; Eigentum gesondert nachweisen</t>
  </si>
  <si>
    <t>ÖBA, Parzellenstruktur</t>
  </si>
  <si>
    <t>Luucy übernehmen; Eigentümerdaten abgleichen</t>
  </si>
  <si>
    <t>Bodenverfügbarkeit</t>
  </si>
  <si>
    <t>Schlüsselwörter 1/1 gefunden (GeoView); Ort/Zuständigkeit: BL, geoview</t>
  </si>
  <si>
    <t>GeoView BL</t>
  </si>
  <si>
    <t>2011, 2001</t>
  </si>
  <si>
    <t>Kartenportal (JavaScript); kein Eigentumsnachweis.</t>
  </si>
  <si>
    <t>BL-C2-02</t>
  </si>
  <si>
    <t>Raumplanungs- und Baugesetz (RBG) Basel-Landschaft, SGS 400</t>
  </si>
  <si>
    <t>https://bl.clex.ch/app/de/texts_of_law/400</t>
  </si>
  <si>
    <t>vom 8.1.1998; geltende Fassung</t>
  </si>
  <si>
    <t>Mehrwertabgabe, Quartierplanung, Mitwirkung § 7 RBG</t>
  </si>
  <si>
    <t>Titel via LexWork-API (https://bl.clex.ch/api/de/texts_of_law/400); Schlüsselwörter 1/1 gefunden (Raumplanungs)</t>
  </si>
  <si>
    <t>Raumplanungs- und Baugesetz</t>
  </si>
  <si>
    <t>2024, 2023</t>
  </si>
  <si>
    <t>BL-C3-01</t>
  </si>
  <si>
    <t>Gemeindegesetz (GemG) Basel-Landschaft, SGS 180</t>
  </si>
  <si>
    <t>https://bl.clex.ch/app/de/texts_of_law/180</t>
  </si>
  <si>
    <t>vom 28.5.1970; geltende Fassung</t>
  </si>
  <si>
    <t>Gemeinderecht und Kooperationsinstrumente</t>
  </si>
  <si>
    <t>Gemeindeordnung / Kooperation</t>
  </si>
  <si>
    <t>Relevante Normen konkret auswählen</t>
  </si>
  <si>
    <t>C4; C5</t>
  </si>
  <si>
    <t>Trägerschaft</t>
  </si>
  <si>
    <t>Titel via LexWork-API (https://bl.clex.ch/api/de/texts_of_law/180); Schlüsselwörter 1/1 gefunden (Gemeinden)</t>
  </si>
  <si>
    <t>Gesetz über die Organisation und die Verwaltung der Gemeinden</t>
  </si>
  <si>
    <t>2026, 2008, 2004, 2005, 2009</t>
  </si>
  <si>
    <t>2026-10-14: Link ersetzt (vorher https://bl.clex.ch/). Grund: Startseite der Gesetzessammlung durch direkten Erlass ersetzt (Gemeindegesetz SGS 180).</t>
  </si>
  <si>
    <t>BL-C3-02</t>
  </si>
  <si>
    <t>Regionale Kooperation</t>
  </si>
  <si>
    <t>Medienmitteilung Kanton BL: Birsstadt erhält den Wakkerpreis (Verein Birsstadt, Raumkonzept Birsstadt 2035)</t>
  </si>
  <si>
    <t>Medienmitteilung</t>
  </si>
  <si>
    <t>Kanton Basel-Landschaft, Bau- und Umweltschutzdirektion</t>
  </si>
  <si>
    <t>https://www.baselland.ch/politik-und-behorden/direktionen/bau-und-umweltschutzdirektion/medienmitteilungen/ausgezeichnete-agglomeration-birsstadt-erhaelt-den-wakkerpreis</t>
  </si>
  <si>
    <t>Belegt interkommunale Kooperation Birsstadt (10 Gemeinden inkl. Münchenstein)</t>
  </si>
  <si>
    <t>BL-C4-01</t>
  </si>
  <si>
    <t>Kanton Basel-Landschaft: Gemeindefachstellen</t>
  </si>
  <si>
    <t>Behördenportal</t>
  </si>
  <si>
    <t>https://www.baselland.ch/politik-und-behorden/gemeinden</t>
  </si>
  <si>
    <t>Fachliche Rahmenbedingungen für Gemeindeverwaltung</t>
  </si>
  <si>
    <t>Organisation / Kompetenzen</t>
  </si>
  <si>
    <t>Kommunale Organisationsdokumente ergänzen</t>
  </si>
  <si>
    <t>Q6</t>
  </si>
  <si>
    <t>Bestellerkompetenz</t>
  </si>
  <si>
    <t>BL-C4-02</t>
  </si>
  <si>
    <t>Verordnung zum Einführungsgesetz zur IVöB (Vo EG IVöB) Basel-Landschaft, SGS 420.11</t>
  </si>
  <si>
    <t>Kantonale Verordnung</t>
  </si>
  <si>
    <t>https://bl.clex.ch/app/de/texts_of_law/420.11</t>
  </si>
  <si>
    <t>Beschaffungsrecht für Gemeinden ab 1.1.2024</t>
  </si>
  <si>
    <t>Titel via LexWork-API (https://bl.clex.ch/api/de/texts_of_law/420.11); Schlüsselwörter 1/1 gefunden (Beschaffung)</t>
  </si>
  <si>
    <t>Verordnung zum Einführungsgesetz zur Interkantonalen Vereinbarung über das öffentliche Beschaffungswesen</t>
  </si>
  <si>
    <t>2026, 2023, 2024, 2022</t>
  </si>
  <si>
    <t>BL-C5-01</t>
  </si>
  <si>
    <t>Mitwirkung</t>
  </si>
  <si>
    <t>Gesetz über die politischen Rechte (GpR) Basel-Landschaft, SGS 120</t>
  </si>
  <si>
    <t>https://bl.clex.ch/app/de/texts_of_law/120</t>
  </si>
  <si>
    <t>vom 7.9.1981; geltende Fassung</t>
  </si>
  <si>
    <t>Rechtsrahmen von Gemeindeversammlung und Mitwirkung</t>
  </si>
  <si>
    <t>Entscheidungswege</t>
  </si>
  <si>
    <t>Gemeindeordnung und Beschlüsse prüfen</t>
  </si>
  <si>
    <t>Titel via LexWork-API (https://bl.clex.ch/api/de/texts_of_law/120); Schlüsselwörter 1/1 gefunden (politischen Rechte)</t>
  </si>
  <si>
    <t>Gesetz über die politischen Rechte</t>
  </si>
  <si>
    <t>2025, 2024, 2014, 2006</t>
  </si>
  <si>
    <t>2026-10-14: Link ersetzt (vorher https://bl.clex.ch/). Grund: Startseite der Gesetzessammlung durch direkten Erlass ersetzt (GpR SGS 120).</t>
  </si>
  <si>
    <t>SG-C1-01</t>
  </si>
  <si>
    <t>St. Gallen</t>
  </si>
  <si>
    <t>Kanton St. Gallen, Amt für Gemeinden: Rechnungslegung (RMSG) / Gemeindefinanzen</t>
  </si>
  <si>
    <t>Kanton St. Gallen, Amt für Gemeinden</t>
  </si>
  <si>
    <t>https://www.sg.ch/politik-verwaltung/gemeinden/gemeindefinanzen/rechnungslegung--rmsg-.html</t>
  </si>
  <si>
    <t>Finanzdaten als kantonaler Einstieg</t>
  </si>
  <si>
    <t>Selbstfinanzierung, Verschuldung</t>
  </si>
  <si>
    <t>SG- und Wil-Werte mit kantonaler Rechnungslegung abgleichen</t>
  </si>
  <si>
    <t>Schlüsselwörter 1/1 gefunden (Rechnungslegung); Ort/Zuständigkeit: St. Gallen, St.Gallen</t>
  </si>
  <si>
    <t>Rechnungslegung (RMSG) | sg.ch | Rechnungslegung (RMSG)</t>
  </si>
  <si>
    <t>2017, 2021, 2026, 2022, 2020, 2025</t>
  </si>
  <si>
    <t>2026-10-14: Link ersetzt (vorher https://www.efv.admin.ch/de/finanzstatistik-daten). Grund: Herausgeber «Kanton St. Gallen» passte nicht zum EFV-Bundeslink (Dublette zu CH-C1-01); durch kantonale Fundstelle ersetzt.</t>
  </si>
  <si>
    <t>SG-C1-02</t>
  </si>
  <si>
    <t>Finanzausgleichsgesetz St. Gallen, sGS 813.1</t>
  </si>
  <si>
    <t>Kanton St. Gallen</t>
  </si>
  <si>
    <t>https://www.gesetzessammlung.sg.ch/app/de/texts_of_law/813.1</t>
  </si>
  <si>
    <t>Titel via LexWork-API (https://www.gesetzessammlung.sg.ch/api/de/texts_of_law/813.1); Schlüsselwörter 1/1 gefunden (Finanzausgleich)</t>
  </si>
  <si>
    <t>2021, 2007, 2008, 2006, 2001</t>
  </si>
  <si>
    <t>2026-10-14 14:05</t>
  </si>
  <si>
    <t>SG-C1-03</t>
  </si>
  <si>
    <t>Verordnung über den Finanzhaushalt der Gemeinden (FHGV) St. Gallen, sGS 151.53</t>
  </si>
  <si>
    <t>https://www.gesetzessammlung.sg.ch/app/de/texts_of_law/151.53</t>
  </si>
  <si>
    <t>Titel via LexWork-API (https://www.gesetzessammlung.sg.ch/api/de/texts_of_law/151.53); Schlüsselwörter 1/1 gefunden (Finanzhaushalt)</t>
  </si>
  <si>
    <t>Verordnung über den Finanzhaushalt der Gemeinden</t>
  </si>
  <si>
    <t>2019, 2017, 2009</t>
  </si>
  <si>
    <t>SG-C2-01</t>
  </si>
  <si>
    <t>Geoportal Kanton St. Gallen / geoportal.ch</t>
  </si>
  <si>
    <t>https://www.geoportal.ch/</t>
  </si>
  <si>
    <t>Parzellen und Nutzungsplanung; Eigentum gesondert nachweisen</t>
  </si>
  <si>
    <t>Parzellen / ÖBA</t>
  </si>
  <si>
    <t>Luucy-Layer verwenden</t>
  </si>
  <si>
    <t>Schlüsselwörter 1/1 gefunden (geoportal)</t>
  </si>
  <si>
    <t>Geoportal</t>
  </si>
  <si>
    <t>SG-C2-02</t>
  </si>
  <si>
    <t>Arealentwicklung</t>
  </si>
  <si>
    <t>WILWEST: Grundstücksgeschäft Kanton St. Gallen (Verkauf an Kanton Thurgau) – Kantonsratsvorlage</t>
  </si>
  <si>
    <t>Botschaft / Beschluss</t>
  </si>
  <si>
    <t>Beschluss (Volksabstimmung 2026)</t>
  </si>
  <si>
    <t>https://www.ratsinfo.sg.ch//media/documents/published/signed/8b158b37-2fff-4d5d-b018-ef035f08732e.pdf</t>
  </si>
  <si>
    <t>Kantonales Grundeigentum im Entwicklungsgebiet WILWEST (nicht städtisches Eigentum)</t>
  </si>
  <si>
    <t>B</t>
  </si>
  <si>
    <t>Schlüsselwörter 1/1 gefunden (WILWEST); Ort/Zuständigkeit: Wil</t>
  </si>
  <si>
    <t>Kantonsrat St.Gallen 51.26.15</t>
  </si>
  <si>
    <t>2026, 2022, 2023, 2025, 2011, 2021</t>
  </si>
  <si>
    <t>SG-C2-03</t>
  </si>
  <si>
    <t>Planungs- und Baugesetz (PBG) St. Gallen, sGS 731.1</t>
  </si>
  <si>
    <t>https://www.gesetzessammlung.sg.ch/app/de/texts_of_law/731.1</t>
  </si>
  <si>
    <t>Ortsplanungsrevision bis 2027, Bauverpflichtung, Mehrwertabgabe</t>
  </si>
  <si>
    <t>Titel via LexWork-API (https://www.gesetzessammlung.sg.ch/api/de/texts_of_law/731.1); Schlüsselwörter 1/1 gefunden (Planungs)</t>
  </si>
  <si>
    <t>2026, 2016, 2017, 2027, 2015</t>
  </si>
  <si>
    <t>SG-C3-01</t>
  </si>
  <si>
    <t>Gemeindegesetz (GG) St. Gallen, sGS 151.2</t>
  </si>
  <si>
    <t>https://www.gesetzessammlung.sg.ch/app/de/texts_of_law/151.2</t>
  </si>
  <si>
    <t>vom 21.4.2009; geltende Fassung</t>
  </si>
  <si>
    <t>Gemeinderecht und öffentlich-rechtliche Kooperation</t>
  </si>
  <si>
    <t>Zuständigkeiten / Trägerschaften</t>
  </si>
  <si>
    <t>Geltende Erlasse ermitteln</t>
  </si>
  <si>
    <t>C5; Q6</t>
  </si>
  <si>
    <t>Titel via LexWork-API (https://www.gesetzessammlung.sg.ch/api/de/texts_of_law/151.2); Schlüsselwörter 1/1 gefunden (Gemeindegesetz)</t>
  </si>
  <si>
    <t>2009, 2026, 2010, 2025, 2018, 2008</t>
  </si>
  <si>
    <t>2026-10-14: Link ersetzt (vorher https://www.gesetzessammlung.sg.ch/). Grund: Startseite der Gesetzessammlung durch direkten Erlass ersetzt (Gemeindegesetz sGS 151.2).</t>
  </si>
  <si>
    <t>SG-C4-01</t>
  </si>
  <si>
    <t>Kanton St. Gallen: offizielles Behördenportal</t>
  </si>
  <si>
    <t>https://www.sg.ch/</t>
  </si>
  <si>
    <t>Verwaltungs- und Gemeindeorganisation</t>
  </si>
  <si>
    <t>Aufgaben / Kompetenzen</t>
  </si>
  <si>
    <t>Wil-Organisation ergänzen</t>
  </si>
  <si>
    <t>Schlüsselwörter 1/1 gefunden (St.Gallen); Ort/Zuständigkeit: St. Gallen, St.Gallen</t>
  </si>
  <si>
    <t>Portal Kanton St.Gallen | sg.ch | Alles im Kanton St.Gallen finden</t>
  </si>
  <si>
    <t>2026, 2030, 2028</t>
  </si>
  <si>
    <t>SG-C4-02</t>
  </si>
  <si>
    <t>Einführungsgesetz zur IVöB St. Gallen, sGS 841.1</t>
  </si>
  <si>
    <t>https://www.gesetzessammlung.sg.ch/app/de/texts_of_law/841.1</t>
  </si>
  <si>
    <t>https://www.sg.ch/recht/beschaffungswesen/neues_beschaffungsrecht_2023/</t>
  </si>
  <si>
    <t>Titel via LexWork-API (https://www.gesetzessammlung.sg.ch/api/de/texts_of_law/841.1); Schlüsselwörter 1/1 gefunden (Beschaffung)</t>
  </si>
  <si>
    <t>Einführungsgesetz zur Interkantonalen Vereinbarung über das öffentliche Beschaffungswesen aus dem Jahr 2019</t>
  </si>
  <si>
    <t>2023, 2022, 2019, 2002, 2001</t>
  </si>
  <si>
    <t>SG-C5-01</t>
  </si>
  <si>
    <t>Gesetz über Referendum und Initiative (RIG) St. Gallen, sGS 125.1</t>
  </si>
  <si>
    <t>https://www.gesetzessammlung.sg.ch/app/de/texts_of_law/125.1</t>
  </si>
  <si>
    <t>Kommunale demokratische Verfahren</t>
  </si>
  <si>
    <t>Legitimation / Referenden</t>
  </si>
  <si>
    <t>Gemeindeordnung und Ratsgeschäfte auswerten</t>
  </si>
  <si>
    <t>Titel via LexWork-API (https://www.gesetzessammlung.sg.ch/api/de/texts_of_law/125.1); Schlüsselwörter 1/1 gefunden (Referendum)</t>
  </si>
  <si>
    <t>Gesetz über Referendum und Initiative</t>
  </si>
  <si>
    <t>2026, 2025, 2008</t>
  </si>
  <si>
    <t>2026-10-14: Link ersetzt (vorher https://www.gesetzessammlung.sg.ch/). Grund: Startseite der Gesetzessammlung durch direkten Erlass ersetzt (RIG sGS 125.1).</t>
  </si>
  <si>
    <t>SEE-C1-01</t>
  </si>
  <si>
    <t>Budget / Jahresrechnung</t>
  </si>
  <si>
    <t>Gemeindeversammlung Seelisberg: Budgets, Rechnungen und Protokolle</t>
  </si>
  <si>
    <t>Dokumentsammlung</t>
  </si>
  <si>
    <t>Gemeinde Seelisberg</t>
  </si>
  <si>
    <t>https://www.seelisberg.ch/politik/gemeindeversammlung</t>
  </si>
  <si>
    <t>Budget 2026 und Jahresrechnung 2024 über Versammlungsunterlagen</t>
  </si>
  <si>
    <t>Selbstfinanzierungsgrad, Nettoinvestitionen, Nettoschuld</t>
  </si>
  <si>
    <t>Dokumente herunterladen und Kennzahlen berechnen</t>
  </si>
  <si>
    <t>Kennzahlen und Befunde noch extrahieren</t>
  </si>
  <si>
    <t>https://www.seelisberg.ch/</t>
  </si>
  <si>
    <t>Schlüsselwörter 1/1 gefunden (Gemeindeversammlung); Ort/Zuständigkeit: Seelisberg</t>
  </si>
  <si>
    <t>Gemeinde Seelisberg | Einwohner-Service | Gemeindeversammlung</t>
  </si>
  <si>
    <t>2024, 2023, 2022, 2021, 2025, 2026</t>
  </si>
  <si>
    <t>Gemeindeverwaltung Seelisberg</t>
  </si>
  <si>
    <t>Direkte Dokumente: SEE-C1-02 bis SEE-C1-05.</t>
  </si>
  <si>
    <t>SEE-C5-01</t>
  </si>
  <si>
    <t>SEE-C1-02</t>
  </si>
  <si>
    <t>Budget / Finanzplan</t>
  </si>
  <si>
    <t>Einladung Gemeindeversammlung November 2025: Traktanden und Botschaften (Budget 2026, Finanzplan 2027–2032, Leitbild)</t>
  </si>
  <si>
    <t>Botschaft / Vorlage</t>
  </si>
  <si>
    <t>Beschlussvorlage</t>
  </si>
  <si>
    <t>https://www.seelisberg.ch/files/pdf/Druckvorlage2_Original_Versammlung-Nov2025_Traktanden-und-Botschaften-gesamt.pdf</t>
  </si>
  <si>
    <t>Budget 2026; Finanzplan 2027–2032</t>
  </si>
  <si>
    <t>Budget 2026, Nettoinvestitionen, Steuerfuss, Finanzplan; Grundlage C1</t>
  </si>
  <si>
    <t>Aufwand/Ertrag, Nettoinvestitionen, Steuerfuss</t>
  </si>
  <si>
    <t>Schlüsselwörter 2/2 gefunden (Budget, 2026); Ort/Zuständigkeit: Seelisberg</t>
  </si>
  <si>
    <t>E I N L A D U N G Z U R  G E M E I N D E V E R S A M M L U N G</t>
  </si>
  <si>
    <t>2026, 2025, 2024, 2027, 2032, 2020</t>
  </si>
  <si>
    <t>Belegt Existenz und Zugänglichkeit der Quelle; inhaltliche Aussagen erst nach Auswertung. Fundstellen im Dokument (automatisch): Steuerfuss: S. 5; Finanzplan: S. 1, 5; Nettoinvestition: S. 4, 5.</t>
  </si>
  <si>
    <t>SEE-C1-03</t>
  </si>
  <si>
    <t>Jahresrechnung</t>
  </si>
  <si>
    <t>Jahresrechnung 2024 der Einwohnergemeinde Seelisberg</t>
  </si>
  <si>
    <t>Beschlossene Jahresrechnung (GV 28.5.2025)</t>
  </si>
  <si>
    <t>https://www.seelisberg.ch/files/pdf/JR2024_Gde-Seelisberg.pdf</t>
  </si>
  <si>
    <t>2024</t>
  </si>
  <si>
    <t>Erfolgsrechnung, Investitionsrechnung, Bilanz 2024</t>
  </si>
  <si>
    <t>https://www.seelisberg.ch/politik/budget-rechnung</t>
  </si>
  <si>
    <t>Schlüsselwörter 2/2 gefunden (Rechnung, 2024); Ort/Zuständigkeit: Seelisberg</t>
  </si>
  <si>
    <t>GEMEINDE    SEELISBERG</t>
  </si>
  <si>
    <t>2024, 2023, 2025, 2015</t>
  </si>
  <si>
    <t>2026-10-14 14:04</t>
  </si>
  <si>
    <t>Jahresrechnung 2025 (GV 29.5.2026) auf der Fundstelle nicht als PDF gefunden.</t>
  </si>
  <si>
    <t>SEE-C1-04</t>
  </si>
  <si>
    <t>Jahresrechnung 2023 der Einwohnergemeinde Seelisberg</t>
  </si>
  <si>
    <t>Beschlossene Jahresrechnung</t>
  </si>
  <si>
    <t>https://www.seelisberg.ch/files/pdf/Jahresrechnung_Gde-Seelisberg_2023.pdf</t>
  </si>
  <si>
    <t>Zeitreihe</t>
  </si>
  <si>
    <t>Schlüsselwörter 2/2 gefunden (Rechnung, 2023); Ort/Zuständigkeit: Seelisberg</t>
  </si>
  <si>
    <t>2023, 2022, 2024, 2015</t>
  </si>
  <si>
    <t>SEE-C1-05</t>
  </si>
  <si>
    <t>Budget</t>
  </si>
  <si>
    <t>Budget 2026 der Einwohnergemeinde Seelisberg (Erfolgsrechnung, Gesamtauflage)</t>
  </si>
  <si>
    <t>Beschlossenes Budget (GV 28.11.2025)</t>
  </si>
  <si>
    <t>https://www.seelisberg.ch/files/pdf/Budget-ER-2026_Gesamtauflage_ohne-Bemerkungen_%C3%B6ffentlich.pdf</t>
  </si>
  <si>
    <t>2026</t>
  </si>
  <si>
    <t>GEMEINDE  SEELISBERG</t>
  </si>
  <si>
    <t>2026, 2025, 2024</t>
  </si>
  <si>
    <t>SEE-C2-01</t>
  </si>
  <si>
    <t>Boden / Liegenschaften</t>
  </si>
  <si>
    <t>Teilrevision Nutzungsplanung und Quartiergestaltungsplanung «Sonnenberg» – Erläuterungsbericht nach Art. 47 RPV (öffentliche Auflage)</t>
  </si>
  <si>
    <t>Planungsbericht</t>
  </si>
  <si>
    <t>Planungsbericht (orientierend)</t>
  </si>
  <si>
    <t>https://www.seelisberg.ch/files/pdf/ERLUTE1.PDF</t>
  </si>
  <si>
    <t>Planungsgrundlage für das Entwicklungsgebiet Sonnenberg. Kein Nachweis kommunalen Grundeigentums oder eines Baurechts: «Baurecht», «775» und «Erwerb» kommen im Dokumenttext nicht vor (automatische Volltextsuche).</t>
  </si>
  <si>
    <t>Gemeindeeigentum, Baurechte, ÖBA</t>
  </si>
  <si>
    <t>Liegenschaftsverzeichnis bei Gemeinde anfragen</t>
  </si>
  <si>
    <t>Niedrig</t>
  </si>
  <si>
    <t>Konkrete kommunale Unterlagen / Datensatz nachfordern</t>
  </si>
  <si>
    <t>Bodenmobilisierung</t>
  </si>
  <si>
    <t>Schlüsselwörter 2/2 gefunden (Sonnenberg, Nutzungsplanung); Ort/Zuständigkeit: Seelisberg</t>
  </si>
  <si>
    <t>Teilrevision N UP und QGP  «Sonnenberg », Gemeinde Seelisberg</t>
  </si>
  <si>
    <t>2024, 2023, 2018</t>
  </si>
  <si>
    <t>Belegt das Planungsverfahren Sonnenberg (Teilrevision NUP/QGP); belegt kein kommunales Grundeigentum. Fundstellen im Dokument (automatisch): Baurecht: nicht gefunden; 775: nicht gefunden; Erwerb: nicht gefunden; Halter: S. 2, 6, 8, 28, 32, 75, 76, 79, 85; Grundeigentümer: S. 32, 48, 70.</t>
  </si>
  <si>
    <t>Ja</t>
  </si>
  <si>
    <t>Eine Suchmaschinen-Zusammenfassung nannte einen Erwerb von Parzelle 775 mit Baurecht – im Dokument nicht bestätigt, daher nicht übernommen. Der Begriff «Halter» kommt im Dokument mehrfach vor (Seiten siehe Prüfnachweis): Rolle der Halter AG klären und allfällige Interessenbindung bei der Auswertung offenlegen. Kein Liegenschaftsverzeichnis öffentlich.</t>
  </si>
  <si>
    <t>2026-10-14: Link ersetzt (vorher https://www.seelisberg.ch/). Grund: Startseite durch direktes Dokument zu Grundeigentum/Baurecht ersetzt.</t>
  </si>
  <si>
    <t>SEE-C2-02</t>
  </si>
  <si>
    <t>Bau- und Zonenordnung</t>
  </si>
  <si>
    <t>Bau- und Zonenordnung Seelisberg (BZO)</t>
  </si>
  <si>
    <t>Kommunales Reglement</t>
  </si>
  <si>
    <t>Kommunales Recht (verbindlich)</t>
  </si>
  <si>
    <t>https://www.seelisberg.ch/files/pdf/Bau-und-Zonenordnung-Seelisberg.pdf</t>
  </si>
  <si>
    <t>Zonen und Bauvorschriften; Q-Bezug; kein Eigentumsnachweis</t>
  </si>
  <si>
    <t>Schlüsselwörter 1/1 gefunden (Zonenordnung); Ort/Zuständigkeit: Seelisberg</t>
  </si>
  <si>
    <t>GEMEINDE SEELISBERG</t>
  </si>
  <si>
    <t>2023, 2025, 2014, 2015, 2010, 2005</t>
  </si>
  <si>
    <t>SEE-C2-03</t>
  </si>
  <si>
    <t>Siedlungsentwicklung</t>
  </si>
  <si>
    <t>Siedlungsleitbild Seelisberg (Genehmigungsexemplar, 5.10.2022)</t>
  </si>
  <si>
    <t>Leitbild / Bericht</t>
  </si>
  <si>
    <t>Behördenverbindliche Planung</t>
  </si>
  <si>
    <t>Gemeinderat Seelisberg</t>
  </si>
  <si>
    <t>https://www.seelisberg.ch/files/pdf/8_20221005_Bericht_Siedlungsleitbild_Genehmigungsexemplar.pdf</t>
  </si>
  <si>
    <t>2022</t>
  </si>
  <si>
    <t>Strategische Entwicklungsgebiete (Sonnenberg, Chilendorf); Bodenpolitik-Absichten</t>
  </si>
  <si>
    <t>Schlüsselwörter 1/1 gefunden (Siedlungsleitbild); Ort/Zuständigkeit: Seelisberg</t>
  </si>
  <si>
    <t>Seelisberg, Siedlungsleitbild</t>
  </si>
  <si>
    <t>2022, 2021, 2017, 2020, 2019, 2015</t>
  </si>
  <si>
    <t>SEE-C2-04</t>
  </si>
  <si>
    <t>Nutzungsplanung</t>
  </si>
  <si>
    <t>Seelisberg: Teilrevision Nutzungsplanung – Erläuterungsbericht (26.5.2023)</t>
  </si>
  <si>
    <t>https://www.seelisberg.ch/files/pdf/20230526_Erl%C3%A4uterungsbericht.pdf</t>
  </si>
  <si>
    <t>Planerische Flächenverfügbarkeit (≠ Eigentum)</t>
  </si>
  <si>
    <t>Schlüsselwörter 1/1 gefunden (Nutzungsplanung); Ort/Zuständigkeit: Seelisberg</t>
  </si>
  <si>
    <t>Seelisberg, Teilrevision Nutzungsplanung</t>
  </si>
  <si>
    <t>2021, 2022, 2017, 2023, 2019, 2014</t>
  </si>
  <si>
    <t>SEE-C3-01</t>
  </si>
  <si>
    <t>Gemeindeorganisation</t>
  </si>
  <si>
    <t>Seelisberg: Behörden und Kommissionen</t>
  </si>
  <si>
    <t>Behördenübersicht</t>
  </si>
  <si>
    <t>https://www.seelisberg.ch/politik/beh%C3%B6rden-kommissionen</t>
  </si>
  <si>
    <t>Behördenstruktur, Räte und Kommissionen</t>
  </si>
  <si>
    <t>Rollen, Zuständigkeiten, Kooperationen</t>
  </si>
  <si>
    <t>Akteurskarte und Entscheidungswege erstellen</t>
  </si>
  <si>
    <t>Schlüsselwörter 1/1 gefunden (Kommission); Ort/Zuständigkeit: Seelisberg</t>
  </si>
  <si>
    <t>Gemeinde Seelisberg | Einwohner-Service | Behörden und Kommissionen</t>
  </si>
  <si>
    <t>SEE-C4-01</t>
  </si>
  <si>
    <t>SEE-C3-02</t>
  </si>
  <si>
    <t>Gemeindeordnung</t>
  </si>
  <si>
    <t>Gemeindeordnung der Einwohnergemeinde Seelisberg</t>
  </si>
  <si>
    <t>https://www.seelisberg.ch/files/pdf/Gemeindeordnung.pdf</t>
  </si>
  <si>
    <t>Zuständigkeiten Gemeindeversammlung/Gemeinderat, Finanzkompetenzen, Zusammenarbeit</t>
  </si>
  <si>
    <t>https://www.seelisberg.ch/politik/rechtssammlung</t>
  </si>
  <si>
    <t>Schlüsselwörter 1/1 gefunden (Gemeindeordnung); Ort/Zuständigkeit: Seelisberg</t>
  </si>
  <si>
    <t>2018, 2009</t>
  </si>
  <si>
    <t>Belegt Existenz und Zugänglichkeit der Quelle; inhaltliche Aussagen erst nach Auswertung. Fundstellen im Dokument (automatisch): Zweckverband: nicht gefunden; Zusammenarbeit: nicht gefunden; Finanzbefugnis: nicht gefunden; Kredit: S. 9.</t>
  </si>
  <si>
    <t>Fassungsdatum im Dokument prüfen (zitiert als 27.11.2009).</t>
  </si>
  <si>
    <t>Erste Übersicht zur kommunalen Aufgabenorganisation</t>
  </si>
  <si>
    <t>Projektleitung, Personal, externe Mandate</t>
  </si>
  <si>
    <t>Personal- und Prozessangaben bei Gemeinde anfragen</t>
  </si>
  <si>
    <t>Verwaltungsfähigkeit</t>
  </si>
  <si>
    <t>SEE-C4-02</t>
  </si>
  <si>
    <t>Verwaltungsorganisation</t>
  </si>
  <si>
    <t>Gemeinde Seelisberg: Personal der Gemeindeverwaltung</t>
  </si>
  <si>
    <t>https://www.seelisberg.ch/personal</t>
  </si>
  <si>
    <t>Übersicht Verwaltungspersonal (Kapazitätsindikator, kein Kompetenznachweis)</t>
  </si>
  <si>
    <t>Schlüsselwörter 1/1 gefunden (Verwaltung); Ort/Zuständigkeit: Seelisberg</t>
  </si>
  <si>
    <t>Gemeinde Seelisberg | Einwohner-Service | Unsere Mitarbeitenden im Überblick</t>
  </si>
  <si>
    <t>SEE-C4-03</t>
  </si>
  <si>
    <t>Personal</t>
  </si>
  <si>
    <t>Verordnung über das Personal der Gemeinde Seelisberg</t>
  </si>
  <si>
    <t>Kommunale Verordnung</t>
  </si>
  <si>
    <t>https://www.seelisberg.ch/files/pdf/Verordnung_u%CC%88ber_das_Personal.pdf</t>
  </si>
  <si>
    <t>Anstellungsrahmen und Zuständigkeiten im Personalwesen (keine Aussage zu Kapazität)</t>
  </si>
  <si>
    <t>Schlüsselwörter 1/1 gefunden (Personal); Ort/Zuständigkeit: Seelisberg</t>
  </si>
  <si>
    <t>VERORDNUNG ÜBER DAS</t>
  </si>
  <si>
    <t>SEE-C4-04</t>
  </si>
  <si>
    <t>Behördenorganisation</t>
  </si>
  <si>
    <t>Verordnung über das Verfahren in den Behörden der Gemeinde Seelisberg</t>
  </si>
  <si>
    <t>https://www.seelisberg.ch/files/pdf/Verordnung_u%CC%88ber_das_Verfahren_in_den_Beho%CC%88rden.pdf</t>
  </si>
  <si>
    <t>Arbeitsweise und Beschlussfassung von Gemeinderat und Kommissionen</t>
  </si>
  <si>
    <t>Schlüsselwörter 2/2 gefunden (Verfahren, Behörde); Ort/Zuständigkeit: Seelisberg</t>
  </si>
  <si>
    <t>2018</t>
  </si>
  <si>
    <t>Politische Beschlüsse</t>
  </si>
  <si>
    <t>Seelisberg: Gemeindeversammlung und Beschlussprotokolle</t>
  </si>
  <si>
    <t>Protokollsammlung</t>
  </si>
  <si>
    <t>Politische Zuständigkeiten; dokumentierte Ausgabenkompetenzen</t>
  </si>
  <si>
    <t>Mitwirkung, Abstimmungen, Entscheidungsregeln</t>
  </si>
  <si>
    <t>Beschlüsse und Gemeindeordnung auswerten</t>
  </si>
  <si>
    <t>Legitimation</t>
  </si>
  <si>
    <t>SEE-C5-02</t>
  </si>
  <si>
    <t>Leitbild</t>
  </si>
  <si>
    <t>Gemeinde Seelisberg: Neues Leitbild der Gemeinde (2025)</t>
  </si>
  <si>
    <t>Leitbild / Mitteilung</t>
  </si>
  <si>
    <t>Politische Zielsetzung</t>
  </si>
  <si>
    <t>https://www.seelisberg.ch/news/neues-leitbild-der-gemeinde-seelisberg</t>
  </si>
  <si>
    <t>Mitwirkungsprozess (Workshop, Umfrage) und Themen; belegt keine Akzeptanz</t>
  </si>
  <si>
    <t>https://www.seelisberg.ch/ueber-seelisberg/leitbild</t>
  </si>
  <si>
    <t>Schlüsselwörter 1/1 gefunden (Leitbild); Ort/Zuständigkeit: Seelisberg</t>
  </si>
  <si>
    <t>Gemeinde Seelisberg | Einwohner-Service | Leitbild der Gemeinde Seelisberg</t>
  </si>
  <si>
    <t>2011, 2025</t>
  </si>
  <si>
    <t>SEE-C5-03</t>
  </si>
  <si>
    <t>Beschlussprotokoll</t>
  </si>
  <si>
    <t>Beschlussprotokoll Gemeindeversammlung Seelisberg vom 24.11.2023</t>
  </si>
  <si>
    <t>Protokoll</t>
  </si>
  <si>
    <t>Beschluss (verbindlich)</t>
  </si>
  <si>
    <t>https://www.seelisberg.ch/files/pdf/Beschlussprotokoll_GV_24.11.2023.pdf</t>
  </si>
  <si>
    <t>Dokumentierte Beschlüsse/Wahlen</t>
  </si>
  <si>
    <t>Schlüsselwörter 1/1 gefunden (Beschluss); Ort/Zuständigkeit: Seelisberg</t>
  </si>
  <si>
    <t>'GEMEINDESEELISBERG</t>
  </si>
  <si>
    <t>Neuere Protokolle (28.5.2025, 28.11.2025) auf der Fundstelle gelistet; direkter Link per Discovery suchen.</t>
  </si>
  <si>
    <t>SEE-C5-04</t>
  </si>
  <si>
    <t>Beschlussprotokoll Gemeindeversammlung Seelisberg vom 28.11.2025</t>
  </si>
  <si>
    <t>https://www.seelisberg.ch/files/pdf/Beschlussprotokoll_GV_28.11.2025.pdf</t>
  </si>
  <si>
    <t>Beschlüsse Budget 2026, Leitbild, Verordnungen</t>
  </si>
  <si>
    <t>(‚LHEIWDESLLLISBERG</t>
  </si>
  <si>
    <t>2024, 2025, 2026</t>
  </si>
  <si>
    <t>SEE-C5-05</t>
  </si>
  <si>
    <t>Beschlussprotokoll Gemeindeversammlung Seelisberg vom 28.5.2025</t>
  </si>
  <si>
    <t>https://www.seelisberg.ch/files/pdf/Beschlussprotokoll-GV-Mai-2025.pdf</t>
  </si>
  <si>
    <t>Beschluss Jahresrechnung 2024 (44 Stimmberechtigte anwesend)</t>
  </si>
  <si>
    <t>Schlüsselwörter 2/2 gefunden (Beschluss, 28. Mai 2025); Ort/Zuständigkeit: Seeusberg</t>
  </si>
  <si>
    <t>GEMEINDESEEUSBERG</t>
  </si>
  <si>
    <t>2024, 2025</t>
  </si>
  <si>
    <t>Textextraktion liest den Kopf als «GEMEINDESEEUSBERG» (Schriftbild); Ortsabgleich toleriert diese Lesart.</t>
  </si>
  <si>
    <t>SEE-C5-06</t>
  </si>
  <si>
    <t>Leitbild Seelisberg 2025 (Dokument)</t>
  </si>
  <si>
    <t>https://www.seelisberg.ch/files/pdf/ORIGINAL-Leitbild-Seelisberg-2025-f%C3%BCr-Webseite.pdf</t>
  </si>
  <si>
    <t>Strategische Ziele (Wohnen, Tourismus, Finanzen); belegt keine Akzeptanz</t>
  </si>
  <si>
    <t>Leitbild Seelisberg.indd</t>
  </si>
  <si>
    <t>SEE-C5-07</t>
  </si>
  <si>
    <t>Abstimmung</t>
  </si>
  <si>
    <t>Kommunale Abstimmung Seelisberg vom 8.3.2026 (Unterlage)</t>
  </si>
  <si>
    <t>Abstimmungsunterlage</t>
  </si>
  <si>
    <t>https://www.seelisberg.ch/files/pdf/kommunale-Abstimmung-Seelisberg_260308.pdf</t>
  </si>
  <si>
    <t>Kommunale Urnenentscheide (Legitimation)</t>
  </si>
  <si>
    <t>https://www.seelisberg.ch/politik/abstimmungen-wahlen</t>
  </si>
  <si>
    <t>Schlüsselwörter 1/1 gefunden (Abstimmung); Ort/Zuständigkeit: Seelisberg</t>
  </si>
  <si>
    <t>Seelisberg KANTON</t>
  </si>
  <si>
    <t>SEE-C5-08</t>
  </si>
  <si>
    <t>Verfahren Gemeindeversammlung</t>
  </si>
  <si>
    <t>Verordnung über das Verfahren an der Gemeindeversammlung Seelisberg</t>
  </si>
  <si>
    <t>https://www.seelisberg.ch/files/pdf/Verordnung_%C3%BCber_das_Verfahren_an_der_Gemeindeversammlung.pdf</t>
  </si>
  <si>
    <t>Entscheidungsverfahren, Antragsrechte der Stimmberechtigten</t>
  </si>
  <si>
    <t>Schlüsselwörter 2/2 gefunden (Gemeindeversammlung, Verfahren); Ort/Zuständigkeit: Seelisberg</t>
  </si>
  <si>
    <t>MUE-C1-01</t>
  </si>
  <si>
    <t>Finanzplanung</t>
  </si>
  <si>
    <t>Aufgaben- und Finanzplan 2025–2029 Münchenstein</t>
  </si>
  <si>
    <t>Finanzplan</t>
  </si>
  <si>
    <t>Gemeinde Münchenstein</t>
  </si>
  <si>
    <t>https://www.muenchenstein.ch/publikationen/523378</t>
  </si>
  <si>
    <t>Mehrjährige Finanz- und Aufgabenplanung</t>
  </si>
  <si>
    <t>Investitionsprogramm, Finanzierungsbedarf</t>
  </si>
  <si>
    <t>Finanzplan und Jahresrechnung vergleichen</t>
  </si>
  <si>
    <t>Investitionspfad</t>
  </si>
  <si>
    <t>Schlüsselwörter 1/1 gefunden (Finanzplan); Ort/Zuständigkeit: Münchenstein</t>
  </si>
  <si>
    <t>Münchenstein  - Aufgaben- &amp;amp; Finanzplan 2025-2029 | Kopfzeile</t>
  </si>
  <si>
    <t>2025, 2029, 2024, 2026</t>
  </si>
  <si>
    <t>Gemeindeverwaltung Münchenstein</t>
  </si>
  <si>
    <t>MUE-C1-02</t>
  </si>
  <si>
    <t>Bericht zur Jahresrechnung 2025 der Einwohnergemeinde Münchenstein</t>
  </si>
  <si>
    <t>Publikationsseite mit PDF</t>
  </si>
  <si>
    <t>Beschlossene Jahresrechnung (Gemeindeversammlung 15.6.2026)</t>
  </si>
  <si>
    <t>https://www.muenchenstein.ch/publikationen/621658</t>
  </si>
  <si>
    <t>Einstieg zur Beschaffung Jahresrechnung 2025 und Budget 2026</t>
  </si>
  <si>
    <t>Selbstfinanzierung, Nettoinvestitionen</t>
  </si>
  <si>
    <t>Konkrete Publikation ermitteln</t>
  </si>
  <si>
    <t>Schlüsselwörter 1/1 gefunden (Jahresrechnung 2025); Ort/Zuständigkeit: Münchenstein</t>
  </si>
  <si>
    <t>Münchenstein  - Bericht zur Jahresrechnung 2025 | Kopfzeile</t>
  </si>
  <si>
    <t>2025, 2026</t>
  </si>
  <si>
    <t>2026-10-14: Link ersetzt (vorher https://www.muenchenstein.ch/). Grund: Startseite durch Publikationsseite der Jahresrechnung 2025 ersetzt.</t>
  </si>
  <si>
    <t>MUE-C1-03</t>
  </si>
  <si>
    <t>Bericht zur Jahresrechnung 2024 der Einwohnergemeinde Münchenstein</t>
  </si>
  <si>
    <t>https://www.muenchenstein.ch/publikationen/556069</t>
  </si>
  <si>
    <t>Ergebnis, Investitionen, Bilanz 2024 (Zeitreihe)</t>
  </si>
  <si>
    <t>Schlüsselwörter 1/1 gefunden (Jahresrechnung 2024); Ort/Zuständigkeit: Münchenstein</t>
  </si>
  <si>
    <t>Münchenstein  - Bericht zur Jahresrechnung 2024 | Kopfzeile</t>
  </si>
  <si>
    <t>MUE-C1-04</t>
  </si>
  <si>
    <t>Budget 2025 der Einwohnergemeinde Münchenstein</t>
  </si>
  <si>
    <t>Beschlossenes Budget</t>
  </si>
  <si>
    <t>https://www.muenchenstein.ch/publikationen/523381</t>
  </si>
  <si>
    <t>Schlüsselwörter 1/1 gefunden (Budget 2025); Ort/Zuständigkeit: Münchenstein</t>
  </si>
  <si>
    <t>Münchenstein  - Budget 2025 | Kopfzeile</t>
  </si>
  <si>
    <t>2025, 2024, 2026</t>
  </si>
  <si>
    <t>MUE-C1-05</t>
  </si>
  <si>
    <t>Gemeindeversammlung 8.12.2025: Budgetbericht 2026 und Bericht zum Aufgaben- und Finanzplan 2026–2030</t>
  </si>
  <si>
    <t>Sitzungsseite mit Unterlagen</t>
  </si>
  <si>
    <t>Sitzungsseite mit PDF</t>
  </si>
  <si>
    <t>https://www.muenchenstein.ch/sitzung/5729137</t>
  </si>
  <si>
    <t>2026 / 2026–2030</t>
  </si>
  <si>
    <t>Aktuellstes Budget und AFP inkl. Investitionsplanung</t>
  </si>
  <si>
    <t>Schlüsselwörter 2/2 gefunden (Budget, 2026); Ort/Zuständigkeit: Münchenstein</t>
  </si>
  <si>
    <t>Münchenstein  - Gemeindeversammlung | Kopfzeile</t>
  </si>
  <si>
    <t>2026, 2025, 2030</t>
  </si>
  <si>
    <t>MUE-C1-06</t>
  </si>
  <si>
    <t>Aufgaben- &amp; Finanzplan der Einwohnergemeinde Münchenstein 2023–2027</t>
  </si>
  <si>
    <t>Planungsinstrument (Kenntnisnahme)</t>
  </si>
  <si>
    <t>https://www.muenchenstein.ch/_docn/4130681/Bericht_Aufgaben__Finanzplan_2023-2027_publiziert.pdf</t>
  </si>
  <si>
    <t>2023–2027 (historisch)</t>
  </si>
  <si>
    <t>Baurechtszinsen, Investitionen, Bilanzüberschuss-Prognose</t>
  </si>
  <si>
    <t>Schlüsselwörter 2/2 gefunden (Finanzplan, 2023); Ort/Zuständigkeit: Münchenstein</t>
  </si>
  <si>
    <t>untitled</t>
  </si>
  <si>
    <t>2023, 2022, 2027, 2021, 2020, 2025</t>
  </si>
  <si>
    <t>Belegt Existenz und Zugänglichkeit der Quelle; inhaltliche Aussagen erst nach Auswertung. Fundstellen im Dokument (automatisch): Baurechtszins: S. 14, 27, 35.</t>
  </si>
  <si>
    <t>Ältere Fassung; aktuelle AFP 2026–2030 siehe MUE-C1-05.</t>
  </si>
  <si>
    <t>MUE-C2-01</t>
  </si>
  <si>
    <t>Ratschlag Gemeindeversammlung 16.3.2015 (Landverkauf Parzelle 799; Grundsätze aktive Landpolitik / Baurecht)</t>
  </si>
  <si>
    <t>Ratschlag / Vorlage</t>
  </si>
  <si>
    <t>Beschlussvorlage (historisch)</t>
  </si>
  <si>
    <t>https://www.muenchenstein.ch/_docn/1059619/2015.03.16_Ratschlag_Homepage.pdf</t>
  </si>
  <si>
    <t>2015</t>
  </si>
  <si>
    <t>Dokumentiert Grundsätze der kommunalen Landpolitik (Verkauf vs. Baurecht); historische Grundlage</t>
  </si>
  <si>
    <t>ÖBA, Grundstücke, Baurechte</t>
  </si>
  <si>
    <t>Liegenschaftsverzeichnis anfragen</t>
  </si>
  <si>
    <t>Schlüsselwörter 2/2 gefunden (Ratschlag, Baurecht); Ort/Zuständigkeit: Münchenstein</t>
  </si>
  <si>
    <t>Ratschlag</t>
  </si>
  <si>
    <t>2014, 2015, 2016, 2030, 2012, 2006</t>
  </si>
  <si>
    <t>Belegt Existenz und Zugänglichkeit der Quelle; inhaltliche Aussagen erst nach Auswertung. Fundstellen im Dokument (automatisch): Baurecht: S. 5, 15, 17, 18, 19, 20, 26, 27, 41; Landpolitik: S. 4, 5, 41.</t>
  </si>
  <si>
    <t>Historisches Dokument (2015); aktuelle Liegenschaftsstrategie nicht öffentlich gefunden.</t>
  </si>
  <si>
    <t>2026-10-14: Link ersetzt (vorher https://www.muenchenstein.ch/). Grund: Startseite durch direktes Dokument zur Landpolitik ersetzt.</t>
  </si>
  <si>
    <t>MUE-C2-02</t>
  </si>
  <si>
    <t>Zonenvorschriften / Mehrwertabgabe</t>
  </si>
  <si>
    <t>Zonenreglement Siedlung Münchenstein</t>
  </si>
  <si>
    <t>https://www.muenchenstein.ch/_docn/1199675/Zonenreglement_Siedlung.pdf</t>
  </si>
  <si>
    <t>Mehrwertabgabe und Zonenordnung; kein Eigentumsnachweis</t>
  </si>
  <si>
    <t>https://www.muenchenstein.ch/reglemente/10743</t>
  </si>
  <si>
    <t>Schlüsselwörter 1/1 gefunden (Zonenreglement); Ort/Zuständigkeit: Münchenstein</t>
  </si>
  <si>
    <t>43026_Reg01_Beschlussfassung2</t>
  </si>
  <si>
    <t>2000, 2016, 2003, 2004</t>
  </si>
  <si>
    <t>MUE-C2-03</t>
  </si>
  <si>
    <t>Liegenschaftsverkäufe / Baurecht</t>
  </si>
  <si>
    <t>Ratschlag Gemeindeversammlung 12.3.2018 (Baurechtszinsen, Liegenschaftsverkäufe)</t>
  </si>
  <si>
    <t>https://www.muenchenstein.ch/_docn/1591897/2018.03.12_Ratschlag_GzD.pdf</t>
  </si>
  <si>
    <t>Bedeutung von Baurechtszinsen und Landverkäufen für den Haushalt</t>
  </si>
  <si>
    <t>Schlüsselwörter 1/1 gefunden (Ratschlag); Ort/Zuständigkeit: Münchenstein</t>
  </si>
  <si>
    <t>46670_1_Mstein_Ratschlag.indd</t>
  </si>
  <si>
    <t>2017, 2018, 2015, 2016, 2014, 2011</t>
  </si>
  <si>
    <t>MUE-C3-01</t>
  </si>
  <si>
    <t>Gemeindeordnung der Einwohnergemeinde Münchenstein (Stand 1.1.2013)</t>
  </si>
  <si>
    <t>https://www.muenchenstein.ch/_docn/2430218/20180713_Gemeindeordnung_Stand_01.01.2013_publiziert_sw.pdf</t>
  </si>
  <si>
    <t>vom 13.9.1999, Stand 1.1.2013</t>
  </si>
  <si>
    <t>Behörden, Kooperationen und Projektorganisation recherchieren</t>
  </si>
  <si>
    <t>Trägerschaften, Zweckverbände</t>
  </si>
  <si>
    <t>Organigramm und Kooperationsverträge anfragen</t>
  </si>
  <si>
    <t>https://www.muenchenstein.ch/reglemente/7140</t>
  </si>
  <si>
    <t>Schlüsselwörter 2/2 gefunden (Gemeindeordnung, Gemeindekommission); Ort/Zuständigkeit: Münchenstein</t>
  </si>
  <si>
    <t>Rechtssammlung</t>
  </si>
  <si>
    <t>2013, 2011, 2008, 2000, 2014, 2012</t>
  </si>
  <si>
    <t>Prüfen, ob neuere Fassung existiert (Einwohnerrat-Diskussion).</t>
  </si>
  <si>
    <t>2026-10-14: Link ersetzt (vorher https://www.muenchenstein.ch/). Grund: Startseite durch Gemeindeordnung ersetzt.</t>
  </si>
  <si>
    <t>MUE-C3-02</t>
  </si>
  <si>
    <t>Leistungsvereinbarung / Kooperation</t>
  </si>
  <si>
    <t>Ratschlag Gemeindeversammlung 15.6.2026 (u. a. Leistungsvereinbarung Spitex Birseck, Jahresrechnung 2025)</t>
  </si>
  <si>
    <t>https://www.muenchenstein.ch/_docn/6998503/Ratschlag_Gemeindeversammlung_Montag,_15._Juni_2026.pdf</t>
  </si>
  <si>
    <t>Interkommunale Leistungsvereinbarung und Kostenteiler</t>
  </si>
  <si>
    <t>Schlüsselwörter 2/2 gefunden (Ratschlag, Spitex); Ort/Zuständigkeit: Münchenstein</t>
  </si>
  <si>
    <t>2009/2</t>
  </si>
  <si>
    <t>2025, 2026, 2024, 2027, 2009, 2028</t>
  </si>
  <si>
    <t>MUE-C4-01</t>
  </si>
  <si>
    <t>Gemeinde Münchenstein: Organisation und Organigramm der Verwaltung</t>
  </si>
  <si>
    <t>Organigramm / Webseite</t>
  </si>
  <si>
    <t>https://www.muenchenstein.ch/organisationuorganigramm</t>
  </si>
  <si>
    <t>Verwaltungsorganisation und Zuständigkeiten</t>
  </si>
  <si>
    <t>Personal, Projekte, Prozesse</t>
  </si>
  <si>
    <t>Organigramm / Ressourcen abfragen</t>
  </si>
  <si>
    <t>Bestellerfähigkeit</t>
  </si>
  <si>
    <t>Schlüsselwörter 1/1 gefunden (Organigramm); Ort/Zuständigkeit: Münchenstein</t>
  </si>
  <si>
    <t>Münchenstein  - Organisation Gemeinde Münchenstein | Kopfzeile</t>
  </si>
  <si>
    <t>2026-10-14: Link ersetzt (vorher https://www.muenchenstein.ch/). Grund: Startseite durch Organigrammseite ersetzt.</t>
  </si>
  <si>
    <t>MUE-C4-02</t>
  </si>
  <si>
    <t>Personalreglement der Einwohnergemeinde Münchenstein (Genehmigungsfassung 23.6.2022)</t>
  </si>
  <si>
    <t>https://www.muenchenstein.ch/_docn/3794018/Bereinigtes_Personalreglement_Genehmigungsfassung_per_23._Juni_2022.pdf</t>
  </si>
  <si>
    <t>in Kraft 1.1.2023</t>
  </si>
  <si>
    <t>https://www.muenchenstein.ch/reglemente/402889</t>
  </si>
  <si>
    <t>Schlüsselwörter 1/1 gefunden (Personalreglement); Ort/Zuständigkeit: Münchenstein</t>
  </si>
  <si>
    <t>2022, 2011, 2013</t>
  </si>
  <si>
    <t>MUE-C4-03</t>
  </si>
  <si>
    <t>Verwaltungs- und Organisationsreglement der Einwohnergemeinde Münchenstein</t>
  </si>
  <si>
    <t>Reglementsseite mit PDF</t>
  </si>
  <si>
    <t>https://www.muenchenstein.ch/reglemente/7208</t>
  </si>
  <si>
    <t>Stand 1.1.2000</t>
  </si>
  <si>
    <t>Schlüsselwörter 1/1 gefunden (Organisationsreglement); Ort/Zuständigkeit: Münchenstein</t>
  </si>
  <si>
    <t>Münchenstein  - Verwaltungs- und Organisationsreglement | Kopfzeile</t>
  </si>
  <si>
    <t>2000, 2026</t>
  </si>
  <si>
    <t>MUE-C5-01</t>
  </si>
  <si>
    <t>Politik / Mitwirkung</t>
  </si>
  <si>
    <t>Legislaturziele 2024–2028 des Gemeinderats Münchenstein</t>
  </si>
  <si>
    <t>Legislaturprogramm</t>
  </si>
  <si>
    <t>Politische Zielsetzung (behördenverbindlich, nicht rechtsverbindlich)</t>
  </si>
  <si>
    <t>https://www.muenchenstein.ch/legislaturziele</t>
  </si>
  <si>
    <t>2024–2028</t>
  </si>
  <si>
    <t>Gemeindeversammlung und kommunale Beschlüsse</t>
  </si>
  <si>
    <t>Beschlüsse, Mitwirkung, Interessen</t>
  </si>
  <si>
    <t>Protokolle und politische Geschäfte identifizieren</t>
  </si>
  <si>
    <t>Schlüsselwörter 1/1 gefunden (Legislatur); Ort/Zuständigkeit: Münchenstein</t>
  </si>
  <si>
    <t>Münchenstein  - Legislaturziele 2024 bis 2028 | Kopfzeile</t>
  </si>
  <si>
    <t>2024, 2028, 2025, 2029, 2004, 2011</t>
  </si>
  <si>
    <t>2026-10-14: Link ersetzt (vorher https://www.muenchenstein.ch/). Grund: Startseite durch Legislaturziele ersetzt.</t>
  </si>
  <si>
    <t>MUE-C5-02</t>
  </si>
  <si>
    <t>Protokoll Gemeindeversammlung Münchenstein 13.6.2024</t>
  </si>
  <si>
    <t>https://www.muenchenstein.ch/_docn/5478214/Protokoll_Gemeindeversammlung_13._Juni_2024_definitiv.pdf</t>
  </si>
  <si>
    <t>Beschlüsse, Stimmverhalten, Bericht Legislaturziele 2020–2024</t>
  </si>
  <si>
    <t>Schlüsselwörter 2/2 gefunden (Protokoll, Gemeindeversammlung); Ort/Zuständigkeit: Münchenstein</t>
  </si>
  <si>
    <t>Protokoll Gemeindeversammlung 13. Juni 2024</t>
  </si>
  <si>
    <t>2023, 2024, 2020, 2028, 2021, 2019</t>
  </si>
  <si>
    <t>MUE-C5-03</t>
  </si>
  <si>
    <t>Beschlüsse</t>
  </si>
  <si>
    <t>Beschlüsse der Gemeindeversammlung vom 8.12.2025 (Budget 2026, AFP 2026–2030)</t>
  </si>
  <si>
    <t>Beschlussmitteilung</t>
  </si>
  <si>
    <t>https://www.muenchenstein.ch/politikinformationen/2666993</t>
  </si>
  <si>
    <t>Beschlussstand, Teilnehmerzahl (Legitimationsindikator)</t>
  </si>
  <si>
    <t>Schlüsselwörter 2/2 gefunden (Gemeindeversammlung, Budget); Ort/Zuständigkeit: Münchenstein</t>
  </si>
  <si>
    <t>Münchenstein  - Beschlüsse der Gemeindeversammlung vom 8. Dezember 2025 | Kopfzeile</t>
  </si>
  <si>
    <t>2025, 2026, 2030</t>
  </si>
  <si>
    <t>MUE-C5-04</t>
  </si>
  <si>
    <t>Quartierplanung Spenglerpark – Mitwirkungsbericht (2019)</t>
  </si>
  <si>
    <t>Mitwirkungsbericht</t>
  </si>
  <si>
    <t>Bericht</t>
  </si>
  <si>
    <t>https://www.muenchenstein.ch/_docn/2359339/43037_Ber05_Mitwirkungsbericht_VerabschiedungGR_Unterschrieben_20190924_korr.pdf</t>
  </si>
  <si>
    <t>Mitwirkungspraxis und Einwendungen bei Arealentwicklung</t>
  </si>
  <si>
    <t>Schlüsselwörter 2/2 gefunden (Mitwirkung, Spenglerpark); Ort/Zuständigkeit: Münchenstein</t>
  </si>
  <si>
    <t>Quartierplanung "Bruggstrasse"</t>
  </si>
  <si>
    <t>2019, 2017</t>
  </si>
  <si>
    <t>MUE-C5-05</t>
  </si>
  <si>
    <t>Politische Gremien</t>
  </si>
  <si>
    <t>Gemeindekommission Münchenstein (§ 88 GemG)</t>
  </si>
  <si>
    <t>Behördenseite</t>
  </si>
  <si>
    <t>https://www.muenchenstein.ch/behoerden/2838</t>
  </si>
  <si>
    <t>Schlüsselwörter 1/1 gefunden (Gemeindekommission); Ort/Zuständigkeit: Münchenstein</t>
  </si>
  <si>
    <t>Münchenstein  - Gemeindekommission | Kopfzeile</t>
  </si>
  <si>
    <t>WIL-C1-01</t>
  </si>
  <si>
    <t>Finanzdaten</t>
  </si>
  <si>
    <t>Stadt Wil: Finanzen, Budgets, Jahresrechnungen und Finanzpläne</t>
  </si>
  <si>
    <t>Gemeinde Wil</t>
  </si>
  <si>
    <t>https://www.stadtwil.ch/topics/stadt-politik-und-recht/finanzen</t>
  </si>
  <si>
    <t>Jahresrechnung 2025, Budget 2026, Finanz- und Investitionsplan 2026–2030</t>
  </si>
  <si>
    <t>Verschuldung, Selbstfinanzierung, Investitionsbedarf</t>
  </si>
  <si>
    <t>Zeitreihe und Planjahre auswerten</t>
  </si>
  <si>
    <t>200 (HEAD 405)</t>
  </si>
  <si>
    <t>Schlüsselwörter 1/1 gefunden (Finanzen); Ort/Zuständigkeit: Wil</t>
  </si>
  <si>
    <t>Finanzen | Finanzen</t>
  </si>
  <si>
    <t>2024, 2025, 2023, 2026, 2028, 2027</t>
  </si>
  <si>
    <t>Gemeindeverwaltung Wil</t>
  </si>
  <si>
    <t>WIL-C1-02</t>
  </si>
  <si>
    <t>Jahresrechnung 2025 Stadt Wil: politisches Geschäft</t>
  </si>
  <si>
    <t>Geschäft mit Anlagen</t>
  </si>
  <si>
    <t>https://www.stadtwil.ch/political-business/28da2d58a16b4b85b0504eeaa7e396dc</t>
  </si>
  <si>
    <t>Beschluss und Anlagen zur Jahresrechnung 2025</t>
  </si>
  <si>
    <t>Bilanz, Investitionsrechnung</t>
  </si>
  <si>
    <t>Anlagen herunterladen und Kennzahlen prüfen</t>
  </si>
  <si>
    <t>Finanzbasis</t>
  </si>
  <si>
    <t>Schlüsselwörter 1/1 gefunden (Jahresrechnung); Ort/Zuständigkeit: Wil</t>
  </si>
  <si>
    <t>Jahresrechnung 2025 Stadt Wil | Jahresrechnung 2025 Stadt Wil</t>
  </si>
  <si>
    <t>2024, 2025, 2026, 2023, 2028, 2027</t>
  </si>
  <si>
    <t>WIL-C1-03</t>
  </si>
  <si>
    <t>Jahresrechnung 2023 der Stadt Wil</t>
  </si>
  <si>
    <t>Stadt Wil</t>
  </si>
  <si>
    <t>https://www.stadtwil.ch/storage/46c11db85e782dc122cd9a61cc291529509f659681277125f8b019bce5a31b9c</t>
  </si>
  <si>
    <t>Schlüsselwörter 2/2 gefunden (Rechnung, 2023); Ort/Zuständigkeit: Wil</t>
  </si>
  <si>
    <t>Rechnung 2023 - Kurzfassung</t>
  </si>
  <si>
    <t>2023, 2021, 2022, 2019, 2020, 2017</t>
  </si>
  <si>
    <t>Frühere Adresse /_docn/5050942/… liefert HTTP 404 (CMS-Umstellung); Link über Finanzseite der Stadt ermittelt.</t>
  </si>
  <si>
    <t>WIL-C1-04</t>
  </si>
  <si>
    <t>Jahresrechnung 2024 der Stadt Wil</t>
  </si>
  <si>
    <t>https://www.stadtwil.ch/storage/0f0d7ad95464bf91a72506e63d2aae1d5c18327f9bff4bf34b8400c36999b277</t>
  </si>
  <si>
    <t>Schlüsselwörter 2/2 gefunden (Rechnung, 2024); Ort/Zuständigkeit: Wil</t>
  </si>
  <si>
    <t>Rechnung 2024 - Kurzfassung</t>
  </si>
  <si>
    <t>2024, 2021, 2023, 2018, 2019, 2022</t>
  </si>
  <si>
    <t>Frühere Adresse /_doc/5592973 liefert HTTP 404 (CMS-Umstellung); Link über Finanzseite der Stadt ermittelt.</t>
  </si>
  <si>
    <t>WIL-C1-05</t>
  </si>
  <si>
    <t>Rechnung 2025 Stadt Wil – Finanzbericht, Erfolgsrechnung, Bilanz, Anhang</t>
  </si>
  <si>
    <t>https://www.stadtwil.ch/storage/08902ff399818ccc0d53949607b2d0f6f8bf702c334e295d493c2fd842ba4079</t>
  </si>
  <si>
    <t>Schlüsselwörter 2/2 gefunden (2025, Bilanz); Ort/Zuständigkeit: Wil</t>
  </si>
  <si>
    <t>Rechnung 2025</t>
  </si>
  <si>
    <t>2025, 2024, 2022, 2023, 2026, 2019</t>
  </si>
  <si>
    <t>Zuordnung der Hash-URL stammt aus Suchzusammenfassung; nur Inhaltsprüfung belegt Identität.</t>
  </si>
  <si>
    <t>WIL-C1-06</t>
  </si>
  <si>
    <t>Finanzplan 2026–2030 der Stadt Wil (Stadtrat 23.9.2025)</t>
  </si>
  <si>
    <t>Planungsinstrument</t>
  </si>
  <si>
    <t>https://www.stadtwil.ch/storage/875d422378d72386aae96efa76356fbfa05e9a0e1e03f208fbbe599dea21021c</t>
  </si>
  <si>
    <t>2026–2030</t>
  </si>
  <si>
    <t>Schlüsselwörter 2/2 gefunden (Finanzplan, 2030); Ort/Zuständigkeit: Wil</t>
  </si>
  <si>
    <t>Finanzplan 2026-2030</t>
  </si>
  <si>
    <t>2026, 2030, 2025, 2027, 2028, 2029</t>
  </si>
  <si>
    <t>WIL-C1-07</t>
  </si>
  <si>
    <t>Investitionen</t>
  </si>
  <si>
    <t>Investitionsplan 2026–2030 der Stadt Wil</t>
  </si>
  <si>
    <t>Investitionsplan</t>
  </si>
  <si>
    <t>https://www.stadtwil.ch/storage/c6097b5ae815fb81f14b4db7630b14d9452e3be1ae3cbddd9f8e28d9d0777c7f</t>
  </si>
  <si>
    <t>Schlüsselwörter 2/2 gefunden (Investitionsplan, 2030); Ort/Zuständigkeit: Wil</t>
  </si>
  <si>
    <t>Investitionsplan 2026-2030</t>
  </si>
  <si>
    <t>2024, 2026, 2030, 2025, 2023, 2027</t>
  </si>
  <si>
    <t>WIL-C1-08</t>
  </si>
  <si>
    <t>Budget 2026 der Stadt Wil</t>
  </si>
  <si>
    <t>https://www.stadtwil.ch/storage/2ecd9e697734cc2262543c9da23828c2b6ad0129cf1654fcfa47f21ba113bf8a</t>
  </si>
  <si>
    <t>Schlüsselwörter 2/2 gefunden (Budget, 2026); Ort/Zuständigkeit: Wil</t>
  </si>
  <si>
    <t>Budget 2026</t>
  </si>
  <si>
    <t>2026, 2025, 2023, 2024, 2027, 2005</t>
  </si>
  <si>
    <t>Steuerfuss-Referendum 2026 – Beschlussstand prüfen.</t>
  </si>
  <si>
    <t>WIL-C1-09</t>
  </si>
  <si>
    <t>Beteiligungen / Rechnung</t>
  </si>
  <si>
    <t>Jahresrechnung 2025 Technische Betriebe Wil (TBW) – Bericht und Antrag</t>
  </si>
  <si>
    <t>Jahresrechnung Unternehmen</t>
  </si>
  <si>
    <t>Stadt Wil / Technische Betriebe Wil</t>
  </si>
  <si>
    <t>https://www.stadtwil.ch/storage/9bf65acd52bfa75c91cc42760759e0ffc3a76d501e7d174c010444c290801cc2</t>
  </si>
  <si>
    <t>Gewinnablieferung und Abgaben der TBW an die Stadt</t>
  </si>
  <si>
    <t>Schlüsselwörter 2/2 gefunden (Technische Betriebe, 2025); Ort/Zuständigkeit: Wil</t>
  </si>
  <si>
    <t>Marktgasse 58</t>
  </si>
  <si>
    <t>2025, 2026, 2024, 2019</t>
  </si>
  <si>
    <t>WIL-C1-10</t>
  </si>
  <si>
    <t>Budget 2027 der Stadt Wil</t>
  </si>
  <si>
    <t>Vorlage (Beschluss Stadtparlament ausstehend/prüfen)</t>
  </si>
  <si>
    <t>https://www.stadtwil.ch/storage/86c954451190b5683f4cea602b5746ce096ff6338c9f35fbea68172b58f684d1</t>
  </si>
  <si>
    <t>2027</t>
  </si>
  <si>
    <t>Aktuellster Planungsstand Erfolgsrechnung/Investitionen</t>
  </si>
  <si>
    <t>Schlüsselwörter 2/2 gefunden (Budget, 2027); Ort/Zuständigkeit: Wil</t>
  </si>
  <si>
    <t>Budget 2027</t>
  </si>
  <si>
    <t>2027, 2026, 2030, 2025, 2024, 2023</t>
  </si>
  <si>
    <t>Beschlussstand prüfen.</t>
  </si>
  <si>
    <t>WIL-C1-11</t>
  </si>
  <si>
    <t>Finanzplan 2025–2029 der Stadt Wil (Vorjahresplan für Vergleich)</t>
  </si>
  <si>
    <t>https://www.stadtwil.ch/storage/c7e05a885ee1a6860975358848101c3f21fe558650ccfc5ba12339d34d3232e9</t>
  </si>
  <si>
    <t>2025–2029 (historisch)</t>
  </si>
  <si>
    <t>Plan-Ist-Vergleich der Planungsgüte</t>
  </si>
  <si>
    <t>Schlüsselwörter 2/2 gefunden (Finanzplan, 2029); Ort/Zuständigkeit: Wil</t>
  </si>
  <si>
    <t>Finanzplan 2025 – 2029</t>
  </si>
  <si>
    <t>2025, 2029, 2024, 2026, 2028, 2023</t>
  </si>
  <si>
    <t>WIL-C2-01</t>
  </si>
  <si>
    <t>Nachtrag IV zur Gemeindeordnung (Finanzbefugnisse Liegenschaftsgeschäfte im Finanzvermögen) – kommunale Abstimmung 24.11.2024</t>
  </si>
  <si>
    <t>Abstimmungsseite / Resultat</t>
  </si>
  <si>
    <t>Volksentscheid (Ergebnis auf Seite prüfen)</t>
  </si>
  <si>
    <t>https://www.stadtwil.ch/topics/stadt-politik-und-recht/abstimmungen-und-wahlen/vergangene-abstimmungen/2024-vergangene-abstimmungen-und-wahlen/24-11-2024-eidgenoessische-kantonale-und-kommunale-abstimmungen-sowie-2-wahlgang-kommunale-erneuerungswahlen/nachtrag-iv-zur-gemeindeordnung</t>
  </si>
  <si>
    <t>Kompetenzordnung für aktive Bodenpolitik (Kauf/Verkauf im Finanzvermögen) und Volksentscheid dazu</t>
  </si>
  <si>
    <t>Baurechte, Grundstücke, Eigentümerstrategie</t>
  </si>
  <si>
    <t>Grundstücksliste / Bilanzanlagen ergänzen</t>
  </si>
  <si>
    <t>https://www.stadtwil.ch/topics/stadt-politik-und-recht/abstimmungen-und-wahlen/vorlagen/kommunale-vorlagen/22-11-2024-nachtrag-iv-zur-gemeindeordnung</t>
  </si>
  <si>
    <t>Schlüsselwörter 1/1 gefunden (Nachtrag IV); Ort/Zuständigkeit: Wil</t>
  </si>
  <si>
    <t>Nachtrag IV zur Gemeindeordnung | Nachtrag IV zur Gemeindeordnung</t>
  </si>
  <si>
    <t>Zuerst gefundener Bericht (stadtwil.ch/_doc/4801870) liefert HTTP 404 (CMS-Umstellung).</t>
  </si>
  <si>
    <t>2026-10-14: Link ersetzt (vorher https://www.stadtwil.ch/political-businesses). Grund: Geschäftsregister-Startseite durch direktes Dokument zur Bodenpolitik ersetzt.</t>
  </si>
  <si>
    <t>WIL-C2-03</t>
  </si>
  <si>
    <t>Bodenpolitik</t>
  </si>
  <si>
    <t>Stadt Wil: aktive Bodenpolitik / Boden- und Immobilienstrategie</t>
  </si>
  <si>
    <t>Strategie / Bericht</t>
  </si>
  <si>
    <t>Strategie</t>
  </si>
  <si>
    <t>https://www.stadtwil.ch/storage/1e396670eed23bbd41611d92ceaa476797bc97e16fde09c29197453c3b3bc320</t>
  </si>
  <si>
    <t>Schlüsselwörter 1/1 gefunden (Bodenpolitik); Ort/Zuständigkeit: Wil</t>
  </si>
  <si>
    <t>141 g)gE TI1lll11 1lll\ 1:) T W I L</t>
  </si>
  <si>
    <t>2020, 2017, 2016, 2018, 2019, 2021</t>
  </si>
  <si>
    <t>Unsichere Zuordnung (Suchzusammenfassung).</t>
  </si>
  <si>
    <t>WIL-C3-01</t>
  </si>
  <si>
    <t>Trägerschaften</t>
  </si>
  <si>
    <t>Stadt Wil: Rechtssammlung (Gemeindeordnung, Beteiligungsreglement, TBW-Reglement u. a.)</t>
  </si>
  <si>
    <t>Übersichtsseite</t>
  </si>
  <si>
    <t>Kommunales Recht (Sammlung)</t>
  </si>
  <si>
    <t>https://www.stadtwil.ch/topics/stadt-politik-und-recht/rechtssammlung-1</t>
  </si>
  <si>
    <t>Dokumentierte Leistungsvereinbarungen und Eignerstrategien</t>
  </si>
  <si>
    <t>Kooperationen, Beteiligungen, Leistungsaufträge</t>
  </si>
  <si>
    <t>Trägerschaftslandkarte erstellen</t>
  </si>
  <si>
    <t>C2; C5</t>
  </si>
  <si>
    <t>Modulträgerschaft</t>
  </si>
  <si>
    <t>Schlüsselwörter 1/1 gefunden (Rechtssammlung); Ort/Zuständigkeit: Wil</t>
  </si>
  <si>
    <t>Rechtssammlung | Rechtssammlung</t>
  </si>
  <si>
    <t>Direktlinks zu Einzelerlassen siehe weitere C3-Zeilen; Suchtreffer /_doc/… liefern HTTP 404.</t>
  </si>
  <si>
    <t>2026-10-14: Link ersetzt (vorher https://www.stadtwil.ch/political-businesses). Grund: Geschäftsregister-Startseite durch Rechtssammlung der Stadt ersetzt.</t>
  </si>
  <si>
    <t>WIL-C3-04</t>
  </si>
  <si>
    <t>Agglomeration</t>
  </si>
  <si>
    <t>Prüfbericht des Bundes zum Agglomerationsprogramm Wil, 4. Generation (22.2.2023)</t>
  </si>
  <si>
    <t>Prüfbericht</t>
  </si>
  <si>
    <t>Bundesbeurteilung</t>
  </si>
  <si>
    <t>Bundesamt für Raumentwicklung (ARE)</t>
  </si>
  <si>
    <t>https://www.are.admin.ch/dam/de/sd-web/1LGAXN34JMxU/Pr%C3%BCfbericht%20Wil4G.pdf</t>
  </si>
  <si>
    <t>Regionale Trägerschaft und Umsetzungsreife (Regio Wil)</t>
  </si>
  <si>
    <t>Schlüsselwörter 2/2 gefunden (Prüfbericht, Agglomerationsprogramm); Ort/Zuständigkeit: Wil</t>
  </si>
  <si>
    <t>Eidgenössisches Departement für Umwelt, Verkehr,</t>
  </si>
  <si>
    <t>2020, 2021, 2024, 2028, 2023, 2027</t>
  </si>
  <si>
    <t>WIL-C3-05</t>
  </si>
  <si>
    <t>Agglomerationsprogramm Wil 5. Generation – Flyer</t>
  </si>
  <si>
    <t>Informationsblatt</t>
  </si>
  <si>
    <t>Kanton St. Gallen / Regio Wil</t>
  </si>
  <si>
    <t>https://www.sg.ch/content/dam/sgch/bauen/raumentwicklung/agglomerationsprogramme/Wil%20Flyer%205G.pdf</t>
  </si>
  <si>
    <t>Schlüsselwörter 1/1 gefunden (Agglomerationsprogramm); Ort/Zuständigkeit: Wil</t>
  </si>
  <si>
    <t>DAS AGGLOMERATIONS-</t>
  </si>
  <si>
    <t>2015, 2025</t>
  </si>
  <si>
    <t>WIL-C4-01</t>
  </si>
  <si>
    <t>Geschäftsbericht der Stadt Wil 2025</t>
  </si>
  <si>
    <t>Geschäftsbericht</t>
  </si>
  <si>
    <t>Rechenschaftsbericht</t>
  </si>
  <si>
    <t>https://www.stadtwil.ch/storage/ee8bae2cd080dda0bc77e69f99046109dc3e161b3498b17df7581cfe441bc612</t>
  </si>
  <si>
    <t>Organisation und Verwaltungsressourcen recherchieren</t>
  </si>
  <si>
    <t>Personal, Projektsteuerung, Beschaffung</t>
  </si>
  <si>
    <t>Organigramm / Projektportfolios ergänzen</t>
  </si>
  <si>
    <t>C3, C5</t>
  </si>
  <si>
    <t>https://www.stadtwil.ch/topics/stadt-politik-und-recht/geschaeftsberichte</t>
  </si>
  <si>
    <t>Schlüsselwörter 2/2 gefunden (Geschäftsbericht, 2025); Ort/Zuständigkeit: Wil</t>
  </si>
  <si>
    <t>GESCHÄFTSBERICHT</t>
  </si>
  <si>
    <t>2025, 2026, 2021, 2028, 2030</t>
  </si>
  <si>
    <t>Belegt Existenz und Zugänglichkeit der Quelle; inhaltliche Aussagen erst nach Auswertung. Fundstellen im Dokument (automatisch): Organigramm: nicht gefunden; Stellen: S. 11, 12, 14, 18, 24, 25, 28, 29, 32, 35, 38, 44 …; Personal: S. 25, 28, 29, 39, 51, 73, 81, 84, 90.</t>
  </si>
  <si>
    <t>Geschäftsberichte 2008–2024 auf der Fundstelle (Zeitreihe).</t>
  </si>
  <si>
    <t>2026-10-14: Link ersetzt (vorher https://www.stadtwil.ch/). Grund: Startseite durch aktuellen Geschäftsbericht ersetzt.</t>
  </si>
  <si>
    <t>WIL-C5-01</t>
  </si>
  <si>
    <t>Politische Entscheide</t>
  </si>
  <si>
    <t>Legislaturplanung 2025–2028 «wil sind wir» – Bericht an das Stadtparlament</t>
  </si>
  <si>
    <t>https://www.stadtwil.ch/storage/55dcd744fbd978ce5601e42dc48a7b53cdfe1082b7fecb9c647e6dadc8abf9c7</t>
  </si>
  <si>
    <t>2025–2028</t>
  </si>
  <si>
    <t>Parlamentsgeschäfte, Beschlüsse und offene Vorlagen</t>
  </si>
  <si>
    <t>Entscheidungsstand, Mitwirkung, Konflikte</t>
  </si>
  <si>
    <t>Relevante Strategiegeschäfte auswerten</t>
  </si>
  <si>
    <t>Schlüsselwörter 1/1 gefunden (Legislatur); Ort/Zuständigkeit: Wil</t>
  </si>
  <si>
    <t>2025, 2028</t>
  </si>
  <si>
    <t>2026-10-14: Link ersetzt (vorher https://www.stadtwil.ch/political-businesses). Grund: Geschäftsregister-Startseite durch Legislaturplanung ersetzt.</t>
  </si>
  <si>
    <t>WIL-C5-02</t>
  </si>
  <si>
    <t>Ortsplanung / Mitwirkung</t>
  </si>
  <si>
    <t>Richtplan Siedlung und Grün-/Freiraum – Planungsbericht inkl. Auszug Stadtentwicklungskonzept (31.3.2026)</t>
  </si>
  <si>
    <t>Behördenverbindliche Planung (Entwurf)</t>
  </si>
  <si>
    <t>https://www.stadtwil.ch/storage/533b0557b4e4988a6a4f9af13c0b789fec39837eef83d1e66cd1d3814dbe0acb</t>
  </si>
  <si>
    <t>Schlüsselwörter 1/1 gefunden (Richtplan); Ort/Zuständigkeit: Wil</t>
  </si>
  <si>
    <t>Richtplan Siedlung</t>
  </si>
  <si>
    <t>2026, 2013, 2024, 2025</t>
  </si>
  <si>
    <t>Zuordnung der Hash-URL aus Suchzusammenfassung.</t>
  </si>
  <si>
    <t>WIL-C5-03</t>
  </si>
  <si>
    <t>Ortsplanungsrevision Wil – Mitwirkung 2025</t>
  </si>
  <si>
    <t>Mitwirkungsunterlage</t>
  </si>
  <si>
    <t>https://www.stadtwil.ch/storage/5d895f1e33cc1b2c352d7bdeb9d93dd5b2333fbff6a1793cd419f387dd4e1e28</t>
  </si>
  <si>
    <t>Schlüsselwörter 1/1 gefunden (Mitwirkung); Ort/Zuständigkeit: Wil</t>
  </si>
  <si>
    <t>v2_OPR_Broschure_210x297mm</t>
  </si>
  <si>
    <t>2025, 2026, 2024, 2027</t>
  </si>
  <si>
    <t>Abgleich mit Gesamtübersicht</t>
  </si>
  <si>
    <t>Anfrage-ID</t>
  </si>
  <si>
    <t>Benötigte Lieferung</t>
  </si>
  <si>
    <t>Warum nötig</t>
  </si>
  <si>
    <t>Priorität</t>
  </si>
  <si>
    <t>Status</t>
  </si>
  <si>
    <t>Quellenstatus (Recherche)</t>
  </si>
  <si>
    <t>Recherchebefund</t>
  </si>
  <si>
    <t>Bezug Katalog-ID</t>
  </si>
  <si>
    <t>Präzisierte Frage an die Gemeinde</t>
  </si>
  <si>
    <t>Zuständige Stelle (vermutet)</t>
  </si>
  <si>
    <t>A-SEE-01</t>
  </si>
  <si>
    <t>Jahresrechnungen der letzten 5 Jahre inkl. Bilanz, Investitionsrechnung und Finanzkennzahlen</t>
  </si>
  <si>
    <t>Zeitreihe und Tragfähigkeit</t>
  </si>
  <si>
    <t>Jahresrechnungen 2020–2024 und Budgets 2020–2026 öffentlich (SEE-C1-03/04/05, weitere im Blatt Recherche-Kandidaten); Jahresrechnung 2025 nicht als PDF gefunden. Kennzahlen je Gemeinde bei der Finanzkontrolle Uri (UR-C1-03/04).</t>
  </si>
  <si>
    <t>SEE-C1-03, SEE-C1-04, SEE-C1-05, UR-C1-03</t>
  </si>
  <si>
    <t>Bitte stellen Sie die Jahresrechnung 2025 (inkl. Anhang und HRM2-Kennzahlen) zur Verfügung und bestätigen Sie, dass die online publizierten Rechnungen 2021–2024 vollständig sind.</t>
  </si>
  <si>
    <t>Gemeindeschreiberei / Finanzverwaltung Seelisberg</t>
  </si>
  <si>
    <t>A-SEE-02</t>
  </si>
  <si>
    <t>Mehrjähriger Finanz- und Investitionsplan; Eventualverpflichtungen</t>
  </si>
  <si>
    <t>Liquiditäts- und Investitionsengpässe</t>
  </si>
  <si>
    <t>Nur über Gemeindeanfrage erhältlich</t>
  </si>
  <si>
    <t>Finanzplan 2027–2032 in GV-Botschaft Nov. 2025 erwähnt; Investitionsliste und Eventualverpflichtungen nicht öffentlich.</t>
  </si>
  <si>
    <t>Bitte senden Sie den aktuellen Finanzplan 2027–2032 inkl. Investitionsliste und Angaben zu Eventualverpflichtungen (Bürgschaften, Garantien, Baurechtsverpflichtungen).</t>
  </si>
  <si>
    <t>Gemeinderat / Finanzverwaltung</t>
  </si>
  <si>
    <t>A-SEE-03</t>
  </si>
  <si>
    <t>Kommunales Grundstücks- und Liegenschaftsverzeichnis mit Parzellen-IDs</t>
  </si>
  <si>
    <t>Eigentum statt bloss ÖBA-Näherung</t>
  </si>
  <si>
    <t>Nicht öffentlich auffindbar</t>
  </si>
  <si>
    <t>Kein Liegenschaftsverzeichnis öffentlich; kein kommunales Grundstücksgeschäft im Dokumenttext belegt (SEE-C2-01 nur Planungsverfahren Sonnenberg).</t>
  </si>
  <si>
    <t>Welche Grundstücke (Parzellennummern) besitzt die Einwohnergemeinde im Verwaltungs- und Finanzvermögen? Bitte Liste mit Fläche, Zone und Nutzung.</t>
  </si>
  <si>
    <t>Gemeindeverwaltung / Bauverwaltung</t>
  </si>
  <si>
    <t>A-SEE-04</t>
  </si>
  <si>
    <t>Baurechts-, Dienstbarkeits- und relevante Eigentumsverträge</t>
  </si>
  <si>
    <t>Tatsächliche Verfügungsmöglichkeiten</t>
  </si>
  <si>
    <t>Keine Baurechts- oder Dienstbarkeitsverträge öffentlich; ein in der Websuche erwähntes Baurecht (Parzelle 775) ist im Erläuterungsbericht nicht belegt.</t>
  </si>
  <si>
    <t>Bitte listen Sie bestehende und geplante Baurechte, Dienstbarkeiten und Kaufrechte der Gemeinde auf (Parzelle, Berechtigte, Laufzeit, Zins).</t>
  </si>
  <si>
    <t>A-SEE-09</t>
  </si>
  <si>
    <t>C2, C3</t>
  </si>
  <si>
    <t>Rolle der Gemeinde im Projekt Sonnenberg (Grundeigentum, Verträge, Kostenbeteiligung)</t>
  </si>
  <si>
    <t>Einziges dokumentiertes kommunales Bodengeschäft; Trägerschaft und Risiken</t>
  </si>
  <si>
    <t>Nur Planungsverfahren öffentlich (SEE-C2-01); Eigentums- und Vertragsfragen nicht dokumentiert.</t>
  </si>
  <si>
    <t>Besitzt die Gemeinde im Gebiet Sonnenberg Grundstücke oder plant sie Erwerb/Abgabe im Baurecht? Welche Verträge (Planung, Infrastruktur) bestehen, und welche Pflichten und Risiken übernimmt die Gemeinde?</t>
  </si>
  <si>
    <t>A-SEE-05</t>
  </si>
  <si>
    <t>Organigramm Zuständigkeiten; Kooperationen und Leistungsvereinbarungen</t>
  </si>
  <si>
    <t>Governance- und Trägerschaftsreife</t>
  </si>
  <si>
    <t>Gemeindeordnung online (SEE-C3-02, Rechtssammlung der Gemeinde); Mitgliedschaften in Zweckverbänden nicht belegt.</t>
  </si>
  <si>
    <t>Bitte bestätigen Sie die geltende Fassung der Gemeindeordnung und senden Sie die Verordnung über die Zuständigkeiten im Finanzbereich sowie eine Liste der Zweckverbände/Leistungsvereinbarungen (z. B. ZAKU, Abwasser Uri, Schule).</t>
  </si>
  <si>
    <t>Gemeindeschreiberei</t>
  </si>
  <si>
    <t>A-SEE-06</t>
  </si>
  <si>
    <t>Stellenplan, Projektportfolio, externe Mandate, Beschaffungsprozesse</t>
  </si>
  <si>
    <t>Umsetzungs- und Bestellerkompetenz</t>
  </si>
  <si>
    <t>Personalseite (SEE-C4-02) zeigt Personen, keine Pensen; Restrukturierung der Verwaltung im Budget 2026 erwähnt.</t>
  </si>
  <si>
    <t>SEE-C4-01, SEE-C4-02, SEE-C4-03</t>
  </si>
  <si>
    <t>Wie viele Stellenprozente stehen in Verwaltung und Bauverwaltung zur Verfügung? Welche Projekte werden extern (Mandate) gesteuert? Wie läuft eine Beschaffung ab (Zuständigkeit, Schwellen)?</t>
  </si>
  <si>
    <t>A-SEE-07</t>
  </si>
  <si>
    <t>Politische Leitbilder, relevante Beschlüsse und Mitwirkungsberichte</t>
  </si>
  <si>
    <t>Politische Legitimation und Konflikte</t>
  </si>
  <si>
    <t>Leitbild 2025 (SEE-C5-06) und Beschlussprotokolle 2023–2025 (SEE-C5-03/04/05) öffentlich; Umfrageauswertung nicht.</t>
  </si>
  <si>
    <t>SEE-C5-04, SEE-C5-05, SEE-C5-06</t>
  </si>
  <si>
    <t>Bitte stellen Sie die Auswertung der Leitbild-Umfrage 2025 und Informationen zur Umsetzungsplanung des Leitbilds zur Verfügung.</t>
  </si>
  <si>
    <t>A-SEE-08</t>
  </si>
  <si>
    <t>Akteursübersicht mit bekannten Positionen und Einfluss</t>
  </si>
  <si>
    <t>Akteurskarte und Interessen</t>
  </si>
  <si>
    <t>Keine öffentliche Akteursübersicht; nur indirekt aus Planungsberichten ableitbar.</t>
  </si>
  <si>
    <t>Welche Akteure (Korporation, Tourismus, Hotellerie, Grundeigentümer) sind für die Entwicklung massgebend und wie sind ihre Positionen bekannt?</t>
  </si>
  <si>
    <t>A-MUE-01</t>
  </si>
  <si>
    <t>Jahresrechnungen 2024 und 2025 als Publikationsseiten gefunden (MUE-C1-02, MUE-C1-03).</t>
  </si>
  <si>
    <t>MUE-C1-02, MUE-C1-03</t>
  </si>
  <si>
    <t>Bitte bestätigen Sie, dass die publizierten Berichte zu den Jahresrechnungen 2021–2025 vollständig sind, und senden Sie die HRM2-Kennzahlen als Excel.</t>
  </si>
  <si>
    <t>Abteilung Finanzen Münchenstein</t>
  </si>
  <si>
    <t>A-MUE-02</t>
  </si>
  <si>
    <t>AFP 2026–2030 auf Sitzungsseite GV 8.12.2025 (MUE-C1-05); Eventualverpflichtungen nicht separat publiziert.</t>
  </si>
  <si>
    <t>MUE-C1-01, MUE-C1-05</t>
  </si>
  <si>
    <t>Bitte senden Sie die Investitionsplanung des AFP 2026–2030 als Excel und eine Liste der Eventualverpflichtungen.</t>
  </si>
  <si>
    <t>Abteilung Finanzen</t>
  </si>
  <si>
    <t>A-MUE-03</t>
  </si>
  <si>
    <t>Landverkäufe und Baurechtszinsen in Ratschlägen dokumentiert (MUE-C2-01, MUE-C2-03); kein Verzeichnis öffentlich.</t>
  </si>
  <si>
    <t>MUE-C2-01, MUE-C2-03</t>
  </si>
  <si>
    <t>Bitte stellen Sie ein Verzeichnis der Grundstücke im Eigentum der Einwohnergemeinde (Finanz- und Verwaltungsvermögen) mit Parzellen-ID zur Verfügung.</t>
  </si>
  <si>
    <t>Bauverwaltung / Liegenschaften</t>
  </si>
  <si>
    <t>A-MUE-04</t>
  </si>
  <si>
    <t>Baurechtszinsen als Ertragsposition erwähnt; Verträge nicht öffentlich.</t>
  </si>
  <si>
    <t>Bitte listen Sie die Baurechtsverträge der Gemeinde (Parzelle, Baurechtsnehmer, Ablauf, Zins).</t>
  </si>
  <si>
    <t>A-MUE-09</t>
  </si>
  <si>
    <t>Liegenschafts- bzw. Bodenstrategie (falls vorhanden) und Grundsätze zu Verkauf vs. Baurecht</t>
  </si>
  <si>
    <t>Steuerungswille Bodenpolitik</t>
  </si>
  <si>
    <t>Grundsätze nur in Ratschlag 2015 (MUE-C2-01); aktuelle Strategie nicht gefunden.</t>
  </si>
  <si>
    <t>Gibt es eine aktuelle Liegenschafts- oder Bodenstrategie des Gemeinderats? Gelten die Grundsätze von 2015 noch?</t>
  </si>
  <si>
    <t>A-MUE-05</t>
  </si>
  <si>
    <t>Einzelne Leistungsvereinbarungen in Ratschlägen (MUE-C3-02), Birsstadt-Kooperation (BL-C3-02); keine Gesamtübersicht.</t>
  </si>
  <si>
    <t>MUE-C3-01, MUE-C3-02, BL-C3-02</t>
  </si>
  <si>
    <t>Bitte senden Sie eine Übersicht der Zweckverbände, Leistungsvereinbarungen und Beteiligungen (u. a. Zweckverband Alter Birsstadt, Spitex Birseck, Verein Birsstadt).</t>
  </si>
  <si>
    <t>A-MUE-06</t>
  </si>
  <si>
    <t>Organigramm (MUE-C4-01) und Personalreglement (MUE-C4-02) öffentlich; Pensen und Projektorganisation nicht.</t>
  </si>
  <si>
    <t>MUE-C4-01, MUE-C4-02</t>
  </si>
  <si>
    <t>Wie viele Stellenprozente hat die Bauverwaltung, wie werden Entwicklungsprojekte organisiert (Projektleitung, externe Mandate), und welche Beschaffungsweisungen gelten?</t>
  </si>
  <si>
    <t>A-MUE-07</t>
  </si>
  <si>
    <t>Legislaturziele (MUE-C5-01) und Mitwirkungsbericht Spenglerpark (MUE-C5-04) gefunden; Leitbild-Volltext nicht.</t>
  </si>
  <si>
    <t>MUE-C5-01, MUE-C5-04</t>
  </si>
  <si>
    <t>Bitte bestätigen Sie den Stand der Legislaturziele 2024–2028 und des Leitbilds (2004/2011) und senden Sie Mitwirkungsberichte zur Zonenplanrevision Siedlung.</t>
  </si>
  <si>
    <t>A-MUE-08</t>
  </si>
  <si>
    <t>Einwohnerrat-Diskussion nur in Sekundärquelle (SRF) erwähnt; Ergebnis nicht gefunden.</t>
  </si>
  <si>
    <t>Welche politischen Akteure und Interessengruppen sind für Areal- und Bodenentwicklung massgebend? Wie ist der Stand der Diskussion um einen Einwohnerrat?</t>
  </si>
  <si>
    <t>A-WIL-01</t>
  </si>
  <si>
    <t>Jahresrechnungen 2017–2025, Budgets 2019–2027, Finanz- und Investitionspläne öffentlich (WIL-C1-03/04/05/10/11 u. Recherche-Kandidaten).</t>
  </si>
  <si>
    <t>WIL-C1-03, WIL-C1-04, WIL-C1-05</t>
  </si>
  <si>
    <t>Bitte bestätigen Sie die Fundstellen der Jahresrechnungen 2021–2025 und senden Sie die HRM2-Kennzahlen als Excel.</t>
  </si>
  <si>
    <t>Finanzverwaltung Stadt Wil</t>
  </si>
  <si>
    <t>A-WIL-02</t>
  </si>
  <si>
    <t>Finanzplan und Investitionsplan 2026–2030 öffentlich (WIL-C1-06/07); Eventualverpflichtungen und Beteiligungsrisiken nicht separat.</t>
  </si>
  <si>
    <t>WIL-C1-06, WIL-C1-07</t>
  </si>
  <si>
    <t>Bitte senden Sie den Investitionsplan 2026–2030 (bzw. 2025–2035) als Excel und eine Liste der Eventualverpflichtungen inkl. Beteiligungen (TBW, Thurcom, WISPAG).</t>
  </si>
  <si>
    <t>A-WIL-03</t>
  </si>
  <si>
    <t>Bodenpolitik-Dokument (WIL-C2-03) und Kompetenzordnung Nachtrag IV (WIL-C2-01) gefunden; kein Verzeichnis.</t>
  </si>
  <si>
    <t>WIL-C2-01, WIL-C2-03</t>
  </si>
  <si>
    <t>Bitte stellen Sie das Liegenschaftsverzeichnis der Stadt (Finanz- und Verwaltungsvermögen) mit Parzellen-ID zur Verfügung.</t>
  </si>
  <si>
    <t>Liegenschaften / Bauverwaltung Stadt Wil</t>
  </si>
  <si>
    <t>A-WIL-04</t>
  </si>
  <si>
    <t>Nicht öffentlich.</t>
  </si>
  <si>
    <t>Bitte listen Sie Baurechte und Kaufrechte der Stadt (Parzelle, Berechtigte, Laufzeit, Zins).</t>
  </si>
  <si>
    <t>A-WIL-09</t>
  </si>
  <si>
    <t>Aktuelle Boden- und Immobilienstrategie; Stand Nachtrag IV Gemeindeordnung (Finanzbefugnisse Liegenschaften)</t>
  </si>
  <si>
    <t>Handlungsspielraum aktive Bodenpolitik</t>
  </si>
  <si>
    <t>Strategiedokument (WIL-C2-03) und Abstimmungsseite Nachtrag IV (WIL-C2-01) gefunden; Geltungsstand bestätigen lassen.</t>
  </si>
  <si>
    <t>Welche Boden-/Immobilienstrategie gilt aktuell (Fassung, Beschlussdatum), und seit wann gilt Nachtrag IV zur Gemeindeordnung?</t>
  </si>
  <si>
    <t>A-WIL-05</t>
  </si>
  <si>
    <t>Rechtssammlung der Stadt (WIL-C3-01) und Jahresrechnung TBW (WIL-C1-09) öffentlich; Eignerstrategien und Regio-Wil-Statuten nicht gefunden.</t>
  </si>
  <si>
    <t>WIL-C3-01, WIL-C1-09</t>
  </si>
  <si>
    <t>Bitte senden Sie die aktuellen Eignerstrategien und Leistungsvereinbarungen (TBW, Thurcom AG, WISPAG) sowie Unterlagen zur Regio Wil.</t>
  </si>
  <si>
    <t>A-WIL-06</t>
  </si>
  <si>
    <t>Geschäftsberichte bis 2025 öffentlich (WIL-C4-01); separates aktuelles Organigramm nicht gefunden.</t>
  </si>
  <si>
    <t>Bitte senden Sie das aktuelle Organigramm der Stadtverwaltung, den Stellenplan der Bereiche Bau/Stadtentwicklung und Angaben zur Projektorganisation (z. B. WILWEST, Ortsplanungsrevision).</t>
  </si>
  <si>
    <t>A-WIL-07</t>
  </si>
  <si>
    <t>Legislaturplanung (WIL-C5-01) und Mitwirkungsunterlagen (WIL-C5-03) gefunden; Ergebnisse Mitwirkung nicht.</t>
  </si>
  <si>
    <t>WIL-C5-01, WIL-C5-03</t>
  </si>
  <si>
    <t>Bitte senden Sie die Legislaturplanung 2025–2028, Mitwirkungsberichte zur Ortsplanungsrevision und den Stand des Budget-2026-Referendums.</t>
  </si>
  <si>
    <t>A-WIL-08</t>
  </si>
  <si>
    <t>Nur indirekt über Parlamentsprotokolle erschliessbar.</t>
  </si>
  <si>
    <t>Welche Fraktionen/Akteure prägen Boden- und Arealfragen (WILWEST, Liegenschaftsgeschäfte), und welche Konflikte sind bekannt?</t>
  </si>
  <si>
    <t>Dimension (Stichwort)</t>
  </si>
  <si>
    <t>Dokumentlink</t>
  </si>
  <si>
    <t>Ankertext</t>
  </si>
  <si>
    <t>Dokumentdatei</t>
  </si>
  <si>
    <t>Gefunden auf</t>
  </si>
  <si>
    <t>Quelle</t>
  </si>
  <si>
    <t>Bereits im Katalog</t>
  </si>
  <si>
    <t>https://www.data.finance.admin.ch/static/assets/datasets/fs_dashboard/finanzkennz-d.xlsx</t>
  </si>
  <si>
    <t>Finanzkennzahlen – Staat und Teilsektoren</t>
  </si>
  <si>
    <t>ja</t>
  </si>
  <si>
    <t>Einstiegsseite</t>
  </si>
  <si>
    <t>Ungeprüft – nicht kuratiert</t>
  </si>
  <si>
    <t>https://www.data.finance.admin.ch/static/assets/datasets/fs_dashboard/web_arten_funk_dfie.xlsx</t>
  </si>
  <si>
    <t>Finanzstatistik: Arten- und Funktionsgliederung</t>
  </si>
  <si>
    <t>https://www.data.finance.admin.ch/static/assets/datasets/gfs_dashboard/monatsdaten-d.xlsx</t>
  </si>
  <si>
    <t>Ausweis der Laufenden Transaktionen Stammhaus Bund (Budgetary Central Government Operations)</t>
  </si>
  <si>
    <t>https://www.data.finance.admin.ch/superset/dashboard/finanzstatistik_international/</t>
  </si>
  <si>
    <t>Dashboard GFS</t>
  </si>
  <si>
    <t>nein</t>
  </si>
  <si>
    <t>https://www.data.finance.admin.ch/superset/dashboard/finanzstatistik_national/</t>
  </si>
  <si>
    <t>Dashboard FS</t>
  </si>
  <si>
    <t>Webseite der EFV</t>
  </si>
  <si>
    <t>Website der EFV</t>
  </si>
  <si>
    <t>https://www.efv.admin.ch/de/sonderauswertungen-der-finanzstatistik</t>
  </si>
  <si>
    <t>Sonderauswertungen</t>
  </si>
  <si>
    <t>Zum Hauptinhalt springen</t>
  </si>
  <si>
    <t>https://www.data.finance.admin.ch/static/assets/datasets/fs_dashboard/sv_ahv-d.xlsx</t>
  </si>
  <si>
    <t>Alters- und Hinterlassenversicherung</t>
  </si>
  <si>
    <t>https://www.muenchenstein.ch/_doc/5399737</t>
  </si>
  <si>
    <t>TR 3.1 Budgetbericht 2025</t>
  </si>
  <si>
    <t>https://www.muenchenstein.ch/sitzung/5729125</t>
  </si>
  <si>
    <t>https://www.muenchenstein.ch/_doc/5400772</t>
  </si>
  <si>
    <t>Aufgaben &amp; Finanzplan 2025-2029</t>
  </si>
  <si>
    <t>https://www.muenchenstein.ch/_doc/5400775</t>
  </si>
  <si>
    <t>Budget 2025</t>
  </si>
  <si>
    <t>https://www.muenchenstein.ch/_doc/5409079</t>
  </si>
  <si>
    <t>TR 2.1 Bericht zum Aufgaben &amp; Finanzplan 2025-2029</t>
  </si>
  <si>
    <t>https://www.muenchenstein.ch/_doc/5680231</t>
  </si>
  <si>
    <t>Bericht zur Jahresrechnung 2024</t>
  </si>
  <si>
    <t>https://www.muenchenstein.ch/_doc/6311410</t>
  </si>
  <si>
    <t>TR 2.1 Bericht zum Aufgaben &amp; Finanzplan 2026-2030</t>
  </si>
  <si>
    <t>https://www.muenchenstein.ch/_doc/6311416</t>
  </si>
  <si>
    <t>TR 4.1 Budgetbericht 2026</t>
  </si>
  <si>
    <t>https://www.muenchenstein.ch/_doc/6432413</t>
  </si>
  <si>
    <t>Bericht zum Aufgaben &amp; Finanzplan 2026-2030</t>
  </si>
  <si>
    <t>https://www.muenchenstein.ch/_rtr/publikation_596027</t>
  </si>
  <si>
    <t>Unterseite</t>
  </si>
  <si>
    <t>https://www.muenchenstein.ch/_doc/6432422</t>
  </si>
  <si>
    <t>Budgetbericht 2026</t>
  </si>
  <si>
    <t>https://www.muenchenstein.ch/_rtr/publikation_596033</t>
  </si>
  <si>
    <t>https://www.muenchenstein.ch/_doc/6990775</t>
  </si>
  <si>
    <t>Bericht zur Jahresrechnung 2025</t>
  </si>
  <si>
    <t>https://www.muenchenstein.ch/_doc/7035142</t>
  </si>
  <si>
    <t>Zusammenfassung Jahresrechnung 2025 LEICHTE SPRACHE</t>
  </si>
  <si>
    <t>https://www.muenchenstein.ch/_rtr/publikation_523378</t>
  </si>
  <si>
    <t>Aufgaben und Finanzplan 2025 - 2029</t>
  </si>
  <si>
    <t>Aufgaben- und Finanzplan</t>
  </si>
  <si>
    <t>https://www.muenchenstein.ch/finanzensteuern</t>
  </si>
  <si>
    <t>Finanzhaushalt</t>
  </si>
  <si>
    <t>C1,C5</t>
  </si>
  <si>
    <t>https://www.muenchenstein.ch/_rte/abstimmung/101977</t>
  </si>
  <si>
    <t>Gesetz über die Entlastung des Finanzhaushaltes bis 2014</t>
  </si>
  <si>
    <t>https://www.muenchenstein.ch/abstimmungen/vorlagen</t>
  </si>
  <si>
    <t>https://www.muenchenstein.ch/_rte/abstimmung/79355</t>
  </si>
  <si>
    <t>Gemeindeversammlungsbeschluss vom 15. September 2010 betreffend Einführung von Informations- und Kommunikationstechnologien (ICT) an der Primarschule Münchenstein und den damit verbundenen Investition</t>
  </si>
  <si>
    <t>https://www.areale.mstein.ch/</t>
  </si>
  <si>
    <t>areale.mstein.ch Externer Link wird in einem neuen Fenster geöffnet.</t>
  </si>
  <si>
    <t>https://www.muenchenstein.ch/areale</t>
  </si>
  <si>
    <t>Areale</t>
  </si>
  <si>
    <t>C2,C5</t>
  </si>
  <si>
    <t>https://www.muenchenstein.ch/_rte/abstimmung/251057</t>
  </si>
  <si>
    <t>Landratsbeschluss vom 3. Dezember 2020 betreffend Salina Raurica, Tramverlängerung Linie 14: Ausgabenbewilligung Projektierung und vorgezogener Landerwerb (LRV 2020/431)</t>
  </si>
  <si>
    <t>https://www.muenchenstein.ch/_rte/abstimmung/301591</t>
  </si>
  <si>
    <t>Bundesbeschluss vom 20. Dezember 2024 über die kantonalen Liegenschaftssteuern auf Zweitliegenschaften</t>
  </si>
  <si>
    <t>https://www.muenchenstein.ch/_doc/1758235</t>
  </si>
  <si>
    <t>Verwaltungsorganisationsreglement Stand 01.01.2000</t>
  </si>
  <si>
    <t>https://www.muenchenstein.ch/reglemente</t>
  </si>
  <si>
    <t>Reglemente / Erlasse</t>
  </si>
  <si>
    <t>{title} »</t>
  </si>
  <si>
    <t>C3,C5</t>
  </si>
  <si>
    <t>https://www.muenchenstein.ch/_rte/abstimmung/115863</t>
  </si>
  <si>
    <t>Änderung Gemeindeordnung</t>
  </si>
  <si>
    <t>https://www.muenchenstein.ch/_rte/abstimmung/132800</t>
  </si>
  <si>
    <t>Teilrevision des Landratsgesetzes (Parlamentsreform sowie Regelung der Steuerung und Kontrolle der Beteiligungen des Kantons)</t>
  </si>
  <si>
    <t>https://www.muenchenstein.ch/_rte/abstimmung/158200</t>
  </si>
  <si>
    <t>Bundesbeschluss über die Schaffung eines Fonds für die Nationalstrassen und den Agglomerationsverkehr (NAF)</t>
  </si>
  <si>
    <t>https://www.muenchenstein.ch/_rte/abstimmung/160332</t>
  </si>
  <si>
    <t>Verfassungsänderung betreffend Aufgabenzuordnung und Zusammenarbeit der Baselbieter Gemeinden</t>
  </si>
  <si>
    <t>https://www.muenchenstein.ch/_rte/abstimmung/195028</t>
  </si>
  <si>
    <t>Beteiligung an Spitälern</t>
  </si>
  <si>
    <t>https://www.muenchenstein.ch/_rte/abstimmung/251048</t>
  </si>
  <si>
    <t>Bundesgesetz vom 25. September 2020 über die gesetzlichen Grundlagen für Verordnungen des Bundesrates zur Bewältigung der Covid-19-Epidemie (Covid-19-Gesetz)</t>
  </si>
  <si>
    <t>https://www.muenchenstein.ch/_rte/abstimmung/25247</t>
  </si>
  <si>
    <t>Reglement über die Unterrichtszeiten an den Kindergärten</t>
  </si>
  <si>
    <t>https://www.muenchenstein.ch/_rte/abstimmung/261658</t>
  </si>
  <si>
    <t>Änderung vom 19. März 2021 des Bundesgesetzes über die gesetzlichen Grundlagen für Verordnungen des Bundesrates zur Bewältigung der Covid-19-Epidemie (Covid-19-Gesetz) (Härtefälle, Arbeitslosenversich</t>
  </si>
  <si>
    <t>https://www.muenchenstein.ch/_rte/abstimmung/270905</t>
  </si>
  <si>
    <t>Bundesbeschluss vom 1. Oktober 2021 über die Genehmigung und die Umsetzung des Notenaustausches zwischen der Schweiz und der EU betreffend die Übernahme der Verordnung (EU) 2019/1896 über die Europäis</t>
  </si>
  <si>
    <t>https://www.muenchenstein.ch/_rte/abstimmung/278258</t>
  </si>
  <si>
    <t>Änderung vom 17. Dezember 2021 des Bundesgesetzes über die Alters- und Hinterlassenenversicherung (AHVG) (AHV 21) (BBI 2021 2995)</t>
  </si>
  <si>
    <t>https://www.muenchenstein.ch/_rte/abstimmung/285623</t>
  </si>
  <si>
    <t>Änderung des Bundesgesetzes vom 16. Dezember 2022 über die gesetzlichen Grundlagen für Verordnungen des Bundesrates zur Bewältigung der Covid-19-Epidemie (Covid-19-Gesetz) (AS 2022 817).</t>
  </si>
  <si>
    <t>https://www.muenchenstein.ch/_rte/abstimmung/289912</t>
  </si>
  <si>
    <t>Änderung des Zonenreglements Siedlung §52 (bisher 49) Mehrwertabgabe</t>
  </si>
  <si>
    <t>https://www.muenchenstein.ch/_rte/abstimmung/289927</t>
  </si>
  <si>
    <t>Änderung der Kantonsverfassung betreffend Einführung kantonaler Deponieabgaben (Massnahme des Massnahmenpakets zur Förderung des Baustoffkreislaufs Regio Basel)</t>
  </si>
  <si>
    <t>https://www.muenchenstein.ch/_rte/abstimmung/289930</t>
  </si>
  <si>
    <t>Änderung des Umweltschutzgesetzes Basel-Landschaft betreffend Einführung kantonaler Deponieabgaben (Massnahme des Massnahmenpakets zur Förderung des Baustoffkreislaufs Regio Basel)</t>
  </si>
  <si>
    <t>https://www.muenchenstein.ch/_rte/abstimmung/29591</t>
  </si>
  <si>
    <t>Bundesgesetz vom 24. März 2006 über die Zusammenarbeit mit den Staaten Osteuropas</t>
  </si>
  <si>
    <t>https://www.muenchenstein.ch/_rte/abstimmung/299275</t>
  </si>
  <si>
    <t>Änderung vom 17. März 2023 des Bundesgesetzes über die berufliche Alters-, Hinterlassenen- und Invalidenvorsorge (BVG) (Reform der beruflichen Vorsorge)</t>
  </si>
  <si>
    <t>https://www.muenchenstein.ch/_rte/abstimmung/36733</t>
  </si>
  <si>
    <t>Gemeindeordnung der Einwohnergemeinde Münchenstein / Teilrevision</t>
  </si>
  <si>
    <t>https://www.muenchenstein.ch/_rte/abstimmung/68453</t>
  </si>
  <si>
    <t>Änderung vom 19. Dezember 2008 des Bundesgesetzes über die berufliche Alters-, Hinterlassenen- und Invalidenvorsorge</t>
  </si>
  <si>
    <t>https://www.muenchenstein.ch/_rte/abstimmung/89372</t>
  </si>
  <si>
    <t>https://www.muenchenstein.ch/_rtr/publikation_91123</t>
  </si>
  <si>
    <t>Organigramm</t>
  </si>
  <si>
    <t>Organisation / Organigramm</t>
  </si>
  <si>
    <t>C4,C5</t>
  </si>
  <si>
    <t>https://www.muenchenstein.ch/_rte/abstimmung/129347</t>
  </si>
  <si>
    <t>Bundesgesetz über den Fonds zur Beschaffung des Kampfflugzeugs Gripen</t>
  </si>
  <si>
    <t>https://www.muenchenstein.ch/_rte/abstimmung/145284</t>
  </si>
  <si>
    <t>Formulierte Gesetzesinitiative "Für einen wirksamen Arbeitnehmerschutz und faire Wettbewerbsbedingungen für KMU im öffentlichen Beschaffungswesen"</t>
  </si>
  <si>
    <t>https://www.muenchenstein.ch/_rte/abstimmung/225950</t>
  </si>
  <si>
    <t>Beschaffung neuer Kampfflugzeuge</t>
  </si>
  <si>
    <t>https://www.muenchenstein.ch/_rte/abstimmung/27787</t>
  </si>
  <si>
    <t>Landratsbeschluss vom 16. Februar 2006 betreffend Kantonales Laboratorium in Liestal, Umwidmung und Ersatzbeschaffung (Referendumsabstimmung)</t>
  </si>
  <si>
    <t>http://www.gemeinden-web.ch/gemeinden/muenchensteinneu/dl.php/de/0d1e8-225dl6/GV_protokolle_1980_comp.pdf</t>
  </si>
  <si>
    <t>hier klicken Externer Link wird in einem neuen Fenster geöffnet.</t>
  </si>
  <si>
    <t>https://www.muenchenstein.ch/archivgemeindeversammlung</t>
  </si>
  <si>
    <t>http://www.gemeinden-web.ch/gemeinden/muenchensteinneu/dl.php/de/0d1e8-4szbws/GV_protokolle_1981_comp.pdf</t>
  </si>
  <si>
    <t>http://www.gemeinden-web.ch/gemeinden/muenchensteinneu/dl.php/de/0d1e8-71hwhu/GV_protokolle_1982_comp.pdf</t>
  </si>
  <si>
    <t>http://www.gemeinden-web.ch/gemeinden/muenchensteinneu/dl.php/de/0d1e8-8jl6d1/GV_protokolle_1983_comp.pdf</t>
  </si>
  <si>
    <t>http://www.gemeinden-web.ch/gemeinden/muenchensteinneu/dl.php/de/0d1e8-9v1kex/GV_protokolle_1984_comp.pdf</t>
  </si>
  <si>
    <t>http://www.gemeinden-web.ch/gemeinden/muenchensteinneu/dl.php/de/0d1e8-b5p2nm/GV_protokolle_1985_comp.pdf</t>
  </si>
  <si>
    <t>http://www.gemeinden-web.ch/gemeinden/muenchensteinneu/dl.php/de/0d1e8-cjnxsf/GV_protokolle_1986_comp.pdf</t>
  </si>
  <si>
    <t>http://www.gemeinden-web.ch/gemeinden/muenchensteinneu/dl.php/de/0d1e8-df6qce/GV_protokolle_1987_comp.pdf</t>
  </si>
  <si>
    <t>http://www.gemeinden-web.ch/gemeinden/muenchensteinneu/dl.php/de/0d1e8-eyr1rh/GV_protokolle_1988_comp.pdf</t>
  </si>
  <si>
    <t>http://www.gemeinden-web.ch/gemeinden/muenchensteinneu/dl.php/de/0d1e8-gd1589/GV_protokolle_1989_comp.pdf</t>
  </si>
  <si>
    <t>http://www.gemeinden-web.ch/gemeinden/muenchensteinneu/dl.php/de/0d1e8-hdohhc/GV_protokolle_1990_comp.pdf</t>
  </si>
  <si>
    <t>http://www.gemeinden-web.ch/gemeinden/muenchensteinneu/dl.php/de/0d1e8-j9jdyb/GV_protokolle_1991_comp.pdf</t>
  </si>
  <si>
    <t>http://www.gemeinden-web.ch/gemeinden/muenchensteinneu/dl.php/de/0d1e8-lc0dq8/GV_protokolle_1992_comp.pdf</t>
  </si>
  <si>
    <t>http://www.gemeinden-web.ch/gemeinden/muenchensteinneu/dl.php/de/0d1e8-myocr7/GV_protokolle_1993_comp.pdf</t>
  </si>
  <si>
    <t>http://www.gemeinden-web.ch/gemeinden/muenchensteinneu/dl.php/de/0d1e8-o7boti/GV_protokolle_1994_comp.pdf</t>
  </si>
  <si>
    <t>http://www.gemeinden-web.ch/gemeinden/muenchensteinneu/dl.php/de/0d1e8-pbuec4/GV_protokolle_1995_comp.pdf</t>
  </si>
  <si>
    <t>http://www.gemeinden-web.ch/gemeinden/muenchensteinneu/dl.php/de/0d1e8-qy63zu/GV_protokolle_1996_comp.pdf</t>
  </si>
  <si>
    <t>http://www.gemeinden-web.ch/gemeinden/muenchensteinneu/dl.php/de/0d1e8-sf3v42/GV_protokolle_1997_comp.pdf</t>
  </si>
  <si>
    <t>https://www.muenchenstein.ch/_doc/5399731</t>
  </si>
  <si>
    <t>Ratschlag Gemeindeversammlung Montag, 16. Dezember 2024</t>
  </si>
  <si>
    <t>https://www.muenchenstein.ch/_doc/6049465</t>
  </si>
  <si>
    <t>Protokoll Gemeindeversammlung 16. Dezember 2024</t>
  </si>
  <si>
    <t>https://www.muenchenstein.ch/_doc/6311407</t>
  </si>
  <si>
    <t>Ratschlag Gemeindeversammlung vom Montag, 8. Dezember 2025</t>
  </si>
  <si>
    <t>https://www.muenchenstein.ch/_rte/abstimmung/101974</t>
  </si>
  <si>
    <t>Bausparinitiative</t>
  </si>
  <si>
    <t>https://www.muenchenstein.ch/_rte/abstimmung/101975</t>
  </si>
  <si>
    <t>Initiative "Staatsverträge vors Volk!"</t>
  </si>
  <si>
    <t>https://www.muenchenstein.ch/_rte/abstimmung/101976</t>
  </si>
  <si>
    <t>Managed Care</t>
  </si>
  <si>
    <t>https://www.muenchenstein.ch/_rte/abstimmung/101978</t>
  </si>
  <si>
    <t>Änderung der Kantonsverfassung über die Organisation der Gerichte</t>
  </si>
  <si>
    <t>https://www.muenchenstein.ch/_rte/abstimmung/101979</t>
  </si>
  <si>
    <t>Änderung der Kantonsverfassung über die Reorganisation der Behörden im Zivilrecht</t>
  </si>
  <si>
    <t>https://www.muenchenstein.ch/_rte/abstimmung/101980</t>
  </si>
  <si>
    <t>Gesetz über den Verzicht auf die Führung des Amtsnotariats und über die Reorganisation der Behörden im Zivilrecht</t>
  </si>
  <si>
    <t>https://www.muenchenstein.ch/_rte/abstimmung/105466</t>
  </si>
  <si>
    <t>Jugendmusikförderung</t>
  </si>
  <si>
    <t>https://www.muenchenstein.ch/_rte/abstimmung/105467</t>
  </si>
  <si>
    <t>Sicheres Wohnen im Alter</t>
  </si>
  <si>
    <t>https://www.muenchenstein.ch/_rte/abstimmung/105468</t>
  </si>
  <si>
    <t>Schutz vor Passivrauchen</t>
  </si>
  <si>
    <t>https://www.muenchenstein.ch/_rte/abstimmung/105469</t>
  </si>
  <si>
    <t>Formulierte Gesetzesintitiative "Schluss mit den Steuerprivilegien" und Gegenvorschlag des Regierungsrates</t>
  </si>
  <si>
    <t>https://www.muenchenstein.ch/_rte/abstimmung/108518</t>
  </si>
  <si>
    <t>Änderung des Tierseuchengesetzes</t>
  </si>
  <si>
    <t>https://www.muenchenstein.ch/_rte/abstimmung/108519</t>
  </si>
  <si>
    <t>Überfüllte Klassen reduzieren</t>
  </si>
  <si>
    <t>https://www.muenchenstein.ch/_rte/abstimmung/108520</t>
  </si>
  <si>
    <t>Betreuung der Schüler/-innen optimieren</t>
  </si>
  <si>
    <t>https://www.muenchenstein.ch/_rte/abstimmung/108521</t>
  </si>
  <si>
    <t>Keine Zwangsverschiebungen an Baselbieter Sekundarschulen</t>
  </si>
  <si>
    <t>https://www.muenchenstein.ch/_rte/abstimmung/112311</t>
  </si>
  <si>
    <t>Bundesbeschluss vom 15. Juni 2012 über die Familienpolitik</t>
  </si>
  <si>
    <t>https://www.muenchenstein.ch/_rte/abstimmung/112312</t>
  </si>
  <si>
    <t>Volksinitiative vom 26. Februar 2008 "gegen die Abzockerei"</t>
  </si>
  <si>
    <t>https://www.muenchenstein.ch/_rte/abstimmung/112313</t>
  </si>
  <si>
    <t>Änderung vom 15. Juni 2012 des Bundesgesetzes über die Raumplanung</t>
  </si>
  <si>
    <t>https://www.muenchenstein.ch/_rte/abstimmung/112314</t>
  </si>
  <si>
    <t>Änderung vom 29. November 2012 der Kantonsverfassung (Erhebung Gasttaxe)</t>
  </si>
  <si>
    <t>https://www.muenchenstein.ch/_rte/abstimmung/112315</t>
  </si>
  <si>
    <t>Nichtformulierte Volksinitiative vom 22. Juni 2012 "Ja zu Wildenstein und Schloss Bottmingen" und Gegenvorschlag des Regierungsrates vom 13. Dezember 2012</t>
  </si>
  <si>
    <t>https://www.muenchenstein.ch/_rte/abstimmung/115857</t>
  </si>
  <si>
    <t>Volkswahl des Bundesrates</t>
  </si>
  <si>
    <t>https://www.muenchenstein.ch/_rte/abstimmung/115858</t>
  </si>
  <si>
    <t>Dringliche Änderungen des Asylgesetzes</t>
  </si>
  <si>
    <t>https://www.muenchenstein.ch/_rte/abstimmung/115859</t>
  </si>
  <si>
    <t>Transparenz-Initiative</t>
  </si>
  <si>
    <t>https://www.muenchenstein.ch/_rte/abstimmung/115860</t>
  </si>
  <si>
    <t>Projektierungskreditvorlage Augusta Raurica</t>
  </si>
  <si>
    <t>https://www.muenchenstein.ch/_rte/abstimmung/115861</t>
  </si>
  <si>
    <t>Stipendien-Konkordat</t>
  </si>
  <si>
    <t>https://www.muenchenstein.ch/_rte/abstimmung/115862</t>
  </si>
  <si>
    <t>Gesetz über Ausbildungsbeiträge</t>
  </si>
  <si>
    <t>https://www.muenchenstein.ch/_rte/abstimmung/119063</t>
  </si>
  <si>
    <t>Aufhebung der Wehrpflicht</t>
  </si>
  <si>
    <t>https://www.muenchenstein.ch/_rte/abstimmung/119064</t>
  </si>
  <si>
    <t>Epidemiengesetz</t>
  </si>
  <si>
    <t>https://www.muenchenstein.ch/_rte/abstimmung/119065</t>
  </si>
  <si>
    <t>Arbeitsgesetz</t>
  </si>
  <si>
    <t>https://www.muenchenstein.ch/_rte/abstimmung/119066</t>
  </si>
  <si>
    <t>Pensionskassengesetz</t>
  </si>
  <si>
    <t>https://www.muenchenstein.ch/_rte/abstimmung/122217</t>
  </si>
  <si>
    <t>Volksinitiative "1:12 - Für gerechte Löhne"</t>
  </si>
  <si>
    <t>https://www.muenchenstein.ch/_rte/abstimmung/122218</t>
  </si>
  <si>
    <t>Volksinitiative "Familieninitiative: Steuerabzüge auch für Eltern, die ihre Kinder selber betreuen"</t>
  </si>
  <si>
    <t>https://www.muenchenstein.ch/_rte/abstimmung/122219</t>
  </si>
  <si>
    <t>Änderung des Nationalstrassenabgabegesetzes (Autobahnvignette)</t>
  </si>
  <si>
    <t>https://www.muenchenstein.ch/_rte/abstimmung/125157</t>
  </si>
  <si>
    <t>Bundesbeschluss Für den öffentlichen Verkehr (FABI)</t>
  </si>
  <si>
    <t>https://www.muenchenstein.ch/_rte/abstimmung/125158</t>
  </si>
  <si>
    <t>Volksinitiative "Abtreibungsfinanzierung ist Privatsache"</t>
  </si>
  <si>
    <t>https://www.muenchenstein.ch/_rte/abstimmung/125159</t>
  </si>
  <si>
    <t>Volksinitiative "Gegen Masseneinwanderung"</t>
  </si>
  <si>
    <t>https://www.muenchenstein.ch/_rte/abstimmung/125160</t>
  </si>
  <si>
    <t>Verfassungsinitiative Förderung des selbstgenutzten Wohneigentums und des gemeinnützigen Wohnungsbaus</t>
  </si>
  <si>
    <t>https://www.muenchenstein.ch/_rte/abstimmung/129344</t>
  </si>
  <si>
    <t>Bundesbeschluss über die medizinische Grundversorgung</t>
  </si>
  <si>
    <t>https://www.muenchenstein.ch/_rte/abstimmung/129345</t>
  </si>
  <si>
    <t>Volksinitiative "Pädophile sollen nicht mehr mit Kindern arbeiten dürfen"</t>
  </si>
  <si>
    <t>https://www.muenchenstein.ch/_rte/abstimmung/129346</t>
  </si>
  <si>
    <t>Volksinitiative "Für den Schutz fairer Löhne (Mindestlohn-Initiative)"</t>
  </si>
  <si>
    <t>https://www.muenchenstein.ch/_rte/abstimmung/129348</t>
  </si>
  <si>
    <t>Änderung des Pensionskassengesetzes</t>
  </si>
  <si>
    <t>https://www.muenchenstein.ch/_rte/abstimmung/129349</t>
  </si>
  <si>
    <t>Änderung der Kantonsverfassung über die Einführung einer Gewerbeparkkarte</t>
  </si>
  <si>
    <t>https://www.muenchenstein.ch/_rte/abstimmung/132796</t>
  </si>
  <si>
    <t>Volksinitiative Schluss mit der MwSt-Diskrimierung des Gastgewerbes</t>
  </si>
  <si>
    <t>https://www.muenchenstein.ch/_rte/abstimmung/132797</t>
  </si>
  <si>
    <t>Volksinitiative "Für eine öffentliche Krankenkasse"</t>
  </si>
  <si>
    <t>https://www.muenchenstein.ch/_rte/abstimmung/132798</t>
  </si>
  <si>
    <t>Änderung des Gesetzes über Ergänzungsleistungen zur AHV und IV (Vermögensverzehr)</t>
  </si>
  <si>
    <t>https://www.muenchenstein.ch/_rte/abstimmung/132799</t>
  </si>
  <si>
    <t>Änderung der Kantonsverfassung betreffend § 68 zur Konstituierung des Landratspräsidiums</t>
  </si>
  <si>
    <t>https://www.muenchenstein.ch/_rte/abstimmung/132801</t>
  </si>
  <si>
    <t>Änderung der Kantonsverfassung (Gegenvorschlag zur zurückgezogenen formulierten Verfassungsinitiative "Für die Fusion der Kantone Basel-Stadt und Basel-Landschaft")</t>
  </si>
  <si>
    <t>https://www.muenchenstein.ch/_rte/abstimmung/132802</t>
  </si>
  <si>
    <t>Einführung der ausserordentlichen Gemeindeorganisation (Einwohnerrat)</t>
  </si>
  <si>
    <t>https://www.muenchenstein.ch/_rte/abstimmung/136667</t>
  </si>
  <si>
    <t>Volksinitiative "Schluss mit den Steuerprivilegien für Millionäre (Abschaffung der Pauschalbesteuerung)"</t>
  </si>
  <si>
    <t>https://www.muenchenstein.ch/_rte/abstimmung/136668</t>
  </si>
  <si>
    <t>Volksinitiative "Stopp der Überbevölkerung - zur Sicherung der natürlichen Lebensgrundlagen"</t>
  </si>
  <si>
    <t>https://www.muenchenstein.ch/_rte/abstimmung/136669</t>
  </si>
  <si>
    <t>Volksinitiative "Rettet unser Schweizer Gold (Gold-Initiative)"</t>
  </si>
  <si>
    <t>https://www.muenchenstein.ch/_rte/abstimmung/138173</t>
  </si>
  <si>
    <t>.</t>
  </si>
  <si>
    <t>https://www.muenchenstein.ch/_rte/abstimmung/139485</t>
  </si>
  <si>
    <t>Volksinitiative "Familien stärken! Steuerfreie Kinder- und Ausbildungszulagen"</t>
  </si>
  <si>
    <t>https://www.muenchenstein.ch/_rte/abstimmung/139486</t>
  </si>
  <si>
    <t>Volksinitiative "Energie- statt Mehrwertsteuer"</t>
  </si>
  <si>
    <t>https://www.muenchenstein.ch/_rte/abstimmung/139487</t>
  </si>
  <si>
    <t>Änderung des Raumplanungs- und Baugesetzes (Befristung der Aushangdauer von Wahl- und Abstimmungsplakaten)</t>
  </si>
  <si>
    <t>https://www.muenchenstein.ch/_rte/abstimmung/139488</t>
  </si>
  <si>
    <t>Gesetzesinitiative "Für eine Umfahrungsstrasse Allschwil"</t>
  </si>
  <si>
    <t>https://www.muenchenstein.ch/_rte/abstimmung/139489</t>
  </si>
  <si>
    <t>Änderung des Gemeindegesetzes zur nichtformulierten Gesetzesinitiative "Vo Schönebuech bis suuber"</t>
  </si>
  <si>
    <t>https://www.muenchenstein.ch/_rte/abstimmung/139490</t>
  </si>
  <si>
    <t>Strasseninitiative Basel-Landschaft</t>
  </si>
  <si>
    <t>https://www.muenchenstein.ch/_rte/abstimmung/143041</t>
  </si>
  <si>
    <t>Bundesbeschluss über die Änderung der Verfassungsbestimmung zur Fortpflanzungsmedizin und Gentechnologie im Humanbereich (Präimplantationsdiagnostik)</t>
  </si>
  <si>
    <t>https://www.muenchenstein.ch/_rte/abstimmung/143042</t>
  </si>
  <si>
    <t>Volksinitiative "Stipendieninitiative"</t>
  </si>
  <si>
    <t>https://www.muenchenstein.ch/_rte/abstimmung/143043</t>
  </si>
  <si>
    <t>Volksinitiative "Millionen-Erbschaften besteuern für unsere AHV (Erschabftssteuerreform)"</t>
  </si>
  <si>
    <t>https://www.muenchenstein.ch/_rte/abstimmung/143044</t>
  </si>
  <si>
    <t>Änderung des Bundesgesetzes über Radio und Fernsehen (RTVG)</t>
  </si>
  <si>
    <t>https://www.muenchenstein.ch/_rte/abstimmung/143045</t>
  </si>
  <si>
    <t>Formulierte Verfassungsinitiative "Für eine wirkungsvolle Kooperation in der Region (Regio-Kooperationsinitiative)"</t>
  </si>
  <si>
    <t>https://www.muenchenstein.ch/_rte/abstimmung/143046</t>
  </si>
  <si>
    <t>Änderung des Gesetzes über die politischen Rechte (e-Voting und amtliche Information bei Majorzwahlen)</t>
  </si>
  <si>
    <t>https://www.muenchenstein.ch/_rte/abstimmung/145283</t>
  </si>
  <si>
    <t>Formulierte Gesetzesinitiative "Für eine unbürokratische bezahlbare familienergänzende Kinderbetreuung im Frühbereich" und Gegenvorschlag des Regierungsrates</t>
  </si>
  <si>
    <t>https://www.muenchenstein.ch/_rte/abstimmung/145285</t>
  </si>
  <si>
    <t>Landratsbeschluss betreffend "ELBA, Entwicklungsplanung Leimental - Birseck - Allschwil"; Stossrichtungsentscheid und Planungs- und Projektierungskredit</t>
  </si>
  <si>
    <t>https://www.muenchenstein.ch/_rte/abstimmung/147755</t>
  </si>
  <si>
    <t>Volksinitiative "Für Ehe und Familie - gegen die Heiratsstrafe"</t>
  </si>
  <si>
    <t>https://www.muenchenstein.ch/_rte/abstimmung/147756</t>
  </si>
  <si>
    <t>Durchsetzungsinitiative</t>
  </si>
  <si>
    <t>https://www.muenchenstein.ch/_rte/abstimmung/147757</t>
  </si>
  <si>
    <t>Volksinitiative "Keine Spekulation mit Nahrungsmitteln!"</t>
  </si>
  <si>
    <t>https://www.muenchenstein.ch/_rte/abstimmung/147758</t>
  </si>
  <si>
    <t>Änderung des Bundesgesetzes über den Strassentransitverkehr im Alpengebiet (Sanierung Gotthard-Strassentunnel)</t>
  </si>
  <si>
    <t>https://www.muenchenstein.ch/_rte/abstimmung/151673</t>
  </si>
  <si>
    <t>Volksinitiative "Pro Service public"</t>
  </si>
  <si>
    <t>https://www.muenchenstein.ch/_rte/abstimmung/151681</t>
  </si>
  <si>
    <t>Volksinitiative "Für ein bedingungsloses Grundeinkommen"</t>
  </si>
  <si>
    <t>https://www.muenchenstein.ch/_rte/abstimmung/151682</t>
  </si>
  <si>
    <t>Volksinitiative "Für eine faire Verkehrsfinanzierung"</t>
  </si>
  <si>
    <t>https://www.muenchenstein.ch/_rte/abstimmung/151683</t>
  </si>
  <si>
    <t>Änderung des Bundesgesetzes über die medizinisch unterstützte Fortpflanzung (Fortpflanzungsmedizingesetz, FMedG)</t>
  </si>
  <si>
    <t>https://www.muenchenstein.ch/_rte/abstimmung/151684</t>
  </si>
  <si>
    <t>Änderung des Asylgesetzes (AsylG)</t>
  </si>
  <si>
    <t>https://www.muenchenstein.ch/_rte/abstimmung/151685</t>
  </si>
  <si>
    <t>Formulierte Verfassungsinitiative "Für eine bedarfsgerechte familienergänzende Kinderbetreuung"</t>
  </si>
  <si>
    <t>https://www.muenchenstein.ch/_rte/abstimmung/151686</t>
  </si>
  <si>
    <t>Änderung des Bildungsgesetzes (Parlamentarische Initiative "Einführung Lehrplan 21")</t>
  </si>
  <si>
    <t>https://www.muenchenstein.ch/_rte/abstimmung/151687</t>
  </si>
  <si>
    <t>Änderung des Bildungsgesetzes (Parlamentarische Initiative "Verzicht auf kostentreibende Sammelfächer")</t>
  </si>
  <si>
    <t>https://www.muenchenstein.ch/_rte/abstimmung/151688</t>
  </si>
  <si>
    <t>Änderung des Gerichtsorganisationsgesetzes (Parlamentarische Initiative "Für eine unparteiische Justiz")</t>
  </si>
  <si>
    <t>https://www.muenchenstein.ch/_rte/abstimmung/151689</t>
  </si>
  <si>
    <t>Landratsbeschluss betreffend Umsetzung der Pensionskassengesetz-Reform beim Vorsorgewerk der Universität Basel in der Pensionskasse des Kantons Basel-Stadt; partnerschaftliches Geschäft</t>
  </si>
  <si>
    <t>https://www.muenchenstein.ch/_rte/abstimmung/151690</t>
  </si>
  <si>
    <t>Änderung des Bildungsgesetzes (Nichtformulierte Volksinitiative "Bildungsqualität auch für schulisch Schwächere")</t>
  </si>
  <si>
    <t>https://www.muenchenstein.ch/_rte/abstimmung/154765</t>
  </si>
  <si>
    <t>Volksinitiative "Für eine nachhaltige und ressourceneffiziente Wirtschaft (Grüne Wirtschaft)"</t>
  </si>
  <si>
    <t>https://www.muenchenstein.ch/_rte/abstimmung/154766</t>
  </si>
  <si>
    <t>Volksinitiative "AHVplus: für eine starke AHV"</t>
  </si>
  <si>
    <t>https://www.muenchenstein.ch/_rte/abstimmung/154767</t>
  </si>
  <si>
    <t>Bundesgesetz über den Nachrichtendienst (Nachrichtendienstgesetz, NDG)</t>
  </si>
  <si>
    <t>https://www.muenchenstein.ch/_rte/abstimmung/156436</t>
  </si>
  <si>
    <t>Volksinitiative "Für den geordneten Ausstieg aus der Atomenergie (Atomausstiegsinitiative)"</t>
  </si>
  <si>
    <t>https://www.muenchenstein.ch/_rte/abstimmung/156437</t>
  </si>
  <si>
    <t>Formulierte Gesetzesinitiative "zur Verkehrs-Kapazitätssicherung der Rheinstrasse zwischen Pratteln und Liestal" mit Gegenvorschlag des Landrats</t>
  </si>
  <si>
    <t>https://www.muenchenstein.ch/_rte/abstimmung/156438</t>
  </si>
  <si>
    <t>Lanratsbeschluss betreffend Anpassung des Kantonalen Richtplans Basel-Landschaft (KRIP)</t>
  </si>
  <si>
    <t>https://www.muenchenstein.ch/_rte/abstimmung/156443</t>
  </si>
  <si>
    <t>Einführung einer Energieabgabe zur Finanzierung von Fördermassnahmen im Energiebereich (Schaffung der Verfassungsgrundlage)</t>
  </si>
  <si>
    <t>https://www.muenchenstein.ch/_rte/abstimmung/156444</t>
  </si>
  <si>
    <t>Einführung einer Energieabgabe zur Finanzierung von Fördermassnahmen im Energiebereich (gesetzliche Regelung der Abgabe)</t>
  </si>
  <si>
    <t>https://www.muenchenstein.ch/_rte/abstimmung/156445</t>
  </si>
  <si>
    <t>Mutation Strassennetzplan Siedlung "Öffnung Muttenzerstrasse"</t>
  </si>
  <si>
    <t>https://www.muenchenstein.ch/_rte/abstimmung/158199</t>
  </si>
  <si>
    <t>Bundesbeschluss über die erleichterte Einbürgerung von Personen der dritten Ausländergeneration</t>
  </si>
  <si>
    <t>https://www.muenchenstein.ch/_rte/abstimmung/158204</t>
  </si>
  <si>
    <t>Unternehmenssteuerreformgesetz III</t>
  </si>
  <si>
    <t>https://www.muenchenstein.ch/_rte/abstimmung/160328</t>
  </si>
  <si>
    <t>Energiegesetz (EnG)</t>
  </si>
  <si>
    <t>https://www.muenchenstein.ch/_rte/abstimmung/160329</t>
  </si>
  <si>
    <t>Formulierte Gesetzesinitiative "Ja zum Bruderholzspital"</t>
  </si>
  <si>
    <t>https://www.muenchenstein.ch/_rte/abstimmung/160330</t>
  </si>
  <si>
    <t>Nicht formulierte Initiative "Ja zu fachlich kompetent ausgebildeten Lehrpersonen"</t>
  </si>
  <si>
    <t>https://www.muenchenstein.ch/_rte/abstimmung/160331</t>
  </si>
  <si>
    <t>Verfassungsänderung betreffend Abschaffung der Amtszeitbeschränkung für Mitglieder des Landrats</t>
  </si>
  <si>
    <t>https://www.muenchenstein.ch/_rte/abstimmung/161702</t>
  </si>
  <si>
    <t>Ernährungssicherheit</t>
  </si>
  <si>
    <t>https://www.muenchenstein.ch/_rte/abstimmung/161706</t>
  </si>
  <si>
    <t>Zusatzfinanzierung AHV</t>
  </si>
  <si>
    <t>https://www.muenchenstein.ch/_rte/abstimmung/161710</t>
  </si>
  <si>
    <t>Reform der Altersvorsorge 2020</t>
  </si>
  <si>
    <t>https://www.muenchenstein.ch/_rte/abstimmung/161711</t>
  </si>
  <si>
    <t>Für einen effizienten und flexiblen Staatsapparat</t>
  </si>
  <si>
    <t>https://www.muenchenstein.ch/_rte/abstimmung/161712</t>
  </si>
  <si>
    <t>Für gesunde Staatsfinanzen ohne Steuererhöhung</t>
  </si>
  <si>
    <t>https://www.muenchenstein.ch/_rte/abstimmung/161713</t>
  </si>
  <si>
    <t>Streichung der pauschalen Beiträge zum Besuch von Privatschulen</t>
  </si>
  <si>
    <t>https://www.muenchenstein.ch/_rte/abstimmung/161715</t>
  </si>
  <si>
    <t>Realisierungskredit für die Tramverbindung Margarethenstich</t>
  </si>
  <si>
    <t>https://www.muenchenstein.ch/_rte/abstimmung/167558</t>
  </si>
  <si>
    <t>Änderung des Kantonalbankgesetzes</t>
  </si>
  <si>
    <t>https://www.muenchenstein.ch/_rte/abstimmung/167561</t>
  </si>
  <si>
    <t>Erteilung des 8. Generellen Leistungsauftrags im Bereich des öffentlichen Verkehrs für die Jahre 2018-2021</t>
  </si>
  <si>
    <t>https://www.muenchenstein.ch/_rte/abstimmung/169715</t>
  </si>
  <si>
    <t>Neue Finanzordnung</t>
  </si>
  <si>
    <t>https://www.muenchenstein.ch/_rte/abstimmung/169718</t>
  </si>
  <si>
    <t>Ja zur Abschaffung der Billag-Gebühren</t>
  </si>
  <si>
    <t>https://www.muenchenstein.ch/_rte/abstimmung/169721</t>
  </si>
  <si>
    <t>Unvereinbarkeit der gleichzeitigen Mitgliedschaft in Regierungsrat Baselland und Bundesversammlung</t>
  </si>
  <si>
    <t>https://www.muenchenstein.ch/_rte/abstimmung/169724</t>
  </si>
  <si>
    <t>Stimmrecht mit 16</t>
  </si>
  <si>
    <t>https://www.muenchenstein.ch/_rte/abstimmung/169727</t>
  </si>
  <si>
    <t>Stimmrecht für Niedergelassene</t>
  </si>
  <si>
    <t>https://www.muenchenstein.ch/_rte/abstimmung/169730</t>
  </si>
  <si>
    <t>Faire Kompensation der EL-Entlastung</t>
  </si>
  <si>
    <t>https://www.muenchenstein.ch/_rte/abstimmung/176305</t>
  </si>
  <si>
    <t>Vollgeld-Initiative</t>
  </si>
  <si>
    <t>https://www.muenchenstein.ch/_rte/abstimmung/176308</t>
  </si>
  <si>
    <t>Geldspielgesetz</t>
  </si>
  <si>
    <t>https://www.muenchenstein.ch/_rte/abstimmung/176311</t>
  </si>
  <si>
    <t>Änderung des Bildungsgesetzes</t>
  </si>
  <si>
    <t>https://www.muenchenstein.ch/_rte/abstimmung/176314</t>
  </si>
  <si>
    <t>Eine Fremdsprache auf der Primarstufe genügt</t>
  </si>
  <si>
    <t>https://www.muenchenstein.ch/_rte/abstimmung/176317</t>
  </si>
  <si>
    <t>Ersatz Bildungsrat durch Beirat Bildung</t>
  </si>
  <si>
    <t>https://www.muenchenstein.ch/_rte/abstimmung/176320</t>
  </si>
  <si>
    <t>Änderung des Raumplanungs- und Baugesetzes</t>
  </si>
  <si>
    <t>https://www.muenchenstein.ch/_rte/abstimmung/184292</t>
  </si>
  <si>
    <t>Velo-Initiative</t>
  </si>
  <si>
    <t>https://www.muenchenstein.ch/_rte/abstimmung/184295</t>
  </si>
  <si>
    <t>Fair-Food-lnitiative</t>
  </si>
  <si>
    <t>https://www.muenchenstein.ch/_rte/abstimmung/184298</t>
  </si>
  <si>
    <t>Für Ernährungssouveränität. Die Landwirtschaft betrifft uns alle</t>
  </si>
  <si>
    <t>https://www.muenchenstein.ch/_rte/abstimmung/188476</t>
  </si>
  <si>
    <t>Hornkuh-Initiative</t>
  </si>
  <si>
    <t>https://www.muenchenstein.ch/_rte/abstimmung/188482</t>
  </si>
  <si>
    <t>Selbstbestimmungsinitiative</t>
  </si>
  <si>
    <t>https://www.muenchenstein.ch/_rte/abstimmung/188488</t>
  </si>
  <si>
    <t>Änderung Allgem. Teil Sozialversicherungsrecht</t>
  </si>
  <si>
    <t>https://www.muenchenstein.ch/_rte/abstimmung/188491</t>
  </si>
  <si>
    <t>Änderung des Steuergesetzes (Gegenvorschlag zur «Wohnkosten-Initiative»)</t>
  </si>
  <si>
    <t>https://www.muenchenstein.ch/_rte/abstimmung/188494</t>
  </si>
  <si>
    <t>Formulierte Gesetzesinitiative «Ja zur Prämienverbilligung»</t>
  </si>
  <si>
    <t>https://www.muenchenstein.ch/_rte/abstimmung/188497</t>
  </si>
  <si>
    <t>Teilrevision des Gerichtsorganisations- und Prozessrechts</t>
  </si>
  <si>
    <t>https://www.muenchenstein.ch/_rte/abstimmung/195019</t>
  </si>
  <si>
    <t>Zersiedelungsinitiative</t>
  </si>
  <si>
    <t>https://www.muenchenstein.ch/_rte/abstimmung/195022</t>
  </si>
  <si>
    <t>Planung, Regulation und Aufsicht in der Gesundheitsversorgung</t>
  </si>
  <si>
    <t>https://www.muenchenstein.ch/_rte/abstimmung/195025</t>
  </si>
  <si>
    <t>Universitätsspital Nordwest AG</t>
  </si>
  <si>
    <t>https://www.muenchenstein.ch/_rte/abstimmung/195031</t>
  </si>
  <si>
    <t>Abgeltung von Planungsmehrwerten</t>
  </si>
  <si>
    <t>https://www.muenchenstein.ch/_rte/abstimmung/195034</t>
  </si>
  <si>
    <t>Ausgleichsinitiative mit Gegenvorschlag</t>
  </si>
  <si>
    <t>https://www.muenchenstein.ch/_rte/abstimmung/202925</t>
  </si>
  <si>
    <t>STAF</t>
  </si>
  <si>
    <t>https://www.muenchenstein.ch/_rte/abstimmung/202928</t>
  </si>
  <si>
    <t>Änderung der EU-Waffenrichtlinie</t>
  </si>
  <si>
    <t>https://www.muenchenstein.ch/_rte/abstimmung/202931</t>
  </si>
  <si>
    <t>Bildungsressourcen gerecht verteilen und für das Wesentliche einsetzen!</t>
  </si>
  <si>
    <t>https://www.muenchenstein.ch/_rte/abstimmung/202937</t>
  </si>
  <si>
    <t>Stopp dem Abbau an öffentlichen Schulen!</t>
  </si>
  <si>
    <t>https://www.muenchenstein.ch/_rte/abstimmung/209285</t>
  </si>
  <si>
    <t>Ergänzungsleistungen für Familien mit geringem Einkommen</t>
  </si>
  <si>
    <t>https://www.muenchenstein.ch/_rte/abstimmung/209288</t>
  </si>
  <si>
    <t>Änderung des Steuergesetzes</t>
  </si>
  <si>
    <t>https://www.muenchenstein.ch/_rte/abstimmung/209291</t>
  </si>
  <si>
    <t>Staatsbeitragsgesetz</t>
  </si>
  <si>
    <t>https://www.muenchenstein.ch/_rte/abstimmung/209294</t>
  </si>
  <si>
    <t>Gegenvorschlag des Landrats vom 28. Februar 2019 zur (zurückgezogenen) nichtformulierten Volksinitiative «Niveaugetrennter Unterricht in Promotionsfächern»</t>
  </si>
  <si>
    <t>https://www.muenchenstein.ch/_rte/abstimmung/209297</t>
  </si>
  <si>
    <t>https://www.muenchenstein.ch/_rte/abstimmung/209300</t>
  </si>
  <si>
    <t>Anpassung des Kantonalen Richtplans betreffend Oberwil, Ausbau Langmattstrasse</t>
  </si>
  <si>
    <t>https://www.muenchenstein.ch/_rte/abstimmung/214885</t>
  </si>
  <si>
    <t>Volksinitiative vom 18. Oktober 2016 «Mehr bezahlbare Wohnungen»</t>
  </si>
  <si>
    <t>https://www.muenchenstein.ch/_rte/abstimmung/214894</t>
  </si>
  <si>
    <t>Änderung vom 14. Dezember 2018 des Strafgesetzbuches und des Militärstrafgesetzes (Diskriminierung und Aufruf zu Hass aufgrund der sexuellen Orientierung)</t>
  </si>
  <si>
    <t>https://www.muenchenstein.ch/_rte/abstimmung/221600</t>
  </si>
  <si>
    <t>Quartierplan Spenglerpark</t>
  </si>
  <si>
    <t>https://www.muenchenstein.ch/_rte/abstimmung/225932</t>
  </si>
  <si>
    <t>Begrenzungsinitiative</t>
  </si>
  <si>
    <t>https://www.muenchenstein.ch/_rte/abstimmung/225938</t>
  </si>
  <si>
    <t>Bundesgesetzes über die Jagd und den Schutz wildlebender Säugetiere und Vögel (Jagdgesetz, JSG)</t>
  </si>
  <si>
    <t>https://www.muenchenstein.ch/_rte/abstimmung/225941</t>
  </si>
  <si>
    <t>Bundesgesetzes über die direkte Bundessteuer (DBG) (Steuerliche Berücksichtigung der Kinderdrittbetreuungskosten)</t>
  </si>
  <si>
    <t>https://www.muenchenstein.ch/_rte/abstimmung/225944</t>
  </si>
  <si>
    <t>Bundesgesetzes über den Erwerbsersatz für Dienstleistende und bei Mutterschaft (Erwerbsersatzgesetz, EOG)</t>
  </si>
  <si>
    <t>https://www.muenchenstein.ch/_rte/abstimmung/225956</t>
  </si>
  <si>
    <t>Ausbau des Hochleistungsstrassennetzes</t>
  </si>
  <si>
    <t>https://www.muenchenstein.ch/_rte/abstimmung/234037</t>
  </si>
  <si>
    <t>Volksinitiative vom 10. Oktober 2016 «Für verantwortungsvolle Unternehmen – zum Schutz von Mensch und Umwelt»</t>
  </si>
  <si>
    <t>https://www.muenchenstein.ch/_rte/abstimmung/234040</t>
  </si>
  <si>
    <t>Volksinitiative vom 21. Juni 2018 «Für ein Verbot der Finanzierung von Kriegsmaterialproduzenten»</t>
  </si>
  <si>
    <t>https://www.muenchenstein.ch/_rte/abstimmung/234049</t>
  </si>
  <si>
    <t>Gesetz über die Ausrichtung von Mietzinsbeiträgen an die Mieterinnen und Mieter von Geschäftsräumlichkeiten im Zusammenhang mit dem Coronavirus (Covid-19) vom 27. August 2020</t>
  </si>
  <si>
    <t>https://www.muenchenstein.ch/_rte/abstimmung/241226</t>
  </si>
  <si>
    <t>Volksinitiative vom 15. September 2017 «Ja zum Verhüllungsverbot»</t>
  </si>
  <si>
    <t>https://www.muenchenstein.ch/_rte/abstimmung/241229</t>
  </si>
  <si>
    <t>Bundesgesetz vom 27. September 2019 über elektronische Identifizierungsdienste (E-ID-Gesetz, BGEID)</t>
  </si>
  <si>
    <t>https://www.muenchenstein.ch/_rte/abstimmung/241232</t>
  </si>
  <si>
    <t>Bundesbeschluss vom 20. Dezember 2019 über die Genehmigung des Umfassenden Wirtschaftspartnerschaftsabkommens zwischen den EFTA-Staaten und Indonesien</t>
  </si>
  <si>
    <t>https://www.muenchenstein.ch/_rte/abstimmung/241235</t>
  </si>
  <si>
    <t>Formulierte Gesetzesinitiative «Die gigantische und unerfüllbare Anzahl von 3'500 Kompetenzbeschreibungen in den Lehrplänen auf ein vernünftiges Mass reduzieren» vom 29. August 2019</t>
  </si>
  <si>
    <t>https://www.muenchenstein.ch/_rte/abstimmung/241238</t>
  </si>
  <si>
    <t>Revision des Gesetzes über die Bekämpfung der Schwarzarbeit (GSA)</t>
  </si>
  <si>
    <t>https://www.muenchenstein.ch/_rte/abstimmung/241244</t>
  </si>
  <si>
    <t>Revision des Arbeitsmarktaufsichtsgesetzes (AMAG)</t>
  </si>
  <si>
    <t>https://www.muenchenstein.ch/_rte/abstimmung/251042</t>
  </si>
  <si>
    <t>Volksinitiative vom 18. Januar 2018 «Für sauberes Trinkwasser und gesunde Nahrung – Keine Subventionen für den Pestizid- und den prophylaktischen Antibiotika-Einsatz»</t>
  </si>
  <si>
    <t>https://www.muenchenstein.ch/_rte/abstimmung/251045</t>
  </si>
  <si>
    <t>Volksinitiative vom 25. Mai 2018 «Für eine Schweiz ohne synthetische Pestizide»</t>
  </si>
  <si>
    <t>https://www.muenchenstein.ch/_rte/abstimmung/251051</t>
  </si>
  <si>
    <t>Bundesgesetz vom 25. September 2020 über die Verminderung von Treibhausgasemissionen (CO2-Gesetz)</t>
  </si>
  <si>
    <t>https://www.muenchenstein.ch/_rte/abstimmung/251054</t>
  </si>
  <si>
    <t>Bundesgesetz vom 25. September 2020 über polizeiliche Massnahmen zur Bekämpfung von Terrorismus</t>
  </si>
  <si>
    <t>https://www.muenchenstein.ch/_rte/abstimmung/25246</t>
  </si>
  <si>
    <t>Bundesbeschluss vom 16. Dezember 2005 über die Neuordnung der Verfassungsbestmmungen zur Bildung</t>
  </si>
  <si>
    <t>https://www.muenchenstein.ch/_rte/abstimmung/258893</t>
  </si>
  <si>
    <t>Volksinitiative vom 2. April 2019 «Löhne entlasten, Kapital gerecht besteuern»</t>
  </si>
  <si>
    <t>https://www.muenchenstein.ch/_rte/abstimmung/258896</t>
  </si>
  <si>
    <t>Änderung vom 18. Dezember 2020 des Schweizerischen Zivilgesetzbuches (Ehe für alle)</t>
  </si>
  <si>
    <t>https://www.muenchenstein.ch/_rte/abstimmung/259906</t>
  </si>
  <si>
    <t>Quartierplanung (QP) vanBaerle</t>
  </si>
  <si>
    <t>https://www.muenchenstein.ch/_rte/abstimmung/261652</t>
  </si>
  <si>
    <t>Volksinitiative vom 7. November 2017 «Für eine starke Pflege (Pflegeinitiative)»</t>
  </si>
  <si>
    <t>https://www.muenchenstein.ch/_rte/abstimmung/261655</t>
  </si>
  <si>
    <t>Volksinitiative vom 26. August 2019 «Bestimmung der Bundesrichterinnen und Bundesrichter im Losverfahren (Justiz-Initiative)»</t>
  </si>
  <si>
    <t>https://www.muenchenstein.ch/_rte/abstimmung/261664</t>
  </si>
  <si>
    <t>Landratsbeschluss vom 20. Mai 2021 betreffend kantonales Integrationsprogramm 2bis (2022-2023); Ausgabenbewilligung (LRV 2021/70)</t>
  </si>
  <si>
    <t>https://www.muenchenstein.ch/_rte/abstimmung/265018</t>
  </si>
  <si>
    <t>Volksinitiative vom 18. März 2019 «Ja zum Tier- und Menschenversuchsverbot – Ja zu Forschungswegen mit Impulsen für Sicherheit und Fortschritt»</t>
  </si>
  <si>
    <t>https://www.muenchenstein.ch/_rte/abstimmung/265021</t>
  </si>
  <si>
    <t>Volksinitiative vom 12. September 2019 «Ja zum Schutz der Kinder und Jugendlichen vor Tabakwerbung (Kinder und Jugendliche ohne Tabakwerbung)»</t>
  </si>
  <si>
    <t>https://www.muenchenstein.ch/_rte/abstimmung/265027</t>
  </si>
  <si>
    <t>Änderung vom 18. Juni 2021 des Bundesgesetzes über die Stempelabgaben (StG)</t>
  </si>
  <si>
    <t>https://www.muenchenstein.ch/_rte/abstimmung/265030</t>
  </si>
  <si>
    <t>Bundesgesetz vom 18. Juni 2021 über ein Massnahmenpaket zugunsten der Medien</t>
  </si>
  <si>
    <t>https://www.muenchenstein.ch/_rte/abstimmung/265033</t>
  </si>
  <si>
    <t>Formulierte Gesetzesinitiative «Klimaschutz» (LRV 2020/286)</t>
  </si>
  <si>
    <t>https://www.muenchenstein.ch/_rte/abstimmung/265036</t>
  </si>
  <si>
    <t>Teilrevision der Verfassung des Kantons Basel-Landschaft betreffend Volksinitiativen (LRV 2021/172)</t>
  </si>
  <si>
    <t>https://www.muenchenstein.ch/_rte/abstimmung/270899</t>
  </si>
  <si>
    <t>Änderung vom 1. Oktober 2021 des Bundesgesetzes über Filmproduktion und Filmkultur (Filmgesetz, FiG) (BBI 2021 2326)</t>
  </si>
  <si>
    <t>https://www.muenchenstein.ch/_rte/abstimmung/270902</t>
  </si>
  <si>
    <t>Änderung vom 1. Oktober 2021 des Bundesgesetzes über die Transplantation von Organen, Geweben und ZeIlen (Transplantationsgesetz) (BBI 2021 2328);</t>
  </si>
  <si>
    <t>https://www.muenchenstein.ch/_rte/abstimmung/270908</t>
  </si>
  <si>
    <t>Änderung der Kantonsverfassung vom 13. Januar 2022 betreffend Anpassung der Bestimmungen über die Ombudsperson (LRV 2021/702)</t>
  </si>
  <si>
    <t>https://www.muenchenstein.ch/_rte/abstimmung/270911</t>
  </si>
  <si>
    <t>Teilrevision des Sozialhilfegesetzes vom 4. November 2021 betreffend «Anreize stärken – Arbeitsintegration fördern» (LRV 2021/124)</t>
  </si>
  <si>
    <t>https://www.muenchenstein.ch/_rte/abstimmung/27784</t>
  </si>
  <si>
    <t>Volksinitiative vom 9. Oktober 2002 betreffend Nationalbankgewinne für die AHV (Bundesbeschluss vom 16. Dezember 2005)</t>
  </si>
  <si>
    <t>https://www.muenchenstein.ch/_rte/abstimmung/27785</t>
  </si>
  <si>
    <t>Bundesgesetz vom 16. Dezember 2005 über die Ausländerinnen und Ausländer</t>
  </si>
  <si>
    <t>https://www.muenchenstein.ch/_rte/abstimmung/27786</t>
  </si>
  <si>
    <t>Änderung vom 16. Dezember 2005 des Asylgesetzes</t>
  </si>
  <si>
    <t>https://www.muenchenstein.ch/_rte/abstimmung/27788</t>
  </si>
  <si>
    <t>Gesetz über den unverzüglichen Bau der H2 zwischen Pratteln-Liestal vom 18. Mai 2006</t>
  </si>
  <si>
    <t>https://www.muenchenstein.ch/_rte/abstimmung/27789</t>
  </si>
  <si>
    <t>Kantonales Alkohol- und Tabakgesetz vom 22. Juni 2006</t>
  </si>
  <si>
    <t>https://www.muenchenstein.ch/_rte/abstimmung/278252</t>
  </si>
  <si>
    <t>Volksinitiative vom 17. September 2019 «Keine Massentierhaltung in der Schweiz (Massentierhaltungsinitiative)» (BBI 2022 700)</t>
  </si>
  <si>
    <t>https://www.muenchenstein.ch/_rte/abstimmung/278255</t>
  </si>
  <si>
    <t>Bundesbeschluss vom 17. Dezember 2021 über die Zusatzfinanzierung der AHV durch eine Erhöhung der Mehrwertsteuer (BBI 2022 2991)</t>
  </si>
  <si>
    <t>https://www.muenchenstein.ch/_rte/abstimmung/278261</t>
  </si>
  <si>
    <t>Änderung vom 17. Dezember 2021 des Bundesgesetzes über die Verrechnungssteuer (Verrechnungssteuergesetz, VStG) (Stärkung des Fremdkapitalmarkts) (BBI 2021 3002)</t>
  </si>
  <si>
    <t>https://www.muenchenstein.ch/_rte/abstimmung/283459</t>
  </si>
  <si>
    <t>Änderung des Steuergesetzes, Vermögenssteuerreform I, (Landratsvorlage 2022/152)</t>
  </si>
  <si>
    <t>https://www.muenchenstein.ch/_rte/abstimmung/285614</t>
  </si>
  <si>
    <t>Bundesbeschluss vom 16. Dezember 2022 über eine besondere Besteuerung grosser Unternehmensgruppen (Umsetzung des OECD/G20-Projekts zur Besteuerung grosser Unternehmensgruppen) (BBl 2022 3216).</t>
  </si>
  <si>
    <t>https://www.muenchenstein.ch/_rte/abstimmung/285620</t>
  </si>
  <si>
    <t>Bundesgesetz vom 30. September 2022 über die Ziele im Klimaschutz, die Innovation und die Stärkung der Energiesicherheit (KlG) (BBl 2022 2403).</t>
  </si>
  <si>
    <t>https://www.muenchenstein.ch/_rte/abstimmung/292657</t>
  </si>
  <si>
    <t>Volksinitiative vom 28. Mai 2021 "Für ein besseres Leben im Alter (Initiative für eine 13. AHV-Rente)"</t>
  </si>
  <si>
    <t>https://www.muenchenstein.ch/_rte/abstimmung/292663</t>
  </si>
  <si>
    <t>Volksinitiative vom 16. Juli 2021 "Für eine sichere und nachhaltige Altersvorsorge" (Renteninitiative)</t>
  </si>
  <si>
    <t>https://www.muenchenstein.ch/_rte/abstimmung/294841</t>
  </si>
  <si>
    <t>Volksinitiative vom 23. Januar 2020 «Maximal 10 % des Einkommens für die Krankenkassenprämien (Prämien-Entlastungs-Initiative)»</t>
  </si>
  <si>
    <t>https://www.muenchenstein.ch/_rte/abstimmung/294847</t>
  </si>
  <si>
    <t>Volksinitiative vom 10. März 2020 «Für tiefere Prämien – Kostenbremse im Gesundheitswesen (Kostenbremse-Initiative)»</t>
  </si>
  <si>
    <t>https://www.muenchenstein.ch/_rte/abstimmung/294850</t>
  </si>
  <si>
    <t>Volksinitiative vom 16. Dezember 2021 «Für Freiheit und körperliche Unversehrtheit»</t>
  </si>
  <si>
    <t>https://www.muenchenstein.ch/_rte/abstimmung/294853</t>
  </si>
  <si>
    <t>Bundesgesetz vom 20. Dezember 2024 über den elektronischen Identitätsnachweis und andere elektronische Nachweise (E-ID-Gesetz, BGEID).</t>
  </si>
  <si>
    <t>https://www.muenchenstein.ch/_rte/abstimmung/294856</t>
  </si>
  <si>
    <t>Änderung des Energiegesetzes vom 19. Oktober 2023</t>
  </si>
  <si>
    <t>https://www.muenchenstein.ch/_rte/abstimmung/29592</t>
  </si>
  <si>
    <t>Familienzulagengesetz, FamZG</t>
  </si>
  <si>
    <t>https://www.muenchenstein.ch/_rte/abstimmung/29593</t>
  </si>
  <si>
    <t>Qualitätsinitiative</t>
  </si>
  <si>
    <t>https://www.muenchenstein.ch/_rte/abstimmung/29594</t>
  </si>
  <si>
    <t>Initiative Einwohnerrat</t>
  </si>
  <si>
    <t>https://www.muenchenstein.ch/_rte/abstimmung/299251</t>
  </si>
  <si>
    <t>Volksinitiative vom 8. September 2020 "Für die Zukunft unserer Natur und Landschaft (Biodiversitätsinitiative)</t>
  </si>
  <si>
    <t>https://www.muenchenstein.ch/_rte/abstimmung/299281</t>
  </si>
  <si>
    <t>Teilrevision des Gesundheitsgesetzes vom 11. April 2024; Zulassung von Leistungserbringern zur Tätigkeit zulasten der obligatorischen Krankenpflegeversicherung (LRV 2023/636)</t>
  </si>
  <si>
    <t>https://www.muenchenstein.ch/_rte/abstimmung/301597</t>
  </si>
  <si>
    <t>Änderung vom 29. September 2023 des Obligationenrechts (Mietrecht: Untermiete) (BBl 2023 2288)</t>
  </si>
  <si>
    <t>https://www.muenchenstein.ch/_rte/abstimmung/301600</t>
  </si>
  <si>
    <t>Änderung vom 29. September 2023 des Obligationenrechts (Mietrecht: Kündigung wegen Eigenbedarfs) (BBl 2023 2291)</t>
  </si>
  <si>
    <t>https://www.muenchenstein.ch/_rte/abstimmung/301603</t>
  </si>
  <si>
    <t>Änderung vom 22.Dezember 2023 des Bundesgesetzes über die Krankenversicherung (KVG) (Einheitliche Finanzierung der Leistungen) (BBl 2024 31)</t>
  </si>
  <si>
    <t>https://www.muenchenstein.ch/_rte/abstimmung/305794</t>
  </si>
  <si>
    <t>Volksinitiative "Für eine verantwortungsvolle Wirtschaft innerhalb der planetaren Grenzen (Umweltverantwortungsinitiative)".</t>
  </si>
  <si>
    <t>https://www.muenchenstein.ch/_rte/abstimmung/305797</t>
  </si>
  <si>
    <t>Einführung des kantonalen Doppelproporzes im Kanton Basel-Landschaft - Teilrevision des Gesetzes über die politischen Rechte (2024/378).</t>
  </si>
  <si>
    <t>https://www.muenchenstein.ch/_rte/abstimmung/305800</t>
  </si>
  <si>
    <t>Formulierte Gesetzesinitiative "22.- Mindestlohn im Baselbiet" (2024/497)</t>
  </si>
  <si>
    <t>https://www.muenchenstein.ch/_rte/abstimmung/30611</t>
  </si>
  <si>
    <t>Wahlen Landrat und Regierungsrat</t>
  </si>
  <si>
    <t>https://www.muenchenstein.ch/_rte/abstimmung/312730</t>
  </si>
  <si>
    <t>Volksinitiative "Für eine engagierte Schweiz (Servicer-citoyen-Initiative)"</t>
  </si>
  <si>
    <t>https://www.muenchenstein.ch/_rte/abstimmung/312733</t>
  </si>
  <si>
    <t>Volksinitiative "Für eine soziale Klimapolitik - steuerlich gerecht finanziert (Initiative für eine Zukunft)"</t>
  </si>
  <si>
    <t>https://www.muenchenstein.ch/_rte/abstimmung/312736</t>
  </si>
  <si>
    <t>Teilrevision des Ergänzungsleistungsgesetzes vom 26. Juni 2025 betreffend Erhöhung des Vermögensverzehrs (2025/145)</t>
  </si>
  <si>
    <t>https://www.muenchenstein.ch/_rte/abstimmung/312742</t>
  </si>
  <si>
    <t>Laufen, Verlegung der Naubrücke: Genehmigung des generellen Projekts (2025/93, Planungsreferendum)</t>
  </si>
  <si>
    <t>https://www.muenchenstein.ch/_rte/abstimmung/31319</t>
  </si>
  <si>
    <t>Richtplan Münchenstein - Genehmigungsinhalte ohne Teil Dreispitz</t>
  </si>
  <si>
    <t>https://www.muenchenstein.ch/_rte/abstimmung/31320</t>
  </si>
  <si>
    <t>Gemeinsame Trägerschaft der Universität Basel</t>
  </si>
  <si>
    <t>https://www.muenchenstein.ch/_rte/abstimmung/31321</t>
  </si>
  <si>
    <t>Änderung von § 52 der Kantonsverfassung</t>
  </si>
  <si>
    <t>https://www.muenchenstein.ch/_rte/abstimmung/31322</t>
  </si>
  <si>
    <t>Volksinitiative "Für eine soziale Einheitskrankenkasse"</t>
  </si>
  <si>
    <t>https://www.muenchenstein.ch/_rte/abstimmung/318743</t>
  </si>
  <si>
    <t xml:space="preserve">Volksinitiative «Ja zu einer unabhängigen, freien Schweizer Währung mit Münzen oder Banknoten (Bargeld ist Freiheit)» und direkter Gegenentwurf Bundesbeschluss über die schweizerische Währung und die </t>
  </si>
  <si>
    <t>https://www.muenchenstein.ch/_rte/abstimmung/318746</t>
  </si>
  <si>
    <t>Volksinitiative «200 Franken sind genug! (SRG-Initiative)» (BBl 2025 2887)</t>
  </si>
  <si>
    <t>https://www.muenchenstein.ch/_rte/abstimmung/318749</t>
  </si>
  <si>
    <t>Volksinitiative «Für eine gerechte Energie- und Klimapolitik: Investieren für Wohlstand, Arbeit und Umwelt (Klimafonds-Initiative)» (BBl 2025 2888)</t>
  </si>
  <si>
    <t>https://www.muenchenstein.ch/_rte/abstimmung/318752</t>
  </si>
  <si>
    <t>Bundesgesetz vom 20. Juni 2025 über die Individualbesteuerung (BBl 2025 2033)</t>
  </si>
  <si>
    <t>https://www.muenchenstein.ch/_rte/abstimmung/318758</t>
  </si>
  <si>
    <t>Formulierte Gesetzesinitiative «Tempo 30 auf Hauptstrassen - nur mit Zustimmung des Volkes» vom 10. August 2023 mit Gegenvorschlag des Landrats vom 11. September 2025</t>
  </si>
  <si>
    <t>https://www.muenchenstein.ch/_rte/abstimmung/318761</t>
  </si>
  <si>
    <t>Formulierte Gesetzesinitiative «Vollumfänglicher Steuerabzug der selbstgetragenen Prämien der obligatorischen Krankenpflegeversicherung («Prämienabzug für alle»)» vom 15. August 2024 mit Gegenvorschla</t>
  </si>
  <si>
    <t>https://www.muenchenstein.ch/_rte/abstimmung/318764</t>
  </si>
  <si>
    <t>Formulierte Gesetzesinitiative «Potential nutzen – Versorgung sichern: Für eine vorausschauende Energiepolitik im Baselbiet» vom 29. April 2024 («Solar-Initiative»)</t>
  </si>
  <si>
    <t>https://www.muenchenstein.ch/_rte/abstimmung/318770</t>
  </si>
  <si>
    <t>Formulierte Verfassungsinitiative «Transparenz- und Mitwirkungsinitiative» vom 31. Oktober 2024</t>
  </si>
  <si>
    <t>https://www.muenchenstein.ch/_rte/abstimmung/318773</t>
  </si>
  <si>
    <t>Verfassungsänderung Kreislaufwirtschaft</t>
  </si>
  <si>
    <t>https://www.muenchenstein.ch/_rte/abstimmung/322384</t>
  </si>
  <si>
    <t>Volksinitiative «Keine 10-Millionen-Schweiz! (Nachhaltigkeitsinitiative)»</t>
  </si>
  <si>
    <t>https://www.muenchenstein.ch/_rte/abstimmung/322387</t>
  </si>
  <si>
    <t>Änderung vom 26. September 2025 des Bundesgesetzes über den zivilen Ersatzdienst (Zivildienstgesetz, ZDG)</t>
  </si>
  <si>
    <t>https://www.muenchenstein.ch/_rte/abstimmung/322390</t>
  </si>
  <si>
    <t>Formulierte Verfassungsinitiative «Für gute und stabile Beziehungen der Schweiz mit der Europäischen Union und den Nachbarländern (Zämme in Europa)» (2025/84)</t>
  </si>
  <si>
    <t>https://www.muenchenstein.ch/_rte/abstimmung/322393</t>
  </si>
  <si>
    <t>Formulierte Gesetzesinitiative «Energiepolitik nur mit der Bevölkerung» (2025/36)</t>
  </si>
  <si>
    <t>https://www.muenchenstein.ch/_rte/abstimmung/322399</t>
  </si>
  <si>
    <t>Neue Ortsdurchfahrt Birsfelden, Umgestaltung der Haupt- und Rheinfelderstrasse, Ausgabenbewilligung für die Realisierung (2024/747)</t>
  </si>
  <si>
    <t>https://www.muenchenstein.ch/_rte/abstimmung/327079</t>
  </si>
  <si>
    <t>Volksinitiative "Wahrung der schweizerischen Neutralität (Neutralitätsinitiative) (BBI 2026 799)</t>
  </si>
  <si>
    <t>https://www.muenchenstein.ch/_rte/abstimmung/327082</t>
  </si>
  <si>
    <t>Volksinitiative "Für eine sichere Ernährung - durch Stärkung einer nachhaltigen inländischen Produktion, mehr pflanzliche Lebensmittel und sauberes Trinkwasser (Ernährungsinitiative)" (BBI 2026 800)</t>
  </si>
  <si>
    <t>https://www.muenchenstein.ch/_rte/abstimmung/327088</t>
  </si>
  <si>
    <t>Formulierte Gesetzesinitiative "Fairer Kompromiss bei der Mehrwertabgabe" vom 10. Juni 2025 mit Gegenvorschlag des Landrats vom 23. April 2026 (2025/414)</t>
  </si>
  <si>
    <t>https://www.muenchenstein.ch/_rte/abstimmung/328972</t>
  </si>
  <si>
    <t>Bundesbeschluss vom 19. Juni 2026 über die Zusatzfinanzierung der AHV durch eine Erhöhung der Mehrwertsteuer</t>
  </si>
  <si>
    <t>https://www.muenchenstein.ch/_rte/abstimmung/328975</t>
  </si>
  <si>
    <t>Volksinitiative «Für eine Einschränkung von Feuerwerk»</t>
  </si>
  <si>
    <t>https://www.muenchenstein.ch/_rte/abstimmung/328981</t>
  </si>
  <si>
    <t>Volksinitiative «Ja zu fairen Bundessteuern auch für Ehepaare – Diskriminierung der Ehe endlich abschaffen!»</t>
  </si>
  <si>
    <t>https://www.muenchenstein.ch/_rte/abstimmung/328984</t>
  </si>
  <si>
    <t>Änderung vom 19. Dezember 2025 des Bundesgesetzes über das Kriegsmaterial</t>
  </si>
  <si>
    <t>https://www.muenchenstein.ch/_rte/abstimmung/328987</t>
  </si>
  <si>
    <t>Formulierte Verfassungsinitiative «Fairer Arbeitsmarkt: KMU-Arbeitsbedingungen als Richtschnur für die öffentliche Verwaltung» vom 18. September 2025 (2025/482)</t>
  </si>
  <si>
    <t>https://www.muenchenstein.ch/_rte/abstimmung/328990</t>
  </si>
  <si>
    <t>Formulierte Gesetzesinitiative «für ein bezahlbares U-Abo für Kinder und Jugendliche im Kanton Basel-Landschaft» vom 1. September 2025 (2025/462)</t>
  </si>
  <si>
    <t>https://www.muenchenstein.ch/_rte/abstimmung/33944</t>
  </si>
  <si>
    <t>Bundesgesetz über die Invalidenversicherung (IVG)</t>
  </si>
  <si>
    <t>https://www.muenchenstein.ch/_rte/abstimmung/33945</t>
  </si>
  <si>
    <t>Rheinhafenvertrag vom 13./20. Juni 2006</t>
  </si>
  <si>
    <t>https://www.muenchenstein.ch/_rte/abstimmung/35594</t>
  </si>
  <si>
    <t>National- und Ständeratswahlen</t>
  </si>
  <si>
    <t>https://www.muenchenstein.ch/_rte/abstimmung/36734</t>
  </si>
  <si>
    <t>Änderung vom 21. Juni 2007 des Gesetzes über das Halten von Hunden</t>
  </si>
  <si>
    <t>https://www.muenchenstein.ch/_rte/abstimmung/36735</t>
  </si>
  <si>
    <t>Unternehmenssteuerreform</t>
  </si>
  <si>
    <t>https://www.muenchenstein.ch/_rte/abstimmung/42061</t>
  </si>
  <si>
    <t>Volksinitiative vom 18. November 2005 für demokratische Einbürgerungen</t>
  </si>
  <si>
    <t>https://www.muenchenstein.ch/_rte/abstimmung/42062</t>
  </si>
  <si>
    <t>Volksinitiative vom 11. August 2004 Volkssouveränität statt Behördenpropaganda</t>
  </si>
  <si>
    <t>https://www.muenchenstein.ch/_rte/abstimmung/42063</t>
  </si>
  <si>
    <t>Verfassungsartikel vom 21. Dezember 2007 für Qualität und Wirtschaftlichkeit in der Krankenversicherung</t>
  </si>
  <si>
    <t>https://www.muenchenstein.ch/_rte/abstimmung/42064</t>
  </si>
  <si>
    <t>Teilrevision vom 24. Januar 2008 des Gesetzes über die Verfassungs- und Verwaltungsprozessordnung</t>
  </si>
  <si>
    <t>https://www.muenchenstein.ch/_rte/abstimmung/42065</t>
  </si>
  <si>
    <t>Formulierte Gesetzesinitiative vom 15. Januar 2007 für die Abschaffung der Fachstelle für Gleichstellung von Mann und Frau</t>
  </si>
  <si>
    <t>https://www.muenchenstein.ch/_rte/abstimmung/43114</t>
  </si>
  <si>
    <t>Gegen Kampfjetlärm in Tourismusgebieten</t>
  </si>
  <si>
    <t>https://www.muenchenstein.ch/_rte/abstimmung/43115</t>
  </si>
  <si>
    <t>Unternehmenssteuerreformgesetz</t>
  </si>
  <si>
    <t>https://www.muenchenstein.ch/_rte/abstimmung/43116</t>
  </si>
  <si>
    <t>Defizitbremse</t>
  </si>
  <si>
    <t>https://www.muenchenstein.ch/_rte/abstimmung/44753</t>
  </si>
  <si>
    <t>Referendumsabstimmung Messezentrum Basel 2012</t>
  </si>
  <si>
    <t>https://www.muenchenstein.ch/_rte/abstimmung/44754</t>
  </si>
  <si>
    <t>ÖV Initiative</t>
  </si>
  <si>
    <t>https://www.muenchenstein.ch/_rte/abstimmung/50341</t>
  </si>
  <si>
    <t>Volksinitiative "Für die Unverjährbarkeit pornografischer Straftaten an Kindern"</t>
  </si>
  <si>
    <t>https://www.muenchenstein.ch/_rte/abstimmung/50342</t>
  </si>
  <si>
    <t>Volksinitiative "Für ein flexibles AHV-Alter"</t>
  </si>
  <si>
    <t>https://www.muenchenstein.ch/_rte/abstimmung/50343</t>
  </si>
  <si>
    <t>Volksinitiative "Verbandsbeschwerderecht: Schluss mit der Verhinderungspolitik - Mehr Wachstum für die Schweiz!"</t>
  </si>
  <si>
    <t>https://www.muenchenstein.ch/_rte/abstimmung/50344</t>
  </si>
  <si>
    <t>Hanfinitiative</t>
  </si>
  <si>
    <t>https://www.muenchenstein.ch/_rte/abstimmung/50345</t>
  </si>
  <si>
    <t>Betäubungsmittelgesetz</t>
  </si>
  <si>
    <t>https://www.muenchenstein.ch/_rte/abstimmung/50346</t>
  </si>
  <si>
    <t>Formulierte Verfassungsinitiative "Ja, Bildungsvielfalt für alle" und Änderung des Bildungsgesetzes (Gegenvorschlag)</t>
  </si>
  <si>
    <t>https://www.muenchenstein.ch/_rte/abstimmung/52386</t>
  </si>
  <si>
    <t>Personenfreizügigkeit Schweiz-EU: Weiterführung des Abkommens und Ausdehnung auf Bulgarien und Rumänien</t>
  </si>
  <si>
    <t>https://www.muenchenstein.ch/_rte/abstimmung/63663</t>
  </si>
  <si>
    <t>Bundesbeschluss vom 13. Juni 2008 über eine befristete Zusatzfinanzierung der Invalidenvesicherung durch Anhebung der Mehrwertsteuersätze</t>
  </si>
  <si>
    <t>https://www.muenchenstein.ch/_rte/abstimmung/63664</t>
  </si>
  <si>
    <t>Bundesbeschluss vom 19. Dezember 2008 über den Verzicht auf die Einführung der allgemeinen Volksinitiative</t>
  </si>
  <si>
    <t>https://www.muenchenstein.ch/_rte/abstimmung/63665</t>
  </si>
  <si>
    <t>Änderung vom 7. Mai 2009 des Gesetzes über die Erbschafts- und Schenkungssteuer</t>
  </si>
  <si>
    <t>https://www.muenchenstein.ch/_rte/abstimmung/63666</t>
  </si>
  <si>
    <t>Änderung vom 25. Juni 2009 des Gesetzes über die Staats- und Gemeindesteuer (Unternehmenssteuerreform II)</t>
  </si>
  <si>
    <t>https://www.muenchenstein.ch/_rte/abstimmung/63667</t>
  </si>
  <si>
    <t>Ersatzwahl des Schulrates</t>
  </si>
  <si>
    <t>https://www.muenchenstein.ch/_rte/abstimmung/64992</t>
  </si>
  <si>
    <t>Bundesbeschluss vom 3. Oktober 2008 zur Schaffung einer Spezialfinanzierung für Aufgaben im Luftverkehr</t>
  </si>
  <si>
    <t>https://www.muenchenstein.ch/_rte/abstimmung/64993</t>
  </si>
  <si>
    <t>Volksinitiative "Für ein Verbot von Kriegsmaterial-Exporten"</t>
  </si>
  <si>
    <t>https://www.muenchenstein.ch/_rte/abstimmung/64994</t>
  </si>
  <si>
    <t>Volksinitiative "Gegen den Bau von Minaretten"</t>
  </si>
  <si>
    <t>https://www.muenchenstein.ch/_rte/abstimmung/64995</t>
  </si>
  <si>
    <t>Landratsbeschluss vom 24. September 2009 über den Beitritt zum Konkordat über Massnahmen gegen Gewalt anlässlich von Sportveranstaltungen</t>
  </si>
  <si>
    <t>https://www.muenchenstein.ch/_rte/abstimmung/64996</t>
  </si>
  <si>
    <t>Änderung vom 24. September 2009 des Polizeigesetzes</t>
  </si>
  <si>
    <t>https://www.muenchenstein.ch/_rte/abstimmung/64997</t>
  </si>
  <si>
    <t>Wahl von 18 Mitgliedern des Bezirksgerichts Arlesheim für die Amtsperiode vom 1. April 2010 bis 31. März 2014</t>
  </si>
  <si>
    <t>https://www.muenchenstein.ch/_rte/abstimmung/68451</t>
  </si>
  <si>
    <t>Bundesbeschluss vom 25. September 2009 zu einem Verfassungsartikel über die Forschung am Menschen</t>
  </si>
  <si>
    <t>https://www.muenchenstein.ch/_rte/abstimmung/68452</t>
  </si>
  <si>
    <t>Tierschutzanwalt-Initiative</t>
  </si>
  <si>
    <t>https://www.muenchenstein.ch/_rte/abstimmung/68454</t>
  </si>
  <si>
    <t>Teilrevision vom 9. Dezember 2009 des Gastgewerbegeseetzes / Verbesserung des Jugendschutzes in Bezug auf die Abgabe von alkoholischen Getränken</t>
  </si>
  <si>
    <t>https://www.muenchenstein.ch/_rte/abstimmung/71582</t>
  </si>
  <si>
    <t>Nichtformulierte Volksinitiative vom 27. Februar 2008 "Verantwortliche Basler Chemie- und Pharmafirmen müssen Trinkwasseruntersuchung und -aufbereitung bezahlen"</t>
  </si>
  <si>
    <t>https://www.muenchenstein.ch/_rte/abstimmung/71583</t>
  </si>
  <si>
    <t xml:space="preserve">Nichtformulierte Volksinitiative vom 27. Februar 2008 "Totalsanierung der Chemiemülldeponien in Muttenz" und der nichtformulierte Gegenvorschlag des Landrates vom 15. April 2010 zur nichtformulierten </t>
  </si>
  <si>
    <t>https://www.muenchenstein.ch/_rte/abstimmung/74434</t>
  </si>
  <si>
    <t>Abstimmungsresultate vom 26.09.2010</t>
  </si>
  <si>
    <t>https://www.muenchenstein.ch/_rte/abstimmung/76970</t>
  </si>
  <si>
    <t>Ausschaffungsinitiative</t>
  </si>
  <si>
    <t>https://www.muenchenstein.ch/_rte/abstimmung/76971</t>
  </si>
  <si>
    <t>Steuergerechtigkeits-Initiative</t>
  </si>
  <si>
    <t>https://www.muenchenstein.ch/_rte/abstimmung/76972</t>
  </si>
  <si>
    <t>Änderung der Kantonsverfassung (§ 85 Absatz 1 Buchstabe e ) zum Wechsel der richterlichen Überprüfungsbehörde betreffend Polizeigewahrsam für Gewalttäter und Gewalttäterinnen anlässlich von Sportveran</t>
  </si>
  <si>
    <t>https://www.muenchenstein.ch/_rte/abstimmung/79353</t>
  </si>
  <si>
    <t>Für den Schutz vor Waffengewalt</t>
  </si>
  <si>
    <t>https://www.muenchenstein.ch/_rte/abstimmung/79354</t>
  </si>
  <si>
    <t>Landratsbeschluss vom 23.09.2010 betreffend Subvention der Theatergenossenschaft Basel (Theater Basel) für die Spielzeit 2011/12 - 2014/15</t>
  </si>
  <si>
    <t>https://www.muenchenstein.ch/_rte/abstimmung/80793</t>
  </si>
  <si>
    <t>Regierungs- und Landratswahlen 27.03.2011</t>
  </si>
  <si>
    <t>https://www.muenchenstein.ch/_rte/abstimmung/87351</t>
  </si>
  <si>
    <t>https://www.muenchenstein.ch/_rte/abstimmung/89368</t>
  </si>
  <si>
    <t>Änderung Bildungsgesetz</t>
  </si>
  <si>
    <t>https://www.muenchenstein.ch/_rte/abstimmung/89369</t>
  </si>
  <si>
    <t>Steuergesetz</t>
  </si>
  <si>
    <t>https://www.muenchenstein.ch/_rte/abstimmung/89370</t>
  </si>
  <si>
    <t>Öffentlichkeit von Verhandlungen</t>
  </si>
  <si>
    <t>https://www.muenchenstein.ch/_rte/abstimmung/89371</t>
  </si>
  <si>
    <t>Gemeindefusionen</t>
  </si>
  <si>
    <t>https://www.muenchenstein.ch/_rte/abstimmung/95007</t>
  </si>
  <si>
    <t>Bundesbeschluss vom 3. Oktober 2008 "Zukunft mit Komplementärmedizin"</t>
  </si>
  <si>
    <t>https://www.muenchenstein.ch/_rte/abstimmung/95008</t>
  </si>
  <si>
    <t>Biometrische Pässe und Reisedokumente</t>
  </si>
  <si>
    <t>https://www.muenchenstein.ch/_rte/abstimmung/95009</t>
  </si>
  <si>
    <t>EG StPO</t>
  </si>
  <si>
    <t>https://www.muenchenstein.ch/_rte/abstimmung/95010</t>
  </si>
  <si>
    <t>https://www.muenchenstein.ch/_rte/abstimmung/95011</t>
  </si>
  <si>
    <t>https://www.muenchenstein.ch/_rte/abstimmung/97018</t>
  </si>
  <si>
    <t>Volksinitiative Schluss mit uferlosem Bau von Zweitwohnungen</t>
  </si>
  <si>
    <t>https://www.muenchenstein.ch/_rte/abstimmung/97019</t>
  </si>
  <si>
    <t>Bauspar-Initiative</t>
  </si>
  <si>
    <t>https://www.muenchenstein.ch/_rte/abstimmung/97020</t>
  </si>
  <si>
    <t>Volksinitiative 6 Wochen Ferien für alle</t>
  </si>
  <si>
    <t>https://www.muenchenstein.ch/_rte/abstimmung/97021</t>
  </si>
  <si>
    <t>Bundesbeschluss vom 29. September 2011 über die Regelung der Geldspiele zugunsten gemeinnütziger Zwecke</t>
  </si>
  <si>
    <t>https://www.muenchenstein.ch/_rte/abstimmung/97022</t>
  </si>
  <si>
    <t>Bundesgesetz vom 18. März 2011 über die Buchpreisbindung</t>
  </si>
  <si>
    <t>https://www.muenchenstein.ch/_rte/abstimmung/97023</t>
  </si>
  <si>
    <t>Revision des Spitalgesetzes vom 17. November 2011</t>
  </si>
  <si>
    <t>https://www.muenchenstein.ch/_rte/abstimmung/97024</t>
  </si>
  <si>
    <t>Gesetz über die familienergänzende Kinderbetreuung im Frühbereich vom 15. Dezember 2011</t>
  </si>
  <si>
    <t>https://www.muenchenstein.ch/_rte/wahl/15979</t>
  </si>
  <si>
    <t>Wahl der Gemeindekommission</t>
  </si>
  <si>
    <t>https://www.muenchenstein.ch/_rte/wahl/6628</t>
  </si>
  <si>
    <t>https://www.muenchenstein.ch/_rte/wahl/916</t>
  </si>
  <si>
    <t>https://www.muenchenstein.ch/_rtr/publikation_524374</t>
  </si>
  <si>
    <t>Legislaturziele 2024 - 2028</t>
  </si>
  <si>
    <t>https://www.muenchenstein.ch/_rtr/sitzung.list</t>
  </si>
  <si>
    <t>Gemeindeversammlung</t>
  </si>
  <si>
    <t>https://www.muenchenstein.ch/abstimmungen</t>
  </si>
  <si>
    <t>Wahlen und Abstimmungen</t>
  </si>
  <si>
    <t>Archiv / Suche</t>
  </si>
  <si>
    <t>Archiv</t>
  </si>
  <si>
    <t>Legislaturziele</t>
  </si>
  <si>
    <t>https://www.muenchenstein.ch/sitzung</t>
  </si>
  <si>
    <t>Gemeindeversammlungen</t>
  </si>
  <si>
    <t>https://www.seelisberg.ch/files/bilder/JR2023_Gde-Seelisberg.pdf</t>
  </si>
  <si>
    <t>Gemeinde-Rechnung 2023</t>
  </si>
  <si>
    <t>https://www.seelisberg.ch/files/pdf/BUDGET2024_extern-ohne-Text.pdf</t>
  </si>
  <si>
    <t>Gemeinde-Budget 2024</t>
  </si>
  <si>
    <t>https://www.seelisberg.ch/files/pdf/Budget-ER-2025_Gesamtauflage_ohne-Bemerkungen_öffentlich.pdf</t>
  </si>
  <si>
    <t>Gemeinde-Budget 2025</t>
  </si>
  <si>
    <t>https://www.seelisberg.ch/files/pdf/Budget-ER-2026_Gesamtauflage_ohne-Bemerkungen_öffentlich.pdf</t>
  </si>
  <si>
    <t>Gemeinde- Budget 2026</t>
  </si>
  <si>
    <t>https://www.seelisberg.ch/files/pdf/Budget_2021.pdf</t>
  </si>
  <si>
    <t>https://www.seelisberg.ch/files/pdf/Budgetweb-2020.pdf</t>
  </si>
  <si>
    <t>https://www.seelisberg.ch/files/pdf/Gesamt-Budget_2022_extern-ohne-Text.pdf</t>
  </si>
  <si>
    <t>Gemeinde-Budget 2022</t>
  </si>
  <si>
    <t>https://www.seelisberg.ch/files/pdf/Gesamtbudget_2023_ohne-Text_Auflage-Bevölkerung-und-Webseite.pdf</t>
  </si>
  <si>
    <t>Gemeinde-Budget 2023</t>
  </si>
  <si>
    <t>Gemeinde- Rechnung 2024</t>
  </si>
  <si>
    <t>https://www.seelisberg.ch/files/pdf/Jahresrechnung_2020_end.pdf</t>
  </si>
  <si>
    <t>https://www.seelisberg.ch/files/pdf/Jahresrechnung_Gde-Seelisberg_2022.pdf</t>
  </si>
  <si>
    <t>Gemeinde-Rechnung 2022</t>
  </si>
  <si>
    <t>https://www.seelisberg.ch/files/pdf/Original_DruckWebseite_RG2021.pdf</t>
  </si>
  <si>
    <t>Gemeinde-Rechnung 2021</t>
  </si>
  <si>
    <t>Finanzen</t>
  </si>
  <si>
    <t>https://www.ur.ch/finanzen/1579</t>
  </si>
  <si>
    <t>Grundstückschätzungen</t>
  </si>
  <si>
    <t>https://www.ur.ch/finanzen/1585</t>
  </si>
  <si>
    <t>Grundstückgewinnsteuer</t>
  </si>
  <si>
    <t>https://www.ur.ch/wirtschaft/6658</t>
  </si>
  <si>
    <t>Grundstückerwerb durch Personen im Ausland «Lex Koller»</t>
  </si>
  <si>
    <t>https://www.seelisberg.ch/einwohner-service/rechtssammlung</t>
  </si>
  <si>
    <t>https://www.seelisberg.ch/files/pdf/Parkplatzreglement-PPR_NEUab2026.pdf</t>
  </si>
  <si>
    <t>https://www.seelisberg.ch/files/pdf/Parkplatzverordnung-PPV_Anpassung2026.pdf</t>
  </si>
  <si>
    <t>https://www.seelisberg.ch/files/pdf/Reglement-Tarife-Friedhof_2025.pdf</t>
  </si>
  <si>
    <t>https://www.seelisberg.ch/files/pdf/Reglement_Wissigstrasse.pdf</t>
  </si>
  <si>
    <t>https://www.seelisberg.ch/files/pdf/Verordnung-über-die-Hundehaltung-und-die-Hundetaxe-HHV.pdf</t>
  </si>
  <si>
    <t>https://www.seelisberg.ch/files/pdf/Verordnung_über_das_Personal.pdf</t>
  </si>
  <si>
    <t>https://www.seelisberg.ch/files/pdf/Verordnung_über_das_Verfahren_in_den_Behörden.pdf</t>
  </si>
  <si>
    <t>https://www.seelisberg.ch/files/pdf/Verordnung_über_den_Feuerschutz.pdf</t>
  </si>
  <si>
    <t>https://www.seelisberg.ch/files/pdf/Verordnung_über_die_Entschädigung.pdf</t>
  </si>
  <si>
    <t>https://www.seelisberg.ch/files/pdf/Verordnung_über_die_Gästetaxen.pdf</t>
  </si>
  <si>
    <t>https://www.seelisberg.ch/files/pdf/Verordnung_über_die_Tarife_der_Wasserversorgung.pdf</t>
  </si>
  <si>
    <t>https://www.seelisberg.ch/files/pdf/Verordnung_über_die_Wasserversorgung.pdf</t>
  </si>
  <si>
    <t>https://www.ur.ch/raumumwelt/4181</t>
  </si>
  <si>
    <t>Agglomerationsprogramm Unteres Reusstal (AP URT)</t>
  </si>
  <si>
    <t>https://www.seelisberg.ch/files/pdf/Verordnung_über_das_Verfahren_an_der_Gemeindeversammlung.pdf</t>
  </si>
  <si>
    <t>https://www.ur.ch/staatrecht/1486</t>
  </si>
  <si>
    <t>Submissionskalender</t>
  </si>
  <si>
    <t>https://www.ur.ch/staatrecht/5828</t>
  </si>
  <si>
    <t>E-Government &amp; Digitalisierung</t>
  </si>
  <si>
    <t>https://www.ur.ch/uebersichtverwaltung</t>
  </si>
  <si>
    <t>https://www.admin.ch/de/volksabstimmung-vom-27-september-2026</t>
  </si>
  <si>
    <t>https://www.bk.admin.ch/de/volksabstimmung/?date=2024-09-22</t>
  </si>
  <si>
    <t>https://www.bk.admin.ch/de/volksabstimmung/?date=2024-11-24</t>
  </si>
  <si>
    <t>https://www.bk.admin.ch/de/volksabstimmung/?date=2025-02-09</t>
  </si>
  <si>
    <t>https://www.bk.admin.ch/de/volksabstimmung/?date=2025-09-28</t>
  </si>
  <si>
    <t>https://www.bk.admin.ch/de/volksabstimmung/?date=2025-11-30</t>
  </si>
  <si>
    <t>https://www.bk.admin.ch/de/volksabstimmung/?date=2026-03-08</t>
  </si>
  <si>
    <t>https://www.bk.admin.ch/de/volksabstimmung/?date=2026-06-14</t>
  </si>
  <si>
    <t>https://www.seelisberg.ch/files/bilder/Protokoll-Beschlüsse_24052024.pdf</t>
  </si>
  <si>
    <t>Beschlussprotokoll_GV_24.05.2024</t>
  </si>
  <si>
    <t>https://www.seelisberg.ch/files/pdf/20052022_Protokoll-Beschlüsse.pdf</t>
  </si>
  <si>
    <t>Beschlussprotokoll_GV_20.05.2022</t>
  </si>
  <si>
    <t>https://www.seelisberg.ch/files/pdf/26112021_Protokoll-Beschlüsse.pdf</t>
  </si>
  <si>
    <t>https://www.seelisberg.ch/files/pdf/Abstimmung_GdeSeelisberg_220924.pdf</t>
  </si>
  <si>
    <t>https://www.seelisberg.ch/files/pdf/BP_GV_25.11.22.pdf</t>
  </si>
  <si>
    <t>Beschlussprotokoll_GV_25.11.2022</t>
  </si>
  <si>
    <t>https://www.seelisberg.ch/files/pdf/Beschluss_Protokoll_260523.pdf</t>
  </si>
  <si>
    <t>Beschlussprotokoll_GV_26.05.2023</t>
  </si>
  <si>
    <t>Beschlussprotokoll_GV_28.05.2025</t>
  </si>
  <si>
    <t>https://www.seelisberg.ch/files/pdf/Beschlussprotokoll-GV_29.11.2024.pdf</t>
  </si>
  <si>
    <t>Beschlussprotokoll_GV_29.11.2024</t>
  </si>
  <si>
    <t>Beschlussprotokoll_GV_24.11.2023</t>
  </si>
  <si>
    <t>Beschlussprotokoll_GV_28.11.2025</t>
  </si>
  <si>
    <t>https://www.seelisberg.ch/files/pdf/ORIGINAL-Leitbild-Seelisberg-2025-für-Webseite.pdf</t>
  </si>
  <si>
    <t>Leitbild Seelisberg - 2025</t>
  </si>
  <si>
    <t>https://www.seelisberg.ch/files/pdf/Webseite_Medienmitteilung_nach_GV_Leitbild_DEF.pdf</t>
  </si>
  <si>
    <t>Medienmitteilung im Dezember 2025</t>
  </si>
  <si>
    <t>Abstimmungen &amp; Wahlen</t>
  </si>
  <si>
    <t>https://www.ur.ch/abstimmungen</t>
  </si>
  <si>
    <t>Termine</t>
  </si>
  <si>
    <t>https://www.ur.ch/abstimmungen/termine/25418</t>
  </si>
  <si>
    <t>https://www.ur.ch/abstimmungen/termine/39667</t>
  </si>
  <si>
    <t>https://www.ur.ch/abstimmungen/termine/65818</t>
  </si>
  <si>
    <t>https://www.ur.ch/abstimmungen/termine/65830</t>
  </si>
  <si>
    <t>https://www.ur.ch/abstimmungen/termine/78493</t>
  </si>
  <si>
    <t>https://www.ur.ch/abstimmungen/vorlagen</t>
  </si>
  <si>
    <t>https://www.ur.ch/exekutivgeschaefte</t>
  </si>
  <si>
    <t>Vernehmlassungen</t>
  </si>
  <si>
    <t>https://www.ur.ch/wahlenundabstimmungen</t>
  </si>
  <si>
    <t>Wahlen &amp; Abstimmungen</t>
  </si>
  <si>
    <t>https://www.ur.ch/wirtschaft/6172</t>
  </si>
  <si>
    <t>Urner Botschafternetz</t>
  </si>
  <si>
    <t>https://www.sg.ch/content/dam/sgch/politik-verwaltung/gemeinden/gemeindenfinanzen/rechnungslegung-rmsg/berichterstattung/Beispiel%20Bericht%20zum%20Budget%20Spezialgemeinde.docx</t>
  </si>
  <si>
    <t>Beispiel Bericht zum Budget Spezialgemeinde neues Fenster</t>
  </si>
  <si>
    <t>https://www.sg.ch/content/dam/sgch/politik-verwaltung/gemeinden/gemeindenfinanzen/rechnungslegung-rmsg/berichterstattung/Beispiel%20Bericht%20zum%20Budget%20politische%20Gemeinde.docx</t>
  </si>
  <si>
    <t>Beispiel Bericht zum Budget politische Gemeinde neues Fenster</t>
  </si>
  <si>
    <t>https://www.sg.ch/content/dam/sgch/politik-verwaltung/gemeinden/gemeindenfinanzen/rechnungslegung-rmsg/berichterstattung/Beispiel%20Finanzbericht%20Spezialgemeinde.docx</t>
  </si>
  <si>
    <t>Beispiel Finanzbericht Spezialgemeinde neues Fenster</t>
  </si>
  <si>
    <t>https://www.sg.ch/content/dam/sgch/politik-verwaltung/gemeinden/gemeindenfinanzen/rechnungslegung-rmsg/berichterstattung/Beispiel%20Finanzbericht%20politische%20Gemeinde.docx</t>
  </si>
  <si>
    <t>Beispiel Finanzbericht politische Gemeinde neues Fenster</t>
  </si>
  <si>
    <t>https://www.sg.ch/content/dam/sgch/politik-verwaltung/gemeinden/gemeindenfinanzen/rechnungslegung-rmsg/berichterstattung/Muster%20Anhang%20der%20Jahresrechnung%20(Version%201.3).docx</t>
  </si>
  <si>
    <t>Muster Anhang der Jahresrechnung neues Fenster</t>
  </si>
  <si>
    <t>https://www.sg.ch/content/dam/sgch/politik-verwaltung/gemeinden/gemeindenfinanzen/rechnungslegung-rmsg/berichterstattung/Muster%20Anhang%20der%20Jahresrechnung%20kleine%20Spezialgemeinden%20(Version%201.3).docx</t>
  </si>
  <si>
    <t>Muster Anhang der Jahresrechnung kleine Spezialgemeinden neues Fenster</t>
  </si>
  <si>
    <t>https://www.sg.ch/content/dam/sgch/politik-verwaltung/gemeinden/gemeindenfinanzen/rechnungslegung-rmsg/hilfsmittel-und-vorlagen/Finanzplanungstool%20f%C3%BCr%20Spezialgemeinden.xlsx</t>
  </si>
  <si>
    <t>Finanzplanungstool für Spezialgemeinden neues Fenster</t>
  </si>
  <si>
    <t>https://www.sg.ch/content/dam/sgch/politik-verwaltung/gemeinden/gemeindenfinanzen/rmsg-handbuch/05%20Investitionsrechnung.pdf</t>
  </si>
  <si>
    <t>Investitionsrechnung</t>
  </si>
  <si>
    <t>https://www.sg.ch/content/dam/sgch/politik-verwaltung/gemeinden/gemeindenfinanzen/rmsg-handbuch/08%20Anhang%20Jahresrechnung.pdf</t>
  </si>
  <si>
    <t>Anhang der Jahresrechnung</t>
  </si>
  <si>
    <t>https://www.sg.ch/content/dam/sgch/politik-verwaltung/gemeinden/gemeindenfinanzen/rmsg-handbuch/16%20Finanzberichterstattung.pdf</t>
  </si>
  <si>
    <t>Finanzberichterstattung</t>
  </si>
  <si>
    <t>https://www.sg.ch/steuern-finanzen/steuern/steuerkalkulator/steuerfuss-uebersicht-aller-sg-gemeinden.initialLetter__Wil.html</t>
  </si>
  <si>
    <t>Website des Kantons St.Gallen</t>
  </si>
  <si>
    <t>https://www.stadtwil.ch/_docn/3339526/Stadt_Wil_Investitionsplan_2022_-_2026.pdf</t>
  </si>
  <si>
    <t>I</t>
  </si>
  <si>
    <t>https://www.stadtwil.ch/_docn/4363013/004_Beilage_Details_zur_Jahresrechnung_2022.pdf</t>
  </si>
  <si>
    <t>,</t>
  </si>
  <si>
    <t>https://www.stadtwil.ch/_docn/4510712/Kurzfassung_zur_Jahresrechnung_2022.pdf</t>
  </si>
  <si>
    <t>Jahresrechnung 2025 Stadt Wil</t>
  </si>
  <si>
    <t>https://www.stadtwil.ch/storage/00d786594258b2cfb99d6fa189b3ef62aa32d331ad569520e84a05600afecd48</t>
  </si>
  <si>
    <t>Jahresrechnung 2025</t>
  </si>
  <si>
    <t>https://www.stadtwil.ch/storage/0279b67c0c75a1a9b93aee7a4fec6c852443ea304ec204ad040905643a7075ac</t>
  </si>
  <si>
    <t>Investitionsplan 2023 - 2027</t>
  </si>
  <si>
    <t>https://www.stadtwil.ch/storage/03f5d61667f9d47a687cfd0f6e9bfc88857fc052c44cec8a7bd99d527a224938</t>
  </si>
  <si>
    <t>Kommentar zur Jahresrechnung 2025</t>
  </si>
  <si>
    <t>https://www.stadtwil.ch/storage/0a41b0f55fb3f0e7c1072cdfb72a5a3674d2854d2b41565090e104b85e8dbdc0</t>
  </si>
  <si>
    <t>Budget 2023</t>
  </si>
  <si>
    <t>Jahresrechnung 2024</t>
  </si>
  <si>
    <t>https://www.stadtwil.ch/storage/197a35d219836653f6b15e7e92afca47253da6a8f398262e5767db635043decd</t>
  </si>
  <si>
    <t>Kommentar zur Jahresrechnung 2017</t>
  </si>
  <si>
    <t>https://www.stadtwil.ch/storage/204cfb504af6defbd8e383feff026c2e9b98eb4864ea01a90d5ddd5759da7129</t>
  </si>
  <si>
    <t>Konsolidierung Jahresrechnung 2020</t>
  </si>
  <si>
    <t>https://www.stadtwil.ch/storage/2c4305c8237790be04c1d9e3757331ab7ebaed4ee3d518b89827edd1c8fef611</t>
  </si>
  <si>
    <t>Finanzplan 2022 - 2026,</t>
  </si>
  <si>
    <t>https://www.stadtwil.ch/storage/2d0ebf4e24c5b08a5138fd5e812f0fd5619a5ee31a30e222c83992d81aa62876</t>
  </si>
  <si>
    <t>Details zur Jahresrechnung 2018</t>
  </si>
  <si>
    <t>https://www.stadtwil.ch/storage/2d73b525635182a0188b65eaff90bf5a1ac12049d362a321d7c1b13631e11d1e</t>
  </si>
  <si>
    <t>Budget 2021</t>
  </si>
  <si>
    <t>https://www.stadtwil.ch/storage/356e8846d2f4bf3596af93ee31e7f436d1672e86221637431d0a5d3e772db643</t>
  </si>
  <si>
    <t>Details zur Jahresrechnung 2021</t>
  </si>
  <si>
    <t>https://www.stadtwil.ch/storage/39e2da726959f1aebbd8de80d3c4e5cef24ca537c69c7bc0ddad4756830dd400</t>
  </si>
  <si>
    <t>Kommentar zur Jahresrechnung 2021</t>
  </si>
  <si>
    <t>https://www.stadtwil.ch/storage/3eedf5399f7a4cdf58e325351954838cac425d01156db4562cefc13a1b796b21</t>
  </si>
  <si>
    <t>Budget 2024</t>
  </si>
  <si>
    <t>https://www.stadtwil.ch/storage/40c39c8fc0dfef1db64e95bbcc57cbcd2982873ebbd6b70e1064fe31786f6f75</t>
  </si>
  <si>
    <t>Budget 2022</t>
  </si>
  <si>
    <t>https://www.stadtwil.ch/storage/42d72d8b75f4551ef31e1bf56c19bb941441a9b66f14f5b3acb209f4021e729b</t>
  </si>
  <si>
    <t>Kommentar zur Jahresrechnung 2018</t>
  </si>
  <si>
    <t>Jahresrechnung 2023</t>
  </si>
  <si>
    <t>https://www.stadtwil.ch/storage/4a0a82111e8a55ab573cafb35e0d1ac286837e9573fc981685d2576b96b5a0ed</t>
  </si>
  <si>
    <t>Finanzplan 2019 - 2023</t>
  </si>
  <si>
    <t>https://www.stadtwil.ch/storage/4c38defa65317565cc56097db8e1c95352a57abe9c101d1df3f6646b3aeeb048</t>
  </si>
  <si>
    <t>Flyer zur Jahresrechnung 2025</t>
  </si>
  <si>
    <t>https://www.stadtwil.ch/storage/4fb8e4ddcabaf660fd11996f1a55d976088369d5656270e836392fa18e4b11d1</t>
  </si>
  <si>
    <t>Details zur Jahresrechnung 2022</t>
  </si>
  <si>
    <t>https://www.stadtwil.ch/storage/5a29d6b9cdaf623457dcd17cd5c2b5314dbcf07469b1765575c887a6b398aaad</t>
  </si>
  <si>
    <t>Finanzplan 2020 - 2024</t>
  </si>
  <si>
    <t>https://www.stadtwil.ch/storage/5b157eed47c9c8d58206c7f00a29347dffd41ec7d250787056c8ec6177beb8eb</t>
  </si>
  <si>
    <t>Details zur Jahresrechnung 2024</t>
  </si>
  <si>
    <t>https://www.stadtwil.ch/storage/5cb00d7f9aeff9ba44244c064ce31fd19d469fc3a66f632832ae5bfb29385c2c</t>
  </si>
  <si>
    <t>Details zur Jahresrechnung 2025</t>
  </si>
  <si>
    <t>https://www.stadtwil.ch/storage/6d5b005537c160414488cccbf31bcaf9bf78c6739f29071102deaaccde73a2e6</t>
  </si>
  <si>
    <t>Flyer zur Jahresrechnung 2024</t>
  </si>
  <si>
    <t>https://www.stadtwil.ch/storage/6e02479eb8654b404e3eeb9bd65987c1e41c82b2323556284836c616510568c6</t>
  </si>
  <si>
    <t>Konsolidierung Jahresrechnung 2024</t>
  </si>
  <si>
    <t>https://www.stadtwil.ch/storage/6ea6b4489bbef7799a32e0edc1e5cce4fd2a4e5e778b129aa2c419aa235a94ed</t>
  </si>
  <si>
    <t>https://www.stadtwil.ch/storage/759d2f265e269ce8f5234f782a6828f5b4ff7aebe66417956d2f3eb3605f1f64</t>
  </si>
  <si>
    <t>Jahresrechnung 2020,</t>
  </si>
  <si>
    <t>https://www.stadtwil.ch/storage/7bdf3cf3bc6fbe1586e1b1535d10b86be6d22895e39bf623b35dd6f392849ead</t>
  </si>
  <si>
    <t>Details zur Jahresrechnung 2023</t>
  </si>
  <si>
    <t>https://www.stadtwil.ch/storage/7d4a85f5922095a07eeaee7457ca1babed8908385d93d833be82af43298b18f6</t>
  </si>
  <si>
    <t>Jahresrechnung 2022</t>
  </si>
  <si>
    <t>https://www.stadtwil.ch/storage/8577e1164c4d536edeec4b8e0318e0339a79eb5b436493c1b5f5e427addb139d</t>
  </si>
  <si>
    <t>Jahresrechnung 2019</t>
  </si>
  <si>
    <t>Finanzplan 2026 - 2030</t>
  </si>
  <si>
    <t>https://www.stadtwil.ch/storage/8af13c3aa622166e4f3f58f05540340ab4be9f11d1ad3d638bc88055963ca6b1</t>
  </si>
  <si>
    <t>Kommentar zur Jahresrechnung 2024</t>
  </si>
  <si>
    <t>https://www.stadtwil.ch/storage/94e86a376773e81cb93ed169653e0496eb46d77418be4b8a72d41ff7e6e22884</t>
  </si>
  <si>
    <t>Budget 2019</t>
  </si>
  <si>
    <t>https://www.stadtwil.ch/storage/99172bc54b50f4ed3a9d5ca84fbefb64712f971674a34f7aa65b1237a0444c47</t>
  </si>
  <si>
    <t>Kommentar zur Jahresrechnung 2022</t>
  </si>
  <si>
    <t>https://www.stadtwil.ch/storage/a53d14e43381dcba8be88edcba28536ce9c34222a88bf8093fe1897d508ee5a9</t>
  </si>
  <si>
    <t>Investitionsplan 2024 - 2028</t>
  </si>
  <si>
    <t>https://www.stadtwil.ch/storage/a5932de8419506bf56d4910acd4662ed2ff77b4f123214fb41e56d85938aafb7</t>
  </si>
  <si>
    <t>Budget 2020</t>
  </si>
  <si>
    <t>https://www.stadtwil.ch/storage/aa4410dab8a7d70c48ab1e5dbdf30735f3f604c1175100db3f2ae05ccbe37316</t>
  </si>
  <si>
    <t>Details zur Jahresrechnung 2020</t>
  </si>
  <si>
    <t>https://www.stadtwil.ch/storage/af262256d670e42b38e29b3778421d715ef05070895c92d8768e99512c911da5</t>
  </si>
  <si>
    <t>Jahresrechnung 2017</t>
  </si>
  <si>
    <t>https://www.stadtwil.ch/storage/b3e745abec838919a0d3512ab05ab817b75f2910b864625c5abe1b4aa0304157</t>
  </si>
  <si>
    <t>Jahresrechnung 2018</t>
  </si>
  <si>
    <t>https://www.stadtwil.ch/storage/bda848a1c8c0099d7fa141d2ce4b72de3cd99bf41fbadf83f7d4ed51f0748f90</t>
  </si>
  <si>
    <t>Finanzplan 2023 - 2027</t>
  </si>
  <si>
    <t>Investitionsplan 2026 - 2030</t>
  </si>
  <si>
    <t>Finanzplan 2025 - 2029</t>
  </si>
  <si>
    <t>https://www.stadtwil.ch/storage/cbd766fe3fd1038fca54c289885daa4a6d26dc377f5bacb650abf735e8370f7c</t>
  </si>
  <si>
    <t>Details zur Jahresrechnung 2019</t>
  </si>
  <si>
    <t>https://www.stadtwil.ch/storage/d628d6f81fdc76bc3955ba748092dbc74e3eb55fba1186bc0a551d48bb67d902</t>
  </si>
  <si>
    <t>Investitionsplan 2025 - 2029</t>
  </si>
  <si>
    <t>https://www.stadtwil.ch/storage/d9c02697aa4a2bf1cb1185338aa8c4455c0625e752a48c9f9188654ff4b1c29e</t>
  </si>
  <si>
    <t>Jahresrechnung 2021</t>
  </si>
  <si>
    <t>https://www.stadtwil.ch/storage/ddeac884afc78b2938e796f1428750d12aa86aecb33c94eea593cc6cab1b312b</t>
  </si>
  <si>
    <t>Details zur Jahresrechnung 2017</t>
  </si>
  <si>
    <t>https://www.stadtwil.ch/storage/e068dbaa9fded889bfe861fbff297036691451b5ac887565ba087a4d424a1dbb</t>
  </si>
  <si>
    <t>https://www.stadtwil.ch/storage/e0f88b7e95fa8922956f75f20b7d25a8df06e52d5c19f687aa8b236830592835</t>
  </si>
  <si>
    <t>Finanzplan 2018 - 2022</t>
  </si>
  <si>
    <t>https://www.stadtwil.ch/storage/e85e215076ce8aba4c1370d0a77a6b96fc4cba8d5f2ab5821c01f989ca208947</t>
  </si>
  <si>
    <t>Kommentar zur Jahresrechnung 2023</t>
  </si>
  <si>
    <t>https://www.stadtwil.ch/storage/f7491b91662ef70522e65b7274a5dc0caae60a57fbe5bf763d0e499763ecc62f</t>
  </si>
  <si>
    <t>Kommentar zur Jahresrechnung 2020</t>
  </si>
  <si>
    <t>https://www.stadtwil.ch/storage/f803e67775f3c070290c11030ec10b22728ee55edbbdf5eebd0bf86b0b1385a8</t>
  </si>
  <si>
    <t>Finanzplan 2024 - 2028,</t>
  </si>
  <si>
    <t>https://www.stadtwil.ch/storage/ffd718635b7c2a94e0f145b0c480c805c782b69056ac86e1ebbcec20de229793</t>
  </si>
  <si>
    <t>Kommentar zur Jahresrechnung 2019</t>
  </si>
  <si>
    <t>C1,C3</t>
  </si>
  <si>
    <t>Verordnung über den Finanzhaushalt der Gemeinden neues Fenster</t>
  </si>
  <si>
    <t>C1,C3,C5</t>
  </si>
  <si>
    <t>https://www.sg.ch/news/sgch_aussenbeziehungen/2026/09/verordnung-ueber-die-pruefung-auslaendischer-investitionen--inve.html</t>
  </si>
  <si>
    <t>10.09.2026 12:19 Verordnung über die Prüfung ausländischer Investitionen (Investitionsprüfverordnung) Mit Schreiben vom 10. September 2026 antwortet die Regierung des Kantons St.Gallen auf die Vernehm</t>
  </si>
  <si>
    <t>https://www.sg.ch/politik-verwaltung/eidgenoessische-vernehmlassungen.html</t>
  </si>
  <si>
    <t>https://www.stadtwil.ch/_docn/5199082/Details_zur_Jahresrechnung_2023_nach_Genehmigung_Parlament.pdf</t>
  </si>
  <si>
    <t>https://www.stadtwil.ch/news/abstimmung-zum-steuerfuss-2026-der-stadt-wil-stimmberechtigte-entscheiden-sich-fuer-115</t>
  </si>
  <si>
    <t>https://www.stadtwil.ch/topics/stadt-politik-und-recht/abstimmungen-und-wahlen/aktuelle-ergebnisse</t>
  </si>
  <si>
    <t>https://www.stadtwil.ch/storage/29c5f20fab1dac2f0bb20acb4fcea87395ead1bf5f83c33e3d690cd2a2f695c7</t>
  </si>
  <si>
    <t>Stadt Wil_Abstimmungsprotokoll_Steuerfuss 2026</t>
  </si>
  <si>
    <t>https://www.stadtwil.ch/storage/36e01fa373b8b4452a123dda5eb4e2c97823382f52e80e05fa53611f526b1d73</t>
  </si>
  <si>
    <t>Flyer Budget 2026 vor Parlamentsdebatte</t>
  </si>
  <si>
    <t>https://www.stadtwil.ch/storage/3b8e93a0d261c1692cb8772c28b1c33b2db0bd708893a7f4793df26afb153620</t>
  </si>
  <si>
    <t>Stadt Wil_Medienmitteilung_Abstimmungsergebnis zum Steuerfuss 2026</t>
  </si>
  <si>
    <t>https://www.stadtwil.ch/storage/431f232a4601281ffda55c76f7ee5d95185e84eaa2c96b087984242856f46900</t>
  </si>
  <si>
    <t>Abstimmungszettel Steuerfuss 2026</t>
  </si>
  <si>
    <t>https://www.stadtwil.ch/topics/stadt-politik-und-recht/abstimmungen-und-wahlen/2026-kommende-abstimmungen/2026-kommende-abstimmungen-und-wahlen/27-09-2026-eidgenoessisches-blankodatum</t>
  </si>
  <si>
    <t>https://www.stadtwil.ch/topics/stadt-politik-und-recht/abstimmungen-und-wahlen/vergangene-abstimmungen/2024-vergangene-abstimmungen-und-wahlen/14-04-2024-kommunale-abstimmung-und-2-wahlgang-regierung/steuerfuss-2024-der-stadt-wil</t>
  </si>
  <si>
    <t>Steuerfuss 2024 der Stadt Wil</t>
  </si>
  <si>
    <t>https://www.stadtwil.ch/topics/stadt-politik-und-recht/abstimmungen-und-wahlen/vergangene-abstimmungen/2025-vergangene-abstimmungen-und-wahlen-1/18-05-2025-eidgenoessisches-blankodatum/v-nachtrag-zum-finanzausgleichsgesetz</t>
  </si>
  <si>
    <t>V. Nachtrag zum Finanzausgleichsgesetz</t>
  </si>
  <si>
    <t>https://www.stadtwil.ch/topics/stadt-politik-und-recht/abstimmungen-und-wahlen/vorlagen/kantonale-vorlagen/18-05-2025-v-nachtrag-zum-finanzausgleichsgesetz</t>
  </si>
  <si>
    <t>18.05.2025 - V. Nachtrag zum Finanzausgleichsgesetz</t>
  </si>
  <si>
    <t>https://www.stadtwil.ch/topics/stadt-politik-und-recht/abstimmungen-und-wahlen/vorlagen/kommunale-vorlagen/14-04-2024-steuerfuss-2024-der-stadt-wil</t>
  </si>
  <si>
    <t>14.04.2024 - Steuerfuss 2024 der Stadt Wil</t>
  </si>
  <si>
    <t>http://www.kindlimann-areal.ch</t>
  </si>
  <si>
    <t>Kindlimann Areal</t>
  </si>
  <si>
    <t>https://www.stadtwil.ch/topics/bauen-und-planen/wil-vivendo/ortsplanungsrevision/news/richtprojekt-kindlimann-areal/ein-neues-stuecl-stadt-fuer-wil</t>
  </si>
  <si>
    <t>http://www.kindlimann-areal.ch/</t>
  </si>
  <si>
    <t>www.kindlimann-areal.ch</t>
  </si>
  <si>
    <t>https://www.stadtwil.ch/topics/bauen-und-planen/wil-vivendo/ortsplanungsrevision/news/wichtige-meilensteine-erreicht/grosser-schritt-fuer-das-kindlimann-areal</t>
  </si>
  <si>
    <t>https://app-eu.readspeaker.com/cgi-bin/rsent?customerid=11974&amp;lang=de_de&amp;readid=maincontent&amp;url=https%3A%2F%2Fwww.sg.ch%2Fpolitik-verwaltung%2Fgemeinden%2Fgrundstueckerwerb-durch-personen-im-ausland.html</t>
  </si>
  <si>
    <t>Vorlesen</t>
  </si>
  <si>
    <t>https://www.sg.ch/politik-verwaltung/gemeinden/grundstueckerwerb-durch-personen-im-ausland.html</t>
  </si>
  <si>
    <t>https://www.admin.ch/opc/de/classified-compilation/19830373/index.html</t>
  </si>
  <si>
    <t>Bundesgesetz über den Erwerb von Grundstücken durch Personen im Ausland (SR 211.412.41) neues Fenster</t>
  </si>
  <si>
    <t>https://www.bj.admin.ch/de/fragen-und-antworten</t>
  </si>
  <si>
    <t>FAQ zum Erwerb von Grundstücken durch Personen im Ausland (PDF am Schluss der Seite) neues Fenster</t>
  </si>
  <si>
    <t>https://www.bj.admin.ch/de/grundstueckerwerb-durch-personen-im-ausland</t>
  </si>
  <si>
    <t>Publikationen des Bundesamtes für Justiz neues Fenster</t>
  </si>
  <si>
    <t>https://www.gesetzessammlung.sg.ch/app/de/texts_of_law/914.1</t>
  </si>
  <si>
    <t>Einführungsgesetz zum Bundesgesetz über den Erwerb von Grundstücken durch Personen im Ausland (sGS 914.1) neues Fenster</t>
  </si>
  <si>
    <t>https://www.sg.ch/content/sgch/politik-verwaltung/gemeinden/grundstueckerwerb-durch-personen-im-ausland/verfahren.html</t>
  </si>
  <si>
    <t>hier</t>
  </si>
  <si>
    <t>Gemeinden Grundstückerwerb durch Personen im Ausland</t>
  </si>
  <si>
    <t>https://www.sg.ch/politik-verwaltung/gemeinden/grundstueckerwerb-durch-personen-im-ausland/betriebsstaette.html</t>
  </si>
  <si>
    <t>Betriebsstätte</t>
  </si>
  <si>
    <t>https://www.sg.ch/politik-verwaltung/gemeinden/grundstueckerwerb-durch-personen-im-ausland/ferienwohnung--haus.html</t>
  </si>
  <si>
    <t>Ferienwohnung/-haus</t>
  </si>
  <si>
    <t>https://www.sg.ch/politik-verwaltung/gemeinden/grundstueckerwerb-durch-personen-im-ausland/hauptwohnung.html</t>
  </si>
  <si>
    <t>Hauptwohnung</t>
  </si>
  <si>
    <t>https://www.sg.ch/politik-verwaltung/gemeinden/grundstueckerwerb-durch-personen-im-ausland/juristische-personen-und-vermoegensfaehige-gesellschaften.html</t>
  </si>
  <si>
    <t>Juristische Personen und vermögensfähige Gesellschaften</t>
  </si>
  <si>
    <t>https://www.sg.ch/politik-verwaltung/gemeinden/grundstueckerwerb-durch-personen-im-ausland/natuerliche-personen.html</t>
  </si>
  <si>
    <t>Natürliche Personen</t>
  </si>
  <si>
    <t>https://www.sg.ch/politik-verwaltung/gemeinden/grundstueckerwerb-durch-personen-im-ausland/verfahren.html</t>
  </si>
  <si>
    <t>Verfahren</t>
  </si>
  <si>
    <t>https://www.stadtwil.ch/auth/login?skip=0&amp;to=%2Ftopics%2Fbauen-und-planen%2Fwil-vivendo%2Fortsplanungsrevision%2Fnews%2Frichtprojekt-kindlimann-areal%2Feditorial</t>
  </si>
  <si>
    <t>Anmelden</t>
  </si>
  <si>
    <t>https://www.stadtwil.ch/topics/bauen-und-planen/wil-vivendo/ortsplanungsrevision/news/richtprojekt-kindlimann-areal/editorial</t>
  </si>
  <si>
    <t>https://www.stadtwil.ch/auth/login?skip=0&amp;to=%2Ftopics%2Fbauen-und-planen%2Fwil-vivendo%2Fortsplanungsrevision%2Fnews%2Frichtprojekt-kindlimann-areal%2Fein-neues-stuecl-stadt-fuer-wil</t>
  </si>
  <si>
    <t>https://www.stadtwil.ch/auth/login?skip=0&amp;to=%2Ftopics%2Fbauen-und-planen%2Fwil-vivendo%2Fortsplanungsrevision%2Fnews%2Frichtprojekt-kindlimann-areal%2Fkindlimann-areal-naechste-schritte-in-der-ortsplanungsrevision</t>
  </si>
  <si>
    <t>https://www.stadtwil.ch/topics/bauen-und-planen/wil-vivendo/ortsplanungsrevision/news/richtprojekt-kindlimann-areal/kindlimann-areal-naechste-schritte-in-der-ortsplanungsrevision</t>
  </si>
  <si>
    <t>https://www.stadtwil.ch/auth/login?skip=0&amp;to=%2Ftopics%2Fbauen-und-planen%2Fwil-vivendo%2Fortsplanungsrevision%2Fnews%2Frichtprojekt-kindlimann-areal%2Fwie-gut-kennen-sie-die-stadt-wil</t>
  </si>
  <si>
    <t>https://www.stadtwil.ch/topics/bauen-und-planen/wil-vivendo/ortsplanungsrevision/news/richtprojekt-kindlimann-areal/wie-gut-kennen-sie-die-stadt-wil</t>
  </si>
  <si>
    <t>https://www.stadtwil.ch/auth/login?skip=0&amp;to=%2Ftopics%2Fbauen-und-planen%2Fwil-vivendo%2Fortsplanungsrevision%2Fnews%2Frichtprojekt-kindlimann-areal%2Fzeitplan</t>
  </si>
  <si>
    <t>https://www.stadtwil.ch/topics/bauen-und-planen/wil-vivendo/ortsplanungsrevision/news/richtprojekt-kindlimann-areal/zeitplan</t>
  </si>
  <si>
    <t>https://www.stadtwil.ch/auth/login?skip=0&amp;to=%2Ftopics%2Fbauen-und-planen%2Fwil-vivendo%2Fortsplanungsrevision%2Fnews%2Fwichtige-meilensteine-erreicht%2Fgrosser-schritt-fuer-das-kindlimann-areal</t>
  </si>
  <si>
    <t>https://www.stadtwil.ch/auth/login?skip=0&amp;to=%2Ftopics%2Fbauen-und-planen%2Fwil-vivendo%2Fsiedlung%2Farealentwicklung-kindlimann</t>
  </si>
  <si>
    <t>https://www.stadtwil.ch/topics/bauen-und-planen/wil-vivendo/siedlung/arealentwicklung-kindlimann</t>
  </si>
  <si>
    <t>https://www.stadtwil.ch/topics/bauen-und-planen/wil-vivendo/ortsplanungsrevision/news/richtprojekt-kindlimann-areal</t>
  </si>
  <si>
    <t>Link</t>
  </si>
  <si>
    <t>Editorial</t>
  </si>
  <si>
    <t>Ein neues Stück Stadt für Wil</t>
  </si>
  <si>
    <t>Kindlimann-Areal: Nächste Schritte in der Ortsplanungsrevision</t>
  </si>
  <si>
    <t>Wie gut kennen Sie die Stadt Wil?</t>
  </si>
  <si>
    <t>Zeitplan</t>
  </si>
  <si>
    <t>Grosser Schritt für das Kindlimann-Areal</t>
  </si>
  <si>
    <t>Arealentwicklung Kindlimann</t>
  </si>
  <si>
    <t>C2,C3</t>
  </si>
  <si>
    <t>https://www.admin.ch/opc/de/classified-compilation/19840201/index.html</t>
  </si>
  <si>
    <t>Verordnung über den Erwerb von Grundstücken durch Personen im Ausland (SR 211.412.411) neues Fenster</t>
  </si>
  <si>
    <t>https://www.gesetzessammlung.sg.ch/app/de/texts_of_law/914.11</t>
  </si>
  <si>
    <t>Verordnung zum Einführungsgesetz zum Bundesgesetz über den Erwerb von Grundstücken durch Personen im Ausland (sGS 914.11) neues Fenster</t>
  </si>
  <si>
    <t>https://www.stadtwil.ch/auth/login?skip=0&amp;to=%2Ftopics%2Fbauen-und-planen%2Fwil-vivendo%2Fortsplanungsrevision%2Fnews%2Fgute-planung-ist-teamarbeit%2Fe-mitwirkung-zu-arealentwicklungen</t>
  </si>
  <si>
    <t>https://www.stadtwil.ch/topics/bauen-und-planen/wil-vivendo/ortsplanungsrevision/news/gute-planung-ist-teamarbeit/e-mitwirkung-zu-arealentwicklungen</t>
  </si>
  <si>
    <t>https://www.stadtwil.ch/auth/login?skip=0&amp;to=%2Ftopics%2Fbauen-und-planen%2Fwil-vivendo%2Fortsplanungsrevision%2Fnews%2Fhalbzeit-mitwirkung%2Fvom-areal-zum-lebensraum</t>
  </si>
  <si>
    <t>https://www.stadtwil.ch/topics/bauen-und-planen/wil-vivendo/ortsplanungsrevision/news/halbzeit-mitwirkung/vom-areal-zum-lebensraum</t>
  </si>
  <si>
    <t>https://www.stadtwil.ch/auth/login?skip=0&amp;to=%2Ftopics%2Fbauen-und-planen%2Fwil-vivendo%2Fortsplanungsrevision%2Fnews%2Fortsplanungsrevision-newsletter-nr-19-langfristige-entwicklung-im-zusammenspiel-vieler-prozesse%2Fmitwirkung-arealentwicklungen-kindlimann-areal-und-allmend</t>
  </si>
  <si>
    <t>https://www.stadtwil.ch/topics/bauen-und-planen/wil-vivendo/ortsplanungsrevision/news/ortsplanungsrevision-newsletter-nr-19-langfristige-entwicklung-im-zusammenspiel-vieler-prozesse/mitwirkung-arealentwicklungen-kindlimann-areal-und-allmend</t>
  </si>
  <si>
    <t>https://www.stadtwil.ch/auth/login?skip=0&amp;to=%2Ftopics%2Fbauen-und-planen%2Fwil-vivendo%2Fortsplanungsrevision%2Fveranstaltungen-und-mitwirkung%2Fmitwirkungen%2Fmitwirkung-kindlimann-areal-und-allmend</t>
  </si>
  <si>
    <t>https://www.stadtwil.ch/topics/bauen-und-planen/wil-vivendo/ortsplanungsrevision/veranstaltungen-und-mitwirkung/mitwirkungen/mitwirkung-kindlimann-areal-und-allmend</t>
  </si>
  <si>
    <t>E-Mitwirkung zu Arealentwicklungen</t>
  </si>
  <si>
    <t>Vom Areal zum Lebensraum</t>
  </si>
  <si>
    <t>Arealentwicklungen Kindlimann und Allmend</t>
  </si>
  <si>
    <t>Mitwirkung Kindlimann-Areal und Allmend</t>
  </si>
  <si>
    <t>https://www.stadtwil.ch/topics/stadt-politik-und-recht/abstimmungen-und-wahlen/vergangene-abstimmungen/2025-vergangene-abstimmungen-und-wahlen-1/28-09-2025-eidgenoessische-abstimmung/bundesbeschluss-vom-20-dezember-2024-ueber-die-kantonalen-liegenschaftssteuern-auf-zweitliegenschaften</t>
  </si>
  <si>
    <t>https://www.stadtwil.ch/topics/stadt-politik-und-recht/abstimmungen-und-wahlen/vergangene-abstimmungen/2026-vergangene-abstimmungen-und-wahlen/08-03-2026-eidgenoessisches-blankodatum/kantonale-abstimmungen/kantonsratsbeschluss-ueber-den-verkauf-der-grundstuecke-wilwest-und-die-kompensation-von-fruchtfolgeflaechen</t>
  </si>
  <si>
    <t>Kantonsratsbeschluss über den Verkauf der Grundstücke „WILWEST“ und die Kompensation von Fruchtfolgeflächen</t>
  </si>
  <si>
    <t>https://www.stadtwil.ch/topics/stadt-politik-und-recht/abstimmungen-und-wahlen/vorlagen/eidgenoessische-vorlagen/bundesbeschluss-vom-20-dezember-2024-ueber-die-kantonalen-liegenschaftssteuern-auf-zweitliegenschaften</t>
  </si>
  <si>
    <t>https://wil-sg.tlex.ch/api/annex_document_dictionaries/23</t>
  </si>
  <si>
    <t>Baureglement - integriertes Dokument für die Praxis</t>
  </si>
  <si>
    <t>https://www.stadtwil.ch/topics/bauen-und-planen/private-bauprojekte/rechtsgrundlagen-bauen-und-planen/baureglement</t>
  </si>
  <si>
    <t>https://wil-sg.tlex.ch/app/de/quick_search/systematic/direct/21/0d0a08bd59c0071627c3b4bdf3b4a43f</t>
  </si>
  <si>
    <t>(Beitragsreglement).</t>
  </si>
  <si>
    <t>https://www.stadtwil.ch/topics/bauen-und-planen/private-bauprojekte/rechtsgrundlagen-bauen-und-planen/kommunale-schutzverordnung/beitragsreglement-fuer-kommunale-schutzobjekte</t>
  </si>
  <si>
    <t>https://wil-sg.tlex.ch/app/de/systematic/texts_of_law</t>
  </si>
  <si>
    <t>https://www.stadtwil.ch/topics/bauen-und-planen/private-bauprojekte/rechtsgrundlagen-bauen-und-planen/kommunale-schutzverordnung/schutzinventar-der-bau-und-gartendenkmaeler</t>
  </si>
  <si>
    <t>https://wil-sg.tlex.ch/app/de/texts_of_law/7.4.3-6</t>
  </si>
  <si>
    <t>Abwasserreglement</t>
  </si>
  <si>
    <t>https://www.stadtwil.ch/topics/bauen-und-planen/private-bauprojekte/rechtsgrundlagen-bauen-und-planen/abwasserreglement</t>
  </si>
  <si>
    <t>https://wil-sg.tlex.ch/app/de/texts_of_law/7.4.3-6.1</t>
  </si>
  <si>
    <t>Vollzugsreglement zum Abwasserreglement</t>
  </si>
  <si>
    <t>https://wil-sg.tlex.ch/app/de/texts_of_law/7.4.3-6.2</t>
  </si>
  <si>
    <t>Gebührentarif zum Abwasserreglement</t>
  </si>
  <si>
    <t>https://wil-sg.tlex.ch/app/de/texts_of_law/8.2-1</t>
  </si>
  <si>
    <t>415.1 Friedhof- und Bestattungsreglement</t>
  </si>
  <si>
    <t>https://www.stadtwil.ch/topics/persoenliches/todesfall/friedhoefe/friedhof-und-bestattungsreglemente</t>
  </si>
  <si>
    <t>https://wil-sg.tlex.ch/app/de/texts_of_law/8.2-1.1</t>
  </si>
  <si>
    <t>415.11 Vollzugsreglement zum Friedhof- und Bestattungsreglement</t>
  </si>
  <si>
    <t>https://www.sg.ch/content/dam/sgch/politik-verwaltung/gemeinden/gemeindenfinanzen/rechnungslegung-rmsg/hilfsmittel-und-vorlagen/Tool%20Bewertung%20Beteiligungen%20im%20Verwaltungsverm%C3%B6gen.xlsx</t>
  </si>
  <si>
    <t>Tool Bewertung Beteiligungen im Verwaltungsvermögen neues Fenster</t>
  </si>
  <si>
    <t>https://www.sg.ch/content/dam/sgch/politik-verwaltung/gemeinden/gemeindenfinanzen/rechnungslegung-rmsg/hilfsmittel-und-vorlagen/Vorlage%20Reglement%20Werterhalt%20Finanzverm%C3%B6gen.docx</t>
  </si>
  <si>
    <t>Vorlage Reglement Werterhalt Finanzvermögen neues Fenster</t>
  </si>
  <si>
    <t>https://www.sg.ch/content/dam/sgch/politik-verwaltung/gemeinden/gemeindenfinanzen/rechnungslegung-rmsg/merkbl%C3%A4tter-und-weisungen/Merkblatt%20Beteiligungen.pdf</t>
  </si>
  <si>
    <t>Merkblatt Beteiligungen neues Fenster</t>
  </si>
  <si>
    <t>https://www.sg.ch/kultur/denkmalpflege/Subventionen/beitragsgesuch.html</t>
  </si>
  <si>
    <t>kantonalen Denkmalpflege</t>
  </si>
  <si>
    <t>https://www.sg.ch/news/sgch_allgemein/2025/11/ii--nachtrag-zur-verordnung-zum-gesetz-ueber-die-abgeltung-oekol.html</t>
  </si>
  <si>
    <t>abgelaufen 10.11.2025 10:00 II. Nachtrag zur Verordnung zum Gesetz über die Abgeltung ökologischer Leistungen Zur Umsetzung der am 17. Februar 2021 vom Kantonsrat gutgeheissenen Motion 42.20.19 «Neure</t>
  </si>
  <si>
    <t>https://www.sg.ch/politik-verwaltung/kantonale-vernehmlassungen.html</t>
  </si>
  <si>
    <t>https://www.sg.ch/news/sgch_allgemein/2026/09/ii--nachtrag-zur-verordnung-zum-gesetz-ueber-die-abgeltung-oekol.html</t>
  </si>
  <si>
    <t>24.09.2026 10:00 II. Nachtrag zur Verordnung zum Gesetz über die Abgeltung ökologischer Leistungen Die Regierung hat am 22. September 2026 den Entwurf eines II. Nachtrags zur Verordnung zum Gesetz übe</t>
  </si>
  <si>
    <t>https://www.sg.ch/news/sgch_allgemein/2026/10/verordnung-familien--und-schulergaenzende-kinderbetreuung.html</t>
  </si>
  <si>
    <t>05.10.2026 08:00 Verordnung über Beiträge für familien- und schulergänzende Kinderbetreuung Ab 1. August 2028 erhalten Familien mit dem neuen Kinderbetreuungsgesetz eine kantonsweit einheitliche Minde</t>
  </si>
  <si>
    <t>https://www.stadtwil.ch/auth/login?skip=0&amp;to=%2Ftopics%2Fbauen-und-planen%2Fprivate-bauprojekte%2Frechtsgrundlagen-bauen-und-planen%2Fbaureglement</t>
  </si>
  <si>
    <t>https://www.stadtwil.ch/auth/login?skip=0&amp;to=%2Ftopics%2Fbauen-und-planen%2Fprivate-bauprojekte%2Frechtsgrundlagen-bauen-und-planen%2Fkommunale-schutzverordnung%2Fbeitragsreglement-fuer-kommunale-schutzobjekte</t>
  </si>
  <si>
    <t>https://www.stadtwil.ch/auth/login?skip=0&amp;to=%2Ftopics%2Fbauen-und-planen%2Fprivate-bauprojekte%2Frechtsgrundlagen-bauen-und-planen%2Fkommunale-schutzverordnung%2Fschutzinventar-der-bau-und-gartendenkmaeler</t>
  </si>
  <si>
    <t>https://www.stadtwil.ch/auth/login?skip=0&amp;to=%2Ftopics%2Fpersoenliches%2Ftodesfall%2Ffriedhoefe%2Ffriedhof-und-bestattungsreglemente</t>
  </si>
  <si>
    <t>https://www.stadtwil.ch/auth/login?skip=0&amp;to=%2Ftopics%2Fstadt-politik-und-recht%2Frechtssammlung-1</t>
  </si>
  <si>
    <t>Baureglement</t>
  </si>
  <si>
    <t>https://www.stadtwil.ch/topics/bauen-und-planen/private-bauprojekte/rechtsgrundlagen-bauen-und-planen/kommunale-schutzverordnung</t>
  </si>
  <si>
    <t>Kommunale Schutzverordnung</t>
  </si>
  <si>
    <t>Beitragsreglement für kommunale Schutzobjekte</t>
  </si>
  <si>
    <t>Schutzinventar der Bau- und Gartendenkmäler</t>
  </si>
  <si>
    <t>Rechtliche Grundlagen / Tarife / Gesuche</t>
  </si>
  <si>
    <t>https://www.stadtwil.ch/topics/stadt-politik-und-recht/kommissionen-und-delegationen/regionale-und-wirtschaftliche-organisationen/regio-wil</t>
  </si>
  <si>
    <t>Regio Wil</t>
  </si>
  <si>
    <t>https://www.stadtwil.ch/topics/stadt-politik-und-recht/kommissionen-und-delegationen/regionale-und-wirtschaftliche-organisationen/regio-wil-fachgruppe-mobilitaet-miv-ov-langsamverkehr</t>
  </si>
  <si>
    <t>Regio Wil: Fachgruppe Mobilität (MIV, ÖV, Langsamverkehr)</t>
  </si>
  <si>
    <t>https://www.stadtwil.ch/topics/stadt-politik-und-recht/kommissionen-und-delegationen/regionale-und-wirtschaftliche-organisationen/regio-wil-fachgruppe-siedlung-landschaft-und-umwelt</t>
  </si>
  <si>
    <t>Regio Wil: Fachgruppe Siedlung, Landschaft und Umwelt</t>
  </si>
  <si>
    <t>https://www.stadtwil.ch/topics/stadt-politik-und-recht/kommissionen-und-delegationen/zweckverbaende/zweckverband-abfallverwertung-bazenheid-zab</t>
  </si>
  <si>
    <t>Zweckverband Abfallverwertung Bazenheid (ZAB)</t>
  </si>
  <si>
    <t>https://www.stadtwil.ch/topics/stadt-politik-und-recht/kommissionen-und-delegationen/zweckverbaende/zweckverband-regionalwasserversorgung-mittelthurgau-sued</t>
  </si>
  <si>
    <t>Zweckverband Regionalwasserversorgung Mittelthurgau-Süd</t>
  </si>
  <si>
    <t>https://www.stadtwil.ch/topics/stadt-politik-und-recht/kommissionen-und-delegationen/zweckverbaende/zweckverband-sicherheitsverbund-region-wil</t>
  </si>
  <si>
    <t>Zweckverband Sicherheitsverbund Region Wil</t>
  </si>
  <si>
    <t>https://www.stadtwil.ch/topics/umwelt-und-energie/immissionsschutz/erteilte-ausnahmebewilligungen-gemaess-immissionsschutzreglement</t>
  </si>
  <si>
    <t>Erteilte Ausnahmebewilligungen gemäss Immissionsschutzreglement</t>
  </si>
  <si>
    <t>https://www.stadtwil.ch/topics/wohnen/kanalisation-siedlungsentwaesserung/gebuehren-und-gebaeudebeitrag</t>
  </si>
  <si>
    <t>Gebühren, Gebäudebeitrag, Normen und Reglemente</t>
  </si>
  <si>
    <t>https://www.sg.ch/news/sgch_aussenbeziehungen/2026/09/aenderung-der-verordnung-ueber-die-schweizerische-nationalbiblio.html</t>
  </si>
  <si>
    <t xml:space="preserve">10.09.2026 11:43 Änderung der Verordnung über die Schweizerische Nationalbibliothek Mit Schreiben vom 10. September 2026 antwortet die Regierung des Kantons St.Gallen auf die Vernehmlassungseinladung </t>
  </si>
  <si>
    <t>https://www.sg.ch/news/sgch_aussenbeziehungen/2026/09/aenderung-der-verordnungen-ueber-die-verrechnungssteuer--ueber-d.html</t>
  </si>
  <si>
    <t>24.09.2026 11:08 Änderung der Verordnungen über die Verrechnungssteuer, über die Stempelabgaben, über die Steuerentlastungen schweizerischer Dividenden aus wesentlichen Beteiligungen ausländischer Ges</t>
  </si>
  <si>
    <t>https://www.sg.ch/news/sgch_aussenbeziehungen/2026/09/aenderung-der-waffenverordnung.html</t>
  </si>
  <si>
    <t>24.09.2026 12:21 Änderung der Waffenverordnung Mit Schreiben vom 24. September 2026 antwortet die Regierung des Kantons St.Gallen auf die Vernehmlassungseinladung des Eidgenössischen Justiz- und...</t>
  </si>
  <si>
    <t>https://www.sg.ch/news/sgch_aussenbeziehungen/2026/09/revision-der-verordnung-ueber-die-gebuehren-im-zivilstandswesen.html</t>
  </si>
  <si>
    <t>22.09.2026 11:54 Revision der Verordnung über die Gebühren im Zivilstandswesen Mit Schreiben vom 22. September 2026 antwortet die Regierung des Kantons St.Gallen auf die Vernehmlassungseinladung des E</t>
  </si>
  <si>
    <t>https://www.stadtwil.ch/directories/rechtssammlung/323-1-reglement-ueber-das-jugendparlament</t>
  </si>
  <si>
    <t>Reglement über das Jugendparlament</t>
  </si>
  <si>
    <t>https://www.stadtwil.ch/topics/kinder-jugendliche-und-familie/jugendliche/jugendparlament</t>
  </si>
  <si>
    <t>https://www.stadtwil.ch/topics/stadt-politik-und-recht/abstimmungen-und-wahlen/vergangene-abstimmungen/2024-vergangene-abstimmungen-und-wahlen/22-09-2024-eidgenoessische-und-kommunale-abstimmungen-sowie-kommunale-erneuerungswahlen/anderung-vom-17-maerz-2023-des-bundesgesetzes-ueber-die-berufliche-alters-hinterlassenen-und-invalidenvorsorge-bvg-reform-der-beruflichen-vorsorge</t>
  </si>
  <si>
    <t>Nachtrag IV zur Gemeindeordnung</t>
  </si>
  <si>
    <t>https://www.stadtwil.ch/topics/stadt-politik-und-recht/abstimmungen-und-wahlen/vergangene-abstimmungen/2026-vergangene-abstimmungen-und-wahlen/08-03-2026-eidgenoessisches-blankodatum/kantonale-abstimmungen/kantonsratsbeschluss-ueber-den-bau-der-kantonsstrasse-zum-see-inklusive-kostenbeteiligung-am-anschluss-witen-mit-zubringer</t>
  </si>
  <si>
    <t>Kantonsratsbeschluss über den Bau der «Kantonsstrasse zum See» inklusive Kostenbeteiligung am Anschluss Witen mit Zubringer</t>
  </si>
  <si>
    <t>https://www.stadtwil.ch/topics/stadt-politik-und-recht/abstimmungen-und-wahlen/vorlagen/eidgenoessische-vorlagen/02-09-2024-anderung-vom-17-maerz-2023-des-bundesgesetzes-ueber-die-berufliche-alters-hinterlassenen-und-invalidenvorsorge-bvg-reform-der-beruflichen-vorsorge</t>
  </si>
  <si>
    <t>02.09.2024 - Änderung vom 17. März 2023 des Bundesgesetzes über die berufliche Alters-, Hinterlassenen- und Invalidenvorsorge (BVG) (Reform der beruflichen Vorsorge)</t>
  </si>
  <si>
    <t>22.11.2024 - Nachtrag IV zur Gemeindeordnung</t>
  </si>
  <si>
    <t>https://www.stadtwil.ch/auth/login?skip=0&amp;to=%2Ftopics%2Fstadt-politik-und-recht%2Fgeschaeftsberichte</t>
  </si>
  <si>
    <t>https://www.stadtwil.ch/storage/0365b801e4a6979a9deedfdb1e4474f6218fc0f46dc651c6573af4f3dbbcb1b0</t>
  </si>
  <si>
    <t>Geschäftsbericht 2019</t>
  </si>
  <si>
    <t>https://www.stadtwil.ch/storage/0b5116215dd91160edb9d31e91f4c82e0ca99fc3b5a0b928237570842495f61b</t>
  </si>
  <si>
    <t>Geschäftsbericht 2008</t>
  </si>
  <si>
    <t>https://www.stadtwil.ch/storage/1fb848ed1d368dffceead9ee6f9d435d50e46b801aff2ee5412c10be82bbe25a</t>
  </si>
  <si>
    <t>Geschäftsbericht 2022</t>
  </si>
  <si>
    <t>https://www.stadtwil.ch/storage/248ab3893e7533b52b7e554517f010462be4194a23b8c4829801dba7e866b46a</t>
  </si>
  <si>
    <t>Geschäftsbericht 2016</t>
  </si>
  <si>
    <t>https://www.stadtwil.ch/storage/25210da970ea0f16696f6ddd4348a820c2e59eb2be1d668424eb39932fa993f5</t>
  </si>
  <si>
    <t>Geschäftsbericht 2013</t>
  </si>
  <si>
    <t>https://www.stadtwil.ch/storage/3d03332182e433d65a5340498b35b0517ac0c0c27c654861110fec8600308334</t>
  </si>
  <si>
    <t>Geschäftsbericht 2011</t>
  </si>
  <si>
    <t>https://www.stadtwil.ch/storage/53bd2727bc94617c323ce1fdbd7e5a48bfbcb9aab2a5463450aab414a81545b4</t>
  </si>
  <si>
    <t>Geschäftsbericht 2009</t>
  </si>
  <si>
    <t>https://www.stadtwil.ch/storage/56214d9002f99bb64434783cd8498f6b2a989f4cd19bf77ad3b1f0011730e0fc</t>
  </si>
  <si>
    <t>Geschäftsbericht 2014</t>
  </si>
  <si>
    <t>https://www.stadtwil.ch/storage/5f9c4578f72cb2fcdd0c9b8549a359fde555af1b3bff71552a51fd1ab0a34ce1</t>
  </si>
  <si>
    <t>Geschäftsbericht 2010</t>
  </si>
  <si>
    <t>https://www.stadtwil.ch/storage/6ad37fbf71a6783177e53d62242d53eea1eb8724d27919198ec26ccb4eb6f39b</t>
  </si>
  <si>
    <t>Geschäftsbericht 2017</t>
  </si>
  <si>
    <t>https://www.stadtwil.ch/storage/6e22361e6f21baf10f8b6c6f1059865c02d08c351c68c7a04847b93eea03c4f0</t>
  </si>
  <si>
    <t>Geschäftsbericht 2015</t>
  </si>
  <si>
    <t>https://www.stadtwil.ch/storage/714f9723c151af4778e93aa518f6d7c4e10da1d6bb6bee87f769115c2a52c5bf</t>
  </si>
  <si>
    <t>Geschäftsbericht 2021</t>
  </si>
  <si>
    <t>https://www.stadtwil.ch/storage/737121b648fd5d744522b0ee38f7d4467ce550219554db3d6197f1ae0feeb623</t>
  </si>
  <si>
    <t>Geschäftsbericht 2020</t>
  </si>
  <si>
    <t>https://www.stadtwil.ch/storage/8633ae9158140c04ff9f207328b47896a256e5505af8d0981a72ac65d8543cb3</t>
  </si>
  <si>
    <t>Geschäftsbericht 2018</t>
  </si>
  <si>
    <t>https://www.stadtwil.ch/storage/8eedf72c0fffec0e8192e6fc00a728c5891c83e7b8b7d3488c2f314a11582972</t>
  </si>
  <si>
    <t>Geschäftsbericht 2023</t>
  </si>
  <si>
    <t>https://www.stadtwil.ch/storage/df75667555ec04aaf5ca7c5df3b6993ef5db02b42fe25717d28391d56220d623</t>
  </si>
  <si>
    <t>Geschäftsbericht 2012</t>
  </si>
  <si>
    <t>Geschäftsbericht 2025</t>
  </si>
  <si>
    <t>https://www.stadtwil.ch/storage/f6ec46b7be5614e3c273b611df314ff57a7d0368d0b9e43fa30220497eef5590</t>
  </si>
  <si>
    <t>Geschäftsbericht 2024</t>
  </si>
  <si>
    <t>Geschäftsberichte</t>
  </si>
  <si>
    <t>http://wab.sg.ch</t>
  </si>
  <si>
    <t>Ergebnisse Wahlen und Abstimmungen neues Fenster</t>
  </si>
  <si>
    <t>https://www.sg.ch/politik-verwaltung/abstimmungen-wahlen.html</t>
  </si>
  <si>
    <t>https://mitwirken.stadtwil.ch/de/</t>
  </si>
  <si>
    <t>Mitwirkungs-Plattform</t>
  </si>
  <si>
    <t>https://www.stadtwil.ch/topics/bauen-und-planen/wil-vivendo/ortsplanungsrevision/news/start-offentliche-mitwirkung</t>
  </si>
  <si>
    <t>https://www.jupawil.com/</t>
  </si>
  <si>
    <t>Jugendparlament Wil</t>
  </si>
  <si>
    <t>https://www.sg.ch/content/dam/sgch/politik-verwaltung/gemeinden/gemeindenfinanzen/rechnungslegung-rmsg/Nachtrag%20zum%20Gemeindegesetz%20Botschaft%20und%20Entwurf%20der%20Regierung.pdf</t>
  </si>
  <si>
    <t>Nachtrag zum Gemeindegesetz</t>
  </si>
  <si>
    <t>https://www.sg.ch/news/sgch_allgemein/2022/04/uebersicht-vernehmlassungen.html</t>
  </si>
  <si>
    <t>01.01.2030 00:01 Übersicht Vernehmlassungen (Geplante) Vernehmlassungen zu Gesetzesvorhaben und Regierungsprojekten</t>
  </si>
  <si>
    <t>https://www.sg.ch/news/sgch_allgemein/2025/12/gesetz-ueber-die-stattlichen-stipendien-und-studiendarlehen--sti.html</t>
  </si>
  <si>
    <t>abgelaufen 05.12.2025 08:30 Gesetz über die staatlichen Stipendien und Studiendarlehen (Stipendiengesetz) Die Regierung hat ein neues Stipendiengesetz erarbeitet und gibt den Entwurf in die öffentlich</t>
  </si>
  <si>
    <t>https://www.sg.ch/news/sgch_allgemein/2025/12/x--nachtrag-zum-strassengesetz.html</t>
  </si>
  <si>
    <t>abgelaufen 11.12.2025 08:10 X. Nachtrag zum Strassengesetz Die Regierung gibt den Entwurf des X. Nachtrags zum Strassengesetz zur Vernehmlassung frei. Mit dem Nachtrag sollen der geforderte Ausbaustan</t>
  </si>
  <si>
    <t>https://www.sg.ch/news/sgch_allgemein/2026/08/vi--nachtrag-zum-planungs--und-baugesetz.html</t>
  </si>
  <si>
    <t>abgelaufen 03.08.2026 08:00 VI. Nachtrag zum Planungs- und Baugesetz Die Regierung gibt den Entwurf zum VI. Nachtrag zum Planungs- und Baugesetz zur Vernehmlassung frei. Mit dem Nachtrag wird die Grun</t>
  </si>
  <si>
    <t>https://www.sg.ch/news/sgch_allgemein/2026/09/bewegungs--und-sportfoerderungsgesetz.html</t>
  </si>
  <si>
    <t>11.09.2026 09:00 Bewegungs- und Sportförderungsgesetz Die Regierung gibt den Entwurf für ein neues Bewegungs- und Sportförderungsgesetz in die Vernehmlassung. Mit dem neuen Gesetz wird die Bedeutung v</t>
  </si>
  <si>
    <t>https://www.sg.ch/news/sgch_aussenbeziehungen/2026/09/23-443-n-pa--iv--addor--ausweisung-krimineller-auslaenderinnen-u.html</t>
  </si>
  <si>
    <t>10.09.2026 11:56 23.443 n Pa. Iv. Addor. Ausweisung krimineller Ausländerinnen und Ausländer. Interessenabwägung mit gesundem Menschenverstand Mit Schreiben vom 10. September 2026 antwortet die Regier</t>
  </si>
  <si>
    <t>https://www.sg.ch/news/sgch_aussenbeziehungen/2026/09/aenderung-des-bundesgesetzes-gegen-die-schwarzarbeit.html</t>
  </si>
  <si>
    <t>24.09.2026 11:51 Änderung des Bundesgesetzes gegen die Schwarzarbeit Mit Schreiben vom 24. September 2026 antwortet die Regierung des Kantons St.Gallen auf die Vernehmlassungseinladung des Eidgenössis</t>
  </si>
  <si>
    <t>https://www.sg.ch/news/sgch_aussenbeziehungen/2026/09/aenderung-des-mehrwertsteuergesetzes-und-des-bundesgesetzes-uebe.html</t>
  </si>
  <si>
    <t>24.09.2026 11:24 Änderung des Mehrwertsteuergesetzes und des Bundesgesetzes über die Stempelabgaben (Wettbewerbsfähigkeit der Schweizer Wirtschaft stärken) Mit Schreiben vom 24. September 2026 antwort</t>
  </si>
  <si>
    <t>https://www.sg.ch/news/sgch_aussenbeziehungen/2026/09/aenderung-des-sprachengesetzes.html</t>
  </si>
  <si>
    <t>25.09.2026 09:02 Änderung des Sprachengesetzes Mit Schreiben vom 25. September 2026 antwortet die Regierung des Kantons St.Gallen auf die Vernehmlassungseinladung des Eidgenössischen Departementes...</t>
  </si>
  <si>
    <t>https://www.sg.ch/news/sgch_aussenbeziehungen/2026/09/bundesgesetz-zur-reform-der-bundesanwaltschaft-und-ihrer-aufsich.html</t>
  </si>
  <si>
    <t xml:space="preserve">24.09.2026 12:12 Bundesgesetz zur Reform der Bundesanwaltschaft und ihrer Aufsicht und zu Änderungen der Bundesgerichtsbarkeit Mit Schreiben vom 24. September 2026 antwortet die Regierung des Kantons </t>
  </si>
  <si>
    <t>https://www.sg.ch/news/sgch_aussenbeziehungen/2026/09/kommission-fuer-rechtsfragen-des-nationalrates--rk-n---18-434-n-.html</t>
  </si>
  <si>
    <t>24.09.2026 12:31 18.434 n Pa. Iv. (Amherd) Bregy, «Cybergrooming mit Minderjährigen endlich unter Strafe stellen» Mit Schreiben vom 24. September 2026 antwortet die Regierung des Kantons St.Gallen auf</t>
  </si>
  <si>
    <t>https://www.sg.ch/news/sgch_aussenbeziehungen/2026/09/ratifikation-und-umsetzung-des-internationalen-uebereinkommens-i.html</t>
  </si>
  <si>
    <t xml:space="preserve">09.09.2026 12:36 Ratifikation und Umsetzung des internationalen Übereinkommens im Rahmen des Seerechtsübereinkommens der Vereinten Nationen über die Erhaltung und nachhaltige Nutzung der biologischen </t>
  </si>
  <si>
    <t>https://www.sg.ch/news/sgch_aussenbeziehungen/2026/09/teilrevision-des-bundesgesetzes-ueber-arzneimittel-und-medizinpr.html</t>
  </si>
  <si>
    <t>10.09.2026 11:58 Teilrevision des Bundesgesetzes über Arzneimittel und Medizinprodukte im Rahmen der Etappe 3b Mit Schreiben vom 10. September 2026 antwortet die Regierung des Kantons St.Gallen auf di</t>
  </si>
  <si>
    <t>https://www.sg.ch/news/sgch_aussenbeziehungen/2026/09/teilrevision-des-bundesgesetzes-ueber-die-produktesicherheit.html</t>
  </si>
  <si>
    <t>10.09.2026 12:41 Teilrevision des Bundesgesetzes über die Produktesicherheit Mit Schreiben vom 10. September 2026 antwortet die Regierung des Kantons St.Gallen auf die Vernehmlassungseinladung des Eid</t>
  </si>
  <si>
    <t>https://www.sg.ch/news/sgch_aussenbeziehungen/2026/09/vorlage-zur-verkehrstraegeruebergreifenden-bewaeltigung-der-mobi.html</t>
  </si>
  <si>
    <t xml:space="preserve">24.09.2026 12:34 Vorlage zur verkehrsträgerübergreifenden Bewältigung der Mobilitätsbedürfnisse: Verkehr '45 Mit Schreiben vom 24. September 2026 antwortet die Regierung des Kantons St.Gallen auf die </t>
  </si>
  <si>
    <t>https://www.sg.ch/politik-verwaltung/abstimmungen-wahlen/aktuelle-abstimmungen.html</t>
  </si>
  <si>
    <t>Abstimmungen</t>
  </si>
  <si>
    <t>https://www.sg.ch/politik-verwaltung/abstimmungen-wahlen/auslandschweizer--innen.html</t>
  </si>
  <si>
    <t>Auslandschweizer-/innen</t>
  </si>
  <si>
    <t>https://www.sg.ch/politik-verwaltung/abstimmungen-wahlen/e-collecting.html</t>
  </si>
  <si>
    <t>E-Collecting</t>
  </si>
  <si>
    <t>https://www.sg.ch/politik-verwaltung/abstimmungen-wahlen/e-voting.html</t>
  </si>
  <si>
    <t>E-Voting</t>
  </si>
  <si>
    <t>https://www.sg.ch/politik-verwaltung/abstimmungen-wahlen/initiativen---referenden.html</t>
  </si>
  <si>
    <t>Initiativen &amp; Referenden</t>
  </si>
  <si>
    <t>https://www.sg.ch/politik-verwaltung/abstimmungen-wahlen/wahlen.html</t>
  </si>
  <si>
    <t>Wahlen</t>
  </si>
  <si>
    <t>Eidgenössische Vernehmlassungen</t>
  </si>
  <si>
    <t>https://www.sg.ch/politik-verwaltung/eidgenoessische-vernehmlassungen.viewpage__1.html</t>
  </si>
  <si>
    <t>eine Seite vorwärts</t>
  </si>
  <si>
    <t>https://www.sg.ch/politik-verwaltung/eidgenoessische-vernehmlassungen.viewpage__41.html</t>
  </si>
  <si>
    <t>zur letzten Seite</t>
  </si>
  <si>
    <t>Kantonale Vernehmlassungen</t>
  </si>
  <si>
    <t>https://www.sg.ch/politik-verwaltung/kantonale-vernehmlassungen.viewpage__1.html</t>
  </si>
  <si>
    <t>https://www.sg.ch/politik-verwaltung/kantonale-vernehmlassungen.viewpage__5.html</t>
  </si>
  <si>
    <t>https://www.stadtwil.ch/auth/login?skip=0&amp;to=%2Ftopics%2Falter%2Faktivitaet-und-mitwirkung</t>
  </si>
  <si>
    <t>https://www.stadtwil.ch/topics/alter/aktivitaet-und-mitwirkung</t>
  </si>
  <si>
    <t>https://www.stadtwil.ch/auth/login?skip=0&amp;to=%2Ftopics%2Fbauen-und-planen%2Fmitwirkungen</t>
  </si>
  <si>
    <t>https://www.stadtwil.ch/topics/bauen-und-planen/mitwirkungen</t>
  </si>
  <si>
    <t>https://www.stadtwil.ch/auth/login?skip=0&amp;to=%2Ftopics%2Fbauen-und-planen%2Fwil-vivendo%2Fmobilitaet%2Fnetzergaenzung-ost-neo%2Fveranstaltungen%2Fmitwirkungen</t>
  </si>
  <si>
    <t>https://www.stadtwil.ch/topics/bauen-und-planen/wil-vivendo/mobilitaet/netzergaenzung-ost-neo/veranstaltungen/mitwirkungen</t>
  </si>
  <si>
    <t>https://www.stadtwil.ch/auth/login?skip=0&amp;to=%2Ftopics%2Fbauen-und-planen%2Fwil-vivendo%2Fortsplanungsrevision%2Fnews%2Fbisherige-uberlegungen-wurden-breit-gespiegelt%2Fe-mitwirkung-mitmachen-ist-angesagt</t>
  </si>
  <si>
    <t>https://www.stadtwil.ch/topics/bauen-und-planen/wil-vivendo/ortsplanungsrevision/news/bisherige-uberlegungen-wurden-breit-gespiegelt/e-mitwirkung-mitmachen-ist-angesagt</t>
  </si>
  <si>
    <t>https://www.stadtwil.ch/auth/login?skip=0&amp;to=%2Ftopics%2Fbauen-und-planen%2Fwil-vivendo%2Fortsplanungsrevision%2Fnews%2Fhalbzeit-mitwirkung%2Faufloesung-der-frage</t>
  </si>
  <si>
    <t>https://www.stadtwil.ch/topics/bauen-und-planen/wil-vivendo/ortsplanungsrevision/news/halbzeit-mitwirkung/aufloesung-der-frage</t>
  </si>
  <si>
    <t>https://www.stadtwil.ch/auth/login?skip=0&amp;to=%2Ftopics%2Fbauen-und-planen%2Fwil-vivendo%2Fortsplanungsrevision%2Fnews%2Fhalbzeit-mitwirkung%2Feditorial</t>
  </si>
  <si>
    <t>https://www.stadtwil.ch/topics/bauen-und-planen/wil-vivendo/ortsplanungsrevision/news/halbzeit-mitwirkung/editorial</t>
  </si>
  <si>
    <t>https://www.stadtwil.ch/auth/login?skip=0&amp;to=%2Ftopics%2Fbauen-und-planen%2Fwil-vivendo%2Fortsplanungsrevision%2Fnews%2Fstart-offentliche-mitwirkung</t>
  </si>
  <si>
    <t>https://www.stadtwil.ch/auth/login?skip=0&amp;to=%2Ftopics%2Fbauen-und-planen%2Fwil-vivendo%2Fortsplanungsrevision%2Fveranstaltungen-und-mitwirkung%2Fmitwirkungen%2Fmitwirkung-zum-richtplan-siedlung-sowie-gruen-freiraeume</t>
  </si>
  <si>
    <t>https://www.stadtwil.ch/topics/bauen-und-planen/wil-vivendo/ortsplanungsrevision/veranstaltungen-und-mitwirkung/mitwirkungen/mitwirkung-zum-richtplan-siedlung-sowie-gruen-freiraeume</t>
  </si>
  <si>
    <t>https://www.stadtwil.ch/auth/login?skip=0&amp;to=%2Ftopics%2Fbauen-und-planen%2Fwil-vivendo%2Fortsplanungsrevision%2Fveranstaltungen-und-mitwirkung%2Fstrategiekonferenzen%2F2-strategiekonferenz</t>
  </si>
  <si>
    <t>https://www.stadtwil.ch/topics/bauen-und-planen/wil-vivendo/ortsplanungsrevision/veranstaltungen-und-mitwirkung/strategiekonferenzen/2-strategiekonferenz</t>
  </si>
  <si>
    <t>https://www.stadtwil.ch/auth/login?skip=0&amp;to=%2Ftopics%2Fbauen-und-planen%2Fwil-vivendo%2Fortsplanungsrevision%2Fveranstaltungen-und-mitwirkung%2Fstrategiekonferenzen%2F3-strategiekonferenz</t>
  </si>
  <si>
    <t>https://www.stadtwil.ch/topics/bauen-und-planen/wil-vivendo/ortsplanungsrevision/veranstaltungen-und-mitwirkung/strategiekonferenzen/3-strategiekonferenz</t>
  </si>
  <si>
    <t>https://www.stadtwil.ch/auth/login?skip=0&amp;to=%2Ftopics%2Fbauen-und-planen%2Fwil-vivendo%2Fortsplanungsrevision%2Fveranstaltungen-und-mitwirkung%2Fstrategiekonferenzen%2F4-ortsplanungskonferenze</t>
  </si>
  <si>
    <t>https://www.stadtwil.ch/topics/bauen-und-planen/wil-vivendo/ortsplanungsrevision/veranstaltungen-und-mitwirkung/strategiekonferenzen/4-ortsplanungskonferenze</t>
  </si>
  <si>
    <t>https://www.stadtwil.ch/auth/login?skip=0&amp;to=%2Ftopics%2Fbauen-und-planen%2Fwil-vivendo%2Fortsplanungsrevision%2Fveranstaltungen-und-mitwirkung%2Fstrategiekonferenzen%2Fstrategiekonferenz-1-am-30-august-2024</t>
  </si>
  <si>
    <t>https://www.stadtwil.ch/topics/bauen-und-planen/wil-vivendo/ortsplanungsrevision/veranstaltungen-und-mitwirkung/strategiekonferenzen/strategiekonferenz-1-am-30-august-2024</t>
  </si>
  <si>
    <t>https://www.stadtwil.ch/auth/login?skip=0&amp;to=%2Ftopics%2Fbauen-und-planen%2Fwil-vivendo%2Fortsplanungsrevision%2Fveranstaltungen-und-mitwirkung%2Fveranstaltungen</t>
  </si>
  <si>
    <t>https://www.stadtwil.ch/topics/bauen-und-planen/wil-vivendo/ortsplanungsrevision/veranstaltungen-und-mitwirkung/veranstaltungen</t>
  </si>
  <si>
    <t>https://www.stadtwil.ch/auth/login?skip=0&amp;to=%2Ftopics%2Fbauen-und-planen%2Fwil-vivendo%2Fsiedlung%2Fschulraumplanung%2Frueckblick-mitwirkung</t>
  </si>
  <si>
    <t>https://www.stadtwil.ch/topics/bauen-und-planen/wil-vivendo/siedlung/schulraumplanung/rueckblick-mitwirkung</t>
  </si>
  <si>
    <t>https://www.stadtwil.ch/auth/login?skip=0&amp;to=%2Ftopics%2Fbildung%2Felternmitwirkung</t>
  </si>
  <si>
    <t>https://www.stadtwil.ch/topics/bildung/elternmitwirkung</t>
  </si>
  <si>
    <t>https://www.stadtwil.ch/auth/login?skip=0&amp;to=%2Ftopics%2Fkinder-jugendliche-und-familie%2Fjugendliche%2Fjugendparlament</t>
  </si>
  <si>
    <t>https://www.stadtwil.ch/auth/login?skip=0&amp;to=%2Ftopics%2Fsport%2Fsportfoerderung%2Fleitbild-sport</t>
  </si>
  <si>
    <t>https://www.stadtwil.ch/topics/sport/sportfoerderung/leitbild-sport</t>
  </si>
  <si>
    <t>https://www.stadtwil.ch/auth/login?skip=0&amp;to=%2Ftopics%2Fstadt-politik-und-recht%2Fabstimmungen-und-wahlen%2F2026-kommende-abstimmungen%2F2026-kommende-abstimmungen-und-wahlen%2F27-09-2026-eidgenoessisches-blankodatum</t>
  </si>
  <si>
    <t>https://www.stadtwil.ch/auth/login?skip=0&amp;to=%2Ftopics%2Fstadt-politik-und-recht%2Fabstimmungen-und-wahlen%2F2026-kommende-abstimmungen%2F2026-kommende-abstimmungen-und-wahlen%2F29-11-2026-eidgenoessisches-blankodatum</t>
  </si>
  <si>
    <t>https://www.stadtwil.ch/topics/stadt-politik-und-recht/abstimmungen-und-wahlen/2026-kommende-abstimmungen/2026-kommende-abstimmungen-und-wahlen/29-11-2026-eidgenoessisches-blankodatum</t>
  </si>
  <si>
    <t>https://www.stadtwil.ch/auth/login?skip=0&amp;to=%2Ftopics%2Fstadt-politik-und-recht%2Fabstimmungen-und-wahlen%2F2026-kommende-abstimmungen%2F2027-kommende-abstimmungen-und-wahlen%2F06-06-2027-eidgenoessisches-blankodatum</t>
  </si>
  <si>
    <t>https://www.stadtwil.ch/topics/stadt-politik-und-recht/abstimmungen-und-wahlen/2026-kommende-abstimmungen/2027-kommende-abstimmungen-und-wahlen/06-06-2027-eidgenoessisches-blankodatum</t>
  </si>
  <si>
    <t>https://www.stadtwil.ch/auth/login?skip=0&amp;to=%2Ftopics%2Fstadt-politik-und-recht%2Fabstimmungen-und-wahlen%2F2026-kommende-abstimmungen%2F2027-kommende-abstimmungen-und-wahlen%2F24-10-2027-eidgenoessisches-blankodatum</t>
  </si>
  <si>
    <t>https://www.stadtwil.ch/topics/stadt-politik-und-recht/abstimmungen-und-wahlen/2026-kommende-abstimmungen/2027-kommende-abstimmungen-und-wahlen/24-10-2027-eidgenoessisches-blankodatum</t>
  </si>
  <si>
    <t>https://www.stadtwil.ch/auth/login?skip=0&amp;to=%2Ftopics%2Fstadt-politik-und-recht%2Fabstimmungen-und-wahlen%2F2026-kommende-abstimmungen%2F2027-kommende-abstimmungen-und-wahlen%2F28-02-2027-eidgenoessisches-blankodatum</t>
  </si>
  <si>
    <t>https://www.stadtwil.ch/topics/stadt-politik-und-recht/abstimmungen-und-wahlen/2026-kommende-abstimmungen/2027-kommende-abstimmungen-und-wahlen/28-02-2027-eidgenoessisches-blankodatum</t>
  </si>
  <si>
    <t>https://www.stadtwil.ch/auth/login?skip=0&amp;to=%2Ftopics%2Fstadt-politik-und-recht%2Fabstimmungen-und-wahlen%2F2026-kommende-abstimmungen%2F2027-kommende-abstimmungen-und-wahlen%2F28-11-2027-eidgenoessisches-blankodatum</t>
  </si>
  <si>
    <t>https://www.stadtwil.ch/topics/stadt-politik-und-recht/abstimmungen-und-wahlen/2026-kommende-abstimmungen/2027-kommende-abstimmungen-und-wahlen/28-11-2027-eidgenoessisches-blankodatum</t>
  </si>
  <si>
    <t>https://www.stadtwil.ch/auth/login?skip=0&amp;to=%2Ftopics%2Fstadt-politik-und-recht%2Fabstimmungen-und-wahlen%2Faktuelle-ergebnisse</t>
  </si>
  <si>
    <t>https://www.stadtwil.ch/meeting/444e7874c34f40a7b7b575c6cb99dec6</t>
  </si>
  <si>
    <t>Sitzung des Stadtparlaments</t>
  </si>
  <si>
    <t>https://www.stadtwil.ch/storage/088a20259e10bb81e5a5cfd8124c13374ad9b4896295230c069067cd32d4ce5d</t>
  </si>
  <si>
    <t>Abstimmungsbroschüre</t>
  </si>
  <si>
    <t>https://www.stadtwil.ch/storage/1b4765efbafbefc15fc64cf1bfc688afb0e9e90ed7497a5c73733856005bd031</t>
  </si>
  <si>
    <t>OPR-Mitwirkungsbericht Siedlung Grün-Freiraum</t>
  </si>
  <si>
    <t>https://www.stadtwil.ch/storage/8e977f4e9cada5e8fe9140b3b89dd2d65730a957f233c5ea828624ee6ce7a67c</t>
  </si>
  <si>
    <t>Sport der Stadt Wil Leitbild 2023</t>
  </si>
  <si>
    <t>https://www.stadtwil.ch/storage/bb298f2c3ce9bfb1480c586dfa9c66a9b99f4a775a9d65ea869a8adddb3b9693</t>
  </si>
  <si>
    <t>Altersleitbild der Stadt Wil</t>
  </si>
  <si>
    <t>https://www.stadtwil.ch/storage/d88eb4851dead2a157160e532c982b8753bf002afa0cb8d9ae834fb998c4c6ba</t>
  </si>
  <si>
    <t>Schule Statut Elternmitwirkung</t>
  </si>
  <si>
    <t>https://www.stadtwil.ch/storage/dd90ae19a11187fb8b4e58db16f7d39b8ae467612d9a6aabc1bf979d5ea98da0</t>
  </si>
  <si>
    <t>Abstimmungsprotokoll_CHSG_20260927</t>
  </si>
  <si>
    <t>Alters- und Generationenpolitik</t>
  </si>
  <si>
    <t>Mitwirkungen</t>
  </si>
  <si>
    <t>https://www.stadtwil.ch/topics/bauen-und-planen/wil-vivendo/mobilitaet/netzergaenzung-ost-neo/veranstaltungen</t>
  </si>
  <si>
    <t>Veranstaltungen und Mitwirkungen</t>
  </si>
  <si>
    <t>E-Mitwirkung - Mitmachen ist angesagt</t>
  </si>
  <si>
    <t>https://www.stadtwil.ch/topics/bauen-und-planen/wil-vivendo/ortsplanungsrevision/news/halbzeit-mitwirkung</t>
  </si>
  <si>
    <t>Halbzeit Mitwirkung</t>
  </si>
  <si>
    <t>Start Öffentliche Mitwirkung</t>
  </si>
  <si>
    <t>https://www.stadtwil.ch/topics/bauen-und-planen/wil-vivendo/ortsplanungsrevision/veranstaltungen-und-mitwirkung</t>
  </si>
  <si>
    <t>https://www.stadtwil.ch/topics/bauen-und-planen/wil-vivendo/ortsplanungsrevision/veranstaltungen-und-mitwirkung/mitwirkungen</t>
  </si>
  <si>
    <t>Mitwirkung zum Richtplan Siedlung sowie Grün-/Freiräume</t>
  </si>
  <si>
    <t>https://www.stadtwil.ch/topics/bauen-und-planen/wil-vivendo/ortsplanungsrevision/veranstaltungen-und-mitwirkung/strategiekonferenzen</t>
  </si>
  <si>
    <t>Konferenzen</t>
  </si>
  <si>
    <t>2. Strategiekonferenz</t>
  </si>
  <si>
    <t>3. Strategiekonferenz</t>
  </si>
  <si>
    <t>4. Ortsplanungskonferenz</t>
  </si>
  <si>
    <t>1. Strategiekonferenz</t>
  </si>
  <si>
    <t>Veranstaltungen</t>
  </si>
  <si>
    <t>Rückblick Mitwirkung</t>
  </si>
  <si>
    <t>Elternmitwirkung</t>
  </si>
  <si>
    <t>Jugendparlament</t>
  </si>
  <si>
    <t>Leitbild Sport der Stadt Wil</t>
  </si>
  <si>
    <t>https://www.stadtwil.ch/topics/stadt-politik-und-recht/abstimmungen-und-wahlen</t>
  </si>
  <si>
    <t>Abstimmungen und Wahlen</t>
  </si>
  <si>
    <t>https://www.stadtwil.ch/topics/stadt-politik-und-recht</t>
  </si>
  <si>
    <t>https://www.stadtwil.ch/topics/stadt-politik-und-recht/abstimmungen-und-wahlen/2026-kommende-abstimmungen</t>
  </si>
  <si>
    <t>Kommende Abstimmungen und Wahlen</t>
  </si>
  <si>
    <t>https://www.stadtwil.ch/topics/stadt-politik-und-recht/abstimmungen-und-wahlen/2026-kommende-abstimmungen/2026-kommende-abstimmungen-und-wahlen</t>
  </si>
  <si>
    <t>2026 - Kommende Abstimmungen und Wahlen</t>
  </si>
  <si>
    <t>27.09.2026 - Abstimmungstermin</t>
  </si>
  <si>
    <t>29.11.2026 - Eidgenössisches Blankodatum</t>
  </si>
  <si>
    <t>https://www.stadtwil.ch/topics/stadt-politik-und-recht/abstimmungen-und-wahlen/2026-kommende-abstimmungen/2027-kommende-abstimmungen-und-wahlen</t>
  </si>
  <si>
    <t>2027 - Kommende Abstimmungen und Wahlen</t>
  </si>
  <si>
    <t>06.06.2027 - Eidgenössisches Blankodatum</t>
  </si>
  <si>
    <t>24.10.2027 - Eidgenössisches Blankodatum</t>
  </si>
  <si>
    <t>28.02.2027 - Eidgenössisches Blankodatum</t>
  </si>
  <si>
    <t>28.11.2027 - Eidgenössisches Blankodatum</t>
  </si>
  <si>
    <t>Aktuelle Ergebnisse</t>
  </si>
  <si>
    <t>https://www.stadtwil.ch/topics/stadt-politik-und-recht/abstimmungen-und-wahlen/politische-rechte</t>
  </si>
  <si>
    <t>https://www.stadtwil.ch/topics/stadt-politik-und-recht/abstimmungen-und-wahlen/vergangene-abstimmungen/2024-vergangene-abstimmungen-und-wahlen/03-03-2024-eidgenoessische-abstimmungen-kantonale-wahlen/erneuerungswahlen-der-mitglieder-der-regierung</t>
  </si>
  <si>
    <t>Erneuerungswahlen der Mitglieder der Regierung</t>
  </si>
  <si>
    <t>https://www.stadtwil.ch/topics/stadt-politik-und-recht/abstimmungen-und-wahlen/vergangene-abstimmungen/2024-vergangene-abstimmungen-und-wahlen/03-03-2024-eidgenoessische-abstimmungen-kantonale-wahlen/erneuerungswahlen-des-kantonsrates</t>
  </si>
  <si>
    <t>Erneuerungswahlen des Kantonsrates</t>
  </si>
  <si>
    <t>https://www.stadtwil.ch/topics/stadt-politik-und-recht/abstimmungen-und-wahlen/vergangene-abstimmungen/2024-vergangene-abstimmungen-und-wahlen/03-03-2024-eidgenoessische-abstimmungen-kantonale-wahlen/volksinitiative-vom-16-juli-2021-fuer-eine-sichere-und-nachhaltige-altersvorsorge</t>
  </si>
  <si>
    <t>Volksinitiative vom 16. Juli 2021 «Für eine sichere und nachhaltige Altersvorsorge »</t>
  </si>
  <si>
    <t>https://www.stadtwil.ch/topics/stadt-politik-und-recht/abstimmungen-und-wahlen/vergangene-abstimmungen/2024-vergangene-abstimmungen-und-wahlen/03-03-2024-eidgenoessische-abstimmungen-kantonale-wahlen/volksinitiative-vom-28-mai-2021-fuer-ein-besseres-leben-im-alter</t>
  </si>
  <si>
    <t>Volksinitiative vom 28. Mai 2021 «Für ein besseres Leben im Alter »</t>
  </si>
  <si>
    <t>https://www.stadtwil.ch/topics/stadt-politik-und-recht/abstimmungen-und-wahlen/vergangene-abstimmungen/2024-vergangene-abstimmungen-und-wahlen/09-juni-2024-eidgenoessische-volksabstimmung/bundesgesetz-vom-29-september-2023-ueber-eine-sichere-stromversorgung-mit-erneuerbaren-energien</t>
  </si>
  <si>
    <t>Bundesgesetz vom 29. September 2023 über eine sichere Stromversorgung mit erneuerbaren Energien</t>
  </si>
  <si>
    <t>https://www.stadtwil.ch/topics/stadt-politik-und-recht/abstimmungen-und-wahlen/vergangene-abstimmungen/2024-vergangene-abstimmungen-und-wahlen/09-juni-2024-eidgenoessische-volksabstimmung/fuer-freiheit-und-koerperliche-unversehrtheit</t>
  </si>
  <si>
    <t>«Für Freiheit und körperliche Unversehrtheit»</t>
  </si>
  <si>
    <t>https://www.stadtwil.ch/topics/stadt-politik-und-recht/abstimmungen-und-wahlen/vergangene-abstimmungen/2024-vergangene-abstimmungen-und-wahlen/09-juni-2024-eidgenoessische-volksabstimmung/maximal-10-des-einkommens-fuer-die-krankenkassenpraemien-praemien-entlastungs-initiative</t>
  </si>
  <si>
    <t>«Maximal 10 % des Einkommens für die Krankenkassenprämien (Prämien-Entlastungs-Initiative)»</t>
  </si>
  <si>
    <t>https://www.stadtwil.ch/topics/stadt-politik-und-recht/abstimmungen-und-wahlen/vergangene-abstimmungen/2024-vergangene-abstimmungen-und-wahlen/09-juni-2024-eidgenoessische-volksabstimmung/volksinitiative-vom-10-maerz-2020</t>
  </si>
  <si>
    <t>«Für tiefere Prämien – Kostenbremse im Gesundheitswesen (Kostenbremse-Initiative)»</t>
  </si>
  <si>
    <t>https://www.stadtwil.ch/topics/stadt-politik-und-recht/abstimmungen-und-wahlen/vergangene-abstimmungen/2024-vergangene-abstimmungen-und-wahlen/14-04-2024-kommunale-abstimmung-und-2-wahlgang-regierung/2-wahlgang-regierung-kanton-st-gallen</t>
  </si>
  <si>
    <t>2. Wahlgang Regierung Kanton St.Gallen</t>
  </si>
  <si>
    <t>https://www.stadtwil.ch/topics/stadt-politik-und-recht/abstimmungen-und-wahlen/vergangene-abstimmungen/2024-vergangene-abstimmungen-und-wahlen/22-09-2024-eidgenoessische-und-kommunale-abstimmungen-sowie-kommunale-erneuerungswahlen/baukredit-fuer-den-ersatzneubau-der-unterfuehrung-hubstrasse-mit-fuss-und-velosteg-sowie-umgestaltung-churfirstenpark</t>
  </si>
  <si>
    <t>Baukredit für den Ersatzneubau der Unterführung Hubstrasse mit Fuss- und Velosteg sowie Umgestaltung Churfirstenpark</t>
  </si>
  <si>
    <t>https://www.stadtwil.ch/topics/stadt-politik-und-recht/abstimmungen-und-wahlen/vergangene-abstimmungen/2024-vergangene-abstimmungen-und-wahlen/22-09-2024-eidgenoessische-und-kommunale-abstimmungen-sowie-kommunale-erneuerungswahlen/erneuerungswahl-der-fuenf-mitglieder-des-stadtrats-1-wahlgang-fuer-die-amtsdauer-2025-2028</t>
  </si>
  <si>
    <t>Erneuerungswahl der fünf Mitglieder des Stadtrats (1. Wahlgang) für die Amtsdauer 2025-2028</t>
  </si>
  <si>
    <t>https://www.stadtwil.ch/topics/stadt-politik-und-recht/abstimmungen-und-wahlen/vergangene-abstimmungen/2024-vergangene-abstimmungen-und-wahlen/22-09-2024-eidgenoessische-und-kommunale-abstimmungen-sowie-kommunale-erneuerungswahlen/erneuerungswahl-des-stadtpraesidenten-1-wahlgang-fuer-die-amtsdauer-2025-2028</t>
  </si>
  <si>
    <t>Erneuerungswahl des Stadtpräsidenten (1. Wahlgang) für die Amtsdauer 2025-2028</t>
  </si>
  <si>
    <t>https://www.stadtwil.ch/topics/stadt-politik-und-recht/abstimmungen-und-wahlen/vergangene-abstimmungen/2024-vergangene-abstimmungen-und-wahlen/22-09-2024-eidgenoessische-und-kommunale-abstimmungen-sowie-kommunale-erneuerungswahlen/erneuerungswahlen-des-stadtparlaments-fuer-die-amtsdauer-2025-2029</t>
  </si>
  <si>
    <t>Erneuerungswahlen des Stadtparlaments für die Amtsdauer 2025-2028</t>
  </si>
  <si>
    <t>https://www.stadtwil.ch/topics/stadt-politik-und-recht/abstimmungen-und-wahlen/vergangene-abstimmungen/2024-vergangene-abstimmungen-und-wahlen/22-09-2024-eidgenoessische-und-kommunale-abstimmungen-sowie-kommunale-erneuerungswahlen/volksinitiative-vom-8-september-2020-fuer-die-zukunft-unserer-natur-und-landschaft-biodiversitaetsinitiative</t>
  </si>
  <si>
    <t>Volksinitiative vom 8. September 2020 «Für die Zukunft unserer Natur und Landschaft (Biodiversitätsinitiative)»</t>
  </si>
  <si>
    <t>https://www.stadtwil.ch/topics/stadt-politik-und-recht/abstimmungen-und-wahlen/vergangene-abstimmungen/2024-vergangene-abstimmungen-und-wahlen/24-11-2024-eidgenoessische-kantonale-und-kommunale-abstimmungen-sowie-2-wahlgang-kommunale-erneuerungswahlen/anderung-vom-22-dezember-2023-des-bundesgesetzes-ueber-die-krankenversicherung-kvg-einheitliche-finanzierung-der-leistungen</t>
  </si>
  <si>
    <t>Änderung vom 22.Dezember 2023 des Bundesgesetzes über die Krankenversicherung (KVG)</t>
  </si>
  <si>
    <t>https://www.stadtwil.ch/topics/stadt-politik-und-recht/abstimmungen-und-wahlen/vergangene-abstimmungen/2024-vergangene-abstimmungen-und-wahlen/24-11-2024-eidgenoessische-kantonale-und-kommunale-abstimmungen-sowie-2-wahlgang-kommunale-erneuerungswahlen/anderung-vom-29-september-2023-des-obligationenrechts</t>
  </si>
  <si>
    <t>Änderung vom 29. September 2023 des Obligationenrechts (Kündigung wegen Eigenbedarfs)</t>
  </si>
  <si>
    <t>https://www.stadtwil.ch/topics/stadt-politik-und-recht/abstimmungen-und-wahlen/vergangene-abstimmungen/2024-vergangene-abstimmungen-und-wahlen/24-11-2024-eidgenoessische-kantonale-und-kommunale-abstimmungen-sowie-2-wahlgang-kommunale-erneuerungswahlen/anderung-vom-29-september-2023-des-obligationenrechts-anderung-vom-29-september-2023-des-obligationenrechts</t>
  </si>
  <si>
    <t>Änderung vom 29. September 2023 des Obligationenrechts (Untermiete)</t>
  </si>
  <si>
    <t>https://www.stadtwil.ch/topics/stadt-politik-und-recht/abstimmungen-und-wahlen/vergangene-abstimmungen/2024-vergangene-abstimmungen-und-wahlen/24-11-2024-eidgenoessische-kantonale-und-kommunale-abstimmungen-sowie-2-wahlgang-kommunale-erneuerungswahlen/baukredit-fuer-den-neubau-werkhof-wil</t>
  </si>
  <si>
    <t>Baukredit für den Neubau Werkhof Wil</t>
  </si>
  <si>
    <t>https://www.stadtwil.ch/topics/stadt-politik-und-recht/abstimmungen-und-wahlen/vergangene-abstimmungen/2024-vergangene-abstimmungen-und-wahlen/24-11-2024-eidgenoessische-kantonale-und-kommunale-abstimmungen-sowie-2-wahlgang-kommunale-erneuerungswahlen/bundesbeschluss-vom-29-september-2023-ueber-den-ausbauschritt-2023-fuer-die-nationalstrassen</t>
  </si>
  <si>
    <t>Bundesbeschluss vom 29. September 2023 über den Ausbauschritt 2023 für die Nationalstrassen</t>
  </si>
  <si>
    <t>https://www.stadtwil.ch/topics/stadt-politik-und-recht/abstimmungen-und-wahlen/vergangene-abstimmungen/2024-vergangene-abstimmungen-und-wahlen/24-11-2024-eidgenoessische-kantonale-und-kommunale-abstimmungen-sowie-2-wahlgang-kommunale-erneuerungswahlen/einfuehrungsgesetz-zum-bundesgesetz-ueber-die-foerderung-der-ausbildung-im-bereich-der-pflege</t>
  </si>
  <si>
    <t>Einführungsgesetz zum Bundesgesetz über die Förderung der Ausbildung im Bereich der Pflege</t>
  </si>
  <si>
    <t>https://www.stadtwil.ch/topics/stadt-politik-und-recht/abstimmungen-und-wahlen/vergangene-abstimmungen/2024-vergangene-abstimmungen-und-wahlen/24-11-2024-eidgenoessische-kantonale-und-kommunale-abstimmungen-sowie-2-wahlgang-kommunale-erneuerungswahlen/erneuerungswahl-der-fuenf-mitglieder-des-stadtrats-2-wahlgang-fuer-die-amtsdauer-2025-2028</t>
  </si>
  <si>
    <t>Erneuerungswahl der fünf Mitglieder des Stadtrats (2. Wahlgang) für die Amtsdauer 2025 – 2028</t>
  </si>
  <si>
    <t>https://www.stadtwil.ch/topics/stadt-politik-und-recht/abstimmungen-und-wahlen/vergangene-abstimmungen/2024-vergangene-abstimmungen-und-wahlen/24-11-2024-eidgenoessische-kantonale-und-kommunale-abstimmungen-sowie-2-wahlgang-kommunale-erneuerungswahlen/vii-nachtrag-zum-sozialhilfegesetz-foerderung-und-finanzierung-von-spezialpflegeangeboten</t>
  </si>
  <si>
    <t>VII. Nachtrag zum Sozialhilfegesetz (Förderung und Finanzierung von Spezialpflegeangeboten)</t>
  </si>
  <si>
    <t>https://www.stadtwil.ch/topics/stadt-politik-und-recht/abstimmungen-und-wahlen/vergangene-abstimmungen/2024-vergangene-abstimmungen-und-wahlen/24-11-2024-eidgenoessische-kantonale-und-kommunale-abstimmungen-sowie-2-wahlgang-kommunale-erneuerungswahlen/xxii-nachtrag-zum-steuergesetz-erhoehung-des-fahrkostenabzugs</t>
  </si>
  <si>
    <t>XXII. Nachtrag zum Steuergesetz (Erhöhung des Fahrkostenabzugs)</t>
  </si>
  <si>
    <t>https://www.stadtwil.ch/topics/stadt-politik-und-recht/abstimmungen-und-wahlen/vergangene-abstimmungen/2025-vergangene-abstimmungen-und-wahlen-1/09-02-2025-eidgenoessisches-blankodatum/volksinitiative-vom-21-februar-2023-fuer-eine-verantwortungsvolle-wirtschaft-innerhalb-der-planetaren-grenzen</t>
  </si>
  <si>
    <t>Volksinitiative vom 21. Februar 2023 «Für eine verantwortungsvolle Wirtschaft innerhalb der planetaren Grenzen</t>
  </si>
  <si>
    <t>https://www.stadtwil.ch/topics/stadt-politik-und-recht/abstimmungen-und-wahlen/vergangene-abstimmungen/2025-vergangene-abstimmungen-und-wahlen-1/18-05-2025-eidgenoessisches-blankodatum/iii-nachtrag-zum-gesetz-ueber-ruhetag-und-ladenoeffnung</t>
  </si>
  <si>
    <t>III. Nachtrag zum Gesetz über Ruhetag und Ladenöffnung</t>
  </si>
  <si>
    <t>https://www.stadtwil.ch/topics/stadt-politik-und-recht/abstimmungen-und-wahlen/vergangene-abstimmungen/2025-vergangene-abstimmungen-und-wahlen-1/28-09-2025-eidgenoessische-abstimmung/bundesgesetz-vom-20-dezember-2024-ueber-den-elektronischen-identitaetsnachweis-und-andere-elektronische-nachweise-e-id-gesetz-bgeid</t>
  </si>
  <si>
    <t>Bundesgesetz vom 20. Dezember 2024 über den elektronischen Identitätsnachweis und andere elektronische Nachweise (E-ID-Gesetz, BGEID)</t>
  </si>
  <si>
    <t>https://www.stadtwil.ch/topics/stadt-politik-und-recht/abstimmungen-und-wahlen/vergangene-abstimmungen/2026-vergangene-abstimmungen-und-wahlen/08-03-2026-eidgenoessisches-blankodatum/eidgenoessische-abstimmungen/bundesgesetz-ueber-die-individualbesteuerung</t>
  </si>
  <si>
    <t>Bundesgesetz über die Individualbesteuerung</t>
  </si>
  <si>
    <t>https://www.stadtwil.ch/topics/stadt-politik-und-recht/abstimmungen-und-wahlen/vergangene-abstimmungen/2026-vergangene-abstimmungen-und-wahlen/08-03-2026-eidgenoessisches-blankodatum/eidgenoessische-abstimmungen/volksinitiative-200-franken-sind-genug-srg-initiative</t>
  </si>
  <si>
    <t>Volksinitiative «200 Franken sind genug! (SRG-Initiative)»</t>
  </si>
  <si>
    <t>https://www.stadtwil.ch/topics/stadt-politik-und-recht/abstimmungen-und-wahlen/vergangene-abstimmungen/2026-vergangene-abstimmungen-und-wahlen/08-03-2026-eidgenoessisches-blankodatum/eidgenoessische-abstimmungen/volksinitiative-fuer-einen-wirksamen-klimaschutz-klimafonds-initiative</t>
  </si>
  <si>
    <t>Volksinitiative «Für einen wirksamen Klimaschutz (Klimafonds-Initiative)»</t>
  </si>
  <si>
    <t>https://www.stadtwil.ch/topics/stadt-politik-und-recht/abstimmungen-und-wahlen/vergangene-abstimmungen/2026-vergangene-abstimmungen-und-wahlen/08-03-2026-eidgenoessisches-blankodatum/eidgenoessische-abstimmungen/volksinitiative-ja-zu-einer-unabhaengigen-freien-schweizer-waehrung-mit-muenzen-oder-banknoten-bargeld-ist-freiheit</t>
  </si>
  <si>
    <t>Volksinitiative «Ja zu einer unabhängigen, freien Schweizer Währung mit Münzen oder Banknoten (Bargeld ist Freiheit)»</t>
  </si>
  <si>
    <t>https://www.stadtwil.ch/topics/stadt-politik-und-recht/abstimmungen-und-wahlen/vergangene-abstimmungen/2026-vergangene-abstimmungen-und-wahlen/08-03-2026-eidgenoessisches-blankodatum/kantonale-abstimmungen/kantonsratsbeschluss-ueber-den-neubau-des-berufs-und-weiterbildungszentrums-rapperswil-jona-standort-suedquartier</t>
  </si>
  <si>
    <t>Kantonsratsbeschluss über den Neubau des Berufs- und Weiterbildungszentrums Rapperswil-Jona (Standort „Südquartier“)</t>
  </si>
  <si>
    <t>https://www.stadtwil.ch/topics/stadt-politik-und-recht/abstimmungen-und-wahlen/vergangene-abstimmungen/2026-vergangene-abstimmungen-und-wahlen/08-03-2026-eidgenoessisches-blankodatum/kommunale-abstimmung</t>
  </si>
  <si>
    <t>Kommunale Abstimmung</t>
  </si>
  <si>
    <t>https://www.stadtwil.ch/topics/stadt-politik-und-recht/abstimmungen-und-wahlen/vergangene-abstimmungen/2026-vergangene-abstimmungen-und-wahlen/14-06-2026-abstimmungstermin</t>
  </si>
  <si>
    <t>14.06.2026 - Abstimmungstermin</t>
  </si>
  <si>
    <t>https://www.stadtwil.ch/topics/stadt-politik-und-recht/abstimmungen-und-wahlen/vergangene-abstimmungen/2026-vergangene-abstimmungen-und-wahlen/16-08-2026-abstimmungstermin</t>
  </si>
  <si>
    <t>16.08.2026 - Abstimmungstermin</t>
  </si>
  <si>
    <t>https://www.stadtwil.ch/topics/stadt-politik-und-recht/abstimmungen-und-wahlen/vorlagen/eidgenoessische-vorlagen/02-09-2024-volksinitiative-vom-8-september-2020-fuer-die-zukunft-unserer-natur-und-landschaft-biodiversitaetsinitiative</t>
  </si>
  <si>
    <t>02.09.2024 - Volksinitiative vom 8. September 2020 «Für die Zukunft unserer Natur und Landschaft (Biodiversitätsinitiative)»</t>
  </si>
  <si>
    <t>https://www.stadtwil.ch/topics/stadt-politik-und-recht/abstimmungen-und-wahlen/vorlagen/eidgenoessische-vorlagen/03-03-2024-volksinitiative-vom-16-juli-2021-fuer-eine-sichere-und-nachhaltige-altersvorsorge</t>
  </si>
  <si>
    <t>03.03.2024 - Volksinitiative vom 16. Juli 2021 «Für eine sichere und nachhaltige Altersvorsorge »</t>
  </si>
  <si>
    <t>https://www.stadtwil.ch/topics/stadt-politik-und-recht/abstimmungen-und-wahlen/vorlagen/eidgenoessische-vorlagen/03-03-2024-volksinitiative-vom-28-mai-2021-fuer-ein-besseres-leben-im-alter</t>
  </si>
  <si>
    <t>03.03.2024 - Volksinitiative vom 28. Mai 2021 «Für ein besseres Leben im Alter »</t>
  </si>
  <si>
    <t>https://www.stadtwil.ch/topics/stadt-politik-und-recht/abstimmungen-und-wahlen/vorlagen/eidgenoessische-vorlagen/09-02-2025-volksinitiative-vom-21-februar-2023-fuer-eine-verantwortungsvolle-wirtschaft-innerhalb-der-planetaren-grenzen</t>
  </si>
  <si>
    <t>09.02.2025 -  Volksinitiative vom 21. Februar 2023 «Für eine verantwortungsvolle Wirtschaft innerhalb der planetaren Grenzen»</t>
  </si>
  <si>
    <t>https://www.stadtwil.ch/topics/stadt-politik-und-recht/abstimmungen-und-wahlen/vorlagen/eidgenoessische-vorlagen/09-02-2025-volksinitiative-vom-21-februar-2023-fuer-eine-verantwortungsvolle-wirtschaft-innerhalb-der-planetaren-grenzen-1</t>
  </si>
  <si>
    <t>09.02.2025 - Volksinitiative vom 21. Februar 2023 «Für eine verantwortungsvolle Wirtschaft innerhalb der planetaren Grenzen</t>
  </si>
  <si>
    <t>https://www.stadtwil.ch/topics/stadt-politik-und-recht/abstimmungen-und-wahlen/vorlagen/eidgenoessische-vorlagen/09-06-2024-bundesgesetz-vom-29-september-2023-ueber-eine-sichere-stromversorgung-mit-erneuerbaren-energien</t>
  </si>
  <si>
    <t>09.06.2024 - Bundesgesetz vom 29. September 2023 über eine sichere Stromversorgung mit erneuerbaren Energien</t>
  </si>
  <si>
    <t>https://www.stadtwil.ch/topics/stadt-politik-und-recht/abstimmungen-und-wahlen/vorlagen/eidgenoessische-vorlagen/09-06-2024-fuer-freiheit-und-koerperliche-unversehrtheit</t>
  </si>
  <si>
    <t>09.06.2024 - «Für Freiheit und körperliche Unversehrtheit»</t>
  </si>
  <si>
    <t>https://www.stadtwil.ch/topics/stadt-politik-und-recht/abstimmungen-und-wahlen/vorlagen/eidgenoessische-vorlagen/09-06-2024-fuer-tiefere-praemien-kostenbremse-im-gesundheitswesen-kostenbremse-initiative</t>
  </si>
  <si>
    <t>09.06.2024 - «Für tiefere Prämien – Kostenbremse im Gesundheitswesen (Kostenbremse-Initiative)»</t>
  </si>
  <si>
    <t>https://www.stadtwil.ch/topics/stadt-politik-und-recht/abstimmungen-und-wahlen/vorlagen/eidgenoessische-vorlagen/09-06-2024-maximal-10-des-einkommens-fuer-die-krankenkassenpraemien-praemien-entlastungs-initiative</t>
  </si>
  <si>
    <t>09.06.2024 - «Maximal 10 % des Einkommens für die Krankenkassenprämien (Prämien-Entlastungs-Initiative)»</t>
  </si>
  <si>
    <t>https://www.stadtwil.ch/topics/stadt-politik-und-recht/abstimmungen-und-wahlen/vorlagen/eidgenoessische-vorlagen/24-11-2024-anderung-vom-22-dezember-2023-des-bundesgesetzes-ueber-die-krankenversicherung-kvg</t>
  </si>
  <si>
    <t>24.11.2024 - Änderung vom 22.Dezember 2023 des Bundesgesetzes über die Krankenversicherung (KVG)</t>
  </si>
  <si>
    <t>https://www.stadtwil.ch/topics/stadt-politik-und-recht/abstimmungen-und-wahlen/vorlagen/eidgenoessische-vorlagen/24-11-2024-anderung-vom-29-september-2023-des-obligationenrechts-kuendigung-wegen-eigenbedarfs</t>
  </si>
  <si>
    <t>24.11.2024 - Änderung vom 29. September 2023 des Obligationenrechts (Kündigung wegen Eigenbedarfs)</t>
  </si>
  <si>
    <t>https://www.stadtwil.ch/topics/stadt-politik-und-recht/abstimmungen-und-wahlen/vorlagen/eidgenoessische-vorlagen/24-11-2024-anderung-vom-29-september-2023-des-obligationenrechts-untermiete</t>
  </si>
  <si>
    <t>24.11.2024 - Änderung vom 29. September 2023 des Obligationenrechts (Untermiete)</t>
  </si>
  <si>
    <t>https://www.stadtwil.ch/topics/stadt-politik-und-recht/abstimmungen-und-wahlen/vorlagen/eidgenoessische-vorlagen/24-11-2024-bundesbeschluss-vom-29-september-2023-ueber-den-ausbauschritt-2023-fuer-die-nationalstrassen</t>
  </si>
  <si>
    <t>24.11.2024 - Bundesbeschluss vom 29. September 2023 über den Ausbauschritt 2023 für die Nationalstrassen</t>
  </si>
  <si>
    <t>https://www.stadtwil.ch/topics/stadt-politik-und-recht/abstimmungen-und-wahlen/vorlagen/eidgenoessische-vorlagen/anderung-vom-26-september-2025-des-bundesgesetzes-ueber-den-zivilen-ersatzdienst-zivildienstgesetz-zdg</t>
  </si>
  <si>
    <t>14.06.2026 Änderung vom 26. September 2025 des Bundesgesetzes über den zivilen Ersatzdienst (Zivildienstgesetz, ZDG)</t>
  </si>
  <si>
    <t>https://www.stadtwil.ch/topics/stadt-politik-und-recht/abstimmungen-und-wahlen/vorlagen/eidgenoessische-vorlagen/test</t>
  </si>
  <si>
    <t>14.06.2026 Volksinitiative «Keine 10-Millionen-Schweiz! (Nachhaltigkeitsinitiative)»</t>
  </si>
  <si>
    <t>https://www.stadtwil.ch/topics/stadt-politik-und-recht/abstimmungen-und-wahlen/vorlagen/eidgenoessische-vorlagen/volksinitiative-fuer-eine-engagierte-schweiz-service-citoyen-initiative</t>
  </si>
  <si>
    <t>30.11.2025 - Volksinitiative «Für eine engagierte Schweiz (Service-citoyen-Initiative)»</t>
  </si>
  <si>
    <t>https://www.stadtwil.ch/topics/stadt-politik-und-recht/abstimmungen-und-wahlen/vorlagen/eidgenoessische-vorlagen/volksinitiative-fuer-eine-soziale-klimapolitik-steuerlich-gerecht-finanziert-initiative-fuer-eine-zukunft</t>
  </si>
  <si>
    <t>30.11.2025 - Volksinitiative «Für eine soziale Klimapolitik - steuerlich gerecht finanziert (Initiative für eine Zukunft)»</t>
  </si>
  <si>
    <t>https://www.stadtwil.ch/topics/stadt-politik-und-recht/abstimmungen-und-wahlen/vorlagen/kantonale-vorlagen/18-05-2025-iii-nachtrag-zum-gesetz-ueber-ruhetag-und-ladenoeffnung</t>
  </si>
  <si>
    <t>18.05.2025 - III. Nachtrag zum Gesetz über Ruhetag und Ladenöffnung</t>
  </si>
  <si>
    <t>https://www.stadtwil.ch/topics/stadt-politik-und-recht/abstimmungen-und-wahlen/vorlagen/kantonale-vorlagen/24-11-2024-einfuehrungsgesetz-zum-bundesgesetz-ueber-die-foerderung-der-ausbildung-im-bereich-der-pflege</t>
  </si>
  <si>
    <t>24.11.2024 - Einführungsgesetz zum Bundesgesetz über die Förderung der Ausbildung im Bereich der Pflege</t>
  </si>
  <si>
    <t>https://www.stadtwil.ch/topics/stadt-politik-und-recht/abstimmungen-und-wahlen/vorlagen/kantonale-vorlagen/24-11-2024-vii-nachtrag-zum-sozialhilfegesetz-foerderung-und-finanzierung-von-spezialpflegeangeboten</t>
  </si>
  <si>
    <t>24.11.2024 - VII. Nachtrag zum Sozialhilfegesetz (Förderung und Finanzierung von Spezialpflegeangeboten)</t>
  </si>
  <si>
    <t>https://www.stadtwil.ch/topics/stadt-politik-und-recht/abstimmungen-und-wahlen/vorlagen/kantonale-vorlagen/24-11-2024-xxii-nachtrag-zum-steuergesetz-erhoehung-des-fahrkostenabzugs</t>
  </si>
  <si>
    <t>24.11.2024 - XXII. Nachtrag zum Steuergesetz (Erhöhung des Fahrkostenabzugs)</t>
  </si>
  <si>
    <t>https://www.stadtwil.ch/topics/stadt-politik-und-recht/abstimmungen-und-wahlen/vorlagen/kantonale-vorlagen/30-11-2025-kantonsratsbeschluss-ueber-die-sonderkredite-fuer-die-erneuerung-und-den-ausbau-sowie-fuer-den-betrieb-des-reinraums-am-campus-buchs</t>
  </si>
  <si>
    <t>30.11.2025 - Kantonsratsbeschluss über die Sonderkredite für die Erneuerung und den Ausbau sowie für den Betrieb des Reinraums am Campus Buchs</t>
  </si>
  <si>
    <t>https://www.stadtwil.ch/topics/stadt-politik-und-recht/abstimmungen-und-wahlen/vorlagen/kantonale-vorlagen/30-11-2025-kantonsratsbeschluss-ueber-mietkosten-fuer-die-kantonspolizei-st-gallen-im-interventionszentrum-des-bundes-fuer-den-zoll-ost-in-st-margrethen</t>
  </si>
  <si>
    <t>30.11.2025 - Kantonsratsbeschluss über Mietkosten für die Kantonspolizei St.Gallen im Interventionszentrum des Bundes für den Zoll Ost in St. Margrethen</t>
  </si>
  <si>
    <t>https://www.stadtwil.ch/topics/stadt-politik-und-recht/abstimmungen-und-wahlen/vorlagen/kantonale-vorlagen/gesetz-ueber-beitraege-fuer-familien-und-schulergaenzende-kinderbetreuung</t>
  </si>
  <si>
    <t>14.06.2026 Gesetz über Beiträge für familien- und schulergänzende Kinderbetreuung</t>
  </si>
  <si>
    <t>https://www.stadtwil.ch/topics/stadt-politik-und-recht/abstimmungen-und-wahlen/vorlagen/kantonale-wahlen/03-03-2024-erneuerungswahlen-der-mitglieder-der-regierung</t>
  </si>
  <si>
    <t>03.03.2024 - Erneuerungswahlen der Mitglieder der Regierung</t>
  </si>
  <si>
    <t>https://www.stadtwil.ch/topics/stadt-politik-und-recht/abstimmungen-und-wahlen/vorlagen/kantonale-wahlen/03-03-2024-erneuerungswahlen-des-kantonsrates</t>
  </si>
  <si>
    <t>03.03.2024 - Erneuerungswahlen des Kantonsrates</t>
  </si>
  <si>
    <t>https://www.stadtwil.ch/topics/stadt-politik-und-recht/abstimmungen-und-wahlen/vorlagen/kantonale-wahlen/14-04-2024-2-wahlgang-regierung-kanton-st-gallen</t>
  </si>
  <si>
    <t>14.04.2024 - 2. Wahlgang Regierung Kanton St.Gallen</t>
  </si>
  <si>
    <t>https://www.stadtwil.ch/topics/stadt-politik-und-recht/abstimmungen-und-wahlen/vorlagen/kommunale-vorlagen/22-09-2024-baukredit-fuer-den-ersatzneubau-der-unterfuehrung-hubstrasse-mit-fuss-und-velosteg-sowie-umgestaltung-churfirstenpark</t>
  </si>
  <si>
    <t>22.09.2024 - Baukredit für den Ersatzneubau der Unterführung Hubstrasse mit Fuss- und Velosteg sowie Umgestaltung Churfirstenpark</t>
  </si>
  <si>
    <t>https://www.stadtwil.ch/topics/stadt-politik-und-recht/abstimmungen-und-wahlen/vorlagen/kommunale-vorlagen/22-11-2024-baukredit-fuer-den-neubau-werkhof-wil</t>
  </si>
  <si>
    <t>22.11.2024 - Baukredit für den Neubau Werkhof Wil</t>
  </si>
  <si>
    <t>https://www.stadtwil.ch/topics/stadt-politik-und-recht/abstimmungen-und-wahlen/vorlagen/kumunale-wahlen/14-juni-2026-pendent</t>
  </si>
  <si>
    <t>14.06.2026 - Ersatzwahl ins Stadtpräsidium und Mitglied Stadtrat für den Rest der Amtsdauer 2025 - 2028</t>
  </si>
  <si>
    <t>https://www.stadtwil.ch/topics/stadt-politik-und-recht/abstimmungen-und-wahlen/vorlagen/kumunale-wahlen/22-09-2024-erneuerungswahl-der-fuenf-mitglieder-des-stadtrats-1-wahlgang-fuer-die-amtsdauer-2025-2028</t>
  </si>
  <si>
    <t>22.09.2024 - Erneuerungswahl der fünf Mitglieder des Stadtrats (1. Wahlgang) für die Amtsdauer 2025-2028</t>
  </si>
  <si>
    <t>https://www.stadtwil.ch/topics/stadt-politik-und-recht/abstimmungen-und-wahlen/vorlagen/kumunale-wahlen/22-09-2024-erneuerungswahl-des-stadtpraesidenten-1-wahlgang-fuer-die-amtsdauer-2025-2028</t>
  </si>
  <si>
    <t>22.09.2024 - Erneuerungswahl des Stadtpräsidenten (1. Wahlgang) für die Amtsdauer 2025-2028</t>
  </si>
  <si>
    <t>https://www.stadtwil.ch/topics/stadt-politik-und-recht/abstimmungen-und-wahlen/vorlagen/kumunale-wahlen/22-09-2024-erneuerungswahlen-des-stadtparlaments-fuer-die-amtsdauer-2025-2028</t>
  </si>
  <si>
    <t>22.09.2024 - Erneuerungswahlen des Stadtparlaments für die Amtsdauer 2025-2028</t>
  </si>
  <si>
    <t>https://www.stadtwil.ch/topics/stadt-politik-und-recht/abstimmungen-und-wahlen/vorlagen/kumunale-wahlen/24-11-2024-erneuerungswahl-der-fuenf-mitglieder-des-stadtrats-2-wahlgang-fuer-die-amtsdauer-2025-2028</t>
  </si>
  <si>
    <t>24.11.2024 - Erneuerungswahl der fünf Mitglieder des Stadtrats (2. Wahlgang) für die Amtsdauer 2025 – 2028</t>
  </si>
  <si>
    <t>https://www.stadtwil.ch/topics/stadt-politik-und-recht/kommissionen-und-delegationen/regionale-und-wirtschaftliche-organisationen/thurvita-ag-bestaetigung-durch-parlament</t>
  </si>
  <si>
    <t>Thurvita AG – Bestätigung durch Parlament</t>
  </si>
  <si>
    <t>https://www.stadtwil.ch/topics/stadt-politik-und-recht/kommissionen-und-delegationen/regionale-und-wirtschaftliche-organisationen/wiler-sportanlagen-ag-wispag-bestaetigung-durch-parlament</t>
  </si>
  <si>
    <t>Wiler Sportanlagen AG (WISPAG) – Bestätigung durch Parlament</t>
  </si>
  <si>
    <t>https://www.stadtwil.ch/topics/stadt-politik-und-recht/stadtparlament</t>
  </si>
  <si>
    <t>Ratsinformationssystem</t>
  </si>
  <si>
    <t>https://www.stadtwil.ch/topics/stadt-politik-und-recht/stadtparlament/fraktionen</t>
  </si>
  <si>
    <t>Fraktionen</t>
  </si>
  <si>
    <t>https://www.stadtwil.ch/topics/stadt-politik-und-recht/stadtparlament/kommissionen</t>
  </si>
  <si>
    <t>Kommissionen</t>
  </si>
  <si>
    <t>https://www.stadtwil.ch/topics/stadt-politik-und-recht/stadtparlament/mitglieder</t>
  </si>
  <si>
    <t>Mitglieder</t>
  </si>
  <si>
    <t>https://www.stadtwil.ch/topics/stadt-politik-und-recht/stadtparlament/politische-geschaefte</t>
  </si>
  <si>
    <t>Politische Geschäfte</t>
  </si>
  <si>
    <t>https://www.stadtwil.ch/topics/stadt-politik-und-recht/stadtparlament/sitzordung</t>
  </si>
  <si>
    <t>Sitzordnung</t>
  </si>
  <si>
    <t>https://www.stadtwil.ch/topics/stadt-politik-und-recht/stadtparlament/sitzungen</t>
  </si>
  <si>
    <t>Sitzungen</t>
  </si>
  <si>
    <t>https://www.stadtwil.ch/topics/stadt-politik-und-recht/verwaltung/departemente/finanzen-und-verwaltung/stadtkanzlei</t>
  </si>
  <si>
    <t>Stadtkanzlei / Parlamentsdienste</t>
  </si>
  <si>
    <t>Dimension</t>
  </si>
  <si>
    <t>Messung / Prüfbereiche</t>
  </si>
  <si>
    <t>Empfohlener Massstab</t>
  </si>
  <si>
    <t>Tragfähigkeit hoch</t>
  </si>
  <si>
    <t>Tragfähigkeit mittel</t>
  </si>
  <si>
    <t>Tragfähigkeit gering</t>
  </si>
  <si>
    <t>Anwendung im verifizierten Stand</t>
  </si>
  <si>
    <t>Selbstfinanzierung, Nettoschuld, Investitionsspielraum, Planungshorizont</t>
  </si>
  <si>
    <t>Kanton × Grösse plus Richtwerte</t>
  </si>
  <si>
    <t>Finanzierung belastbar</t>
  </si>
  <si>
    <t>Engpässe beherrschbar</t>
  </si>
  <si>
    <t>Wesentliche Finanzierungslücken</t>
  </si>
  <si>
    <t>Vorschlag; Schwellen noch begründen und validieren</t>
  </si>
  <si>
    <t>Nicht angewendet: Kennzahlen (Selbstfinanzierungsgrad, Nettoschuld/Einw., Investitionsanteil) noch nicht aus den verifizierten Jahresrechnungen extrahiert; Peer-Gruppe Kanton × Grössenklasse noch nicht gebildet.</t>
  </si>
  <si>
    <t>Eigene Flächen, Baurechte, Mobilisierbarkeit, Eigentumsstruktur</t>
  </si>
  <si>
    <t>Geeignete Verfügungsrechte vorhanden</t>
  </si>
  <si>
    <t>Nur teilweise mobilisierbar</t>
  </si>
  <si>
    <t>Keine ausreichenden Rechte</t>
  </si>
  <si>
    <t>Nicht angewendet: kommunales Grundeigentum ist öffentlich nicht belegt (ÖBA-Zonen ≠ Eigentum). Liegenschaftsverzeichnis per Gemeindeanfrage.</t>
  </si>
  <si>
    <t>Klare Zuständigkeiten, Verträge, Kooperationen</t>
  </si>
  <si>
    <t>Klare tragfähige Governance</t>
  </si>
  <si>
    <t>Klärungsbedarf</t>
  </si>
  <si>
    <t>Wesentliche Zuständigkeitslücken</t>
  </si>
  <si>
    <t>Nicht angewendet: Gemeindeordnungen/Reglemente teilweise verifiziert; Kooperationsverträge nicht öffentlich vollständig.</t>
  </si>
  <si>
    <t>Personal, Projektsteuerung, Beschaffung, Bestellerkompetenz</t>
  </si>
  <si>
    <t>Ausreichende Kapazitäten</t>
  </si>
  <si>
    <t>Gezielter Aufbau nötig</t>
  </si>
  <si>
    <t>Wesentliche Kapazitätslücken</t>
  </si>
  <si>
    <t>Nicht angewendet: Organigramme belegen Struktur, nicht Kompetenz/Kapazität. Stellenplan und Projektressourcen per Gemeindeanfrage.</t>
  </si>
  <si>
    <t>Entscheidungswege, Mitwirkung, Beschlüsse, Konflikte</t>
  </si>
  <si>
    <t>Politisch abgestützt</t>
  </si>
  <si>
    <t>Offene Legitimation</t>
  </si>
  <si>
    <t>Wesentliche Blockaden</t>
  </si>
  <si>
    <t>Nicht angewendet: Leitbild/Mitwirkung belegt keine Akzeptanz. Beschlüsse und Abstimmungsergebnisse noch auszuwerten.</t>
  </si>
  <si>
    <t>Feld</t>
  </si>
  <si>
    <t>Wert</t>
  </si>
  <si>
    <t>Bedeutung</t>
  </si>
  <si>
    <t>HTTP 2xx, keine Umleitung auf eine andere Adresse.</t>
  </si>
  <si>
    <t>HTTP 2xx nach Umleitung; Finale URL ersetzt ggf. den Link.</t>
  </si>
  <si>
    <t>Fehler</t>
  </si>
  <si>
    <t>Syntaxfehler, DNS-Fehler, HTTP 4xx/5xx, Zeitüberschreitung oder Fehlerseite mit HTTP 200.</t>
  </si>
  <si>
    <t>Zugriff verweigert (401/403/451), gedrosselt (429) oder keine Netzverbindung. Keine Umgehung versucht.</t>
  </si>
  <si>
    <t>Alle erwarteten Schlüsselwörter sowie Ort/Zuständigkeit im Dokumenttitel oder -text gefunden.</t>
  </si>
  <si>
    <t>Teilweise bestätigt</t>
  </si>
  <si>
    <t>Nur ein Teil der Schlüsselwörter oder nur der Ort gefunden.</t>
  </si>
  <si>
    <t>Kein auswertbarer Text (JavaScript-Seite, Scan) oder keine Übereinstimmung.</t>
  </si>
  <si>
    <t>Link erreichbar und Dokumentidentität automatisiert bestätigt.</t>
  </si>
  <si>
    <t>Öffentlich verfügbar – noch nicht geprüft</t>
  </si>
  <si>
    <t>Link erreichbar, Identität nicht oder nur teilweise bestätigt.</t>
  </si>
  <si>
    <t>Recherche ohne Treffer (nur in Gemeindeanfragen).</t>
  </si>
  <si>
    <t>Information liegt erkennbar nur intern vor (nur in Gemeindeanfragen).</t>
  </si>
  <si>
    <t>Link defekt, gesperrt oder nicht prüfbar.</t>
  </si>
  <si>
    <t>Hoch / Mittel / Gering</t>
  </si>
  <si>
    <t>Heuristik nach URL-Typ: ELI-Permalinks und Erlassnummern hoch; CMS-Dokumentlinks mittel; Session-/Temp-Downloads gering.</t>
  </si>
  <si>
    <t>Offen / In Prüfung / Abgeschlossen</t>
  </si>
  <si>
    <t>In Prüfung = Dokument identifiziert, Auswertung offen; Abgeschlossen erst nach fachlicher Auswertung (manuell).</t>
  </si>
  <si>
    <t>Standard. Hoch/Mittel/Gering nur mit Bewertungsbegründung gemäss Blatt Bewertungslogik.</t>
  </si>
  <si>
    <t>Hoch / Mittel / Niedrig</t>
  </si>
  <si>
    <t>Aussagekraft der Katalogzeile (nicht Gemeindequalität). Bestehende Werte unverändert übernommen; neue Zeilen: Hoch = direktes amtliches Dokument, Mittel = amtliche Übersichtsseite.</t>
  </si>
  <si>
    <t>XX-Cn-nn</t>
  </si>
  <si>
    <t>CH/UR/BL/SG = Bund/Kantone; SEE/MUE/WIL = Gemeinden; Cn = Dimension; nn = laufende Nummer. IDs bleiben stabil.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</si>
</sst>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b/>
      <sz val="10"/>
      <color rgb="FFFFFFFF"/>
      <name val="Aptos"/>
    </font>
    <font>
      <sz val="10"/>
      <color rgb="FF526171"/>
      <name val="Aptos"/>
    </font>
    <font>
      <u/>
      <sz val="10"/>
      <color rgb="FF087E8B"/>
      <name val="Calibri"/>
    </font>
    <font>
      <b/>
      <sz val="10"/>
      <color rgb="FF526171"/>
      <name val="Aptos"/>
    </font>
    <font>
      <u/>
      <sz val="10"/>
      <color rgb="FF087E8B"/>
      <name val="Aptos"/>
    </font>
  </fonts>
  <fills count="7">
    <fill>
      <patternFill patternType="none"/>
    </fill>
    <fill>
      <patternFill patternType="gray125"/>
    </fill>
    <fill>
      <patternFill patternType="solid">
        <fgColor rgb="FF18324C"/>
      </patternFill>
    </fill>
    <fill>
      <patternFill patternType="solid">
        <fgColor rgb="FFDCE6F0"/>
      </patternFill>
    </fill>
    <fill>
      <patternFill patternType="solid">
        <fgColor rgb="FFE2F0EC"/>
      </patternFill>
    </fill>
    <fill>
      <patternFill patternType="solid">
        <fgColor rgb="FFFBF0DC"/>
      </patternFill>
    </fill>
    <fill>
      <patternFill patternType="solid">
        <fgColor rgb="FFF4F8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vertical="center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4" fillId="0" borderId="0" xfId="0" applyFont="1"/>
    <xf numFmtId="0" fontId="2" fillId="0" borderId="0" xfId="0" applyFont="1"/>
    <xf numFmtId="0" fontId="4" fillId="3" borderId="0" xfId="0" applyFont="1" applyFill="1" applyAlignment="1">
      <alignment vertical="top" wrapText="1"/>
    </xf>
    <xf numFmtId="0" fontId="4" fillId="4" borderId="0" xfId="0" applyFont="1" applyFill="1" applyAlignment="1">
      <alignment vertical="top" wrapText="1"/>
    </xf>
    <xf numFmtId="0" fontId="4" fillId="5" borderId="0" xfId="0" applyFont="1" applyFill="1" applyAlignment="1">
      <alignment vertical="top" wrapText="1"/>
    </xf>
    <xf numFmtId="0" fontId="5" fillId="0" borderId="0" xfId="0" applyFont="1"/>
    <xf numFmtId="0" fontId="1" fillId="2" borderId="0" xfId="0" applyFont="1" applyFill="1"/>
    <xf numFmtId="0" fontId="2" fillId="6" borderId="0" xfId="0" applyFont="1" applyFill="1" applyAlignment="1">
      <alignment vertical="top" wrapText="1"/>
    </xf>
    <xf numFmtId="0" fontId="3" fillId="6" borderId="0" xfId="0" applyFont="1" applyFill="1" applyAlignment="1">
      <alignment vertical="top" wrapText="1"/>
    </xf>
  </cellXfs>
  <cellStyles count="1">
    <cellStyle name="Standard" xfId="0" builtinId="0"/>
  </cellStyles>
  <dxfs count="28">
    <dxf>
      <fill>
        <patternFill patternType="solid">
          <fgColor rgb="FFEDEDED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EDEDE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EDEDED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EDEDE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EDEDED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EDEDE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EDEDED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EDEDE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EFD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KatasterGesamt" displayName="KatasterGesamt" ref="A1:AW110">
  <autoFilter ref="A1:AW110" xr:uid="{00000000-0009-0000-0100-000001000000}"/>
  <tableColumns count="49">
    <tableColumn id="1" xr3:uid="{00000000-0010-0000-0000-000001000000}" name="ID"/>
    <tableColumn id="2" xr3:uid="{00000000-0010-0000-0000-000002000000}" name="Ebene"/>
    <tableColumn id="3" xr3:uid="{00000000-0010-0000-0000-000003000000}" name="Schweiz"/>
    <tableColumn id="4" xr3:uid="{00000000-0010-0000-0000-000004000000}" name="Kanton"/>
    <tableColumn id="5" xr3:uid="{00000000-0010-0000-0000-000005000000}" name="Gemeinde"/>
    <tableColumn id="6" xr3:uid="{00000000-0010-0000-0000-000006000000}" name="C-Dimension"/>
    <tableColumn id="7" xr3:uid="{00000000-0010-0000-0000-000007000000}" name="Themenfeld"/>
    <tableColumn id="8" xr3:uid="{00000000-0010-0000-0000-000008000000}" name="Dokument / Datengrundlage"/>
    <tableColumn id="9" xr3:uid="{00000000-0010-0000-0000-000009000000}" name="Dokumenttyp"/>
    <tableColumn id="10" xr3:uid="{00000000-0010-0000-0000-00000A000000}" name="Dokumentstatus"/>
    <tableColumn id="11" xr3:uid="{00000000-0010-0000-0000-00000B000000}" name="Rechts- / Verbindlichkeitsstatus"/>
    <tableColumn id="12" xr3:uid="{00000000-0010-0000-0000-00000C000000}" name="Herausgeber / Zuständigkeit"/>
    <tableColumn id="13" xr3:uid="{00000000-0010-0000-0000-00000D000000}" name="Link / Quelle"/>
    <tableColumn id="14" xr3:uid="{00000000-0010-0000-0000-00000E000000}" name="Bezugsjahr / Stand"/>
    <tableColumn id="15" xr3:uid="{00000000-0010-0000-0000-00000F000000}" name="Aktualität geprüft am"/>
    <tableColumn id="16" xr3:uid="{00000000-0010-0000-0000-000010000000}" name="Konkrete Aussage / Relevanz"/>
    <tableColumn id="17" xr3:uid="{00000000-0010-0000-0000-000011000000}" name="Kennzahl / Prüfkriterium"/>
    <tableColumn id="18" xr3:uid="{00000000-0010-0000-0000-000012000000}" name="Erhebungs- / Bewertungsmethode"/>
    <tableColumn id="19" xr3:uid="{00000000-0010-0000-0000-000013000000}" name="Vergleichsmassstab"/>
    <tableColumn id="20" xr3:uid="{00000000-0010-0000-0000-000014000000}" name="Reifegrad / Tragfähigkeit"/>
    <tableColumn id="21" xr3:uid="{00000000-0010-0000-0000-000015000000}" name="Confidence"/>
    <tableColumn id="22" xr3:uid="{00000000-0010-0000-0000-000016000000}" name="Datenlücke / Gemeindeanfrage"/>
    <tableColumn id="23" xr3:uid="{00000000-0010-0000-0000-000017000000}" name="Verbindung A / B / Q"/>
    <tableColumn id="24" xr3:uid="{00000000-0010-0000-0000-000018000000}" name="Sprint-2-Verwendung"/>
    <tableColumn id="25" xr3:uid="{00000000-0010-0000-0000-000019000000}" name="Prüfstatus / nächste Aktion"/>
    <tableColumn id="26" xr3:uid="{00000000-0010-0000-0000-00001A000000}" name="Herkunft / Nachweis"/>
    <tableColumn id="27" xr3:uid="{00000000-0010-0000-0000-00001B000000}" name="Weitere C-Dimensionen"/>
    <tableColumn id="28" xr3:uid="{00000000-0010-0000-0000-00001C000000}" name="Veröffentlichungsdatum"/>
    <tableColumn id="29" xr3:uid="{00000000-0010-0000-0000-00001D000000}" name="Offizielle Fundstelle"/>
    <tableColumn id="30" xr3:uid="{00000000-0010-0000-0000-00001E000000}" name="Linkstatus"/>
    <tableColumn id="31" xr3:uid="{00000000-0010-0000-0000-00001F000000}" name="HTTP-Status"/>
    <tableColumn id="32" xr3:uid="{00000000-0010-0000-0000-000020000000}" name="Finale URL (nach Weiterleitung)"/>
    <tableColumn id="33" xr3:uid="{00000000-0010-0000-0000-000021000000}" name="Dateityp"/>
    <tableColumn id="34" xr3:uid="{00000000-0010-0000-0000-000022000000}" name="Inhaltsprüfung"/>
    <tableColumn id="35" xr3:uid="{00000000-0010-0000-0000-000023000000}" name="Inhaltsprüfung – Nachweis"/>
    <tableColumn id="36" xr3:uid="{00000000-0010-0000-0000-000024000000}" name="Erkannter Dokumenttitel"/>
    <tableColumn id="37" xr3:uid="{00000000-0010-0000-0000-000025000000}" name="Erkannte Jahresangaben"/>
    <tableColumn id="38" xr3:uid="{00000000-0010-0000-0000-000026000000}" name="Linkstabilität"/>
    <tableColumn id="39" xr3:uid="{00000000-0010-0000-0000-000027000000}" name="Letzte Linkprüfung"/>
    <tableColumn id="40" xr3:uid="{00000000-0010-0000-0000-000028000000}" name="Quellenverfügbarkeit"/>
    <tableColumn id="41" xr3:uid="{00000000-0010-0000-0000-000029000000}" name="Einheit / Bezugsjahr"/>
    <tableColumn id="42" xr3:uid="{00000000-0010-0000-0000-00002A000000}" name="Prüfnachweis (belegbare Aussage)"/>
    <tableColumn id="43" xr3:uid="{00000000-0010-0000-0000-00002B000000}" name="Bewertungsbegründung"/>
    <tableColumn id="44" xr3:uid="{00000000-0010-0000-0000-00002C000000}" name="Gemeindeanfrage erforderlich"/>
    <tableColumn id="45" xr3:uid="{00000000-0010-0000-0000-00002D000000}" name="Zuständige Stelle"/>
    <tableColumn id="46" xr3:uid="{00000000-0010-0000-0000-00002E000000}" name="Bearbeitungsstatus"/>
    <tableColumn id="47" xr3:uid="{00000000-0010-0000-0000-00002F000000}" name="Recherchehinweis"/>
    <tableColumn id="48" xr3:uid="{00000000-0010-0000-0000-000030000000}" name="Gleiche Quelle wie (ID)"/>
    <tableColumn id="49" xr3:uid="{00000000-0010-0000-0000-000031000000}" name="Änderungsprotokoll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KatasterSeelisberg" displayName="KatasterSeelisberg" ref="A1:AX49">
  <autoFilter ref="A1:AX49" xr:uid="{00000000-0009-0000-0100-000002000000}"/>
  <tableColumns count="50">
    <tableColumn id="1" xr3:uid="{00000000-0010-0000-0100-000001000000}" name="ID"/>
    <tableColumn id="2" xr3:uid="{00000000-0010-0000-0100-000002000000}" name="Ebene"/>
    <tableColumn id="3" xr3:uid="{00000000-0010-0000-0100-000003000000}" name="Schweiz"/>
    <tableColumn id="4" xr3:uid="{00000000-0010-0000-0100-000004000000}" name="Kanton"/>
    <tableColumn id="5" xr3:uid="{00000000-0010-0000-0100-000005000000}" name="Gemeinde"/>
    <tableColumn id="6" xr3:uid="{00000000-0010-0000-0100-000006000000}" name="C-Dimension"/>
    <tableColumn id="7" xr3:uid="{00000000-0010-0000-0100-000007000000}" name="Themenfeld"/>
    <tableColumn id="8" xr3:uid="{00000000-0010-0000-0100-000008000000}" name="Dokument / Datengrundlage"/>
    <tableColumn id="9" xr3:uid="{00000000-0010-0000-0100-000009000000}" name="Dokumenttyp"/>
    <tableColumn id="10" xr3:uid="{00000000-0010-0000-0100-00000A000000}" name="Dokumentstatus"/>
    <tableColumn id="11" xr3:uid="{00000000-0010-0000-0100-00000B000000}" name="Rechts- / Verbindlichkeitsstatus"/>
    <tableColumn id="12" xr3:uid="{00000000-0010-0000-0100-00000C000000}" name="Herausgeber / Zuständigkeit"/>
    <tableColumn id="13" xr3:uid="{00000000-0010-0000-0100-00000D000000}" name="Link / Quelle"/>
    <tableColumn id="14" xr3:uid="{00000000-0010-0000-0100-00000E000000}" name="Bezugsjahr / Stand"/>
    <tableColumn id="15" xr3:uid="{00000000-0010-0000-0100-00000F000000}" name="Aktualität geprüft am"/>
    <tableColumn id="16" xr3:uid="{00000000-0010-0000-0100-000010000000}" name="Konkrete Aussage / Relevanz"/>
    <tableColumn id="17" xr3:uid="{00000000-0010-0000-0100-000011000000}" name="Kennzahl / Prüfkriterium"/>
    <tableColumn id="18" xr3:uid="{00000000-0010-0000-0100-000012000000}" name="Erhebungs- / Bewertungsmethode"/>
    <tableColumn id="19" xr3:uid="{00000000-0010-0000-0100-000013000000}" name="Vergleichsmassstab"/>
    <tableColumn id="20" xr3:uid="{00000000-0010-0000-0100-000014000000}" name="Reifegrad / Tragfähigkeit"/>
    <tableColumn id="21" xr3:uid="{00000000-0010-0000-0100-000015000000}" name="Confidence"/>
    <tableColumn id="22" xr3:uid="{00000000-0010-0000-0100-000016000000}" name="Datenlücke / Gemeindeanfrage"/>
    <tableColumn id="23" xr3:uid="{00000000-0010-0000-0100-000017000000}" name="Verbindung A / B / Q"/>
    <tableColumn id="24" xr3:uid="{00000000-0010-0000-0100-000018000000}" name="Sprint-2-Verwendung"/>
    <tableColumn id="25" xr3:uid="{00000000-0010-0000-0100-000019000000}" name="Prüfstatus / nächste Aktion"/>
    <tableColumn id="26" xr3:uid="{00000000-0010-0000-0100-00001A000000}" name="Herkunft / Nachweis"/>
    <tableColumn id="27" xr3:uid="{00000000-0010-0000-0100-00001B000000}" name="Weitere C-Dimensionen"/>
    <tableColumn id="28" xr3:uid="{00000000-0010-0000-0100-00001C000000}" name="Veröffentlichungsdatum"/>
    <tableColumn id="29" xr3:uid="{00000000-0010-0000-0100-00001D000000}" name="Offizielle Fundstelle"/>
    <tableColumn id="30" xr3:uid="{00000000-0010-0000-0100-00001E000000}" name="Linkstatus"/>
    <tableColumn id="31" xr3:uid="{00000000-0010-0000-0100-00001F000000}" name="HTTP-Status"/>
    <tableColumn id="32" xr3:uid="{00000000-0010-0000-0100-000020000000}" name="Finale URL (nach Weiterleitung)"/>
    <tableColumn id="33" xr3:uid="{00000000-0010-0000-0100-000021000000}" name="Dateityp"/>
    <tableColumn id="34" xr3:uid="{00000000-0010-0000-0100-000022000000}" name="Inhaltsprüfung"/>
    <tableColumn id="35" xr3:uid="{00000000-0010-0000-0100-000023000000}" name="Inhaltsprüfung – Nachweis"/>
    <tableColumn id="36" xr3:uid="{00000000-0010-0000-0100-000024000000}" name="Erkannter Dokumenttitel"/>
    <tableColumn id="37" xr3:uid="{00000000-0010-0000-0100-000025000000}" name="Erkannte Jahresangaben"/>
    <tableColumn id="38" xr3:uid="{00000000-0010-0000-0100-000026000000}" name="Linkstabilität"/>
    <tableColumn id="39" xr3:uid="{00000000-0010-0000-0100-000027000000}" name="Letzte Linkprüfung"/>
    <tableColumn id="40" xr3:uid="{00000000-0010-0000-0100-000028000000}" name="Quellenverfügbarkeit"/>
    <tableColumn id="41" xr3:uid="{00000000-0010-0000-0100-000029000000}" name="Einheit / Bezugsjahr"/>
    <tableColumn id="42" xr3:uid="{00000000-0010-0000-0100-00002A000000}" name="Prüfnachweis (belegbare Aussage)"/>
    <tableColumn id="43" xr3:uid="{00000000-0010-0000-0100-00002B000000}" name="Bewertungsbegründung"/>
    <tableColumn id="44" xr3:uid="{00000000-0010-0000-0100-00002C000000}" name="Gemeindeanfrage erforderlich"/>
    <tableColumn id="45" xr3:uid="{00000000-0010-0000-0100-00002D000000}" name="Zuständige Stelle"/>
    <tableColumn id="46" xr3:uid="{00000000-0010-0000-0100-00002E000000}" name="Bearbeitungsstatus"/>
    <tableColumn id="47" xr3:uid="{00000000-0010-0000-0100-00002F000000}" name="Recherchehinweis"/>
    <tableColumn id="48" xr3:uid="{00000000-0010-0000-0100-000030000000}" name="Gleiche Quelle wie (ID)"/>
    <tableColumn id="49" xr3:uid="{00000000-0010-0000-0100-000031000000}" name="Änderungsprotokoll"/>
    <tableColumn id="50" xr3:uid="{00000000-0010-0000-0100-000032000000}" name="Abgleich mit Gesamtübersicht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KatasterMuenchenstein" displayName="KatasterMuenchenstein" ref="A1:AX42">
  <autoFilter ref="A1:AX42" xr:uid="{00000000-0009-0000-0100-000003000000}"/>
  <tableColumns count="50">
    <tableColumn id="1" xr3:uid="{00000000-0010-0000-0200-000001000000}" name="ID"/>
    <tableColumn id="2" xr3:uid="{00000000-0010-0000-0200-000002000000}" name="Ebene"/>
    <tableColumn id="3" xr3:uid="{00000000-0010-0000-0200-000003000000}" name="Schweiz"/>
    <tableColumn id="4" xr3:uid="{00000000-0010-0000-0200-000004000000}" name="Kanton"/>
    <tableColumn id="5" xr3:uid="{00000000-0010-0000-0200-000005000000}" name="Gemeinde"/>
    <tableColumn id="6" xr3:uid="{00000000-0010-0000-0200-000006000000}" name="C-Dimension"/>
    <tableColumn id="7" xr3:uid="{00000000-0010-0000-0200-000007000000}" name="Themenfeld"/>
    <tableColumn id="8" xr3:uid="{00000000-0010-0000-0200-000008000000}" name="Dokument / Datengrundlage"/>
    <tableColumn id="9" xr3:uid="{00000000-0010-0000-0200-000009000000}" name="Dokumenttyp"/>
    <tableColumn id="10" xr3:uid="{00000000-0010-0000-0200-00000A000000}" name="Dokumentstatus"/>
    <tableColumn id="11" xr3:uid="{00000000-0010-0000-0200-00000B000000}" name="Rechts- / Verbindlichkeitsstatus"/>
    <tableColumn id="12" xr3:uid="{00000000-0010-0000-0200-00000C000000}" name="Herausgeber / Zuständigkeit"/>
    <tableColumn id="13" xr3:uid="{00000000-0010-0000-0200-00000D000000}" name="Link / Quelle"/>
    <tableColumn id="14" xr3:uid="{00000000-0010-0000-0200-00000E000000}" name="Bezugsjahr / Stand"/>
    <tableColumn id="15" xr3:uid="{00000000-0010-0000-0200-00000F000000}" name="Aktualität geprüft am"/>
    <tableColumn id="16" xr3:uid="{00000000-0010-0000-0200-000010000000}" name="Konkrete Aussage / Relevanz"/>
    <tableColumn id="17" xr3:uid="{00000000-0010-0000-0200-000011000000}" name="Kennzahl / Prüfkriterium"/>
    <tableColumn id="18" xr3:uid="{00000000-0010-0000-0200-000012000000}" name="Erhebungs- / Bewertungsmethode"/>
    <tableColumn id="19" xr3:uid="{00000000-0010-0000-0200-000013000000}" name="Vergleichsmassstab"/>
    <tableColumn id="20" xr3:uid="{00000000-0010-0000-0200-000014000000}" name="Reifegrad / Tragfähigkeit"/>
    <tableColumn id="21" xr3:uid="{00000000-0010-0000-0200-000015000000}" name="Confidence"/>
    <tableColumn id="22" xr3:uid="{00000000-0010-0000-0200-000016000000}" name="Datenlücke / Gemeindeanfrage"/>
    <tableColumn id="23" xr3:uid="{00000000-0010-0000-0200-000017000000}" name="Verbindung A / B / Q"/>
    <tableColumn id="24" xr3:uid="{00000000-0010-0000-0200-000018000000}" name="Sprint-2-Verwendung"/>
    <tableColumn id="25" xr3:uid="{00000000-0010-0000-0200-000019000000}" name="Prüfstatus / nächste Aktion"/>
    <tableColumn id="26" xr3:uid="{00000000-0010-0000-0200-00001A000000}" name="Herkunft / Nachweis"/>
    <tableColumn id="27" xr3:uid="{00000000-0010-0000-0200-00001B000000}" name="Weitere C-Dimensionen"/>
    <tableColumn id="28" xr3:uid="{00000000-0010-0000-0200-00001C000000}" name="Veröffentlichungsdatum"/>
    <tableColumn id="29" xr3:uid="{00000000-0010-0000-0200-00001D000000}" name="Offizielle Fundstelle"/>
    <tableColumn id="30" xr3:uid="{00000000-0010-0000-0200-00001E000000}" name="Linkstatus"/>
    <tableColumn id="31" xr3:uid="{00000000-0010-0000-0200-00001F000000}" name="HTTP-Status"/>
    <tableColumn id="32" xr3:uid="{00000000-0010-0000-0200-000020000000}" name="Finale URL (nach Weiterleitung)"/>
    <tableColumn id="33" xr3:uid="{00000000-0010-0000-0200-000021000000}" name="Dateityp"/>
    <tableColumn id="34" xr3:uid="{00000000-0010-0000-0200-000022000000}" name="Inhaltsprüfung"/>
    <tableColumn id="35" xr3:uid="{00000000-0010-0000-0200-000023000000}" name="Inhaltsprüfung – Nachweis"/>
    <tableColumn id="36" xr3:uid="{00000000-0010-0000-0200-000024000000}" name="Erkannter Dokumenttitel"/>
    <tableColumn id="37" xr3:uid="{00000000-0010-0000-0200-000025000000}" name="Erkannte Jahresangaben"/>
    <tableColumn id="38" xr3:uid="{00000000-0010-0000-0200-000026000000}" name="Linkstabilität"/>
    <tableColumn id="39" xr3:uid="{00000000-0010-0000-0200-000027000000}" name="Letzte Linkprüfung"/>
    <tableColumn id="40" xr3:uid="{00000000-0010-0000-0200-000028000000}" name="Quellenverfügbarkeit"/>
    <tableColumn id="41" xr3:uid="{00000000-0010-0000-0200-000029000000}" name="Einheit / Bezugsjahr"/>
    <tableColumn id="42" xr3:uid="{00000000-0010-0000-0200-00002A000000}" name="Prüfnachweis (belegbare Aussage)"/>
    <tableColumn id="43" xr3:uid="{00000000-0010-0000-0200-00002B000000}" name="Bewertungsbegründung"/>
    <tableColumn id="44" xr3:uid="{00000000-0010-0000-0200-00002C000000}" name="Gemeindeanfrage erforderlich"/>
    <tableColumn id="45" xr3:uid="{00000000-0010-0000-0200-00002D000000}" name="Zuständige Stelle"/>
    <tableColumn id="46" xr3:uid="{00000000-0010-0000-0200-00002E000000}" name="Bearbeitungsstatus"/>
    <tableColumn id="47" xr3:uid="{00000000-0010-0000-0200-00002F000000}" name="Recherchehinweis"/>
    <tableColumn id="48" xr3:uid="{00000000-0010-0000-0200-000030000000}" name="Gleiche Quelle wie (ID)"/>
    <tableColumn id="49" xr3:uid="{00000000-0010-0000-0200-000031000000}" name="Änderungsprotokoll"/>
    <tableColumn id="50" xr3:uid="{00000000-0010-0000-0200-000032000000}" name="Abgleich mit Gesamtübersicht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KatasterWil" displayName="KatasterWil" ref="A1:AX41">
  <autoFilter ref="A1:AX41" xr:uid="{00000000-0009-0000-0100-000004000000}"/>
  <tableColumns count="50">
    <tableColumn id="1" xr3:uid="{00000000-0010-0000-0300-000001000000}" name="ID"/>
    <tableColumn id="2" xr3:uid="{00000000-0010-0000-0300-000002000000}" name="Ebene"/>
    <tableColumn id="3" xr3:uid="{00000000-0010-0000-0300-000003000000}" name="Schweiz"/>
    <tableColumn id="4" xr3:uid="{00000000-0010-0000-0300-000004000000}" name="Kanton"/>
    <tableColumn id="5" xr3:uid="{00000000-0010-0000-0300-000005000000}" name="Gemeinde"/>
    <tableColumn id="6" xr3:uid="{00000000-0010-0000-0300-000006000000}" name="C-Dimension"/>
    <tableColumn id="7" xr3:uid="{00000000-0010-0000-0300-000007000000}" name="Themenfeld"/>
    <tableColumn id="8" xr3:uid="{00000000-0010-0000-0300-000008000000}" name="Dokument / Datengrundlage"/>
    <tableColumn id="9" xr3:uid="{00000000-0010-0000-0300-000009000000}" name="Dokumenttyp"/>
    <tableColumn id="10" xr3:uid="{00000000-0010-0000-0300-00000A000000}" name="Dokumentstatus"/>
    <tableColumn id="11" xr3:uid="{00000000-0010-0000-0300-00000B000000}" name="Rechts- / Verbindlichkeitsstatus"/>
    <tableColumn id="12" xr3:uid="{00000000-0010-0000-0300-00000C000000}" name="Herausgeber / Zuständigkeit"/>
    <tableColumn id="13" xr3:uid="{00000000-0010-0000-0300-00000D000000}" name="Link / Quelle"/>
    <tableColumn id="14" xr3:uid="{00000000-0010-0000-0300-00000E000000}" name="Bezugsjahr / Stand"/>
    <tableColumn id="15" xr3:uid="{00000000-0010-0000-0300-00000F000000}" name="Aktualität geprüft am"/>
    <tableColumn id="16" xr3:uid="{00000000-0010-0000-0300-000010000000}" name="Konkrete Aussage / Relevanz"/>
    <tableColumn id="17" xr3:uid="{00000000-0010-0000-0300-000011000000}" name="Kennzahl / Prüfkriterium"/>
    <tableColumn id="18" xr3:uid="{00000000-0010-0000-0300-000012000000}" name="Erhebungs- / Bewertungsmethode"/>
    <tableColumn id="19" xr3:uid="{00000000-0010-0000-0300-000013000000}" name="Vergleichsmassstab"/>
    <tableColumn id="20" xr3:uid="{00000000-0010-0000-0300-000014000000}" name="Reifegrad / Tragfähigkeit"/>
    <tableColumn id="21" xr3:uid="{00000000-0010-0000-0300-000015000000}" name="Confidence"/>
    <tableColumn id="22" xr3:uid="{00000000-0010-0000-0300-000016000000}" name="Datenlücke / Gemeindeanfrage"/>
    <tableColumn id="23" xr3:uid="{00000000-0010-0000-0300-000017000000}" name="Verbindung A / B / Q"/>
    <tableColumn id="24" xr3:uid="{00000000-0010-0000-0300-000018000000}" name="Sprint-2-Verwendung"/>
    <tableColumn id="25" xr3:uid="{00000000-0010-0000-0300-000019000000}" name="Prüfstatus / nächste Aktion"/>
    <tableColumn id="26" xr3:uid="{00000000-0010-0000-0300-00001A000000}" name="Herkunft / Nachweis"/>
    <tableColumn id="27" xr3:uid="{00000000-0010-0000-0300-00001B000000}" name="Weitere C-Dimensionen"/>
    <tableColumn id="28" xr3:uid="{00000000-0010-0000-0300-00001C000000}" name="Veröffentlichungsdatum"/>
    <tableColumn id="29" xr3:uid="{00000000-0010-0000-0300-00001D000000}" name="Offizielle Fundstelle"/>
    <tableColumn id="30" xr3:uid="{00000000-0010-0000-0300-00001E000000}" name="Linkstatus"/>
    <tableColumn id="31" xr3:uid="{00000000-0010-0000-0300-00001F000000}" name="HTTP-Status"/>
    <tableColumn id="32" xr3:uid="{00000000-0010-0000-0300-000020000000}" name="Finale URL (nach Weiterleitung)"/>
    <tableColumn id="33" xr3:uid="{00000000-0010-0000-0300-000021000000}" name="Dateityp"/>
    <tableColumn id="34" xr3:uid="{00000000-0010-0000-0300-000022000000}" name="Inhaltsprüfung"/>
    <tableColumn id="35" xr3:uid="{00000000-0010-0000-0300-000023000000}" name="Inhaltsprüfung – Nachweis"/>
    <tableColumn id="36" xr3:uid="{00000000-0010-0000-0300-000024000000}" name="Erkannter Dokumenttitel"/>
    <tableColumn id="37" xr3:uid="{00000000-0010-0000-0300-000025000000}" name="Erkannte Jahresangaben"/>
    <tableColumn id="38" xr3:uid="{00000000-0010-0000-0300-000026000000}" name="Linkstabilität"/>
    <tableColumn id="39" xr3:uid="{00000000-0010-0000-0300-000027000000}" name="Letzte Linkprüfung"/>
    <tableColumn id="40" xr3:uid="{00000000-0010-0000-0300-000028000000}" name="Quellenverfügbarkeit"/>
    <tableColumn id="41" xr3:uid="{00000000-0010-0000-0300-000029000000}" name="Einheit / Bezugsjahr"/>
    <tableColumn id="42" xr3:uid="{00000000-0010-0000-0300-00002A000000}" name="Prüfnachweis (belegbare Aussage)"/>
    <tableColumn id="43" xr3:uid="{00000000-0010-0000-0300-00002B000000}" name="Bewertungsbegründung"/>
    <tableColumn id="44" xr3:uid="{00000000-0010-0000-0300-00002C000000}" name="Gemeindeanfrage erforderlich"/>
    <tableColumn id="45" xr3:uid="{00000000-0010-0000-0300-00002D000000}" name="Zuständige Stelle"/>
    <tableColumn id="46" xr3:uid="{00000000-0010-0000-0300-00002E000000}" name="Bearbeitungsstatus"/>
    <tableColumn id="47" xr3:uid="{00000000-0010-0000-0300-00002F000000}" name="Recherchehinweis"/>
    <tableColumn id="48" xr3:uid="{00000000-0010-0000-0300-000030000000}" name="Gleiche Quelle wie (ID)"/>
    <tableColumn id="49" xr3:uid="{00000000-0010-0000-0300-000031000000}" name="Änderungsprotokoll"/>
    <tableColumn id="50" xr3:uid="{00000000-0010-0000-0300-000032000000}" name="Abgleich mit Gesamtübersicht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stadtwil.ch/topics/stadt-politik-und-recht/finanzen" TargetMode="External"/><Relationship Id="rId21" Type="http://schemas.openxmlformats.org/officeDocument/2006/relationships/hyperlink" Target="https://rechtsbuch.ur.ch/api/de/versions/776/pdf_file" TargetMode="External"/><Relationship Id="rId42" Type="http://schemas.openxmlformats.org/officeDocument/2006/relationships/hyperlink" Target="https://www.baselland.ch/politik-und-behorden/gemeinden" TargetMode="External"/><Relationship Id="rId63" Type="http://schemas.openxmlformats.org/officeDocument/2006/relationships/hyperlink" Target="https://www.seelisberg.ch/politik/budget-rechnung" TargetMode="External"/><Relationship Id="rId84" Type="http://schemas.openxmlformats.org/officeDocument/2006/relationships/hyperlink" Target="https://www.seelisberg.ch/politik/gemeindeversammlung" TargetMode="External"/><Relationship Id="rId138" Type="http://schemas.openxmlformats.org/officeDocument/2006/relationships/hyperlink" Target="https://www.stadtwil.ch/topics/stadt-politik-und-recht/rechtssammlung-1" TargetMode="External"/><Relationship Id="rId107" Type="http://schemas.openxmlformats.org/officeDocument/2006/relationships/hyperlink" Target="https://www.muenchenstein.ch/_docn/6998503/Ratschlag_Gemeindeversammlung_Montag,_15._Juni_2026.pdf" TargetMode="External"/><Relationship Id="rId11" Type="http://schemas.openxmlformats.org/officeDocument/2006/relationships/hyperlink" Target="https://ckan.opendata.swiss/dataset/regionalportrats-2021-kennzahlen-aller-gemeinden" TargetMode="External"/><Relationship Id="rId32" Type="http://schemas.openxmlformats.org/officeDocument/2006/relationships/hyperlink" Target="https://rechtsbuch.ur.ch/app/de/texts_of_law/2.1201" TargetMode="External"/><Relationship Id="rId53" Type="http://schemas.openxmlformats.org/officeDocument/2006/relationships/hyperlink" Target="https://www.gesetzessammlung.sg.ch/app/de/texts_of_law/841.1" TargetMode="External"/><Relationship Id="rId74" Type="http://schemas.openxmlformats.org/officeDocument/2006/relationships/hyperlink" Target="https://www.seelisberg.ch/politik/beh%C3%B6rden-kommissionen" TargetMode="External"/><Relationship Id="rId128" Type="http://schemas.openxmlformats.org/officeDocument/2006/relationships/hyperlink" Target="https://www.stadtwil.ch/storage/2ecd9e697734cc2262543c9da23828c2b6ad0129cf1654fcfa47f21ba113bf8a" TargetMode="External"/><Relationship Id="rId5" Type="http://schemas.openxmlformats.org/officeDocument/2006/relationships/hyperlink" Target="https://www.efv.admin.ch/de/finanzstatistik-daten" TargetMode="External"/><Relationship Id="rId90" Type="http://schemas.openxmlformats.org/officeDocument/2006/relationships/hyperlink" Target="https://www.seelisberg.ch/ueber-seelisberg/leitbild" TargetMode="External"/><Relationship Id="rId95" Type="http://schemas.openxmlformats.org/officeDocument/2006/relationships/hyperlink" Target="https://www.muenchenstein.ch/publikationen/523378" TargetMode="External"/><Relationship Id="rId22" Type="http://schemas.openxmlformats.org/officeDocument/2006/relationships/hyperlink" Target="https://www.ur.ch/dienstleistungen/3150" TargetMode="External"/><Relationship Id="rId27" Type="http://schemas.openxmlformats.org/officeDocument/2006/relationships/hyperlink" Target="https://www.ur.ch/dienstleistungen/4297" TargetMode="External"/><Relationship Id="rId43" Type="http://schemas.openxmlformats.org/officeDocument/2006/relationships/hyperlink" Target="https://bl.clex.ch/app/de/texts_of_law/420.11" TargetMode="External"/><Relationship Id="rId48" Type="http://schemas.openxmlformats.org/officeDocument/2006/relationships/hyperlink" Target="https://www.geoportal.ch/" TargetMode="External"/><Relationship Id="rId64" Type="http://schemas.openxmlformats.org/officeDocument/2006/relationships/hyperlink" Target="https://www.seelisberg.ch/files/pdf/Budget-ER-2026_Gesamtauflage_ohne-Bemerkungen_%C3%B6ffentlich.pdf" TargetMode="External"/><Relationship Id="rId69" Type="http://schemas.openxmlformats.org/officeDocument/2006/relationships/hyperlink" Target="https://www.seelisberg.ch/files/pdf/8_20221005_Bericht_Siedlungsleitbild_Genehmigungsexemplar.pdf" TargetMode="External"/><Relationship Id="rId113" Type="http://schemas.openxmlformats.org/officeDocument/2006/relationships/hyperlink" Target="https://www.muenchenstein.ch/_docn/5478214/Protokoll_Gemeindeversammlung_13._Juni_2024_definitiv.pdf" TargetMode="External"/><Relationship Id="rId118" Type="http://schemas.openxmlformats.org/officeDocument/2006/relationships/hyperlink" Target="https://www.stadtwil.ch/political-business/28da2d58a16b4b85b0504eeaa7e396dc" TargetMode="External"/><Relationship Id="rId134" Type="http://schemas.openxmlformats.org/officeDocument/2006/relationships/hyperlink" Target="https://www.stadtwil.ch/topics/stadt-politik-und-recht/finanzen" TargetMode="External"/><Relationship Id="rId139" Type="http://schemas.openxmlformats.org/officeDocument/2006/relationships/hyperlink" Target="https://www.are.admin.ch/dam/de/sd-web/1LGAXN34JMxU/Pr%C3%BCfbericht%20Wil4G.pdf" TargetMode="External"/><Relationship Id="rId80" Type="http://schemas.openxmlformats.org/officeDocument/2006/relationships/hyperlink" Target="https://www.seelisberg.ch/politik/gemeindeversammlung" TargetMode="External"/><Relationship Id="rId85" Type="http://schemas.openxmlformats.org/officeDocument/2006/relationships/hyperlink" Target="https://www.seelisberg.ch/files/pdf/Beschlussprotokoll_GV_28.11.2025.pdf" TargetMode="External"/><Relationship Id="rId12" Type="http://schemas.openxmlformats.org/officeDocument/2006/relationships/hyperlink" Target="https://www.fedlex.admin.ch/eli/cc/1999/404/de" TargetMode="External"/><Relationship Id="rId17" Type="http://schemas.openxmlformats.org/officeDocument/2006/relationships/hyperlink" Target="https://www.ur.ch/_docn/451636/Gemeindekennzahlen_2025_signiert.pdf" TargetMode="External"/><Relationship Id="rId33" Type="http://schemas.openxmlformats.org/officeDocument/2006/relationships/hyperlink" Target="https://statistik.bl.ch/web_portal/18_5" TargetMode="External"/><Relationship Id="rId38" Type="http://schemas.openxmlformats.org/officeDocument/2006/relationships/hyperlink" Target="https://geoview.bl.ch/" TargetMode="External"/><Relationship Id="rId59" Type="http://schemas.openxmlformats.org/officeDocument/2006/relationships/hyperlink" Target="https://www.seelisberg.ch/politik/gemeindeversammlung" TargetMode="External"/><Relationship Id="rId103" Type="http://schemas.openxmlformats.org/officeDocument/2006/relationships/hyperlink" Target="https://www.muenchenstein.ch/reglemente/10743" TargetMode="External"/><Relationship Id="rId108" Type="http://schemas.openxmlformats.org/officeDocument/2006/relationships/hyperlink" Target="https://www.muenchenstein.ch/organisationuorganigramm" TargetMode="External"/><Relationship Id="rId124" Type="http://schemas.openxmlformats.org/officeDocument/2006/relationships/hyperlink" Target="https://www.stadtwil.ch/storage/875d422378d72386aae96efa76356fbfa05e9a0e1e03f208fbbe599dea21021c" TargetMode="External"/><Relationship Id="rId129" Type="http://schemas.openxmlformats.org/officeDocument/2006/relationships/hyperlink" Target="https://www.stadtwil.ch/topics/stadt-politik-und-recht/finanzen" TargetMode="External"/><Relationship Id="rId54" Type="http://schemas.openxmlformats.org/officeDocument/2006/relationships/hyperlink" Target="https://www.sg.ch/recht/beschaffungswesen/neues_beschaffungsrecht_2023/" TargetMode="External"/><Relationship Id="rId70" Type="http://schemas.openxmlformats.org/officeDocument/2006/relationships/hyperlink" Target="https://www.seelisberg.ch/files/pdf/20230526_Erl%C3%A4uterungsbericht.pdf" TargetMode="External"/><Relationship Id="rId75" Type="http://schemas.openxmlformats.org/officeDocument/2006/relationships/hyperlink" Target="https://www.seelisberg.ch/personal" TargetMode="External"/><Relationship Id="rId91" Type="http://schemas.openxmlformats.org/officeDocument/2006/relationships/hyperlink" Target="https://www.seelisberg.ch/files/pdf/kommunale-Abstimmung-Seelisberg_260308.pdf" TargetMode="External"/><Relationship Id="rId96" Type="http://schemas.openxmlformats.org/officeDocument/2006/relationships/hyperlink" Target="https://www.muenchenstein.ch/publikationen/621658" TargetMode="External"/><Relationship Id="rId140" Type="http://schemas.openxmlformats.org/officeDocument/2006/relationships/hyperlink" Target="https://www.sg.ch/content/dam/sgch/bauen/raumentwicklung/agglomerationsprogramme/Wil%20Flyer%205G.pdf" TargetMode="External"/><Relationship Id="rId145" Type="http://schemas.openxmlformats.org/officeDocument/2006/relationships/hyperlink" Target="https://www.stadtwil.ch/storage/5d895f1e33cc1b2c352d7bdeb9d93dd5b2333fbff6a1793cd419f387dd4e1e28" TargetMode="External"/><Relationship Id="rId1" Type="http://schemas.openxmlformats.org/officeDocument/2006/relationships/hyperlink" Target="https://www.efv.admin.ch/de/finanzstatistik-daten" TargetMode="External"/><Relationship Id="rId6" Type="http://schemas.openxmlformats.org/officeDocument/2006/relationships/hyperlink" Target="https://opendata.swiss/en/dataset/detaillierte-daten-fs-und-gfs-modell-standardauswertungen" TargetMode="External"/><Relationship Id="rId23" Type="http://schemas.openxmlformats.org/officeDocument/2006/relationships/hyperlink" Target="https://rechtsbuch.ur.ch/app/de/texts_of_law/3.2131" TargetMode="External"/><Relationship Id="rId28" Type="http://schemas.openxmlformats.org/officeDocument/2006/relationships/hyperlink" Target="https://rechtsbuch.ur.ch/app/de/texts_of_law/1.1111" TargetMode="External"/><Relationship Id="rId49" Type="http://schemas.openxmlformats.org/officeDocument/2006/relationships/hyperlink" Target="https://www.ratsinfo.sg.ch/media/documents/published/signed/8b158b37-2fff-4d5d-b018-ef035f08732e.pdf" TargetMode="External"/><Relationship Id="rId114" Type="http://schemas.openxmlformats.org/officeDocument/2006/relationships/hyperlink" Target="https://www.muenchenstein.ch/politikinformationen/2666993" TargetMode="External"/><Relationship Id="rId119" Type="http://schemas.openxmlformats.org/officeDocument/2006/relationships/hyperlink" Target="https://www.stadtwil.ch/storage/46c11db85e782dc122cd9a61cc291529509f659681277125f8b019bce5a31b9c" TargetMode="External"/><Relationship Id="rId44" Type="http://schemas.openxmlformats.org/officeDocument/2006/relationships/hyperlink" Target="https://bl.clex.ch/app/de/texts_of_law/120" TargetMode="External"/><Relationship Id="rId60" Type="http://schemas.openxmlformats.org/officeDocument/2006/relationships/hyperlink" Target="https://www.seelisberg.ch/files/pdf/JR2024_Gde-Seelisberg.pdf" TargetMode="External"/><Relationship Id="rId65" Type="http://schemas.openxmlformats.org/officeDocument/2006/relationships/hyperlink" Target="https://www.seelisberg.ch/politik/budget-rechnung" TargetMode="External"/><Relationship Id="rId81" Type="http://schemas.openxmlformats.org/officeDocument/2006/relationships/hyperlink" Target="https://www.seelisberg.ch/news/neues-leitbild-der-gemeinde-seelisberg" TargetMode="External"/><Relationship Id="rId86" Type="http://schemas.openxmlformats.org/officeDocument/2006/relationships/hyperlink" Target="https://www.seelisberg.ch/politik/gemeindeversammlung" TargetMode="External"/><Relationship Id="rId130" Type="http://schemas.openxmlformats.org/officeDocument/2006/relationships/hyperlink" Target="https://www.stadtwil.ch/storage/9bf65acd52bfa75c91cc42760759e0ffc3a76d501e7d174c010444c290801cc2" TargetMode="External"/><Relationship Id="rId135"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nachtrag-iv-zur-gemeindeordnung" TargetMode="External"/><Relationship Id="rId13" Type="http://schemas.openxmlformats.org/officeDocument/2006/relationships/hyperlink" Target="https://www.ur.ch/publikationen/6680" TargetMode="External"/><Relationship Id="rId18" Type="http://schemas.openxmlformats.org/officeDocument/2006/relationships/hyperlink" Target="https://www.ur.ch/_doc/420775" TargetMode="External"/><Relationship Id="rId39" Type="http://schemas.openxmlformats.org/officeDocument/2006/relationships/hyperlink" Target="https://bl.clex.ch/app/de/texts_of_law/400" TargetMode="External"/><Relationship Id="rId109" Type="http://schemas.openxmlformats.org/officeDocument/2006/relationships/hyperlink" Target="https://www.muenchenstein.ch/_docn/3794018/Bereinigtes_Personalreglement_Genehmigungsfassung_per_23._Juni_2022.pdf" TargetMode="External"/><Relationship Id="rId34" Type="http://schemas.openxmlformats.org/officeDocument/2006/relationships/hyperlink" Target="https://www.baselland.ch/politik-und-behorden/gemeinden/gemeindefinanzen/rechnungslegung-einwohnergemeinden/excel-vorlagen" TargetMode="External"/><Relationship Id="rId50" Type="http://schemas.openxmlformats.org/officeDocument/2006/relationships/hyperlink" Target="https://www.gesetzessammlung.sg.ch/app/de/texts_of_law/731.1" TargetMode="External"/><Relationship Id="rId55" Type="http://schemas.openxmlformats.org/officeDocument/2006/relationships/hyperlink" Target="https://www.gesetzessammlung.sg.ch/app/de/texts_of_law/125.1" TargetMode="External"/><Relationship Id="rId76" Type="http://schemas.openxmlformats.org/officeDocument/2006/relationships/hyperlink" Target="https://www.seelisberg.ch/files/pdf/Verordnung_u%CC%88ber_das_Personal.pdf" TargetMode="External"/><Relationship Id="rId97" Type="http://schemas.openxmlformats.org/officeDocument/2006/relationships/hyperlink" Target="https://www.muenchenstein.ch/publikationen/556069" TargetMode="External"/><Relationship Id="rId104" Type="http://schemas.openxmlformats.org/officeDocument/2006/relationships/hyperlink" Target="https://www.muenchenstein.ch/_docn/1591897/2018.03.12_Ratschlag_GzD.pdf" TargetMode="External"/><Relationship Id="rId120" Type="http://schemas.openxmlformats.org/officeDocument/2006/relationships/hyperlink" Target="https://www.stadtwil.ch/topics/stadt-politik-und-recht/finanzen" TargetMode="External"/><Relationship Id="rId125" Type="http://schemas.openxmlformats.org/officeDocument/2006/relationships/hyperlink" Target="https://www.stadtwil.ch/topics/stadt-politik-und-recht/finanzen" TargetMode="External"/><Relationship Id="rId141" Type="http://schemas.openxmlformats.org/officeDocument/2006/relationships/hyperlink" Target="https://www.stadtwil.ch/storage/ee8bae2cd080dda0bc77e69f99046109dc3e161b3498b17df7581cfe441bc612" TargetMode="External"/><Relationship Id="rId146" Type="http://schemas.openxmlformats.org/officeDocument/2006/relationships/table" Target="../tables/table1.xml"/><Relationship Id="rId7" Type="http://schemas.openxmlformats.org/officeDocument/2006/relationships/hyperlink" Target="https://www.fedlex.admin.ch/eli/cc/24/233_245_233/de" TargetMode="External"/><Relationship Id="rId71" Type="http://schemas.openxmlformats.org/officeDocument/2006/relationships/hyperlink" Target="https://www.seelisberg.ch/politik/beh%C3%B6rden-kommissionen" TargetMode="External"/><Relationship Id="rId92" Type="http://schemas.openxmlformats.org/officeDocument/2006/relationships/hyperlink" Target="https://www.seelisberg.ch/politik/abstimmungen-wahlen" TargetMode="External"/><Relationship Id="rId2" Type="http://schemas.openxmlformats.org/officeDocument/2006/relationships/hyperlink" Target="https://www.efv.admin.ch/" TargetMode="External"/><Relationship Id="rId29" Type="http://schemas.openxmlformats.org/officeDocument/2006/relationships/hyperlink" Target="https://rechtsbuch.ur.ch/app/de/texts_of_law/1.1101" TargetMode="External"/><Relationship Id="rId24" Type="http://schemas.openxmlformats.org/officeDocument/2006/relationships/hyperlink" Target="https://www.ur.ch/_docn/426685/Berechnung_FiLa_2025.pdf" TargetMode="External"/><Relationship Id="rId40" Type="http://schemas.openxmlformats.org/officeDocument/2006/relationships/hyperlink" Target="https://bl.clex.ch/app/de/texts_of_law/180" TargetMode="External"/><Relationship Id="rId45" Type="http://schemas.openxmlformats.org/officeDocument/2006/relationships/hyperlink" Target="https://www.sg.ch/politik-verwaltung/gemeinden/gemeindefinanzen/rechnungslegung--rmsg-.html" TargetMode="External"/><Relationship Id="rId66" Type="http://schemas.openxmlformats.org/officeDocument/2006/relationships/hyperlink" Target="https://www.seelisberg.ch/files/pdf/ERLUTE1.PDF" TargetMode="External"/><Relationship Id="rId87" Type="http://schemas.openxmlformats.org/officeDocument/2006/relationships/hyperlink" Target="https://www.seelisberg.ch/files/pdf/Beschlussprotokoll-GV-Mai-2025.pdf" TargetMode="External"/><Relationship Id="rId110" Type="http://schemas.openxmlformats.org/officeDocument/2006/relationships/hyperlink" Target="https://www.muenchenstein.ch/reglemente/402889" TargetMode="External"/><Relationship Id="rId115" Type="http://schemas.openxmlformats.org/officeDocument/2006/relationships/hyperlink" Target="https://www.muenchenstein.ch/_docn/2359339/43037_Ber05_Mitwirkungsbericht_VerabschiedungGR_Unterschrieben_20190924_korr.pdf" TargetMode="External"/><Relationship Id="rId131" Type="http://schemas.openxmlformats.org/officeDocument/2006/relationships/hyperlink" Target="https://www.stadtwil.ch/storage/86c954451190b5683f4cea602b5746ce096ff6338c9f35fbea68172b58f684d1" TargetMode="External"/><Relationship Id="rId136" Type="http://schemas.openxmlformats.org/officeDocument/2006/relationships/hyperlink" Target="https://www.stadtwil.ch/topics/stadt-politik-und-recht/abstimmungen-und-wahlen/vorlagen/kommunale-vorlagen/22-11-2024-nachtrag-iv-zur-gemeindeordnung" TargetMode="External"/><Relationship Id="rId61" Type="http://schemas.openxmlformats.org/officeDocument/2006/relationships/hyperlink" Target="https://www.seelisberg.ch/politik/budget-rechnung" TargetMode="External"/><Relationship Id="rId82" Type="http://schemas.openxmlformats.org/officeDocument/2006/relationships/hyperlink" Target="https://www.seelisberg.ch/ueber-seelisberg/leitbild" TargetMode="External"/><Relationship Id="rId19" Type="http://schemas.openxmlformats.org/officeDocument/2006/relationships/hyperlink" Target="https://www.ur.ch/publikationen/6680" TargetMode="External"/><Relationship Id="rId14" Type="http://schemas.openxmlformats.org/officeDocument/2006/relationships/hyperlink" Target="https://www.ur.ch/finanzen/1588" TargetMode="External"/><Relationship Id="rId30" Type="http://schemas.openxmlformats.org/officeDocument/2006/relationships/hyperlink" Target="https://www.ur.ch/dienstleistungen/8444" TargetMode="External"/><Relationship Id="rId35" Type="http://schemas.openxmlformats.org/officeDocument/2006/relationships/hyperlink" Target="https://www.baselland.ch/politik-und-behorden/gemeinden/gemeindefinanzen" TargetMode="External"/><Relationship Id="rId56" Type="http://schemas.openxmlformats.org/officeDocument/2006/relationships/hyperlink" Target="https://www.seelisberg.ch/politik/gemeindeversammlung" TargetMode="External"/><Relationship Id="rId77" Type="http://schemas.openxmlformats.org/officeDocument/2006/relationships/hyperlink" Target="https://www.seelisberg.ch/politik/rechtssammlung" TargetMode="External"/><Relationship Id="rId100" Type="http://schemas.openxmlformats.org/officeDocument/2006/relationships/hyperlink" Target="https://www.muenchenstein.ch/_docn/4130681/Bericht_Aufgaben__Finanzplan_2023-2027_publiziert.pdf" TargetMode="External"/><Relationship Id="rId105" Type="http://schemas.openxmlformats.org/officeDocument/2006/relationships/hyperlink" Target="https://www.muenchenstein.ch/_docn/2430218/20180713_Gemeindeordnung_Stand_01.01.2013_publiziert_sw.pdf" TargetMode="External"/><Relationship Id="rId126" Type="http://schemas.openxmlformats.org/officeDocument/2006/relationships/hyperlink" Target="https://www.stadtwil.ch/storage/c6097b5ae815fb81f14b4db7630b14d9452e3be1ae3cbddd9f8e28d9d0777c7f" TargetMode="External"/><Relationship Id="rId8" Type="http://schemas.openxmlformats.org/officeDocument/2006/relationships/hyperlink" Target="https://www.fedlex.admin.ch/eli/cc/1979/1573_1573_1573/de" TargetMode="External"/><Relationship Id="rId51" Type="http://schemas.openxmlformats.org/officeDocument/2006/relationships/hyperlink" Target="https://www.gesetzessammlung.sg.ch/app/de/texts_of_law/151.2" TargetMode="External"/><Relationship Id="rId72" Type="http://schemas.openxmlformats.org/officeDocument/2006/relationships/hyperlink" Target="https://www.seelisberg.ch/files/pdf/Gemeindeordnung.pdf" TargetMode="External"/><Relationship Id="rId93" Type="http://schemas.openxmlformats.org/officeDocument/2006/relationships/hyperlink" Target="https://www.seelisberg.ch/files/pdf/Verordnung_%C3%BCber_das_Verfahren_an_der_Gemeindeversammlung.pdf" TargetMode="External"/><Relationship Id="rId98" Type="http://schemas.openxmlformats.org/officeDocument/2006/relationships/hyperlink" Target="https://www.muenchenstein.ch/publikationen/523381" TargetMode="External"/><Relationship Id="rId121" Type="http://schemas.openxmlformats.org/officeDocument/2006/relationships/hyperlink" Target="https://www.stadtwil.ch/storage/0f0d7ad95464bf91a72506e63d2aae1d5c18327f9bff4bf34b8400c36999b277" TargetMode="External"/><Relationship Id="rId142" Type="http://schemas.openxmlformats.org/officeDocument/2006/relationships/hyperlink" Target="https://www.stadtwil.ch/topics/stadt-politik-und-recht/geschaeftsberichte" TargetMode="External"/><Relationship Id="rId3" Type="http://schemas.openxmlformats.org/officeDocument/2006/relationships/hyperlink" Target="https://www.efv.admin.ch/de/was-ist-die-finanzstatistik" TargetMode="External"/><Relationship Id="rId25" Type="http://schemas.openxmlformats.org/officeDocument/2006/relationships/hyperlink" Target="https://geo.ur.ch/" TargetMode="External"/><Relationship Id="rId46" Type="http://schemas.openxmlformats.org/officeDocument/2006/relationships/hyperlink" Target="https://www.gesetzessammlung.sg.ch/app/de/texts_of_law/813.1" TargetMode="External"/><Relationship Id="rId67" Type="http://schemas.openxmlformats.org/officeDocument/2006/relationships/hyperlink" Target="https://www.seelisberg.ch/" TargetMode="External"/><Relationship Id="rId116" Type="http://schemas.openxmlformats.org/officeDocument/2006/relationships/hyperlink" Target="https://www.muenchenstein.ch/behoerden/2838" TargetMode="External"/><Relationship Id="rId137" Type="http://schemas.openxmlformats.org/officeDocument/2006/relationships/hyperlink" Target="https://www.stadtwil.ch/storage/1e396670eed23bbd41611d92ceaa476797bc97e16fde09c29197453c3b3bc320" TargetMode="External"/><Relationship Id="rId20" Type="http://schemas.openxmlformats.org/officeDocument/2006/relationships/hyperlink" Target="https://www.ur.ch/_docn/420775/Gemeindekennzahlen_2024_signiert.pdf" TargetMode="External"/><Relationship Id="rId41" Type="http://schemas.openxmlformats.org/officeDocument/2006/relationships/hyperlink" Target="https://www.baselland.ch/politik-und-behorden/direktionen/bau-und-umweltschutzdirektion/medienmitteilungen/ausgezeichnete-agglomeration-birsstadt-erhaelt-den-wakkerpreis" TargetMode="External"/><Relationship Id="rId62" Type="http://schemas.openxmlformats.org/officeDocument/2006/relationships/hyperlink" Target="https://www.seelisberg.ch/files/pdf/Jahresrechnung_Gde-Seelisberg_2023.pdf" TargetMode="External"/><Relationship Id="rId83" Type="http://schemas.openxmlformats.org/officeDocument/2006/relationships/hyperlink" Target="https://www.seelisberg.ch/files/pdf/Beschlussprotokoll_GV_24.11.2023.pdf" TargetMode="External"/><Relationship Id="rId88" Type="http://schemas.openxmlformats.org/officeDocument/2006/relationships/hyperlink" Target="https://www.seelisberg.ch/politik/gemeindeversammlung" TargetMode="External"/><Relationship Id="rId111" Type="http://schemas.openxmlformats.org/officeDocument/2006/relationships/hyperlink" Target="https://www.muenchenstein.ch/reglemente/7208" TargetMode="External"/><Relationship Id="rId132" Type="http://schemas.openxmlformats.org/officeDocument/2006/relationships/hyperlink" Target="https://www.stadtwil.ch/topics/stadt-politik-und-recht/finanzen" TargetMode="External"/><Relationship Id="rId15" Type="http://schemas.openxmlformats.org/officeDocument/2006/relationships/hyperlink" Target="https://www.ur.ch/_doc/451636" TargetMode="External"/><Relationship Id="rId36" Type="http://schemas.openxmlformats.org/officeDocument/2006/relationships/hyperlink" Target="https://www.baselland.ch/politik-und-behorden/direktionen/finanz-und-kirchendirektion/daten-statistik/abteilung-statistik/publikationen-und-statistiken/finanzen-und-steuern/webartikel-vom-18-09-2024-gemeindefinanzen-2023" TargetMode="External"/><Relationship Id="rId57" Type="http://schemas.openxmlformats.org/officeDocument/2006/relationships/hyperlink" Target="https://www.seelisberg.ch/" TargetMode="External"/><Relationship Id="rId106" Type="http://schemas.openxmlformats.org/officeDocument/2006/relationships/hyperlink" Target="https://www.muenchenstein.ch/reglemente/7140" TargetMode="External"/><Relationship Id="rId127" Type="http://schemas.openxmlformats.org/officeDocument/2006/relationships/hyperlink" Target="https://www.stadtwil.ch/topics/stadt-politik-und-recht/finanzen" TargetMode="External"/><Relationship Id="rId10" Type="http://schemas.openxmlformats.org/officeDocument/2006/relationships/hyperlink" Target="https://www.fedlex.admin.ch/eli/cc/2020/126/de" TargetMode="External"/><Relationship Id="rId31" Type="http://schemas.openxmlformats.org/officeDocument/2006/relationships/hyperlink" Target="https://rechtsbuch.ur.ch/app/de/texts_of_law/3.3111" TargetMode="External"/><Relationship Id="rId52" Type="http://schemas.openxmlformats.org/officeDocument/2006/relationships/hyperlink" Target="https://www.sg.ch/" TargetMode="External"/><Relationship Id="rId73" Type="http://schemas.openxmlformats.org/officeDocument/2006/relationships/hyperlink" Target="https://www.seelisberg.ch/politik/rechtssammlung" TargetMode="External"/><Relationship Id="rId78" Type="http://schemas.openxmlformats.org/officeDocument/2006/relationships/hyperlink" Target="https://www.seelisberg.ch/files/pdf/Verordnung_u%CC%88ber_das_Verfahren_in_den_Beho%CC%88rden.pdf" TargetMode="External"/><Relationship Id="rId94" Type="http://schemas.openxmlformats.org/officeDocument/2006/relationships/hyperlink" Target="https://www.seelisberg.ch/politik/rechtssammlung" TargetMode="External"/><Relationship Id="rId99" Type="http://schemas.openxmlformats.org/officeDocument/2006/relationships/hyperlink" Target="https://www.muenchenstein.ch/sitzung/5729137" TargetMode="External"/><Relationship Id="rId101" Type="http://schemas.openxmlformats.org/officeDocument/2006/relationships/hyperlink" Target="https://www.muenchenstein.ch/_docn/1059619/2015.03.16_Ratschlag_Homepage.pdf" TargetMode="External"/><Relationship Id="rId122" Type="http://schemas.openxmlformats.org/officeDocument/2006/relationships/hyperlink" Target="https://www.stadtwil.ch/topics/stadt-politik-und-recht/finanzen" TargetMode="External"/><Relationship Id="rId143" Type="http://schemas.openxmlformats.org/officeDocument/2006/relationships/hyperlink" Target="https://www.stadtwil.ch/storage/55dcd744fbd978ce5601e42dc48a7b53cdfe1082b7fecb9c647e6dadc8abf9c7" TargetMode="External"/><Relationship Id="rId4" Type="http://schemas.openxmlformats.org/officeDocument/2006/relationships/hyperlink" Target="https://www.efv.admin.ch/de/methoden-finanzstatistik" TargetMode="External"/><Relationship Id="rId9" Type="http://schemas.openxmlformats.org/officeDocument/2006/relationships/hyperlink" Target="https://www.fedlex.admin.ch/eli/cc/1999/404/de" TargetMode="External"/><Relationship Id="rId26" Type="http://schemas.openxmlformats.org/officeDocument/2006/relationships/hyperlink" Target="https://rechtsbuch.ur.ch/app/de/texts_of_law/40.1111" TargetMode="External"/><Relationship Id="rId47" Type="http://schemas.openxmlformats.org/officeDocument/2006/relationships/hyperlink" Target="https://www.gesetzessammlung.sg.ch/app/de/texts_of_law/151.53" TargetMode="External"/><Relationship Id="rId68" Type="http://schemas.openxmlformats.org/officeDocument/2006/relationships/hyperlink" Target="https://www.seelisberg.ch/files/pdf/Bau-und-Zonenordnung-Seelisberg.pdf" TargetMode="External"/><Relationship Id="rId89" Type="http://schemas.openxmlformats.org/officeDocument/2006/relationships/hyperlink" Target="https://www.seelisberg.ch/files/pdf/ORIGINAL-Leitbild-Seelisberg-2025-f%C3%BCr-Webseite.pdf" TargetMode="External"/><Relationship Id="rId112" Type="http://schemas.openxmlformats.org/officeDocument/2006/relationships/hyperlink" Target="https://www.muenchenstein.ch/legislaturziele" TargetMode="External"/><Relationship Id="rId133" Type="http://schemas.openxmlformats.org/officeDocument/2006/relationships/hyperlink" Target="https://www.stadtwil.ch/storage/c7e05a885ee1a6860975358848101c3f21fe558650ccfc5ba12339d34d3232e9" TargetMode="External"/><Relationship Id="rId16" Type="http://schemas.openxmlformats.org/officeDocument/2006/relationships/hyperlink" Target="https://www.ur.ch/publikationen/6680" TargetMode="External"/><Relationship Id="rId37" Type="http://schemas.openxmlformats.org/officeDocument/2006/relationships/hyperlink" Target="https://bl.clex.ch/app/de/texts_of_law/185" TargetMode="External"/><Relationship Id="rId58" Type="http://schemas.openxmlformats.org/officeDocument/2006/relationships/hyperlink" Target="https://www.seelisberg.ch/files/pdf/Druckvorlage2_Original_Versammlung-Nov2025_Traktanden-und-Botschaften-gesamt.pdf" TargetMode="External"/><Relationship Id="rId79" Type="http://schemas.openxmlformats.org/officeDocument/2006/relationships/hyperlink" Target="https://www.seelisberg.ch/politik/rechtssammlung" TargetMode="External"/><Relationship Id="rId102" Type="http://schemas.openxmlformats.org/officeDocument/2006/relationships/hyperlink" Target="https://www.muenchenstein.ch/_docn/1199675/Zonenreglement_Siedlung.pdf" TargetMode="External"/><Relationship Id="rId123" Type="http://schemas.openxmlformats.org/officeDocument/2006/relationships/hyperlink" Target="https://www.stadtwil.ch/storage/08902ff399818ccc0d53949607b2d0f6f8bf702c334e295d493c2fd842ba4079" TargetMode="External"/><Relationship Id="rId144" Type="http://schemas.openxmlformats.org/officeDocument/2006/relationships/hyperlink" Target="https://www.stadtwil.ch/storage/533b0557b4e4988a6a4f9af13c0b789fec39837eef83d1e66cd1d3814dbe0acb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rechtsbuch.ur.ch/app/de/texts_of_law/40.1111" TargetMode="External"/><Relationship Id="rId21" Type="http://schemas.openxmlformats.org/officeDocument/2006/relationships/hyperlink" Target="https://rechtsbuch.ur.ch/api/de/versions/776/pdf_file" TargetMode="External"/><Relationship Id="rId42" Type="http://schemas.openxmlformats.org/officeDocument/2006/relationships/hyperlink" Target="https://www.seelisberg.ch/politik/budget-rechnung" TargetMode="External"/><Relationship Id="rId47" Type="http://schemas.openxmlformats.org/officeDocument/2006/relationships/hyperlink" Target="https://www.seelisberg.ch/files/pdf/20230526_Erl%C3%A4uterungsbericht.pdf" TargetMode="External"/><Relationship Id="rId63" Type="http://schemas.openxmlformats.org/officeDocument/2006/relationships/hyperlink" Target="https://www.seelisberg.ch/politik/gemeindeversammlung" TargetMode="External"/><Relationship Id="rId68" Type="http://schemas.openxmlformats.org/officeDocument/2006/relationships/hyperlink" Target="https://www.seelisberg.ch/files/pdf/kommunale-Abstimmung-Seelisberg_260308.pdf" TargetMode="External"/><Relationship Id="rId7" Type="http://schemas.openxmlformats.org/officeDocument/2006/relationships/hyperlink" Target="https://www.fedlex.admin.ch/eli/cc/24/233_245_233/de" TargetMode="External"/><Relationship Id="rId71" Type="http://schemas.openxmlformats.org/officeDocument/2006/relationships/hyperlink" Target="https://www.seelisberg.ch/politik/rechtssammlung" TargetMode="External"/><Relationship Id="rId2" Type="http://schemas.openxmlformats.org/officeDocument/2006/relationships/hyperlink" Target="https://www.efv.admin.ch/" TargetMode="External"/><Relationship Id="rId16" Type="http://schemas.openxmlformats.org/officeDocument/2006/relationships/hyperlink" Target="https://www.ur.ch/publikationen/6680" TargetMode="External"/><Relationship Id="rId29" Type="http://schemas.openxmlformats.org/officeDocument/2006/relationships/hyperlink" Target="https://rechtsbuch.ur.ch/app/de/texts_of_law/1.1101" TargetMode="External"/><Relationship Id="rId11" Type="http://schemas.openxmlformats.org/officeDocument/2006/relationships/hyperlink" Target="https://ckan.opendata.swiss/dataset/regionalportrats-2021-kennzahlen-aller-gemeinden" TargetMode="External"/><Relationship Id="rId24" Type="http://schemas.openxmlformats.org/officeDocument/2006/relationships/hyperlink" Target="https://www.ur.ch/_docn/426685/Berechnung_FiLa_2025.pdf" TargetMode="External"/><Relationship Id="rId32" Type="http://schemas.openxmlformats.org/officeDocument/2006/relationships/hyperlink" Target="https://rechtsbuch.ur.ch/app/de/texts_of_law/2.1201" TargetMode="External"/><Relationship Id="rId37" Type="http://schemas.openxmlformats.org/officeDocument/2006/relationships/hyperlink" Target="https://www.seelisberg.ch/files/pdf/JR2024_Gde-Seelisberg.pdf" TargetMode="External"/><Relationship Id="rId40" Type="http://schemas.openxmlformats.org/officeDocument/2006/relationships/hyperlink" Target="https://www.seelisberg.ch/politik/budget-rechnung" TargetMode="External"/><Relationship Id="rId45" Type="http://schemas.openxmlformats.org/officeDocument/2006/relationships/hyperlink" Target="https://www.seelisberg.ch/files/pdf/Bau-und-Zonenordnung-Seelisberg.pdf" TargetMode="External"/><Relationship Id="rId53" Type="http://schemas.openxmlformats.org/officeDocument/2006/relationships/hyperlink" Target="https://www.seelisberg.ch/files/pdf/Verordnung_u%CC%88ber_das_Personal.pdf" TargetMode="External"/><Relationship Id="rId58" Type="http://schemas.openxmlformats.org/officeDocument/2006/relationships/hyperlink" Target="https://www.seelisberg.ch/news/neues-leitbild-der-gemeinde-seelisberg" TargetMode="External"/><Relationship Id="rId66" Type="http://schemas.openxmlformats.org/officeDocument/2006/relationships/hyperlink" Target="https://www.seelisberg.ch/files/pdf/ORIGINAL-Leitbild-Seelisberg-2025-f%C3%BCr-Webseite.pdf" TargetMode="External"/><Relationship Id="rId5" Type="http://schemas.openxmlformats.org/officeDocument/2006/relationships/hyperlink" Target="https://www.efv.admin.ch/de/finanzstatistik-daten" TargetMode="External"/><Relationship Id="rId61" Type="http://schemas.openxmlformats.org/officeDocument/2006/relationships/hyperlink" Target="https://www.seelisberg.ch/politik/gemeindeversammlung" TargetMode="External"/><Relationship Id="rId19" Type="http://schemas.openxmlformats.org/officeDocument/2006/relationships/hyperlink" Target="https://www.ur.ch/publikationen/6680" TargetMode="External"/><Relationship Id="rId14" Type="http://schemas.openxmlformats.org/officeDocument/2006/relationships/hyperlink" Target="https://www.ur.ch/finanzen/1588" TargetMode="External"/><Relationship Id="rId22" Type="http://schemas.openxmlformats.org/officeDocument/2006/relationships/hyperlink" Target="https://www.ur.ch/dienstleistungen/3150" TargetMode="External"/><Relationship Id="rId27" Type="http://schemas.openxmlformats.org/officeDocument/2006/relationships/hyperlink" Target="https://www.ur.ch/dienstleistungen/4297" TargetMode="External"/><Relationship Id="rId30" Type="http://schemas.openxmlformats.org/officeDocument/2006/relationships/hyperlink" Target="https://www.ur.ch/dienstleistungen/8444" TargetMode="External"/><Relationship Id="rId35" Type="http://schemas.openxmlformats.org/officeDocument/2006/relationships/hyperlink" Target="https://www.seelisberg.ch/files/pdf/Druckvorlage2_Original_Versammlung-Nov2025_Traktanden-und-Botschaften-gesamt.pdf" TargetMode="External"/><Relationship Id="rId43" Type="http://schemas.openxmlformats.org/officeDocument/2006/relationships/hyperlink" Target="https://www.seelisberg.ch/files/pdf/ERLUTE1.PDF" TargetMode="External"/><Relationship Id="rId48" Type="http://schemas.openxmlformats.org/officeDocument/2006/relationships/hyperlink" Target="https://www.seelisberg.ch/politik/beh%C3%B6rden-kommissionen" TargetMode="External"/><Relationship Id="rId56" Type="http://schemas.openxmlformats.org/officeDocument/2006/relationships/hyperlink" Target="https://www.seelisberg.ch/politik/rechtssammlung" TargetMode="External"/><Relationship Id="rId64" Type="http://schemas.openxmlformats.org/officeDocument/2006/relationships/hyperlink" Target="https://www.seelisberg.ch/files/pdf/Beschlussprotokoll-GV-Mai-2025.pdf" TargetMode="External"/><Relationship Id="rId69" Type="http://schemas.openxmlformats.org/officeDocument/2006/relationships/hyperlink" Target="https://www.seelisberg.ch/politik/abstimmungen-wahlen" TargetMode="External"/><Relationship Id="rId8" Type="http://schemas.openxmlformats.org/officeDocument/2006/relationships/hyperlink" Target="https://www.fedlex.admin.ch/eli/cc/1979/1573_1573_1573/de" TargetMode="External"/><Relationship Id="rId51" Type="http://schemas.openxmlformats.org/officeDocument/2006/relationships/hyperlink" Target="https://www.seelisberg.ch/politik/beh%C3%B6rden-kommissionen" TargetMode="External"/><Relationship Id="rId72" Type="http://schemas.openxmlformats.org/officeDocument/2006/relationships/table" Target="../tables/table2.xml"/><Relationship Id="rId3" Type="http://schemas.openxmlformats.org/officeDocument/2006/relationships/hyperlink" Target="https://www.efv.admin.ch/de/was-ist-die-finanzstatistik" TargetMode="External"/><Relationship Id="rId12" Type="http://schemas.openxmlformats.org/officeDocument/2006/relationships/hyperlink" Target="https://www.fedlex.admin.ch/eli/cc/1999/404/de" TargetMode="External"/><Relationship Id="rId17" Type="http://schemas.openxmlformats.org/officeDocument/2006/relationships/hyperlink" Target="https://www.ur.ch/_docn/451636/Gemeindekennzahlen_2025_signiert.pdf" TargetMode="External"/><Relationship Id="rId25" Type="http://schemas.openxmlformats.org/officeDocument/2006/relationships/hyperlink" Target="https://geo.ur.ch/" TargetMode="External"/><Relationship Id="rId33" Type="http://schemas.openxmlformats.org/officeDocument/2006/relationships/hyperlink" Target="https://www.seelisberg.ch/politik/gemeindeversammlung" TargetMode="External"/><Relationship Id="rId38" Type="http://schemas.openxmlformats.org/officeDocument/2006/relationships/hyperlink" Target="https://www.seelisberg.ch/politik/budget-rechnung" TargetMode="External"/><Relationship Id="rId46" Type="http://schemas.openxmlformats.org/officeDocument/2006/relationships/hyperlink" Target="https://www.seelisberg.ch/files/pdf/8_20221005_Bericht_Siedlungsleitbild_Genehmigungsexemplar.pdf" TargetMode="External"/><Relationship Id="rId59" Type="http://schemas.openxmlformats.org/officeDocument/2006/relationships/hyperlink" Target="https://www.seelisberg.ch/ueber-seelisberg/leitbild" TargetMode="External"/><Relationship Id="rId67" Type="http://schemas.openxmlformats.org/officeDocument/2006/relationships/hyperlink" Target="https://www.seelisberg.ch/ueber-seelisberg/leitbild" TargetMode="External"/><Relationship Id="rId20" Type="http://schemas.openxmlformats.org/officeDocument/2006/relationships/hyperlink" Target="https://www.ur.ch/_docn/420775/Gemeindekennzahlen_2024_signiert.pdf" TargetMode="External"/><Relationship Id="rId41" Type="http://schemas.openxmlformats.org/officeDocument/2006/relationships/hyperlink" Target="https://www.seelisberg.ch/files/pdf/Budget-ER-2026_Gesamtauflage_ohne-Bemerkungen_%C3%B6ffentlich.pdf" TargetMode="External"/><Relationship Id="rId54" Type="http://schemas.openxmlformats.org/officeDocument/2006/relationships/hyperlink" Target="https://www.seelisberg.ch/politik/rechtssammlung" TargetMode="External"/><Relationship Id="rId62" Type="http://schemas.openxmlformats.org/officeDocument/2006/relationships/hyperlink" Target="https://www.seelisberg.ch/files/pdf/Beschlussprotokoll_GV_28.11.2025.pdf" TargetMode="External"/><Relationship Id="rId70" Type="http://schemas.openxmlformats.org/officeDocument/2006/relationships/hyperlink" Target="https://www.seelisberg.ch/files/pdf/Verordnung_%C3%BCber_das_Verfahren_an_der_Gemeindeversammlung.pdf" TargetMode="External"/><Relationship Id="rId1" Type="http://schemas.openxmlformats.org/officeDocument/2006/relationships/hyperlink" Target="https://www.efv.admin.ch/de/finanzstatistik-daten" TargetMode="External"/><Relationship Id="rId6" Type="http://schemas.openxmlformats.org/officeDocument/2006/relationships/hyperlink" Target="https://opendata.swiss/en/dataset/detaillierte-daten-fs-und-gfs-modell-standardauswertungen" TargetMode="External"/><Relationship Id="rId15" Type="http://schemas.openxmlformats.org/officeDocument/2006/relationships/hyperlink" Target="https://www.ur.ch/_doc/451636" TargetMode="External"/><Relationship Id="rId23" Type="http://schemas.openxmlformats.org/officeDocument/2006/relationships/hyperlink" Target="https://rechtsbuch.ur.ch/app/de/texts_of_law/3.2131" TargetMode="External"/><Relationship Id="rId28" Type="http://schemas.openxmlformats.org/officeDocument/2006/relationships/hyperlink" Target="https://rechtsbuch.ur.ch/app/de/texts_of_law/1.1111" TargetMode="External"/><Relationship Id="rId36" Type="http://schemas.openxmlformats.org/officeDocument/2006/relationships/hyperlink" Target="https://www.seelisberg.ch/politik/gemeindeversammlung" TargetMode="External"/><Relationship Id="rId49" Type="http://schemas.openxmlformats.org/officeDocument/2006/relationships/hyperlink" Target="https://www.seelisberg.ch/files/pdf/Gemeindeordnung.pdf" TargetMode="External"/><Relationship Id="rId57" Type="http://schemas.openxmlformats.org/officeDocument/2006/relationships/hyperlink" Target="https://www.seelisberg.ch/politik/gemeindeversammlung" TargetMode="External"/><Relationship Id="rId10" Type="http://schemas.openxmlformats.org/officeDocument/2006/relationships/hyperlink" Target="https://www.fedlex.admin.ch/eli/cc/2020/126/de" TargetMode="External"/><Relationship Id="rId31" Type="http://schemas.openxmlformats.org/officeDocument/2006/relationships/hyperlink" Target="https://rechtsbuch.ur.ch/app/de/texts_of_law/3.3111" TargetMode="External"/><Relationship Id="rId44" Type="http://schemas.openxmlformats.org/officeDocument/2006/relationships/hyperlink" Target="https://www.seelisberg.ch/" TargetMode="External"/><Relationship Id="rId52" Type="http://schemas.openxmlformats.org/officeDocument/2006/relationships/hyperlink" Target="https://www.seelisberg.ch/personal" TargetMode="External"/><Relationship Id="rId60" Type="http://schemas.openxmlformats.org/officeDocument/2006/relationships/hyperlink" Target="https://www.seelisberg.ch/files/pdf/Beschlussprotokoll_GV_24.11.2023.pdf" TargetMode="External"/><Relationship Id="rId65" Type="http://schemas.openxmlformats.org/officeDocument/2006/relationships/hyperlink" Target="https://www.seelisberg.ch/politik/gemeindeversammlung" TargetMode="External"/><Relationship Id="rId4" Type="http://schemas.openxmlformats.org/officeDocument/2006/relationships/hyperlink" Target="https://www.efv.admin.ch/de/methoden-finanzstatistik" TargetMode="External"/><Relationship Id="rId9" Type="http://schemas.openxmlformats.org/officeDocument/2006/relationships/hyperlink" Target="https://www.fedlex.admin.ch/eli/cc/1999/404/de" TargetMode="External"/><Relationship Id="rId13" Type="http://schemas.openxmlformats.org/officeDocument/2006/relationships/hyperlink" Target="https://www.ur.ch/publikationen/6680" TargetMode="External"/><Relationship Id="rId18" Type="http://schemas.openxmlformats.org/officeDocument/2006/relationships/hyperlink" Target="https://www.ur.ch/_doc/420775" TargetMode="External"/><Relationship Id="rId39" Type="http://schemas.openxmlformats.org/officeDocument/2006/relationships/hyperlink" Target="https://www.seelisberg.ch/files/pdf/Jahresrechnung_Gde-Seelisberg_2023.pdf" TargetMode="External"/><Relationship Id="rId34" Type="http://schemas.openxmlformats.org/officeDocument/2006/relationships/hyperlink" Target="https://www.seelisberg.ch/" TargetMode="External"/><Relationship Id="rId50" Type="http://schemas.openxmlformats.org/officeDocument/2006/relationships/hyperlink" Target="https://www.seelisberg.ch/politik/rechtssammlung" TargetMode="External"/><Relationship Id="rId55" Type="http://schemas.openxmlformats.org/officeDocument/2006/relationships/hyperlink" Target="https://www.seelisberg.ch/files/pdf/Verordnung_u%CC%88ber_das_Verfahren_in_den_Beho%CC%88rden.pdf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statistik.bl.ch/web_portal/18_5" TargetMode="External"/><Relationship Id="rId18" Type="http://schemas.openxmlformats.org/officeDocument/2006/relationships/hyperlink" Target="https://geoview.bl.ch/" TargetMode="External"/><Relationship Id="rId26" Type="http://schemas.openxmlformats.org/officeDocument/2006/relationships/hyperlink" Target="https://www.muenchenstein.ch/publikationen/621658" TargetMode="External"/><Relationship Id="rId39" Type="http://schemas.openxmlformats.org/officeDocument/2006/relationships/hyperlink" Target="https://www.muenchenstein.ch/_docn/3794018/Bereinigtes_Personalreglement_Genehmigungsfassung_per_23._Juni_2022.pdf" TargetMode="External"/><Relationship Id="rId21" Type="http://schemas.openxmlformats.org/officeDocument/2006/relationships/hyperlink" Target="https://www.baselland.ch/politik-und-behorden/direktionen/bau-und-umweltschutzdirektion/medienmitteilungen/ausgezeichnete-agglomeration-birsstadt-erhaelt-den-wakkerpreis" TargetMode="External"/><Relationship Id="rId34" Type="http://schemas.openxmlformats.org/officeDocument/2006/relationships/hyperlink" Target="https://www.muenchenstein.ch/_docn/1591897/2018.03.12_Ratschlag_GzD.pdf" TargetMode="External"/><Relationship Id="rId42" Type="http://schemas.openxmlformats.org/officeDocument/2006/relationships/hyperlink" Target="https://www.muenchenstein.ch/legislaturziele" TargetMode="External"/><Relationship Id="rId47" Type="http://schemas.openxmlformats.org/officeDocument/2006/relationships/table" Target="../tables/table3.xml"/><Relationship Id="rId7" Type="http://schemas.openxmlformats.org/officeDocument/2006/relationships/hyperlink" Target="https://www.fedlex.admin.ch/eli/cc/24/233_245_233/de" TargetMode="External"/><Relationship Id="rId2" Type="http://schemas.openxmlformats.org/officeDocument/2006/relationships/hyperlink" Target="https://www.efv.admin.ch/" TargetMode="External"/><Relationship Id="rId16" Type="http://schemas.openxmlformats.org/officeDocument/2006/relationships/hyperlink" Target="https://www.baselland.ch/politik-und-behorden/direktionen/finanz-und-kirchendirektion/daten-statistik/abteilung-statistik/publikationen-und-statistiken/finanzen-und-steuern/webartikel-vom-18-09-2024-gemeindefinanzen-2023" TargetMode="External"/><Relationship Id="rId29" Type="http://schemas.openxmlformats.org/officeDocument/2006/relationships/hyperlink" Target="https://www.muenchenstein.ch/sitzung/5729137" TargetMode="External"/><Relationship Id="rId1" Type="http://schemas.openxmlformats.org/officeDocument/2006/relationships/hyperlink" Target="https://www.efv.admin.ch/de/finanzstatistik-daten" TargetMode="External"/><Relationship Id="rId6" Type="http://schemas.openxmlformats.org/officeDocument/2006/relationships/hyperlink" Target="https://opendata.swiss/en/dataset/detaillierte-daten-fs-und-gfs-modell-standardauswertungen" TargetMode="External"/><Relationship Id="rId11" Type="http://schemas.openxmlformats.org/officeDocument/2006/relationships/hyperlink" Target="https://ckan.opendata.swiss/dataset/regionalportrats-2021-kennzahlen-aller-gemeinden" TargetMode="External"/><Relationship Id="rId24" Type="http://schemas.openxmlformats.org/officeDocument/2006/relationships/hyperlink" Target="https://bl.clex.ch/app/de/texts_of_law/120" TargetMode="External"/><Relationship Id="rId32" Type="http://schemas.openxmlformats.org/officeDocument/2006/relationships/hyperlink" Target="https://www.muenchenstein.ch/_docn/1199675/Zonenreglement_Siedlung.pdf" TargetMode="External"/><Relationship Id="rId37" Type="http://schemas.openxmlformats.org/officeDocument/2006/relationships/hyperlink" Target="https://www.muenchenstein.ch/_docn/6998503/Ratschlag_Gemeindeversammlung_Montag,_15._Juni_2026.pdf" TargetMode="External"/><Relationship Id="rId40" Type="http://schemas.openxmlformats.org/officeDocument/2006/relationships/hyperlink" Target="https://www.muenchenstein.ch/reglemente/402889" TargetMode="External"/><Relationship Id="rId45" Type="http://schemas.openxmlformats.org/officeDocument/2006/relationships/hyperlink" Target="https://www.muenchenstein.ch/_docn/2359339/43037_Ber05_Mitwirkungsbericht_VerabschiedungGR_Unterschrieben_20190924_korr.pdf" TargetMode="External"/><Relationship Id="rId5" Type="http://schemas.openxmlformats.org/officeDocument/2006/relationships/hyperlink" Target="https://www.efv.admin.ch/de/finanzstatistik-daten" TargetMode="External"/><Relationship Id="rId15" Type="http://schemas.openxmlformats.org/officeDocument/2006/relationships/hyperlink" Target="https://www.baselland.ch/politik-und-behorden/gemeinden/gemeindefinanzen" TargetMode="External"/><Relationship Id="rId23" Type="http://schemas.openxmlformats.org/officeDocument/2006/relationships/hyperlink" Target="https://bl.clex.ch/app/de/texts_of_law/420.11" TargetMode="External"/><Relationship Id="rId28" Type="http://schemas.openxmlformats.org/officeDocument/2006/relationships/hyperlink" Target="https://www.muenchenstein.ch/publikationen/523381" TargetMode="External"/><Relationship Id="rId36" Type="http://schemas.openxmlformats.org/officeDocument/2006/relationships/hyperlink" Target="https://www.muenchenstein.ch/reglemente/7140" TargetMode="External"/><Relationship Id="rId10" Type="http://schemas.openxmlformats.org/officeDocument/2006/relationships/hyperlink" Target="https://www.fedlex.admin.ch/eli/cc/2020/126/de" TargetMode="External"/><Relationship Id="rId19" Type="http://schemas.openxmlformats.org/officeDocument/2006/relationships/hyperlink" Target="https://bl.clex.ch/app/de/texts_of_law/400" TargetMode="External"/><Relationship Id="rId31" Type="http://schemas.openxmlformats.org/officeDocument/2006/relationships/hyperlink" Target="https://www.muenchenstein.ch/_docn/1059619/2015.03.16_Ratschlag_Homepage.pdf" TargetMode="External"/><Relationship Id="rId44" Type="http://schemas.openxmlformats.org/officeDocument/2006/relationships/hyperlink" Target="https://www.muenchenstein.ch/politikinformationen/2666993" TargetMode="External"/><Relationship Id="rId4" Type="http://schemas.openxmlformats.org/officeDocument/2006/relationships/hyperlink" Target="https://www.efv.admin.ch/de/methoden-finanzstatistik" TargetMode="External"/><Relationship Id="rId9" Type="http://schemas.openxmlformats.org/officeDocument/2006/relationships/hyperlink" Target="https://www.fedlex.admin.ch/eli/cc/1999/404/de" TargetMode="External"/><Relationship Id="rId14" Type="http://schemas.openxmlformats.org/officeDocument/2006/relationships/hyperlink" Target="https://www.baselland.ch/politik-und-behorden/gemeinden/gemeindefinanzen/rechnungslegung-einwohnergemeinden/excel-vorlagen" TargetMode="External"/><Relationship Id="rId22" Type="http://schemas.openxmlformats.org/officeDocument/2006/relationships/hyperlink" Target="https://www.baselland.ch/politik-und-behorden/gemeinden" TargetMode="External"/><Relationship Id="rId27" Type="http://schemas.openxmlformats.org/officeDocument/2006/relationships/hyperlink" Target="https://www.muenchenstein.ch/publikationen/556069" TargetMode="External"/><Relationship Id="rId30" Type="http://schemas.openxmlformats.org/officeDocument/2006/relationships/hyperlink" Target="https://www.muenchenstein.ch/_docn/4130681/Bericht_Aufgaben__Finanzplan_2023-2027_publiziert.pdf" TargetMode="External"/><Relationship Id="rId35" Type="http://schemas.openxmlformats.org/officeDocument/2006/relationships/hyperlink" Target="https://www.muenchenstein.ch/_docn/2430218/20180713_Gemeindeordnung_Stand_01.01.2013_publiziert_sw.pdf" TargetMode="External"/><Relationship Id="rId43" Type="http://schemas.openxmlformats.org/officeDocument/2006/relationships/hyperlink" Target="https://www.muenchenstein.ch/_docn/5478214/Protokoll_Gemeindeversammlung_13._Juni_2024_definitiv.pdf" TargetMode="External"/><Relationship Id="rId8" Type="http://schemas.openxmlformats.org/officeDocument/2006/relationships/hyperlink" Target="https://www.fedlex.admin.ch/eli/cc/1979/1573_1573_1573/de" TargetMode="External"/><Relationship Id="rId3" Type="http://schemas.openxmlformats.org/officeDocument/2006/relationships/hyperlink" Target="https://www.efv.admin.ch/de/was-ist-die-finanzstatistik" TargetMode="External"/><Relationship Id="rId12" Type="http://schemas.openxmlformats.org/officeDocument/2006/relationships/hyperlink" Target="https://www.fedlex.admin.ch/eli/cc/1999/404/de" TargetMode="External"/><Relationship Id="rId17" Type="http://schemas.openxmlformats.org/officeDocument/2006/relationships/hyperlink" Target="https://bl.clex.ch/app/de/texts_of_law/185" TargetMode="External"/><Relationship Id="rId25" Type="http://schemas.openxmlformats.org/officeDocument/2006/relationships/hyperlink" Target="https://www.muenchenstein.ch/publikationen/523378" TargetMode="External"/><Relationship Id="rId33" Type="http://schemas.openxmlformats.org/officeDocument/2006/relationships/hyperlink" Target="https://www.muenchenstein.ch/reglemente/10743" TargetMode="External"/><Relationship Id="rId38" Type="http://schemas.openxmlformats.org/officeDocument/2006/relationships/hyperlink" Target="https://www.muenchenstein.ch/organisationuorganigramm" TargetMode="External"/><Relationship Id="rId46" Type="http://schemas.openxmlformats.org/officeDocument/2006/relationships/hyperlink" Target="https://www.muenchenstein.ch/behoerden/2838" TargetMode="External"/><Relationship Id="rId20" Type="http://schemas.openxmlformats.org/officeDocument/2006/relationships/hyperlink" Target="https://bl.clex.ch/app/de/texts_of_law/180" TargetMode="External"/><Relationship Id="rId41" Type="http://schemas.openxmlformats.org/officeDocument/2006/relationships/hyperlink" Target="https://www.muenchenstein.ch/reglemente/7208" TargetMode="External"/></Relationships>
</file>

<file path=xl/worksheets/_rels/sheet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g.ch/politik-verwaltung/gemeinden/gemeindefinanzen/rechnungslegung--rmsg-.html" TargetMode="External"/><Relationship Id="rId18" Type="http://schemas.openxmlformats.org/officeDocument/2006/relationships/hyperlink" Target="https://www.gesetzessammlung.sg.ch/app/de/texts_of_law/731.1" TargetMode="External"/><Relationship Id="rId26" Type="http://schemas.openxmlformats.org/officeDocument/2006/relationships/hyperlink" Target="https://www.stadtwil.ch/storage/46c11db85e782dc122cd9a61cc291529509f659681277125f8b019bce5a31b9c" TargetMode="External"/><Relationship Id="rId39" Type="http://schemas.openxmlformats.org/officeDocument/2006/relationships/hyperlink" Target="https://www.stadtwil.ch/topics/stadt-politik-und-recht/finanzen" TargetMode="External"/><Relationship Id="rId21" Type="http://schemas.openxmlformats.org/officeDocument/2006/relationships/hyperlink" Target="https://www.gesetzessammlung.sg.ch/app/de/texts_of_law/841.1" TargetMode="External"/><Relationship Id="rId34" Type="http://schemas.openxmlformats.org/officeDocument/2006/relationships/hyperlink" Target="https://www.stadtwil.ch/topics/stadt-politik-und-recht/finanzen" TargetMode="External"/><Relationship Id="rId42"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nachtrag-iv-zur-gemeindeordnung" TargetMode="External"/><Relationship Id="rId47" Type="http://schemas.openxmlformats.org/officeDocument/2006/relationships/hyperlink" Target="https://www.sg.ch/content/dam/sgch/bauen/raumentwicklung/agglomerationsprogramme/Wil%20Flyer%205G.pdf" TargetMode="External"/><Relationship Id="rId50" Type="http://schemas.openxmlformats.org/officeDocument/2006/relationships/hyperlink" Target="https://www.stadtwil.ch/storage/55dcd744fbd978ce5601e42dc48a7b53cdfe1082b7fecb9c647e6dadc8abf9c7" TargetMode="External"/><Relationship Id="rId7" Type="http://schemas.openxmlformats.org/officeDocument/2006/relationships/hyperlink" Target="https://www.fedlex.admin.ch/eli/cc/24/233_245_233/de" TargetMode="External"/><Relationship Id="rId2" Type="http://schemas.openxmlformats.org/officeDocument/2006/relationships/hyperlink" Target="https://www.efv.admin.ch/" TargetMode="External"/><Relationship Id="rId16" Type="http://schemas.openxmlformats.org/officeDocument/2006/relationships/hyperlink" Target="https://www.geoportal.ch/" TargetMode="External"/><Relationship Id="rId29" Type="http://schemas.openxmlformats.org/officeDocument/2006/relationships/hyperlink" Target="https://www.stadtwil.ch/topics/stadt-politik-und-recht/finanzen" TargetMode="External"/><Relationship Id="rId11" Type="http://schemas.openxmlformats.org/officeDocument/2006/relationships/hyperlink" Target="https://ckan.opendata.swiss/dataset/regionalportrats-2021-kennzahlen-aller-gemeinden" TargetMode="External"/><Relationship Id="rId24" Type="http://schemas.openxmlformats.org/officeDocument/2006/relationships/hyperlink" Target="https://www.stadtwil.ch/topics/stadt-politik-und-recht/finanzen" TargetMode="External"/><Relationship Id="rId32" Type="http://schemas.openxmlformats.org/officeDocument/2006/relationships/hyperlink" Target="https://www.stadtwil.ch/topics/stadt-politik-und-recht/finanzen" TargetMode="External"/><Relationship Id="rId37" Type="http://schemas.openxmlformats.org/officeDocument/2006/relationships/hyperlink" Target="https://www.stadtwil.ch/storage/9bf65acd52bfa75c91cc42760759e0ffc3a76d501e7d174c010444c290801cc2" TargetMode="External"/><Relationship Id="rId40" Type="http://schemas.openxmlformats.org/officeDocument/2006/relationships/hyperlink" Target="https://www.stadtwil.ch/storage/c7e05a885ee1a6860975358848101c3f21fe558650ccfc5ba12339d34d3232e9" TargetMode="External"/><Relationship Id="rId45" Type="http://schemas.openxmlformats.org/officeDocument/2006/relationships/hyperlink" Target="https://www.stadtwil.ch/topics/stadt-politik-und-recht/rechtssammlung-1" TargetMode="External"/><Relationship Id="rId53" Type="http://schemas.openxmlformats.org/officeDocument/2006/relationships/table" Target="../tables/table4.xml"/><Relationship Id="rId5" Type="http://schemas.openxmlformats.org/officeDocument/2006/relationships/hyperlink" Target="https://www.efv.admin.ch/de/finanzstatistik-daten" TargetMode="External"/><Relationship Id="rId10" Type="http://schemas.openxmlformats.org/officeDocument/2006/relationships/hyperlink" Target="https://www.fedlex.admin.ch/eli/cc/2020/126/de" TargetMode="External"/><Relationship Id="rId19" Type="http://schemas.openxmlformats.org/officeDocument/2006/relationships/hyperlink" Target="https://www.gesetzessammlung.sg.ch/app/de/texts_of_law/151.2" TargetMode="External"/><Relationship Id="rId31" Type="http://schemas.openxmlformats.org/officeDocument/2006/relationships/hyperlink" Target="https://www.stadtwil.ch/storage/875d422378d72386aae96efa76356fbfa05e9a0e1e03f208fbbe599dea21021c" TargetMode="External"/><Relationship Id="rId44" Type="http://schemas.openxmlformats.org/officeDocument/2006/relationships/hyperlink" Target="https://www.stadtwil.ch/storage/1e396670eed23bbd41611d92ceaa476797bc97e16fde09c29197453c3b3bc320" TargetMode="External"/><Relationship Id="rId52" Type="http://schemas.openxmlformats.org/officeDocument/2006/relationships/hyperlink" Target="https://www.stadtwil.ch/storage/5d895f1e33cc1b2c352d7bdeb9d93dd5b2333fbff6a1793cd419f387dd4e1e28" TargetMode="External"/><Relationship Id="rId4" Type="http://schemas.openxmlformats.org/officeDocument/2006/relationships/hyperlink" Target="https://www.efv.admin.ch/de/methoden-finanzstatistik" TargetMode="External"/><Relationship Id="rId9" Type="http://schemas.openxmlformats.org/officeDocument/2006/relationships/hyperlink" Target="https://www.fedlex.admin.ch/eli/cc/1999/404/de" TargetMode="External"/><Relationship Id="rId14" Type="http://schemas.openxmlformats.org/officeDocument/2006/relationships/hyperlink" Target="https://www.gesetzessammlung.sg.ch/app/de/texts_of_law/813.1" TargetMode="External"/><Relationship Id="rId22" Type="http://schemas.openxmlformats.org/officeDocument/2006/relationships/hyperlink" Target="https://www.sg.ch/recht/beschaffungswesen/neues_beschaffungsrecht_2023/" TargetMode="External"/><Relationship Id="rId27" Type="http://schemas.openxmlformats.org/officeDocument/2006/relationships/hyperlink" Target="https://www.stadtwil.ch/topics/stadt-politik-und-recht/finanzen" TargetMode="External"/><Relationship Id="rId30" Type="http://schemas.openxmlformats.org/officeDocument/2006/relationships/hyperlink" Target="https://www.stadtwil.ch/storage/08902ff399818ccc0d53949607b2d0f6f8bf702c334e295d493c2fd842ba4079" TargetMode="External"/><Relationship Id="rId35" Type="http://schemas.openxmlformats.org/officeDocument/2006/relationships/hyperlink" Target="https://www.stadtwil.ch/storage/2ecd9e697734cc2262543c9da23828c2b6ad0129cf1654fcfa47f21ba113bf8a" TargetMode="External"/><Relationship Id="rId43" Type="http://schemas.openxmlformats.org/officeDocument/2006/relationships/hyperlink" Target="https://www.stadtwil.ch/topics/stadt-politik-und-recht/abstimmungen-und-wahlen/vorlagen/kommunale-vorlagen/22-11-2024-nachtrag-iv-zur-gemeindeordnung" TargetMode="External"/><Relationship Id="rId48" Type="http://schemas.openxmlformats.org/officeDocument/2006/relationships/hyperlink" Target="https://www.stadtwil.ch/storage/ee8bae2cd080dda0bc77e69f99046109dc3e161b3498b17df7581cfe441bc612" TargetMode="External"/><Relationship Id="rId8" Type="http://schemas.openxmlformats.org/officeDocument/2006/relationships/hyperlink" Target="https://www.fedlex.admin.ch/eli/cc/1979/1573_1573_1573/de" TargetMode="External"/><Relationship Id="rId51" Type="http://schemas.openxmlformats.org/officeDocument/2006/relationships/hyperlink" Target="https://www.stadtwil.ch/storage/533b0557b4e4988a6a4f9af13c0b789fec39837eef83d1e66cd1d3814dbe0acb" TargetMode="External"/><Relationship Id="rId3" Type="http://schemas.openxmlformats.org/officeDocument/2006/relationships/hyperlink" Target="https://www.efv.admin.ch/de/was-ist-die-finanzstatistik" TargetMode="External"/><Relationship Id="rId12" Type="http://schemas.openxmlformats.org/officeDocument/2006/relationships/hyperlink" Target="https://www.fedlex.admin.ch/eli/cc/1999/404/de" TargetMode="External"/><Relationship Id="rId17" Type="http://schemas.openxmlformats.org/officeDocument/2006/relationships/hyperlink" Target="https://www.ratsinfo.sg.ch/media/documents/published/signed/8b158b37-2fff-4d5d-b018-ef035f08732e.pdf" TargetMode="External"/><Relationship Id="rId25" Type="http://schemas.openxmlformats.org/officeDocument/2006/relationships/hyperlink" Target="https://www.stadtwil.ch/political-business/28da2d58a16b4b85b0504eeaa7e396dc" TargetMode="External"/><Relationship Id="rId33" Type="http://schemas.openxmlformats.org/officeDocument/2006/relationships/hyperlink" Target="https://www.stadtwil.ch/storage/c6097b5ae815fb81f14b4db7630b14d9452e3be1ae3cbddd9f8e28d9d0777c7f" TargetMode="External"/><Relationship Id="rId38" Type="http://schemas.openxmlformats.org/officeDocument/2006/relationships/hyperlink" Target="https://www.stadtwil.ch/storage/86c954451190b5683f4cea602b5746ce096ff6338c9f35fbea68172b58f684d1" TargetMode="External"/><Relationship Id="rId46" Type="http://schemas.openxmlformats.org/officeDocument/2006/relationships/hyperlink" Target="https://www.are.admin.ch/dam/de/sd-web/1LGAXN34JMxU/Pr%C3%BCfbericht%20Wil4G.pdf" TargetMode="External"/><Relationship Id="rId20" Type="http://schemas.openxmlformats.org/officeDocument/2006/relationships/hyperlink" Target="https://www.sg.ch/" TargetMode="External"/><Relationship Id="rId41" Type="http://schemas.openxmlformats.org/officeDocument/2006/relationships/hyperlink" Target="https://www.stadtwil.ch/topics/stadt-politik-und-recht/finanzen" TargetMode="External"/><Relationship Id="rId1" Type="http://schemas.openxmlformats.org/officeDocument/2006/relationships/hyperlink" Target="https://www.efv.admin.ch/de/finanzstatistik-daten" TargetMode="External"/><Relationship Id="rId6" Type="http://schemas.openxmlformats.org/officeDocument/2006/relationships/hyperlink" Target="https://opendata.swiss/en/dataset/detaillierte-daten-fs-und-gfs-modell-standardauswertungen" TargetMode="External"/><Relationship Id="rId15" Type="http://schemas.openxmlformats.org/officeDocument/2006/relationships/hyperlink" Target="https://www.gesetzessammlung.sg.ch/app/de/texts_of_law/151.53" TargetMode="External"/><Relationship Id="rId23" Type="http://schemas.openxmlformats.org/officeDocument/2006/relationships/hyperlink" Target="https://www.gesetzessammlung.sg.ch/app/de/texts_of_law/125.1" TargetMode="External"/><Relationship Id="rId28" Type="http://schemas.openxmlformats.org/officeDocument/2006/relationships/hyperlink" Target="https://www.stadtwil.ch/storage/0f0d7ad95464bf91a72506e63d2aae1d5c18327f9bff4bf34b8400c36999b277" TargetMode="External"/><Relationship Id="rId36" Type="http://schemas.openxmlformats.org/officeDocument/2006/relationships/hyperlink" Target="https://www.stadtwil.ch/topics/stadt-politik-und-recht/finanzen" TargetMode="External"/><Relationship Id="rId49" Type="http://schemas.openxmlformats.org/officeDocument/2006/relationships/hyperlink" Target="https://www.stadtwil.ch/topics/stadt-politik-und-recht/geschaeftsberichte" TargetMode="External"/></Relationships>
</file>

<file path=xl/worksheets/_rels/sheet7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muenchenstein.ch/_rte/abstimmung/129344" TargetMode="External"/><Relationship Id="rId671" Type="http://schemas.openxmlformats.org/officeDocument/2006/relationships/hyperlink" Target="https://www.sg.ch/news/sgch_aussenbeziehungen/2026/09/vorlage-zur-verkehrstraegeruebergreifenden-bewaeltigung-der-mobi.html" TargetMode="External"/><Relationship Id="rId769"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einfuehrungsgesetz-zum-bundesgesetz-ueber-die-foerderung-der-ausbildung-im-bereich-der-pflege" TargetMode="External"/><Relationship Id="rId21" Type="http://schemas.openxmlformats.org/officeDocument/2006/relationships/hyperlink" Target="https://www.muenchenstein.ch/_doc/7035142" TargetMode="External"/><Relationship Id="rId324" Type="http://schemas.openxmlformats.org/officeDocument/2006/relationships/hyperlink" Target="https://www.muenchenstein.ch/_rte/abstimmung/36735" TargetMode="External"/><Relationship Id="rId531" Type="http://schemas.openxmlformats.org/officeDocument/2006/relationships/hyperlink" Target="https://www.stadtwil.ch/storage/f803e67775f3c070290c11030ec10b22728ee55edbbdf5eebd0bf86b0b1385a8" TargetMode="External"/><Relationship Id="rId629"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nachtrag-iv-zur-gemeindeordnung" TargetMode="External"/><Relationship Id="rId170" Type="http://schemas.openxmlformats.org/officeDocument/2006/relationships/hyperlink" Target="https://www.muenchenstein.ch/_rte/abstimmung/158199" TargetMode="External"/><Relationship Id="rId268" Type="http://schemas.openxmlformats.org/officeDocument/2006/relationships/hyperlink" Target="https://www.muenchenstein.ch/_rte/abstimmung/285614" TargetMode="External"/><Relationship Id="rId475" Type="http://schemas.openxmlformats.org/officeDocument/2006/relationships/hyperlink" Target="https://www.sg.ch/steuern-finanzen/steuern/steuerkalkulator/steuerfuss-uebersicht-aller-sg-gemeinden.initialLetter__Wil.html" TargetMode="External"/><Relationship Id="rId682" Type="http://schemas.openxmlformats.org/officeDocument/2006/relationships/hyperlink" Target="https://www.sg.ch/politik-verwaltung/kantonale-vernehmlassungen.html" TargetMode="External"/><Relationship Id="rId32" Type="http://schemas.openxmlformats.org/officeDocument/2006/relationships/hyperlink" Target="https://www.muenchenstein.ch/_doc/1758235" TargetMode="External"/><Relationship Id="rId128" Type="http://schemas.openxmlformats.org/officeDocument/2006/relationships/hyperlink" Target="https://www.muenchenstein.ch/_rte/abstimmung/136667" TargetMode="External"/><Relationship Id="rId335" Type="http://schemas.openxmlformats.org/officeDocument/2006/relationships/hyperlink" Target="https://www.muenchenstein.ch/_rte/abstimmung/50341" TargetMode="External"/><Relationship Id="rId542" Type="http://schemas.openxmlformats.org/officeDocument/2006/relationships/hyperlink" Target="https://www.stadtwil.ch/topics/stadt-politik-und-recht/abstimmungen-und-wahlen/vergangene-abstimmungen/2025-vergangene-abstimmungen-und-wahlen-1/18-05-2025-eidgenoessisches-blankodatum/v-nachtrag-zum-finanzausgleichsgesetz" TargetMode="External"/><Relationship Id="rId181" Type="http://schemas.openxmlformats.org/officeDocument/2006/relationships/hyperlink" Target="https://www.muenchenstein.ch/_rte/abstimmung/161713" TargetMode="External"/><Relationship Id="rId402" Type="http://schemas.openxmlformats.org/officeDocument/2006/relationships/hyperlink" Target="https://www.seelisberg.ch/files/pdf/JR2024_Gde-Seelisberg.pdf" TargetMode="External"/><Relationship Id="rId279" Type="http://schemas.openxmlformats.org/officeDocument/2006/relationships/hyperlink" Target="https://www.muenchenstein.ch/_rte/abstimmung/29594" TargetMode="External"/><Relationship Id="rId486" Type="http://schemas.openxmlformats.org/officeDocument/2006/relationships/hyperlink" Target="https://www.stadtwil.ch/storage/204cfb504af6defbd8e383feff026c2e9b98eb4864ea01a90d5ddd5759da7129" TargetMode="External"/><Relationship Id="rId693" Type="http://schemas.openxmlformats.org/officeDocument/2006/relationships/hyperlink" Target="https://www.stadtwil.ch/auth/login?skip=0&amp;to=%2Ftopics%2Fbauen-und-planen%2Fwil-vivendo%2Fortsplanungsrevision%2Fveranstaltungen-und-mitwirkung%2Fstrategiekonferenzen%2F2-strategiekonferenz" TargetMode="External"/><Relationship Id="rId707" Type="http://schemas.openxmlformats.org/officeDocument/2006/relationships/hyperlink" Target="https://www.stadtwil.ch/auth/login?skip=0&amp;to=%2Ftopics%2Fstadt-politik-und-recht%2Fabstimmungen-und-wahlen%2F2026-kommende-abstimmungen%2F2027-kommende-abstimmungen-und-wahlen%2F28-11-2027-eidgenoessisches-blankodatum" TargetMode="External"/><Relationship Id="rId43" Type="http://schemas.openxmlformats.org/officeDocument/2006/relationships/hyperlink" Target="https://www.muenchenstein.ch/_rte/abstimmung/270905" TargetMode="External"/><Relationship Id="rId139" Type="http://schemas.openxmlformats.org/officeDocument/2006/relationships/hyperlink" Target="https://www.muenchenstein.ch/_rte/abstimmung/143042" TargetMode="External"/><Relationship Id="rId346" Type="http://schemas.openxmlformats.org/officeDocument/2006/relationships/hyperlink" Target="https://www.muenchenstein.ch/_rte/abstimmung/63667" TargetMode="External"/><Relationship Id="rId553" Type="http://schemas.openxmlformats.org/officeDocument/2006/relationships/hyperlink" Target="https://www.sg.ch/politik-verwaltung/gemeinden/grundstueckerwerb-durch-personen-im-ausland.html" TargetMode="External"/><Relationship Id="rId760" Type="http://schemas.openxmlformats.org/officeDocument/2006/relationships/hyperlink" Target="https://www.stadtwil.ch/topics/stadt-politik-und-recht/abstimmungen-und-wahlen/vergangene-abstimmungen/2024-vergangene-abstimmungen-und-wahlen/22-09-2024-eidgenoessische-und-kommunale-abstimmungen-sowie-kommunale-erneuerungswahlen/erneuerungswahl-der-fuenf-mitglieder-des-stadtrats-1-wahlgang-fuer-die-amtsdauer-2025-2028" TargetMode="External"/><Relationship Id="rId192" Type="http://schemas.openxmlformats.org/officeDocument/2006/relationships/hyperlink" Target="https://www.muenchenstein.ch/_rte/abstimmung/176308" TargetMode="External"/><Relationship Id="rId206" Type="http://schemas.openxmlformats.org/officeDocument/2006/relationships/hyperlink" Target="https://www.muenchenstein.ch/_rte/abstimmung/195019" TargetMode="External"/><Relationship Id="rId413" Type="http://schemas.openxmlformats.org/officeDocument/2006/relationships/hyperlink" Target="https://www.seelisberg.ch/files/pdf/Parkplatzreglement-PPR_NEUab2026.pdf" TargetMode="External"/><Relationship Id="rId497" Type="http://schemas.openxmlformats.org/officeDocument/2006/relationships/hyperlink" Target="https://www.stadtwil.ch/storage/4a0a82111e8a55ab573cafb35e0d1ac286837e9573fc981685d2576b96b5a0ed" TargetMode="External"/><Relationship Id="rId620" Type="http://schemas.openxmlformats.org/officeDocument/2006/relationships/hyperlink" Target="https://www.stadtwil.ch/topics/stadt-politik-und-recht/rechtssammlung-1" TargetMode="External"/><Relationship Id="rId718" Type="http://schemas.openxmlformats.org/officeDocument/2006/relationships/hyperlink" Target="https://www.stadtwil.ch/topics/bauen-und-planen/wil-vivendo/mobilitaet/netzergaenzung-ost-neo/veranstaltungen" TargetMode="External"/><Relationship Id="rId357" Type="http://schemas.openxmlformats.org/officeDocument/2006/relationships/hyperlink" Target="https://www.muenchenstein.ch/_rte/abstimmung/71583" TargetMode="External"/><Relationship Id="rId54" Type="http://schemas.openxmlformats.org/officeDocument/2006/relationships/hyperlink" Target="https://www.muenchenstein.ch/_rtr/publikation_91123" TargetMode="External"/><Relationship Id="rId217" Type="http://schemas.openxmlformats.org/officeDocument/2006/relationships/hyperlink" Target="https://www.muenchenstein.ch/_rte/abstimmung/209291" TargetMode="External"/><Relationship Id="rId564" Type="http://schemas.openxmlformats.org/officeDocument/2006/relationships/hyperlink" Target="https://www.stadtwil.ch/auth/login?skip=0&amp;to=%2Ftopics%2Fbauen-und-planen%2Fwil-vivendo%2Fortsplanungsrevision%2Fnews%2Frichtprojekt-kindlimann-areal%2Fzeitplan" TargetMode="External"/><Relationship Id="rId771"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vii-nachtrag-zum-sozialhilfegesetz-foerderung-und-finanzierung-von-spezialpflegeangeboten" TargetMode="External"/><Relationship Id="rId424" Type="http://schemas.openxmlformats.org/officeDocument/2006/relationships/hyperlink" Target="https://www.seelisberg.ch/files/pdf/Verordnung_&#252;ber_die_Wasserversorgung.pdf" TargetMode="External"/><Relationship Id="rId631" Type="http://schemas.openxmlformats.org/officeDocument/2006/relationships/hyperlink" Target="https://www.stadtwil.ch/topics/stadt-politik-und-recht/abstimmungen-und-wahlen/vorlagen/eidgenoessische-vorlagen/02-09-2024-anderung-vom-17-maerz-2023-des-bundesgesetzes-ueber-die-berufliche-alters-hinterlassenen-und-invalidenvorsorge-bvg-reform-der-beruflichen-vorsorge" TargetMode="External"/><Relationship Id="rId729" Type="http://schemas.openxmlformats.org/officeDocument/2006/relationships/hyperlink" Target="https://www.stadtwil.ch/topics/bauen-und-planen/wil-vivendo/ortsplanungsrevision/veranstaltungen-und-mitwirkung/strategiekonferenzen/2-strategiekonferenz" TargetMode="External"/><Relationship Id="rId270" Type="http://schemas.openxmlformats.org/officeDocument/2006/relationships/hyperlink" Target="https://www.muenchenstein.ch/_rte/abstimmung/292657" TargetMode="External"/><Relationship Id="rId65" Type="http://schemas.openxmlformats.org/officeDocument/2006/relationships/hyperlink" Target="http://www.gemeinden-web.ch/gemeinden/muenchensteinneu/dl.php/de/0d1e8-b5p2nm/GV_protokolle_1985_comp.pdf" TargetMode="External"/><Relationship Id="rId130" Type="http://schemas.openxmlformats.org/officeDocument/2006/relationships/hyperlink" Target="https://www.muenchenstein.ch/_rte/abstimmung/136669" TargetMode="External"/><Relationship Id="rId368" Type="http://schemas.openxmlformats.org/officeDocument/2006/relationships/hyperlink" Target="https://www.muenchenstein.ch/_rte/abstimmung/89370" TargetMode="External"/><Relationship Id="rId575" Type="http://schemas.openxmlformats.org/officeDocument/2006/relationships/hyperlink" Target="https://www.admin.ch/opc/de/classified-compilation/19840201/index.html" TargetMode="External"/><Relationship Id="rId782" Type="http://schemas.openxmlformats.org/officeDocument/2006/relationships/hyperlink" Target="https://www.stadtwil.ch/topics/stadt-politik-und-recht/abstimmungen-und-wahlen/vergangene-abstimmungen/2026-vergangene-abstimmungen-und-wahlen/14-06-2026-abstimmungstermin" TargetMode="External"/><Relationship Id="rId228" Type="http://schemas.openxmlformats.org/officeDocument/2006/relationships/hyperlink" Target="https://www.muenchenstein.ch/_rte/abstimmung/225956" TargetMode="External"/><Relationship Id="rId435" Type="http://schemas.openxmlformats.org/officeDocument/2006/relationships/hyperlink" Target="https://www.bk.admin.ch/de/volksabstimmung/?date=2025-09-28" TargetMode="External"/><Relationship Id="rId642" Type="http://schemas.openxmlformats.org/officeDocument/2006/relationships/hyperlink" Target="https://www.stadtwil.ch/storage/5f9c4578f72cb2fcdd0c9b8549a359fde555af1b3bff71552a51fd1ab0a34ce1" TargetMode="External"/><Relationship Id="rId281" Type="http://schemas.openxmlformats.org/officeDocument/2006/relationships/hyperlink" Target="https://www.muenchenstein.ch/_rte/abstimmung/299281" TargetMode="External"/><Relationship Id="rId502" Type="http://schemas.openxmlformats.org/officeDocument/2006/relationships/hyperlink" Target="https://www.stadtwil.ch/storage/5cb00d7f9aeff9ba44244c064ce31fd19d469fc3a66f632832ae5bfb29385c2c" TargetMode="External"/><Relationship Id="rId76" Type="http://schemas.openxmlformats.org/officeDocument/2006/relationships/hyperlink" Target="http://www.gemeinden-web.ch/gemeinden/muenchensteinneu/dl.php/de/0d1e8-qy63zu/GV_protokolle_1996_comp.pdf" TargetMode="External"/><Relationship Id="rId141" Type="http://schemas.openxmlformats.org/officeDocument/2006/relationships/hyperlink" Target="https://www.muenchenstein.ch/_rte/abstimmung/143044" TargetMode="External"/><Relationship Id="rId379" Type="http://schemas.openxmlformats.org/officeDocument/2006/relationships/hyperlink" Target="https://www.muenchenstein.ch/_rte/abstimmung/97022" TargetMode="External"/><Relationship Id="rId586" Type="http://schemas.openxmlformats.org/officeDocument/2006/relationships/hyperlink" Target="https://www.stadtwil.ch/topics/stadt-politik-und-recht/abstimmungen-und-wahlen/vergangene-abstimmungen/2026-vergangene-abstimmungen-und-wahlen/08-03-2026-eidgenoessisches-blankodatum/kantonale-abstimmungen/kantonsratsbeschluss-ueber-den-verkauf-der-grundstuecke-wilwest-und-die-kompensation-von-fruchtfolgeflaechen" TargetMode="External"/><Relationship Id="rId793" Type="http://schemas.openxmlformats.org/officeDocument/2006/relationships/hyperlink" Target="https://www.stadtwil.ch/topics/stadt-politik-und-recht/abstimmungen-und-wahlen/vorlagen/eidgenoessische-vorlagen/24-11-2024-anderung-vom-22-dezember-2023-des-bundesgesetzes-ueber-die-krankenversicherung-kvg" TargetMode="External"/><Relationship Id="rId807" Type="http://schemas.openxmlformats.org/officeDocument/2006/relationships/hyperlink" Target="https://www.stadtwil.ch/topics/stadt-politik-und-recht/abstimmungen-und-wahlen/vorlagen/kantonale-vorlagen/gesetz-ueber-beitraege-fuer-familien-und-schulergaenzende-kinderbetreuung" TargetMode="External"/><Relationship Id="rId7" Type="http://schemas.openxmlformats.org/officeDocument/2006/relationships/hyperlink" Target="https://www.efv.admin.ch/de/methoden-finanzstatistik" TargetMode="External"/><Relationship Id="rId239" Type="http://schemas.openxmlformats.org/officeDocument/2006/relationships/hyperlink" Target="https://www.muenchenstein.ch/_rte/abstimmung/251045" TargetMode="External"/><Relationship Id="rId446" Type="http://schemas.openxmlformats.org/officeDocument/2006/relationships/hyperlink" Target="https://www.seelisberg.ch/files/pdf/Beschlussprotokoll-GV_29.11.2024.pdf" TargetMode="External"/><Relationship Id="rId653" Type="http://schemas.openxmlformats.org/officeDocument/2006/relationships/hyperlink" Target="http://wab.sg.ch" TargetMode="External"/><Relationship Id="rId292" Type="http://schemas.openxmlformats.org/officeDocument/2006/relationships/hyperlink" Target="https://www.muenchenstein.ch/_rte/abstimmung/312742" TargetMode="External"/><Relationship Id="rId306" Type="http://schemas.openxmlformats.org/officeDocument/2006/relationships/hyperlink" Target="https://www.muenchenstein.ch/_rte/abstimmung/322384" TargetMode="External"/><Relationship Id="rId87" Type="http://schemas.openxmlformats.org/officeDocument/2006/relationships/hyperlink" Target="https://www.muenchenstein.ch/_rte/abstimmung/105466" TargetMode="External"/><Relationship Id="rId513" Type="http://schemas.openxmlformats.org/officeDocument/2006/relationships/hyperlink" Target="https://www.stadtwil.ch/storage/94e86a376773e81cb93ed169653e0496eb46d77418be4b8a72d41ff7e6e22884" TargetMode="External"/><Relationship Id="rId597" Type="http://schemas.openxmlformats.org/officeDocument/2006/relationships/hyperlink" Target="https://www.sg.ch/content/dam/sgch/politik-verwaltung/gemeinden/gemeindenfinanzen/rechnungslegung-rmsg/hilfsmittel-und-vorlagen/Vorlage%20Reglement%20Werterhalt%20Finanzverm%C3%B6gen.docx" TargetMode="External"/><Relationship Id="rId720" Type="http://schemas.openxmlformats.org/officeDocument/2006/relationships/hyperlink" Target="https://www.stadtwil.ch/topics/bauen-und-planen/wil-vivendo/ortsplanungsrevision/news/bisherige-uberlegungen-wurden-breit-gespiegelt/e-mitwirkung-mitmachen-ist-angesagt" TargetMode="External"/><Relationship Id="rId818" Type="http://schemas.openxmlformats.org/officeDocument/2006/relationships/hyperlink" Target="https://www.stadtwil.ch/topics/stadt-politik-und-recht/kommissionen-und-delegationen/regionale-und-wirtschaftliche-organisationen/thurvita-ag-bestaetigung-durch-parlament" TargetMode="External"/><Relationship Id="rId152" Type="http://schemas.openxmlformats.org/officeDocument/2006/relationships/hyperlink" Target="https://www.muenchenstein.ch/_rte/abstimmung/151682" TargetMode="External"/><Relationship Id="rId457" Type="http://schemas.openxmlformats.org/officeDocument/2006/relationships/hyperlink" Target="https://www.ur.ch/abstimmungen/termine/39667" TargetMode="External"/><Relationship Id="rId664" Type="http://schemas.openxmlformats.org/officeDocument/2006/relationships/hyperlink" Target="https://www.sg.ch/news/sgch_aussenbeziehungen/2026/09/aenderung-des-mehrwertsteuergesetzes-und-des-bundesgesetzes-uebe.html" TargetMode="External"/><Relationship Id="rId14" Type="http://schemas.openxmlformats.org/officeDocument/2006/relationships/hyperlink" Target="https://www.muenchenstein.ch/_doc/5409079" TargetMode="External"/><Relationship Id="rId317" Type="http://schemas.openxmlformats.org/officeDocument/2006/relationships/hyperlink" Target="https://www.muenchenstein.ch/_rte/abstimmung/328984" TargetMode="External"/><Relationship Id="rId524" Type="http://schemas.openxmlformats.org/officeDocument/2006/relationships/hyperlink" Target="https://www.stadtwil.ch/storage/d628d6f81fdc76bc3955ba748092dbc74e3eb55fba1186bc0a551d48bb67d902" TargetMode="External"/><Relationship Id="rId731" Type="http://schemas.openxmlformats.org/officeDocument/2006/relationships/hyperlink" Target="https://www.stadtwil.ch/topics/bauen-und-planen/wil-vivendo/ortsplanungsrevision/veranstaltungen-und-mitwirkung/strategiekonferenzen/4-ortsplanungskonferenze" TargetMode="External"/><Relationship Id="rId98" Type="http://schemas.openxmlformats.org/officeDocument/2006/relationships/hyperlink" Target="https://www.muenchenstein.ch/_rte/abstimmung/112314" TargetMode="External"/><Relationship Id="rId163" Type="http://schemas.openxmlformats.org/officeDocument/2006/relationships/hyperlink" Target="https://www.muenchenstein.ch/_rte/abstimmung/154767" TargetMode="External"/><Relationship Id="rId370" Type="http://schemas.openxmlformats.org/officeDocument/2006/relationships/hyperlink" Target="https://www.muenchenstein.ch/_rte/abstimmung/95007" TargetMode="External"/><Relationship Id="rId230" Type="http://schemas.openxmlformats.org/officeDocument/2006/relationships/hyperlink" Target="https://www.muenchenstein.ch/_rte/abstimmung/234040" TargetMode="External"/><Relationship Id="rId468" Type="http://schemas.openxmlformats.org/officeDocument/2006/relationships/hyperlink" Target="https://www.sg.ch/content/dam/sgch/politik-verwaltung/gemeinden/gemeindenfinanzen/rechnungslegung-rmsg/berichterstattung/Beispiel%20Finanzbericht%20politische%20Gemeinde.docx" TargetMode="External"/><Relationship Id="rId675" Type="http://schemas.openxmlformats.org/officeDocument/2006/relationships/hyperlink" Target="https://www.sg.ch/politik-verwaltung/abstimmungen-wahlen/e-collecting.html" TargetMode="External"/><Relationship Id="rId25" Type="http://schemas.openxmlformats.org/officeDocument/2006/relationships/hyperlink" Target="https://www.muenchenstein.ch/finanzensteuern" TargetMode="External"/><Relationship Id="rId328" Type="http://schemas.openxmlformats.org/officeDocument/2006/relationships/hyperlink" Target="https://www.muenchenstein.ch/_rte/abstimmung/42064" TargetMode="External"/><Relationship Id="rId535" Type="http://schemas.openxmlformats.org/officeDocument/2006/relationships/hyperlink" Target="https://www.stadtwil.ch/_docn/5199082/Details_zur_Jahresrechnung_2023_nach_Genehmigung_Parlament.pdf" TargetMode="External"/><Relationship Id="rId742" Type="http://schemas.openxmlformats.org/officeDocument/2006/relationships/hyperlink" Target="https://www.stadtwil.ch/topics/stadt-politik-und-recht/abstimmungen-und-wahlen/2026-kommende-abstimmungen/2026-kommende-abstimmungen-und-wahlen/29-11-2026-eidgenoessisches-blankodatum" TargetMode="External"/><Relationship Id="rId174" Type="http://schemas.openxmlformats.org/officeDocument/2006/relationships/hyperlink" Target="https://www.muenchenstein.ch/_rte/abstimmung/160330" TargetMode="External"/><Relationship Id="rId381" Type="http://schemas.openxmlformats.org/officeDocument/2006/relationships/hyperlink" Target="https://www.muenchenstein.ch/_rte/abstimmung/97024" TargetMode="External"/><Relationship Id="rId602" Type="http://schemas.openxmlformats.org/officeDocument/2006/relationships/hyperlink" Target="https://www.sg.ch/news/sgch_allgemein/2026/10/verordnung-familien--und-schulergaenzende-kinderbetreuung.html" TargetMode="External"/><Relationship Id="rId241" Type="http://schemas.openxmlformats.org/officeDocument/2006/relationships/hyperlink" Target="https://www.muenchenstein.ch/_rte/abstimmung/251054" TargetMode="External"/><Relationship Id="rId479" Type="http://schemas.openxmlformats.org/officeDocument/2006/relationships/hyperlink" Target="https://www.stadtwil.ch/political-business/28da2d58a16b4b85b0504eeaa7e396dc" TargetMode="External"/><Relationship Id="rId686" Type="http://schemas.openxmlformats.org/officeDocument/2006/relationships/hyperlink" Target="https://www.stadtwil.ch/auth/login?skip=0&amp;to=%2Ftopics%2Fbauen-und-planen%2Fmitwirkungen" TargetMode="External"/><Relationship Id="rId36" Type="http://schemas.openxmlformats.org/officeDocument/2006/relationships/hyperlink" Target="https://www.muenchenstein.ch/_rte/abstimmung/132800" TargetMode="External"/><Relationship Id="rId339" Type="http://schemas.openxmlformats.org/officeDocument/2006/relationships/hyperlink" Target="https://www.muenchenstein.ch/_rte/abstimmung/50345" TargetMode="External"/><Relationship Id="rId546" Type="http://schemas.openxmlformats.org/officeDocument/2006/relationships/hyperlink" Target="http://www.kindlimann-areal.ch/" TargetMode="External"/><Relationship Id="rId753" Type="http://schemas.openxmlformats.org/officeDocument/2006/relationships/hyperlink" Target="https://www.stadtwil.ch/topics/stadt-politik-und-recht/abstimmungen-und-wahlen/vergangene-abstimmungen/2024-vergangene-abstimmungen-und-wahlen/03-03-2024-eidgenoessische-abstimmungen-kantonale-wahlen/volksinitiative-vom-28-mai-2021-fuer-ein-besseres-leben-im-alter" TargetMode="External"/><Relationship Id="rId101" Type="http://schemas.openxmlformats.org/officeDocument/2006/relationships/hyperlink" Target="https://www.muenchenstein.ch/_rte/abstimmung/115858" TargetMode="External"/><Relationship Id="rId185" Type="http://schemas.openxmlformats.org/officeDocument/2006/relationships/hyperlink" Target="https://www.muenchenstein.ch/_rte/abstimmung/169715" TargetMode="External"/><Relationship Id="rId406" Type="http://schemas.openxmlformats.org/officeDocument/2006/relationships/hyperlink" Target="https://www.seelisberg.ch/files/pdf/Original_DruckWebseite_RG2021.pdf" TargetMode="External"/><Relationship Id="rId392" Type="http://schemas.openxmlformats.org/officeDocument/2006/relationships/hyperlink" Target="https://www.muenchenstein.ch/sitzung/5729125" TargetMode="External"/><Relationship Id="rId613" Type="http://schemas.openxmlformats.org/officeDocument/2006/relationships/hyperlink" Target="https://www.stadtwil.ch/topics/persoenliches/todesfall/friedhoefe/friedhof-und-bestattungsreglemente" TargetMode="External"/><Relationship Id="rId697" Type="http://schemas.openxmlformats.org/officeDocument/2006/relationships/hyperlink" Target="https://www.stadtwil.ch/auth/login?skip=0&amp;to=%2Ftopics%2Fbauen-und-planen%2Fwil-vivendo%2Fortsplanungsrevision%2Fveranstaltungen-und-mitwirkung%2Fveranstaltungen" TargetMode="External"/><Relationship Id="rId820" Type="http://schemas.openxmlformats.org/officeDocument/2006/relationships/hyperlink" Target="https://www.stadtwil.ch/topics/stadt-politik-und-recht/stadtparlament" TargetMode="External"/><Relationship Id="rId252" Type="http://schemas.openxmlformats.org/officeDocument/2006/relationships/hyperlink" Target="https://www.muenchenstein.ch/_rte/abstimmung/265030" TargetMode="External"/><Relationship Id="rId47" Type="http://schemas.openxmlformats.org/officeDocument/2006/relationships/hyperlink" Target="https://www.muenchenstein.ch/_rte/abstimmung/289927" TargetMode="External"/><Relationship Id="rId112" Type="http://schemas.openxmlformats.org/officeDocument/2006/relationships/hyperlink" Target="https://www.muenchenstein.ch/_rte/abstimmung/122219" TargetMode="External"/><Relationship Id="rId557" Type="http://schemas.openxmlformats.org/officeDocument/2006/relationships/hyperlink" Target="https://www.sg.ch/politik-verwaltung/gemeinden/grundstueckerwerb-durch-personen-im-ausland/juristische-personen-und-vermoegensfaehige-gesellschaften.html" TargetMode="External"/><Relationship Id="rId764"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anderung-vom-22-dezember-2023-des-bundesgesetzes-ueber-die-krankenversicherung-kvg-einheitliche-finanzierung-der-leistungen" TargetMode="External"/><Relationship Id="rId196" Type="http://schemas.openxmlformats.org/officeDocument/2006/relationships/hyperlink" Target="https://www.muenchenstein.ch/_rte/abstimmung/176320" TargetMode="External"/><Relationship Id="rId417" Type="http://schemas.openxmlformats.org/officeDocument/2006/relationships/hyperlink" Target="https://www.seelisberg.ch/files/pdf/Verordnung-&#252;ber-die-Hundehaltung-und-die-Hundetaxe-HHV.pdf" TargetMode="External"/><Relationship Id="rId624" Type="http://schemas.openxmlformats.org/officeDocument/2006/relationships/hyperlink" Target="https://www.sg.ch/news/sgch_aussenbeziehungen/2026/09/aenderung-der-verordnungen-ueber-die-verrechnungssteuer--ueber-d.html" TargetMode="External"/><Relationship Id="rId263" Type="http://schemas.openxmlformats.org/officeDocument/2006/relationships/hyperlink" Target="https://www.muenchenstein.ch/_rte/abstimmung/27789" TargetMode="External"/><Relationship Id="rId470" Type="http://schemas.openxmlformats.org/officeDocument/2006/relationships/hyperlink" Target="https://www.sg.ch/content/dam/sgch/politik-verwaltung/gemeinden/gemeindenfinanzen/rechnungslegung-rmsg/berichterstattung/Muster%20Anhang%20der%20Jahresrechnung%20kleine%20Spezialgemeinden%20(Version%201.3).docx" TargetMode="External"/><Relationship Id="rId58" Type="http://schemas.openxmlformats.org/officeDocument/2006/relationships/hyperlink" Target="https://www.muenchenstein.ch/_rte/abstimmung/225950" TargetMode="External"/><Relationship Id="rId123" Type="http://schemas.openxmlformats.org/officeDocument/2006/relationships/hyperlink" Target="https://www.muenchenstein.ch/_rte/abstimmung/132797" TargetMode="External"/><Relationship Id="rId330" Type="http://schemas.openxmlformats.org/officeDocument/2006/relationships/hyperlink" Target="https://www.muenchenstein.ch/_rte/abstimmung/43114" TargetMode="External"/><Relationship Id="rId568" Type="http://schemas.openxmlformats.org/officeDocument/2006/relationships/hyperlink" Target="https://www.stadtwil.ch/topics/bauen-und-planen/wil-vivendo/ortsplanungsrevision/news/richtprojekt-kindlimann-areal/editorial" TargetMode="External"/><Relationship Id="rId775" Type="http://schemas.openxmlformats.org/officeDocument/2006/relationships/hyperlink" Target="https://www.stadtwil.ch/topics/stadt-politik-und-recht/abstimmungen-und-wahlen/vergangene-abstimmungen/2025-vergangene-abstimmungen-und-wahlen-1/28-09-2025-eidgenoessische-abstimmung/bundesgesetz-vom-20-dezember-2024-ueber-den-elektronischen-identitaetsnachweis-und-andere-elektronische-nachweise-e-id-gesetz-bgeid" TargetMode="External"/><Relationship Id="rId428" Type="http://schemas.openxmlformats.org/officeDocument/2006/relationships/hyperlink" Target="https://www.ur.ch/staatrecht/1486" TargetMode="External"/><Relationship Id="rId635" Type="http://schemas.openxmlformats.org/officeDocument/2006/relationships/hyperlink" Target="https://www.stadtwil.ch/storage/0b5116215dd91160edb9d31e91f4c82e0ca99fc3b5a0b928237570842495f61b" TargetMode="External"/><Relationship Id="rId274" Type="http://schemas.openxmlformats.org/officeDocument/2006/relationships/hyperlink" Target="https://www.muenchenstein.ch/_rte/abstimmung/294850" TargetMode="External"/><Relationship Id="rId481" Type="http://schemas.openxmlformats.org/officeDocument/2006/relationships/hyperlink" Target="https://www.stadtwil.ch/storage/0279b67c0c75a1a9b93aee7a4fec6c852443ea304ec204ad040905643a7075ac" TargetMode="External"/><Relationship Id="rId702" Type="http://schemas.openxmlformats.org/officeDocument/2006/relationships/hyperlink" Target="https://www.stadtwil.ch/auth/login?skip=0&amp;to=%2Ftopics%2Fstadt-politik-und-recht%2Fabstimmungen-und-wahlen%2F2026-kommende-abstimmungen%2F2026-kommende-abstimmungen-und-wahlen%2F27-09-2026-eidgenoessisches-blankodatum" TargetMode="External"/><Relationship Id="rId69" Type="http://schemas.openxmlformats.org/officeDocument/2006/relationships/hyperlink" Target="http://www.gemeinden-web.ch/gemeinden/muenchensteinneu/dl.php/de/0d1e8-gd1589/GV_protokolle_1989_comp.pdf" TargetMode="External"/><Relationship Id="rId134" Type="http://schemas.openxmlformats.org/officeDocument/2006/relationships/hyperlink" Target="https://www.muenchenstein.ch/_rte/abstimmung/139487" TargetMode="External"/><Relationship Id="rId579" Type="http://schemas.openxmlformats.org/officeDocument/2006/relationships/hyperlink" Target="https://www.stadtwil.ch/auth/login?skip=0&amp;to=%2Ftopics%2Fbauen-und-planen%2Fwil-vivendo%2Fortsplanungsrevision%2Fnews%2Fortsplanungsrevision-newsletter-nr-19-langfristige-entwicklung-im-zusammenspiel-vieler-prozesse%2Fmitwirkung-arealentwicklungen-kindlimann-areal-und-allmend" TargetMode="External"/><Relationship Id="rId786" Type="http://schemas.openxmlformats.org/officeDocument/2006/relationships/hyperlink" Target="https://www.stadtwil.ch/topics/stadt-politik-und-recht/abstimmungen-und-wahlen/vorlagen/eidgenoessische-vorlagen/03-03-2024-volksinitiative-vom-28-mai-2021-fuer-ein-besseres-leben-im-alter" TargetMode="External"/><Relationship Id="rId341" Type="http://schemas.openxmlformats.org/officeDocument/2006/relationships/hyperlink" Target="https://www.muenchenstein.ch/_rte/abstimmung/52386" TargetMode="External"/><Relationship Id="rId439" Type="http://schemas.openxmlformats.org/officeDocument/2006/relationships/hyperlink" Target="https://www.seelisberg.ch/files/bilder/Protokoll-Beschl&#252;sse_24052024.pdf" TargetMode="External"/><Relationship Id="rId646" Type="http://schemas.openxmlformats.org/officeDocument/2006/relationships/hyperlink" Target="https://www.stadtwil.ch/storage/737121b648fd5d744522b0ee38f7d4467ce550219554db3d6197f1ae0feeb623" TargetMode="External"/><Relationship Id="rId201" Type="http://schemas.openxmlformats.org/officeDocument/2006/relationships/hyperlink" Target="https://www.muenchenstein.ch/_rte/abstimmung/188482" TargetMode="External"/><Relationship Id="rId285" Type="http://schemas.openxmlformats.org/officeDocument/2006/relationships/hyperlink" Target="https://www.muenchenstein.ch/_rte/abstimmung/305794" TargetMode="External"/><Relationship Id="rId506" Type="http://schemas.openxmlformats.org/officeDocument/2006/relationships/hyperlink" Target="https://www.stadtwil.ch/storage/759d2f265e269ce8f5234f782a6828f5b4ff7aebe66417956d2f3eb3605f1f64" TargetMode="External"/><Relationship Id="rId492" Type="http://schemas.openxmlformats.org/officeDocument/2006/relationships/hyperlink" Target="https://www.stadtwil.ch/storage/39e2da726959f1aebbd8de80d3c4e5cef24ca537c69c7bc0ddad4756830dd400" TargetMode="External"/><Relationship Id="rId713" Type="http://schemas.openxmlformats.org/officeDocument/2006/relationships/hyperlink" Target="https://www.stadtwil.ch/storage/bb298f2c3ce9bfb1480c586dfa9c66a9b99f4a775a9d65ea869a8adddb3b9693" TargetMode="External"/><Relationship Id="rId797" Type="http://schemas.openxmlformats.org/officeDocument/2006/relationships/hyperlink" Target="https://www.stadtwil.ch/topics/stadt-politik-und-recht/abstimmungen-und-wahlen/vorlagen/eidgenoessische-vorlagen/anderung-vom-26-september-2025-des-bundesgesetzes-ueber-den-zivilen-ersatzdienst-zivildienstgesetz-zdg" TargetMode="External"/><Relationship Id="rId145" Type="http://schemas.openxmlformats.org/officeDocument/2006/relationships/hyperlink" Target="https://www.muenchenstein.ch/_rte/abstimmung/145285" TargetMode="External"/><Relationship Id="rId352" Type="http://schemas.openxmlformats.org/officeDocument/2006/relationships/hyperlink" Target="https://www.muenchenstein.ch/_rte/abstimmung/64997" TargetMode="External"/><Relationship Id="rId212" Type="http://schemas.openxmlformats.org/officeDocument/2006/relationships/hyperlink" Target="https://www.muenchenstein.ch/_rte/abstimmung/202928" TargetMode="External"/><Relationship Id="rId657" Type="http://schemas.openxmlformats.org/officeDocument/2006/relationships/hyperlink" Target="https://www.sg.ch/news/sgch_allgemein/2022/04/uebersicht-vernehmlassungen.html" TargetMode="External"/><Relationship Id="rId296" Type="http://schemas.openxmlformats.org/officeDocument/2006/relationships/hyperlink" Target="https://www.muenchenstein.ch/_rte/abstimmung/31322" TargetMode="External"/><Relationship Id="rId517" Type="http://schemas.openxmlformats.org/officeDocument/2006/relationships/hyperlink" Target="https://www.stadtwil.ch/storage/aa4410dab8a7d70c48ab1e5dbdf30735f3f604c1175100db3f2ae05ccbe37316" TargetMode="External"/><Relationship Id="rId724" Type="http://schemas.openxmlformats.org/officeDocument/2006/relationships/hyperlink" Target="https://www.stadtwil.ch/topics/bauen-und-planen/wil-vivendo/ortsplanungsrevision/news/start-offentliche-mitwirkung" TargetMode="External"/><Relationship Id="rId60" Type="http://schemas.openxmlformats.org/officeDocument/2006/relationships/hyperlink" Target="http://www.gemeinden-web.ch/gemeinden/muenchensteinneu/dl.php/de/0d1e8-225dl6/GV_protokolle_1980_comp.pdf" TargetMode="External"/><Relationship Id="rId156" Type="http://schemas.openxmlformats.org/officeDocument/2006/relationships/hyperlink" Target="https://www.muenchenstein.ch/_rte/abstimmung/151686" TargetMode="External"/><Relationship Id="rId363" Type="http://schemas.openxmlformats.org/officeDocument/2006/relationships/hyperlink" Target="https://www.muenchenstein.ch/_rte/abstimmung/79354" TargetMode="External"/><Relationship Id="rId570" Type="http://schemas.openxmlformats.org/officeDocument/2006/relationships/hyperlink" Target="https://www.stadtwil.ch/topics/bauen-und-planen/wil-vivendo/ortsplanungsrevision/news/richtprojekt-kindlimann-areal/kindlimann-areal-naechste-schritte-in-der-ortsplanungsrevision" TargetMode="External"/><Relationship Id="rId223" Type="http://schemas.openxmlformats.org/officeDocument/2006/relationships/hyperlink" Target="https://www.muenchenstein.ch/_rte/abstimmung/221600" TargetMode="External"/><Relationship Id="rId430" Type="http://schemas.openxmlformats.org/officeDocument/2006/relationships/hyperlink" Target="https://www.ur.ch/uebersichtverwaltung" TargetMode="External"/><Relationship Id="rId668" Type="http://schemas.openxmlformats.org/officeDocument/2006/relationships/hyperlink" Target="https://www.sg.ch/news/sgch_aussenbeziehungen/2026/09/ratifikation-und-umsetzung-des-internationalen-uebereinkommens-i.html" TargetMode="External"/><Relationship Id="rId18" Type="http://schemas.openxmlformats.org/officeDocument/2006/relationships/hyperlink" Target="https://www.muenchenstein.ch/_doc/6432413" TargetMode="External"/><Relationship Id="rId528" Type="http://schemas.openxmlformats.org/officeDocument/2006/relationships/hyperlink" Target="https://www.stadtwil.ch/storage/e0f88b7e95fa8922956f75f20b7d25a8df06e52d5c19f687aa8b236830592835" TargetMode="External"/><Relationship Id="rId735" Type="http://schemas.openxmlformats.org/officeDocument/2006/relationships/hyperlink" Target="https://www.stadtwil.ch/topics/bildung/elternmitwirkung" TargetMode="External"/><Relationship Id="rId167" Type="http://schemas.openxmlformats.org/officeDocument/2006/relationships/hyperlink" Target="https://www.muenchenstein.ch/_rte/abstimmung/156443" TargetMode="External"/><Relationship Id="rId374" Type="http://schemas.openxmlformats.org/officeDocument/2006/relationships/hyperlink" Target="https://www.muenchenstein.ch/_rte/abstimmung/95011" TargetMode="External"/><Relationship Id="rId581" Type="http://schemas.openxmlformats.org/officeDocument/2006/relationships/hyperlink" Target="https://www.stadtwil.ch/topics/bauen-und-planen/wil-vivendo/ortsplanungsrevision/news/gute-planung-ist-teamarbeit/e-mitwirkung-zu-arealentwicklungen" TargetMode="External"/><Relationship Id="rId71" Type="http://schemas.openxmlformats.org/officeDocument/2006/relationships/hyperlink" Target="http://www.gemeinden-web.ch/gemeinden/muenchensteinneu/dl.php/de/0d1e8-j9jdyb/GV_protokolle_1991_comp.pdf" TargetMode="External"/><Relationship Id="rId234" Type="http://schemas.openxmlformats.org/officeDocument/2006/relationships/hyperlink" Target="https://www.muenchenstein.ch/_rte/abstimmung/241232" TargetMode="External"/><Relationship Id="rId679" Type="http://schemas.openxmlformats.org/officeDocument/2006/relationships/hyperlink" Target="https://www.sg.ch/politik-verwaltung/eidgenoessische-vernehmlassungen.html" TargetMode="External"/><Relationship Id="rId802" Type="http://schemas.openxmlformats.org/officeDocument/2006/relationships/hyperlink" Target="https://www.stadtwil.ch/topics/stadt-politik-und-recht/abstimmungen-und-wahlen/vorlagen/kantonale-vorlagen/24-11-2024-einfuehrungsgesetz-zum-bundesgesetz-ueber-die-foerderung-der-ausbildung-im-bereich-der-pflege" TargetMode="External"/><Relationship Id="rId2" Type="http://schemas.openxmlformats.org/officeDocument/2006/relationships/hyperlink" Target="https://www.data.finance.admin.ch/static/assets/datasets/fs_dashboard/web_arten_funk_dfie.xlsx" TargetMode="External"/><Relationship Id="rId29" Type="http://schemas.openxmlformats.org/officeDocument/2006/relationships/hyperlink" Target="https://www.muenchenstein.ch/areale" TargetMode="External"/><Relationship Id="rId441" Type="http://schemas.openxmlformats.org/officeDocument/2006/relationships/hyperlink" Target="https://www.seelisberg.ch/files/pdf/26112021_Protokoll-Beschl&#252;sse.pdf" TargetMode="External"/><Relationship Id="rId539" Type="http://schemas.openxmlformats.org/officeDocument/2006/relationships/hyperlink" Target="https://www.stadtwil.ch/storage/3b8e93a0d261c1692cb8772c28b1c33b2db0bd708893a7f4793df26afb153620" TargetMode="External"/><Relationship Id="rId746" Type="http://schemas.openxmlformats.org/officeDocument/2006/relationships/hyperlink" Target="https://www.stadtwil.ch/topics/stadt-politik-und-recht/abstimmungen-und-wahlen/2026-kommende-abstimmungen/2027-kommende-abstimmungen-und-wahlen/28-02-2027-eidgenoessisches-blankodatum" TargetMode="External"/><Relationship Id="rId178" Type="http://schemas.openxmlformats.org/officeDocument/2006/relationships/hyperlink" Target="https://www.muenchenstein.ch/_rte/abstimmung/161710" TargetMode="External"/><Relationship Id="rId301" Type="http://schemas.openxmlformats.org/officeDocument/2006/relationships/hyperlink" Target="https://www.muenchenstein.ch/_rte/abstimmung/318758" TargetMode="External"/><Relationship Id="rId82" Type="http://schemas.openxmlformats.org/officeDocument/2006/relationships/hyperlink" Target="https://www.muenchenstein.ch/_rte/abstimmung/101975" TargetMode="External"/><Relationship Id="rId385" Type="http://schemas.openxmlformats.org/officeDocument/2006/relationships/hyperlink" Target="https://www.muenchenstein.ch/_rtr/publikation_524374" TargetMode="External"/><Relationship Id="rId592" Type="http://schemas.openxmlformats.org/officeDocument/2006/relationships/hyperlink" Target="https://wil-sg.tlex.ch/app/de/texts_of_law/7.4.3-6.1" TargetMode="External"/><Relationship Id="rId606" Type="http://schemas.openxmlformats.org/officeDocument/2006/relationships/hyperlink" Target="https://www.stadtwil.ch/auth/login?skip=0&amp;to=%2Ftopics%2Fpersoenliches%2Ftodesfall%2Ffriedhoefe%2Ffriedhof-und-bestattungsreglemente" TargetMode="External"/><Relationship Id="rId813" Type="http://schemas.openxmlformats.org/officeDocument/2006/relationships/hyperlink" Target="https://www.stadtwil.ch/topics/stadt-politik-und-recht/abstimmungen-und-wahlen/vorlagen/kumunale-wahlen/14-juni-2026-pendent" TargetMode="External"/><Relationship Id="rId245" Type="http://schemas.openxmlformats.org/officeDocument/2006/relationships/hyperlink" Target="https://www.muenchenstein.ch/_rte/abstimmung/259906" TargetMode="External"/><Relationship Id="rId452" Type="http://schemas.openxmlformats.org/officeDocument/2006/relationships/hyperlink" Target="https://www.seelisberg.ch/politik/abstimmungen-wahlen" TargetMode="External"/><Relationship Id="rId105" Type="http://schemas.openxmlformats.org/officeDocument/2006/relationships/hyperlink" Target="https://www.muenchenstein.ch/_rte/abstimmung/115862" TargetMode="External"/><Relationship Id="rId312" Type="http://schemas.openxmlformats.org/officeDocument/2006/relationships/hyperlink" Target="https://www.muenchenstein.ch/_rte/abstimmung/327082" TargetMode="External"/><Relationship Id="rId757" Type="http://schemas.openxmlformats.org/officeDocument/2006/relationships/hyperlink" Target="https://www.stadtwil.ch/topics/stadt-politik-und-recht/abstimmungen-und-wahlen/vergangene-abstimmungen/2024-vergangene-abstimmungen-und-wahlen/09-juni-2024-eidgenoessische-volksabstimmung/volksinitiative-vom-10-maerz-2020" TargetMode="External"/><Relationship Id="rId93" Type="http://schemas.openxmlformats.org/officeDocument/2006/relationships/hyperlink" Target="https://www.muenchenstein.ch/_rte/abstimmung/108520" TargetMode="External"/><Relationship Id="rId189" Type="http://schemas.openxmlformats.org/officeDocument/2006/relationships/hyperlink" Target="https://www.muenchenstein.ch/_rte/abstimmung/169727" TargetMode="External"/><Relationship Id="rId396" Type="http://schemas.openxmlformats.org/officeDocument/2006/relationships/hyperlink" Target="https://www.seelisberg.ch/files/pdf/Budget-ER-2025_Gesamtauflage_ohne-Bemerkungen_&#246;ffentlich.pdf" TargetMode="External"/><Relationship Id="rId617" Type="http://schemas.openxmlformats.org/officeDocument/2006/relationships/hyperlink" Target="https://www.stadtwil.ch/topics/stadt-politik-und-recht/kommissionen-und-delegationen/zweckverbaende/zweckverband-abfallverwertung-bazenheid-zab" TargetMode="External"/><Relationship Id="rId824" Type="http://schemas.openxmlformats.org/officeDocument/2006/relationships/hyperlink" Target="https://www.stadtwil.ch/topics/stadt-politik-und-recht/stadtparlament/politische-geschaefte" TargetMode="External"/><Relationship Id="rId256" Type="http://schemas.openxmlformats.org/officeDocument/2006/relationships/hyperlink" Target="https://www.muenchenstein.ch/_rte/abstimmung/270902" TargetMode="External"/><Relationship Id="rId463" Type="http://schemas.openxmlformats.org/officeDocument/2006/relationships/hyperlink" Target="https://www.ur.ch/wahlenundabstimmungen" TargetMode="External"/><Relationship Id="rId670" Type="http://schemas.openxmlformats.org/officeDocument/2006/relationships/hyperlink" Target="https://www.sg.ch/news/sgch_aussenbeziehungen/2026/09/teilrevision-des-bundesgesetzes-ueber-die-produktesicherheit.html" TargetMode="External"/><Relationship Id="rId116" Type="http://schemas.openxmlformats.org/officeDocument/2006/relationships/hyperlink" Target="https://www.muenchenstein.ch/_rte/abstimmung/125160" TargetMode="External"/><Relationship Id="rId323" Type="http://schemas.openxmlformats.org/officeDocument/2006/relationships/hyperlink" Target="https://www.muenchenstein.ch/_rte/abstimmung/36734" TargetMode="External"/><Relationship Id="rId530" Type="http://schemas.openxmlformats.org/officeDocument/2006/relationships/hyperlink" Target="https://www.stadtwil.ch/storage/f7491b91662ef70522e65b7274a5dc0caae60a57fbe5bf763d0e499763ecc62f" TargetMode="External"/><Relationship Id="rId768"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bundesbeschluss-vom-29-september-2023-ueber-den-ausbauschritt-2023-fuer-die-nationalstrassen" TargetMode="External"/><Relationship Id="rId20" Type="http://schemas.openxmlformats.org/officeDocument/2006/relationships/hyperlink" Target="https://www.muenchenstein.ch/_doc/6990775" TargetMode="External"/><Relationship Id="rId628" Type="http://schemas.openxmlformats.org/officeDocument/2006/relationships/hyperlink" Target="https://www.stadtwil.ch/topics/stadt-politik-und-recht/abstimmungen-und-wahlen/vergangene-abstimmungen/2024-vergangene-abstimmungen-und-wahlen/22-09-2024-eidgenoessische-und-kommunale-abstimmungen-sowie-kommunale-erneuerungswahlen/anderung-vom-17-maerz-2023-des-bundesgesetzes-ueber-die-berufliche-alters-hinterlassenen-und-invalidenvorsorge-bvg-reform-der-beruflichen-vorsorge" TargetMode="External"/><Relationship Id="rId267" Type="http://schemas.openxmlformats.org/officeDocument/2006/relationships/hyperlink" Target="https://www.muenchenstein.ch/_rte/abstimmung/283459" TargetMode="External"/><Relationship Id="rId474" Type="http://schemas.openxmlformats.org/officeDocument/2006/relationships/hyperlink" Target="https://www.sg.ch/content/dam/sgch/politik-verwaltung/gemeinden/gemeindenfinanzen/rmsg-handbuch/16%20Finanzberichterstattung.pdf" TargetMode="External"/><Relationship Id="rId127" Type="http://schemas.openxmlformats.org/officeDocument/2006/relationships/hyperlink" Target="https://www.muenchenstein.ch/_rte/abstimmung/132802" TargetMode="External"/><Relationship Id="rId681" Type="http://schemas.openxmlformats.org/officeDocument/2006/relationships/hyperlink" Target="https://www.sg.ch/politik-verwaltung/eidgenoessische-vernehmlassungen.viewpage__41.html" TargetMode="External"/><Relationship Id="rId779" Type="http://schemas.openxmlformats.org/officeDocument/2006/relationships/hyperlink" Target="https://www.stadtwil.ch/topics/stadt-politik-und-recht/abstimmungen-und-wahlen/vergangene-abstimmungen/2026-vergangene-abstimmungen-und-wahlen/08-03-2026-eidgenoessisches-blankodatum/eidgenoessische-abstimmungen/volksinitiative-ja-zu-einer-unabhaengigen-freien-schweizer-waehrung-mit-muenzen-oder-banknoten-bargeld-ist-freiheit" TargetMode="External"/><Relationship Id="rId31" Type="http://schemas.openxmlformats.org/officeDocument/2006/relationships/hyperlink" Target="https://www.muenchenstein.ch/_rte/abstimmung/301591" TargetMode="External"/><Relationship Id="rId334" Type="http://schemas.openxmlformats.org/officeDocument/2006/relationships/hyperlink" Target="https://www.muenchenstein.ch/_rte/abstimmung/44754" TargetMode="External"/><Relationship Id="rId541" Type="http://schemas.openxmlformats.org/officeDocument/2006/relationships/hyperlink" Target="https://www.stadtwil.ch/topics/stadt-politik-und-recht/abstimmungen-und-wahlen/vergangene-abstimmungen/2024-vergangene-abstimmungen-und-wahlen/14-04-2024-kommunale-abstimmung-und-2-wahlgang-regierung/steuerfuss-2024-der-stadt-wil" TargetMode="External"/><Relationship Id="rId639" Type="http://schemas.openxmlformats.org/officeDocument/2006/relationships/hyperlink" Target="https://www.stadtwil.ch/storage/3d03332182e433d65a5340498b35b0517ac0c0c27c654861110fec8600308334" TargetMode="External"/><Relationship Id="rId180" Type="http://schemas.openxmlformats.org/officeDocument/2006/relationships/hyperlink" Target="https://www.muenchenstein.ch/_rte/abstimmung/161712" TargetMode="External"/><Relationship Id="rId278" Type="http://schemas.openxmlformats.org/officeDocument/2006/relationships/hyperlink" Target="https://www.muenchenstein.ch/_rte/abstimmung/29593" TargetMode="External"/><Relationship Id="rId401" Type="http://schemas.openxmlformats.org/officeDocument/2006/relationships/hyperlink" Target="https://www.seelisberg.ch/files/pdf/Gesamtbudget_2023_ohne-Text_Auflage-Bev&#246;lkerung-und-Webseite.pdf" TargetMode="External"/><Relationship Id="rId485" Type="http://schemas.openxmlformats.org/officeDocument/2006/relationships/hyperlink" Target="https://www.stadtwil.ch/storage/197a35d219836653f6b15e7e92afca47253da6a8f398262e5767db635043decd" TargetMode="External"/><Relationship Id="rId692" Type="http://schemas.openxmlformats.org/officeDocument/2006/relationships/hyperlink" Target="https://www.stadtwil.ch/auth/login?skip=0&amp;to=%2Ftopics%2Fbauen-und-planen%2Fwil-vivendo%2Fortsplanungsrevision%2Fveranstaltungen-und-mitwirkung%2Fmitwirkungen%2Fmitwirkung-zum-richtplan-siedlung-sowie-gruen-freiraeume" TargetMode="External"/><Relationship Id="rId706" Type="http://schemas.openxmlformats.org/officeDocument/2006/relationships/hyperlink" Target="https://www.stadtwil.ch/auth/login?skip=0&amp;to=%2Ftopics%2Fstadt-politik-und-recht%2Fabstimmungen-und-wahlen%2F2026-kommende-abstimmungen%2F2027-kommende-abstimmungen-und-wahlen%2F28-02-2027-eidgenoessisches-blankodatum" TargetMode="External"/><Relationship Id="rId42" Type="http://schemas.openxmlformats.org/officeDocument/2006/relationships/hyperlink" Target="https://www.muenchenstein.ch/_rte/abstimmung/261658" TargetMode="External"/><Relationship Id="rId138" Type="http://schemas.openxmlformats.org/officeDocument/2006/relationships/hyperlink" Target="https://www.muenchenstein.ch/_rte/abstimmung/143041" TargetMode="External"/><Relationship Id="rId345" Type="http://schemas.openxmlformats.org/officeDocument/2006/relationships/hyperlink" Target="https://www.muenchenstein.ch/_rte/abstimmung/63666" TargetMode="External"/><Relationship Id="rId552" Type="http://schemas.openxmlformats.org/officeDocument/2006/relationships/hyperlink" Target="https://www.sg.ch/content/sgch/politik-verwaltung/gemeinden/grundstueckerwerb-durch-personen-im-ausland/verfahren.html" TargetMode="External"/><Relationship Id="rId191" Type="http://schemas.openxmlformats.org/officeDocument/2006/relationships/hyperlink" Target="https://www.muenchenstein.ch/_rte/abstimmung/176305" TargetMode="External"/><Relationship Id="rId205" Type="http://schemas.openxmlformats.org/officeDocument/2006/relationships/hyperlink" Target="https://www.muenchenstein.ch/_rte/abstimmung/188497" TargetMode="External"/><Relationship Id="rId412" Type="http://schemas.openxmlformats.org/officeDocument/2006/relationships/hyperlink" Target="https://www.seelisberg.ch/files/pdf/Gemeindeordnung.pdf" TargetMode="External"/><Relationship Id="rId289" Type="http://schemas.openxmlformats.org/officeDocument/2006/relationships/hyperlink" Target="https://www.muenchenstein.ch/_rte/abstimmung/312730" TargetMode="External"/><Relationship Id="rId496" Type="http://schemas.openxmlformats.org/officeDocument/2006/relationships/hyperlink" Target="https://www.stadtwil.ch/storage/46c11db85e782dc122cd9a61cc291529509f659681277125f8b019bce5a31b9c" TargetMode="External"/><Relationship Id="rId717" Type="http://schemas.openxmlformats.org/officeDocument/2006/relationships/hyperlink" Target="https://www.stadtwil.ch/topics/bauen-und-planen/mitwirkungen" TargetMode="External"/><Relationship Id="rId53" Type="http://schemas.openxmlformats.org/officeDocument/2006/relationships/hyperlink" Target="https://www.muenchenstein.ch/_rte/abstimmung/89372" TargetMode="External"/><Relationship Id="rId149" Type="http://schemas.openxmlformats.org/officeDocument/2006/relationships/hyperlink" Target="https://www.muenchenstein.ch/_rte/abstimmung/147758" TargetMode="External"/><Relationship Id="rId356" Type="http://schemas.openxmlformats.org/officeDocument/2006/relationships/hyperlink" Target="https://www.muenchenstein.ch/_rte/abstimmung/71582" TargetMode="External"/><Relationship Id="rId563" Type="http://schemas.openxmlformats.org/officeDocument/2006/relationships/hyperlink" Target="https://www.stadtwil.ch/auth/login?skip=0&amp;to=%2Ftopics%2Fbauen-und-planen%2Fwil-vivendo%2Fortsplanungsrevision%2Fnews%2Frichtprojekt-kindlimann-areal%2Fwie-gut-kennen-sie-die-stadt-wil" TargetMode="External"/><Relationship Id="rId770"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erneuerungswahl-der-fuenf-mitglieder-des-stadtrats-2-wahlgang-fuer-die-amtsdauer-2025-2028" TargetMode="External"/><Relationship Id="rId216" Type="http://schemas.openxmlformats.org/officeDocument/2006/relationships/hyperlink" Target="https://www.muenchenstein.ch/_rte/abstimmung/209288" TargetMode="External"/><Relationship Id="rId423" Type="http://schemas.openxmlformats.org/officeDocument/2006/relationships/hyperlink" Target="https://www.seelisberg.ch/files/pdf/Verordnung_&#252;ber_die_Tarife_der_Wasserversorgung.pdf" TargetMode="External"/><Relationship Id="rId630" Type="http://schemas.openxmlformats.org/officeDocument/2006/relationships/hyperlink" Target="https://www.stadtwil.ch/topics/stadt-politik-und-recht/abstimmungen-und-wahlen/vergangene-abstimmungen/2026-vergangene-abstimmungen-und-wahlen/08-03-2026-eidgenoessisches-blankodatum/kantonale-abstimmungen/kantonsratsbeschluss-ueber-den-bau-der-kantonsstrasse-zum-see-inklusive-kostenbeteiligung-am-anschluss-witen-mit-zubringer" TargetMode="External"/><Relationship Id="rId728" Type="http://schemas.openxmlformats.org/officeDocument/2006/relationships/hyperlink" Target="https://www.stadtwil.ch/topics/bauen-und-planen/wil-vivendo/ortsplanungsrevision/veranstaltungen-und-mitwirkung/strategiekonferenzen" TargetMode="External"/><Relationship Id="rId64" Type="http://schemas.openxmlformats.org/officeDocument/2006/relationships/hyperlink" Target="http://www.gemeinden-web.ch/gemeinden/muenchensteinneu/dl.php/de/0d1e8-9v1kex/GV_protokolle_1984_comp.pdf" TargetMode="External"/><Relationship Id="rId367" Type="http://schemas.openxmlformats.org/officeDocument/2006/relationships/hyperlink" Target="https://www.muenchenstein.ch/_rte/abstimmung/89369" TargetMode="External"/><Relationship Id="rId574" Type="http://schemas.openxmlformats.org/officeDocument/2006/relationships/hyperlink" Target="https://www.stadtwil.ch/topics/bauen-und-planen/wil-vivendo/siedlung/arealentwicklung-kindlimann" TargetMode="External"/><Relationship Id="rId227" Type="http://schemas.openxmlformats.org/officeDocument/2006/relationships/hyperlink" Target="https://www.muenchenstein.ch/_rte/abstimmung/225944" TargetMode="External"/><Relationship Id="rId781" Type="http://schemas.openxmlformats.org/officeDocument/2006/relationships/hyperlink" Target="https://www.stadtwil.ch/topics/stadt-politik-und-recht/abstimmungen-und-wahlen/vergangene-abstimmungen/2026-vergangene-abstimmungen-und-wahlen/08-03-2026-eidgenoessisches-blankodatum/kommunale-abstimmung" TargetMode="External"/><Relationship Id="rId434" Type="http://schemas.openxmlformats.org/officeDocument/2006/relationships/hyperlink" Target="https://www.bk.admin.ch/de/volksabstimmung/?date=2025-02-09" TargetMode="External"/><Relationship Id="rId641" Type="http://schemas.openxmlformats.org/officeDocument/2006/relationships/hyperlink" Target="https://www.stadtwil.ch/storage/56214d9002f99bb64434783cd8498f6b2a989f4cd19bf77ad3b1f0011730e0fc" TargetMode="External"/><Relationship Id="rId739" Type="http://schemas.openxmlformats.org/officeDocument/2006/relationships/hyperlink" Target="https://www.stadtwil.ch/topics/stadt-politik-und-recht/abstimmungen-und-wahlen/2026-kommende-abstimmungen" TargetMode="External"/><Relationship Id="rId280" Type="http://schemas.openxmlformats.org/officeDocument/2006/relationships/hyperlink" Target="https://www.muenchenstein.ch/_rte/abstimmung/299251" TargetMode="External"/><Relationship Id="rId501" Type="http://schemas.openxmlformats.org/officeDocument/2006/relationships/hyperlink" Target="https://www.stadtwil.ch/storage/5b157eed47c9c8d58206c7f00a29347dffd41ec7d250787056c8ec6177beb8eb" TargetMode="External"/><Relationship Id="rId75" Type="http://schemas.openxmlformats.org/officeDocument/2006/relationships/hyperlink" Target="http://www.gemeinden-web.ch/gemeinden/muenchensteinneu/dl.php/de/0d1e8-pbuec4/GV_protokolle_1995_comp.pdf" TargetMode="External"/><Relationship Id="rId140" Type="http://schemas.openxmlformats.org/officeDocument/2006/relationships/hyperlink" Target="https://www.muenchenstein.ch/_rte/abstimmung/143043" TargetMode="External"/><Relationship Id="rId378" Type="http://schemas.openxmlformats.org/officeDocument/2006/relationships/hyperlink" Target="https://www.muenchenstein.ch/_rte/abstimmung/97021" TargetMode="External"/><Relationship Id="rId585" Type="http://schemas.openxmlformats.org/officeDocument/2006/relationships/hyperlink" Target="https://www.stadtwil.ch/topics/stadt-politik-und-recht/abstimmungen-und-wahlen/vergangene-abstimmungen/2025-vergangene-abstimmungen-und-wahlen-1/28-09-2025-eidgenoessische-abstimmung/bundesbeschluss-vom-20-dezember-2024-ueber-die-kantonalen-liegenschaftssteuern-auf-zweitliegenschaften" TargetMode="External"/><Relationship Id="rId792" Type="http://schemas.openxmlformats.org/officeDocument/2006/relationships/hyperlink" Target="https://www.stadtwil.ch/topics/stadt-politik-und-recht/abstimmungen-und-wahlen/vorlagen/eidgenoessische-vorlagen/09-06-2024-maximal-10-des-einkommens-fuer-die-krankenkassenpraemien-praemien-entlastungs-initiative" TargetMode="External"/><Relationship Id="rId806" Type="http://schemas.openxmlformats.org/officeDocument/2006/relationships/hyperlink" Target="https://www.stadtwil.ch/topics/stadt-politik-und-recht/abstimmungen-und-wahlen/vorlagen/kantonale-vorlagen/30-11-2025-kantonsratsbeschluss-ueber-mietkosten-fuer-die-kantonspolizei-st-gallen-im-interventionszentrum-des-bundes-fuer-den-zoll-ost-in-st-margrethen" TargetMode="External"/><Relationship Id="rId6" Type="http://schemas.openxmlformats.org/officeDocument/2006/relationships/hyperlink" Target="https://www.efv.admin.ch/de/finanzstatistik-daten" TargetMode="External"/><Relationship Id="rId238" Type="http://schemas.openxmlformats.org/officeDocument/2006/relationships/hyperlink" Target="https://www.muenchenstein.ch/_rte/abstimmung/251042" TargetMode="External"/><Relationship Id="rId445" Type="http://schemas.openxmlformats.org/officeDocument/2006/relationships/hyperlink" Target="https://www.seelisberg.ch/files/pdf/Beschlussprotokoll-GV-Mai-2025.pdf" TargetMode="External"/><Relationship Id="rId652" Type="http://schemas.openxmlformats.org/officeDocument/2006/relationships/hyperlink" Target="https://www.stadtwil.ch/topics/stadt-politik-und-recht/geschaeftsberichte" TargetMode="External"/><Relationship Id="rId291" Type="http://schemas.openxmlformats.org/officeDocument/2006/relationships/hyperlink" Target="https://www.muenchenstein.ch/_rte/abstimmung/312736" TargetMode="External"/><Relationship Id="rId305" Type="http://schemas.openxmlformats.org/officeDocument/2006/relationships/hyperlink" Target="https://www.muenchenstein.ch/_rte/abstimmung/318773" TargetMode="External"/><Relationship Id="rId512" Type="http://schemas.openxmlformats.org/officeDocument/2006/relationships/hyperlink" Target="https://www.stadtwil.ch/storage/8af13c3aa622166e4f3f58f05540340ab4be9f11d1ad3d638bc88055963ca6b1" TargetMode="External"/><Relationship Id="rId86" Type="http://schemas.openxmlformats.org/officeDocument/2006/relationships/hyperlink" Target="https://www.muenchenstein.ch/_rte/abstimmung/101980" TargetMode="External"/><Relationship Id="rId151" Type="http://schemas.openxmlformats.org/officeDocument/2006/relationships/hyperlink" Target="https://www.muenchenstein.ch/_rte/abstimmung/151681" TargetMode="External"/><Relationship Id="rId389" Type="http://schemas.openxmlformats.org/officeDocument/2006/relationships/hyperlink" Target="https://www.muenchenstein.ch/archivgemeindeversammlung" TargetMode="External"/><Relationship Id="rId596" Type="http://schemas.openxmlformats.org/officeDocument/2006/relationships/hyperlink" Target="https://www.sg.ch/content/dam/sgch/politik-verwaltung/gemeinden/gemeindenfinanzen/rechnungslegung-rmsg/hilfsmittel-und-vorlagen/Tool%20Bewertung%20Beteiligungen%20im%20Verwaltungsverm%C3%B6gen.xlsx" TargetMode="External"/><Relationship Id="rId817" Type="http://schemas.openxmlformats.org/officeDocument/2006/relationships/hyperlink" Target="https://www.stadtwil.ch/topics/stadt-politik-und-recht/abstimmungen-und-wahlen/vorlagen/kumunale-wahlen/24-11-2024-erneuerungswahl-der-fuenf-mitglieder-des-stadtrats-2-wahlgang-fuer-die-amtsdauer-2025-2028" TargetMode="External"/><Relationship Id="rId193" Type="http://schemas.openxmlformats.org/officeDocument/2006/relationships/hyperlink" Target="https://www.muenchenstein.ch/_rte/abstimmung/176311" TargetMode="External"/><Relationship Id="rId207" Type="http://schemas.openxmlformats.org/officeDocument/2006/relationships/hyperlink" Target="https://www.muenchenstein.ch/_rte/abstimmung/195022" TargetMode="External"/><Relationship Id="rId249" Type="http://schemas.openxmlformats.org/officeDocument/2006/relationships/hyperlink" Target="https://www.muenchenstein.ch/_rte/abstimmung/265018" TargetMode="External"/><Relationship Id="rId414" Type="http://schemas.openxmlformats.org/officeDocument/2006/relationships/hyperlink" Target="https://www.seelisberg.ch/files/pdf/Parkplatzverordnung-PPV_Anpassung2026.pdf" TargetMode="External"/><Relationship Id="rId456" Type="http://schemas.openxmlformats.org/officeDocument/2006/relationships/hyperlink" Target="https://www.ur.ch/abstimmungen/termine/25418" TargetMode="External"/><Relationship Id="rId498" Type="http://schemas.openxmlformats.org/officeDocument/2006/relationships/hyperlink" Target="https://www.stadtwil.ch/storage/4c38defa65317565cc56097db8e1c95352a57abe9c101d1df3f6646b3aeeb048" TargetMode="External"/><Relationship Id="rId621" Type="http://schemas.openxmlformats.org/officeDocument/2006/relationships/hyperlink" Target="https://www.stadtwil.ch/topics/umwelt-und-energie/immissionsschutz/erteilte-ausnahmebewilligungen-gemaess-immissionsschutzreglement" TargetMode="External"/><Relationship Id="rId663" Type="http://schemas.openxmlformats.org/officeDocument/2006/relationships/hyperlink" Target="https://www.sg.ch/news/sgch_aussenbeziehungen/2026/09/aenderung-des-bundesgesetzes-gegen-die-schwarzarbeit.html" TargetMode="External"/><Relationship Id="rId13" Type="http://schemas.openxmlformats.org/officeDocument/2006/relationships/hyperlink" Target="https://www.muenchenstein.ch/_doc/5400775" TargetMode="External"/><Relationship Id="rId109" Type="http://schemas.openxmlformats.org/officeDocument/2006/relationships/hyperlink" Target="https://www.muenchenstein.ch/_rte/abstimmung/119066" TargetMode="External"/><Relationship Id="rId260" Type="http://schemas.openxmlformats.org/officeDocument/2006/relationships/hyperlink" Target="https://www.muenchenstein.ch/_rte/abstimmung/27785" TargetMode="External"/><Relationship Id="rId316" Type="http://schemas.openxmlformats.org/officeDocument/2006/relationships/hyperlink" Target="https://www.muenchenstein.ch/_rte/abstimmung/328981" TargetMode="External"/><Relationship Id="rId523" Type="http://schemas.openxmlformats.org/officeDocument/2006/relationships/hyperlink" Target="https://www.stadtwil.ch/storage/cbd766fe3fd1038fca54c289885daa4a6d26dc377f5bacb650abf735e8370f7c" TargetMode="External"/><Relationship Id="rId719" Type="http://schemas.openxmlformats.org/officeDocument/2006/relationships/hyperlink" Target="https://www.stadtwil.ch/topics/bauen-und-planen/wil-vivendo/mobilitaet/netzergaenzung-ost-neo/veranstaltungen/mitwirkungen" TargetMode="External"/><Relationship Id="rId55" Type="http://schemas.openxmlformats.org/officeDocument/2006/relationships/hyperlink" Target="https://www.muenchenstein.ch/organisationuorganigramm" TargetMode="External"/><Relationship Id="rId97" Type="http://schemas.openxmlformats.org/officeDocument/2006/relationships/hyperlink" Target="https://www.muenchenstein.ch/_rte/abstimmung/112313" TargetMode="External"/><Relationship Id="rId120" Type="http://schemas.openxmlformats.org/officeDocument/2006/relationships/hyperlink" Target="https://www.muenchenstein.ch/_rte/abstimmung/129348" TargetMode="External"/><Relationship Id="rId358" Type="http://schemas.openxmlformats.org/officeDocument/2006/relationships/hyperlink" Target="https://www.muenchenstein.ch/_rte/abstimmung/74434" TargetMode="External"/><Relationship Id="rId565" Type="http://schemas.openxmlformats.org/officeDocument/2006/relationships/hyperlink" Target="https://www.stadtwil.ch/auth/login?skip=0&amp;to=%2Ftopics%2Fbauen-und-planen%2Fwil-vivendo%2Fortsplanungsrevision%2Fnews%2Fwichtige-meilensteine-erreicht%2Fgrosser-schritt-fuer-das-kindlimann-areal" TargetMode="External"/><Relationship Id="rId730" Type="http://schemas.openxmlformats.org/officeDocument/2006/relationships/hyperlink" Target="https://www.stadtwil.ch/topics/bauen-und-planen/wil-vivendo/ortsplanungsrevision/veranstaltungen-und-mitwirkung/strategiekonferenzen/3-strategiekonferenz" TargetMode="External"/><Relationship Id="rId772"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xxii-nachtrag-zum-steuergesetz-erhoehung-des-fahrkostenabzugs" TargetMode="External"/><Relationship Id="rId162" Type="http://schemas.openxmlformats.org/officeDocument/2006/relationships/hyperlink" Target="https://www.muenchenstein.ch/_rte/abstimmung/154766" TargetMode="External"/><Relationship Id="rId218" Type="http://schemas.openxmlformats.org/officeDocument/2006/relationships/hyperlink" Target="https://www.muenchenstein.ch/_rte/abstimmung/209294" TargetMode="External"/><Relationship Id="rId425" Type="http://schemas.openxmlformats.org/officeDocument/2006/relationships/hyperlink" Target="https://www.seelisberg.ch/politik/rechtssammlung" TargetMode="External"/><Relationship Id="rId467" Type="http://schemas.openxmlformats.org/officeDocument/2006/relationships/hyperlink" Target="https://www.sg.ch/content/dam/sgch/politik-verwaltung/gemeinden/gemeindenfinanzen/rechnungslegung-rmsg/berichterstattung/Beispiel%20Finanzbericht%20Spezialgemeinde.docx" TargetMode="External"/><Relationship Id="rId632" Type="http://schemas.openxmlformats.org/officeDocument/2006/relationships/hyperlink" Target="https://www.stadtwil.ch/topics/stadt-politik-und-recht/abstimmungen-und-wahlen/vorlagen/kommunale-vorlagen/22-11-2024-nachtrag-iv-zur-gemeindeordnung" TargetMode="External"/><Relationship Id="rId271" Type="http://schemas.openxmlformats.org/officeDocument/2006/relationships/hyperlink" Target="https://www.muenchenstein.ch/_rte/abstimmung/292663" TargetMode="External"/><Relationship Id="rId674" Type="http://schemas.openxmlformats.org/officeDocument/2006/relationships/hyperlink" Target="https://www.sg.ch/politik-verwaltung/abstimmungen-wahlen/auslandschweizer--innen.html" TargetMode="External"/><Relationship Id="rId24" Type="http://schemas.openxmlformats.org/officeDocument/2006/relationships/hyperlink" Target="https://www.muenchenstein.ch/_rtr/publikation_596033" TargetMode="External"/><Relationship Id="rId66" Type="http://schemas.openxmlformats.org/officeDocument/2006/relationships/hyperlink" Target="http://www.gemeinden-web.ch/gemeinden/muenchensteinneu/dl.php/de/0d1e8-cjnxsf/GV_protokolle_1986_comp.pdf" TargetMode="External"/><Relationship Id="rId131" Type="http://schemas.openxmlformats.org/officeDocument/2006/relationships/hyperlink" Target="https://www.muenchenstein.ch/_rte/abstimmung/138173" TargetMode="External"/><Relationship Id="rId327" Type="http://schemas.openxmlformats.org/officeDocument/2006/relationships/hyperlink" Target="https://www.muenchenstein.ch/_rte/abstimmung/42063" TargetMode="External"/><Relationship Id="rId369" Type="http://schemas.openxmlformats.org/officeDocument/2006/relationships/hyperlink" Target="https://www.muenchenstein.ch/_rte/abstimmung/89371" TargetMode="External"/><Relationship Id="rId534" Type="http://schemas.openxmlformats.org/officeDocument/2006/relationships/hyperlink" Target="https://www.sg.ch/news/sgch_aussenbeziehungen/2026/09/verordnung-ueber-die-pruefung-auslaendischer-investitionen--inve.html" TargetMode="External"/><Relationship Id="rId576" Type="http://schemas.openxmlformats.org/officeDocument/2006/relationships/hyperlink" Target="https://www.gesetzessammlung.sg.ch/app/de/texts_of_law/914.11" TargetMode="External"/><Relationship Id="rId741" Type="http://schemas.openxmlformats.org/officeDocument/2006/relationships/hyperlink" Target="https://www.stadtwil.ch/topics/stadt-politik-und-recht/abstimmungen-und-wahlen/2026-kommende-abstimmungen/2026-kommende-abstimmungen-und-wahlen/27-09-2026-eidgenoessisches-blankodatum" TargetMode="External"/><Relationship Id="rId783" Type="http://schemas.openxmlformats.org/officeDocument/2006/relationships/hyperlink" Target="https://www.stadtwil.ch/topics/stadt-politik-und-recht/abstimmungen-und-wahlen/vergangene-abstimmungen/2026-vergangene-abstimmungen-und-wahlen/16-08-2026-abstimmungstermin" TargetMode="External"/><Relationship Id="rId173" Type="http://schemas.openxmlformats.org/officeDocument/2006/relationships/hyperlink" Target="https://www.muenchenstein.ch/_rte/abstimmung/160329" TargetMode="External"/><Relationship Id="rId229" Type="http://schemas.openxmlformats.org/officeDocument/2006/relationships/hyperlink" Target="https://www.muenchenstein.ch/_rte/abstimmung/234037" TargetMode="External"/><Relationship Id="rId380" Type="http://schemas.openxmlformats.org/officeDocument/2006/relationships/hyperlink" Target="https://www.muenchenstein.ch/_rte/abstimmung/97023" TargetMode="External"/><Relationship Id="rId436" Type="http://schemas.openxmlformats.org/officeDocument/2006/relationships/hyperlink" Target="https://www.bk.admin.ch/de/volksabstimmung/?date=2025-11-30" TargetMode="External"/><Relationship Id="rId601" Type="http://schemas.openxmlformats.org/officeDocument/2006/relationships/hyperlink" Target="https://www.sg.ch/news/sgch_allgemein/2026/09/ii--nachtrag-zur-verordnung-zum-gesetz-ueber-die-abgeltung-oekol.html" TargetMode="External"/><Relationship Id="rId643" Type="http://schemas.openxmlformats.org/officeDocument/2006/relationships/hyperlink" Target="https://www.stadtwil.ch/storage/6ad37fbf71a6783177e53d62242d53eea1eb8724d27919198ec26ccb4eb6f39b" TargetMode="External"/><Relationship Id="rId240" Type="http://schemas.openxmlformats.org/officeDocument/2006/relationships/hyperlink" Target="https://www.muenchenstein.ch/_rte/abstimmung/251051" TargetMode="External"/><Relationship Id="rId478" Type="http://schemas.openxmlformats.org/officeDocument/2006/relationships/hyperlink" Target="https://www.stadtwil.ch/_docn/4510712/Kurzfassung_zur_Jahresrechnung_2022.pdf" TargetMode="External"/><Relationship Id="rId685" Type="http://schemas.openxmlformats.org/officeDocument/2006/relationships/hyperlink" Target="https://www.stadtwil.ch/auth/login?skip=0&amp;to=%2Ftopics%2Falter%2Faktivitaet-und-mitwirkung" TargetMode="External"/><Relationship Id="rId35" Type="http://schemas.openxmlformats.org/officeDocument/2006/relationships/hyperlink" Target="https://www.muenchenstein.ch/_rte/abstimmung/115863" TargetMode="External"/><Relationship Id="rId77" Type="http://schemas.openxmlformats.org/officeDocument/2006/relationships/hyperlink" Target="http://www.gemeinden-web.ch/gemeinden/muenchensteinneu/dl.php/de/0d1e8-sf3v42/GV_protokolle_1997_comp.pdf" TargetMode="External"/><Relationship Id="rId100" Type="http://schemas.openxmlformats.org/officeDocument/2006/relationships/hyperlink" Target="https://www.muenchenstein.ch/_rte/abstimmung/115857" TargetMode="External"/><Relationship Id="rId282" Type="http://schemas.openxmlformats.org/officeDocument/2006/relationships/hyperlink" Target="https://www.muenchenstein.ch/_rte/abstimmung/301597" TargetMode="External"/><Relationship Id="rId338" Type="http://schemas.openxmlformats.org/officeDocument/2006/relationships/hyperlink" Target="https://www.muenchenstein.ch/_rte/abstimmung/50344" TargetMode="External"/><Relationship Id="rId503" Type="http://schemas.openxmlformats.org/officeDocument/2006/relationships/hyperlink" Target="https://www.stadtwil.ch/storage/6d5b005537c160414488cccbf31bcaf9bf78c6739f29071102deaaccde73a2e6" TargetMode="External"/><Relationship Id="rId545" Type="http://schemas.openxmlformats.org/officeDocument/2006/relationships/hyperlink" Target="http://www.kindlimann-areal.ch" TargetMode="External"/><Relationship Id="rId587" Type="http://schemas.openxmlformats.org/officeDocument/2006/relationships/hyperlink" Target="https://www.stadtwil.ch/topics/stadt-politik-und-recht/abstimmungen-und-wahlen/vorlagen/eidgenoessische-vorlagen/bundesbeschluss-vom-20-dezember-2024-ueber-die-kantonalen-liegenschaftssteuern-auf-zweitliegenschaften" TargetMode="External"/><Relationship Id="rId710" Type="http://schemas.openxmlformats.org/officeDocument/2006/relationships/hyperlink" Target="https://www.stadtwil.ch/storage/088a20259e10bb81e5a5cfd8124c13374ad9b4896295230c069067cd32d4ce5d" TargetMode="External"/><Relationship Id="rId752" Type="http://schemas.openxmlformats.org/officeDocument/2006/relationships/hyperlink" Target="https://www.stadtwil.ch/topics/stadt-politik-und-recht/abstimmungen-und-wahlen/vergangene-abstimmungen/2024-vergangene-abstimmungen-und-wahlen/03-03-2024-eidgenoessische-abstimmungen-kantonale-wahlen/volksinitiative-vom-16-juli-2021-fuer-eine-sichere-und-nachhaltige-altersvorsorge" TargetMode="External"/><Relationship Id="rId808" Type="http://schemas.openxmlformats.org/officeDocument/2006/relationships/hyperlink" Target="https://www.stadtwil.ch/topics/stadt-politik-und-recht/abstimmungen-und-wahlen/vorlagen/kantonale-wahlen/03-03-2024-erneuerungswahlen-der-mitglieder-der-regierung" TargetMode="External"/><Relationship Id="rId8" Type="http://schemas.openxmlformats.org/officeDocument/2006/relationships/hyperlink" Target="https://www.efv.admin.ch/de/sonderauswertungen-der-finanzstatistik" TargetMode="External"/><Relationship Id="rId142" Type="http://schemas.openxmlformats.org/officeDocument/2006/relationships/hyperlink" Target="https://www.muenchenstein.ch/_rte/abstimmung/143045" TargetMode="External"/><Relationship Id="rId184" Type="http://schemas.openxmlformats.org/officeDocument/2006/relationships/hyperlink" Target="https://www.muenchenstein.ch/_rte/abstimmung/167561" TargetMode="External"/><Relationship Id="rId391" Type="http://schemas.openxmlformats.org/officeDocument/2006/relationships/hyperlink" Target="https://www.muenchenstein.ch/sitzung" TargetMode="External"/><Relationship Id="rId405" Type="http://schemas.openxmlformats.org/officeDocument/2006/relationships/hyperlink" Target="https://www.seelisberg.ch/files/pdf/Jahresrechnung_Gde-Seelisberg_2023.pdf" TargetMode="External"/><Relationship Id="rId447" Type="http://schemas.openxmlformats.org/officeDocument/2006/relationships/hyperlink" Target="https://www.seelisberg.ch/files/pdf/Beschlussprotokoll_GV_24.11.2023.pdf" TargetMode="External"/><Relationship Id="rId612" Type="http://schemas.openxmlformats.org/officeDocument/2006/relationships/hyperlink" Target="https://www.stadtwil.ch/topics/bauen-und-planen/private-bauprojekte/rechtsgrundlagen-bauen-und-planen/kommunale-schutzverordnung/schutzinventar-der-bau-und-gartendenkmaeler" TargetMode="External"/><Relationship Id="rId794" Type="http://schemas.openxmlformats.org/officeDocument/2006/relationships/hyperlink" Target="https://www.stadtwil.ch/topics/stadt-politik-und-recht/abstimmungen-und-wahlen/vorlagen/eidgenoessische-vorlagen/24-11-2024-anderung-vom-29-september-2023-des-obligationenrechts-kuendigung-wegen-eigenbedarfs" TargetMode="External"/><Relationship Id="rId251" Type="http://schemas.openxmlformats.org/officeDocument/2006/relationships/hyperlink" Target="https://www.muenchenstein.ch/_rte/abstimmung/265027" TargetMode="External"/><Relationship Id="rId489" Type="http://schemas.openxmlformats.org/officeDocument/2006/relationships/hyperlink" Target="https://www.stadtwil.ch/storage/2d73b525635182a0188b65eaff90bf5a1ac12049d362a321d7c1b13631e11d1e" TargetMode="External"/><Relationship Id="rId654" Type="http://schemas.openxmlformats.org/officeDocument/2006/relationships/hyperlink" Target="https://mitwirken.stadtwil.ch/de/" TargetMode="External"/><Relationship Id="rId696" Type="http://schemas.openxmlformats.org/officeDocument/2006/relationships/hyperlink" Target="https://www.stadtwil.ch/auth/login?skip=0&amp;to=%2Ftopics%2Fbauen-und-planen%2Fwil-vivendo%2Fortsplanungsrevision%2Fveranstaltungen-und-mitwirkung%2Fstrategiekonferenzen%2Fstrategiekonferenz-1-am-30-august-2024" TargetMode="External"/><Relationship Id="rId46" Type="http://schemas.openxmlformats.org/officeDocument/2006/relationships/hyperlink" Target="https://www.muenchenstein.ch/_rte/abstimmung/289912" TargetMode="External"/><Relationship Id="rId293" Type="http://schemas.openxmlformats.org/officeDocument/2006/relationships/hyperlink" Target="https://www.muenchenstein.ch/_rte/abstimmung/31319" TargetMode="External"/><Relationship Id="rId307" Type="http://schemas.openxmlformats.org/officeDocument/2006/relationships/hyperlink" Target="https://www.muenchenstein.ch/_rte/abstimmung/322387" TargetMode="External"/><Relationship Id="rId349" Type="http://schemas.openxmlformats.org/officeDocument/2006/relationships/hyperlink" Target="https://www.muenchenstein.ch/_rte/abstimmung/64994" TargetMode="External"/><Relationship Id="rId514" Type="http://schemas.openxmlformats.org/officeDocument/2006/relationships/hyperlink" Target="https://www.stadtwil.ch/storage/99172bc54b50f4ed3a9d5ca84fbefb64712f971674a34f7aa65b1237a0444c47" TargetMode="External"/><Relationship Id="rId556" Type="http://schemas.openxmlformats.org/officeDocument/2006/relationships/hyperlink" Target="https://www.sg.ch/politik-verwaltung/gemeinden/grundstueckerwerb-durch-personen-im-ausland/hauptwohnung.html" TargetMode="External"/><Relationship Id="rId721" Type="http://schemas.openxmlformats.org/officeDocument/2006/relationships/hyperlink" Target="https://www.stadtwil.ch/topics/bauen-und-planen/wil-vivendo/ortsplanungsrevision/news/halbzeit-mitwirkung" TargetMode="External"/><Relationship Id="rId763" Type="http://schemas.openxmlformats.org/officeDocument/2006/relationships/hyperlink" Target="https://www.stadtwil.ch/topics/stadt-politik-und-recht/abstimmungen-und-wahlen/vergangene-abstimmungen/2024-vergangene-abstimmungen-und-wahlen/22-09-2024-eidgenoessische-und-kommunale-abstimmungen-sowie-kommunale-erneuerungswahlen/volksinitiative-vom-8-september-2020-fuer-die-zukunft-unserer-natur-und-landschaft-biodiversitaetsinitiative" TargetMode="External"/><Relationship Id="rId88" Type="http://schemas.openxmlformats.org/officeDocument/2006/relationships/hyperlink" Target="https://www.muenchenstein.ch/_rte/abstimmung/105467" TargetMode="External"/><Relationship Id="rId111" Type="http://schemas.openxmlformats.org/officeDocument/2006/relationships/hyperlink" Target="https://www.muenchenstein.ch/_rte/abstimmung/122218" TargetMode="External"/><Relationship Id="rId153" Type="http://schemas.openxmlformats.org/officeDocument/2006/relationships/hyperlink" Target="https://www.muenchenstein.ch/_rte/abstimmung/151683" TargetMode="External"/><Relationship Id="rId195" Type="http://schemas.openxmlformats.org/officeDocument/2006/relationships/hyperlink" Target="https://www.muenchenstein.ch/_rte/abstimmung/176317" TargetMode="External"/><Relationship Id="rId209" Type="http://schemas.openxmlformats.org/officeDocument/2006/relationships/hyperlink" Target="https://www.muenchenstein.ch/_rte/abstimmung/195031" TargetMode="External"/><Relationship Id="rId360" Type="http://schemas.openxmlformats.org/officeDocument/2006/relationships/hyperlink" Target="https://www.muenchenstein.ch/_rte/abstimmung/76971" TargetMode="External"/><Relationship Id="rId416" Type="http://schemas.openxmlformats.org/officeDocument/2006/relationships/hyperlink" Target="https://www.seelisberg.ch/files/pdf/Reglement_Wissigstrasse.pdf" TargetMode="External"/><Relationship Id="rId598" Type="http://schemas.openxmlformats.org/officeDocument/2006/relationships/hyperlink" Target="https://www.sg.ch/content/dam/sgch/politik-verwaltung/gemeinden/gemeindenfinanzen/rechnungslegung-rmsg/merkbl%C3%A4tter-und-weisungen/Merkblatt%20Beteiligungen.pdf" TargetMode="External"/><Relationship Id="rId819" Type="http://schemas.openxmlformats.org/officeDocument/2006/relationships/hyperlink" Target="https://www.stadtwil.ch/topics/stadt-politik-und-recht/kommissionen-und-delegationen/regionale-und-wirtschaftliche-organisationen/wiler-sportanlagen-ag-wispag-bestaetigung-durch-parlament" TargetMode="External"/><Relationship Id="rId220" Type="http://schemas.openxmlformats.org/officeDocument/2006/relationships/hyperlink" Target="https://www.muenchenstein.ch/_rte/abstimmung/209300" TargetMode="External"/><Relationship Id="rId458" Type="http://schemas.openxmlformats.org/officeDocument/2006/relationships/hyperlink" Target="https://www.ur.ch/abstimmungen/termine/65818" TargetMode="External"/><Relationship Id="rId623" Type="http://schemas.openxmlformats.org/officeDocument/2006/relationships/hyperlink" Target="https://www.sg.ch/news/sgch_aussenbeziehungen/2026/09/aenderung-der-verordnung-ueber-die-schweizerische-nationalbiblio.html" TargetMode="External"/><Relationship Id="rId665" Type="http://schemas.openxmlformats.org/officeDocument/2006/relationships/hyperlink" Target="https://www.sg.ch/news/sgch_aussenbeziehungen/2026/09/aenderung-des-sprachengesetzes.html" TargetMode="External"/><Relationship Id="rId15" Type="http://schemas.openxmlformats.org/officeDocument/2006/relationships/hyperlink" Target="https://www.muenchenstein.ch/_doc/5680231" TargetMode="External"/><Relationship Id="rId57" Type="http://schemas.openxmlformats.org/officeDocument/2006/relationships/hyperlink" Target="https://www.muenchenstein.ch/_rte/abstimmung/145284" TargetMode="External"/><Relationship Id="rId262" Type="http://schemas.openxmlformats.org/officeDocument/2006/relationships/hyperlink" Target="https://www.muenchenstein.ch/_rte/abstimmung/27788" TargetMode="External"/><Relationship Id="rId318" Type="http://schemas.openxmlformats.org/officeDocument/2006/relationships/hyperlink" Target="https://www.muenchenstein.ch/_rte/abstimmung/328987" TargetMode="External"/><Relationship Id="rId525" Type="http://schemas.openxmlformats.org/officeDocument/2006/relationships/hyperlink" Target="https://www.stadtwil.ch/storage/d9c02697aa4a2bf1cb1185338aa8c4455c0625e752a48c9f9188654ff4b1c29e" TargetMode="External"/><Relationship Id="rId567" Type="http://schemas.openxmlformats.org/officeDocument/2006/relationships/hyperlink" Target="https://www.stadtwil.ch/topics/bauen-und-planen/wil-vivendo/ortsplanungsrevision/news/richtprojekt-kindlimann-areal" TargetMode="External"/><Relationship Id="rId732" Type="http://schemas.openxmlformats.org/officeDocument/2006/relationships/hyperlink" Target="https://www.stadtwil.ch/topics/bauen-und-planen/wil-vivendo/ortsplanungsrevision/veranstaltungen-und-mitwirkung/strategiekonferenzen/strategiekonferenz-1-am-30-august-2024" TargetMode="External"/><Relationship Id="rId99" Type="http://schemas.openxmlformats.org/officeDocument/2006/relationships/hyperlink" Target="https://www.muenchenstein.ch/_rte/abstimmung/112315" TargetMode="External"/><Relationship Id="rId122" Type="http://schemas.openxmlformats.org/officeDocument/2006/relationships/hyperlink" Target="https://www.muenchenstein.ch/_rte/abstimmung/132796" TargetMode="External"/><Relationship Id="rId164" Type="http://schemas.openxmlformats.org/officeDocument/2006/relationships/hyperlink" Target="https://www.muenchenstein.ch/_rte/abstimmung/156436" TargetMode="External"/><Relationship Id="rId371" Type="http://schemas.openxmlformats.org/officeDocument/2006/relationships/hyperlink" Target="https://www.muenchenstein.ch/_rte/abstimmung/95008" TargetMode="External"/><Relationship Id="rId774" Type="http://schemas.openxmlformats.org/officeDocument/2006/relationships/hyperlink" Target="https://www.stadtwil.ch/topics/stadt-politik-und-recht/abstimmungen-und-wahlen/vergangene-abstimmungen/2025-vergangene-abstimmungen-und-wahlen-1/18-05-2025-eidgenoessisches-blankodatum/iii-nachtrag-zum-gesetz-ueber-ruhetag-und-ladenoeffnung" TargetMode="External"/><Relationship Id="rId427" Type="http://schemas.openxmlformats.org/officeDocument/2006/relationships/hyperlink" Target="https://www.seelisberg.ch/files/pdf/Verordnung_&#252;ber_das_Verfahren_an_der_Gemeindeversammlung.pdf" TargetMode="External"/><Relationship Id="rId469" Type="http://schemas.openxmlformats.org/officeDocument/2006/relationships/hyperlink" Target="https://www.sg.ch/content/dam/sgch/politik-verwaltung/gemeinden/gemeindenfinanzen/rechnungslegung-rmsg/berichterstattung/Muster%20Anhang%20der%20Jahresrechnung%20(Version%201.3).docx" TargetMode="External"/><Relationship Id="rId634" Type="http://schemas.openxmlformats.org/officeDocument/2006/relationships/hyperlink" Target="https://www.stadtwil.ch/storage/0365b801e4a6979a9deedfdb1e4474f6218fc0f46dc651c6573af4f3dbbcb1b0" TargetMode="External"/><Relationship Id="rId676" Type="http://schemas.openxmlformats.org/officeDocument/2006/relationships/hyperlink" Target="https://www.sg.ch/politik-verwaltung/abstimmungen-wahlen/e-voting.html" TargetMode="External"/><Relationship Id="rId26" Type="http://schemas.openxmlformats.org/officeDocument/2006/relationships/hyperlink" Target="https://www.muenchenstein.ch/_rte/abstimmung/101977" TargetMode="External"/><Relationship Id="rId231" Type="http://schemas.openxmlformats.org/officeDocument/2006/relationships/hyperlink" Target="https://www.muenchenstein.ch/_rte/abstimmung/234049" TargetMode="External"/><Relationship Id="rId273" Type="http://schemas.openxmlformats.org/officeDocument/2006/relationships/hyperlink" Target="https://www.muenchenstein.ch/_rte/abstimmung/294847" TargetMode="External"/><Relationship Id="rId329" Type="http://schemas.openxmlformats.org/officeDocument/2006/relationships/hyperlink" Target="https://www.muenchenstein.ch/_rte/abstimmung/42065" TargetMode="External"/><Relationship Id="rId480" Type="http://schemas.openxmlformats.org/officeDocument/2006/relationships/hyperlink" Target="https://www.stadtwil.ch/storage/00d786594258b2cfb99d6fa189b3ef62aa32d331ad569520e84a05600afecd48" TargetMode="External"/><Relationship Id="rId536" Type="http://schemas.openxmlformats.org/officeDocument/2006/relationships/hyperlink" Target="https://www.stadtwil.ch/news/abstimmung-zum-steuerfuss-2026-der-stadt-wil-stimmberechtigte-entscheiden-sich-fuer-115" TargetMode="External"/><Relationship Id="rId701" Type="http://schemas.openxmlformats.org/officeDocument/2006/relationships/hyperlink" Target="https://www.stadtwil.ch/auth/login?skip=0&amp;to=%2Ftopics%2Fsport%2Fsportfoerderung%2Fleitbild-sport" TargetMode="External"/><Relationship Id="rId68" Type="http://schemas.openxmlformats.org/officeDocument/2006/relationships/hyperlink" Target="http://www.gemeinden-web.ch/gemeinden/muenchensteinneu/dl.php/de/0d1e8-eyr1rh/GV_protokolle_1988_comp.pdf" TargetMode="External"/><Relationship Id="rId133" Type="http://schemas.openxmlformats.org/officeDocument/2006/relationships/hyperlink" Target="https://www.muenchenstein.ch/_rte/abstimmung/139486" TargetMode="External"/><Relationship Id="rId175" Type="http://schemas.openxmlformats.org/officeDocument/2006/relationships/hyperlink" Target="https://www.muenchenstein.ch/_rte/abstimmung/160331" TargetMode="External"/><Relationship Id="rId340" Type="http://schemas.openxmlformats.org/officeDocument/2006/relationships/hyperlink" Target="https://www.muenchenstein.ch/_rte/abstimmung/50346" TargetMode="External"/><Relationship Id="rId578" Type="http://schemas.openxmlformats.org/officeDocument/2006/relationships/hyperlink" Target="https://www.stadtwil.ch/auth/login?skip=0&amp;to=%2Ftopics%2Fbauen-und-planen%2Fwil-vivendo%2Fortsplanungsrevision%2Fnews%2Fhalbzeit-mitwirkung%2Fvom-areal-zum-lebensraum" TargetMode="External"/><Relationship Id="rId743" Type="http://schemas.openxmlformats.org/officeDocument/2006/relationships/hyperlink" Target="https://www.stadtwil.ch/topics/stadt-politik-und-recht/abstimmungen-und-wahlen/2026-kommende-abstimmungen/2027-kommende-abstimmungen-und-wahlen" TargetMode="External"/><Relationship Id="rId785" Type="http://schemas.openxmlformats.org/officeDocument/2006/relationships/hyperlink" Target="https://www.stadtwil.ch/topics/stadt-politik-und-recht/abstimmungen-und-wahlen/vorlagen/eidgenoessische-vorlagen/03-03-2024-volksinitiative-vom-16-juli-2021-fuer-eine-sichere-und-nachhaltige-altersvorsorge" TargetMode="External"/><Relationship Id="rId200" Type="http://schemas.openxmlformats.org/officeDocument/2006/relationships/hyperlink" Target="https://www.muenchenstein.ch/_rte/abstimmung/188476" TargetMode="External"/><Relationship Id="rId382" Type="http://schemas.openxmlformats.org/officeDocument/2006/relationships/hyperlink" Target="https://www.muenchenstein.ch/_rte/wahl/15979" TargetMode="External"/><Relationship Id="rId438" Type="http://schemas.openxmlformats.org/officeDocument/2006/relationships/hyperlink" Target="https://www.bk.admin.ch/de/volksabstimmung/?date=2026-06-14" TargetMode="External"/><Relationship Id="rId603" Type="http://schemas.openxmlformats.org/officeDocument/2006/relationships/hyperlink" Target="https://www.stadtwil.ch/auth/login?skip=0&amp;to=%2Ftopics%2Fbauen-und-planen%2Fprivate-bauprojekte%2Frechtsgrundlagen-bauen-und-planen%2Fbaureglement" TargetMode="External"/><Relationship Id="rId645" Type="http://schemas.openxmlformats.org/officeDocument/2006/relationships/hyperlink" Target="https://www.stadtwil.ch/storage/714f9723c151af4778e93aa518f6d7c4e10da1d6bb6bee87f769115c2a52c5bf" TargetMode="External"/><Relationship Id="rId687" Type="http://schemas.openxmlformats.org/officeDocument/2006/relationships/hyperlink" Target="https://www.stadtwil.ch/auth/login?skip=0&amp;to=%2Ftopics%2Fbauen-und-planen%2Fwil-vivendo%2Fmobilitaet%2Fnetzergaenzung-ost-neo%2Fveranstaltungen%2Fmitwirkungen" TargetMode="External"/><Relationship Id="rId810" Type="http://schemas.openxmlformats.org/officeDocument/2006/relationships/hyperlink" Target="https://www.stadtwil.ch/topics/stadt-politik-und-recht/abstimmungen-und-wahlen/vorlagen/kantonale-wahlen/14-04-2024-2-wahlgang-regierung-kanton-st-gallen" TargetMode="External"/><Relationship Id="rId242" Type="http://schemas.openxmlformats.org/officeDocument/2006/relationships/hyperlink" Target="https://www.muenchenstein.ch/_rte/abstimmung/25246" TargetMode="External"/><Relationship Id="rId284" Type="http://schemas.openxmlformats.org/officeDocument/2006/relationships/hyperlink" Target="https://www.muenchenstein.ch/_rte/abstimmung/301603" TargetMode="External"/><Relationship Id="rId491" Type="http://schemas.openxmlformats.org/officeDocument/2006/relationships/hyperlink" Target="https://www.stadtwil.ch/storage/356e8846d2f4bf3596af93ee31e7f436d1672e86221637431d0a5d3e772db643" TargetMode="External"/><Relationship Id="rId505" Type="http://schemas.openxmlformats.org/officeDocument/2006/relationships/hyperlink" Target="https://www.stadtwil.ch/storage/6ea6b4489bbef7799a32e0edc1e5cce4fd2a4e5e778b129aa2c419aa235a94ed" TargetMode="External"/><Relationship Id="rId712" Type="http://schemas.openxmlformats.org/officeDocument/2006/relationships/hyperlink" Target="https://www.stadtwil.ch/storage/8e977f4e9cada5e8fe9140b3b89dd2d65730a957f233c5ea828624ee6ce7a67c" TargetMode="External"/><Relationship Id="rId37" Type="http://schemas.openxmlformats.org/officeDocument/2006/relationships/hyperlink" Target="https://www.muenchenstein.ch/_rte/abstimmung/158200" TargetMode="External"/><Relationship Id="rId79" Type="http://schemas.openxmlformats.org/officeDocument/2006/relationships/hyperlink" Target="https://www.muenchenstein.ch/_doc/6049465" TargetMode="External"/><Relationship Id="rId102" Type="http://schemas.openxmlformats.org/officeDocument/2006/relationships/hyperlink" Target="https://www.muenchenstein.ch/_rte/abstimmung/115859" TargetMode="External"/><Relationship Id="rId144" Type="http://schemas.openxmlformats.org/officeDocument/2006/relationships/hyperlink" Target="https://www.muenchenstein.ch/_rte/abstimmung/145283" TargetMode="External"/><Relationship Id="rId547" Type="http://schemas.openxmlformats.org/officeDocument/2006/relationships/hyperlink" Target="https://app-eu.readspeaker.com/cgi-bin/rsent?customerid=11974&amp;lang=de_de&amp;readid=maincontent&amp;url=https%3A%2F%2Fwww.sg.ch%2Fpolitik-verwaltung%2Fgemeinden%2Fgrundstueckerwerb-durch-personen-im-ausland.html" TargetMode="External"/><Relationship Id="rId589" Type="http://schemas.openxmlformats.org/officeDocument/2006/relationships/hyperlink" Target="https://wil-sg.tlex.ch/app/de/quick_search/systematic/direct/21/0d0a08bd59c0071627c3b4bdf3b4a43f" TargetMode="External"/><Relationship Id="rId754" Type="http://schemas.openxmlformats.org/officeDocument/2006/relationships/hyperlink" Target="https://www.stadtwil.ch/topics/stadt-politik-und-recht/abstimmungen-und-wahlen/vergangene-abstimmungen/2024-vergangene-abstimmungen-und-wahlen/09-juni-2024-eidgenoessische-volksabstimmung/bundesgesetz-vom-29-september-2023-ueber-eine-sichere-stromversorgung-mit-erneuerbaren-energien" TargetMode="External"/><Relationship Id="rId796" Type="http://schemas.openxmlformats.org/officeDocument/2006/relationships/hyperlink" Target="https://www.stadtwil.ch/topics/stadt-politik-und-recht/abstimmungen-und-wahlen/vorlagen/eidgenoessische-vorlagen/24-11-2024-bundesbeschluss-vom-29-september-2023-ueber-den-ausbauschritt-2023-fuer-die-nationalstrassen" TargetMode="External"/><Relationship Id="rId90" Type="http://schemas.openxmlformats.org/officeDocument/2006/relationships/hyperlink" Target="https://www.muenchenstein.ch/_rte/abstimmung/105469" TargetMode="External"/><Relationship Id="rId186" Type="http://schemas.openxmlformats.org/officeDocument/2006/relationships/hyperlink" Target="https://www.muenchenstein.ch/_rte/abstimmung/169718" TargetMode="External"/><Relationship Id="rId351" Type="http://schemas.openxmlformats.org/officeDocument/2006/relationships/hyperlink" Target="https://www.muenchenstein.ch/_rte/abstimmung/64996" TargetMode="External"/><Relationship Id="rId393" Type="http://schemas.openxmlformats.org/officeDocument/2006/relationships/hyperlink" Target="https://www.muenchenstein.ch/sitzung/5729137" TargetMode="External"/><Relationship Id="rId407" Type="http://schemas.openxmlformats.org/officeDocument/2006/relationships/hyperlink" Target="https://www.seelisberg.ch/politik/budget-rechnung" TargetMode="External"/><Relationship Id="rId449" Type="http://schemas.openxmlformats.org/officeDocument/2006/relationships/hyperlink" Target="https://www.seelisberg.ch/files/pdf/ORIGINAL-Leitbild-Seelisberg-2025-f&#252;r-Webseite.pdf" TargetMode="External"/><Relationship Id="rId614" Type="http://schemas.openxmlformats.org/officeDocument/2006/relationships/hyperlink" Target="https://www.stadtwil.ch/topics/stadt-politik-und-recht/kommissionen-und-delegationen/regionale-und-wirtschaftliche-organisationen/regio-wil" TargetMode="External"/><Relationship Id="rId656" Type="http://schemas.openxmlformats.org/officeDocument/2006/relationships/hyperlink" Target="https://www.sg.ch/content/dam/sgch/politik-verwaltung/gemeinden/gemeindenfinanzen/rechnungslegung-rmsg/Nachtrag%20zum%20Gemeindegesetz%20Botschaft%20und%20Entwurf%20der%20Regierung.pdf" TargetMode="External"/><Relationship Id="rId821" Type="http://schemas.openxmlformats.org/officeDocument/2006/relationships/hyperlink" Target="https://www.stadtwil.ch/topics/stadt-politik-und-recht/stadtparlament/fraktionen" TargetMode="External"/><Relationship Id="rId211" Type="http://schemas.openxmlformats.org/officeDocument/2006/relationships/hyperlink" Target="https://www.muenchenstein.ch/_rte/abstimmung/202925" TargetMode="External"/><Relationship Id="rId253" Type="http://schemas.openxmlformats.org/officeDocument/2006/relationships/hyperlink" Target="https://www.muenchenstein.ch/_rte/abstimmung/265033" TargetMode="External"/><Relationship Id="rId295" Type="http://schemas.openxmlformats.org/officeDocument/2006/relationships/hyperlink" Target="https://www.muenchenstein.ch/_rte/abstimmung/31321" TargetMode="External"/><Relationship Id="rId309" Type="http://schemas.openxmlformats.org/officeDocument/2006/relationships/hyperlink" Target="https://www.muenchenstein.ch/_rte/abstimmung/322393" TargetMode="External"/><Relationship Id="rId460" Type="http://schemas.openxmlformats.org/officeDocument/2006/relationships/hyperlink" Target="https://www.ur.ch/abstimmungen/termine/78493" TargetMode="External"/><Relationship Id="rId516" Type="http://schemas.openxmlformats.org/officeDocument/2006/relationships/hyperlink" Target="https://www.stadtwil.ch/storage/a5932de8419506bf56d4910acd4662ed2ff77b4f123214fb41e56d85938aafb7" TargetMode="External"/><Relationship Id="rId698" Type="http://schemas.openxmlformats.org/officeDocument/2006/relationships/hyperlink" Target="https://www.stadtwil.ch/auth/login?skip=0&amp;to=%2Ftopics%2Fbauen-und-planen%2Fwil-vivendo%2Fsiedlung%2Fschulraumplanung%2Frueckblick-mitwirkung" TargetMode="External"/><Relationship Id="rId48" Type="http://schemas.openxmlformats.org/officeDocument/2006/relationships/hyperlink" Target="https://www.muenchenstein.ch/_rte/abstimmung/289930" TargetMode="External"/><Relationship Id="rId113" Type="http://schemas.openxmlformats.org/officeDocument/2006/relationships/hyperlink" Target="https://www.muenchenstein.ch/_rte/abstimmung/125157" TargetMode="External"/><Relationship Id="rId320" Type="http://schemas.openxmlformats.org/officeDocument/2006/relationships/hyperlink" Target="https://www.muenchenstein.ch/_rte/abstimmung/33944" TargetMode="External"/><Relationship Id="rId558" Type="http://schemas.openxmlformats.org/officeDocument/2006/relationships/hyperlink" Target="https://www.sg.ch/politik-verwaltung/gemeinden/grundstueckerwerb-durch-personen-im-ausland/natuerliche-personen.html" TargetMode="External"/><Relationship Id="rId723" Type="http://schemas.openxmlformats.org/officeDocument/2006/relationships/hyperlink" Target="https://www.stadtwil.ch/topics/bauen-und-planen/wil-vivendo/ortsplanungsrevision/news/halbzeit-mitwirkung/editorial" TargetMode="External"/><Relationship Id="rId765"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anderung-vom-29-september-2023-des-obligationenrechts" TargetMode="External"/><Relationship Id="rId155" Type="http://schemas.openxmlformats.org/officeDocument/2006/relationships/hyperlink" Target="https://www.muenchenstein.ch/_rte/abstimmung/151685" TargetMode="External"/><Relationship Id="rId197" Type="http://schemas.openxmlformats.org/officeDocument/2006/relationships/hyperlink" Target="https://www.muenchenstein.ch/_rte/abstimmung/184292" TargetMode="External"/><Relationship Id="rId362" Type="http://schemas.openxmlformats.org/officeDocument/2006/relationships/hyperlink" Target="https://www.muenchenstein.ch/_rte/abstimmung/79353" TargetMode="External"/><Relationship Id="rId418" Type="http://schemas.openxmlformats.org/officeDocument/2006/relationships/hyperlink" Target="https://www.seelisberg.ch/files/pdf/Verordnung_u&#776;ber_das_Personal.pdf" TargetMode="External"/><Relationship Id="rId625" Type="http://schemas.openxmlformats.org/officeDocument/2006/relationships/hyperlink" Target="https://www.sg.ch/news/sgch_aussenbeziehungen/2026/09/aenderung-der-waffenverordnung.html" TargetMode="External"/><Relationship Id="rId222" Type="http://schemas.openxmlformats.org/officeDocument/2006/relationships/hyperlink" Target="https://www.muenchenstein.ch/_rte/abstimmung/214894" TargetMode="External"/><Relationship Id="rId264" Type="http://schemas.openxmlformats.org/officeDocument/2006/relationships/hyperlink" Target="https://www.muenchenstein.ch/_rte/abstimmung/278252" TargetMode="External"/><Relationship Id="rId471" Type="http://schemas.openxmlformats.org/officeDocument/2006/relationships/hyperlink" Target="https://www.sg.ch/content/dam/sgch/politik-verwaltung/gemeinden/gemeindenfinanzen/rechnungslegung-rmsg/hilfsmittel-und-vorlagen/Finanzplanungstool%20f%C3%BCr%20Spezialgemeinden.xlsx" TargetMode="External"/><Relationship Id="rId667" Type="http://schemas.openxmlformats.org/officeDocument/2006/relationships/hyperlink" Target="https://www.sg.ch/news/sgch_aussenbeziehungen/2026/09/kommission-fuer-rechtsfragen-des-nationalrates--rk-n---18-434-n-.html" TargetMode="External"/><Relationship Id="rId17" Type="http://schemas.openxmlformats.org/officeDocument/2006/relationships/hyperlink" Target="https://www.muenchenstein.ch/_doc/6311416" TargetMode="External"/><Relationship Id="rId59" Type="http://schemas.openxmlformats.org/officeDocument/2006/relationships/hyperlink" Target="https://www.muenchenstein.ch/_rte/abstimmung/27787" TargetMode="External"/><Relationship Id="rId124" Type="http://schemas.openxmlformats.org/officeDocument/2006/relationships/hyperlink" Target="https://www.muenchenstein.ch/_rte/abstimmung/132798" TargetMode="External"/><Relationship Id="rId527" Type="http://schemas.openxmlformats.org/officeDocument/2006/relationships/hyperlink" Target="https://www.stadtwil.ch/storage/e068dbaa9fded889bfe861fbff297036691451b5ac887565ba087a4d424a1dbb" TargetMode="External"/><Relationship Id="rId569" Type="http://schemas.openxmlformats.org/officeDocument/2006/relationships/hyperlink" Target="https://www.stadtwil.ch/topics/bauen-und-planen/wil-vivendo/ortsplanungsrevision/news/richtprojekt-kindlimann-areal/ein-neues-stuecl-stadt-fuer-wil" TargetMode="External"/><Relationship Id="rId734" Type="http://schemas.openxmlformats.org/officeDocument/2006/relationships/hyperlink" Target="https://www.stadtwil.ch/topics/bauen-und-planen/wil-vivendo/siedlung/schulraumplanung/rueckblick-mitwirkung" TargetMode="External"/><Relationship Id="rId776" Type="http://schemas.openxmlformats.org/officeDocument/2006/relationships/hyperlink" Target="https://www.stadtwil.ch/topics/stadt-politik-und-recht/abstimmungen-und-wahlen/vergangene-abstimmungen/2026-vergangene-abstimmungen-und-wahlen/08-03-2026-eidgenoessisches-blankodatum/eidgenoessische-abstimmungen/bundesgesetz-ueber-die-individualbesteuerung" TargetMode="External"/><Relationship Id="rId70" Type="http://schemas.openxmlformats.org/officeDocument/2006/relationships/hyperlink" Target="http://www.gemeinden-web.ch/gemeinden/muenchensteinneu/dl.php/de/0d1e8-hdohhc/GV_protokolle_1990_comp.pdf" TargetMode="External"/><Relationship Id="rId166" Type="http://schemas.openxmlformats.org/officeDocument/2006/relationships/hyperlink" Target="https://www.muenchenstein.ch/_rte/abstimmung/156438" TargetMode="External"/><Relationship Id="rId331" Type="http://schemas.openxmlformats.org/officeDocument/2006/relationships/hyperlink" Target="https://www.muenchenstein.ch/_rte/abstimmung/43115" TargetMode="External"/><Relationship Id="rId373" Type="http://schemas.openxmlformats.org/officeDocument/2006/relationships/hyperlink" Target="https://www.muenchenstein.ch/_rte/abstimmung/95010" TargetMode="External"/><Relationship Id="rId429" Type="http://schemas.openxmlformats.org/officeDocument/2006/relationships/hyperlink" Target="https://www.ur.ch/staatrecht/5828" TargetMode="External"/><Relationship Id="rId580" Type="http://schemas.openxmlformats.org/officeDocument/2006/relationships/hyperlink" Target="https://www.stadtwil.ch/auth/login?skip=0&amp;to=%2Ftopics%2Fbauen-und-planen%2Fwil-vivendo%2Fortsplanungsrevision%2Fveranstaltungen-und-mitwirkung%2Fmitwirkungen%2Fmitwirkung-kindlimann-areal-und-allmend" TargetMode="External"/><Relationship Id="rId636" Type="http://schemas.openxmlformats.org/officeDocument/2006/relationships/hyperlink" Target="https://www.stadtwil.ch/storage/1fb848ed1d368dffceead9ee6f9d435d50e46b801aff2ee5412c10be82bbe25a" TargetMode="External"/><Relationship Id="rId801" Type="http://schemas.openxmlformats.org/officeDocument/2006/relationships/hyperlink" Target="https://www.stadtwil.ch/topics/stadt-politik-und-recht/abstimmungen-und-wahlen/vorlagen/kantonale-vorlagen/18-05-2025-iii-nachtrag-zum-gesetz-ueber-ruhetag-und-ladenoeffnung" TargetMode="External"/><Relationship Id="rId1" Type="http://schemas.openxmlformats.org/officeDocument/2006/relationships/hyperlink" Target="https://www.data.finance.admin.ch/static/assets/datasets/fs_dashboard/finanzkennz-d.xlsx" TargetMode="External"/><Relationship Id="rId233" Type="http://schemas.openxmlformats.org/officeDocument/2006/relationships/hyperlink" Target="https://www.muenchenstein.ch/_rte/abstimmung/241229" TargetMode="External"/><Relationship Id="rId440" Type="http://schemas.openxmlformats.org/officeDocument/2006/relationships/hyperlink" Target="https://www.seelisberg.ch/files/pdf/20052022_Protokoll-Beschl&#252;sse.pdf" TargetMode="External"/><Relationship Id="rId678" Type="http://schemas.openxmlformats.org/officeDocument/2006/relationships/hyperlink" Target="https://www.sg.ch/politik-verwaltung/abstimmungen-wahlen/wahlen.html" TargetMode="External"/><Relationship Id="rId28" Type="http://schemas.openxmlformats.org/officeDocument/2006/relationships/hyperlink" Target="https://www.areale.mstein.ch/" TargetMode="External"/><Relationship Id="rId275" Type="http://schemas.openxmlformats.org/officeDocument/2006/relationships/hyperlink" Target="https://www.muenchenstein.ch/_rte/abstimmung/294853" TargetMode="External"/><Relationship Id="rId300" Type="http://schemas.openxmlformats.org/officeDocument/2006/relationships/hyperlink" Target="https://www.muenchenstein.ch/_rte/abstimmung/318752" TargetMode="External"/><Relationship Id="rId482" Type="http://schemas.openxmlformats.org/officeDocument/2006/relationships/hyperlink" Target="https://www.stadtwil.ch/storage/03f5d61667f9d47a687cfd0f6e9bfc88857fc052c44cec8a7bd99d527a224938" TargetMode="External"/><Relationship Id="rId538" Type="http://schemas.openxmlformats.org/officeDocument/2006/relationships/hyperlink" Target="https://www.stadtwil.ch/storage/36e01fa373b8b4452a123dda5eb4e2c97823382f52e80e05fa53611f526b1d73" TargetMode="External"/><Relationship Id="rId703" Type="http://schemas.openxmlformats.org/officeDocument/2006/relationships/hyperlink" Target="https://www.stadtwil.ch/auth/login?skip=0&amp;to=%2Ftopics%2Fstadt-politik-und-recht%2Fabstimmungen-und-wahlen%2F2026-kommende-abstimmungen%2F2026-kommende-abstimmungen-und-wahlen%2F29-11-2026-eidgenoessisches-blankodatum" TargetMode="External"/><Relationship Id="rId745" Type="http://schemas.openxmlformats.org/officeDocument/2006/relationships/hyperlink" Target="https://www.stadtwil.ch/topics/stadt-politik-und-recht/abstimmungen-und-wahlen/2026-kommende-abstimmungen/2027-kommende-abstimmungen-und-wahlen/24-10-2027-eidgenoessisches-blankodatum" TargetMode="External"/><Relationship Id="rId81" Type="http://schemas.openxmlformats.org/officeDocument/2006/relationships/hyperlink" Target="https://www.muenchenstein.ch/_rte/abstimmung/101974" TargetMode="External"/><Relationship Id="rId135" Type="http://schemas.openxmlformats.org/officeDocument/2006/relationships/hyperlink" Target="https://www.muenchenstein.ch/_rte/abstimmung/139488" TargetMode="External"/><Relationship Id="rId177" Type="http://schemas.openxmlformats.org/officeDocument/2006/relationships/hyperlink" Target="https://www.muenchenstein.ch/_rte/abstimmung/161706" TargetMode="External"/><Relationship Id="rId342" Type="http://schemas.openxmlformats.org/officeDocument/2006/relationships/hyperlink" Target="https://www.muenchenstein.ch/_rte/abstimmung/63663" TargetMode="External"/><Relationship Id="rId384" Type="http://schemas.openxmlformats.org/officeDocument/2006/relationships/hyperlink" Target="https://www.muenchenstein.ch/_rte/wahl/916" TargetMode="External"/><Relationship Id="rId591" Type="http://schemas.openxmlformats.org/officeDocument/2006/relationships/hyperlink" Target="https://wil-sg.tlex.ch/app/de/texts_of_law/7.4.3-6" TargetMode="External"/><Relationship Id="rId605" Type="http://schemas.openxmlformats.org/officeDocument/2006/relationships/hyperlink" Target="https://www.stadtwil.ch/auth/login?skip=0&amp;to=%2Ftopics%2Fbauen-und-planen%2Fprivate-bauprojekte%2Frechtsgrundlagen-bauen-und-planen%2Fkommunale-schutzverordnung%2Fschutzinventar-der-bau-und-gartendenkmaeler" TargetMode="External"/><Relationship Id="rId787" Type="http://schemas.openxmlformats.org/officeDocument/2006/relationships/hyperlink" Target="https://www.stadtwil.ch/topics/stadt-politik-und-recht/abstimmungen-und-wahlen/vorlagen/eidgenoessische-vorlagen/09-02-2025-volksinitiative-vom-21-februar-2023-fuer-eine-verantwortungsvolle-wirtschaft-innerhalb-der-planetaren-grenzen" TargetMode="External"/><Relationship Id="rId812" Type="http://schemas.openxmlformats.org/officeDocument/2006/relationships/hyperlink" Target="https://www.stadtwil.ch/topics/stadt-politik-und-recht/abstimmungen-und-wahlen/vorlagen/kommunale-vorlagen/22-11-2024-baukredit-fuer-den-neubau-werkhof-wil" TargetMode="External"/><Relationship Id="rId202" Type="http://schemas.openxmlformats.org/officeDocument/2006/relationships/hyperlink" Target="https://www.muenchenstein.ch/_rte/abstimmung/188488" TargetMode="External"/><Relationship Id="rId244" Type="http://schemas.openxmlformats.org/officeDocument/2006/relationships/hyperlink" Target="https://www.muenchenstein.ch/_rte/abstimmung/258896" TargetMode="External"/><Relationship Id="rId647" Type="http://schemas.openxmlformats.org/officeDocument/2006/relationships/hyperlink" Target="https://www.stadtwil.ch/storage/8633ae9158140c04ff9f207328b47896a256e5505af8d0981a72ac65d8543cb3" TargetMode="External"/><Relationship Id="rId689" Type="http://schemas.openxmlformats.org/officeDocument/2006/relationships/hyperlink" Target="https://www.stadtwil.ch/auth/login?skip=0&amp;to=%2Ftopics%2Fbauen-und-planen%2Fwil-vivendo%2Fortsplanungsrevision%2Fnews%2Fhalbzeit-mitwirkung%2Faufloesung-der-frage" TargetMode="External"/><Relationship Id="rId39" Type="http://schemas.openxmlformats.org/officeDocument/2006/relationships/hyperlink" Target="https://www.muenchenstein.ch/_rte/abstimmung/195028" TargetMode="External"/><Relationship Id="rId286" Type="http://schemas.openxmlformats.org/officeDocument/2006/relationships/hyperlink" Target="https://www.muenchenstein.ch/_rte/abstimmung/305797" TargetMode="External"/><Relationship Id="rId451" Type="http://schemas.openxmlformats.org/officeDocument/2006/relationships/hyperlink" Target="https://www.seelisberg.ch/files/pdf/kommunale-Abstimmung-Seelisberg_260308.pdf" TargetMode="External"/><Relationship Id="rId493" Type="http://schemas.openxmlformats.org/officeDocument/2006/relationships/hyperlink" Target="https://www.stadtwil.ch/storage/3eedf5399f7a4cdf58e325351954838cac425d01156db4562cefc13a1b796b21" TargetMode="External"/><Relationship Id="rId507" Type="http://schemas.openxmlformats.org/officeDocument/2006/relationships/hyperlink" Target="https://www.stadtwil.ch/storage/7bdf3cf3bc6fbe1586e1b1535d10b86be6d22895e39bf623b35dd6f392849ead" TargetMode="External"/><Relationship Id="rId549" Type="http://schemas.openxmlformats.org/officeDocument/2006/relationships/hyperlink" Target="https://www.bj.admin.ch/de/fragen-und-antworten" TargetMode="External"/><Relationship Id="rId714" Type="http://schemas.openxmlformats.org/officeDocument/2006/relationships/hyperlink" Target="https://www.stadtwil.ch/storage/d88eb4851dead2a157160e532c982b8753bf002afa0cb8d9ae834fb998c4c6ba" TargetMode="External"/><Relationship Id="rId756" Type="http://schemas.openxmlformats.org/officeDocument/2006/relationships/hyperlink" Target="https://www.stadtwil.ch/topics/stadt-politik-und-recht/abstimmungen-und-wahlen/vergangene-abstimmungen/2024-vergangene-abstimmungen-und-wahlen/09-juni-2024-eidgenoessische-volksabstimmung/maximal-10-des-einkommens-fuer-die-krankenkassenpraemien-praemien-entlastungs-initiative" TargetMode="External"/><Relationship Id="rId50" Type="http://schemas.openxmlformats.org/officeDocument/2006/relationships/hyperlink" Target="https://www.muenchenstein.ch/_rte/abstimmung/299275" TargetMode="External"/><Relationship Id="rId104" Type="http://schemas.openxmlformats.org/officeDocument/2006/relationships/hyperlink" Target="https://www.muenchenstein.ch/_rte/abstimmung/115861" TargetMode="External"/><Relationship Id="rId146" Type="http://schemas.openxmlformats.org/officeDocument/2006/relationships/hyperlink" Target="https://www.muenchenstein.ch/_rte/abstimmung/147755" TargetMode="External"/><Relationship Id="rId188" Type="http://schemas.openxmlformats.org/officeDocument/2006/relationships/hyperlink" Target="https://www.muenchenstein.ch/_rte/abstimmung/169724" TargetMode="External"/><Relationship Id="rId311" Type="http://schemas.openxmlformats.org/officeDocument/2006/relationships/hyperlink" Target="https://www.muenchenstein.ch/_rte/abstimmung/327079" TargetMode="External"/><Relationship Id="rId353" Type="http://schemas.openxmlformats.org/officeDocument/2006/relationships/hyperlink" Target="https://www.muenchenstein.ch/_rte/abstimmung/68451" TargetMode="External"/><Relationship Id="rId395" Type="http://schemas.openxmlformats.org/officeDocument/2006/relationships/hyperlink" Target="https://www.seelisberg.ch/files/pdf/BUDGET2024_extern-ohne-Text.pdf" TargetMode="External"/><Relationship Id="rId409" Type="http://schemas.openxmlformats.org/officeDocument/2006/relationships/hyperlink" Target="https://www.ur.ch/finanzen/1585" TargetMode="External"/><Relationship Id="rId560" Type="http://schemas.openxmlformats.org/officeDocument/2006/relationships/hyperlink" Target="https://www.stadtwil.ch/auth/login?skip=0&amp;to=%2Ftopics%2Fbauen-und-planen%2Fwil-vivendo%2Fortsplanungsrevision%2Fnews%2Frichtprojekt-kindlimann-areal%2Feditorial" TargetMode="External"/><Relationship Id="rId798" Type="http://schemas.openxmlformats.org/officeDocument/2006/relationships/hyperlink" Target="https://www.stadtwil.ch/topics/stadt-politik-und-recht/abstimmungen-und-wahlen/vorlagen/eidgenoessische-vorlagen/test" TargetMode="External"/><Relationship Id="rId92" Type="http://schemas.openxmlformats.org/officeDocument/2006/relationships/hyperlink" Target="https://www.muenchenstein.ch/_rte/abstimmung/108519" TargetMode="External"/><Relationship Id="rId213" Type="http://schemas.openxmlformats.org/officeDocument/2006/relationships/hyperlink" Target="https://www.muenchenstein.ch/_rte/abstimmung/202931" TargetMode="External"/><Relationship Id="rId420" Type="http://schemas.openxmlformats.org/officeDocument/2006/relationships/hyperlink" Target="https://www.seelisberg.ch/files/pdf/Verordnung_u&#776;ber_den_Feuerschutz.pdf" TargetMode="External"/><Relationship Id="rId616" Type="http://schemas.openxmlformats.org/officeDocument/2006/relationships/hyperlink" Target="https://www.stadtwil.ch/topics/stadt-politik-und-recht/kommissionen-und-delegationen/regionale-und-wirtschaftliche-organisationen/regio-wil-fachgruppe-siedlung-landschaft-und-umwelt" TargetMode="External"/><Relationship Id="rId658" Type="http://schemas.openxmlformats.org/officeDocument/2006/relationships/hyperlink" Target="https://www.sg.ch/news/sgch_allgemein/2025/12/gesetz-ueber-die-stattlichen-stipendien-und-studiendarlehen--sti.html" TargetMode="External"/><Relationship Id="rId823" Type="http://schemas.openxmlformats.org/officeDocument/2006/relationships/hyperlink" Target="https://www.stadtwil.ch/topics/stadt-politik-und-recht/stadtparlament/mitglieder" TargetMode="External"/><Relationship Id="rId255" Type="http://schemas.openxmlformats.org/officeDocument/2006/relationships/hyperlink" Target="https://www.muenchenstein.ch/_rte/abstimmung/270899" TargetMode="External"/><Relationship Id="rId297" Type="http://schemas.openxmlformats.org/officeDocument/2006/relationships/hyperlink" Target="https://www.muenchenstein.ch/_rte/abstimmung/318743" TargetMode="External"/><Relationship Id="rId462" Type="http://schemas.openxmlformats.org/officeDocument/2006/relationships/hyperlink" Target="https://www.ur.ch/exekutivgeschaefte" TargetMode="External"/><Relationship Id="rId518" Type="http://schemas.openxmlformats.org/officeDocument/2006/relationships/hyperlink" Target="https://www.stadtwil.ch/storage/af262256d670e42b38e29b3778421d715ef05070895c92d8768e99512c911da5" TargetMode="External"/><Relationship Id="rId725" Type="http://schemas.openxmlformats.org/officeDocument/2006/relationships/hyperlink" Target="https://www.stadtwil.ch/topics/bauen-und-planen/wil-vivendo/ortsplanungsrevision/veranstaltungen-und-mitwirkung" TargetMode="External"/><Relationship Id="rId115" Type="http://schemas.openxmlformats.org/officeDocument/2006/relationships/hyperlink" Target="https://www.muenchenstein.ch/_rte/abstimmung/125159" TargetMode="External"/><Relationship Id="rId157" Type="http://schemas.openxmlformats.org/officeDocument/2006/relationships/hyperlink" Target="https://www.muenchenstein.ch/_rte/abstimmung/151687" TargetMode="External"/><Relationship Id="rId322" Type="http://schemas.openxmlformats.org/officeDocument/2006/relationships/hyperlink" Target="https://www.muenchenstein.ch/_rte/abstimmung/35594" TargetMode="External"/><Relationship Id="rId364" Type="http://schemas.openxmlformats.org/officeDocument/2006/relationships/hyperlink" Target="https://www.muenchenstein.ch/_rte/abstimmung/80793" TargetMode="External"/><Relationship Id="rId767"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baukredit-fuer-den-neubau-werkhof-wil" TargetMode="External"/><Relationship Id="rId61" Type="http://schemas.openxmlformats.org/officeDocument/2006/relationships/hyperlink" Target="http://www.gemeinden-web.ch/gemeinden/muenchensteinneu/dl.php/de/0d1e8-4szbws/GV_protokolle_1981_comp.pdf" TargetMode="External"/><Relationship Id="rId199" Type="http://schemas.openxmlformats.org/officeDocument/2006/relationships/hyperlink" Target="https://www.muenchenstein.ch/_rte/abstimmung/184298" TargetMode="External"/><Relationship Id="rId571" Type="http://schemas.openxmlformats.org/officeDocument/2006/relationships/hyperlink" Target="https://www.stadtwil.ch/topics/bauen-und-planen/wil-vivendo/ortsplanungsrevision/news/richtprojekt-kindlimann-areal/wie-gut-kennen-sie-die-stadt-wil" TargetMode="External"/><Relationship Id="rId627" Type="http://schemas.openxmlformats.org/officeDocument/2006/relationships/hyperlink" Target="https://www.stadtwil.ch/directories/rechtssammlung/323-1-reglement-ueber-das-jugendparlament" TargetMode="External"/><Relationship Id="rId669" Type="http://schemas.openxmlformats.org/officeDocument/2006/relationships/hyperlink" Target="https://www.sg.ch/news/sgch_aussenbeziehungen/2026/09/teilrevision-des-bundesgesetzes-ueber-arzneimittel-und-medizinpr.html" TargetMode="External"/><Relationship Id="rId19" Type="http://schemas.openxmlformats.org/officeDocument/2006/relationships/hyperlink" Target="https://www.muenchenstein.ch/_doc/6432422" TargetMode="External"/><Relationship Id="rId224" Type="http://schemas.openxmlformats.org/officeDocument/2006/relationships/hyperlink" Target="https://www.muenchenstein.ch/_rte/abstimmung/225932" TargetMode="External"/><Relationship Id="rId266" Type="http://schemas.openxmlformats.org/officeDocument/2006/relationships/hyperlink" Target="https://www.muenchenstein.ch/_rte/abstimmung/278261" TargetMode="External"/><Relationship Id="rId431" Type="http://schemas.openxmlformats.org/officeDocument/2006/relationships/hyperlink" Target="https://www.admin.ch/de/volksabstimmung-vom-27-september-2026" TargetMode="External"/><Relationship Id="rId473" Type="http://schemas.openxmlformats.org/officeDocument/2006/relationships/hyperlink" Target="https://www.sg.ch/content/dam/sgch/politik-verwaltung/gemeinden/gemeindenfinanzen/rmsg-handbuch/08%20Anhang%20Jahresrechnung.pdf" TargetMode="External"/><Relationship Id="rId529" Type="http://schemas.openxmlformats.org/officeDocument/2006/relationships/hyperlink" Target="https://www.stadtwil.ch/storage/e85e215076ce8aba4c1370d0a77a6b96fc4cba8d5f2ab5821c01f989ca208947" TargetMode="External"/><Relationship Id="rId680" Type="http://schemas.openxmlformats.org/officeDocument/2006/relationships/hyperlink" Target="https://www.sg.ch/politik-verwaltung/eidgenoessische-vernehmlassungen.viewpage__1.html" TargetMode="External"/><Relationship Id="rId736" Type="http://schemas.openxmlformats.org/officeDocument/2006/relationships/hyperlink" Target="https://www.stadtwil.ch/topics/kinder-jugendliche-und-familie/jugendliche/jugendparlament" TargetMode="External"/><Relationship Id="rId30" Type="http://schemas.openxmlformats.org/officeDocument/2006/relationships/hyperlink" Target="https://www.muenchenstein.ch/_rte/abstimmung/251057" TargetMode="External"/><Relationship Id="rId126" Type="http://schemas.openxmlformats.org/officeDocument/2006/relationships/hyperlink" Target="https://www.muenchenstein.ch/_rte/abstimmung/132801" TargetMode="External"/><Relationship Id="rId168" Type="http://schemas.openxmlformats.org/officeDocument/2006/relationships/hyperlink" Target="https://www.muenchenstein.ch/_rte/abstimmung/156444" TargetMode="External"/><Relationship Id="rId333" Type="http://schemas.openxmlformats.org/officeDocument/2006/relationships/hyperlink" Target="https://www.muenchenstein.ch/_rte/abstimmung/44753" TargetMode="External"/><Relationship Id="rId540" Type="http://schemas.openxmlformats.org/officeDocument/2006/relationships/hyperlink" Target="https://www.stadtwil.ch/storage/431f232a4601281ffda55c76f7ee5d95185e84eaa2c96b087984242856f46900" TargetMode="External"/><Relationship Id="rId778" Type="http://schemas.openxmlformats.org/officeDocument/2006/relationships/hyperlink" Target="https://www.stadtwil.ch/topics/stadt-politik-und-recht/abstimmungen-und-wahlen/vergangene-abstimmungen/2026-vergangene-abstimmungen-und-wahlen/08-03-2026-eidgenoessisches-blankodatum/eidgenoessische-abstimmungen/volksinitiative-fuer-einen-wirksamen-klimaschutz-klimafonds-initiative" TargetMode="External"/><Relationship Id="rId72" Type="http://schemas.openxmlformats.org/officeDocument/2006/relationships/hyperlink" Target="http://www.gemeinden-web.ch/gemeinden/muenchensteinneu/dl.php/de/0d1e8-lc0dq8/GV_protokolle_1992_comp.pdf" TargetMode="External"/><Relationship Id="rId375" Type="http://schemas.openxmlformats.org/officeDocument/2006/relationships/hyperlink" Target="https://www.muenchenstein.ch/_rte/abstimmung/97018" TargetMode="External"/><Relationship Id="rId582" Type="http://schemas.openxmlformats.org/officeDocument/2006/relationships/hyperlink" Target="https://www.stadtwil.ch/topics/bauen-und-planen/wil-vivendo/ortsplanungsrevision/news/halbzeit-mitwirkung/vom-areal-zum-lebensraum" TargetMode="External"/><Relationship Id="rId638" Type="http://schemas.openxmlformats.org/officeDocument/2006/relationships/hyperlink" Target="https://www.stadtwil.ch/storage/25210da970ea0f16696f6ddd4348a820c2e59eb2be1d668424eb39932fa993f5" TargetMode="External"/><Relationship Id="rId803" Type="http://schemas.openxmlformats.org/officeDocument/2006/relationships/hyperlink" Target="https://www.stadtwil.ch/topics/stadt-politik-und-recht/abstimmungen-und-wahlen/vorlagen/kantonale-vorlagen/24-11-2024-vii-nachtrag-zum-sozialhilfegesetz-foerderung-und-finanzierung-von-spezialpflegeangeboten" TargetMode="External"/><Relationship Id="rId3" Type="http://schemas.openxmlformats.org/officeDocument/2006/relationships/hyperlink" Target="https://www.data.finance.admin.ch/static/assets/datasets/gfs_dashboard/monatsdaten-d.xlsx" TargetMode="External"/><Relationship Id="rId235" Type="http://schemas.openxmlformats.org/officeDocument/2006/relationships/hyperlink" Target="https://www.muenchenstein.ch/_rte/abstimmung/241235" TargetMode="External"/><Relationship Id="rId277" Type="http://schemas.openxmlformats.org/officeDocument/2006/relationships/hyperlink" Target="https://www.muenchenstein.ch/_rte/abstimmung/29592" TargetMode="External"/><Relationship Id="rId400" Type="http://schemas.openxmlformats.org/officeDocument/2006/relationships/hyperlink" Target="https://www.seelisberg.ch/files/pdf/Gesamt-Budget_2022_extern-ohne-Text.pdf" TargetMode="External"/><Relationship Id="rId442" Type="http://schemas.openxmlformats.org/officeDocument/2006/relationships/hyperlink" Target="https://www.seelisberg.ch/files/pdf/Abstimmung_GdeSeelisberg_220924.pdf" TargetMode="External"/><Relationship Id="rId484" Type="http://schemas.openxmlformats.org/officeDocument/2006/relationships/hyperlink" Target="https://www.stadtwil.ch/storage/0f0d7ad95464bf91a72506e63d2aae1d5c18327f9bff4bf34b8400c36999b277" TargetMode="External"/><Relationship Id="rId705" Type="http://schemas.openxmlformats.org/officeDocument/2006/relationships/hyperlink" Target="https://www.stadtwil.ch/auth/login?skip=0&amp;to=%2Ftopics%2Fstadt-politik-und-recht%2Fabstimmungen-und-wahlen%2F2026-kommende-abstimmungen%2F2027-kommende-abstimmungen-und-wahlen%2F24-10-2027-eidgenoessisches-blankodatum" TargetMode="External"/><Relationship Id="rId137" Type="http://schemas.openxmlformats.org/officeDocument/2006/relationships/hyperlink" Target="https://www.muenchenstein.ch/_rte/abstimmung/139490" TargetMode="External"/><Relationship Id="rId302" Type="http://schemas.openxmlformats.org/officeDocument/2006/relationships/hyperlink" Target="https://www.muenchenstein.ch/_rte/abstimmung/318761" TargetMode="External"/><Relationship Id="rId344" Type="http://schemas.openxmlformats.org/officeDocument/2006/relationships/hyperlink" Target="https://www.muenchenstein.ch/_rte/abstimmung/63665" TargetMode="External"/><Relationship Id="rId691" Type="http://schemas.openxmlformats.org/officeDocument/2006/relationships/hyperlink" Target="https://www.stadtwil.ch/auth/login?skip=0&amp;to=%2Ftopics%2Fbauen-und-planen%2Fwil-vivendo%2Fortsplanungsrevision%2Fnews%2Fstart-offentliche-mitwirkung" TargetMode="External"/><Relationship Id="rId747" Type="http://schemas.openxmlformats.org/officeDocument/2006/relationships/hyperlink" Target="https://www.stadtwil.ch/topics/stadt-politik-und-recht/abstimmungen-und-wahlen/2026-kommende-abstimmungen/2027-kommende-abstimmungen-und-wahlen/28-11-2027-eidgenoessisches-blankodatum" TargetMode="External"/><Relationship Id="rId789" Type="http://schemas.openxmlformats.org/officeDocument/2006/relationships/hyperlink" Target="https://www.stadtwil.ch/topics/stadt-politik-und-recht/abstimmungen-und-wahlen/vorlagen/eidgenoessische-vorlagen/09-06-2024-bundesgesetz-vom-29-september-2023-ueber-eine-sichere-stromversorgung-mit-erneuerbaren-energien" TargetMode="External"/><Relationship Id="rId41" Type="http://schemas.openxmlformats.org/officeDocument/2006/relationships/hyperlink" Target="https://www.muenchenstein.ch/_rte/abstimmung/25247" TargetMode="External"/><Relationship Id="rId83" Type="http://schemas.openxmlformats.org/officeDocument/2006/relationships/hyperlink" Target="https://www.muenchenstein.ch/_rte/abstimmung/101976" TargetMode="External"/><Relationship Id="rId179" Type="http://schemas.openxmlformats.org/officeDocument/2006/relationships/hyperlink" Target="https://www.muenchenstein.ch/_rte/abstimmung/161711" TargetMode="External"/><Relationship Id="rId386" Type="http://schemas.openxmlformats.org/officeDocument/2006/relationships/hyperlink" Target="https://www.muenchenstein.ch/_rtr/sitzung.list" TargetMode="External"/><Relationship Id="rId551" Type="http://schemas.openxmlformats.org/officeDocument/2006/relationships/hyperlink" Target="https://www.gesetzessammlung.sg.ch/app/de/texts_of_law/914.1" TargetMode="External"/><Relationship Id="rId593" Type="http://schemas.openxmlformats.org/officeDocument/2006/relationships/hyperlink" Target="https://wil-sg.tlex.ch/app/de/texts_of_law/7.4.3-6.2" TargetMode="External"/><Relationship Id="rId607" Type="http://schemas.openxmlformats.org/officeDocument/2006/relationships/hyperlink" Target="https://www.stadtwil.ch/auth/login?skip=0&amp;to=%2Ftopics%2Fstadt-politik-und-recht%2Frechtssammlung-1" TargetMode="External"/><Relationship Id="rId649" Type="http://schemas.openxmlformats.org/officeDocument/2006/relationships/hyperlink" Target="https://www.stadtwil.ch/storage/df75667555ec04aaf5ca7c5df3b6993ef5db02b42fe25717d28391d56220d623" TargetMode="External"/><Relationship Id="rId814" Type="http://schemas.openxmlformats.org/officeDocument/2006/relationships/hyperlink" Target="https://www.stadtwil.ch/topics/stadt-politik-und-recht/abstimmungen-und-wahlen/vorlagen/kumunale-wahlen/22-09-2024-erneuerungswahl-der-fuenf-mitglieder-des-stadtrats-1-wahlgang-fuer-die-amtsdauer-2025-2028" TargetMode="External"/><Relationship Id="rId190" Type="http://schemas.openxmlformats.org/officeDocument/2006/relationships/hyperlink" Target="https://www.muenchenstein.ch/_rte/abstimmung/169730" TargetMode="External"/><Relationship Id="rId204" Type="http://schemas.openxmlformats.org/officeDocument/2006/relationships/hyperlink" Target="https://www.muenchenstein.ch/_rte/abstimmung/188494" TargetMode="External"/><Relationship Id="rId246" Type="http://schemas.openxmlformats.org/officeDocument/2006/relationships/hyperlink" Target="https://www.muenchenstein.ch/_rte/abstimmung/261652" TargetMode="External"/><Relationship Id="rId288" Type="http://schemas.openxmlformats.org/officeDocument/2006/relationships/hyperlink" Target="https://www.muenchenstein.ch/_rte/abstimmung/30611" TargetMode="External"/><Relationship Id="rId411" Type="http://schemas.openxmlformats.org/officeDocument/2006/relationships/hyperlink" Target="https://www.seelisberg.ch/einwohner-service/rechtssammlung" TargetMode="External"/><Relationship Id="rId453" Type="http://schemas.openxmlformats.org/officeDocument/2006/relationships/hyperlink" Target="https://www.seelisberg.ch/politik/gemeindeversammlung" TargetMode="External"/><Relationship Id="rId509" Type="http://schemas.openxmlformats.org/officeDocument/2006/relationships/hyperlink" Target="https://www.stadtwil.ch/storage/8577e1164c4d536edeec4b8e0318e0339a79eb5b436493c1b5f5e427addb139d" TargetMode="External"/><Relationship Id="rId660" Type="http://schemas.openxmlformats.org/officeDocument/2006/relationships/hyperlink" Target="https://www.sg.ch/news/sgch_allgemein/2026/08/vi--nachtrag-zum-planungs--und-baugesetz.html" TargetMode="External"/><Relationship Id="rId106" Type="http://schemas.openxmlformats.org/officeDocument/2006/relationships/hyperlink" Target="https://www.muenchenstein.ch/_rte/abstimmung/119063" TargetMode="External"/><Relationship Id="rId313" Type="http://schemas.openxmlformats.org/officeDocument/2006/relationships/hyperlink" Target="https://www.muenchenstein.ch/_rte/abstimmung/327088" TargetMode="External"/><Relationship Id="rId495" Type="http://schemas.openxmlformats.org/officeDocument/2006/relationships/hyperlink" Target="https://www.stadtwil.ch/storage/42d72d8b75f4551ef31e1bf56c19bb941441a9b66f14f5b3acb209f4021e729b" TargetMode="External"/><Relationship Id="rId716" Type="http://schemas.openxmlformats.org/officeDocument/2006/relationships/hyperlink" Target="https://www.stadtwil.ch/topics/alter/aktivitaet-und-mitwirkung" TargetMode="External"/><Relationship Id="rId758" Type="http://schemas.openxmlformats.org/officeDocument/2006/relationships/hyperlink" Target="https://www.stadtwil.ch/topics/stadt-politik-und-recht/abstimmungen-und-wahlen/vergangene-abstimmungen/2024-vergangene-abstimmungen-und-wahlen/14-04-2024-kommunale-abstimmung-und-2-wahlgang-regierung/2-wahlgang-regierung-kanton-st-gallen" TargetMode="External"/><Relationship Id="rId10" Type="http://schemas.openxmlformats.org/officeDocument/2006/relationships/hyperlink" Target="https://www.data.finance.admin.ch/static/assets/datasets/fs_dashboard/sv_ahv-d.xlsx" TargetMode="External"/><Relationship Id="rId52" Type="http://schemas.openxmlformats.org/officeDocument/2006/relationships/hyperlink" Target="https://www.muenchenstein.ch/_rte/abstimmung/68453" TargetMode="External"/><Relationship Id="rId94" Type="http://schemas.openxmlformats.org/officeDocument/2006/relationships/hyperlink" Target="https://www.muenchenstein.ch/_rte/abstimmung/108521" TargetMode="External"/><Relationship Id="rId148" Type="http://schemas.openxmlformats.org/officeDocument/2006/relationships/hyperlink" Target="https://www.muenchenstein.ch/_rte/abstimmung/147757" TargetMode="External"/><Relationship Id="rId355" Type="http://schemas.openxmlformats.org/officeDocument/2006/relationships/hyperlink" Target="https://www.muenchenstein.ch/_rte/abstimmung/68454" TargetMode="External"/><Relationship Id="rId397" Type="http://schemas.openxmlformats.org/officeDocument/2006/relationships/hyperlink" Target="https://www.seelisberg.ch/files/pdf/Budget-ER-2026_Gesamtauflage_ohne-Bemerkungen_&#246;ffentlich.pdf" TargetMode="External"/><Relationship Id="rId520" Type="http://schemas.openxmlformats.org/officeDocument/2006/relationships/hyperlink" Target="https://www.stadtwil.ch/storage/bda848a1c8c0099d7fa141d2ce4b72de3cd99bf41fbadf83f7d4ed51f0748f90" TargetMode="External"/><Relationship Id="rId562" Type="http://schemas.openxmlformats.org/officeDocument/2006/relationships/hyperlink" Target="https://www.stadtwil.ch/auth/login?skip=0&amp;to=%2Ftopics%2Fbauen-und-planen%2Fwil-vivendo%2Fortsplanungsrevision%2Fnews%2Frichtprojekt-kindlimann-areal%2Fkindlimann-areal-naechste-schritte-in-der-ortsplanungsrevision" TargetMode="External"/><Relationship Id="rId618" Type="http://schemas.openxmlformats.org/officeDocument/2006/relationships/hyperlink" Target="https://www.stadtwil.ch/topics/stadt-politik-und-recht/kommissionen-und-delegationen/zweckverbaende/zweckverband-regionalwasserversorgung-mittelthurgau-sued" TargetMode="External"/><Relationship Id="rId825" Type="http://schemas.openxmlformats.org/officeDocument/2006/relationships/hyperlink" Target="https://www.stadtwil.ch/topics/stadt-politik-und-recht/stadtparlament/sitzordung" TargetMode="External"/><Relationship Id="rId215" Type="http://schemas.openxmlformats.org/officeDocument/2006/relationships/hyperlink" Target="https://www.muenchenstein.ch/_rte/abstimmung/209285" TargetMode="External"/><Relationship Id="rId257" Type="http://schemas.openxmlformats.org/officeDocument/2006/relationships/hyperlink" Target="https://www.muenchenstein.ch/_rte/abstimmung/270908" TargetMode="External"/><Relationship Id="rId422" Type="http://schemas.openxmlformats.org/officeDocument/2006/relationships/hyperlink" Target="https://www.seelisberg.ch/files/pdf/Verordnung_&#252;ber_die_G&#228;stetaxen.pdf" TargetMode="External"/><Relationship Id="rId464" Type="http://schemas.openxmlformats.org/officeDocument/2006/relationships/hyperlink" Target="https://www.ur.ch/wirtschaft/6172" TargetMode="External"/><Relationship Id="rId299" Type="http://schemas.openxmlformats.org/officeDocument/2006/relationships/hyperlink" Target="https://www.muenchenstein.ch/_rte/abstimmung/318749" TargetMode="External"/><Relationship Id="rId727" Type="http://schemas.openxmlformats.org/officeDocument/2006/relationships/hyperlink" Target="https://www.stadtwil.ch/topics/bauen-und-planen/wil-vivendo/ortsplanungsrevision/veranstaltungen-und-mitwirkung/mitwirkungen/mitwirkung-zum-richtplan-siedlung-sowie-gruen-freiraeume" TargetMode="External"/><Relationship Id="rId63" Type="http://schemas.openxmlformats.org/officeDocument/2006/relationships/hyperlink" Target="http://www.gemeinden-web.ch/gemeinden/muenchensteinneu/dl.php/de/0d1e8-8jl6d1/GV_protokolle_1983_comp.pdf" TargetMode="External"/><Relationship Id="rId159" Type="http://schemas.openxmlformats.org/officeDocument/2006/relationships/hyperlink" Target="https://www.muenchenstein.ch/_rte/abstimmung/151689" TargetMode="External"/><Relationship Id="rId366" Type="http://schemas.openxmlformats.org/officeDocument/2006/relationships/hyperlink" Target="https://www.muenchenstein.ch/_rte/abstimmung/89368" TargetMode="External"/><Relationship Id="rId573" Type="http://schemas.openxmlformats.org/officeDocument/2006/relationships/hyperlink" Target="https://www.stadtwil.ch/topics/bauen-und-planen/wil-vivendo/ortsplanungsrevision/news/wichtige-meilensteine-erreicht/grosser-schritt-fuer-das-kindlimann-areal" TargetMode="External"/><Relationship Id="rId780" Type="http://schemas.openxmlformats.org/officeDocument/2006/relationships/hyperlink" Target="https://www.stadtwil.ch/topics/stadt-politik-und-recht/abstimmungen-und-wahlen/vergangene-abstimmungen/2026-vergangene-abstimmungen-und-wahlen/08-03-2026-eidgenoessisches-blankodatum/kantonale-abstimmungen/kantonsratsbeschluss-ueber-den-neubau-des-berufs-und-weiterbildungszentrums-rapperswil-jona-standort-suedquartier" TargetMode="External"/><Relationship Id="rId226" Type="http://schemas.openxmlformats.org/officeDocument/2006/relationships/hyperlink" Target="https://www.muenchenstein.ch/_rte/abstimmung/225941" TargetMode="External"/><Relationship Id="rId433" Type="http://schemas.openxmlformats.org/officeDocument/2006/relationships/hyperlink" Target="https://www.bk.admin.ch/de/volksabstimmung/?date=2024-11-24" TargetMode="External"/><Relationship Id="rId640" Type="http://schemas.openxmlformats.org/officeDocument/2006/relationships/hyperlink" Target="https://www.stadtwil.ch/storage/53bd2727bc94617c323ce1fdbd7e5a48bfbcb9aab2a5463450aab414a81545b4" TargetMode="External"/><Relationship Id="rId738" Type="http://schemas.openxmlformats.org/officeDocument/2006/relationships/hyperlink" Target="https://www.stadtwil.ch/topics/stadt-politik-und-recht/abstimmungen-und-wahlen" TargetMode="External"/><Relationship Id="rId74" Type="http://schemas.openxmlformats.org/officeDocument/2006/relationships/hyperlink" Target="http://www.gemeinden-web.ch/gemeinden/muenchensteinneu/dl.php/de/0d1e8-o7boti/GV_protokolle_1994_comp.pdf" TargetMode="External"/><Relationship Id="rId377" Type="http://schemas.openxmlformats.org/officeDocument/2006/relationships/hyperlink" Target="https://www.muenchenstein.ch/_rte/abstimmung/97020" TargetMode="External"/><Relationship Id="rId500" Type="http://schemas.openxmlformats.org/officeDocument/2006/relationships/hyperlink" Target="https://www.stadtwil.ch/storage/5a29d6b9cdaf623457dcd17cd5c2b5314dbcf07469b1765575c887a6b398aaad" TargetMode="External"/><Relationship Id="rId584" Type="http://schemas.openxmlformats.org/officeDocument/2006/relationships/hyperlink" Target="https://www.stadtwil.ch/topics/bauen-und-planen/wil-vivendo/ortsplanungsrevision/veranstaltungen-und-mitwirkung/mitwirkungen/mitwirkung-kindlimann-areal-und-allmend" TargetMode="External"/><Relationship Id="rId805" Type="http://schemas.openxmlformats.org/officeDocument/2006/relationships/hyperlink" Target="https://www.stadtwil.ch/topics/stadt-politik-und-recht/abstimmungen-und-wahlen/vorlagen/kantonale-vorlagen/30-11-2025-kantonsratsbeschluss-ueber-die-sonderkredite-fuer-die-erneuerung-und-den-ausbau-sowie-fuer-den-betrieb-des-reinraums-am-campus-buchs" TargetMode="External"/><Relationship Id="rId5" Type="http://schemas.openxmlformats.org/officeDocument/2006/relationships/hyperlink" Target="https://www.data.finance.admin.ch/superset/dashboard/finanzstatistik_national/" TargetMode="External"/><Relationship Id="rId237" Type="http://schemas.openxmlformats.org/officeDocument/2006/relationships/hyperlink" Target="https://www.muenchenstein.ch/_rte/abstimmung/241244" TargetMode="External"/><Relationship Id="rId791" Type="http://schemas.openxmlformats.org/officeDocument/2006/relationships/hyperlink" Target="https://www.stadtwil.ch/topics/stadt-politik-und-recht/abstimmungen-und-wahlen/vorlagen/eidgenoessische-vorlagen/09-06-2024-fuer-tiefere-praemien-kostenbremse-im-gesundheitswesen-kostenbremse-initiative" TargetMode="External"/><Relationship Id="rId444" Type="http://schemas.openxmlformats.org/officeDocument/2006/relationships/hyperlink" Target="https://www.seelisberg.ch/files/pdf/Beschluss_Protokoll_260523.pdf" TargetMode="External"/><Relationship Id="rId651" Type="http://schemas.openxmlformats.org/officeDocument/2006/relationships/hyperlink" Target="https://www.stadtwil.ch/storage/f6ec46b7be5614e3c273b611df314ff57a7d0368d0b9e43fa30220497eef5590" TargetMode="External"/><Relationship Id="rId749" Type="http://schemas.openxmlformats.org/officeDocument/2006/relationships/hyperlink" Target="https://www.stadtwil.ch/topics/stadt-politik-und-recht/abstimmungen-und-wahlen/politische-rechte" TargetMode="External"/><Relationship Id="rId290" Type="http://schemas.openxmlformats.org/officeDocument/2006/relationships/hyperlink" Target="https://www.muenchenstein.ch/_rte/abstimmung/312733" TargetMode="External"/><Relationship Id="rId304" Type="http://schemas.openxmlformats.org/officeDocument/2006/relationships/hyperlink" Target="https://www.muenchenstein.ch/_rte/abstimmung/318770" TargetMode="External"/><Relationship Id="rId388" Type="http://schemas.openxmlformats.org/officeDocument/2006/relationships/hyperlink" Target="https://www.muenchenstein.ch/abstimmungen/vorlagen" TargetMode="External"/><Relationship Id="rId511" Type="http://schemas.openxmlformats.org/officeDocument/2006/relationships/hyperlink" Target="https://www.stadtwil.ch/storage/875d422378d72386aae96efa76356fbfa05e9a0e1e03f208fbbe599dea21021c" TargetMode="External"/><Relationship Id="rId609" Type="http://schemas.openxmlformats.org/officeDocument/2006/relationships/hyperlink" Target="https://www.stadtwil.ch/topics/bauen-und-planen/private-bauprojekte/rechtsgrundlagen-bauen-und-planen/baureglement" TargetMode="External"/><Relationship Id="rId85" Type="http://schemas.openxmlformats.org/officeDocument/2006/relationships/hyperlink" Target="https://www.muenchenstein.ch/_rte/abstimmung/101979" TargetMode="External"/><Relationship Id="rId150" Type="http://schemas.openxmlformats.org/officeDocument/2006/relationships/hyperlink" Target="https://www.muenchenstein.ch/_rte/abstimmung/151673" TargetMode="External"/><Relationship Id="rId595" Type="http://schemas.openxmlformats.org/officeDocument/2006/relationships/hyperlink" Target="https://wil-sg.tlex.ch/app/de/texts_of_law/8.2-1.1" TargetMode="External"/><Relationship Id="rId816" Type="http://schemas.openxmlformats.org/officeDocument/2006/relationships/hyperlink" Target="https://www.stadtwil.ch/topics/stadt-politik-und-recht/abstimmungen-und-wahlen/vorlagen/kumunale-wahlen/22-09-2024-erneuerungswahlen-des-stadtparlaments-fuer-die-amtsdauer-2025-2028" TargetMode="External"/><Relationship Id="rId248" Type="http://schemas.openxmlformats.org/officeDocument/2006/relationships/hyperlink" Target="https://www.muenchenstein.ch/_rte/abstimmung/261664" TargetMode="External"/><Relationship Id="rId455" Type="http://schemas.openxmlformats.org/officeDocument/2006/relationships/hyperlink" Target="https://www.ur.ch/abstimmungen" TargetMode="External"/><Relationship Id="rId662" Type="http://schemas.openxmlformats.org/officeDocument/2006/relationships/hyperlink" Target="https://www.sg.ch/news/sgch_aussenbeziehungen/2026/09/23-443-n-pa--iv--addor--ausweisung-krimineller-auslaenderinnen-u.html" TargetMode="External"/><Relationship Id="rId12" Type="http://schemas.openxmlformats.org/officeDocument/2006/relationships/hyperlink" Target="https://www.muenchenstein.ch/_doc/5400772" TargetMode="External"/><Relationship Id="rId108" Type="http://schemas.openxmlformats.org/officeDocument/2006/relationships/hyperlink" Target="https://www.muenchenstein.ch/_rte/abstimmung/119065" TargetMode="External"/><Relationship Id="rId315" Type="http://schemas.openxmlformats.org/officeDocument/2006/relationships/hyperlink" Target="https://www.muenchenstein.ch/_rte/abstimmung/328975" TargetMode="External"/><Relationship Id="rId522" Type="http://schemas.openxmlformats.org/officeDocument/2006/relationships/hyperlink" Target="https://www.stadtwil.ch/storage/c7e05a885ee1a6860975358848101c3f21fe558650ccfc5ba12339d34d3232e9" TargetMode="External"/><Relationship Id="rId96" Type="http://schemas.openxmlformats.org/officeDocument/2006/relationships/hyperlink" Target="https://www.muenchenstein.ch/_rte/abstimmung/112312" TargetMode="External"/><Relationship Id="rId161" Type="http://schemas.openxmlformats.org/officeDocument/2006/relationships/hyperlink" Target="https://www.muenchenstein.ch/_rte/abstimmung/154765" TargetMode="External"/><Relationship Id="rId399" Type="http://schemas.openxmlformats.org/officeDocument/2006/relationships/hyperlink" Target="https://www.seelisberg.ch/files/pdf/Budgetweb-2020.pdf" TargetMode="External"/><Relationship Id="rId827" Type="http://schemas.openxmlformats.org/officeDocument/2006/relationships/hyperlink" Target="https://www.stadtwil.ch/topics/stadt-politik-und-recht/verwaltung/departemente/finanzen-und-verwaltung/stadtkanzlei" TargetMode="External"/><Relationship Id="rId259" Type="http://schemas.openxmlformats.org/officeDocument/2006/relationships/hyperlink" Target="https://www.muenchenstein.ch/_rte/abstimmung/27784" TargetMode="External"/><Relationship Id="rId466" Type="http://schemas.openxmlformats.org/officeDocument/2006/relationships/hyperlink" Target="https://www.sg.ch/content/dam/sgch/politik-verwaltung/gemeinden/gemeindenfinanzen/rechnungslegung-rmsg/berichterstattung/Beispiel%20Bericht%20zum%20Budget%20politische%20Gemeinde.docx" TargetMode="External"/><Relationship Id="rId673" Type="http://schemas.openxmlformats.org/officeDocument/2006/relationships/hyperlink" Target="https://www.sg.ch/politik-verwaltung/abstimmungen-wahlen/aktuelle-abstimmungen.html" TargetMode="External"/><Relationship Id="rId23" Type="http://schemas.openxmlformats.org/officeDocument/2006/relationships/hyperlink" Target="https://www.muenchenstein.ch/_rtr/publikation_596027" TargetMode="External"/><Relationship Id="rId119" Type="http://schemas.openxmlformats.org/officeDocument/2006/relationships/hyperlink" Target="https://www.muenchenstein.ch/_rte/abstimmung/129346" TargetMode="External"/><Relationship Id="rId326" Type="http://schemas.openxmlformats.org/officeDocument/2006/relationships/hyperlink" Target="https://www.muenchenstein.ch/_rte/abstimmung/42062" TargetMode="External"/><Relationship Id="rId533" Type="http://schemas.openxmlformats.org/officeDocument/2006/relationships/hyperlink" Target="https://www.gesetzessammlung.sg.ch/app/de/texts_of_law/151.53" TargetMode="External"/><Relationship Id="rId740" Type="http://schemas.openxmlformats.org/officeDocument/2006/relationships/hyperlink" Target="https://www.stadtwil.ch/topics/stadt-politik-und-recht/abstimmungen-und-wahlen/2026-kommende-abstimmungen/2026-kommende-abstimmungen-und-wahlen" TargetMode="External"/><Relationship Id="rId172" Type="http://schemas.openxmlformats.org/officeDocument/2006/relationships/hyperlink" Target="https://www.muenchenstein.ch/_rte/abstimmung/160328" TargetMode="External"/><Relationship Id="rId477" Type="http://schemas.openxmlformats.org/officeDocument/2006/relationships/hyperlink" Target="https://www.stadtwil.ch/_docn/4363013/004_Beilage_Details_zur_Jahresrechnung_2022.pdf" TargetMode="External"/><Relationship Id="rId600" Type="http://schemas.openxmlformats.org/officeDocument/2006/relationships/hyperlink" Target="https://www.sg.ch/news/sgch_allgemein/2025/11/ii--nachtrag-zur-verordnung-zum-gesetz-ueber-die-abgeltung-oekol.html" TargetMode="External"/><Relationship Id="rId684" Type="http://schemas.openxmlformats.org/officeDocument/2006/relationships/hyperlink" Target="https://www.sg.ch/politik-verwaltung/kantonale-vernehmlassungen.viewpage__5.html" TargetMode="External"/><Relationship Id="rId337" Type="http://schemas.openxmlformats.org/officeDocument/2006/relationships/hyperlink" Target="https://www.muenchenstein.ch/_rte/abstimmung/50343" TargetMode="External"/><Relationship Id="rId34" Type="http://schemas.openxmlformats.org/officeDocument/2006/relationships/hyperlink" Target="https://www.muenchenstein.ch/reglemente/7208" TargetMode="External"/><Relationship Id="rId544" Type="http://schemas.openxmlformats.org/officeDocument/2006/relationships/hyperlink" Target="https://www.stadtwil.ch/topics/stadt-politik-und-recht/abstimmungen-und-wahlen/vorlagen/kommunale-vorlagen/14-04-2024-steuerfuss-2024-der-stadt-wil" TargetMode="External"/><Relationship Id="rId751" Type="http://schemas.openxmlformats.org/officeDocument/2006/relationships/hyperlink" Target="https://www.stadtwil.ch/topics/stadt-politik-und-recht/abstimmungen-und-wahlen/vergangene-abstimmungen/2024-vergangene-abstimmungen-und-wahlen/03-03-2024-eidgenoessische-abstimmungen-kantonale-wahlen/erneuerungswahlen-des-kantonsrates" TargetMode="External"/><Relationship Id="rId183" Type="http://schemas.openxmlformats.org/officeDocument/2006/relationships/hyperlink" Target="https://www.muenchenstein.ch/_rte/abstimmung/167558" TargetMode="External"/><Relationship Id="rId390" Type="http://schemas.openxmlformats.org/officeDocument/2006/relationships/hyperlink" Target="https://www.muenchenstein.ch/legislaturziele" TargetMode="External"/><Relationship Id="rId404" Type="http://schemas.openxmlformats.org/officeDocument/2006/relationships/hyperlink" Target="https://www.seelisberg.ch/files/pdf/Jahresrechnung_Gde-Seelisberg_2022.pdf" TargetMode="External"/><Relationship Id="rId611" Type="http://schemas.openxmlformats.org/officeDocument/2006/relationships/hyperlink" Target="https://www.stadtwil.ch/topics/bauen-und-planen/private-bauprojekte/rechtsgrundlagen-bauen-und-planen/kommunale-schutzverordnung/beitragsreglement-fuer-kommunale-schutzobjekte" TargetMode="External"/><Relationship Id="rId250" Type="http://schemas.openxmlformats.org/officeDocument/2006/relationships/hyperlink" Target="https://www.muenchenstein.ch/_rte/abstimmung/265021" TargetMode="External"/><Relationship Id="rId488" Type="http://schemas.openxmlformats.org/officeDocument/2006/relationships/hyperlink" Target="https://www.stadtwil.ch/storage/2d0ebf4e24c5b08a5138fd5e812f0fd5619a5ee31a30e222c83992d81aa62876" TargetMode="External"/><Relationship Id="rId695" Type="http://schemas.openxmlformats.org/officeDocument/2006/relationships/hyperlink" Target="https://www.stadtwil.ch/auth/login?skip=0&amp;to=%2Ftopics%2Fbauen-und-planen%2Fwil-vivendo%2Fortsplanungsrevision%2Fveranstaltungen-und-mitwirkung%2Fstrategiekonferenzen%2F4-ortsplanungskonferenze" TargetMode="External"/><Relationship Id="rId709" Type="http://schemas.openxmlformats.org/officeDocument/2006/relationships/hyperlink" Target="https://www.stadtwil.ch/meeting/444e7874c34f40a7b7b575c6cb99dec6" TargetMode="External"/><Relationship Id="rId45" Type="http://schemas.openxmlformats.org/officeDocument/2006/relationships/hyperlink" Target="https://www.muenchenstein.ch/_rte/abstimmung/285623" TargetMode="External"/><Relationship Id="rId110" Type="http://schemas.openxmlformats.org/officeDocument/2006/relationships/hyperlink" Target="https://www.muenchenstein.ch/_rte/abstimmung/122217" TargetMode="External"/><Relationship Id="rId348" Type="http://schemas.openxmlformats.org/officeDocument/2006/relationships/hyperlink" Target="https://www.muenchenstein.ch/_rte/abstimmung/64993" TargetMode="External"/><Relationship Id="rId555" Type="http://schemas.openxmlformats.org/officeDocument/2006/relationships/hyperlink" Target="https://www.sg.ch/politik-verwaltung/gemeinden/grundstueckerwerb-durch-personen-im-ausland/ferienwohnung--haus.html" TargetMode="External"/><Relationship Id="rId762" Type="http://schemas.openxmlformats.org/officeDocument/2006/relationships/hyperlink" Target="https://www.stadtwil.ch/topics/stadt-politik-und-recht/abstimmungen-und-wahlen/vergangene-abstimmungen/2024-vergangene-abstimmungen-und-wahlen/22-09-2024-eidgenoessische-und-kommunale-abstimmungen-sowie-kommunale-erneuerungswahlen/erneuerungswahlen-des-stadtparlaments-fuer-die-amtsdauer-2025-2029" TargetMode="External"/><Relationship Id="rId194" Type="http://schemas.openxmlformats.org/officeDocument/2006/relationships/hyperlink" Target="https://www.muenchenstein.ch/_rte/abstimmung/176314" TargetMode="External"/><Relationship Id="rId208" Type="http://schemas.openxmlformats.org/officeDocument/2006/relationships/hyperlink" Target="https://www.muenchenstein.ch/_rte/abstimmung/195025" TargetMode="External"/><Relationship Id="rId415" Type="http://schemas.openxmlformats.org/officeDocument/2006/relationships/hyperlink" Target="https://www.seelisberg.ch/files/pdf/Reglement-Tarife-Friedhof_2025.pdf" TargetMode="External"/><Relationship Id="rId622" Type="http://schemas.openxmlformats.org/officeDocument/2006/relationships/hyperlink" Target="https://www.stadtwil.ch/topics/wohnen/kanalisation-siedlungsentwaesserung/gebuehren-und-gebaeudebeitrag" TargetMode="External"/><Relationship Id="rId261" Type="http://schemas.openxmlformats.org/officeDocument/2006/relationships/hyperlink" Target="https://www.muenchenstein.ch/_rte/abstimmung/27786" TargetMode="External"/><Relationship Id="rId499" Type="http://schemas.openxmlformats.org/officeDocument/2006/relationships/hyperlink" Target="https://www.stadtwil.ch/storage/4fb8e4ddcabaf660fd11996f1a55d976088369d5656270e836392fa18e4b11d1" TargetMode="External"/><Relationship Id="rId56" Type="http://schemas.openxmlformats.org/officeDocument/2006/relationships/hyperlink" Target="https://www.muenchenstein.ch/_rte/abstimmung/129347" TargetMode="External"/><Relationship Id="rId359" Type="http://schemas.openxmlformats.org/officeDocument/2006/relationships/hyperlink" Target="https://www.muenchenstein.ch/_rte/abstimmung/76970" TargetMode="External"/><Relationship Id="rId566" Type="http://schemas.openxmlformats.org/officeDocument/2006/relationships/hyperlink" Target="https://www.stadtwil.ch/auth/login?skip=0&amp;to=%2Ftopics%2Fbauen-und-planen%2Fwil-vivendo%2Fsiedlung%2Farealentwicklung-kindlimann" TargetMode="External"/><Relationship Id="rId773" Type="http://schemas.openxmlformats.org/officeDocument/2006/relationships/hyperlink" Target="https://www.stadtwil.ch/topics/stadt-politik-und-recht/abstimmungen-und-wahlen/vergangene-abstimmungen/2025-vergangene-abstimmungen-und-wahlen-1/09-02-2025-eidgenoessisches-blankodatum/volksinitiative-vom-21-februar-2023-fuer-eine-verantwortungsvolle-wirtschaft-innerhalb-der-planetaren-grenzen" TargetMode="External"/><Relationship Id="rId121" Type="http://schemas.openxmlformats.org/officeDocument/2006/relationships/hyperlink" Target="https://www.muenchenstein.ch/_rte/abstimmung/129349" TargetMode="External"/><Relationship Id="rId219" Type="http://schemas.openxmlformats.org/officeDocument/2006/relationships/hyperlink" Target="https://www.muenchenstein.ch/_rte/abstimmung/209297" TargetMode="External"/><Relationship Id="rId426" Type="http://schemas.openxmlformats.org/officeDocument/2006/relationships/hyperlink" Target="https://www.ur.ch/raumumwelt/4181" TargetMode="External"/><Relationship Id="rId633" Type="http://schemas.openxmlformats.org/officeDocument/2006/relationships/hyperlink" Target="https://www.stadtwil.ch/auth/login?skip=0&amp;to=%2Ftopics%2Fstadt-politik-und-recht%2Fgeschaeftsberichte" TargetMode="External"/><Relationship Id="rId67" Type="http://schemas.openxmlformats.org/officeDocument/2006/relationships/hyperlink" Target="http://www.gemeinden-web.ch/gemeinden/muenchensteinneu/dl.php/de/0d1e8-df6qce/GV_protokolle_1987_comp.pdf" TargetMode="External"/><Relationship Id="rId272" Type="http://schemas.openxmlformats.org/officeDocument/2006/relationships/hyperlink" Target="https://www.muenchenstein.ch/_rte/abstimmung/294841" TargetMode="External"/><Relationship Id="rId577" Type="http://schemas.openxmlformats.org/officeDocument/2006/relationships/hyperlink" Target="https://www.stadtwil.ch/auth/login?skip=0&amp;to=%2Ftopics%2Fbauen-und-planen%2Fwil-vivendo%2Fortsplanungsrevision%2Fnews%2Fgute-planung-ist-teamarbeit%2Fe-mitwirkung-zu-arealentwicklungen" TargetMode="External"/><Relationship Id="rId700" Type="http://schemas.openxmlformats.org/officeDocument/2006/relationships/hyperlink" Target="https://www.stadtwil.ch/auth/login?skip=0&amp;to=%2Ftopics%2Fkinder-jugendliche-und-familie%2Fjugendliche%2Fjugendparlament" TargetMode="External"/><Relationship Id="rId132" Type="http://schemas.openxmlformats.org/officeDocument/2006/relationships/hyperlink" Target="https://www.muenchenstein.ch/_rte/abstimmung/139485" TargetMode="External"/><Relationship Id="rId784" Type="http://schemas.openxmlformats.org/officeDocument/2006/relationships/hyperlink" Target="https://www.stadtwil.ch/topics/stadt-politik-und-recht/abstimmungen-und-wahlen/vorlagen/eidgenoessische-vorlagen/02-09-2024-volksinitiative-vom-8-september-2020-fuer-die-zukunft-unserer-natur-und-landschaft-biodiversitaetsinitiative" TargetMode="External"/><Relationship Id="rId437" Type="http://schemas.openxmlformats.org/officeDocument/2006/relationships/hyperlink" Target="https://www.bk.admin.ch/de/volksabstimmung/?date=2026-03-08" TargetMode="External"/><Relationship Id="rId644" Type="http://schemas.openxmlformats.org/officeDocument/2006/relationships/hyperlink" Target="https://www.stadtwil.ch/storage/6e22361e6f21baf10f8b6c6f1059865c02d08c351c68c7a04847b93eea03c4f0" TargetMode="External"/><Relationship Id="rId283" Type="http://schemas.openxmlformats.org/officeDocument/2006/relationships/hyperlink" Target="https://www.muenchenstein.ch/_rte/abstimmung/301600" TargetMode="External"/><Relationship Id="rId490" Type="http://schemas.openxmlformats.org/officeDocument/2006/relationships/hyperlink" Target="https://www.stadtwil.ch/storage/2ecd9e697734cc2262543c9da23828c2b6ad0129cf1654fcfa47f21ba113bf8a" TargetMode="External"/><Relationship Id="rId504" Type="http://schemas.openxmlformats.org/officeDocument/2006/relationships/hyperlink" Target="https://www.stadtwil.ch/storage/6e02479eb8654b404e3eeb9bd65987c1e41c82b2323556284836c616510568c6" TargetMode="External"/><Relationship Id="rId711" Type="http://schemas.openxmlformats.org/officeDocument/2006/relationships/hyperlink" Target="https://www.stadtwil.ch/storage/1b4765efbafbefc15fc64cf1bfc688afb0e9e90ed7497a5c73733856005bd031" TargetMode="External"/><Relationship Id="rId78" Type="http://schemas.openxmlformats.org/officeDocument/2006/relationships/hyperlink" Target="https://www.muenchenstein.ch/_doc/5399731" TargetMode="External"/><Relationship Id="rId143" Type="http://schemas.openxmlformats.org/officeDocument/2006/relationships/hyperlink" Target="https://www.muenchenstein.ch/_rte/abstimmung/143046" TargetMode="External"/><Relationship Id="rId350" Type="http://schemas.openxmlformats.org/officeDocument/2006/relationships/hyperlink" Target="https://www.muenchenstein.ch/_rte/abstimmung/64995" TargetMode="External"/><Relationship Id="rId588" Type="http://schemas.openxmlformats.org/officeDocument/2006/relationships/hyperlink" Target="https://wil-sg.tlex.ch/api/annex_document_dictionaries/23" TargetMode="External"/><Relationship Id="rId795" Type="http://schemas.openxmlformats.org/officeDocument/2006/relationships/hyperlink" Target="https://www.stadtwil.ch/topics/stadt-politik-und-recht/abstimmungen-und-wahlen/vorlagen/eidgenoessische-vorlagen/24-11-2024-anderung-vom-29-september-2023-des-obligationenrechts-untermiete" TargetMode="External"/><Relationship Id="rId809" Type="http://schemas.openxmlformats.org/officeDocument/2006/relationships/hyperlink" Target="https://www.stadtwil.ch/topics/stadt-politik-und-recht/abstimmungen-und-wahlen/vorlagen/kantonale-wahlen/03-03-2024-erneuerungswahlen-des-kantonsrates" TargetMode="External"/><Relationship Id="rId9" Type="http://schemas.openxmlformats.org/officeDocument/2006/relationships/hyperlink" Target="https://www.efv.admin.ch/de/was-ist-die-finanzstatistik" TargetMode="External"/><Relationship Id="rId210" Type="http://schemas.openxmlformats.org/officeDocument/2006/relationships/hyperlink" Target="https://www.muenchenstein.ch/_rte/abstimmung/195034" TargetMode="External"/><Relationship Id="rId448" Type="http://schemas.openxmlformats.org/officeDocument/2006/relationships/hyperlink" Target="https://www.seelisberg.ch/files/pdf/Beschlussprotokoll_GV_28.11.2025.pdf" TargetMode="External"/><Relationship Id="rId655" Type="http://schemas.openxmlformats.org/officeDocument/2006/relationships/hyperlink" Target="https://www.jupawil.com/" TargetMode="External"/><Relationship Id="rId294" Type="http://schemas.openxmlformats.org/officeDocument/2006/relationships/hyperlink" Target="https://www.muenchenstein.ch/_rte/abstimmung/31320" TargetMode="External"/><Relationship Id="rId308" Type="http://schemas.openxmlformats.org/officeDocument/2006/relationships/hyperlink" Target="https://www.muenchenstein.ch/_rte/abstimmung/322390" TargetMode="External"/><Relationship Id="rId515" Type="http://schemas.openxmlformats.org/officeDocument/2006/relationships/hyperlink" Target="https://www.stadtwil.ch/storage/a53d14e43381dcba8be88edcba28536ce9c34222a88bf8093fe1897d508ee5a9" TargetMode="External"/><Relationship Id="rId722" Type="http://schemas.openxmlformats.org/officeDocument/2006/relationships/hyperlink" Target="https://www.stadtwil.ch/topics/bauen-und-planen/wil-vivendo/ortsplanungsrevision/news/halbzeit-mitwirkung/aufloesung-der-frage" TargetMode="External"/><Relationship Id="rId89" Type="http://schemas.openxmlformats.org/officeDocument/2006/relationships/hyperlink" Target="https://www.muenchenstein.ch/_rte/abstimmung/105468" TargetMode="External"/><Relationship Id="rId154" Type="http://schemas.openxmlformats.org/officeDocument/2006/relationships/hyperlink" Target="https://www.muenchenstein.ch/_rte/abstimmung/151684" TargetMode="External"/><Relationship Id="rId361" Type="http://schemas.openxmlformats.org/officeDocument/2006/relationships/hyperlink" Target="https://www.muenchenstein.ch/_rte/abstimmung/76972" TargetMode="External"/><Relationship Id="rId599" Type="http://schemas.openxmlformats.org/officeDocument/2006/relationships/hyperlink" Target="https://www.sg.ch/kultur/denkmalpflege/Subventionen/beitragsgesuch.html" TargetMode="External"/><Relationship Id="rId459" Type="http://schemas.openxmlformats.org/officeDocument/2006/relationships/hyperlink" Target="https://www.ur.ch/abstimmungen/termine/65830" TargetMode="External"/><Relationship Id="rId666" Type="http://schemas.openxmlformats.org/officeDocument/2006/relationships/hyperlink" Target="https://www.sg.ch/news/sgch_aussenbeziehungen/2026/09/bundesgesetz-zur-reform-der-bundesanwaltschaft-und-ihrer-aufsich.html" TargetMode="External"/><Relationship Id="rId16" Type="http://schemas.openxmlformats.org/officeDocument/2006/relationships/hyperlink" Target="https://www.muenchenstein.ch/_doc/6311410" TargetMode="External"/><Relationship Id="rId221" Type="http://schemas.openxmlformats.org/officeDocument/2006/relationships/hyperlink" Target="https://www.muenchenstein.ch/_rte/abstimmung/214885" TargetMode="External"/><Relationship Id="rId319" Type="http://schemas.openxmlformats.org/officeDocument/2006/relationships/hyperlink" Target="https://www.muenchenstein.ch/_rte/abstimmung/328990" TargetMode="External"/><Relationship Id="rId526" Type="http://schemas.openxmlformats.org/officeDocument/2006/relationships/hyperlink" Target="https://www.stadtwil.ch/storage/ddeac884afc78b2938e796f1428750d12aa86aecb33c94eea593cc6cab1b312b" TargetMode="External"/><Relationship Id="rId733" Type="http://schemas.openxmlformats.org/officeDocument/2006/relationships/hyperlink" Target="https://www.stadtwil.ch/topics/bauen-und-planen/wil-vivendo/ortsplanungsrevision/veranstaltungen-und-mitwirkung/veranstaltungen" TargetMode="External"/><Relationship Id="rId165" Type="http://schemas.openxmlformats.org/officeDocument/2006/relationships/hyperlink" Target="https://www.muenchenstein.ch/_rte/abstimmung/156437" TargetMode="External"/><Relationship Id="rId372" Type="http://schemas.openxmlformats.org/officeDocument/2006/relationships/hyperlink" Target="https://www.muenchenstein.ch/_rte/abstimmung/95009" TargetMode="External"/><Relationship Id="rId677" Type="http://schemas.openxmlformats.org/officeDocument/2006/relationships/hyperlink" Target="https://www.sg.ch/politik-verwaltung/abstimmungen-wahlen/initiativen---referenden.html" TargetMode="External"/><Relationship Id="rId800" Type="http://schemas.openxmlformats.org/officeDocument/2006/relationships/hyperlink" Target="https://www.stadtwil.ch/topics/stadt-politik-und-recht/abstimmungen-und-wahlen/vorlagen/eidgenoessische-vorlagen/volksinitiative-fuer-eine-soziale-klimapolitik-steuerlich-gerecht-finanziert-initiative-fuer-eine-zukunft" TargetMode="External"/><Relationship Id="rId232" Type="http://schemas.openxmlformats.org/officeDocument/2006/relationships/hyperlink" Target="https://www.muenchenstein.ch/_rte/abstimmung/241226" TargetMode="External"/><Relationship Id="rId27" Type="http://schemas.openxmlformats.org/officeDocument/2006/relationships/hyperlink" Target="https://www.muenchenstein.ch/_rte/abstimmung/79355" TargetMode="External"/><Relationship Id="rId537" Type="http://schemas.openxmlformats.org/officeDocument/2006/relationships/hyperlink" Target="https://www.stadtwil.ch/storage/29c5f20fab1dac2f0bb20acb4fcea87395ead1bf5f83c33e3d690cd2a2f695c7" TargetMode="External"/><Relationship Id="rId744" Type="http://schemas.openxmlformats.org/officeDocument/2006/relationships/hyperlink" Target="https://www.stadtwil.ch/topics/stadt-politik-und-recht/abstimmungen-und-wahlen/2026-kommende-abstimmungen/2027-kommende-abstimmungen-und-wahlen/06-06-2027-eidgenoessisches-blankodatum" TargetMode="External"/><Relationship Id="rId80" Type="http://schemas.openxmlformats.org/officeDocument/2006/relationships/hyperlink" Target="https://www.muenchenstein.ch/_doc/6311407" TargetMode="External"/><Relationship Id="rId176" Type="http://schemas.openxmlformats.org/officeDocument/2006/relationships/hyperlink" Target="https://www.muenchenstein.ch/_rte/abstimmung/161702" TargetMode="External"/><Relationship Id="rId383" Type="http://schemas.openxmlformats.org/officeDocument/2006/relationships/hyperlink" Target="https://www.muenchenstein.ch/_rte/wahl/6628" TargetMode="External"/><Relationship Id="rId590" Type="http://schemas.openxmlformats.org/officeDocument/2006/relationships/hyperlink" Target="https://wil-sg.tlex.ch/app/de/systematic/texts_of_law" TargetMode="External"/><Relationship Id="rId604" Type="http://schemas.openxmlformats.org/officeDocument/2006/relationships/hyperlink" Target="https://www.stadtwil.ch/auth/login?skip=0&amp;to=%2Ftopics%2Fbauen-und-planen%2Fprivate-bauprojekte%2Frechtsgrundlagen-bauen-und-planen%2Fkommunale-schutzverordnung%2Fbeitragsreglement-fuer-kommunale-schutzobjekte" TargetMode="External"/><Relationship Id="rId811" Type="http://schemas.openxmlformats.org/officeDocument/2006/relationships/hyperlink" Target="https://www.stadtwil.ch/topics/stadt-politik-und-recht/abstimmungen-und-wahlen/vorlagen/kommunale-vorlagen/22-09-2024-baukredit-fuer-den-ersatzneubau-der-unterfuehrung-hubstrasse-mit-fuss-und-velosteg-sowie-umgestaltung-churfirstenpark" TargetMode="External"/><Relationship Id="rId243" Type="http://schemas.openxmlformats.org/officeDocument/2006/relationships/hyperlink" Target="https://www.muenchenstein.ch/_rte/abstimmung/258893" TargetMode="External"/><Relationship Id="rId450" Type="http://schemas.openxmlformats.org/officeDocument/2006/relationships/hyperlink" Target="https://www.seelisberg.ch/files/pdf/Webseite_Medienmitteilung_nach_GV_Leitbild_DEF.pdf" TargetMode="External"/><Relationship Id="rId688" Type="http://schemas.openxmlformats.org/officeDocument/2006/relationships/hyperlink" Target="https://www.stadtwil.ch/auth/login?skip=0&amp;to=%2Ftopics%2Fbauen-und-planen%2Fwil-vivendo%2Fortsplanungsrevision%2Fnews%2Fbisherige-uberlegungen-wurden-breit-gespiegelt%2Fe-mitwirkung-mitmachen-ist-angesagt" TargetMode="External"/><Relationship Id="rId38" Type="http://schemas.openxmlformats.org/officeDocument/2006/relationships/hyperlink" Target="https://www.muenchenstein.ch/_rte/abstimmung/160332" TargetMode="External"/><Relationship Id="rId103" Type="http://schemas.openxmlformats.org/officeDocument/2006/relationships/hyperlink" Target="https://www.muenchenstein.ch/_rte/abstimmung/115860" TargetMode="External"/><Relationship Id="rId310" Type="http://schemas.openxmlformats.org/officeDocument/2006/relationships/hyperlink" Target="https://www.muenchenstein.ch/_rte/abstimmung/322399" TargetMode="External"/><Relationship Id="rId548" Type="http://schemas.openxmlformats.org/officeDocument/2006/relationships/hyperlink" Target="https://www.admin.ch/opc/de/classified-compilation/19830373/index.html" TargetMode="External"/><Relationship Id="rId755" Type="http://schemas.openxmlformats.org/officeDocument/2006/relationships/hyperlink" Target="https://www.stadtwil.ch/topics/stadt-politik-und-recht/abstimmungen-und-wahlen/vergangene-abstimmungen/2024-vergangene-abstimmungen-und-wahlen/09-juni-2024-eidgenoessische-volksabstimmung/fuer-freiheit-und-koerperliche-unversehrtheit" TargetMode="External"/><Relationship Id="rId91" Type="http://schemas.openxmlformats.org/officeDocument/2006/relationships/hyperlink" Target="https://www.muenchenstein.ch/_rte/abstimmung/108518" TargetMode="External"/><Relationship Id="rId187" Type="http://schemas.openxmlformats.org/officeDocument/2006/relationships/hyperlink" Target="https://www.muenchenstein.ch/_rte/abstimmung/169721" TargetMode="External"/><Relationship Id="rId394" Type="http://schemas.openxmlformats.org/officeDocument/2006/relationships/hyperlink" Target="https://www.seelisberg.ch/files/bilder/JR2023_Gde-Seelisberg.pdf" TargetMode="External"/><Relationship Id="rId408" Type="http://schemas.openxmlformats.org/officeDocument/2006/relationships/hyperlink" Target="https://www.ur.ch/finanzen/1579" TargetMode="External"/><Relationship Id="rId615" Type="http://schemas.openxmlformats.org/officeDocument/2006/relationships/hyperlink" Target="https://www.stadtwil.ch/topics/stadt-politik-und-recht/kommissionen-und-delegationen/regionale-und-wirtschaftliche-organisationen/regio-wil-fachgruppe-mobilitaet-miv-ov-langsamverkehr" TargetMode="External"/><Relationship Id="rId822" Type="http://schemas.openxmlformats.org/officeDocument/2006/relationships/hyperlink" Target="https://www.stadtwil.ch/topics/stadt-politik-und-recht/stadtparlament/kommissionen" TargetMode="External"/><Relationship Id="rId254" Type="http://schemas.openxmlformats.org/officeDocument/2006/relationships/hyperlink" Target="https://www.muenchenstein.ch/_rte/abstimmung/265036" TargetMode="External"/><Relationship Id="rId699" Type="http://schemas.openxmlformats.org/officeDocument/2006/relationships/hyperlink" Target="https://www.stadtwil.ch/auth/login?skip=0&amp;to=%2Ftopics%2Fbildung%2Felternmitwirkung" TargetMode="External"/><Relationship Id="rId49" Type="http://schemas.openxmlformats.org/officeDocument/2006/relationships/hyperlink" Target="https://www.muenchenstein.ch/_rte/abstimmung/29591" TargetMode="External"/><Relationship Id="rId114" Type="http://schemas.openxmlformats.org/officeDocument/2006/relationships/hyperlink" Target="https://www.muenchenstein.ch/_rte/abstimmung/125158" TargetMode="External"/><Relationship Id="rId461" Type="http://schemas.openxmlformats.org/officeDocument/2006/relationships/hyperlink" Target="https://www.ur.ch/abstimmungen/vorlagen" TargetMode="External"/><Relationship Id="rId559" Type="http://schemas.openxmlformats.org/officeDocument/2006/relationships/hyperlink" Target="https://www.sg.ch/politik-verwaltung/gemeinden/grundstueckerwerb-durch-personen-im-ausland/verfahren.html" TargetMode="External"/><Relationship Id="rId766"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anderung-vom-29-september-2023-des-obligationenrechts-anderung-vom-29-september-2023-des-obligationenrechts" TargetMode="External"/><Relationship Id="rId198" Type="http://schemas.openxmlformats.org/officeDocument/2006/relationships/hyperlink" Target="https://www.muenchenstein.ch/_rte/abstimmung/184295" TargetMode="External"/><Relationship Id="rId321" Type="http://schemas.openxmlformats.org/officeDocument/2006/relationships/hyperlink" Target="https://www.muenchenstein.ch/_rte/abstimmung/33945" TargetMode="External"/><Relationship Id="rId419" Type="http://schemas.openxmlformats.org/officeDocument/2006/relationships/hyperlink" Target="https://www.seelisberg.ch/files/pdf/Verordnung_u&#776;ber_das_Verfahren_in_den_Beho&#776;rden.pdf" TargetMode="External"/><Relationship Id="rId626" Type="http://schemas.openxmlformats.org/officeDocument/2006/relationships/hyperlink" Target="https://www.sg.ch/news/sgch_aussenbeziehungen/2026/09/revision-der-verordnung-ueber-die-gebuehren-im-zivilstandswesen.html" TargetMode="External"/><Relationship Id="rId265" Type="http://schemas.openxmlformats.org/officeDocument/2006/relationships/hyperlink" Target="https://www.muenchenstein.ch/_rte/abstimmung/278255" TargetMode="External"/><Relationship Id="rId472" Type="http://schemas.openxmlformats.org/officeDocument/2006/relationships/hyperlink" Target="https://www.sg.ch/content/dam/sgch/politik-verwaltung/gemeinden/gemeindenfinanzen/rmsg-handbuch/05%20Investitionsrechnung.pdf" TargetMode="External"/><Relationship Id="rId125" Type="http://schemas.openxmlformats.org/officeDocument/2006/relationships/hyperlink" Target="https://www.muenchenstein.ch/_rte/abstimmung/132799" TargetMode="External"/><Relationship Id="rId332" Type="http://schemas.openxmlformats.org/officeDocument/2006/relationships/hyperlink" Target="https://www.muenchenstein.ch/_rte/abstimmung/43116" TargetMode="External"/><Relationship Id="rId777" Type="http://schemas.openxmlformats.org/officeDocument/2006/relationships/hyperlink" Target="https://www.stadtwil.ch/topics/stadt-politik-und-recht/abstimmungen-und-wahlen/vergangene-abstimmungen/2026-vergangene-abstimmungen-und-wahlen/08-03-2026-eidgenoessisches-blankodatum/eidgenoessische-abstimmungen/volksinitiative-200-franken-sind-genug-srg-initiative" TargetMode="External"/><Relationship Id="rId637" Type="http://schemas.openxmlformats.org/officeDocument/2006/relationships/hyperlink" Target="https://www.stadtwil.ch/storage/248ab3893e7533b52b7e554517f010462be4194a23b8c4829801dba7e866b46a" TargetMode="External"/><Relationship Id="rId276" Type="http://schemas.openxmlformats.org/officeDocument/2006/relationships/hyperlink" Target="https://www.muenchenstein.ch/_rte/abstimmung/294856" TargetMode="External"/><Relationship Id="rId483" Type="http://schemas.openxmlformats.org/officeDocument/2006/relationships/hyperlink" Target="https://www.stadtwil.ch/storage/0a41b0f55fb3f0e7c1072cdfb72a5a3674d2854d2b41565090e104b85e8dbdc0" TargetMode="External"/><Relationship Id="rId690" Type="http://schemas.openxmlformats.org/officeDocument/2006/relationships/hyperlink" Target="https://www.stadtwil.ch/auth/login?skip=0&amp;to=%2Ftopics%2Fbauen-und-planen%2Fwil-vivendo%2Fortsplanungsrevision%2Fnews%2Fhalbzeit-mitwirkung%2Feditorial" TargetMode="External"/><Relationship Id="rId704" Type="http://schemas.openxmlformats.org/officeDocument/2006/relationships/hyperlink" Target="https://www.stadtwil.ch/auth/login?skip=0&amp;to=%2Ftopics%2Fstadt-politik-und-recht%2Fabstimmungen-und-wahlen%2F2026-kommende-abstimmungen%2F2027-kommende-abstimmungen-und-wahlen%2F06-06-2027-eidgenoessisches-blankodatum" TargetMode="External"/><Relationship Id="rId40" Type="http://schemas.openxmlformats.org/officeDocument/2006/relationships/hyperlink" Target="https://www.muenchenstein.ch/_rte/abstimmung/251048" TargetMode="External"/><Relationship Id="rId136" Type="http://schemas.openxmlformats.org/officeDocument/2006/relationships/hyperlink" Target="https://www.muenchenstein.ch/_rte/abstimmung/139489" TargetMode="External"/><Relationship Id="rId343" Type="http://schemas.openxmlformats.org/officeDocument/2006/relationships/hyperlink" Target="https://www.muenchenstein.ch/_rte/abstimmung/63664" TargetMode="External"/><Relationship Id="rId550" Type="http://schemas.openxmlformats.org/officeDocument/2006/relationships/hyperlink" Target="https://www.bj.admin.ch/de/grundstueckerwerb-durch-personen-im-ausland" TargetMode="External"/><Relationship Id="rId788" Type="http://schemas.openxmlformats.org/officeDocument/2006/relationships/hyperlink" Target="https://www.stadtwil.ch/topics/stadt-politik-und-recht/abstimmungen-und-wahlen/vorlagen/eidgenoessische-vorlagen/09-02-2025-volksinitiative-vom-21-februar-2023-fuer-eine-verantwortungsvolle-wirtschaft-innerhalb-der-planetaren-grenzen-1" TargetMode="External"/><Relationship Id="rId203" Type="http://schemas.openxmlformats.org/officeDocument/2006/relationships/hyperlink" Target="https://www.muenchenstein.ch/_rte/abstimmung/188491" TargetMode="External"/><Relationship Id="rId648" Type="http://schemas.openxmlformats.org/officeDocument/2006/relationships/hyperlink" Target="https://www.stadtwil.ch/storage/8eedf72c0fffec0e8192e6fc00a728c5891c83e7b8b7d3488c2f314a11582972" TargetMode="External"/><Relationship Id="rId287" Type="http://schemas.openxmlformats.org/officeDocument/2006/relationships/hyperlink" Target="https://www.muenchenstein.ch/_rte/abstimmung/305800" TargetMode="External"/><Relationship Id="rId410" Type="http://schemas.openxmlformats.org/officeDocument/2006/relationships/hyperlink" Target="https://www.ur.ch/wirtschaft/6658" TargetMode="External"/><Relationship Id="rId494" Type="http://schemas.openxmlformats.org/officeDocument/2006/relationships/hyperlink" Target="https://www.stadtwil.ch/storage/40c39c8fc0dfef1db64e95bbcc57cbcd2982873ebbd6b70e1064fe31786f6f75" TargetMode="External"/><Relationship Id="rId508" Type="http://schemas.openxmlformats.org/officeDocument/2006/relationships/hyperlink" Target="https://www.stadtwil.ch/storage/7d4a85f5922095a07eeaee7457ca1babed8908385d93d833be82af43298b18f6" TargetMode="External"/><Relationship Id="rId715" Type="http://schemas.openxmlformats.org/officeDocument/2006/relationships/hyperlink" Target="https://www.stadtwil.ch/storage/dd90ae19a11187fb8b4e58db16f7d39b8ae467612d9a6aabc1bf979d5ea98da0" TargetMode="External"/><Relationship Id="rId147" Type="http://schemas.openxmlformats.org/officeDocument/2006/relationships/hyperlink" Target="https://www.muenchenstein.ch/_rte/abstimmung/147756" TargetMode="External"/><Relationship Id="rId354" Type="http://schemas.openxmlformats.org/officeDocument/2006/relationships/hyperlink" Target="https://www.muenchenstein.ch/_rte/abstimmung/68452" TargetMode="External"/><Relationship Id="rId799" Type="http://schemas.openxmlformats.org/officeDocument/2006/relationships/hyperlink" Target="https://www.stadtwil.ch/topics/stadt-politik-und-recht/abstimmungen-und-wahlen/vorlagen/eidgenoessische-vorlagen/volksinitiative-fuer-eine-engagierte-schweiz-service-citoyen-initiative" TargetMode="External"/><Relationship Id="rId51" Type="http://schemas.openxmlformats.org/officeDocument/2006/relationships/hyperlink" Target="https://www.muenchenstein.ch/_rte/abstimmung/36733" TargetMode="External"/><Relationship Id="rId561" Type="http://schemas.openxmlformats.org/officeDocument/2006/relationships/hyperlink" Target="https://www.stadtwil.ch/auth/login?skip=0&amp;to=%2Ftopics%2Fbauen-und-planen%2Fwil-vivendo%2Fortsplanungsrevision%2Fnews%2Frichtprojekt-kindlimann-areal%2Fein-neues-stuecl-stadt-fuer-wil" TargetMode="External"/><Relationship Id="rId659" Type="http://schemas.openxmlformats.org/officeDocument/2006/relationships/hyperlink" Target="https://www.sg.ch/news/sgch_allgemein/2025/12/x--nachtrag-zum-strassengesetz.html" TargetMode="External"/><Relationship Id="rId214" Type="http://schemas.openxmlformats.org/officeDocument/2006/relationships/hyperlink" Target="https://www.muenchenstein.ch/_rte/abstimmung/202937" TargetMode="External"/><Relationship Id="rId298" Type="http://schemas.openxmlformats.org/officeDocument/2006/relationships/hyperlink" Target="https://www.muenchenstein.ch/_rte/abstimmung/318746" TargetMode="External"/><Relationship Id="rId421" Type="http://schemas.openxmlformats.org/officeDocument/2006/relationships/hyperlink" Target="https://www.seelisberg.ch/files/pdf/Verordnung_u&#776;ber_die_Entscha&#776;digung.pdf" TargetMode="External"/><Relationship Id="rId519" Type="http://schemas.openxmlformats.org/officeDocument/2006/relationships/hyperlink" Target="https://www.stadtwil.ch/storage/b3e745abec838919a0d3512ab05ab817b75f2910b864625c5abe1b4aa0304157" TargetMode="External"/><Relationship Id="rId158" Type="http://schemas.openxmlformats.org/officeDocument/2006/relationships/hyperlink" Target="https://www.muenchenstein.ch/_rte/abstimmung/151688" TargetMode="External"/><Relationship Id="rId726" Type="http://schemas.openxmlformats.org/officeDocument/2006/relationships/hyperlink" Target="https://www.stadtwil.ch/topics/bauen-und-planen/wil-vivendo/ortsplanungsrevision/veranstaltungen-und-mitwirkung/mitwirkungen" TargetMode="External"/><Relationship Id="rId62" Type="http://schemas.openxmlformats.org/officeDocument/2006/relationships/hyperlink" Target="http://www.gemeinden-web.ch/gemeinden/muenchensteinneu/dl.php/de/0d1e8-71hwhu/GV_protokolle_1982_comp.pdf" TargetMode="External"/><Relationship Id="rId365" Type="http://schemas.openxmlformats.org/officeDocument/2006/relationships/hyperlink" Target="https://www.muenchenstein.ch/_rte/abstimmung/87351" TargetMode="External"/><Relationship Id="rId572" Type="http://schemas.openxmlformats.org/officeDocument/2006/relationships/hyperlink" Target="https://www.stadtwil.ch/topics/bauen-und-planen/wil-vivendo/ortsplanungsrevision/news/richtprojekt-kindlimann-areal/zeitplan" TargetMode="External"/><Relationship Id="rId225" Type="http://schemas.openxmlformats.org/officeDocument/2006/relationships/hyperlink" Target="https://www.muenchenstein.ch/_rte/abstimmung/225938" TargetMode="External"/><Relationship Id="rId432" Type="http://schemas.openxmlformats.org/officeDocument/2006/relationships/hyperlink" Target="https://www.bk.admin.ch/de/volksabstimmung/?date=2024-09-22" TargetMode="External"/><Relationship Id="rId737" Type="http://schemas.openxmlformats.org/officeDocument/2006/relationships/hyperlink" Target="https://www.stadtwil.ch/topics/sport/sportfoerderung/leitbild-sport" TargetMode="External"/><Relationship Id="rId73" Type="http://schemas.openxmlformats.org/officeDocument/2006/relationships/hyperlink" Target="http://www.gemeinden-web.ch/gemeinden/muenchensteinneu/dl.php/de/0d1e8-myocr7/GV_protokolle_1993_comp.pdf" TargetMode="External"/><Relationship Id="rId169" Type="http://schemas.openxmlformats.org/officeDocument/2006/relationships/hyperlink" Target="https://www.muenchenstein.ch/_rte/abstimmung/156445" TargetMode="External"/><Relationship Id="rId376" Type="http://schemas.openxmlformats.org/officeDocument/2006/relationships/hyperlink" Target="https://www.muenchenstein.ch/_rte/abstimmung/97019" TargetMode="External"/><Relationship Id="rId583" Type="http://schemas.openxmlformats.org/officeDocument/2006/relationships/hyperlink" Target="https://www.stadtwil.ch/topics/bauen-und-planen/wil-vivendo/ortsplanungsrevision/news/ortsplanungsrevision-newsletter-nr-19-langfristige-entwicklung-im-zusammenspiel-vieler-prozesse/mitwirkung-arealentwicklungen-kindlimann-areal-und-allmend" TargetMode="External"/><Relationship Id="rId790" Type="http://schemas.openxmlformats.org/officeDocument/2006/relationships/hyperlink" Target="https://www.stadtwil.ch/topics/stadt-politik-und-recht/abstimmungen-und-wahlen/vorlagen/eidgenoessische-vorlagen/09-06-2024-fuer-freiheit-und-koerperliche-unversehrtheit" TargetMode="External"/><Relationship Id="rId804" Type="http://schemas.openxmlformats.org/officeDocument/2006/relationships/hyperlink" Target="https://www.stadtwil.ch/topics/stadt-politik-und-recht/abstimmungen-und-wahlen/vorlagen/kantonale-vorlagen/24-11-2024-xxii-nachtrag-zum-steuergesetz-erhoehung-des-fahrkostenabzugs" TargetMode="External"/><Relationship Id="rId4" Type="http://schemas.openxmlformats.org/officeDocument/2006/relationships/hyperlink" Target="https://www.data.finance.admin.ch/superset/dashboard/finanzstatistik_international/" TargetMode="External"/><Relationship Id="rId236" Type="http://schemas.openxmlformats.org/officeDocument/2006/relationships/hyperlink" Target="https://www.muenchenstein.ch/_rte/abstimmung/241238" TargetMode="External"/><Relationship Id="rId443" Type="http://schemas.openxmlformats.org/officeDocument/2006/relationships/hyperlink" Target="https://www.seelisberg.ch/files/pdf/BP_GV_25.11.22.pdf" TargetMode="External"/><Relationship Id="rId650" Type="http://schemas.openxmlformats.org/officeDocument/2006/relationships/hyperlink" Target="https://www.stadtwil.ch/storage/ee8bae2cd080dda0bc77e69f99046109dc3e161b3498b17df7581cfe441bc612" TargetMode="External"/><Relationship Id="rId303" Type="http://schemas.openxmlformats.org/officeDocument/2006/relationships/hyperlink" Target="https://www.muenchenstein.ch/_rte/abstimmung/318764" TargetMode="External"/><Relationship Id="rId748" Type="http://schemas.openxmlformats.org/officeDocument/2006/relationships/hyperlink" Target="https://www.stadtwil.ch/topics/stadt-politik-und-recht/abstimmungen-und-wahlen/aktuelle-ergebnisse" TargetMode="External"/><Relationship Id="rId84" Type="http://schemas.openxmlformats.org/officeDocument/2006/relationships/hyperlink" Target="https://www.muenchenstein.ch/_rte/abstimmung/101978" TargetMode="External"/><Relationship Id="rId387" Type="http://schemas.openxmlformats.org/officeDocument/2006/relationships/hyperlink" Target="https://www.muenchenstein.ch/abstimmungen" TargetMode="External"/><Relationship Id="rId510" Type="http://schemas.openxmlformats.org/officeDocument/2006/relationships/hyperlink" Target="https://www.stadtwil.ch/storage/86c954451190b5683f4cea602b5746ce096ff6338c9f35fbea68172b58f684d1" TargetMode="External"/><Relationship Id="rId594" Type="http://schemas.openxmlformats.org/officeDocument/2006/relationships/hyperlink" Target="https://wil-sg.tlex.ch/app/de/texts_of_law/8.2-1" TargetMode="External"/><Relationship Id="rId608" Type="http://schemas.openxmlformats.org/officeDocument/2006/relationships/hyperlink" Target="https://www.stadtwil.ch/topics/bauen-und-planen/private-bauprojekte/rechtsgrundlagen-bauen-und-planen/abwasserreglement" TargetMode="External"/><Relationship Id="rId815" Type="http://schemas.openxmlformats.org/officeDocument/2006/relationships/hyperlink" Target="https://www.stadtwil.ch/topics/stadt-politik-und-recht/abstimmungen-und-wahlen/vorlagen/kumunale-wahlen/22-09-2024-erneuerungswahl-des-stadtpraesidenten-1-wahlgang-fuer-die-amtsdauer-2025-2028" TargetMode="External"/><Relationship Id="rId247" Type="http://schemas.openxmlformats.org/officeDocument/2006/relationships/hyperlink" Target="https://www.muenchenstein.ch/_rte/abstimmung/261655" TargetMode="External"/><Relationship Id="rId107" Type="http://schemas.openxmlformats.org/officeDocument/2006/relationships/hyperlink" Target="https://www.muenchenstein.ch/_rte/abstimmung/119064" TargetMode="External"/><Relationship Id="rId454" Type="http://schemas.openxmlformats.org/officeDocument/2006/relationships/hyperlink" Target="https://www.seelisberg.ch/ueber-seelisberg/leitbild" TargetMode="External"/><Relationship Id="rId661" Type="http://schemas.openxmlformats.org/officeDocument/2006/relationships/hyperlink" Target="https://www.sg.ch/news/sgch_allgemein/2026/09/bewegungs--und-sportfoerderungsgesetz.html" TargetMode="External"/><Relationship Id="rId759" Type="http://schemas.openxmlformats.org/officeDocument/2006/relationships/hyperlink" Target="https://www.stadtwil.ch/topics/stadt-politik-und-recht/abstimmungen-und-wahlen/vergangene-abstimmungen/2024-vergangene-abstimmungen-und-wahlen/22-09-2024-eidgenoessische-und-kommunale-abstimmungen-sowie-kommunale-erneuerungswahlen/baukredit-fuer-den-ersatzneubau-der-unterfuehrung-hubstrasse-mit-fuss-und-velosteg-sowie-umgestaltung-churfirstenpark" TargetMode="External"/><Relationship Id="rId11" Type="http://schemas.openxmlformats.org/officeDocument/2006/relationships/hyperlink" Target="https://www.muenchenstein.ch/_doc/5399737" TargetMode="External"/><Relationship Id="rId314" Type="http://schemas.openxmlformats.org/officeDocument/2006/relationships/hyperlink" Target="https://www.muenchenstein.ch/_rte/abstimmung/328972" TargetMode="External"/><Relationship Id="rId398" Type="http://schemas.openxmlformats.org/officeDocument/2006/relationships/hyperlink" Target="https://www.seelisberg.ch/files/pdf/Budget_2021.pdf" TargetMode="External"/><Relationship Id="rId521" Type="http://schemas.openxmlformats.org/officeDocument/2006/relationships/hyperlink" Target="https://www.stadtwil.ch/storage/c6097b5ae815fb81f14b4db7630b14d9452e3be1ae3cbddd9f8e28d9d0777c7f" TargetMode="External"/><Relationship Id="rId619" Type="http://schemas.openxmlformats.org/officeDocument/2006/relationships/hyperlink" Target="https://www.stadtwil.ch/topics/stadt-politik-und-recht/kommissionen-und-delegationen/zweckverbaende/zweckverband-sicherheitsverbund-region-wil" TargetMode="External"/><Relationship Id="rId95" Type="http://schemas.openxmlformats.org/officeDocument/2006/relationships/hyperlink" Target="https://www.muenchenstein.ch/_rte/abstimmung/112311" TargetMode="External"/><Relationship Id="rId160" Type="http://schemas.openxmlformats.org/officeDocument/2006/relationships/hyperlink" Target="https://www.muenchenstein.ch/_rte/abstimmung/151690" TargetMode="External"/><Relationship Id="rId826" Type="http://schemas.openxmlformats.org/officeDocument/2006/relationships/hyperlink" Target="https://www.stadtwil.ch/topics/stadt-politik-und-recht/stadtparlament/sitzungen" TargetMode="External"/><Relationship Id="rId258" Type="http://schemas.openxmlformats.org/officeDocument/2006/relationships/hyperlink" Target="https://www.muenchenstein.ch/_rte/abstimmung/270911" TargetMode="External"/><Relationship Id="rId465" Type="http://schemas.openxmlformats.org/officeDocument/2006/relationships/hyperlink" Target="https://www.sg.ch/content/dam/sgch/politik-verwaltung/gemeinden/gemeindenfinanzen/rechnungslegung-rmsg/berichterstattung/Beispiel%20Bericht%20zum%20Budget%20Spezialgemeinde.docx" TargetMode="External"/><Relationship Id="rId672" Type="http://schemas.openxmlformats.org/officeDocument/2006/relationships/hyperlink" Target="https://www.sg.ch/politik-verwaltung/abstimmungen-wahlen.html" TargetMode="External"/><Relationship Id="rId22" Type="http://schemas.openxmlformats.org/officeDocument/2006/relationships/hyperlink" Target="https://www.muenchenstein.ch/_rtr/publikation_523378" TargetMode="External"/><Relationship Id="rId118" Type="http://schemas.openxmlformats.org/officeDocument/2006/relationships/hyperlink" Target="https://www.muenchenstein.ch/_rte/abstimmung/129345" TargetMode="External"/><Relationship Id="rId325" Type="http://schemas.openxmlformats.org/officeDocument/2006/relationships/hyperlink" Target="https://www.muenchenstein.ch/_rte/abstimmung/42061" TargetMode="External"/><Relationship Id="rId532" Type="http://schemas.openxmlformats.org/officeDocument/2006/relationships/hyperlink" Target="https://www.stadtwil.ch/storage/ffd718635b7c2a94e0f145b0c480c805c782b69056ac86e1ebbcec20de229793" TargetMode="External"/><Relationship Id="rId171" Type="http://schemas.openxmlformats.org/officeDocument/2006/relationships/hyperlink" Target="https://www.muenchenstein.ch/_rte/abstimmung/158204" TargetMode="External"/><Relationship Id="rId269" Type="http://schemas.openxmlformats.org/officeDocument/2006/relationships/hyperlink" Target="https://www.muenchenstein.ch/_rte/abstimmung/285620" TargetMode="External"/><Relationship Id="rId476" Type="http://schemas.openxmlformats.org/officeDocument/2006/relationships/hyperlink" Target="https://www.stadtwil.ch/_docn/3339526/Stadt_Wil_Investitionsplan_2022_-_2026.pdf" TargetMode="External"/><Relationship Id="rId683" Type="http://schemas.openxmlformats.org/officeDocument/2006/relationships/hyperlink" Target="https://www.sg.ch/politik-verwaltung/kantonale-vernehmlassungen.viewpage__1.html" TargetMode="External"/><Relationship Id="rId33" Type="http://schemas.openxmlformats.org/officeDocument/2006/relationships/hyperlink" Target="https://www.muenchenstein.ch/reglemente" TargetMode="External"/><Relationship Id="rId129" Type="http://schemas.openxmlformats.org/officeDocument/2006/relationships/hyperlink" Target="https://www.muenchenstein.ch/_rte/abstimmung/136668" TargetMode="External"/><Relationship Id="rId336" Type="http://schemas.openxmlformats.org/officeDocument/2006/relationships/hyperlink" Target="https://www.muenchenstein.ch/_rte/abstimmung/50342" TargetMode="External"/><Relationship Id="rId543" Type="http://schemas.openxmlformats.org/officeDocument/2006/relationships/hyperlink" Target="https://www.stadtwil.ch/topics/stadt-politik-und-recht/abstimmungen-und-wahlen/vorlagen/kantonale-vorlagen/18-05-2025-v-nachtrag-zum-finanzausgleichsgesetz" TargetMode="External"/><Relationship Id="rId182" Type="http://schemas.openxmlformats.org/officeDocument/2006/relationships/hyperlink" Target="https://www.muenchenstein.ch/_rte/abstimmung/161715" TargetMode="External"/><Relationship Id="rId403" Type="http://schemas.openxmlformats.org/officeDocument/2006/relationships/hyperlink" Target="https://www.seelisberg.ch/files/pdf/Jahresrechnung_2020_end.pdf" TargetMode="External"/><Relationship Id="rId750" Type="http://schemas.openxmlformats.org/officeDocument/2006/relationships/hyperlink" Target="https://www.stadtwil.ch/topics/stadt-politik-und-recht/abstimmungen-und-wahlen/vergangene-abstimmungen/2024-vergangene-abstimmungen-und-wahlen/03-03-2024-eidgenoessische-abstimmungen-kantonale-wahlen/erneuerungswahlen-der-mitglieder-der-regierung" TargetMode="External"/><Relationship Id="rId487" Type="http://schemas.openxmlformats.org/officeDocument/2006/relationships/hyperlink" Target="https://www.stadtwil.ch/storage/2c4305c8237790be04c1d9e3757331ab7ebaed4ee3d518b89827edd1c8fef611" TargetMode="External"/><Relationship Id="rId610" Type="http://schemas.openxmlformats.org/officeDocument/2006/relationships/hyperlink" Target="https://www.stadtwil.ch/topics/bauen-und-planen/private-bauprojekte/rechtsgrundlagen-bauen-und-planen/kommunale-schutzverordnung" TargetMode="External"/><Relationship Id="rId694" Type="http://schemas.openxmlformats.org/officeDocument/2006/relationships/hyperlink" Target="https://www.stadtwil.ch/auth/login?skip=0&amp;to=%2Ftopics%2Fbauen-und-planen%2Fwil-vivendo%2Fortsplanungsrevision%2Fveranstaltungen-und-mitwirkung%2Fstrategiekonferenzen%2F3-strategiekonferenz" TargetMode="External"/><Relationship Id="rId708" Type="http://schemas.openxmlformats.org/officeDocument/2006/relationships/hyperlink" Target="https://www.stadtwil.ch/auth/login?skip=0&amp;to=%2Ftopics%2Fstadt-politik-und-recht%2Fabstimmungen-und-wahlen%2Faktuelle-ergebnisse" TargetMode="External"/><Relationship Id="rId347" Type="http://schemas.openxmlformats.org/officeDocument/2006/relationships/hyperlink" Target="https://www.muenchenstein.ch/_rte/abstimmung/64992" TargetMode="External"/><Relationship Id="rId44" Type="http://schemas.openxmlformats.org/officeDocument/2006/relationships/hyperlink" Target="https://www.muenchenstein.ch/_rte/abstimmung/278258" TargetMode="External"/><Relationship Id="rId554" Type="http://schemas.openxmlformats.org/officeDocument/2006/relationships/hyperlink" Target="https://www.sg.ch/politik-verwaltung/gemeinden/grundstueckerwerb-durch-personen-im-ausland/betriebsstaette.html" TargetMode="External"/><Relationship Id="rId761" Type="http://schemas.openxmlformats.org/officeDocument/2006/relationships/hyperlink" Target="https://www.stadtwil.ch/topics/stadt-politik-und-recht/abstimmungen-und-wahlen/vergangene-abstimmungen/2024-vergangene-abstimmungen-und-wahlen/22-09-2024-eidgenoessische-und-kommunale-abstimmungen-sowie-kommunale-erneuerungswahlen/erneuerungswahl-des-stadtpraesidenten-1-wahlgang-fuer-die-amtsdauer-2025-202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25"/>
  <sheetViews>
    <sheetView showGridLines="0" workbookViewId="0">
      <pane xSplit="1" ySplit="1" topLeftCell="B2" activePane="bottomRight" state="frozen"/>
      <selection pane="bottomRight"/>
      <selection pane="bottomLeft"/>
      <selection pane="topRight"/>
    </sheetView>
  </sheetViews>
  <sheetFormatPr defaultRowHeight="15"/>
  <cols>
    <col min="1" max="1" width="30" customWidth="1"/>
    <col min="2" max="2" width="115" customWidth="1"/>
  </cols>
  <sheetData>
    <row r="1" spans="1:2" ht="36" customHeight="1">
      <c r="A1" s="1" t="s">
        <v>0</v>
      </c>
      <c r="B1" s="1" t="s">
        <v>1</v>
      </c>
    </row>
    <row r="2" spans="1:2" ht="38.1" customHeight="1">
      <c r="A2" s="12" t="s">
        <v>2</v>
      </c>
      <c r="B2" s="12" t="s">
        <v>3</v>
      </c>
    </row>
    <row r="3" spans="1:2" ht="38.1" customHeight="1">
      <c r="A3" s="2" t="s">
        <v>4</v>
      </c>
      <c r="B3" s="2" t="s">
        <v>5</v>
      </c>
    </row>
    <row r="4" spans="1:2" ht="38.1" customHeight="1">
      <c r="A4" s="12" t="s">
        <v>6</v>
      </c>
      <c r="B4" s="12" t="s">
        <v>7</v>
      </c>
    </row>
    <row r="5" spans="1:2" ht="38.1" customHeight="1">
      <c r="A5" s="2" t="s">
        <v>8</v>
      </c>
      <c r="B5" s="2" t="s">
        <v>9</v>
      </c>
    </row>
    <row r="6" spans="1:2" ht="38.1" customHeight="1">
      <c r="A6" s="12" t="s">
        <v>10</v>
      </c>
      <c r="B6" s="12" t="s">
        <v>11</v>
      </c>
    </row>
    <row r="7" spans="1:2" ht="38.1" customHeight="1">
      <c r="A7" s="2" t="s">
        <v>12</v>
      </c>
      <c r="B7" s="2" t="s">
        <v>13</v>
      </c>
    </row>
    <row r="8" spans="1:2" ht="38.1" customHeight="1">
      <c r="A8" s="12" t="s">
        <v>14</v>
      </c>
      <c r="B8" s="12" t="s">
        <v>15</v>
      </c>
    </row>
    <row r="9" spans="1:2" ht="38.1" customHeight="1">
      <c r="A9" s="2" t="s">
        <v>16</v>
      </c>
      <c r="B9" s="2" t="s">
        <v>17</v>
      </c>
    </row>
    <row r="10" spans="1:2" ht="38.1" customHeight="1">
      <c r="A10" s="12" t="s">
        <v>18</v>
      </c>
      <c r="B10" s="12" t="s">
        <v>19</v>
      </c>
    </row>
    <row r="11" spans="1:2" ht="38.1" customHeight="1">
      <c r="A11" s="2" t="s">
        <v>20</v>
      </c>
      <c r="B11" s="2" t="s">
        <v>21</v>
      </c>
    </row>
    <row r="12" spans="1:2" ht="38.1" customHeight="1">
      <c r="A12" s="12" t="s">
        <v>22</v>
      </c>
      <c r="B12" s="12" t="s">
        <v>23</v>
      </c>
    </row>
    <row r="14" spans="1:2">
      <c r="A14" s="4" t="s">
        <v>24</v>
      </c>
      <c r="B14" s="2" t="s">
        <v>25</v>
      </c>
    </row>
    <row r="15" spans="1:2">
      <c r="A15" s="4" t="s">
        <v>26</v>
      </c>
      <c r="B15" s="2" t="s">
        <v>27</v>
      </c>
    </row>
    <row r="16" spans="1:2">
      <c r="A16" s="4" t="s">
        <v>28</v>
      </c>
      <c r="B16" s="2" t="s">
        <v>29</v>
      </c>
    </row>
    <row r="17" spans="1:2">
      <c r="A17" s="4" t="s">
        <v>30</v>
      </c>
      <c r="B17" s="2" t="s">
        <v>31</v>
      </c>
    </row>
    <row r="18" spans="1:2">
      <c r="A18" s="4" t="s">
        <v>10</v>
      </c>
      <c r="B18" s="2" t="s">
        <v>32</v>
      </c>
    </row>
    <row r="19" spans="1:2">
      <c r="A19" s="4" t="s">
        <v>33</v>
      </c>
      <c r="B19" s="2" t="s">
        <v>34</v>
      </c>
    </row>
    <row r="20" spans="1:2">
      <c r="A20" s="4" t="s">
        <v>35</v>
      </c>
      <c r="B20" s="2" t="s">
        <v>36</v>
      </c>
    </row>
    <row r="21" spans="1:2">
      <c r="A21" s="4" t="s">
        <v>37</v>
      </c>
      <c r="B21" s="2" t="s">
        <v>38</v>
      </c>
    </row>
    <row r="22" spans="1:2">
      <c r="A22" s="5" t="s">
        <v>39</v>
      </c>
      <c r="B22" s="6" t="s">
        <v>40</v>
      </c>
    </row>
    <row r="23" spans="1:2">
      <c r="A23" s="5" t="s">
        <v>41</v>
      </c>
      <c r="B23" s="6" t="str">
        <f>"Soll "&amp;(COUNTIF(Gesamtübersicht!$B:$B,"Bund")+COUNTIFS(Gesamtübersicht!$B:$B,"Kanton",Gesamtübersicht!$D:$D,"Uri")+COUNTIFS(Gesamtübersicht!$B:$B,"Gemeinde",Gesamtübersicht!$E:$E,"Seelisberg"))&amp;" / Ist "&amp;(COUNTA(Seelisberg!$A:$A)-1)&amp;" – "&amp;IF((COUNTIF(Gesamtübersicht!$B:$B,"Bund")+COUNTIFS(Gesamtübersicht!$B:$B,"Kanton",Gesamtübersicht!$D:$D,"Uri")+COUNTIFS(Gesamtübersicht!$B:$B,"Gemeinde",Gesamtübersicht!$E:$E,"Seelisberg"))=(COUNTA(Seelisberg!$A:$A)-1),"OK","ABWEICHUNG: Ansicht neu erzeugen")</f>
        <v>Soll 48 / Ist 48 – OK</v>
      </c>
    </row>
    <row r="24" spans="1:2">
      <c r="A24" s="5" t="s">
        <v>42</v>
      </c>
      <c r="B24" s="6" t="str">
        <f>"Soll "&amp;(COUNTIF(Gesamtübersicht!$B:$B,"Bund")+COUNTIFS(Gesamtübersicht!$B:$B,"Kanton",Gesamtübersicht!$D:$D,"Basel-Landschaft")+COUNTIFS(Gesamtübersicht!$B:$B,"Gemeinde",Gesamtübersicht!$E:$E,"Münchenstein"))&amp;" / Ist "&amp;(COUNTA(Münchenstein!$A:$A)-1)&amp;" – "&amp;IF((COUNTIF(Gesamtübersicht!$B:$B,"Bund")+COUNTIFS(Gesamtübersicht!$B:$B,"Kanton",Gesamtübersicht!$D:$D,"Basel-Landschaft")+COUNTIFS(Gesamtübersicht!$B:$B,"Gemeinde",Gesamtübersicht!$E:$E,"Münchenstein"))=(COUNTA(Münchenstein!$A:$A)-1),"OK","ABWEICHUNG: Ansicht neu erzeugen")</f>
        <v>Soll 41 / Ist 41 – OK</v>
      </c>
    </row>
    <row r="25" spans="1:2">
      <c r="A25" s="5" t="s">
        <v>43</v>
      </c>
      <c r="B25" s="6" t="str">
        <f>"Soll "&amp;(COUNTIF(Gesamtübersicht!$B:$B,"Bund")+COUNTIFS(Gesamtübersicht!$B:$B,"Kanton",Gesamtübersicht!$D:$D,"St. Gallen")+COUNTIFS(Gesamtübersicht!$B:$B,"Gemeinde",Gesamtübersicht!$E:$E,"Wil"))&amp;" / Ist "&amp;(COUNTA(Wil!$A:$A)-1)&amp;" – "&amp;IF((COUNTIF(Gesamtübersicht!$B:$B,"Bund")+COUNTIFS(Gesamtübersicht!$B:$B,"Kanton",Gesamtübersicht!$D:$D,"St. Gallen")+COUNTIFS(Gesamtübersicht!$B:$B,"Gemeinde",Gesamtübersicht!$E:$E,"Wil"))=(COUNTA(Wil!$A:$A)-1),"OK","ABWEICHUNG: Ansicht neu erzeugen")</f>
        <v>Soll 40 / Ist 40 – OK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W110"/>
  <sheetViews>
    <sheetView showGridLines="0" tabSelected="1" workbookViewId="0">
      <pane xSplit="7" ySplit="1" topLeftCell="H2" activePane="bottomRight" state="frozen"/>
      <selection pane="bottomRight"/>
      <selection pane="bottomLeft"/>
      <selection pane="topRight"/>
    </sheetView>
  </sheetViews>
  <sheetFormatPr defaultRowHeight="15"/>
  <cols>
    <col min="1" max="1" width="13" customWidth="1"/>
    <col min="2" max="2" width="15" customWidth="1"/>
    <col min="3" max="3" width="14" customWidth="1"/>
    <col min="4" max="4" width="22" customWidth="1"/>
    <col min="5" max="5" width="18" customWidth="1"/>
    <col min="6" max="6" width="15" customWidth="1"/>
    <col min="7" max="7" width="24" customWidth="1"/>
    <col min="8" max="8" width="48" customWidth="1"/>
    <col min="9" max="9" width="21" customWidth="1"/>
    <col min="10" max="10" width="28" customWidth="1"/>
    <col min="11" max="11" width="26" customWidth="1"/>
    <col min="12" max="12" width="24" customWidth="1"/>
    <col min="13" max="13" width="45" customWidth="1"/>
    <col min="14" max="15" width="19" customWidth="1"/>
    <col min="16" max="16" width="54" customWidth="1"/>
    <col min="17" max="17" width="35" customWidth="1"/>
    <col min="18" max="18" width="49" customWidth="1"/>
    <col min="19" max="19" width="32" customWidth="1"/>
    <col min="20" max="20" width="26" customWidth="1"/>
    <col min="21" max="21" width="14" customWidth="1"/>
    <col min="22" max="22" width="44" customWidth="1"/>
    <col min="23" max="23" width="24" customWidth="1"/>
    <col min="24" max="24" width="39" customWidth="1"/>
    <col min="25" max="25" width="40" customWidth="1"/>
    <col min="26" max="26" width="31" customWidth="1"/>
    <col min="27" max="27" width="16" customWidth="1"/>
    <col min="28" max="28" width="18" customWidth="1"/>
    <col min="29" max="29" width="40" customWidth="1"/>
    <col min="30" max="30" width="16" customWidth="1"/>
    <col min="31" max="31" width="12" customWidth="1"/>
    <col min="32" max="32" width="40" customWidth="1"/>
    <col min="33" max="33" width="11" customWidth="1"/>
    <col min="34" max="34" width="18" customWidth="1"/>
    <col min="35" max="35" width="50" customWidth="1"/>
    <col min="36" max="36" width="40" customWidth="1"/>
    <col min="37" max="37" width="18" customWidth="1"/>
    <col min="38" max="38" width="26" customWidth="1"/>
    <col min="39" max="39" width="18" customWidth="1"/>
    <col min="40" max="40" width="30" customWidth="1"/>
    <col min="41" max="41" width="20" customWidth="1"/>
    <col min="42" max="42" width="50" customWidth="1"/>
    <col min="43" max="43" width="44" customWidth="1"/>
    <col min="44" max="44" width="15" customWidth="1"/>
    <col min="45" max="45" width="30" customWidth="1"/>
    <col min="46" max="46" width="16" customWidth="1"/>
    <col min="47" max="47" width="50" customWidth="1"/>
    <col min="48" max="48" width="18" customWidth="1"/>
    <col min="49" max="49" width="50" customWidth="1"/>
  </cols>
  <sheetData>
    <row r="1" spans="1:49" ht="36" customHeight="1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F1" s="1" t="s">
        <v>49</v>
      </c>
      <c r="G1" s="1" t="s">
        <v>50</v>
      </c>
      <c r="H1" s="1" t="s">
        <v>51</v>
      </c>
      <c r="I1" s="1" t="s">
        <v>52</v>
      </c>
      <c r="J1" s="1" t="s">
        <v>53</v>
      </c>
      <c r="K1" s="1" t="s">
        <v>54</v>
      </c>
      <c r="L1" s="1" t="s">
        <v>55</v>
      </c>
      <c r="M1" s="1" t="s">
        <v>56</v>
      </c>
      <c r="N1" s="1" t="s">
        <v>57</v>
      </c>
      <c r="O1" s="1" t="s">
        <v>58</v>
      </c>
      <c r="P1" s="1" t="s">
        <v>59</v>
      </c>
      <c r="Q1" s="1" t="s">
        <v>60</v>
      </c>
      <c r="R1" s="1" t="s">
        <v>61</v>
      </c>
      <c r="S1" s="1" t="s">
        <v>62</v>
      </c>
      <c r="T1" s="1" t="s">
        <v>63</v>
      </c>
      <c r="U1" s="1" t="s">
        <v>12</v>
      </c>
      <c r="V1" s="1" t="s">
        <v>64</v>
      </c>
      <c r="W1" s="1" t="s">
        <v>65</v>
      </c>
      <c r="X1" s="1" t="s">
        <v>66</v>
      </c>
      <c r="Y1" s="1" t="s">
        <v>67</v>
      </c>
      <c r="Z1" s="1" t="s">
        <v>68</v>
      </c>
      <c r="AA1" s="1" t="s">
        <v>69</v>
      </c>
      <c r="AB1" s="1" t="s">
        <v>70</v>
      </c>
      <c r="AC1" s="1" t="s">
        <v>71</v>
      </c>
      <c r="AD1" s="1" t="s">
        <v>26</v>
      </c>
      <c r="AE1" s="1" t="s">
        <v>72</v>
      </c>
      <c r="AF1" s="1" t="s">
        <v>73</v>
      </c>
      <c r="AG1" s="1" t="s">
        <v>74</v>
      </c>
      <c r="AH1" s="1" t="s">
        <v>28</v>
      </c>
      <c r="AI1" s="1" t="s">
        <v>75</v>
      </c>
      <c r="AJ1" s="1" t="s">
        <v>76</v>
      </c>
      <c r="AK1" s="1" t="s">
        <v>77</v>
      </c>
      <c r="AL1" s="1" t="s">
        <v>78</v>
      </c>
      <c r="AM1" s="1" t="s">
        <v>79</v>
      </c>
      <c r="AN1" s="1" t="s">
        <v>30</v>
      </c>
      <c r="AO1" s="1" t="s">
        <v>80</v>
      </c>
      <c r="AP1" s="1" t="s">
        <v>81</v>
      </c>
      <c r="AQ1" s="1" t="s">
        <v>82</v>
      </c>
      <c r="AR1" s="1" t="s">
        <v>83</v>
      </c>
      <c r="AS1" s="1" t="s">
        <v>84</v>
      </c>
      <c r="AT1" s="1" t="s">
        <v>85</v>
      </c>
      <c r="AU1" s="1" t="s">
        <v>86</v>
      </c>
      <c r="AV1" s="1" t="s">
        <v>87</v>
      </c>
      <c r="AW1" s="1" t="s">
        <v>88</v>
      </c>
    </row>
    <row r="2" spans="1:49" ht="42.95" customHeight="1">
      <c r="A2" s="12" t="s">
        <v>89</v>
      </c>
      <c r="B2" s="7" t="s">
        <v>90</v>
      </c>
      <c r="C2" s="12" t="s">
        <v>46</v>
      </c>
      <c r="D2" s="12" t="s">
        <v>91</v>
      </c>
      <c r="E2" s="12" t="s">
        <v>91</v>
      </c>
      <c r="F2" s="12" t="s">
        <v>92</v>
      </c>
      <c r="G2" s="12" t="s">
        <v>93</v>
      </c>
      <c r="H2" s="12" t="s">
        <v>94</v>
      </c>
      <c r="I2" s="12" t="s">
        <v>95</v>
      </c>
      <c r="J2" s="12" t="s">
        <v>96</v>
      </c>
      <c r="K2" s="12" t="s">
        <v>97</v>
      </c>
      <c r="L2" s="12" t="s">
        <v>90</v>
      </c>
      <c r="M2" s="13" t="s">
        <v>98</v>
      </c>
      <c r="N2" s="12" t="s">
        <v>99</v>
      </c>
      <c r="O2" s="12" t="s">
        <v>100</v>
      </c>
      <c r="P2" s="12" t="s">
        <v>101</v>
      </c>
      <c r="Q2" s="12" t="s">
        <v>102</v>
      </c>
      <c r="R2" s="12" t="s">
        <v>103</v>
      </c>
      <c r="S2" s="12" t="s">
        <v>104</v>
      </c>
      <c r="T2" s="12" t="s">
        <v>105</v>
      </c>
      <c r="U2" s="12" t="s">
        <v>106</v>
      </c>
      <c r="V2" s="12"/>
      <c r="W2" s="12" t="s">
        <v>107</v>
      </c>
      <c r="X2" s="12" t="s">
        <v>108</v>
      </c>
      <c r="Y2" s="12" t="s">
        <v>109</v>
      </c>
      <c r="Z2" s="12" t="s">
        <v>110</v>
      </c>
      <c r="AA2" s="12"/>
      <c r="AB2" s="12"/>
      <c r="AC2" s="13" t="s">
        <v>111</v>
      </c>
      <c r="AD2" s="12" t="s">
        <v>112</v>
      </c>
      <c r="AE2" s="12" t="s">
        <v>113</v>
      </c>
      <c r="AF2" s="12"/>
      <c r="AG2" s="12" t="s">
        <v>114</v>
      </c>
      <c r="AH2" s="12" t="s">
        <v>115</v>
      </c>
      <c r="AI2" s="12" t="s">
        <v>116</v>
      </c>
      <c r="AJ2" s="12" t="s">
        <v>117</v>
      </c>
      <c r="AK2" s="12" t="s">
        <v>118</v>
      </c>
      <c r="AL2" s="12" t="s">
        <v>119</v>
      </c>
      <c r="AM2" s="12" t="s">
        <v>120</v>
      </c>
      <c r="AN2" s="12" t="s">
        <v>121</v>
      </c>
      <c r="AO2" s="12" t="s">
        <v>99</v>
      </c>
      <c r="AP2" s="12" t="s">
        <v>122</v>
      </c>
      <c r="AQ2" s="12" t="s">
        <v>123</v>
      </c>
      <c r="AR2" s="12" t="s">
        <v>124</v>
      </c>
      <c r="AS2" s="12" t="s">
        <v>90</v>
      </c>
      <c r="AT2" s="12" t="s">
        <v>125</v>
      </c>
      <c r="AU2" s="12"/>
      <c r="AV2" s="12"/>
      <c r="AW2" s="12"/>
    </row>
    <row r="3" spans="1:49" ht="42.95" customHeight="1">
      <c r="A3" s="2" t="s">
        <v>126</v>
      </c>
      <c r="B3" s="7" t="s">
        <v>90</v>
      </c>
      <c r="C3" s="2" t="s">
        <v>46</v>
      </c>
      <c r="D3" s="2" t="s">
        <v>91</v>
      </c>
      <c r="E3" s="2" t="s">
        <v>91</v>
      </c>
      <c r="F3" s="2" t="s">
        <v>92</v>
      </c>
      <c r="G3" s="2" t="s">
        <v>127</v>
      </c>
      <c r="H3" s="2" t="s">
        <v>128</v>
      </c>
      <c r="I3" s="2" t="s">
        <v>129</v>
      </c>
      <c r="J3" s="2" t="s">
        <v>96</v>
      </c>
      <c r="K3" s="2" t="s">
        <v>97</v>
      </c>
      <c r="L3" s="2" t="s">
        <v>90</v>
      </c>
      <c r="M3" s="3" t="s">
        <v>130</v>
      </c>
      <c r="N3" s="2" t="s">
        <v>99</v>
      </c>
      <c r="O3" s="2" t="s">
        <v>100</v>
      </c>
      <c r="P3" s="2" t="s">
        <v>131</v>
      </c>
      <c r="Q3" s="2" t="s">
        <v>132</v>
      </c>
      <c r="R3" s="2" t="s">
        <v>133</v>
      </c>
      <c r="S3" s="2" t="s">
        <v>134</v>
      </c>
      <c r="T3" s="2" t="s">
        <v>105</v>
      </c>
      <c r="U3" s="2" t="s">
        <v>106</v>
      </c>
      <c r="V3" s="2"/>
      <c r="W3" s="2" t="s">
        <v>135</v>
      </c>
      <c r="X3" s="2" t="s">
        <v>136</v>
      </c>
      <c r="Y3" s="2" t="s">
        <v>109</v>
      </c>
      <c r="Z3" s="2" t="s">
        <v>110</v>
      </c>
      <c r="AA3" s="2"/>
      <c r="AB3" s="2"/>
      <c r="AC3" s="2"/>
      <c r="AD3" s="2" t="s">
        <v>112</v>
      </c>
      <c r="AE3" s="2" t="s">
        <v>113</v>
      </c>
      <c r="AF3" s="2"/>
      <c r="AG3" s="2" t="s">
        <v>114</v>
      </c>
      <c r="AH3" s="2" t="s">
        <v>115</v>
      </c>
      <c r="AI3" s="2" t="s">
        <v>116</v>
      </c>
      <c r="AJ3" s="2" t="s">
        <v>137</v>
      </c>
      <c r="AK3" s="2" t="s">
        <v>138</v>
      </c>
      <c r="AL3" s="2" t="s">
        <v>119</v>
      </c>
      <c r="AM3" s="2" t="s">
        <v>120</v>
      </c>
      <c r="AN3" s="2" t="s">
        <v>121</v>
      </c>
      <c r="AO3" s="2" t="s">
        <v>99</v>
      </c>
      <c r="AP3" s="2" t="s">
        <v>122</v>
      </c>
      <c r="AQ3" s="2" t="s">
        <v>123</v>
      </c>
      <c r="AR3" s="2" t="s">
        <v>124</v>
      </c>
      <c r="AS3" s="2" t="s">
        <v>90</v>
      </c>
      <c r="AT3" s="2" t="s">
        <v>125</v>
      </c>
      <c r="AU3" s="2"/>
      <c r="AV3" s="2"/>
      <c r="AW3" s="2"/>
    </row>
    <row r="4" spans="1:49" ht="42.95" customHeight="1">
      <c r="A4" s="12" t="s">
        <v>139</v>
      </c>
      <c r="B4" s="7" t="s">
        <v>90</v>
      </c>
      <c r="C4" s="12" t="s">
        <v>46</v>
      </c>
      <c r="D4" s="12" t="s">
        <v>91</v>
      </c>
      <c r="E4" s="12" t="s">
        <v>91</v>
      </c>
      <c r="F4" s="12" t="s">
        <v>92</v>
      </c>
      <c r="G4" s="12" t="s">
        <v>140</v>
      </c>
      <c r="H4" s="12" t="s">
        <v>141</v>
      </c>
      <c r="I4" s="12" t="s">
        <v>129</v>
      </c>
      <c r="J4" s="12" t="s">
        <v>142</v>
      </c>
      <c r="K4" s="12" t="s">
        <v>143</v>
      </c>
      <c r="L4" s="12" t="s">
        <v>144</v>
      </c>
      <c r="M4" s="13" t="s">
        <v>145</v>
      </c>
      <c r="N4" s="12"/>
      <c r="O4" s="12" t="s">
        <v>100</v>
      </c>
      <c r="P4" s="12" t="s">
        <v>146</v>
      </c>
      <c r="Q4" s="12" t="s">
        <v>147</v>
      </c>
      <c r="R4" s="12"/>
      <c r="S4" s="12" t="s">
        <v>134</v>
      </c>
      <c r="T4" s="12" t="s">
        <v>105</v>
      </c>
      <c r="U4" s="12" t="s">
        <v>106</v>
      </c>
      <c r="V4" s="12"/>
      <c r="W4" s="12" t="s">
        <v>92</v>
      </c>
      <c r="X4" s="12" t="s">
        <v>148</v>
      </c>
      <c r="Y4" s="12" t="s">
        <v>109</v>
      </c>
      <c r="Z4" s="12" t="s">
        <v>149</v>
      </c>
      <c r="AA4" s="12"/>
      <c r="AB4" s="12"/>
      <c r="AC4" s="13" t="s">
        <v>98</v>
      </c>
      <c r="AD4" s="12" t="s">
        <v>112</v>
      </c>
      <c r="AE4" s="12" t="s">
        <v>113</v>
      </c>
      <c r="AF4" s="12"/>
      <c r="AG4" s="12" t="s">
        <v>114</v>
      </c>
      <c r="AH4" s="12" t="s">
        <v>115</v>
      </c>
      <c r="AI4" s="12" t="s">
        <v>150</v>
      </c>
      <c r="AJ4" s="12" t="s">
        <v>151</v>
      </c>
      <c r="AK4" s="12" t="s">
        <v>152</v>
      </c>
      <c r="AL4" s="12" t="s">
        <v>119</v>
      </c>
      <c r="AM4" s="12" t="s">
        <v>153</v>
      </c>
      <c r="AN4" s="12" t="s">
        <v>121</v>
      </c>
      <c r="AO4" s="12"/>
      <c r="AP4" s="12" t="s">
        <v>122</v>
      </c>
      <c r="AQ4" s="12" t="s">
        <v>123</v>
      </c>
      <c r="AR4" s="12" t="s">
        <v>124</v>
      </c>
      <c r="AS4" s="12" t="s">
        <v>144</v>
      </c>
      <c r="AT4" s="12" t="s">
        <v>125</v>
      </c>
      <c r="AU4" s="12" t="s">
        <v>154</v>
      </c>
      <c r="AV4" s="12"/>
      <c r="AW4" s="12" t="s">
        <v>155</v>
      </c>
    </row>
    <row r="5" spans="1:49" ht="42.95" customHeight="1">
      <c r="A5" s="2" t="s">
        <v>156</v>
      </c>
      <c r="B5" s="7" t="s">
        <v>90</v>
      </c>
      <c r="C5" s="2" t="s">
        <v>46</v>
      </c>
      <c r="D5" s="2" t="s">
        <v>91</v>
      </c>
      <c r="E5" s="2" t="s">
        <v>91</v>
      </c>
      <c r="F5" s="2" t="s">
        <v>92</v>
      </c>
      <c r="G5" s="2" t="s">
        <v>157</v>
      </c>
      <c r="H5" s="2" t="s">
        <v>158</v>
      </c>
      <c r="I5" s="2" t="s">
        <v>159</v>
      </c>
      <c r="J5" s="2" t="s">
        <v>160</v>
      </c>
      <c r="K5" s="2" t="s">
        <v>161</v>
      </c>
      <c r="L5" s="2" t="s">
        <v>162</v>
      </c>
      <c r="M5" s="3" t="s">
        <v>163</v>
      </c>
      <c r="N5" s="2"/>
      <c r="O5" s="2" t="s">
        <v>100</v>
      </c>
      <c r="P5" s="2" t="s">
        <v>164</v>
      </c>
      <c r="Q5" s="2" t="s">
        <v>165</v>
      </c>
      <c r="R5" s="2"/>
      <c r="S5" s="2" t="s">
        <v>134</v>
      </c>
      <c r="T5" s="2" t="s">
        <v>105</v>
      </c>
      <c r="U5" s="2" t="s">
        <v>166</v>
      </c>
      <c r="V5" s="2"/>
      <c r="W5" s="2"/>
      <c r="X5" s="2"/>
      <c r="Y5" s="2" t="s">
        <v>109</v>
      </c>
      <c r="Z5" s="2" t="s">
        <v>167</v>
      </c>
      <c r="AA5" s="2"/>
      <c r="AB5" s="2"/>
      <c r="AC5" s="2"/>
      <c r="AD5" s="2" t="s">
        <v>112</v>
      </c>
      <c r="AE5" s="2" t="s">
        <v>113</v>
      </c>
      <c r="AF5" s="2"/>
      <c r="AG5" s="2" t="s">
        <v>114</v>
      </c>
      <c r="AH5" s="2" t="s">
        <v>115</v>
      </c>
      <c r="AI5" s="2" t="s">
        <v>168</v>
      </c>
      <c r="AJ5" s="2" t="s">
        <v>169</v>
      </c>
      <c r="AK5" s="2" t="s">
        <v>170</v>
      </c>
      <c r="AL5" s="2" t="s">
        <v>119</v>
      </c>
      <c r="AM5" s="2" t="s">
        <v>153</v>
      </c>
      <c r="AN5" s="2" t="s">
        <v>121</v>
      </c>
      <c r="AO5" s="2"/>
      <c r="AP5" s="2" t="s">
        <v>122</v>
      </c>
      <c r="AQ5" s="2" t="s">
        <v>123</v>
      </c>
      <c r="AR5" s="2" t="s">
        <v>124</v>
      </c>
      <c r="AS5" s="2" t="s">
        <v>162</v>
      </c>
      <c r="AT5" s="2" t="s">
        <v>125</v>
      </c>
      <c r="AU5" s="2"/>
      <c r="AV5" s="2"/>
      <c r="AW5" s="2" t="s">
        <v>155</v>
      </c>
    </row>
    <row r="6" spans="1:49" ht="42.95" customHeight="1">
      <c r="A6" s="12" t="s">
        <v>171</v>
      </c>
      <c r="B6" s="7" t="s">
        <v>90</v>
      </c>
      <c r="C6" s="12" t="s">
        <v>46</v>
      </c>
      <c r="D6" s="12" t="s">
        <v>91</v>
      </c>
      <c r="E6" s="12" t="s">
        <v>91</v>
      </c>
      <c r="F6" s="12" t="s">
        <v>172</v>
      </c>
      <c r="G6" s="12" t="s">
        <v>173</v>
      </c>
      <c r="H6" s="12" t="s">
        <v>174</v>
      </c>
      <c r="I6" s="12" t="s">
        <v>175</v>
      </c>
      <c r="J6" s="12" t="s">
        <v>96</v>
      </c>
      <c r="K6" s="12" t="s">
        <v>176</v>
      </c>
      <c r="L6" s="12" t="s">
        <v>90</v>
      </c>
      <c r="M6" s="13" t="s">
        <v>177</v>
      </c>
      <c r="N6" s="12" t="s">
        <v>178</v>
      </c>
      <c r="O6" s="12" t="s">
        <v>100</v>
      </c>
      <c r="P6" s="12" t="s">
        <v>179</v>
      </c>
      <c r="Q6" s="12" t="s">
        <v>180</v>
      </c>
      <c r="R6" s="12" t="s">
        <v>181</v>
      </c>
      <c r="S6" s="12" t="s">
        <v>182</v>
      </c>
      <c r="T6" s="12" t="s">
        <v>105</v>
      </c>
      <c r="U6" s="12" t="s">
        <v>106</v>
      </c>
      <c r="V6" s="12"/>
      <c r="W6" s="12" t="s">
        <v>183</v>
      </c>
      <c r="X6" s="12" t="s">
        <v>184</v>
      </c>
      <c r="Y6" s="12" t="s">
        <v>109</v>
      </c>
      <c r="Z6" s="12" t="s">
        <v>110</v>
      </c>
      <c r="AA6" s="12"/>
      <c r="AB6" s="12"/>
      <c r="AC6" s="12"/>
      <c r="AD6" s="12" t="s">
        <v>112</v>
      </c>
      <c r="AE6" s="12" t="s">
        <v>113</v>
      </c>
      <c r="AF6" s="12"/>
      <c r="AG6" s="12" t="s">
        <v>114</v>
      </c>
      <c r="AH6" s="12" t="s">
        <v>115</v>
      </c>
      <c r="AI6" s="12" t="s">
        <v>185</v>
      </c>
      <c r="AJ6" s="12" t="s">
        <v>186</v>
      </c>
      <c r="AK6" s="12"/>
      <c r="AL6" s="12" t="s">
        <v>187</v>
      </c>
      <c r="AM6" s="12" t="s">
        <v>120</v>
      </c>
      <c r="AN6" s="12" t="s">
        <v>121</v>
      </c>
      <c r="AO6" s="12" t="s">
        <v>178</v>
      </c>
      <c r="AP6" s="12" t="s">
        <v>122</v>
      </c>
      <c r="AQ6" s="12" t="s">
        <v>123</v>
      </c>
      <c r="AR6" s="12" t="s">
        <v>124</v>
      </c>
      <c r="AS6" s="12" t="s">
        <v>90</v>
      </c>
      <c r="AT6" s="12" t="s">
        <v>125</v>
      </c>
      <c r="AU6" s="12"/>
      <c r="AV6" s="12"/>
      <c r="AW6" s="12"/>
    </row>
    <row r="7" spans="1:49" ht="42.95" customHeight="1">
      <c r="A7" s="2" t="s">
        <v>188</v>
      </c>
      <c r="B7" s="7" t="s">
        <v>90</v>
      </c>
      <c r="C7" s="2" t="s">
        <v>46</v>
      </c>
      <c r="D7" s="2" t="s">
        <v>91</v>
      </c>
      <c r="E7" s="2" t="s">
        <v>91</v>
      </c>
      <c r="F7" s="2" t="s">
        <v>172</v>
      </c>
      <c r="G7" s="2" t="s">
        <v>189</v>
      </c>
      <c r="H7" s="2" t="s">
        <v>190</v>
      </c>
      <c r="I7" s="2" t="s">
        <v>175</v>
      </c>
      <c r="J7" s="2" t="s">
        <v>160</v>
      </c>
      <c r="K7" s="2" t="s">
        <v>176</v>
      </c>
      <c r="L7" s="2" t="s">
        <v>90</v>
      </c>
      <c r="M7" s="3" t="s">
        <v>191</v>
      </c>
      <c r="N7" s="2" t="s">
        <v>192</v>
      </c>
      <c r="O7" s="2" t="s">
        <v>100</v>
      </c>
      <c r="P7" s="2" t="s">
        <v>193</v>
      </c>
      <c r="Q7" s="2" t="s">
        <v>194</v>
      </c>
      <c r="R7" s="2"/>
      <c r="S7" s="2" t="s">
        <v>182</v>
      </c>
      <c r="T7" s="2" t="s">
        <v>105</v>
      </c>
      <c r="U7" s="2" t="s">
        <v>106</v>
      </c>
      <c r="V7" s="2"/>
      <c r="W7" s="2" t="s">
        <v>183</v>
      </c>
      <c r="X7" s="2"/>
      <c r="Y7" s="2" t="s">
        <v>109</v>
      </c>
      <c r="Z7" s="2" t="s">
        <v>195</v>
      </c>
      <c r="AA7" s="2"/>
      <c r="AB7" s="2"/>
      <c r="AC7" s="2"/>
      <c r="AD7" s="2" t="s">
        <v>112</v>
      </c>
      <c r="AE7" s="2" t="s">
        <v>113</v>
      </c>
      <c r="AF7" s="2"/>
      <c r="AG7" s="2" t="s">
        <v>114</v>
      </c>
      <c r="AH7" s="2" t="s">
        <v>115</v>
      </c>
      <c r="AI7" s="2" t="s">
        <v>196</v>
      </c>
      <c r="AJ7" s="2" t="s">
        <v>197</v>
      </c>
      <c r="AK7" s="2"/>
      <c r="AL7" s="2" t="s">
        <v>187</v>
      </c>
      <c r="AM7" s="2" t="s">
        <v>153</v>
      </c>
      <c r="AN7" s="2" t="s">
        <v>121</v>
      </c>
      <c r="AO7" s="2" t="s">
        <v>192</v>
      </c>
      <c r="AP7" s="2" t="s">
        <v>122</v>
      </c>
      <c r="AQ7" s="2" t="s">
        <v>123</v>
      </c>
      <c r="AR7" s="2" t="s">
        <v>124</v>
      </c>
      <c r="AS7" s="2" t="s">
        <v>90</v>
      </c>
      <c r="AT7" s="2" t="s">
        <v>125</v>
      </c>
      <c r="AU7" s="2"/>
      <c r="AV7" s="2"/>
      <c r="AW7" s="2" t="s">
        <v>155</v>
      </c>
    </row>
    <row r="8" spans="1:49" ht="42.95" customHeight="1">
      <c r="A8" s="12" t="s">
        <v>198</v>
      </c>
      <c r="B8" s="7" t="s">
        <v>90</v>
      </c>
      <c r="C8" s="12" t="s">
        <v>46</v>
      </c>
      <c r="D8" s="12" t="s">
        <v>91</v>
      </c>
      <c r="E8" s="12" t="s">
        <v>91</v>
      </c>
      <c r="F8" s="12" t="s">
        <v>199</v>
      </c>
      <c r="G8" s="12" t="s">
        <v>200</v>
      </c>
      <c r="H8" s="12" t="s">
        <v>201</v>
      </c>
      <c r="I8" s="12" t="s">
        <v>202</v>
      </c>
      <c r="J8" s="12" t="s">
        <v>96</v>
      </c>
      <c r="K8" s="12" t="s">
        <v>203</v>
      </c>
      <c r="L8" s="12" t="s">
        <v>90</v>
      </c>
      <c r="M8" s="13" t="s">
        <v>204</v>
      </c>
      <c r="N8" s="12" t="s">
        <v>205</v>
      </c>
      <c r="O8" s="12" t="s">
        <v>100</v>
      </c>
      <c r="P8" s="12" t="s">
        <v>206</v>
      </c>
      <c r="Q8" s="12" t="s">
        <v>207</v>
      </c>
      <c r="R8" s="12" t="s">
        <v>208</v>
      </c>
      <c r="S8" s="12" t="s">
        <v>209</v>
      </c>
      <c r="T8" s="12" t="s">
        <v>105</v>
      </c>
      <c r="U8" s="12" t="s">
        <v>106</v>
      </c>
      <c r="V8" s="12"/>
      <c r="W8" s="12" t="s">
        <v>210</v>
      </c>
      <c r="X8" s="12" t="s">
        <v>211</v>
      </c>
      <c r="Y8" s="12" t="s">
        <v>109</v>
      </c>
      <c r="Z8" s="12" t="s">
        <v>110</v>
      </c>
      <c r="AA8" s="12" t="s">
        <v>212</v>
      </c>
      <c r="AB8" s="12"/>
      <c r="AC8" s="12"/>
      <c r="AD8" s="12" t="s">
        <v>112</v>
      </c>
      <c r="AE8" s="12" t="s">
        <v>113</v>
      </c>
      <c r="AF8" s="12"/>
      <c r="AG8" s="12" t="s">
        <v>114</v>
      </c>
      <c r="AH8" s="12" t="s">
        <v>115</v>
      </c>
      <c r="AI8" s="12" t="s">
        <v>213</v>
      </c>
      <c r="AJ8" s="12" t="s">
        <v>214</v>
      </c>
      <c r="AK8" s="12"/>
      <c r="AL8" s="12" t="s">
        <v>187</v>
      </c>
      <c r="AM8" s="12" t="s">
        <v>120</v>
      </c>
      <c r="AN8" s="12" t="s">
        <v>121</v>
      </c>
      <c r="AO8" s="12" t="s">
        <v>205</v>
      </c>
      <c r="AP8" s="12" t="s">
        <v>122</v>
      </c>
      <c r="AQ8" s="12" t="s">
        <v>123</v>
      </c>
      <c r="AR8" s="12" t="s">
        <v>124</v>
      </c>
      <c r="AS8" s="12" t="s">
        <v>90</v>
      </c>
      <c r="AT8" s="12" t="s">
        <v>125</v>
      </c>
      <c r="AU8" s="12"/>
      <c r="AV8" s="12" t="s">
        <v>215</v>
      </c>
      <c r="AW8" s="12"/>
    </row>
    <row r="9" spans="1:49" ht="42.95" customHeight="1">
      <c r="A9" s="2" t="s">
        <v>216</v>
      </c>
      <c r="B9" s="7" t="s">
        <v>90</v>
      </c>
      <c r="C9" s="2" t="s">
        <v>46</v>
      </c>
      <c r="D9" s="2" t="s">
        <v>91</v>
      </c>
      <c r="E9" s="2" t="s">
        <v>91</v>
      </c>
      <c r="F9" s="2" t="s">
        <v>217</v>
      </c>
      <c r="G9" s="2" t="s">
        <v>218</v>
      </c>
      <c r="H9" s="2" t="s">
        <v>219</v>
      </c>
      <c r="I9" s="2" t="s">
        <v>175</v>
      </c>
      <c r="J9" s="2" t="s">
        <v>96</v>
      </c>
      <c r="K9" s="2" t="s">
        <v>220</v>
      </c>
      <c r="L9" s="2" t="s">
        <v>90</v>
      </c>
      <c r="M9" s="3" t="s">
        <v>221</v>
      </c>
      <c r="N9" s="2" t="s">
        <v>222</v>
      </c>
      <c r="O9" s="2" t="s">
        <v>100</v>
      </c>
      <c r="P9" s="2" t="s">
        <v>223</v>
      </c>
      <c r="Q9" s="2" t="s">
        <v>224</v>
      </c>
      <c r="R9" s="2" t="s">
        <v>225</v>
      </c>
      <c r="S9" s="2" t="s">
        <v>209</v>
      </c>
      <c r="T9" s="2" t="s">
        <v>105</v>
      </c>
      <c r="U9" s="2" t="s">
        <v>106</v>
      </c>
      <c r="V9" s="2"/>
      <c r="W9" s="2" t="s">
        <v>226</v>
      </c>
      <c r="X9" s="2" t="s">
        <v>227</v>
      </c>
      <c r="Y9" s="2" t="s">
        <v>109</v>
      </c>
      <c r="Z9" s="2" t="s">
        <v>110</v>
      </c>
      <c r="AA9" s="2"/>
      <c r="AB9" s="2"/>
      <c r="AC9" s="2"/>
      <c r="AD9" s="2" t="s">
        <v>112</v>
      </c>
      <c r="AE9" s="2" t="s">
        <v>113</v>
      </c>
      <c r="AF9" s="2"/>
      <c r="AG9" s="2" t="s">
        <v>114</v>
      </c>
      <c r="AH9" s="2" t="s">
        <v>115</v>
      </c>
      <c r="AI9" s="2" t="s">
        <v>228</v>
      </c>
      <c r="AJ9" s="2" t="s">
        <v>229</v>
      </c>
      <c r="AK9" s="2" t="s">
        <v>230</v>
      </c>
      <c r="AL9" s="2" t="s">
        <v>187</v>
      </c>
      <c r="AM9" s="2" t="s">
        <v>120</v>
      </c>
      <c r="AN9" s="2" t="s">
        <v>121</v>
      </c>
      <c r="AO9" s="2" t="s">
        <v>222</v>
      </c>
      <c r="AP9" s="2" t="s">
        <v>122</v>
      </c>
      <c r="AQ9" s="2" t="s">
        <v>123</v>
      </c>
      <c r="AR9" s="2" t="s">
        <v>124</v>
      </c>
      <c r="AS9" s="2" t="s">
        <v>90</v>
      </c>
      <c r="AT9" s="2" t="s">
        <v>125</v>
      </c>
      <c r="AU9" s="2"/>
      <c r="AV9" s="2"/>
      <c r="AW9" s="2"/>
    </row>
    <row r="10" spans="1:49" ht="42.95" customHeight="1">
      <c r="A10" s="12" t="s">
        <v>231</v>
      </c>
      <c r="B10" s="7" t="s">
        <v>90</v>
      </c>
      <c r="C10" s="12" t="s">
        <v>46</v>
      </c>
      <c r="D10" s="12" t="s">
        <v>91</v>
      </c>
      <c r="E10" s="12" t="s">
        <v>91</v>
      </c>
      <c r="F10" s="12" t="s">
        <v>217</v>
      </c>
      <c r="G10" s="12" t="s">
        <v>232</v>
      </c>
      <c r="H10" s="12" t="s">
        <v>233</v>
      </c>
      <c r="I10" s="12" t="s">
        <v>159</v>
      </c>
      <c r="J10" s="12" t="s">
        <v>160</v>
      </c>
      <c r="K10" s="12" t="s">
        <v>161</v>
      </c>
      <c r="L10" s="12" t="s">
        <v>234</v>
      </c>
      <c r="M10" s="13" t="s">
        <v>235</v>
      </c>
      <c r="N10" s="12" t="s">
        <v>236</v>
      </c>
      <c r="O10" s="12" t="s">
        <v>100</v>
      </c>
      <c r="P10" s="12" t="s">
        <v>237</v>
      </c>
      <c r="Q10" s="12"/>
      <c r="R10" s="12"/>
      <c r="S10" s="12" t="s">
        <v>238</v>
      </c>
      <c r="T10" s="12" t="s">
        <v>105</v>
      </c>
      <c r="U10" s="12" t="s">
        <v>166</v>
      </c>
      <c r="V10" s="12"/>
      <c r="W10" s="12"/>
      <c r="X10" s="12"/>
      <c r="Y10" s="12" t="s">
        <v>109</v>
      </c>
      <c r="Z10" s="12" t="s">
        <v>167</v>
      </c>
      <c r="AA10" s="12" t="s">
        <v>92</v>
      </c>
      <c r="AB10" s="12"/>
      <c r="AC10" s="12"/>
      <c r="AD10" s="12" t="s">
        <v>112</v>
      </c>
      <c r="AE10" s="12" t="s">
        <v>113</v>
      </c>
      <c r="AF10" s="12"/>
      <c r="AG10" s="12" t="s">
        <v>114</v>
      </c>
      <c r="AH10" s="12" t="s">
        <v>115</v>
      </c>
      <c r="AI10" s="12" t="s">
        <v>239</v>
      </c>
      <c r="AJ10" s="12" t="s">
        <v>240</v>
      </c>
      <c r="AK10" s="12" t="s">
        <v>241</v>
      </c>
      <c r="AL10" s="12" t="s">
        <v>119</v>
      </c>
      <c r="AM10" s="12" t="s">
        <v>153</v>
      </c>
      <c r="AN10" s="12" t="s">
        <v>121</v>
      </c>
      <c r="AO10" s="12" t="s">
        <v>236</v>
      </c>
      <c r="AP10" s="12" t="s">
        <v>122</v>
      </c>
      <c r="AQ10" s="12" t="s">
        <v>123</v>
      </c>
      <c r="AR10" s="12" t="s">
        <v>124</v>
      </c>
      <c r="AS10" s="12" t="s">
        <v>234</v>
      </c>
      <c r="AT10" s="12" t="s">
        <v>125</v>
      </c>
      <c r="AU10" s="12" t="s">
        <v>242</v>
      </c>
      <c r="AV10" s="12"/>
      <c r="AW10" s="12" t="s">
        <v>155</v>
      </c>
    </row>
    <row r="11" spans="1:49" ht="42.95" customHeight="1">
      <c r="A11" s="2" t="s">
        <v>215</v>
      </c>
      <c r="B11" s="7" t="s">
        <v>90</v>
      </c>
      <c r="C11" s="2" t="s">
        <v>46</v>
      </c>
      <c r="D11" s="2" t="s">
        <v>91</v>
      </c>
      <c r="E11" s="2" t="s">
        <v>91</v>
      </c>
      <c r="F11" s="2" t="s">
        <v>212</v>
      </c>
      <c r="G11" s="2" t="s">
        <v>243</v>
      </c>
      <c r="H11" s="2" t="s">
        <v>201</v>
      </c>
      <c r="I11" s="2" t="s">
        <v>202</v>
      </c>
      <c r="J11" s="2" t="s">
        <v>96</v>
      </c>
      <c r="K11" s="2" t="s">
        <v>203</v>
      </c>
      <c r="L11" s="2" t="s">
        <v>90</v>
      </c>
      <c r="M11" s="3" t="s">
        <v>204</v>
      </c>
      <c r="N11" s="2" t="s">
        <v>205</v>
      </c>
      <c r="O11" s="2" t="s">
        <v>100</v>
      </c>
      <c r="P11" s="2" t="s">
        <v>244</v>
      </c>
      <c r="Q11" s="2" t="s">
        <v>245</v>
      </c>
      <c r="R11" s="2" t="s">
        <v>246</v>
      </c>
      <c r="S11" s="2" t="s">
        <v>209</v>
      </c>
      <c r="T11" s="2" t="s">
        <v>105</v>
      </c>
      <c r="U11" s="2" t="s">
        <v>106</v>
      </c>
      <c r="V11" s="2"/>
      <c r="W11" s="2" t="s">
        <v>247</v>
      </c>
      <c r="X11" s="2" t="s">
        <v>248</v>
      </c>
      <c r="Y11" s="2" t="s">
        <v>109</v>
      </c>
      <c r="Z11" s="2" t="s">
        <v>110</v>
      </c>
      <c r="AA11" s="2" t="s">
        <v>199</v>
      </c>
      <c r="AB11" s="2"/>
      <c r="AC11" s="2"/>
      <c r="AD11" s="2" t="s">
        <v>112</v>
      </c>
      <c r="AE11" s="2" t="s">
        <v>113</v>
      </c>
      <c r="AF11" s="2"/>
      <c r="AG11" s="2" t="s">
        <v>114</v>
      </c>
      <c r="AH11" s="2" t="s">
        <v>115</v>
      </c>
      <c r="AI11" s="2" t="s">
        <v>213</v>
      </c>
      <c r="AJ11" s="2" t="s">
        <v>214</v>
      </c>
      <c r="AK11" s="2"/>
      <c r="AL11" s="2" t="s">
        <v>187</v>
      </c>
      <c r="AM11" s="2" t="s">
        <v>120</v>
      </c>
      <c r="AN11" s="2" t="s">
        <v>121</v>
      </c>
      <c r="AO11" s="2" t="s">
        <v>205</v>
      </c>
      <c r="AP11" s="2" t="s">
        <v>122</v>
      </c>
      <c r="AQ11" s="2" t="s">
        <v>123</v>
      </c>
      <c r="AR11" s="2" t="s">
        <v>124</v>
      </c>
      <c r="AS11" s="2" t="s">
        <v>90</v>
      </c>
      <c r="AT11" s="2" t="s">
        <v>125</v>
      </c>
      <c r="AU11" s="2" t="s">
        <v>249</v>
      </c>
      <c r="AV11" s="2" t="s">
        <v>198</v>
      </c>
      <c r="AW11" s="2"/>
    </row>
    <row r="12" spans="1:49" ht="42.95" customHeight="1">
      <c r="A12" s="12" t="s">
        <v>250</v>
      </c>
      <c r="B12" s="8" t="s">
        <v>47</v>
      </c>
      <c r="C12" s="12" t="s">
        <v>46</v>
      </c>
      <c r="D12" s="12" t="s">
        <v>251</v>
      </c>
      <c r="E12" s="12" t="s">
        <v>91</v>
      </c>
      <c r="F12" s="12" t="s">
        <v>92</v>
      </c>
      <c r="G12" s="12" t="s">
        <v>252</v>
      </c>
      <c r="H12" s="12" t="s">
        <v>253</v>
      </c>
      <c r="I12" s="12" t="s">
        <v>254</v>
      </c>
      <c r="J12" s="12" t="s">
        <v>96</v>
      </c>
      <c r="K12" s="12" t="s">
        <v>97</v>
      </c>
      <c r="L12" s="12" t="s">
        <v>255</v>
      </c>
      <c r="M12" s="13" t="s">
        <v>256</v>
      </c>
      <c r="N12" s="12" t="s">
        <v>99</v>
      </c>
      <c r="O12" s="12" t="s">
        <v>100</v>
      </c>
      <c r="P12" s="12" t="s">
        <v>257</v>
      </c>
      <c r="Q12" s="12" t="s">
        <v>258</v>
      </c>
      <c r="R12" s="12" t="s">
        <v>259</v>
      </c>
      <c r="S12" s="12" t="s">
        <v>260</v>
      </c>
      <c r="T12" s="12" t="s">
        <v>105</v>
      </c>
      <c r="U12" s="12" t="s">
        <v>166</v>
      </c>
      <c r="V12" s="12" t="s">
        <v>261</v>
      </c>
      <c r="W12" s="12" t="s">
        <v>135</v>
      </c>
      <c r="X12" s="12" t="s">
        <v>262</v>
      </c>
      <c r="Y12" s="12" t="s">
        <v>109</v>
      </c>
      <c r="Z12" s="12" t="s">
        <v>263</v>
      </c>
      <c r="AA12" s="12"/>
      <c r="AB12" s="12"/>
      <c r="AC12" s="12"/>
      <c r="AD12" s="12" t="s">
        <v>112</v>
      </c>
      <c r="AE12" s="12" t="s">
        <v>113</v>
      </c>
      <c r="AF12" s="12"/>
      <c r="AG12" s="12" t="s">
        <v>114</v>
      </c>
      <c r="AH12" s="12" t="s">
        <v>115</v>
      </c>
      <c r="AI12" s="12" t="s">
        <v>264</v>
      </c>
      <c r="AJ12" s="12" t="s">
        <v>265</v>
      </c>
      <c r="AK12" s="12" t="s">
        <v>266</v>
      </c>
      <c r="AL12" s="12" t="s">
        <v>267</v>
      </c>
      <c r="AM12" s="12" t="s">
        <v>120</v>
      </c>
      <c r="AN12" s="12" t="s">
        <v>121</v>
      </c>
      <c r="AO12" s="12" t="s">
        <v>99</v>
      </c>
      <c r="AP12" s="12" t="s">
        <v>122</v>
      </c>
      <c r="AQ12" s="12" t="s">
        <v>123</v>
      </c>
      <c r="AR12" s="12" t="s">
        <v>124</v>
      </c>
      <c r="AS12" s="12" t="s">
        <v>255</v>
      </c>
      <c r="AT12" s="12" t="s">
        <v>125</v>
      </c>
      <c r="AU12" s="12"/>
      <c r="AV12" s="12"/>
      <c r="AW12" s="12"/>
    </row>
    <row r="13" spans="1:49" ht="42.95" customHeight="1">
      <c r="A13" s="2" t="s">
        <v>268</v>
      </c>
      <c r="B13" s="8" t="s">
        <v>47</v>
      </c>
      <c r="C13" s="2" t="s">
        <v>46</v>
      </c>
      <c r="D13" s="2" t="s">
        <v>251</v>
      </c>
      <c r="E13" s="2" t="s">
        <v>91</v>
      </c>
      <c r="F13" s="2" t="s">
        <v>92</v>
      </c>
      <c r="G13" s="2" t="s">
        <v>269</v>
      </c>
      <c r="H13" s="2" t="s">
        <v>270</v>
      </c>
      <c r="I13" s="2" t="s">
        <v>254</v>
      </c>
      <c r="J13" s="2" t="s">
        <v>96</v>
      </c>
      <c r="K13" s="2" t="s">
        <v>97</v>
      </c>
      <c r="L13" s="2" t="s">
        <v>255</v>
      </c>
      <c r="M13" s="3" t="s">
        <v>271</v>
      </c>
      <c r="N13" s="2" t="s">
        <v>99</v>
      </c>
      <c r="O13" s="2" t="s">
        <v>100</v>
      </c>
      <c r="P13" s="2" t="s">
        <v>272</v>
      </c>
      <c r="Q13" s="2" t="s">
        <v>273</v>
      </c>
      <c r="R13" s="2" t="s">
        <v>274</v>
      </c>
      <c r="S13" s="2" t="s">
        <v>134</v>
      </c>
      <c r="T13" s="2" t="s">
        <v>105</v>
      </c>
      <c r="U13" s="2" t="s">
        <v>166</v>
      </c>
      <c r="V13" s="2" t="s">
        <v>261</v>
      </c>
      <c r="W13" s="2" t="s">
        <v>275</v>
      </c>
      <c r="X13" s="2" t="s">
        <v>276</v>
      </c>
      <c r="Y13" s="2" t="s">
        <v>109</v>
      </c>
      <c r="Z13" s="2" t="s">
        <v>263</v>
      </c>
      <c r="AA13" s="2"/>
      <c r="AB13" s="2"/>
      <c r="AC13" s="2"/>
      <c r="AD13" s="2" t="s">
        <v>112</v>
      </c>
      <c r="AE13" s="2" t="s">
        <v>113</v>
      </c>
      <c r="AF13" s="2"/>
      <c r="AG13" s="2" t="s">
        <v>114</v>
      </c>
      <c r="AH13" s="2" t="s">
        <v>115</v>
      </c>
      <c r="AI13" s="2" t="s">
        <v>277</v>
      </c>
      <c r="AJ13" s="2" t="s">
        <v>278</v>
      </c>
      <c r="AK13" s="2" t="s">
        <v>279</v>
      </c>
      <c r="AL13" s="2" t="s">
        <v>119</v>
      </c>
      <c r="AM13" s="2" t="s">
        <v>120</v>
      </c>
      <c r="AN13" s="2" t="s">
        <v>121</v>
      </c>
      <c r="AO13" s="2" t="s">
        <v>99</v>
      </c>
      <c r="AP13" s="2" t="s">
        <v>122</v>
      </c>
      <c r="AQ13" s="2" t="s">
        <v>123</v>
      </c>
      <c r="AR13" s="2" t="s">
        <v>124</v>
      </c>
      <c r="AS13" s="2" t="s">
        <v>255</v>
      </c>
      <c r="AT13" s="2" t="s">
        <v>125</v>
      </c>
      <c r="AU13" s="2"/>
      <c r="AV13" s="2"/>
      <c r="AW13" s="2"/>
    </row>
    <row r="14" spans="1:49" ht="42.95" customHeight="1">
      <c r="A14" s="12" t="s">
        <v>280</v>
      </c>
      <c r="B14" s="8" t="s">
        <v>47</v>
      </c>
      <c r="C14" s="12" t="s">
        <v>46</v>
      </c>
      <c r="D14" s="12" t="s">
        <v>251</v>
      </c>
      <c r="E14" s="12" t="s">
        <v>91</v>
      </c>
      <c r="F14" s="12" t="s">
        <v>92</v>
      </c>
      <c r="G14" s="12" t="s">
        <v>281</v>
      </c>
      <c r="H14" s="12" t="s">
        <v>282</v>
      </c>
      <c r="I14" s="12" t="s">
        <v>283</v>
      </c>
      <c r="J14" s="12" t="s">
        <v>160</v>
      </c>
      <c r="K14" s="12" t="s">
        <v>161</v>
      </c>
      <c r="L14" s="12" t="s">
        <v>284</v>
      </c>
      <c r="M14" s="13" t="s">
        <v>285</v>
      </c>
      <c r="N14" s="12" t="s">
        <v>286</v>
      </c>
      <c r="O14" s="12" t="s">
        <v>100</v>
      </c>
      <c r="P14" s="12" t="s">
        <v>287</v>
      </c>
      <c r="Q14" s="12" t="s">
        <v>288</v>
      </c>
      <c r="R14" s="12"/>
      <c r="S14" s="12" t="s">
        <v>134</v>
      </c>
      <c r="T14" s="12" t="s">
        <v>105</v>
      </c>
      <c r="U14" s="12" t="s">
        <v>106</v>
      </c>
      <c r="V14" s="12"/>
      <c r="W14" s="12" t="s">
        <v>135</v>
      </c>
      <c r="X14" s="12" t="s">
        <v>289</v>
      </c>
      <c r="Y14" s="12" t="s">
        <v>109</v>
      </c>
      <c r="Z14" s="12" t="s">
        <v>167</v>
      </c>
      <c r="AA14" s="12"/>
      <c r="AB14" s="12"/>
      <c r="AC14" s="13" t="s">
        <v>256</v>
      </c>
      <c r="AD14" s="12" t="s">
        <v>290</v>
      </c>
      <c r="AE14" s="12" t="s">
        <v>113</v>
      </c>
      <c r="AF14" s="13" t="s">
        <v>291</v>
      </c>
      <c r="AG14" s="12" t="s">
        <v>292</v>
      </c>
      <c r="AH14" s="12" t="s">
        <v>115</v>
      </c>
      <c r="AI14" s="12" t="s">
        <v>293</v>
      </c>
      <c r="AJ14" s="12" t="s">
        <v>294</v>
      </c>
      <c r="AK14" s="12" t="s">
        <v>295</v>
      </c>
      <c r="AL14" s="12" t="s">
        <v>119</v>
      </c>
      <c r="AM14" s="12" t="s">
        <v>153</v>
      </c>
      <c r="AN14" s="12" t="s">
        <v>121</v>
      </c>
      <c r="AO14" s="12" t="s">
        <v>286</v>
      </c>
      <c r="AP14" s="12" t="s">
        <v>122</v>
      </c>
      <c r="AQ14" s="12" t="s">
        <v>123</v>
      </c>
      <c r="AR14" s="12" t="s">
        <v>124</v>
      </c>
      <c r="AS14" s="12" t="s">
        <v>284</v>
      </c>
      <c r="AT14" s="12" t="s">
        <v>125</v>
      </c>
      <c r="AU14" s="12"/>
      <c r="AV14" s="12"/>
      <c r="AW14" s="12" t="s">
        <v>155</v>
      </c>
    </row>
    <row r="15" spans="1:49" ht="42.95" customHeight="1">
      <c r="A15" s="2" t="s">
        <v>296</v>
      </c>
      <c r="B15" s="8" t="s">
        <v>47</v>
      </c>
      <c r="C15" s="2" t="s">
        <v>46</v>
      </c>
      <c r="D15" s="2" t="s">
        <v>251</v>
      </c>
      <c r="E15" s="2" t="s">
        <v>91</v>
      </c>
      <c r="F15" s="2" t="s">
        <v>92</v>
      </c>
      <c r="G15" s="2" t="s">
        <v>281</v>
      </c>
      <c r="H15" s="2" t="s">
        <v>297</v>
      </c>
      <c r="I15" s="2" t="s">
        <v>283</v>
      </c>
      <c r="J15" s="2" t="s">
        <v>160</v>
      </c>
      <c r="K15" s="2" t="s">
        <v>161</v>
      </c>
      <c r="L15" s="2" t="s">
        <v>284</v>
      </c>
      <c r="M15" s="3" t="s">
        <v>298</v>
      </c>
      <c r="N15" s="2" t="s">
        <v>299</v>
      </c>
      <c r="O15" s="2" t="s">
        <v>100</v>
      </c>
      <c r="P15" s="2" t="s">
        <v>300</v>
      </c>
      <c r="Q15" s="2" t="s">
        <v>301</v>
      </c>
      <c r="R15" s="2"/>
      <c r="S15" s="2" t="s">
        <v>134</v>
      </c>
      <c r="T15" s="2" t="s">
        <v>105</v>
      </c>
      <c r="U15" s="2" t="s">
        <v>106</v>
      </c>
      <c r="V15" s="2"/>
      <c r="W15" s="2"/>
      <c r="X15" s="2"/>
      <c r="Y15" s="2" t="s">
        <v>109</v>
      </c>
      <c r="Z15" s="2" t="s">
        <v>167</v>
      </c>
      <c r="AA15" s="2"/>
      <c r="AB15" s="2"/>
      <c r="AC15" s="3" t="s">
        <v>256</v>
      </c>
      <c r="AD15" s="2" t="s">
        <v>290</v>
      </c>
      <c r="AE15" s="2" t="s">
        <v>113</v>
      </c>
      <c r="AF15" s="3" t="s">
        <v>302</v>
      </c>
      <c r="AG15" s="2" t="s">
        <v>292</v>
      </c>
      <c r="AH15" s="2" t="s">
        <v>115</v>
      </c>
      <c r="AI15" s="2" t="s">
        <v>293</v>
      </c>
      <c r="AJ15" s="2" t="s">
        <v>303</v>
      </c>
      <c r="AK15" s="2" t="s">
        <v>304</v>
      </c>
      <c r="AL15" s="2" t="s">
        <v>119</v>
      </c>
      <c r="AM15" s="2" t="s">
        <v>153</v>
      </c>
      <c r="AN15" s="2" t="s">
        <v>121</v>
      </c>
      <c r="AO15" s="2" t="s">
        <v>299</v>
      </c>
      <c r="AP15" s="2" t="s">
        <v>122</v>
      </c>
      <c r="AQ15" s="2" t="s">
        <v>123</v>
      </c>
      <c r="AR15" s="2" t="s">
        <v>124</v>
      </c>
      <c r="AS15" s="2" t="s">
        <v>284</v>
      </c>
      <c r="AT15" s="2" t="s">
        <v>125</v>
      </c>
      <c r="AU15" s="2"/>
      <c r="AV15" s="2"/>
      <c r="AW15" s="2" t="s">
        <v>155</v>
      </c>
    </row>
    <row r="16" spans="1:49" ht="42.95" customHeight="1">
      <c r="A16" s="12" t="s">
        <v>305</v>
      </c>
      <c r="B16" s="8" t="s">
        <v>47</v>
      </c>
      <c r="C16" s="12" t="s">
        <v>46</v>
      </c>
      <c r="D16" s="12" t="s">
        <v>251</v>
      </c>
      <c r="E16" s="12" t="s">
        <v>91</v>
      </c>
      <c r="F16" s="12" t="s">
        <v>92</v>
      </c>
      <c r="G16" s="12" t="s">
        <v>306</v>
      </c>
      <c r="H16" s="12" t="s">
        <v>307</v>
      </c>
      <c r="I16" s="12" t="s">
        <v>308</v>
      </c>
      <c r="J16" s="12" t="s">
        <v>160</v>
      </c>
      <c r="K16" s="12" t="s">
        <v>309</v>
      </c>
      <c r="L16" s="12" t="s">
        <v>310</v>
      </c>
      <c r="M16" s="13" t="s">
        <v>311</v>
      </c>
      <c r="N16" s="12" t="s">
        <v>312</v>
      </c>
      <c r="O16" s="12" t="s">
        <v>100</v>
      </c>
      <c r="P16" s="12" t="s">
        <v>313</v>
      </c>
      <c r="Q16" s="12"/>
      <c r="R16" s="12"/>
      <c r="S16" s="12" t="s">
        <v>134</v>
      </c>
      <c r="T16" s="12" t="s">
        <v>105</v>
      </c>
      <c r="U16" s="12" t="s">
        <v>106</v>
      </c>
      <c r="V16" s="12"/>
      <c r="W16" s="12"/>
      <c r="X16" s="12"/>
      <c r="Y16" s="12" t="s">
        <v>109</v>
      </c>
      <c r="Z16" s="12" t="s">
        <v>167</v>
      </c>
      <c r="AA16" s="12"/>
      <c r="AB16" s="12"/>
      <c r="AC16" s="13" t="s">
        <v>314</v>
      </c>
      <c r="AD16" s="12" t="s">
        <v>112</v>
      </c>
      <c r="AE16" s="12" t="s">
        <v>113</v>
      </c>
      <c r="AF16" s="12"/>
      <c r="AG16" s="12" t="s">
        <v>292</v>
      </c>
      <c r="AH16" s="12" t="s">
        <v>115</v>
      </c>
      <c r="AI16" s="12" t="s">
        <v>315</v>
      </c>
      <c r="AJ16" s="12" t="s">
        <v>316</v>
      </c>
      <c r="AK16" s="12" t="s">
        <v>317</v>
      </c>
      <c r="AL16" s="12" t="s">
        <v>318</v>
      </c>
      <c r="AM16" s="12" t="s">
        <v>153</v>
      </c>
      <c r="AN16" s="12" t="s">
        <v>121</v>
      </c>
      <c r="AO16" s="12" t="s">
        <v>312</v>
      </c>
      <c r="AP16" s="12" t="s">
        <v>122</v>
      </c>
      <c r="AQ16" s="12" t="s">
        <v>123</v>
      </c>
      <c r="AR16" s="12" t="s">
        <v>124</v>
      </c>
      <c r="AS16" s="12" t="s">
        <v>310</v>
      </c>
      <c r="AT16" s="12" t="s">
        <v>125</v>
      </c>
      <c r="AU16" s="12" t="s">
        <v>319</v>
      </c>
      <c r="AV16" s="12"/>
      <c r="AW16" s="12" t="s">
        <v>155</v>
      </c>
    </row>
    <row r="17" spans="1:49" ht="42.95" customHeight="1">
      <c r="A17" s="2" t="s">
        <v>320</v>
      </c>
      <c r="B17" s="8" t="s">
        <v>47</v>
      </c>
      <c r="C17" s="2" t="s">
        <v>46</v>
      </c>
      <c r="D17" s="2" t="s">
        <v>251</v>
      </c>
      <c r="E17" s="2" t="s">
        <v>91</v>
      </c>
      <c r="F17" s="2" t="s">
        <v>92</v>
      </c>
      <c r="G17" s="2" t="s">
        <v>321</v>
      </c>
      <c r="H17" s="2" t="s">
        <v>322</v>
      </c>
      <c r="I17" s="2" t="s">
        <v>323</v>
      </c>
      <c r="J17" s="2" t="s">
        <v>160</v>
      </c>
      <c r="K17" s="2" t="s">
        <v>309</v>
      </c>
      <c r="L17" s="2" t="s">
        <v>255</v>
      </c>
      <c r="M17" s="3" t="s">
        <v>324</v>
      </c>
      <c r="N17" s="2" t="s">
        <v>325</v>
      </c>
      <c r="O17" s="2" t="s">
        <v>100</v>
      </c>
      <c r="P17" s="2" t="s">
        <v>326</v>
      </c>
      <c r="Q17" s="2" t="s">
        <v>327</v>
      </c>
      <c r="R17" s="2"/>
      <c r="S17" s="2" t="s">
        <v>134</v>
      </c>
      <c r="T17" s="2" t="s">
        <v>105</v>
      </c>
      <c r="U17" s="2" t="s">
        <v>106</v>
      </c>
      <c r="V17" s="2"/>
      <c r="W17" s="2"/>
      <c r="X17" s="2"/>
      <c r="Y17" s="2" t="s">
        <v>109</v>
      </c>
      <c r="Z17" s="2" t="s">
        <v>328</v>
      </c>
      <c r="AA17" s="2"/>
      <c r="AB17" s="2"/>
      <c r="AC17" s="2"/>
      <c r="AD17" s="2" t="s">
        <v>112</v>
      </c>
      <c r="AE17" s="2" t="s">
        <v>113</v>
      </c>
      <c r="AF17" s="2"/>
      <c r="AG17" s="2" t="s">
        <v>114</v>
      </c>
      <c r="AH17" s="2" t="s">
        <v>115</v>
      </c>
      <c r="AI17" s="2" t="s">
        <v>329</v>
      </c>
      <c r="AJ17" s="2" t="s">
        <v>330</v>
      </c>
      <c r="AK17" s="2" t="s">
        <v>331</v>
      </c>
      <c r="AL17" s="2" t="s">
        <v>318</v>
      </c>
      <c r="AM17" s="2" t="s">
        <v>153</v>
      </c>
      <c r="AN17" s="2" t="s">
        <v>121</v>
      </c>
      <c r="AO17" s="2" t="s">
        <v>325</v>
      </c>
      <c r="AP17" s="2" t="s">
        <v>122</v>
      </c>
      <c r="AQ17" s="2" t="s">
        <v>123</v>
      </c>
      <c r="AR17" s="2" t="s">
        <v>124</v>
      </c>
      <c r="AS17" s="2" t="s">
        <v>255</v>
      </c>
      <c r="AT17" s="2" t="s">
        <v>125</v>
      </c>
      <c r="AU17" s="2"/>
      <c r="AV17" s="2"/>
      <c r="AW17" s="2" t="s">
        <v>155</v>
      </c>
    </row>
    <row r="18" spans="1:49" ht="42.95" customHeight="1">
      <c r="A18" s="12" t="s">
        <v>332</v>
      </c>
      <c r="B18" s="8" t="s">
        <v>47</v>
      </c>
      <c r="C18" s="12" t="s">
        <v>46</v>
      </c>
      <c r="D18" s="12" t="s">
        <v>251</v>
      </c>
      <c r="E18" s="12" t="s">
        <v>91</v>
      </c>
      <c r="F18" s="12" t="s">
        <v>92</v>
      </c>
      <c r="G18" s="12" t="s">
        <v>321</v>
      </c>
      <c r="H18" s="12" t="s">
        <v>333</v>
      </c>
      <c r="I18" s="12" t="s">
        <v>334</v>
      </c>
      <c r="J18" s="12" t="s">
        <v>160</v>
      </c>
      <c r="K18" s="12" t="s">
        <v>161</v>
      </c>
      <c r="L18" s="12" t="s">
        <v>335</v>
      </c>
      <c r="M18" s="13" t="s">
        <v>336</v>
      </c>
      <c r="N18" s="12" t="s">
        <v>337</v>
      </c>
      <c r="O18" s="12" t="s">
        <v>100</v>
      </c>
      <c r="P18" s="12" t="s">
        <v>338</v>
      </c>
      <c r="Q18" s="12" t="s">
        <v>339</v>
      </c>
      <c r="R18" s="12"/>
      <c r="S18" s="12" t="s">
        <v>134</v>
      </c>
      <c r="T18" s="12" t="s">
        <v>105</v>
      </c>
      <c r="U18" s="12" t="s">
        <v>106</v>
      </c>
      <c r="V18" s="12"/>
      <c r="W18" s="12"/>
      <c r="X18" s="12"/>
      <c r="Y18" s="12" t="s">
        <v>109</v>
      </c>
      <c r="Z18" s="12" t="s">
        <v>167</v>
      </c>
      <c r="AA18" s="12"/>
      <c r="AB18" s="12"/>
      <c r="AC18" s="12"/>
      <c r="AD18" s="12" t="s">
        <v>112</v>
      </c>
      <c r="AE18" s="12" t="s">
        <v>113</v>
      </c>
      <c r="AF18" s="12"/>
      <c r="AG18" s="12" t="s">
        <v>292</v>
      </c>
      <c r="AH18" s="12" t="s">
        <v>115</v>
      </c>
      <c r="AI18" s="12" t="s">
        <v>340</v>
      </c>
      <c r="AJ18" s="12" t="s">
        <v>341</v>
      </c>
      <c r="AK18" s="12" t="s">
        <v>342</v>
      </c>
      <c r="AL18" s="12" t="s">
        <v>267</v>
      </c>
      <c r="AM18" s="12" t="s">
        <v>153</v>
      </c>
      <c r="AN18" s="12" t="s">
        <v>121</v>
      </c>
      <c r="AO18" s="12" t="s">
        <v>337</v>
      </c>
      <c r="AP18" s="12" t="s">
        <v>122</v>
      </c>
      <c r="AQ18" s="12" t="s">
        <v>123</v>
      </c>
      <c r="AR18" s="12" t="s">
        <v>124</v>
      </c>
      <c r="AS18" s="12" t="s">
        <v>335</v>
      </c>
      <c r="AT18" s="12" t="s">
        <v>125</v>
      </c>
      <c r="AU18" s="12"/>
      <c r="AV18" s="12"/>
      <c r="AW18" s="12" t="s">
        <v>155</v>
      </c>
    </row>
    <row r="19" spans="1:49" ht="42.95" customHeight="1">
      <c r="A19" s="2" t="s">
        <v>343</v>
      </c>
      <c r="B19" s="8" t="s">
        <v>47</v>
      </c>
      <c r="C19" s="2" t="s">
        <v>46</v>
      </c>
      <c r="D19" s="2" t="s">
        <v>251</v>
      </c>
      <c r="E19" s="2" t="s">
        <v>91</v>
      </c>
      <c r="F19" s="2" t="s">
        <v>172</v>
      </c>
      <c r="G19" s="2" t="s">
        <v>344</v>
      </c>
      <c r="H19" s="2" t="s">
        <v>345</v>
      </c>
      <c r="I19" s="2" t="s">
        <v>346</v>
      </c>
      <c r="J19" s="2" t="s">
        <v>96</v>
      </c>
      <c r="K19" s="2" t="s">
        <v>97</v>
      </c>
      <c r="L19" s="2" t="s">
        <v>255</v>
      </c>
      <c r="M19" s="3" t="s">
        <v>347</v>
      </c>
      <c r="N19" s="2" t="s">
        <v>99</v>
      </c>
      <c r="O19" s="2" t="s">
        <v>100</v>
      </c>
      <c r="P19" s="2" t="s">
        <v>348</v>
      </c>
      <c r="Q19" s="2" t="s">
        <v>349</v>
      </c>
      <c r="R19" s="2" t="s">
        <v>350</v>
      </c>
      <c r="S19" s="2" t="s">
        <v>351</v>
      </c>
      <c r="T19" s="2" t="s">
        <v>105</v>
      </c>
      <c r="U19" s="2" t="s">
        <v>166</v>
      </c>
      <c r="V19" s="2" t="s">
        <v>261</v>
      </c>
      <c r="W19" s="2" t="s">
        <v>183</v>
      </c>
      <c r="X19" s="2" t="s">
        <v>352</v>
      </c>
      <c r="Y19" s="2" t="s">
        <v>109</v>
      </c>
      <c r="Z19" s="2" t="s">
        <v>263</v>
      </c>
      <c r="AA19" s="2"/>
      <c r="AB19" s="2"/>
      <c r="AC19" s="2"/>
      <c r="AD19" s="2" t="s">
        <v>112</v>
      </c>
      <c r="AE19" s="2" t="s">
        <v>113</v>
      </c>
      <c r="AF19" s="2"/>
      <c r="AG19" s="2" t="s">
        <v>114</v>
      </c>
      <c r="AH19" s="2" t="s">
        <v>115</v>
      </c>
      <c r="AI19" s="2" t="s">
        <v>353</v>
      </c>
      <c r="AJ19" s="2" t="s">
        <v>354</v>
      </c>
      <c r="AK19" s="2"/>
      <c r="AL19" s="2" t="s">
        <v>355</v>
      </c>
      <c r="AM19" s="2" t="s">
        <v>120</v>
      </c>
      <c r="AN19" s="2" t="s">
        <v>121</v>
      </c>
      <c r="AO19" s="2" t="s">
        <v>99</v>
      </c>
      <c r="AP19" s="2" t="s">
        <v>122</v>
      </c>
      <c r="AQ19" s="2" t="s">
        <v>123</v>
      </c>
      <c r="AR19" s="2" t="s">
        <v>124</v>
      </c>
      <c r="AS19" s="2" t="s">
        <v>255</v>
      </c>
      <c r="AT19" s="2" t="s">
        <v>125</v>
      </c>
      <c r="AU19" s="2" t="s">
        <v>356</v>
      </c>
      <c r="AV19" s="2"/>
      <c r="AW19" s="2"/>
    </row>
    <row r="20" spans="1:49" ht="42.95" customHeight="1">
      <c r="A20" s="12" t="s">
        <v>357</v>
      </c>
      <c r="B20" s="8" t="s">
        <v>47</v>
      </c>
      <c r="C20" s="12" t="s">
        <v>46</v>
      </c>
      <c r="D20" s="12" t="s">
        <v>251</v>
      </c>
      <c r="E20" s="12" t="s">
        <v>91</v>
      </c>
      <c r="F20" s="12" t="s">
        <v>172</v>
      </c>
      <c r="G20" s="12" t="s">
        <v>189</v>
      </c>
      <c r="H20" s="12" t="s">
        <v>358</v>
      </c>
      <c r="I20" s="12" t="s">
        <v>323</v>
      </c>
      <c r="J20" s="12" t="s">
        <v>160</v>
      </c>
      <c r="K20" s="12" t="s">
        <v>309</v>
      </c>
      <c r="L20" s="12" t="s">
        <v>255</v>
      </c>
      <c r="M20" s="13" t="s">
        <v>359</v>
      </c>
      <c r="N20" s="12" t="s">
        <v>325</v>
      </c>
      <c r="O20" s="12" t="s">
        <v>100</v>
      </c>
      <c r="P20" s="12" t="s">
        <v>360</v>
      </c>
      <c r="Q20" s="12"/>
      <c r="R20" s="12"/>
      <c r="S20" s="12" t="s">
        <v>182</v>
      </c>
      <c r="T20" s="12" t="s">
        <v>105</v>
      </c>
      <c r="U20" s="12" t="s">
        <v>106</v>
      </c>
      <c r="V20" s="12"/>
      <c r="W20" s="12" t="s">
        <v>183</v>
      </c>
      <c r="X20" s="12"/>
      <c r="Y20" s="12" t="s">
        <v>109</v>
      </c>
      <c r="Z20" s="12" t="s">
        <v>167</v>
      </c>
      <c r="AA20" s="12"/>
      <c r="AB20" s="12"/>
      <c r="AC20" s="12"/>
      <c r="AD20" s="12" t="s">
        <v>112</v>
      </c>
      <c r="AE20" s="12" t="s">
        <v>113</v>
      </c>
      <c r="AF20" s="12"/>
      <c r="AG20" s="12" t="s">
        <v>114</v>
      </c>
      <c r="AH20" s="12" t="s">
        <v>115</v>
      </c>
      <c r="AI20" s="12" t="s">
        <v>361</v>
      </c>
      <c r="AJ20" s="12" t="s">
        <v>362</v>
      </c>
      <c r="AK20" s="12" t="s">
        <v>363</v>
      </c>
      <c r="AL20" s="12" t="s">
        <v>318</v>
      </c>
      <c r="AM20" s="12" t="s">
        <v>153</v>
      </c>
      <c r="AN20" s="12" t="s">
        <v>121</v>
      </c>
      <c r="AO20" s="12" t="s">
        <v>325</v>
      </c>
      <c r="AP20" s="12" t="s">
        <v>122</v>
      </c>
      <c r="AQ20" s="12" t="s">
        <v>123</v>
      </c>
      <c r="AR20" s="12" t="s">
        <v>124</v>
      </c>
      <c r="AS20" s="12" t="s">
        <v>255</v>
      </c>
      <c r="AT20" s="12" t="s">
        <v>125</v>
      </c>
      <c r="AU20" s="12"/>
      <c r="AV20" s="12"/>
      <c r="AW20" s="12" t="s">
        <v>155</v>
      </c>
    </row>
    <row r="21" spans="1:49" ht="42.95" customHeight="1">
      <c r="A21" s="2" t="s">
        <v>364</v>
      </c>
      <c r="B21" s="8" t="s">
        <v>47</v>
      </c>
      <c r="C21" s="2" t="s">
        <v>46</v>
      </c>
      <c r="D21" s="2" t="s">
        <v>251</v>
      </c>
      <c r="E21" s="2" t="s">
        <v>91</v>
      </c>
      <c r="F21" s="2" t="s">
        <v>172</v>
      </c>
      <c r="G21" s="2" t="s">
        <v>365</v>
      </c>
      <c r="H21" s="2" t="s">
        <v>366</v>
      </c>
      <c r="I21" s="2" t="s">
        <v>367</v>
      </c>
      <c r="J21" s="2" t="s">
        <v>142</v>
      </c>
      <c r="K21" s="2" t="s">
        <v>368</v>
      </c>
      <c r="L21" s="2" t="s">
        <v>369</v>
      </c>
      <c r="M21" s="3" t="s">
        <v>370</v>
      </c>
      <c r="N21" s="2"/>
      <c r="O21" s="2" t="s">
        <v>100</v>
      </c>
      <c r="P21" s="2" t="s">
        <v>371</v>
      </c>
      <c r="Q21" s="2"/>
      <c r="R21" s="2"/>
      <c r="S21" s="2" t="s">
        <v>182</v>
      </c>
      <c r="T21" s="2" t="s">
        <v>105</v>
      </c>
      <c r="U21" s="2" t="s">
        <v>166</v>
      </c>
      <c r="V21" s="2"/>
      <c r="W21" s="2"/>
      <c r="X21" s="2"/>
      <c r="Y21" s="2" t="s">
        <v>109</v>
      </c>
      <c r="Z21" s="2" t="s">
        <v>167</v>
      </c>
      <c r="AA21" s="2"/>
      <c r="AB21" s="2"/>
      <c r="AC21" s="2"/>
      <c r="AD21" s="2" t="s">
        <v>112</v>
      </c>
      <c r="AE21" s="2" t="s">
        <v>113</v>
      </c>
      <c r="AF21" s="2"/>
      <c r="AG21" s="2" t="s">
        <v>114</v>
      </c>
      <c r="AH21" s="2" t="s">
        <v>115</v>
      </c>
      <c r="AI21" s="2" t="s">
        <v>372</v>
      </c>
      <c r="AJ21" s="2" t="s">
        <v>373</v>
      </c>
      <c r="AK21" s="2" t="s">
        <v>374</v>
      </c>
      <c r="AL21" s="2" t="s">
        <v>119</v>
      </c>
      <c r="AM21" s="2" t="s">
        <v>153</v>
      </c>
      <c r="AN21" s="2" t="s">
        <v>121</v>
      </c>
      <c r="AO21" s="2"/>
      <c r="AP21" s="2" t="s">
        <v>122</v>
      </c>
      <c r="AQ21" s="2" t="s">
        <v>123</v>
      </c>
      <c r="AR21" s="2" t="s">
        <v>124</v>
      </c>
      <c r="AS21" s="2" t="s">
        <v>369</v>
      </c>
      <c r="AT21" s="2" t="s">
        <v>125</v>
      </c>
      <c r="AU21" s="2"/>
      <c r="AV21" s="2"/>
      <c r="AW21" s="2" t="s">
        <v>155</v>
      </c>
    </row>
    <row r="22" spans="1:49" ht="42.95" customHeight="1">
      <c r="A22" s="12" t="s">
        <v>375</v>
      </c>
      <c r="B22" s="8" t="s">
        <v>47</v>
      </c>
      <c r="C22" s="12" t="s">
        <v>46</v>
      </c>
      <c r="D22" s="12" t="s">
        <v>251</v>
      </c>
      <c r="E22" s="12" t="s">
        <v>91</v>
      </c>
      <c r="F22" s="12" t="s">
        <v>199</v>
      </c>
      <c r="G22" s="12" t="s">
        <v>376</v>
      </c>
      <c r="H22" s="12" t="s">
        <v>377</v>
      </c>
      <c r="I22" s="12" t="s">
        <v>323</v>
      </c>
      <c r="J22" s="12" t="s">
        <v>96</v>
      </c>
      <c r="K22" s="12" t="s">
        <v>378</v>
      </c>
      <c r="L22" s="12" t="s">
        <v>255</v>
      </c>
      <c r="M22" s="13" t="s">
        <v>379</v>
      </c>
      <c r="N22" s="12" t="s">
        <v>380</v>
      </c>
      <c r="O22" s="12" t="s">
        <v>100</v>
      </c>
      <c r="P22" s="12" t="s">
        <v>381</v>
      </c>
      <c r="Q22" s="12" t="s">
        <v>382</v>
      </c>
      <c r="R22" s="12" t="s">
        <v>383</v>
      </c>
      <c r="S22" s="12" t="s">
        <v>384</v>
      </c>
      <c r="T22" s="12" t="s">
        <v>105</v>
      </c>
      <c r="U22" s="12" t="s">
        <v>166</v>
      </c>
      <c r="V22" s="12" t="s">
        <v>261</v>
      </c>
      <c r="W22" s="12" t="s">
        <v>385</v>
      </c>
      <c r="X22" s="12" t="s">
        <v>386</v>
      </c>
      <c r="Y22" s="12" t="s">
        <v>109</v>
      </c>
      <c r="Z22" s="12" t="s">
        <v>328</v>
      </c>
      <c r="AA22" s="12"/>
      <c r="AB22" s="12"/>
      <c r="AC22" s="12"/>
      <c r="AD22" s="12" t="s">
        <v>112</v>
      </c>
      <c r="AE22" s="12" t="s">
        <v>113</v>
      </c>
      <c r="AF22" s="12"/>
      <c r="AG22" s="12" t="s">
        <v>114</v>
      </c>
      <c r="AH22" s="12" t="s">
        <v>115</v>
      </c>
      <c r="AI22" s="12" t="s">
        <v>387</v>
      </c>
      <c r="AJ22" s="12" t="s">
        <v>388</v>
      </c>
      <c r="AK22" s="12" t="s">
        <v>389</v>
      </c>
      <c r="AL22" s="12" t="s">
        <v>318</v>
      </c>
      <c r="AM22" s="12" t="s">
        <v>120</v>
      </c>
      <c r="AN22" s="12" t="s">
        <v>121</v>
      </c>
      <c r="AO22" s="12" t="s">
        <v>380</v>
      </c>
      <c r="AP22" s="12" t="s">
        <v>122</v>
      </c>
      <c r="AQ22" s="12" t="s">
        <v>123</v>
      </c>
      <c r="AR22" s="12" t="s">
        <v>124</v>
      </c>
      <c r="AS22" s="12" t="s">
        <v>255</v>
      </c>
      <c r="AT22" s="12" t="s">
        <v>125</v>
      </c>
      <c r="AU22" s="12"/>
      <c r="AV22" s="12"/>
      <c r="AW22" s="12" t="s">
        <v>390</v>
      </c>
    </row>
    <row r="23" spans="1:49" ht="42.95" customHeight="1">
      <c r="A23" s="2" t="s">
        <v>391</v>
      </c>
      <c r="B23" s="8" t="s">
        <v>47</v>
      </c>
      <c r="C23" s="2" t="s">
        <v>46</v>
      </c>
      <c r="D23" s="2" t="s">
        <v>251</v>
      </c>
      <c r="E23" s="2" t="s">
        <v>91</v>
      </c>
      <c r="F23" s="2" t="s">
        <v>199</v>
      </c>
      <c r="G23" s="2" t="s">
        <v>392</v>
      </c>
      <c r="H23" s="2" t="s">
        <v>393</v>
      </c>
      <c r="I23" s="2" t="s">
        <v>392</v>
      </c>
      <c r="J23" s="2" t="s">
        <v>160</v>
      </c>
      <c r="K23" s="2" t="s">
        <v>309</v>
      </c>
      <c r="L23" s="2" t="s">
        <v>255</v>
      </c>
      <c r="M23" s="3" t="s">
        <v>394</v>
      </c>
      <c r="N23" s="2" t="s">
        <v>395</v>
      </c>
      <c r="O23" s="2" t="s">
        <v>100</v>
      </c>
      <c r="P23" s="2" t="s">
        <v>396</v>
      </c>
      <c r="Q23" s="2"/>
      <c r="R23" s="2"/>
      <c r="S23" s="2" t="s">
        <v>182</v>
      </c>
      <c r="T23" s="2" t="s">
        <v>105</v>
      </c>
      <c r="U23" s="2" t="s">
        <v>106</v>
      </c>
      <c r="V23" s="2"/>
      <c r="W23" s="2"/>
      <c r="X23" s="2"/>
      <c r="Y23" s="2" t="s">
        <v>109</v>
      </c>
      <c r="Z23" s="2" t="s">
        <v>328</v>
      </c>
      <c r="AA23" s="2" t="s">
        <v>397</v>
      </c>
      <c r="AB23" s="2"/>
      <c r="AC23" s="2"/>
      <c r="AD23" s="2" t="s">
        <v>112</v>
      </c>
      <c r="AE23" s="2" t="s">
        <v>113</v>
      </c>
      <c r="AF23" s="2"/>
      <c r="AG23" s="2" t="s">
        <v>114</v>
      </c>
      <c r="AH23" s="2" t="s">
        <v>115</v>
      </c>
      <c r="AI23" s="2" t="s">
        <v>398</v>
      </c>
      <c r="AJ23" s="2" t="s">
        <v>399</v>
      </c>
      <c r="AK23" s="2" t="s">
        <v>400</v>
      </c>
      <c r="AL23" s="2" t="s">
        <v>318</v>
      </c>
      <c r="AM23" s="2" t="s">
        <v>153</v>
      </c>
      <c r="AN23" s="2" t="s">
        <v>121</v>
      </c>
      <c r="AO23" s="2" t="s">
        <v>395</v>
      </c>
      <c r="AP23" s="2" t="s">
        <v>122</v>
      </c>
      <c r="AQ23" s="2" t="s">
        <v>123</v>
      </c>
      <c r="AR23" s="2" t="s">
        <v>124</v>
      </c>
      <c r="AS23" s="2" t="s">
        <v>255</v>
      </c>
      <c r="AT23" s="2" t="s">
        <v>125</v>
      </c>
      <c r="AU23" s="2"/>
      <c r="AV23" s="2"/>
      <c r="AW23" s="2" t="s">
        <v>155</v>
      </c>
    </row>
    <row r="24" spans="1:49" ht="42.95" customHeight="1">
      <c r="A24" s="12" t="s">
        <v>401</v>
      </c>
      <c r="B24" s="8" t="s">
        <v>47</v>
      </c>
      <c r="C24" s="12" t="s">
        <v>46</v>
      </c>
      <c r="D24" s="12" t="s">
        <v>251</v>
      </c>
      <c r="E24" s="12" t="s">
        <v>91</v>
      </c>
      <c r="F24" s="12" t="s">
        <v>217</v>
      </c>
      <c r="G24" s="12" t="s">
        <v>402</v>
      </c>
      <c r="H24" s="12" t="s">
        <v>403</v>
      </c>
      <c r="I24" s="12" t="s">
        <v>404</v>
      </c>
      <c r="J24" s="12" t="s">
        <v>96</v>
      </c>
      <c r="K24" s="12" t="s">
        <v>405</v>
      </c>
      <c r="L24" s="12" t="s">
        <v>255</v>
      </c>
      <c r="M24" s="13" t="s">
        <v>406</v>
      </c>
      <c r="N24" s="12" t="s">
        <v>99</v>
      </c>
      <c r="O24" s="12" t="s">
        <v>100</v>
      </c>
      <c r="P24" s="12" t="s">
        <v>407</v>
      </c>
      <c r="Q24" s="12" t="s">
        <v>408</v>
      </c>
      <c r="R24" s="12" t="s">
        <v>409</v>
      </c>
      <c r="S24" s="12" t="s">
        <v>384</v>
      </c>
      <c r="T24" s="12" t="s">
        <v>105</v>
      </c>
      <c r="U24" s="12" t="s">
        <v>166</v>
      </c>
      <c r="V24" s="12" t="s">
        <v>261</v>
      </c>
      <c r="W24" s="12" t="s">
        <v>410</v>
      </c>
      <c r="X24" s="12" t="s">
        <v>411</v>
      </c>
      <c r="Y24" s="12" t="s">
        <v>109</v>
      </c>
      <c r="Z24" s="12" t="s">
        <v>263</v>
      </c>
      <c r="AA24" s="12"/>
      <c r="AB24" s="12"/>
      <c r="AC24" s="12"/>
      <c r="AD24" s="12" t="s">
        <v>112</v>
      </c>
      <c r="AE24" s="12" t="s">
        <v>113</v>
      </c>
      <c r="AF24" s="12"/>
      <c r="AG24" s="12" t="s">
        <v>114</v>
      </c>
      <c r="AH24" s="12" t="s">
        <v>115</v>
      </c>
      <c r="AI24" s="12" t="s">
        <v>412</v>
      </c>
      <c r="AJ24" s="12" t="s">
        <v>413</v>
      </c>
      <c r="AK24" s="12" t="s">
        <v>414</v>
      </c>
      <c r="AL24" s="12" t="s">
        <v>119</v>
      </c>
      <c r="AM24" s="12" t="s">
        <v>120</v>
      </c>
      <c r="AN24" s="12" t="s">
        <v>121</v>
      </c>
      <c r="AO24" s="12" t="s">
        <v>99</v>
      </c>
      <c r="AP24" s="12" t="s">
        <v>122</v>
      </c>
      <c r="AQ24" s="12" t="s">
        <v>123</v>
      </c>
      <c r="AR24" s="12" t="s">
        <v>124</v>
      </c>
      <c r="AS24" s="12" t="s">
        <v>255</v>
      </c>
      <c r="AT24" s="12" t="s">
        <v>125</v>
      </c>
      <c r="AU24" s="12"/>
      <c r="AV24" s="12"/>
      <c r="AW24" s="12" t="s">
        <v>415</v>
      </c>
    </row>
    <row r="25" spans="1:49" ht="42.95" customHeight="1">
      <c r="A25" s="2" t="s">
        <v>416</v>
      </c>
      <c r="B25" s="8" t="s">
        <v>47</v>
      </c>
      <c r="C25" s="2" t="s">
        <v>46</v>
      </c>
      <c r="D25" s="2" t="s">
        <v>251</v>
      </c>
      <c r="E25" s="2" t="s">
        <v>91</v>
      </c>
      <c r="F25" s="2" t="s">
        <v>217</v>
      </c>
      <c r="G25" s="2" t="s">
        <v>417</v>
      </c>
      <c r="H25" s="2" t="s">
        <v>418</v>
      </c>
      <c r="I25" s="2" t="s">
        <v>419</v>
      </c>
      <c r="J25" s="2" t="s">
        <v>160</v>
      </c>
      <c r="K25" s="2" t="s">
        <v>420</v>
      </c>
      <c r="L25" s="2" t="s">
        <v>255</v>
      </c>
      <c r="M25" s="3" t="s">
        <v>421</v>
      </c>
      <c r="N25" s="2"/>
      <c r="O25" s="2" t="s">
        <v>100</v>
      </c>
      <c r="P25" s="2" t="s">
        <v>422</v>
      </c>
      <c r="Q25" s="2"/>
      <c r="R25" s="2"/>
      <c r="S25" s="2" t="s">
        <v>182</v>
      </c>
      <c r="T25" s="2" t="s">
        <v>105</v>
      </c>
      <c r="U25" s="2" t="s">
        <v>106</v>
      </c>
      <c r="V25" s="2"/>
      <c r="W25" s="2"/>
      <c r="X25" s="2"/>
      <c r="Y25" s="2" t="s">
        <v>109</v>
      </c>
      <c r="Z25" s="2" t="s">
        <v>328</v>
      </c>
      <c r="AA25" s="2"/>
      <c r="AB25" s="2"/>
      <c r="AC25" s="2"/>
      <c r="AD25" s="2" t="s">
        <v>112</v>
      </c>
      <c r="AE25" s="2" t="s">
        <v>113</v>
      </c>
      <c r="AF25" s="2"/>
      <c r="AG25" s="2" t="s">
        <v>114</v>
      </c>
      <c r="AH25" s="2" t="s">
        <v>115</v>
      </c>
      <c r="AI25" s="2" t="s">
        <v>423</v>
      </c>
      <c r="AJ25" s="2" t="s">
        <v>424</v>
      </c>
      <c r="AK25" s="2" t="s">
        <v>425</v>
      </c>
      <c r="AL25" s="2" t="s">
        <v>318</v>
      </c>
      <c r="AM25" s="2" t="s">
        <v>153</v>
      </c>
      <c r="AN25" s="2" t="s">
        <v>121</v>
      </c>
      <c r="AO25" s="2"/>
      <c r="AP25" s="2" t="s">
        <v>122</v>
      </c>
      <c r="AQ25" s="2" t="s">
        <v>123</v>
      </c>
      <c r="AR25" s="2" t="s">
        <v>124</v>
      </c>
      <c r="AS25" s="2" t="s">
        <v>255</v>
      </c>
      <c r="AT25" s="2" t="s">
        <v>125</v>
      </c>
      <c r="AU25" s="2"/>
      <c r="AV25" s="2"/>
      <c r="AW25" s="2" t="s">
        <v>155</v>
      </c>
    </row>
    <row r="26" spans="1:49" ht="42.95" customHeight="1">
      <c r="A26" s="12" t="s">
        <v>426</v>
      </c>
      <c r="B26" s="8" t="s">
        <v>47</v>
      </c>
      <c r="C26" s="12" t="s">
        <v>46</v>
      </c>
      <c r="D26" s="12" t="s">
        <v>251</v>
      </c>
      <c r="E26" s="12" t="s">
        <v>91</v>
      </c>
      <c r="F26" s="12" t="s">
        <v>212</v>
      </c>
      <c r="G26" s="12" t="s">
        <v>243</v>
      </c>
      <c r="H26" s="12" t="s">
        <v>427</v>
      </c>
      <c r="I26" s="12" t="s">
        <v>323</v>
      </c>
      <c r="J26" s="12" t="s">
        <v>96</v>
      </c>
      <c r="K26" s="12" t="s">
        <v>378</v>
      </c>
      <c r="L26" s="12" t="s">
        <v>255</v>
      </c>
      <c r="M26" s="13" t="s">
        <v>428</v>
      </c>
      <c r="N26" s="12" t="s">
        <v>429</v>
      </c>
      <c r="O26" s="12" t="s">
        <v>100</v>
      </c>
      <c r="P26" s="12" t="s">
        <v>430</v>
      </c>
      <c r="Q26" s="12" t="s">
        <v>431</v>
      </c>
      <c r="R26" s="12" t="s">
        <v>432</v>
      </c>
      <c r="S26" s="12" t="s">
        <v>384</v>
      </c>
      <c r="T26" s="12" t="s">
        <v>105</v>
      </c>
      <c r="U26" s="12" t="s">
        <v>166</v>
      </c>
      <c r="V26" s="12" t="s">
        <v>261</v>
      </c>
      <c r="W26" s="12" t="s">
        <v>433</v>
      </c>
      <c r="X26" s="12" t="s">
        <v>434</v>
      </c>
      <c r="Y26" s="12" t="s">
        <v>109</v>
      </c>
      <c r="Z26" s="12" t="s">
        <v>328</v>
      </c>
      <c r="AA26" s="12"/>
      <c r="AB26" s="12"/>
      <c r="AC26" s="12"/>
      <c r="AD26" s="12" t="s">
        <v>112</v>
      </c>
      <c r="AE26" s="12" t="s">
        <v>113</v>
      </c>
      <c r="AF26" s="12"/>
      <c r="AG26" s="12" t="s">
        <v>114</v>
      </c>
      <c r="AH26" s="12" t="s">
        <v>115</v>
      </c>
      <c r="AI26" s="12" t="s">
        <v>435</v>
      </c>
      <c r="AJ26" s="12" t="s">
        <v>436</v>
      </c>
      <c r="AK26" s="12" t="s">
        <v>437</v>
      </c>
      <c r="AL26" s="12" t="s">
        <v>318</v>
      </c>
      <c r="AM26" s="12" t="s">
        <v>120</v>
      </c>
      <c r="AN26" s="12" t="s">
        <v>121</v>
      </c>
      <c r="AO26" s="12" t="s">
        <v>429</v>
      </c>
      <c r="AP26" s="12" t="s">
        <v>122</v>
      </c>
      <c r="AQ26" s="12" t="s">
        <v>123</v>
      </c>
      <c r="AR26" s="12" t="s">
        <v>124</v>
      </c>
      <c r="AS26" s="12" t="s">
        <v>255</v>
      </c>
      <c r="AT26" s="12" t="s">
        <v>125</v>
      </c>
      <c r="AU26" s="12"/>
      <c r="AV26" s="12"/>
      <c r="AW26" s="12" t="s">
        <v>438</v>
      </c>
    </row>
    <row r="27" spans="1:49" ht="42.95" customHeight="1">
      <c r="A27" s="2" t="s">
        <v>439</v>
      </c>
      <c r="B27" s="8" t="s">
        <v>47</v>
      </c>
      <c r="C27" s="2" t="s">
        <v>46</v>
      </c>
      <c r="D27" s="2" t="s">
        <v>440</v>
      </c>
      <c r="E27" s="2" t="s">
        <v>91</v>
      </c>
      <c r="F27" s="2" t="s">
        <v>92</v>
      </c>
      <c r="G27" s="2" t="s">
        <v>441</v>
      </c>
      <c r="H27" s="2" t="s">
        <v>442</v>
      </c>
      <c r="I27" s="2" t="s">
        <v>254</v>
      </c>
      <c r="J27" s="2" t="s">
        <v>96</v>
      </c>
      <c r="K27" s="2" t="s">
        <v>97</v>
      </c>
      <c r="L27" s="2" t="s">
        <v>443</v>
      </c>
      <c r="M27" s="3" t="s">
        <v>444</v>
      </c>
      <c r="N27" s="2" t="s">
        <v>99</v>
      </c>
      <c r="O27" s="2" t="s">
        <v>100</v>
      </c>
      <c r="P27" s="2" t="s">
        <v>445</v>
      </c>
      <c r="Q27" s="2" t="s">
        <v>446</v>
      </c>
      <c r="R27" s="2" t="s">
        <v>447</v>
      </c>
      <c r="S27" s="2" t="s">
        <v>134</v>
      </c>
      <c r="T27" s="2" t="s">
        <v>105</v>
      </c>
      <c r="U27" s="2" t="s">
        <v>166</v>
      </c>
      <c r="V27" s="2" t="s">
        <v>261</v>
      </c>
      <c r="W27" s="2" t="s">
        <v>135</v>
      </c>
      <c r="X27" s="2" t="s">
        <v>262</v>
      </c>
      <c r="Y27" s="2" t="s">
        <v>109</v>
      </c>
      <c r="Z27" s="2" t="s">
        <v>263</v>
      </c>
      <c r="AA27" s="2"/>
      <c r="AB27" s="2"/>
      <c r="AC27" s="2"/>
      <c r="AD27" s="2" t="s">
        <v>112</v>
      </c>
      <c r="AE27" s="2" t="s">
        <v>113</v>
      </c>
      <c r="AF27" s="2"/>
      <c r="AG27" s="2" t="s">
        <v>114</v>
      </c>
      <c r="AH27" s="2" t="s">
        <v>115</v>
      </c>
      <c r="AI27" s="2" t="s">
        <v>448</v>
      </c>
      <c r="AJ27" s="2" t="s">
        <v>449</v>
      </c>
      <c r="AK27" s="2" t="s">
        <v>450</v>
      </c>
      <c r="AL27" s="2" t="s">
        <v>119</v>
      </c>
      <c r="AM27" s="2" t="s">
        <v>120</v>
      </c>
      <c r="AN27" s="2" t="s">
        <v>121</v>
      </c>
      <c r="AO27" s="2" t="s">
        <v>99</v>
      </c>
      <c r="AP27" s="2" t="s">
        <v>122</v>
      </c>
      <c r="AQ27" s="2" t="s">
        <v>123</v>
      </c>
      <c r="AR27" s="2" t="s">
        <v>124</v>
      </c>
      <c r="AS27" s="2" t="s">
        <v>443</v>
      </c>
      <c r="AT27" s="2" t="s">
        <v>125</v>
      </c>
      <c r="AU27" s="2"/>
      <c r="AV27" s="2"/>
      <c r="AW27" s="2"/>
    </row>
    <row r="28" spans="1:49" ht="42.95" customHeight="1">
      <c r="A28" s="12" t="s">
        <v>451</v>
      </c>
      <c r="B28" s="8" t="s">
        <v>47</v>
      </c>
      <c r="C28" s="12" t="s">
        <v>46</v>
      </c>
      <c r="D28" s="12" t="s">
        <v>440</v>
      </c>
      <c r="E28" s="12" t="s">
        <v>91</v>
      </c>
      <c r="F28" s="12" t="s">
        <v>92</v>
      </c>
      <c r="G28" s="12" t="s">
        <v>127</v>
      </c>
      <c r="H28" s="12" t="s">
        <v>452</v>
      </c>
      <c r="I28" s="12" t="s">
        <v>453</v>
      </c>
      <c r="J28" s="12" t="s">
        <v>96</v>
      </c>
      <c r="K28" s="12" t="s">
        <v>97</v>
      </c>
      <c r="L28" s="12" t="s">
        <v>443</v>
      </c>
      <c r="M28" s="13" t="s">
        <v>454</v>
      </c>
      <c r="N28" s="12" t="s">
        <v>99</v>
      </c>
      <c r="O28" s="12" t="s">
        <v>100</v>
      </c>
      <c r="P28" s="12" t="s">
        <v>455</v>
      </c>
      <c r="Q28" s="12" t="s">
        <v>456</v>
      </c>
      <c r="R28" s="12" t="s">
        <v>457</v>
      </c>
      <c r="S28" s="12" t="s">
        <v>134</v>
      </c>
      <c r="T28" s="12" t="s">
        <v>105</v>
      </c>
      <c r="U28" s="12" t="s">
        <v>166</v>
      </c>
      <c r="V28" s="12" t="s">
        <v>261</v>
      </c>
      <c r="W28" s="12" t="s">
        <v>92</v>
      </c>
      <c r="X28" s="12" t="s">
        <v>458</v>
      </c>
      <c r="Y28" s="12" t="s">
        <v>109</v>
      </c>
      <c r="Z28" s="12" t="s">
        <v>263</v>
      </c>
      <c r="AA28" s="12"/>
      <c r="AB28" s="12"/>
      <c r="AC28" s="12"/>
      <c r="AD28" s="12" t="s">
        <v>459</v>
      </c>
      <c r="AE28" s="12" t="s">
        <v>460</v>
      </c>
      <c r="AF28" s="12"/>
      <c r="AG28" s="12"/>
      <c r="AH28" s="12" t="s">
        <v>461</v>
      </c>
      <c r="AI28" s="12" t="s">
        <v>462</v>
      </c>
      <c r="AJ28" s="12"/>
      <c r="AK28" s="12"/>
      <c r="AL28" s="12" t="s">
        <v>119</v>
      </c>
      <c r="AM28" s="12" t="s">
        <v>120</v>
      </c>
      <c r="AN28" s="12" t="s">
        <v>463</v>
      </c>
      <c r="AO28" s="12" t="s">
        <v>99</v>
      </c>
      <c r="AP28" s="12" t="s">
        <v>122</v>
      </c>
      <c r="AQ28" s="12" t="s">
        <v>123</v>
      </c>
      <c r="AR28" s="12" t="s">
        <v>124</v>
      </c>
      <c r="AS28" s="12" t="s">
        <v>443</v>
      </c>
      <c r="AT28" s="12" t="s">
        <v>461</v>
      </c>
      <c r="AU28" s="12" t="s">
        <v>464</v>
      </c>
      <c r="AV28" s="12"/>
      <c r="AW28" s="12"/>
    </row>
    <row r="29" spans="1:49" ht="42.95" customHeight="1">
      <c r="A29" s="2" t="s">
        <v>465</v>
      </c>
      <c r="B29" s="8" t="s">
        <v>47</v>
      </c>
      <c r="C29" s="2" t="s">
        <v>46</v>
      </c>
      <c r="D29" s="2" t="s">
        <v>440</v>
      </c>
      <c r="E29" s="2" t="s">
        <v>91</v>
      </c>
      <c r="F29" s="2" t="s">
        <v>92</v>
      </c>
      <c r="G29" s="2" t="s">
        <v>306</v>
      </c>
      <c r="H29" s="2" t="s">
        <v>466</v>
      </c>
      <c r="I29" s="2" t="s">
        <v>404</v>
      </c>
      <c r="J29" s="2" t="s">
        <v>142</v>
      </c>
      <c r="K29" s="2" t="s">
        <v>368</v>
      </c>
      <c r="L29" s="2" t="s">
        <v>467</v>
      </c>
      <c r="M29" s="3" t="s">
        <v>468</v>
      </c>
      <c r="N29" s="2"/>
      <c r="O29" s="2" t="s">
        <v>100</v>
      </c>
      <c r="P29" s="2" t="s">
        <v>469</v>
      </c>
      <c r="Q29" s="2"/>
      <c r="R29" s="2"/>
      <c r="S29" s="2" t="s">
        <v>134</v>
      </c>
      <c r="T29" s="2" t="s">
        <v>105</v>
      </c>
      <c r="U29" s="2" t="s">
        <v>166</v>
      </c>
      <c r="V29" s="2"/>
      <c r="W29" s="2"/>
      <c r="X29" s="2"/>
      <c r="Y29" s="2" t="s">
        <v>109</v>
      </c>
      <c r="Z29" s="2" t="s">
        <v>167</v>
      </c>
      <c r="AA29" s="2"/>
      <c r="AB29" s="2"/>
      <c r="AC29" s="2"/>
      <c r="AD29" s="2" t="s">
        <v>459</v>
      </c>
      <c r="AE29" s="2" t="s">
        <v>460</v>
      </c>
      <c r="AF29" s="2"/>
      <c r="AG29" s="2"/>
      <c r="AH29" s="2" t="s">
        <v>461</v>
      </c>
      <c r="AI29" s="2" t="s">
        <v>462</v>
      </c>
      <c r="AJ29" s="2"/>
      <c r="AK29" s="2"/>
      <c r="AL29" s="2" t="s">
        <v>119</v>
      </c>
      <c r="AM29" s="2" t="s">
        <v>153</v>
      </c>
      <c r="AN29" s="2" t="s">
        <v>463</v>
      </c>
      <c r="AO29" s="2"/>
      <c r="AP29" s="2" t="s">
        <v>122</v>
      </c>
      <c r="AQ29" s="2" t="s">
        <v>123</v>
      </c>
      <c r="AR29" s="2" t="s">
        <v>124</v>
      </c>
      <c r="AS29" s="2" t="s">
        <v>467</v>
      </c>
      <c r="AT29" s="2" t="s">
        <v>461</v>
      </c>
      <c r="AU29" s="2" t="s">
        <v>464</v>
      </c>
      <c r="AV29" s="2"/>
      <c r="AW29" s="2" t="s">
        <v>155</v>
      </c>
    </row>
    <row r="30" spans="1:49" ht="42.95" customHeight="1">
      <c r="A30" s="12" t="s">
        <v>470</v>
      </c>
      <c r="B30" s="8" t="s">
        <v>47</v>
      </c>
      <c r="C30" s="12" t="s">
        <v>46</v>
      </c>
      <c r="D30" s="12" t="s">
        <v>440</v>
      </c>
      <c r="E30" s="12" t="s">
        <v>91</v>
      </c>
      <c r="F30" s="12" t="s">
        <v>92</v>
      </c>
      <c r="G30" s="12" t="s">
        <v>471</v>
      </c>
      <c r="H30" s="12" t="s">
        <v>472</v>
      </c>
      <c r="I30" s="12" t="s">
        <v>473</v>
      </c>
      <c r="J30" s="12" t="s">
        <v>142</v>
      </c>
      <c r="K30" s="12" t="s">
        <v>368</v>
      </c>
      <c r="L30" s="12" t="s">
        <v>474</v>
      </c>
      <c r="M30" s="13" t="s">
        <v>475</v>
      </c>
      <c r="N30" s="12" t="s">
        <v>476</v>
      </c>
      <c r="O30" s="12" t="s">
        <v>100</v>
      </c>
      <c r="P30" s="12" t="s">
        <v>477</v>
      </c>
      <c r="Q30" s="12"/>
      <c r="R30" s="12"/>
      <c r="S30" s="12" t="s">
        <v>134</v>
      </c>
      <c r="T30" s="12" t="s">
        <v>105</v>
      </c>
      <c r="U30" s="12" t="s">
        <v>166</v>
      </c>
      <c r="V30" s="12"/>
      <c r="W30" s="12"/>
      <c r="X30" s="12"/>
      <c r="Y30" s="12" t="s">
        <v>109</v>
      </c>
      <c r="Z30" s="12" t="s">
        <v>167</v>
      </c>
      <c r="AA30" s="12"/>
      <c r="AB30" s="12"/>
      <c r="AC30" s="12"/>
      <c r="AD30" s="12" t="s">
        <v>459</v>
      </c>
      <c r="AE30" s="12" t="s">
        <v>460</v>
      </c>
      <c r="AF30" s="12"/>
      <c r="AG30" s="12"/>
      <c r="AH30" s="12" t="s">
        <v>461</v>
      </c>
      <c r="AI30" s="12" t="s">
        <v>462</v>
      </c>
      <c r="AJ30" s="12"/>
      <c r="AK30" s="12"/>
      <c r="AL30" s="12" t="s">
        <v>119</v>
      </c>
      <c r="AM30" s="12" t="s">
        <v>153</v>
      </c>
      <c r="AN30" s="12" t="s">
        <v>463</v>
      </c>
      <c r="AO30" s="12" t="s">
        <v>476</v>
      </c>
      <c r="AP30" s="12" t="s">
        <v>122</v>
      </c>
      <c r="AQ30" s="12" t="s">
        <v>123</v>
      </c>
      <c r="AR30" s="12" t="s">
        <v>124</v>
      </c>
      <c r="AS30" s="12" t="s">
        <v>474</v>
      </c>
      <c r="AT30" s="12" t="s">
        <v>461</v>
      </c>
      <c r="AU30" s="12" t="s">
        <v>464</v>
      </c>
      <c r="AV30" s="12"/>
      <c r="AW30" s="12" t="s">
        <v>155</v>
      </c>
    </row>
    <row r="31" spans="1:49" ht="42.95" customHeight="1">
      <c r="A31" s="2" t="s">
        <v>478</v>
      </c>
      <c r="B31" s="8" t="s">
        <v>47</v>
      </c>
      <c r="C31" s="2" t="s">
        <v>46</v>
      </c>
      <c r="D31" s="2" t="s">
        <v>440</v>
      </c>
      <c r="E31" s="2" t="s">
        <v>91</v>
      </c>
      <c r="F31" s="2" t="s">
        <v>92</v>
      </c>
      <c r="G31" s="2" t="s">
        <v>321</v>
      </c>
      <c r="H31" s="2" t="s">
        <v>479</v>
      </c>
      <c r="I31" s="2" t="s">
        <v>323</v>
      </c>
      <c r="J31" s="2" t="s">
        <v>160</v>
      </c>
      <c r="K31" s="2" t="s">
        <v>309</v>
      </c>
      <c r="L31" s="2" t="s">
        <v>443</v>
      </c>
      <c r="M31" s="3" t="s">
        <v>480</v>
      </c>
      <c r="N31" s="2"/>
      <c r="O31" s="2" t="s">
        <v>100</v>
      </c>
      <c r="P31" s="2" t="s">
        <v>481</v>
      </c>
      <c r="Q31" s="2"/>
      <c r="R31" s="2"/>
      <c r="S31" s="2" t="s">
        <v>134</v>
      </c>
      <c r="T31" s="2" t="s">
        <v>105</v>
      </c>
      <c r="U31" s="2" t="s">
        <v>106</v>
      </c>
      <c r="V31" s="2"/>
      <c r="W31" s="2"/>
      <c r="X31" s="2"/>
      <c r="Y31" s="2" t="s">
        <v>109</v>
      </c>
      <c r="Z31" s="2" t="s">
        <v>328</v>
      </c>
      <c r="AA31" s="2"/>
      <c r="AB31" s="2"/>
      <c r="AC31" s="2"/>
      <c r="AD31" s="2" t="s">
        <v>112</v>
      </c>
      <c r="AE31" s="2" t="s">
        <v>113</v>
      </c>
      <c r="AF31" s="2"/>
      <c r="AG31" s="2" t="s">
        <v>114</v>
      </c>
      <c r="AH31" s="2" t="s">
        <v>115</v>
      </c>
      <c r="AI31" s="2" t="s">
        <v>482</v>
      </c>
      <c r="AJ31" s="2" t="s">
        <v>483</v>
      </c>
      <c r="AK31" s="2" t="s">
        <v>484</v>
      </c>
      <c r="AL31" s="2" t="s">
        <v>318</v>
      </c>
      <c r="AM31" s="2" t="s">
        <v>153</v>
      </c>
      <c r="AN31" s="2" t="s">
        <v>121</v>
      </c>
      <c r="AO31" s="2"/>
      <c r="AP31" s="2" t="s">
        <v>122</v>
      </c>
      <c r="AQ31" s="2" t="s">
        <v>123</v>
      </c>
      <c r="AR31" s="2" t="s">
        <v>124</v>
      </c>
      <c r="AS31" s="2" t="s">
        <v>443</v>
      </c>
      <c r="AT31" s="2" t="s">
        <v>125</v>
      </c>
      <c r="AU31" s="2"/>
      <c r="AV31" s="2"/>
      <c r="AW31" s="2" t="s">
        <v>155</v>
      </c>
    </row>
    <row r="32" spans="1:49" ht="42.95" customHeight="1">
      <c r="A32" s="12" t="s">
        <v>485</v>
      </c>
      <c r="B32" s="8" t="s">
        <v>47</v>
      </c>
      <c r="C32" s="12" t="s">
        <v>46</v>
      </c>
      <c r="D32" s="12" t="s">
        <v>440</v>
      </c>
      <c r="E32" s="12" t="s">
        <v>91</v>
      </c>
      <c r="F32" s="12" t="s">
        <v>172</v>
      </c>
      <c r="G32" s="12" t="s">
        <v>486</v>
      </c>
      <c r="H32" s="12" t="s">
        <v>487</v>
      </c>
      <c r="I32" s="12" t="s">
        <v>346</v>
      </c>
      <c r="J32" s="12" t="s">
        <v>96</v>
      </c>
      <c r="K32" s="12" t="s">
        <v>97</v>
      </c>
      <c r="L32" s="12" t="s">
        <v>443</v>
      </c>
      <c r="M32" s="13" t="s">
        <v>488</v>
      </c>
      <c r="N32" s="12" t="s">
        <v>99</v>
      </c>
      <c r="O32" s="12" t="s">
        <v>100</v>
      </c>
      <c r="P32" s="12" t="s">
        <v>489</v>
      </c>
      <c r="Q32" s="12" t="s">
        <v>490</v>
      </c>
      <c r="R32" s="12" t="s">
        <v>491</v>
      </c>
      <c r="S32" s="12" t="s">
        <v>351</v>
      </c>
      <c r="T32" s="12" t="s">
        <v>105</v>
      </c>
      <c r="U32" s="12" t="s">
        <v>166</v>
      </c>
      <c r="V32" s="12" t="s">
        <v>261</v>
      </c>
      <c r="W32" s="12" t="s">
        <v>183</v>
      </c>
      <c r="X32" s="12" t="s">
        <v>492</v>
      </c>
      <c r="Y32" s="12" t="s">
        <v>109</v>
      </c>
      <c r="Z32" s="12" t="s">
        <v>263</v>
      </c>
      <c r="AA32" s="12"/>
      <c r="AB32" s="12"/>
      <c r="AC32" s="12"/>
      <c r="AD32" s="12" t="s">
        <v>112</v>
      </c>
      <c r="AE32" s="12" t="s">
        <v>113</v>
      </c>
      <c r="AF32" s="12"/>
      <c r="AG32" s="12" t="s">
        <v>114</v>
      </c>
      <c r="AH32" s="12" t="s">
        <v>115</v>
      </c>
      <c r="AI32" s="12" t="s">
        <v>493</v>
      </c>
      <c r="AJ32" s="12" t="s">
        <v>494</v>
      </c>
      <c r="AK32" s="12" t="s">
        <v>495</v>
      </c>
      <c r="AL32" s="12" t="s">
        <v>355</v>
      </c>
      <c r="AM32" s="12" t="s">
        <v>120</v>
      </c>
      <c r="AN32" s="12" t="s">
        <v>121</v>
      </c>
      <c r="AO32" s="12" t="s">
        <v>99</v>
      </c>
      <c r="AP32" s="12" t="s">
        <v>122</v>
      </c>
      <c r="AQ32" s="12" t="s">
        <v>123</v>
      </c>
      <c r="AR32" s="12" t="s">
        <v>124</v>
      </c>
      <c r="AS32" s="12" t="s">
        <v>443</v>
      </c>
      <c r="AT32" s="12" t="s">
        <v>125</v>
      </c>
      <c r="AU32" s="12" t="s">
        <v>496</v>
      </c>
      <c r="AV32" s="12"/>
      <c r="AW32" s="12"/>
    </row>
    <row r="33" spans="1:49" ht="42.95" customHeight="1">
      <c r="A33" s="2" t="s">
        <v>497</v>
      </c>
      <c r="B33" s="8" t="s">
        <v>47</v>
      </c>
      <c r="C33" s="2" t="s">
        <v>46</v>
      </c>
      <c r="D33" s="2" t="s">
        <v>440</v>
      </c>
      <c r="E33" s="2" t="s">
        <v>91</v>
      </c>
      <c r="F33" s="2" t="s">
        <v>172</v>
      </c>
      <c r="G33" s="2" t="s">
        <v>189</v>
      </c>
      <c r="H33" s="2" t="s">
        <v>498</v>
      </c>
      <c r="I33" s="2" t="s">
        <v>323</v>
      </c>
      <c r="J33" s="2" t="s">
        <v>160</v>
      </c>
      <c r="K33" s="2" t="s">
        <v>309</v>
      </c>
      <c r="L33" s="2" t="s">
        <v>443</v>
      </c>
      <c r="M33" s="3" t="s">
        <v>499</v>
      </c>
      <c r="N33" s="2" t="s">
        <v>500</v>
      </c>
      <c r="O33" s="2" t="s">
        <v>100</v>
      </c>
      <c r="P33" s="2" t="s">
        <v>501</v>
      </c>
      <c r="Q33" s="2"/>
      <c r="R33" s="2"/>
      <c r="S33" s="2" t="s">
        <v>182</v>
      </c>
      <c r="T33" s="2" t="s">
        <v>105</v>
      </c>
      <c r="U33" s="2" t="s">
        <v>106</v>
      </c>
      <c r="V33" s="2"/>
      <c r="W33" s="2" t="s">
        <v>183</v>
      </c>
      <c r="X33" s="2"/>
      <c r="Y33" s="2" t="s">
        <v>109</v>
      </c>
      <c r="Z33" s="2" t="s">
        <v>167</v>
      </c>
      <c r="AA33" s="2" t="s">
        <v>212</v>
      </c>
      <c r="AB33" s="2"/>
      <c r="AC33" s="2"/>
      <c r="AD33" s="2" t="s">
        <v>112</v>
      </c>
      <c r="AE33" s="2" t="s">
        <v>113</v>
      </c>
      <c r="AF33" s="2"/>
      <c r="AG33" s="2" t="s">
        <v>114</v>
      </c>
      <c r="AH33" s="2" t="s">
        <v>115</v>
      </c>
      <c r="AI33" s="2" t="s">
        <v>502</v>
      </c>
      <c r="AJ33" s="2" t="s">
        <v>503</v>
      </c>
      <c r="AK33" s="2" t="s">
        <v>504</v>
      </c>
      <c r="AL33" s="2" t="s">
        <v>318</v>
      </c>
      <c r="AM33" s="2" t="s">
        <v>153</v>
      </c>
      <c r="AN33" s="2" t="s">
        <v>121</v>
      </c>
      <c r="AO33" s="2" t="s">
        <v>500</v>
      </c>
      <c r="AP33" s="2" t="s">
        <v>122</v>
      </c>
      <c r="AQ33" s="2" t="s">
        <v>123</v>
      </c>
      <c r="AR33" s="2" t="s">
        <v>124</v>
      </c>
      <c r="AS33" s="2" t="s">
        <v>443</v>
      </c>
      <c r="AT33" s="2" t="s">
        <v>125</v>
      </c>
      <c r="AU33" s="2"/>
      <c r="AV33" s="2"/>
      <c r="AW33" s="2" t="s">
        <v>155</v>
      </c>
    </row>
    <row r="34" spans="1:49" ht="42.95" customHeight="1">
      <c r="A34" s="12" t="s">
        <v>505</v>
      </c>
      <c r="B34" s="8" t="s">
        <v>47</v>
      </c>
      <c r="C34" s="12" t="s">
        <v>46</v>
      </c>
      <c r="D34" s="12" t="s">
        <v>440</v>
      </c>
      <c r="E34" s="12" t="s">
        <v>91</v>
      </c>
      <c r="F34" s="12" t="s">
        <v>199</v>
      </c>
      <c r="G34" s="12" t="s">
        <v>376</v>
      </c>
      <c r="H34" s="12" t="s">
        <v>506</v>
      </c>
      <c r="I34" s="12" t="s">
        <v>323</v>
      </c>
      <c r="J34" s="12" t="s">
        <v>96</v>
      </c>
      <c r="K34" s="12" t="s">
        <v>378</v>
      </c>
      <c r="L34" s="12" t="s">
        <v>443</v>
      </c>
      <c r="M34" s="13" t="s">
        <v>507</v>
      </c>
      <c r="N34" s="12" t="s">
        <v>508</v>
      </c>
      <c r="O34" s="12" t="s">
        <v>100</v>
      </c>
      <c r="P34" s="12" t="s">
        <v>509</v>
      </c>
      <c r="Q34" s="12" t="s">
        <v>510</v>
      </c>
      <c r="R34" s="12" t="s">
        <v>511</v>
      </c>
      <c r="S34" s="12" t="s">
        <v>384</v>
      </c>
      <c r="T34" s="12" t="s">
        <v>105</v>
      </c>
      <c r="U34" s="12" t="s">
        <v>166</v>
      </c>
      <c r="V34" s="12" t="s">
        <v>261</v>
      </c>
      <c r="W34" s="12" t="s">
        <v>512</v>
      </c>
      <c r="X34" s="12" t="s">
        <v>513</v>
      </c>
      <c r="Y34" s="12" t="s">
        <v>109</v>
      </c>
      <c r="Z34" s="12" t="s">
        <v>167</v>
      </c>
      <c r="AA34" s="12"/>
      <c r="AB34" s="12"/>
      <c r="AC34" s="12"/>
      <c r="AD34" s="12" t="s">
        <v>112</v>
      </c>
      <c r="AE34" s="12" t="s">
        <v>113</v>
      </c>
      <c r="AF34" s="12"/>
      <c r="AG34" s="12" t="s">
        <v>114</v>
      </c>
      <c r="AH34" s="12" t="s">
        <v>115</v>
      </c>
      <c r="AI34" s="12" t="s">
        <v>514</v>
      </c>
      <c r="AJ34" s="12" t="s">
        <v>515</v>
      </c>
      <c r="AK34" s="12" t="s">
        <v>516</v>
      </c>
      <c r="AL34" s="12" t="s">
        <v>318</v>
      </c>
      <c r="AM34" s="12" t="s">
        <v>120</v>
      </c>
      <c r="AN34" s="12" t="s">
        <v>121</v>
      </c>
      <c r="AO34" s="12" t="s">
        <v>508</v>
      </c>
      <c r="AP34" s="12" t="s">
        <v>122</v>
      </c>
      <c r="AQ34" s="12" t="s">
        <v>123</v>
      </c>
      <c r="AR34" s="12" t="s">
        <v>124</v>
      </c>
      <c r="AS34" s="12" t="s">
        <v>443</v>
      </c>
      <c r="AT34" s="12" t="s">
        <v>125</v>
      </c>
      <c r="AU34" s="12"/>
      <c r="AV34" s="12"/>
      <c r="AW34" s="12" t="s">
        <v>517</v>
      </c>
    </row>
    <row r="35" spans="1:49" ht="42.95" customHeight="1">
      <c r="A35" s="2" t="s">
        <v>518</v>
      </c>
      <c r="B35" s="8" t="s">
        <v>47</v>
      </c>
      <c r="C35" s="2" t="s">
        <v>46</v>
      </c>
      <c r="D35" s="2" t="s">
        <v>440</v>
      </c>
      <c r="E35" s="2" t="s">
        <v>91</v>
      </c>
      <c r="F35" s="2" t="s">
        <v>199</v>
      </c>
      <c r="G35" s="2" t="s">
        <v>519</v>
      </c>
      <c r="H35" s="2" t="s">
        <v>520</v>
      </c>
      <c r="I35" s="2" t="s">
        <v>521</v>
      </c>
      <c r="J35" s="2" t="s">
        <v>142</v>
      </c>
      <c r="K35" s="2" t="s">
        <v>368</v>
      </c>
      <c r="L35" s="2" t="s">
        <v>522</v>
      </c>
      <c r="M35" s="3" t="s">
        <v>523</v>
      </c>
      <c r="N35" s="2"/>
      <c r="O35" s="2" t="s">
        <v>100</v>
      </c>
      <c r="P35" s="2" t="s">
        <v>524</v>
      </c>
      <c r="Q35" s="2"/>
      <c r="R35" s="2"/>
      <c r="S35" s="2" t="s">
        <v>182</v>
      </c>
      <c r="T35" s="2" t="s">
        <v>105</v>
      </c>
      <c r="U35" s="2" t="s">
        <v>166</v>
      </c>
      <c r="V35" s="2"/>
      <c r="W35" s="2"/>
      <c r="X35" s="2"/>
      <c r="Y35" s="2" t="s">
        <v>109</v>
      </c>
      <c r="Z35" s="2" t="s">
        <v>167</v>
      </c>
      <c r="AA35" s="2"/>
      <c r="AB35" s="2"/>
      <c r="AC35" s="2"/>
      <c r="AD35" s="2" t="s">
        <v>459</v>
      </c>
      <c r="AE35" s="2" t="s">
        <v>460</v>
      </c>
      <c r="AF35" s="2"/>
      <c r="AG35" s="2"/>
      <c r="AH35" s="2" t="s">
        <v>461</v>
      </c>
      <c r="AI35" s="2" t="s">
        <v>462</v>
      </c>
      <c r="AJ35" s="2"/>
      <c r="AK35" s="2"/>
      <c r="AL35" s="2" t="s">
        <v>119</v>
      </c>
      <c r="AM35" s="2" t="s">
        <v>153</v>
      </c>
      <c r="AN35" s="2" t="s">
        <v>463</v>
      </c>
      <c r="AO35" s="2"/>
      <c r="AP35" s="2" t="s">
        <v>122</v>
      </c>
      <c r="AQ35" s="2" t="s">
        <v>123</v>
      </c>
      <c r="AR35" s="2" t="s">
        <v>124</v>
      </c>
      <c r="AS35" s="2" t="s">
        <v>522</v>
      </c>
      <c r="AT35" s="2" t="s">
        <v>461</v>
      </c>
      <c r="AU35" s="2" t="s">
        <v>464</v>
      </c>
      <c r="AV35" s="2"/>
      <c r="AW35" s="2" t="s">
        <v>155</v>
      </c>
    </row>
    <row r="36" spans="1:49" ht="42.95" customHeight="1">
      <c r="A36" s="12" t="s">
        <v>525</v>
      </c>
      <c r="B36" s="8" t="s">
        <v>47</v>
      </c>
      <c r="C36" s="12" t="s">
        <v>46</v>
      </c>
      <c r="D36" s="12" t="s">
        <v>440</v>
      </c>
      <c r="E36" s="12" t="s">
        <v>91</v>
      </c>
      <c r="F36" s="12" t="s">
        <v>217</v>
      </c>
      <c r="G36" s="12" t="s">
        <v>402</v>
      </c>
      <c r="H36" s="12" t="s">
        <v>526</v>
      </c>
      <c r="I36" s="12" t="s">
        <v>527</v>
      </c>
      <c r="J36" s="12" t="s">
        <v>96</v>
      </c>
      <c r="K36" s="12" t="s">
        <v>97</v>
      </c>
      <c r="L36" s="12" t="s">
        <v>443</v>
      </c>
      <c r="M36" s="13" t="s">
        <v>528</v>
      </c>
      <c r="N36" s="12" t="s">
        <v>99</v>
      </c>
      <c r="O36" s="12" t="s">
        <v>100</v>
      </c>
      <c r="P36" s="12" t="s">
        <v>529</v>
      </c>
      <c r="Q36" s="12" t="s">
        <v>530</v>
      </c>
      <c r="R36" s="12" t="s">
        <v>531</v>
      </c>
      <c r="S36" s="12" t="s">
        <v>384</v>
      </c>
      <c r="T36" s="12" t="s">
        <v>105</v>
      </c>
      <c r="U36" s="12" t="s">
        <v>166</v>
      </c>
      <c r="V36" s="12" t="s">
        <v>261</v>
      </c>
      <c r="W36" s="12" t="s">
        <v>532</v>
      </c>
      <c r="X36" s="12" t="s">
        <v>533</v>
      </c>
      <c r="Y36" s="12" t="s">
        <v>109</v>
      </c>
      <c r="Z36" s="12" t="s">
        <v>263</v>
      </c>
      <c r="AA36" s="12"/>
      <c r="AB36" s="12"/>
      <c r="AC36" s="12"/>
      <c r="AD36" s="12" t="s">
        <v>459</v>
      </c>
      <c r="AE36" s="12" t="s">
        <v>460</v>
      </c>
      <c r="AF36" s="12"/>
      <c r="AG36" s="12"/>
      <c r="AH36" s="12" t="s">
        <v>461</v>
      </c>
      <c r="AI36" s="12" t="s">
        <v>462</v>
      </c>
      <c r="AJ36" s="12"/>
      <c r="AK36" s="12"/>
      <c r="AL36" s="12" t="s">
        <v>119</v>
      </c>
      <c r="AM36" s="12" t="s">
        <v>120</v>
      </c>
      <c r="AN36" s="12" t="s">
        <v>463</v>
      </c>
      <c r="AO36" s="12" t="s">
        <v>99</v>
      </c>
      <c r="AP36" s="12" t="s">
        <v>122</v>
      </c>
      <c r="AQ36" s="12" t="s">
        <v>123</v>
      </c>
      <c r="AR36" s="12" t="s">
        <v>124</v>
      </c>
      <c r="AS36" s="12" t="s">
        <v>443</v>
      </c>
      <c r="AT36" s="12" t="s">
        <v>461</v>
      </c>
      <c r="AU36" s="12" t="s">
        <v>464</v>
      </c>
      <c r="AV36" s="12"/>
      <c r="AW36" s="12"/>
    </row>
    <row r="37" spans="1:49" ht="42.95" customHeight="1">
      <c r="A37" s="2" t="s">
        <v>534</v>
      </c>
      <c r="B37" s="8" t="s">
        <v>47</v>
      </c>
      <c r="C37" s="2" t="s">
        <v>46</v>
      </c>
      <c r="D37" s="2" t="s">
        <v>440</v>
      </c>
      <c r="E37" s="2" t="s">
        <v>91</v>
      </c>
      <c r="F37" s="2" t="s">
        <v>217</v>
      </c>
      <c r="G37" s="2" t="s">
        <v>417</v>
      </c>
      <c r="H37" s="2" t="s">
        <v>535</v>
      </c>
      <c r="I37" s="2" t="s">
        <v>536</v>
      </c>
      <c r="J37" s="2" t="s">
        <v>160</v>
      </c>
      <c r="K37" s="2" t="s">
        <v>309</v>
      </c>
      <c r="L37" s="2" t="s">
        <v>443</v>
      </c>
      <c r="M37" s="3" t="s">
        <v>537</v>
      </c>
      <c r="N37" s="2"/>
      <c r="O37" s="2" t="s">
        <v>100</v>
      </c>
      <c r="P37" s="2" t="s">
        <v>538</v>
      </c>
      <c r="Q37" s="2"/>
      <c r="R37" s="2"/>
      <c r="S37" s="2" t="s">
        <v>182</v>
      </c>
      <c r="T37" s="2" t="s">
        <v>105</v>
      </c>
      <c r="U37" s="2" t="s">
        <v>106</v>
      </c>
      <c r="V37" s="2"/>
      <c r="W37" s="2"/>
      <c r="X37" s="2"/>
      <c r="Y37" s="2" t="s">
        <v>109</v>
      </c>
      <c r="Z37" s="2" t="s">
        <v>328</v>
      </c>
      <c r="AA37" s="2"/>
      <c r="AB37" s="2"/>
      <c r="AC37" s="2"/>
      <c r="AD37" s="2" t="s">
        <v>112</v>
      </c>
      <c r="AE37" s="2" t="s">
        <v>113</v>
      </c>
      <c r="AF37" s="2"/>
      <c r="AG37" s="2" t="s">
        <v>114</v>
      </c>
      <c r="AH37" s="2" t="s">
        <v>115</v>
      </c>
      <c r="AI37" s="2" t="s">
        <v>539</v>
      </c>
      <c r="AJ37" s="2" t="s">
        <v>540</v>
      </c>
      <c r="AK37" s="2" t="s">
        <v>541</v>
      </c>
      <c r="AL37" s="2" t="s">
        <v>318</v>
      </c>
      <c r="AM37" s="2" t="s">
        <v>153</v>
      </c>
      <c r="AN37" s="2" t="s">
        <v>121</v>
      </c>
      <c r="AO37" s="2"/>
      <c r="AP37" s="2" t="s">
        <v>122</v>
      </c>
      <c r="AQ37" s="2" t="s">
        <v>123</v>
      </c>
      <c r="AR37" s="2" t="s">
        <v>124</v>
      </c>
      <c r="AS37" s="2" t="s">
        <v>443</v>
      </c>
      <c r="AT37" s="2" t="s">
        <v>125</v>
      </c>
      <c r="AU37" s="2"/>
      <c r="AV37" s="2"/>
      <c r="AW37" s="2" t="s">
        <v>155</v>
      </c>
    </row>
    <row r="38" spans="1:49" ht="42.95" customHeight="1">
      <c r="A38" s="12" t="s">
        <v>542</v>
      </c>
      <c r="B38" s="8" t="s">
        <v>47</v>
      </c>
      <c r="C38" s="12" t="s">
        <v>46</v>
      </c>
      <c r="D38" s="12" t="s">
        <v>440</v>
      </c>
      <c r="E38" s="12" t="s">
        <v>91</v>
      </c>
      <c r="F38" s="12" t="s">
        <v>212</v>
      </c>
      <c r="G38" s="12" t="s">
        <v>543</v>
      </c>
      <c r="H38" s="12" t="s">
        <v>544</v>
      </c>
      <c r="I38" s="12" t="s">
        <v>323</v>
      </c>
      <c r="J38" s="12" t="s">
        <v>96</v>
      </c>
      <c r="K38" s="12" t="s">
        <v>378</v>
      </c>
      <c r="L38" s="12" t="s">
        <v>443</v>
      </c>
      <c r="M38" s="13" t="s">
        <v>545</v>
      </c>
      <c r="N38" s="12" t="s">
        <v>546</v>
      </c>
      <c r="O38" s="12" t="s">
        <v>100</v>
      </c>
      <c r="P38" s="12" t="s">
        <v>547</v>
      </c>
      <c r="Q38" s="12" t="s">
        <v>548</v>
      </c>
      <c r="R38" s="12" t="s">
        <v>549</v>
      </c>
      <c r="S38" s="12" t="s">
        <v>384</v>
      </c>
      <c r="T38" s="12" t="s">
        <v>105</v>
      </c>
      <c r="U38" s="12" t="s">
        <v>166</v>
      </c>
      <c r="V38" s="12" t="s">
        <v>261</v>
      </c>
      <c r="W38" s="12" t="s">
        <v>199</v>
      </c>
      <c r="X38" s="12" t="s">
        <v>248</v>
      </c>
      <c r="Y38" s="12" t="s">
        <v>109</v>
      </c>
      <c r="Z38" s="12" t="s">
        <v>328</v>
      </c>
      <c r="AA38" s="12"/>
      <c r="AB38" s="12"/>
      <c r="AC38" s="12"/>
      <c r="AD38" s="12" t="s">
        <v>112</v>
      </c>
      <c r="AE38" s="12" t="s">
        <v>113</v>
      </c>
      <c r="AF38" s="12"/>
      <c r="AG38" s="12" t="s">
        <v>114</v>
      </c>
      <c r="AH38" s="12" t="s">
        <v>115</v>
      </c>
      <c r="AI38" s="12" t="s">
        <v>550</v>
      </c>
      <c r="AJ38" s="12" t="s">
        <v>551</v>
      </c>
      <c r="AK38" s="12" t="s">
        <v>552</v>
      </c>
      <c r="AL38" s="12" t="s">
        <v>318</v>
      </c>
      <c r="AM38" s="12" t="s">
        <v>120</v>
      </c>
      <c r="AN38" s="12" t="s">
        <v>121</v>
      </c>
      <c r="AO38" s="12" t="s">
        <v>546</v>
      </c>
      <c r="AP38" s="12" t="s">
        <v>122</v>
      </c>
      <c r="AQ38" s="12" t="s">
        <v>123</v>
      </c>
      <c r="AR38" s="12" t="s">
        <v>124</v>
      </c>
      <c r="AS38" s="12" t="s">
        <v>443</v>
      </c>
      <c r="AT38" s="12" t="s">
        <v>125</v>
      </c>
      <c r="AU38" s="12"/>
      <c r="AV38" s="12"/>
      <c r="AW38" s="12" t="s">
        <v>553</v>
      </c>
    </row>
    <row r="39" spans="1:49" ht="42.95" customHeight="1">
      <c r="A39" s="2" t="s">
        <v>554</v>
      </c>
      <c r="B39" s="8" t="s">
        <v>47</v>
      </c>
      <c r="C39" s="2" t="s">
        <v>46</v>
      </c>
      <c r="D39" s="2" t="s">
        <v>555</v>
      </c>
      <c r="E39" s="2" t="s">
        <v>91</v>
      </c>
      <c r="F39" s="2" t="s">
        <v>92</v>
      </c>
      <c r="G39" s="2" t="s">
        <v>441</v>
      </c>
      <c r="H39" s="2" t="s">
        <v>556</v>
      </c>
      <c r="I39" s="2" t="s">
        <v>404</v>
      </c>
      <c r="J39" s="2" t="s">
        <v>96</v>
      </c>
      <c r="K39" s="2" t="s">
        <v>97</v>
      </c>
      <c r="L39" s="2" t="s">
        <v>557</v>
      </c>
      <c r="M39" s="3" t="s">
        <v>558</v>
      </c>
      <c r="N39" s="2" t="s">
        <v>99</v>
      </c>
      <c r="O39" s="2" t="s">
        <v>100</v>
      </c>
      <c r="P39" s="2" t="s">
        <v>559</v>
      </c>
      <c r="Q39" s="2" t="s">
        <v>560</v>
      </c>
      <c r="R39" s="2" t="s">
        <v>561</v>
      </c>
      <c r="S39" s="2" t="s">
        <v>134</v>
      </c>
      <c r="T39" s="2" t="s">
        <v>105</v>
      </c>
      <c r="U39" s="2" t="s">
        <v>166</v>
      </c>
      <c r="V39" s="2" t="s">
        <v>261</v>
      </c>
      <c r="W39" s="2" t="s">
        <v>135</v>
      </c>
      <c r="X39" s="2" t="s">
        <v>262</v>
      </c>
      <c r="Y39" s="2" t="s">
        <v>109</v>
      </c>
      <c r="Z39" s="2" t="s">
        <v>263</v>
      </c>
      <c r="AA39" s="2"/>
      <c r="AB39" s="2"/>
      <c r="AC39" s="2"/>
      <c r="AD39" s="2" t="s">
        <v>112</v>
      </c>
      <c r="AE39" s="2" t="s">
        <v>113</v>
      </c>
      <c r="AF39" s="2"/>
      <c r="AG39" s="2" t="s">
        <v>114</v>
      </c>
      <c r="AH39" s="2" t="s">
        <v>115</v>
      </c>
      <c r="AI39" s="2" t="s">
        <v>562</v>
      </c>
      <c r="AJ39" s="2" t="s">
        <v>563</v>
      </c>
      <c r="AK39" s="2" t="s">
        <v>564</v>
      </c>
      <c r="AL39" s="2" t="s">
        <v>119</v>
      </c>
      <c r="AM39" s="2" t="s">
        <v>120</v>
      </c>
      <c r="AN39" s="2" t="s">
        <v>121</v>
      </c>
      <c r="AO39" s="2" t="s">
        <v>99</v>
      </c>
      <c r="AP39" s="2" t="s">
        <v>122</v>
      </c>
      <c r="AQ39" s="2" t="s">
        <v>123</v>
      </c>
      <c r="AR39" s="2" t="s">
        <v>124</v>
      </c>
      <c r="AS39" s="2" t="s">
        <v>557</v>
      </c>
      <c r="AT39" s="2" t="s">
        <v>125</v>
      </c>
      <c r="AU39" s="2"/>
      <c r="AV39" s="2"/>
      <c r="AW39" s="2" t="s">
        <v>565</v>
      </c>
    </row>
    <row r="40" spans="1:49" ht="42.95" customHeight="1">
      <c r="A40" s="12" t="s">
        <v>566</v>
      </c>
      <c r="B40" s="8" t="s">
        <v>47</v>
      </c>
      <c r="C40" s="12" t="s">
        <v>46</v>
      </c>
      <c r="D40" s="12" t="s">
        <v>555</v>
      </c>
      <c r="E40" s="12" t="s">
        <v>91</v>
      </c>
      <c r="F40" s="12" t="s">
        <v>92</v>
      </c>
      <c r="G40" s="12" t="s">
        <v>321</v>
      </c>
      <c r="H40" s="12" t="s">
        <v>567</v>
      </c>
      <c r="I40" s="12" t="s">
        <v>323</v>
      </c>
      <c r="J40" s="12" t="s">
        <v>160</v>
      </c>
      <c r="K40" s="12" t="s">
        <v>309</v>
      </c>
      <c r="L40" s="12" t="s">
        <v>568</v>
      </c>
      <c r="M40" s="13" t="s">
        <v>569</v>
      </c>
      <c r="N40" s="12"/>
      <c r="O40" s="12" t="s">
        <v>100</v>
      </c>
      <c r="P40" s="12"/>
      <c r="Q40" s="12"/>
      <c r="R40" s="12"/>
      <c r="S40" s="12" t="s">
        <v>134</v>
      </c>
      <c r="T40" s="12" t="s">
        <v>105</v>
      </c>
      <c r="U40" s="12" t="s">
        <v>106</v>
      </c>
      <c r="V40" s="12"/>
      <c r="W40" s="12"/>
      <c r="X40" s="12"/>
      <c r="Y40" s="12" t="s">
        <v>109</v>
      </c>
      <c r="Z40" s="12" t="s">
        <v>328</v>
      </c>
      <c r="AA40" s="12"/>
      <c r="AB40" s="12"/>
      <c r="AC40" s="12"/>
      <c r="AD40" s="12" t="s">
        <v>112</v>
      </c>
      <c r="AE40" s="12" t="s">
        <v>113</v>
      </c>
      <c r="AF40" s="12"/>
      <c r="AG40" s="12" t="s">
        <v>114</v>
      </c>
      <c r="AH40" s="12" t="s">
        <v>115</v>
      </c>
      <c r="AI40" s="12" t="s">
        <v>570</v>
      </c>
      <c r="AJ40" s="12" t="s">
        <v>483</v>
      </c>
      <c r="AK40" s="12" t="s">
        <v>571</v>
      </c>
      <c r="AL40" s="12" t="s">
        <v>318</v>
      </c>
      <c r="AM40" s="12" t="s">
        <v>572</v>
      </c>
      <c r="AN40" s="12" t="s">
        <v>121</v>
      </c>
      <c r="AO40" s="12"/>
      <c r="AP40" s="12" t="s">
        <v>122</v>
      </c>
      <c r="AQ40" s="12" t="s">
        <v>123</v>
      </c>
      <c r="AR40" s="12" t="s">
        <v>124</v>
      </c>
      <c r="AS40" s="12" t="s">
        <v>568</v>
      </c>
      <c r="AT40" s="12" t="s">
        <v>125</v>
      </c>
      <c r="AU40" s="12"/>
      <c r="AV40" s="12"/>
      <c r="AW40" s="12" t="s">
        <v>155</v>
      </c>
    </row>
    <row r="41" spans="1:49" ht="42.95" customHeight="1">
      <c r="A41" s="2" t="s">
        <v>573</v>
      </c>
      <c r="B41" s="8" t="s">
        <v>47</v>
      </c>
      <c r="C41" s="2" t="s">
        <v>46</v>
      </c>
      <c r="D41" s="2" t="s">
        <v>555</v>
      </c>
      <c r="E41" s="2" t="s">
        <v>91</v>
      </c>
      <c r="F41" s="2" t="s">
        <v>92</v>
      </c>
      <c r="G41" s="2" t="s">
        <v>306</v>
      </c>
      <c r="H41" s="2" t="s">
        <v>574</v>
      </c>
      <c r="I41" s="2" t="s">
        <v>536</v>
      </c>
      <c r="J41" s="2" t="s">
        <v>160</v>
      </c>
      <c r="K41" s="2" t="s">
        <v>309</v>
      </c>
      <c r="L41" s="2" t="s">
        <v>568</v>
      </c>
      <c r="M41" s="3" t="s">
        <v>575</v>
      </c>
      <c r="N41" s="2"/>
      <c r="O41" s="2" t="s">
        <v>100</v>
      </c>
      <c r="P41" s="2"/>
      <c r="Q41" s="2"/>
      <c r="R41" s="2"/>
      <c r="S41" s="2" t="s">
        <v>134</v>
      </c>
      <c r="T41" s="2" t="s">
        <v>105</v>
      </c>
      <c r="U41" s="2" t="s">
        <v>106</v>
      </c>
      <c r="V41" s="2"/>
      <c r="W41" s="2"/>
      <c r="X41" s="2"/>
      <c r="Y41" s="2" t="s">
        <v>109</v>
      </c>
      <c r="Z41" s="2" t="s">
        <v>328</v>
      </c>
      <c r="AA41" s="2"/>
      <c r="AB41" s="2"/>
      <c r="AC41" s="2"/>
      <c r="AD41" s="2" t="s">
        <v>112</v>
      </c>
      <c r="AE41" s="2" t="s">
        <v>113</v>
      </c>
      <c r="AF41" s="2"/>
      <c r="AG41" s="2" t="s">
        <v>114</v>
      </c>
      <c r="AH41" s="2" t="s">
        <v>115</v>
      </c>
      <c r="AI41" s="2" t="s">
        <v>576</v>
      </c>
      <c r="AJ41" s="2" t="s">
        <v>577</v>
      </c>
      <c r="AK41" s="2" t="s">
        <v>578</v>
      </c>
      <c r="AL41" s="2" t="s">
        <v>318</v>
      </c>
      <c r="AM41" s="2" t="s">
        <v>572</v>
      </c>
      <c r="AN41" s="2" t="s">
        <v>121</v>
      </c>
      <c r="AO41" s="2"/>
      <c r="AP41" s="2" t="s">
        <v>122</v>
      </c>
      <c r="AQ41" s="2" t="s">
        <v>123</v>
      </c>
      <c r="AR41" s="2" t="s">
        <v>124</v>
      </c>
      <c r="AS41" s="2" t="s">
        <v>568</v>
      </c>
      <c r="AT41" s="2" t="s">
        <v>125</v>
      </c>
      <c r="AU41" s="2"/>
      <c r="AV41" s="2"/>
      <c r="AW41" s="2" t="s">
        <v>155</v>
      </c>
    </row>
    <row r="42" spans="1:49" ht="42.95" customHeight="1">
      <c r="A42" s="12" t="s">
        <v>579</v>
      </c>
      <c r="B42" s="8" t="s">
        <v>47</v>
      </c>
      <c r="C42" s="12" t="s">
        <v>46</v>
      </c>
      <c r="D42" s="12" t="s">
        <v>555</v>
      </c>
      <c r="E42" s="12" t="s">
        <v>91</v>
      </c>
      <c r="F42" s="12" t="s">
        <v>172</v>
      </c>
      <c r="G42" s="12" t="s">
        <v>486</v>
      </c>
      <c r="H42" s="12" t="s">
        <v>580</v>
      </c>
      <c r="I42" s="12" t="s">
        <v>346</v>
      </c>
      <c r="J42" s="12" t="s">
        <v>96</v>
      </c>
      <c r="K42" s="12" t="s">
        <v>97</v>
      </c>
      <c r="L42" s="12" t="s">
        <v>568</v>
      </c>
      <c r="M42" s="13" t="s">
        <v>581</v>
      </c>
      <c r="N42" s="12" t="s">
        <v>99</v>
      </c>
      <c r="O42" s="12" t="s">
        <v>100</v>
      </c>
      <c r="P42" s="12" t="s">
        <v>582</v>
      </c>
      <c r="Q42" s="12" t="s">
        <v>583</v>
      </c>
      <c r="R42" s="12" t="s">
        <v>584</v>
      </c>
      <c r="S42" s="12" t="s">
        <v>351</v>
      </c>
      <c r="T42" s="12" t="s">
        <v>105</v>
      </c>
      <c r="U42" s="12" t="s">
        <v>166</v>
      </c>
      <c r="V42" s="12" t="s">
        <v>261</v>
      </c>
      <c r="W42" s="12" t="s">
        <v>183</v>
      </c>
      <c r="X42" s="12" t="s">
        <v>352</v>
      </c>
      <c r="Y42" s="12" t="s">
        <v>109</v>
      </c>
      <c r="Z42" s="12" t="s">
        <v>263</v>
      </c>
      <c r="AA42" s="12"/>
      <c r="AB42" s="12"/>
      <c r="AC42" s="12"/>
      <c r="AD42" s="12" t="s">
        <v>112</v>
      </c>
      <c r="AE42" s="12" t="s">
        <v>113</v>
      </c>
      <c r="AF42" s="12"/>
      <c r="AG42" s="12" t="s">
        <v>114</v>
      </c>
      <c r="AH42" s="12" t="s">
        <v>115</v>
      </c>
      <c r="AI42" s="12" t="s">
        <v>585</v>
      </c>
      <c r="AJ42" s="12" t="s">
        <v>586</v>
      </c>
      <c r="AK42" s="12"/>
      <c r="AL42" s="12" t="s">
        <v>355</v>
      </c>
      <c r="AM42" s="12" t="s">
        <v>120</v>
      </c>
      <c r="AN42" s="12" t="s">
        <v>121</v>
      </c>
      <c r="AO42" s="12" t="s">
        <v>99</v>
      </c>
      <c r="AP42" s="12" t="s">
        <v>122</v>
      </c>
      <c r="AQ42" s="12" t="s">
        <v>123</v>
      </c>
      <c r="AR42" s="12" t="s">
        <v>124</v>
      </c>
      <c r="AS42" s="12" t="s">
        <v>568</v>
      </c>
      <c r="AT42" s="12" t="s">
        <v>125</v>
      </c>
      <c r="AU42" s="12" t="s">
        <v>496</v>
      </c>
      <c r="AV42" s="12"/>
      <c r="AW42" s="12"/>
    </row>
    <row r="43" spans="1:49" ht="42.95" customHeight="1">
      <c r="A43" s="2" t="s">
        <v>587</v>
      </c>
      <c r="B43" s="8" t="s">
        <v>47</v>
      </c>
      <c r="C43" s="2" t="s">
        <v>46</v>
      </c>
      <c r="D43" s="2" t="s">
        <v>555</v>
      </c>
      <c r="E43" s="2" t="s">
        <v>91</v>
      </c>
      <c r="F43" s="2" t="s">
        <v>172</v>
      </c>
      <c r="G43" s="2" t="s">
        <v>588</v>
      </c>
      <c r="H43" s="2" t="s">
        <v>589</v>
      </c>
      <c r="I43" s="2" t="s">
        <v>590</v>
      </c>
      <c r="J43" s="2" t="s">
        <v>160</v>
      </c>
      <c r="K43" s="2" t="s">
        <v>591</v>
      </c>
      <c r="L43" s="2" t="s">
        <v>568</v>
      </c>
      <c r="M43" s="3" t="s">
        <v>592</v>
      </c>
      <c r="N43" s="2"/>
      <c r="O43" s="2" t="s">
        <v>100</v>
      </c>
      <c r="P43" s="2" t="s">
        <v>593</v>
      </c>
      <c r="Q43" s="2"/>
      <c r="R43" s="2"/>
      <c r="S43" s="2" t="s">
        <v>182</v>
      </c>
      <c r="T43" s="2" t="s">
        <v>105</v>
      </c>
      <c r="U43" s="2" t="s">
        <v>166</v>
      </c>
      <c r="V43" s="2"/>
      <c r="W43" s="2" t="s">
        <v>594</v>
      </c>
      <c r="X43" s="2"/>
      <c r="Y43" s="2" t="s">
        <v>109</v>
      </c>
      <c r="Z43" s="2" t="s">
        <v>167</v>
      </c>
      <c r="AA43" s="2"/>
      <c r="AB43" s="2"/>
      <c r="AC43" s="2"/>
      <c r="AD43" s="2" t="s">
        <v>112</v>
      </c>
      <c r="AE43" s="2" t="s">
        <v>113</v>
      </c>
      <c r="AF43" s="2"/>
      <c r="AG43" s="2" t="s">
        <v>292</v>
      </c>
      <c r="AH43" s="2" t="s">
        <v>115</v>
      </c>
      <c r="AI43" s="2" t="s">
        <v>595</v>
      </c>
      <c r="AJ43" s="2" t="s">
        <v>596</v>
      </c>
      <c r="AK43" s="2" t="s">
        <v>597</v>
      </c>
      <c r="AL43" s="2" t="s">
        <v>267</v>
      </c>
      <c r="AM43" s="2" t="s">
        <v>572</v>
      </c>
      <c r="AN43" s="2" t="s">
        <v>121</v>
      </c>
      <c r="AO43" s="2"/>
      <c r="AP43" s="2" t="s">
        <v>122</v>
      </c>
      <c r="AQ43" s="2" t="s">
        <v>123</v>
      </c>
      <c r="AR43" s="2" t="s">
        <v>124</v>
      </c>
      <c r="AS43" s="2" t="s">
        <v>568</v>
      </c>
      <c r="AT43" s="2" t="s">
        <v>125</v>
      </c>
      <c r="AU43" s="2"/>
      <c r="AV43" s="2"/>
      <c r="AW43" s="2" t="s">
        <v>155</v>
      </c>
    </row>
    <row r="44" spans="1:49" ht="42.95" customHeight="1">
      <c r="A44" s="12" t="s">
        <v>598</v>
      </c>
      <c r="B44" s="8" t="s">
        <v>47</v>
      </c>
      <c r="C44" s="12" t="s">
        <v>46</v>
      </c>
      <c r="D44" s="12" t="s">
        <v>555</v>
      </c>
      <c r="E44" s="12" t="s">
        <v>91</v>
      </c>
      <c r="F44" s="12" t="s">
        <v>172</v>
      </c>
      <c r="G44" s="12" t="s">
        <v>189</v>
      </c>
      <c r="H44" s="12" t="s">
        <v>599</v>
      </c>
      <c r="I44" s="12" t="s">
        <v>323</v>
      </c>
      <c r="J44" s="12" t="s">
        <v>160</v>
      </c>
      <c r="K44" s="12" t="s">
        <v>309</v>
      </c>
      <c r="L44" s="12" t="s">
        <v>568</v>
      </c>
      <c r="M44" s="13" t="s">
        <v>600</v>
      </c>
      <c r="N44" s="12"/>
      <c r="O44" s="12" t="s">
        <v>100</v>
      </c>
      <c r="P44" s="12" t="s">
        <v>601</v>
      </c>
      <c r="Q44" s="12"/>
      <c r="R44" s="12"/>
      <c r="S44" s="12" t="s">
        <v>182</v>
      </c>
      <c r="T44" s="12" t="s">
        <v>105</v>
      </c>
      <c r="U44" s="12" t="s">
        <v>106</v>
      </c>
      <c r="V44" s="12"/>
      <c r="W44" s="12" t="s">
        <v>183</v>
      </c>
      <c r="X44" s="12"/>
      <c r="Y44" s="12" t="s">
        <v>109</v>
      </c>
      <c r="Z44" s="12" t="s">
        <v>328</v>
      </c>
      <c r="AA44" s="12"/>
      <c r="AB44" s="12"/>
      <c r="AC44" s="12"/>
      <c r="AD44" s="12" t="s">
        <v>112</v>
      </c>
      <c r="AE44" s="12" t="s">
        <v>113</v>
      </c>
      <c r="AF44" s="12"/>
      <c r="AG44" s="12" t="s">
        <v>114</v>
      </c>
      <c r="AH44" s="12" t="s">
        <v>115</v>
      </c>
      <c r="AI44" s="12" t="s">
        <v>602</v>
      </c>
      <c r="AJ44" s="12" t="s">
        <v>362</v>
      </c>
      <c r="AK44" s="12" t="s">
        <v>603</v>
      </c>
      <c r="AL44" s="12" t="s">
        <v>318</v>
      </c>
      <c r="AM44" s="12" t="s">
        <v>572</v>
      </c>
      <c r="AN44" s="12" t="s">
        <v>121</v>
      </c>
      <c r="AO44" s="12"/>
      <c r="AP44" s="12" t="s">
        <v>122</v>
      </c>
      <c r="AQ44" s="12" t="s">
        <v>123</v>
      </c>
      <c r="AR44" s="12" t="s">
        <v>124</v>
      </c>
      <c r="AS44" s="12" t="s">
        <v>568</v>
      </c>
      <c r="AT44" s="12" t="s">
        <v>125</v>
      </c>
      <c r="AU44" s="12"/>
      <c r="AV44" s="12"/>
      <c r="AW44" s="12" t="s">
        <v>155</v>
      </c>
    </row>
    <row r="45" spans="1:49" ht="42.95" customHeight="1">
      <c r="A45" s="2" t="s">
        <v>604</v>
      </c>
      <c r="B45" s="8" t="s">
        <v>47</v>
      </c>
      <c r="C45" s="2" t="s">
        <v>46</v>
      </c>
      <c r="D45" s="2" t="s">
        <v>555</v>
      </c>
      <c r="E45" s="2" t="s">
        <v>91</v>
      </c>
      <c r="F45" s="2" t="s">
        <v>199</v>
      </c>
      <c r="G45" s="2" t="s">
        <v>376</v>
      </c>
      <c r="H45" s="2" t="s">
        <v>605</v>
      </c>
      <c r="I45" s="2" t="s">
        <v>323</v>
      </c>
      <c r="J45" s="2" t="s">
        <v>96</v>
      </c>
      <c r="K45" s="2" t="s">
        <v>378</v>
      </c>
      <c r="L45" s="2" t="s">
        <v>568</v>
      </c>
      <c r="M45" s="3" t="s">
        <v>606</v>
      </c>
      <c r="N45" s="2" t="s">
        <v>607</v>
      </c>
      <c r="O45" s="2" t="s">
        <v>100</v>
      </c>
      <c r="P45" s="2" t="s">
        <v>608</v>
      </c>
      <c r="Q45" s="2" t="s">
        <v>609</v>
      </c>
      <c r="R45" s="2" t="s">
        <v>610</v>
      </c>
      <c r="S45" s="2" t="s">
        <v>384</v>
      </c>
      <c r="T45" s="2" t="s">
        <v>105</v>
      </c>
      <c r="U45" s="2" t="s">
        <v>166</v>
      </c>
      <c r="V45" s="2" t="s">
        <v>261</v>
      </c>
      <c r="W45" s="2" t="s">
        <v>611</v>
      </c>
      <c r="X45" s="2" t="s">
        <v>386</v>
      </c>
      <c r="Y45" s="2" t="s">
        <v>109</v>
      </c>
      <c r="Z45" s="2" t="s">
        <v>328</v>
      </c>
      <c r="AA45" s="2" t="s">
        <v>92</v>
      </c>
      <c r="AB45" s="2"/>
      <c r="AC45" s="2"/>
      <c r="AD45" s="2" t="s">
        <v>112</v>
      </c>
      <c r="AE45" s="2" t="s">
        <v>113</v>
      </c>
      <c r="AF45" s="2"/>
      <c r="AG45" s="2" t="s">
        <v>114</v>
      </c>
      <c r="AH45" s="2" t="s">
        <v>115</v>
      </c>
      <c r="AI45" s="2" t="s">
        <v>612</v>
      </c>
      <c r="AJ45" s="2" t="s">
        <v>388</v>
      </c>
      <c r="AK45" s="2" t="s">
        <v>613</v>
      </c>
      <c r="AL45" s="2" t="s">
        <v>318</v>
      </c>
      <c r="AM45" s="2" t="s">
        <v>120</v>
      </c>
      <c r="AN45" s="2" t="s">
        <v>121</v>
      </c>
      <c r="AO45" s="2" t="s">
        <v>607</v>
      </c>
      <c r="AP45" s="2" t="s">
        <v>122</v>
      </c>
      <c r="AQ45" s="2" t="s">
        <v>123</v>
      </c>
      <c r="AR45" s="2" t="s">
        <v>124</v>
      </c>
      <c r="AS45" s="2" t="s">
        <v>568</v>
      </c>
      <c r="AT45" s="2" t="s">
        <v>125</v>
      </c>
      <c r="AU45" s="2"/>
      <c r="AV45" s="2"/>
      <c r="AW45" s="2" t="s">
        <v>614</v>
      </c>
    </row>
    <row r="46" spans="1:49" ht="42.95" customHeight="1">
      <c r="A46" s="12" t="s">
        <v>615</v>
      </c>
      <c r="B46" s="8" t="s">
        <v>47</v>
      </c>
      <c r="C46" s="12" t="s">
        <v>46</v>
      </c>
      <c r="D46" s="12" t="s">
        <v>555</v>
      </c>
      <c r="E46" s="12" t="s">
        <v>91</v>
      </c>
      <c r="F46" s="12" t="s">
        <v>217</v>
      </c>
      <c r="G46" s="12" t="s">
        <v>402</v>
      </c>
      <c r="H46" s="12" t="s">
        <v>616</v>
      </c>
      <c r="I46" s="12" t="s">
        <v>527</v>
      </c>
      <c r="J46" s="12" t="s">
        <v>96</v>
      </c>
      <c r="K46" s="12" t="s">
        <v>97</v>
      </c>
      <c r="L46" s="12" t="s">
        <v>568</v>
      </c>
      <c r="M46" s="13" t="s">
        <v>617</v>
      </c>
      <c r="N46" s="12" t="s">
        <v>99</v>
      </c>
      <c r="O46" s="12" t="s">
        <v>100</v>
      </c>
      <c r="P46" s="12" t="s">
        <v>618</v>
      </c>
      <c r="Q46" s="12" t="s">
        <v>619</v>
      </c>
      <c r="R46" s="12" t="s">
        <v>620</v>
      </c>
      <c r="S46" s="12" t="s">
        <v>384</v>
      </c>
      <c r="T46" s="12" t="s">
        <v>105</v>
      </c>
      <c r="U46" s="12" t="s">
        <v>166</v>
      </c>
      <c r="V46" s="12" t="s">
        <v>261</v>
      </c>
      <c r="W46" s="12" t="s">
        <v>226</v>
      </c>
      <c r="X46" s="12" t="s">
        <v>411</v>
      </c>
      <c r="Y46" s="12" t="s">
        <v>109</v>
      </c>
      <c r="Z46" s="12" t="s">
        <v>263</v>
      </c>
      <c r="AA46" s="12"/>
      <c r="AB46" s="12"/>
      <c r="AC46" s="12"/>
      <c r="AD46" s="12" t="s">
        <v>112</v>
      </c>
      <c r="AE46" s="12" t="s">
        <v>113</v>
      </c>
      <c r="AF46" s="12"/>
      <c r="AG46" s="12" t="s">
        <v>114</v>
      </c>
      <c r="AH46" s="12" t="s">
        <v>115</v>
      </c>
      <c r="AI46" s="12" t="s">
        <v>621</v>
      </c>
      <c r="AJ46" s="12" t="s">
        <v>622</v>
      </c>
      <c r="AK46" s="12" t="s">
        <v>623</v>
      </c>
      <c r="AL46" s="12" t="s">
        <v>355</v>
      </c>
      <c r="AM46" s="12" t="s">
        <v>120</v>
      </c>
      <c r="AN46" s="12" t="s">
        <v>121</v>
      </c>
      <c r="AO46" s="12" t="s">
        <v>99</v>
      </c>
      <c r="AP46" s="12" t="s">
        <v>122</v>
      </c>
      <c r="AQ46" s="12" t="s">
        <v>123</v>
      </c>
      <c r="AR46" s="12" t="s">
        <v>124</v>
      </c>
      <c r="AS46" s="12" t="s">
        <v>568</v>
      </c>
      <c r="AT46" s="12" t="s">
        <v>125</v>
      </c>
      <c r="AU46" s="12"/>
      <c r="AV46" s="12"/>
      <c r="AW46" s="12"/>
    </row>
    <row r="47" spans="1:49" ht="42.95" customHeight="1">
      <c r="A47" s="2" t="s">
        <v>624</v>
      </c>
      <c r="B47" s="8" t="s">
        <v>47</v>
      </c>
      <c r="C47" s="2" t="s">
        <v>46</v>
      </c>
      <c r="D47" s="2" t="s">
        <v>555</v>
      </c>
      <c r="E47" s="2" t="s">
        <v>91</v>
      </c>
      <c r="F47" s="2" t="s">
        <v>217</v>
      </c>
      <c r="G47" s="2" t="s">
        <v>417</v>
      </c>
      <c r="H47" s="2" t="s">
        <v>625</v>
      </c>
      <c r="I47" s="2" t="s">
        <v>323</v>
      </c>
      <c r="J47" s="2" t="s">
        <v>160</v>
      </c>
      <c r="K47" s="2" t="s">
        <v>309</v>
      </c>
      <c r="L47" s="2" t="s">
        <v>568</v>
      </c>
      <c r="M47" s="3" t="s">
        <v>626</v>
      </c>
      <c r="N47" s="2"/>
      <c r="O47" s="2" t="s">
        <v>100</v>
      </c>
      <c r="P47" s="2"/>
      <c r="Q47" s="2"/>
      <c r="R47" s="2"/>
      <c r="S47" s="2" t="s">
        <v>182</v>
      </c>
      <c r="T47" s="2" t="s">
        <v>105</v>
      </c>
      <c r="U47" s="2" t="s">
        <v>106</v>
      </c>
      <c r="V47" s="2"/>
      <c r="W47" s="2"/>
      <c r="X47" s="2"/>
      <c r="Y47" s="2" t="s">
        <v>109</v>
      </c>
      <c r="Z47" s="2" t="s">
        <v>328</v>
      </c>
      <c r="AA47" s="2"/>
      <c r="AB47" s="2"/>
      <c r="AC47" s="3" t="s">
        <v>627</v>
      </c>
      <c r="AD47" s="2" t="s">
        <v>112</v>
      </c>
      <c r="AE47" s="2" t="s">
        <v>113</v>
      </c>
      <c r="AF47" s="2"/>
      <c r="AG47" s="2" t="s">
        <v>114</v>
      </c>
      <c r="AH47" s="2" t="s">
        <v>115</v>
      </c>
      <c r="AI47" s="2" t="s">
        <v>628</v>
      </c>
      <c r="AJ47" s="2" t="s">
        <v>629</v>
      </c>
      <c r="AK47" s="2" t="s">
        <v>630</v>
      </c>
      <c r="AL47" s="2" t="s">
        <v>318</v>
      </c>
      <c r="AM47" s="2" t="s">
        <v>572</v>
      </c>
      <c r="AN47" s="2" t="s">
        <v>121</v>
      </c>
      <c r="AO47" s="2"/>
      <c r="AP47" s="2" t="s">
        <v>122</v>
      </c>
      <c r="AQ47" s="2" t="s">
        <v>123</v>
      </c>
      <c r="AR47" s="2" t="s">
        <v>124</v>
      </c>
      <c r="AS47" s="2" t="s">
        <v>568</v>
      </c>
      <c r="AT47" s="2" t="s">
        <v>125</v>
      </c>
      <c r="AU47" s="2"/>
      <c r="AV47" s="2"/>
      <c r="AW47" s="2" t="s">
        <v>155</v>
      </c>
    </row>
    <row r="48" spans="1:49" ht="42.95" customHeight="1">
      <c r="A48" s="12" t="s">
        <v>631</v>
      </c>
      <c r="B48" s="8" t="s">
        <v>47</v>
      </c>
      <c r="C48" s="12" t="s">
        <v>46</v>
      </c>
      <c r="D48" s="12" t="s">
        <v>555</v>
      </c>
      <c r="E48" s="12" t="s">
        <v>91</v>
      </c>
      <c r="F48" s="12" t="s">
        <v>212</v>
      </c>
      <c r="G48" s="12" t="s">
        <v>243</v>
      </c>
      <c r="H48" s="12" t="s">
        <v>632</v>
      </c>
      <c r="I48" s="12" t="s">
        <v>323</v>
      </c>
      <c r="J48" s="12" t="s">
        <v>96</v>
      </c>
      <c r="K48" s="12" t="s">
        <v>378</v>
      </c>
      <c r="L48" s="12" t="s">
        <v>568</v>
      </c>
      <c r="M48" s="13" t="s">
        <v>633</v>
      </c>
      <c r="N48" s="12" t="s">
        <v>325</v>
      </c>
      <c r="O48" s="12" t="s">
        <v>100</v>
      </c>
      <c r="P48" s="12" t="s">
        <v>634</v>
      </c>
      <c r="Q48" s="12" t="s">
        <v>635</v>
      </c>
      <c r="R48" s="12" t="s">
        <v>636</v>
      </c>
      <c r="S48" s="12" t="s">
        <v>384</v>
      </c>
      <c r="T48" s="12" t="s">
        <v>105</v>
      </c>
      <c r="U48" s="12" t="s">
        <v>166</v>
      </c>
      <c r="V48" s="12" t="s">
        <v>261</v>
      </c>
      <c r="W48" s="12" t="s">
        <v>199</v>
      </c>
      <c r="X48" s="12" t="s">
        <v>248</v>
      </c>
      <c r="Y48" s="12" t="s">
        <v>109</v>
      </c>
      <c r="Z48" s="12" t="s">
        <v>328</v>
      </c>
      <c r="AA48" s="12"/>
      <c r="AB48" s="12"/>
      <c r="AC48" s="12"/>
      <c r="AD48" s="12" t="s">
        <v>112</v>
      </c>
      <c r="AE48" s="12" t="s">
        <v>113</v>
      </c>
      <c r="AF48" s="12"/>
      <c r="AG48" s="12" t="s">
        <v>114</v>
      </c>
      <c r="AH48" s="12" t="s">
        <v>115</v>
      </c>
      <c r="AI48" s="12" t="s">
        <v>637</v>
      </c>
      <c r="AJ48" s="12" t="s">
        <v>638</v>
      </c>
      <c r="AK48" s="12" t="s">
        <v>639</v>
      </c>
      <c r="AL48" s="12" t="s">
        <v>318</v>
      </c>
      <c r="AM48" s="12" t="s">
        <v>120</v>
      </c>
      <c r="AN48" s="12" t="s">
        <v>121</v>
      </c>
      <c r="AO48" s="12" t="s">
        <v>325</v>
      </c>
      <c r="AP48" s="12" t="s">
        <v>122</v>
      </c>
      <c r="AQ48" s="12" t="s">
        <v>123</v>
      </c>
      <c r="AR48" s="12" t="s">
        <v>124</v>
      </c>
      <c r="AS48" s="12" t="s">
        <v>568</v>
      </c>
      <c r="AT48" s="12" t="s">
        <v>125</v>
      </c>
      <c r="AU48" s="12"/>
      <c r="AV48" s="12"/>
      <c r="AW48" s="12" t="s">
        <v>640</v>
      </c>
    </row>
    <row r="49" spans="1:49" ht="42.95" customHeight="1">
      <c r="A49" s="2" t="s">
        <v>641</v>
      </c>
      <c r="B49" s="9" t="s">
        <v>48</v>
      </c>
      <c r="C49" s="2" t="s">
        <v>46</v>
      </c>
      <c r="D49" s="2" t="s">
        <v>251</v>
      </c>
      <c r="E49" s="2" t="s">
        <v>41</v>
      </c>
      <c r="F49" s="2" t="s">
        <v>92</v>
      </c>
      <c r="G49" s="2" t="s">
        <v>642</v>
      </c>
      <c r="H49" s="2" t="s">
        <v>643</v>
      </c>
      <c r="I49" s="2" t="s">
        <v>644</v>
      </c>
      <c r="J49" s="2" t="s">
        <v>96</v>
      </c>
      <c r="K49" s="2" t="s">
        <v>97</v>
      </c>
      <c r="L49" s="2" t="s">
        <v>645</v>
      </c>
      <c r="M49" s="3" t="s">
        <v>646</v>
      </c>
      <c r="N49" s="2" t="s">
        <v>99</v>
      </c>
      <c r="O49" s="2" t="s">
        <v>100</v>
      </c>
      <c r="P49" s="2" t="s">
        <v>647</v>
      </c>
      <c r="Q49" s="2" t="s">
        <v>648</v>
      </c>
      <c r="R49" s="2" t="s">
        <v>649</v>
      </c>
      <c r="S49" s="2" t="s">
        <v>134</v>
      </c>
      <c r="T49" s="2" t="s">
        <v>105</v>
      </c>
      <c r="U49" s="2" t="s">
        <v>166</v>
      </c>
      <c r="V49" s="2" t="s">
        <v>650</v>
      </c>
      <c r="W49" s="2" t="s">
        <v>135</v>
      </c>
      <c r="X49" s="2" t="s">
        <v>262</v>
      </c>
      <c r="Y49" s="2" t="s">
        <v>109</v>
      </c>
      <c r="Z49" s="2" t="s">
        <v>263</v>
      </c>
      <c r="AA49" s="2"/>
      <c r="AB49" s="2"/>
      <c r="AC49" s="3" t="s">
        <v>651</v>
      </c>
      <c r="AD49" s="2" t="s">
        <v>112</v>
      </c>
      <c r="AE49" s="2" t="s">
        <v>113</v>
      </c>
      <c r="AF49" s="2"/>
      <c r="AG49" s="2" t="s">
        <v>114</v>
      </c>
      <c r="AH49" s="2" t="s">
        <v>115</v>
      </c>
      <c r="AI49" s="2" t="s">
        <v>652</v>
      </c>
      <c r="AJ49" s="2" t="s">
        <v>653</v>
      </c>
      <c r="AK49" s="2" t="s">
        <v>654</v>
      </c>
      <c r="AL49" s="2" t="s">
        <v>119</v>
      </c>
      <c r="AM49" s="2" t="s">
        <v>120</v>
      </c>
      <c r="AN49" s="2" t="s">
        <v>121</v>
      </c>
      <c r="AO49" s="2" t="s">
        <v>99</v>
      </c>
      <c r="AP49" s="2" t="s">
        <v>122</v>
      </c>
      <c r="AQ49" s="2" t="s">
        <v>123</v>
      </c>
      <c r="AR49" s="2" t="s">
        <v>124</v>
      </c>
      <c r="AS49" s="2" t="s">
        <v>655</v>
      </c>
      <c r="AT49" s="2" t="s">
        <v>125</v>
      </c>
      <c r="AU49" s="2" t="s">
        <v>656</v>
      </c>
      <c r="AV49" s="2" t="s">
        <v>657</v>
      </c>
      <c r="AW49" s="2"/>
    </row>
    <row r="50" spans="1:49" ht="42.95" customHeight="1">
      <c r="A50" s="12" t="s">
        <v>658</v>
      </c>
      <c r="B50" s="9" t="s">
        <v>48</v>
      </c>
      <c r="C50" s="12" t="s">
        <v>46</v>
      </c>
      <c r="D50" s="12" t="s">
        <v>251</v>
      </c>
      <c r="E50" s="12" t="s">
        <v>41</v>
      </c>
      <c r="F50" s="12" t="s">
        <v>92</v>
      </c>
      <c r="G50" s="12" t="s">
        <v>659</v>
      </c>
      <c r="H50" s="12" t="s">
        <v>660</v>
      </c>
      <c r="I50" s="12" t="s">
        <v>661</v>
      </c>
      <c r="J50" s="12" t="s">
        <v>160</v>
      </c>
      <c r="K50" s="12" t="s">
        <v>662</v>
      </c>
      <c r="L50" s="12" t="s">
        <v>645</v>
      </c>
      <c r="M50" s="13" t="s">
        <v>663</v>
      </c>
      <c r="N50" s="12" t="s">
        <v>664</v>
      </c>
      <c r="O50" s="12" t="s">
        <v>100</v>
      </c>
      <c r="P50" s="12" t="s">
        <v>665</v>
      </c>
      <c r="Q50" s="12" t="s">
        <v>666</v>
      </c>
      <c r="R50" s="12"/>
      <c r="S50" s="12" t="s">
        <v>134</v>
      </c>
      <c r="T50" s="12" t="s">
        <v>105</v>
      </c>
      <c r="U50" s="12" t="s">
        <v>106</v>
      </c>
      <c r="V50" s="12"/>
      <c r="W50" s="12" t="s">
        <v>135</v>
      </c>
      <c r="X50" s="12" t="s">
        <v>262</v>
      </c>
      <c r="Y50" s="12" t="s">
        <v>109</v>
      </c>
      <c r="Z50" s="12" t="s">
        <v>167</v>
      </c>
      <c r="AA50" s="12" t="s">
        <v>212</v>
      </c>
      <c r="AB50" s="12"/>
      <c r="AC50" s="13" t="s">
        <v>646</v>
      </c>
      <c r="AD50" s="12" t="s">
        <v>112</v>
      </c>
      <c r="AE50" s="12" t="s">
        <v>113</v>
      </c>
      <c r="AF50" s="12"/>
      <c r="AG50" s="12" t="s">
        <v>292</v>
      </c>
      <c r="AH50" s="12" t="s">
        <v>115</v>
      </c>
      <c r="AI50" s="12" t="s">
        <v>667</v>
      </c>
      <c r="AJ50" s="12" t="s">
        <v>668</v>
      </c>
      <c r="AK50" s="12" t="s">
        <v>669</v>
      </c>
      <c r="AL50" s="12" t="s">
        <v>267</v>
      </c>
      <c r="AM50" s="12" t="s">
        <v>153</v>
      </c>
      <c r="AN50" s="12" t="s">
        <v>121</v>
      </c>
      <c r="AO50" s="12" t="s">
        <v>664</v>
      </c>
      <c r="AP50" s="12" t="s">
        <v>670</v>
      </c>
      <c r="AQ50" s="12" t="s">
        <v>123</v>
      </c>
      <c r="AR50" s="12" t="s">
        <v>124</v>
      </c>
      <c r="AS50" s="12" t="s">
        <v>655</v>
      </c>
      <c r="AT50" s="12" t="s">
        <v>125</v>
      </c>
      <c r="AU50" s="12"/>
      <c r="AV50" s="12"/>
      <c r="AW50" s="12" t="s">
        <v>155</v>
      </c>
    </row>
    <row r="51" spans="1:49" ht="42.95" customHeight="1">
      <c r="A51" s="2" t="s">
        <v>671</v>
      </c>
      <c r="B51" s="9" t="s">
        <v>48</v>
      </c>
      <c r="C51" s="2" t="s">
        <v>46</v>
      </c>
      <c r="D51" s="2" t="s">
        <v>251</v>
      </c>
      <c r="E51" s="2" t="s">
        <v>41</v>
      </c>
      <c r="F51" s="2" t="s">
        <v>92</v>
      </c>
      <c r="G51" s="2" t="s">
        <v>672</v>
      </c>
      <c r="H51" s="2" t="s">
        <v>673</v>
      </c>
      <c r="I51" s="2" t="s">
        <v>672</v>
      </c>
      <c r="J51" s="2" t="s">
        <v>160</v>
      </c>
      <c r="K51" s="2" t="s">
        <v>674</v>
      </c>
      <c r="L51" s="2" t="s">
        <v>645</v>
      </c>
      <c r="M51" s="3" t="s">
        <v>675</v>
      </c>
      <c r="N51" s="2" t="s">
        <v>676</v>
      </c>
      <c r="O51" s="2" t="s">
        <v>100</v>
      </c>
      <c r="P51" s="2" t="s">
        <v>677</v>
      </c>
      <c r="Q51" s="2" t="s">
        <v>648</v>
      </c>
      <c r="R51" s="2"/>
      <c r="S51" s="2" t="s">
        <v>134</v>
      </c>
      <c r="T51" s="2" t="s">
        <v>105</v>
      </c>
      <c r="U51" s="2" t="s">
        <v>106</v>
      </c>
      <c r="V51" s="2"/>
      <c r="W51" s="2" t="s">
        <v>135</v>
      </c>
      <c r="X51" s="2" t="s">
        <v>262</v>
      </c>
      <c r="Y51" s="2" t="s">
        <v>109</v>
      </c>
      <c r="Z51" s="2" t="s">
        <v>149</v>
      </c>
      <c r="AA51" s="2"/>
      <c r="AB51" s="2"/>
      <c r="AC51" s="3" t="s">
        <v>678</v>
      </c>
      <c r="AD51" s="2" t="s">
        <v>112</v>
      </c>
      <c r="AE51" s="2" t="s">
        <v>113</v>
      </c>
      <c r="AF51" s="2"/>
      <c r="AG51" s="2" t="s">
        <v>292</v>
      </c>
      <c r="AH51" s="2" t="s">
        <v>115</v>
      </c>
      <c r="AI51" s="2" t="s">
        <v>679</v>
      </c>
      <c r="AJ51" s="2" t="s">
        <v>680</v>
      </c>
      <c r="AK51" s="2" t="s">
        <v>681</v>
      </c>
      <c r="AL51" s="2" t="s">
        <v>267</v>
      </c>
      <c r="AM51" s="2" t="s">
        <v>682</v>
      </c>
      <c r="AN51" s="2" t="s">
        <v>121</v>
      </c>
      <c r="AO51" s="2" t="s">
        <v>676</v>
      </c>
      <c r="AP51" s="2" t="s">
        <v>122</v>
      </c>
      <c r="AQ51" s="2" t="s">
        <v>123</v>
      </c>
      <c r="AR51" s="2" t="s">
        <v>124</v>
      </c>
      <c r="AS51" s="2" t="s">
        <v>655</v>
      </c>
      <c r="AT51" s="2" t="s">
        <v>125</v>
      </c>
      <c r="AU51" s="2" t="s">
        <v>683</v>
      </c>
      <c r="AV51" s="2"/>
      <c r="AW51" s="2" t="s">
        <v>155</v>
      </c>
    </row>
    <row r="52" spans="1:49" ht="42.95" customHeight="1">
      <c r="A52" s="12" t="s">
        <v>684</v>
      </c>
      <c r="B52" s="9" t="s">
        <v>48</v>
      </c>
      <c r="C52" s="12" t="s">
        <v>46</v>
      </c>
      <c r="D52" s="12" t="s">
        <v>251</v>
      </c>
      <c r="E52" s="12" t="s">
        <v>41</v>
      </c>
      <c r="F52" s="12" t="s">
        <v>92</v>
      </c>
      <c r="G52" s="12" t="s">
        <v>672</v>
      </c>
      <c r="H52" s="12" t="s">
        <v>685</v>
      </c>
      <c r="I52" s="12" t="s">
        <v>672</v>
      </c>
      <c r="J52" s="12" t="s">
        <v>160</v>
      </c>
      <c r="K52" s="12" t="s">
        <v>686</v>
      </c>
      <c r="L52" s="12" t="s">
        <v>645</v>
      </c>
      <c r="M52" s="13" t="s">
        <v>687</v>
      </c>
      <c r="N52" s="12" t="s">
        <v>476</v>
      </c>
      <c r="O52" s="12" t="s">
        <v>100</v>
      </c>
      <c r="P52" s="12" t="s">
        <v>688</v>
      </c>
      <c r="Q52" s="12"/>
      <c r="R52" s="12"/>
      <c r="S52" s="12" t="s">
        <v>134</v>
      </c>
      <c r="T52" s="12" t="s">
        <v>105</v>
      </c>
      <c r="U52" s="12" t="s">
        <v>106</v>
      </c>
      <c r="V52" s="12"/>
      <c r="W52" s="12"/>
      <c r="X52" s="12"/>
      <c r="Y52" s="12" t="s">
        <v>109</v>
      </c>
      <c r="Z52" s="12" t="s">
        <v>149</v>
      </c>
      <c r="AA52" s="12"/>
      <c r="AB52" s="12"/>
      <c r="AC52" s="13" t="s">
        <v>678</v>
      </c>
      <c r="AD52" s="12" t="s">
        <v>112</v>
      </c>
      <c r="AE52" s="12" t="s">
        <v>113</v>
      </c>
      <c r="AF52" s="12"/>
      <c r="AG52" s="12" t="s">
        <v>292</v>
      </c>
      <c r="AH52" s="12" t="s">
        <v>115</v>
      </c>
      <c r="AI52" s="12" t="s">
        <v>689</v>
      </c>
      <c r="AJ52" s="12" t="s">
        <v>680</v>
      </c>
      <c r="AK52" s="12" t="s">
        <v>690</v>
      </c>
      <c r="AL52" s="12" t="s">
        <v>267</v>
      </c>
      <c r="AM52" s="12" t="s">
        <v>682</v>
      </c>
      <c r="AN52" s="12" t="s">
        <v>121</v>
      </c>
      <c r="AO52" s="12" t="s">
        <v>476</v>
      </c>
      <c r="AP52" s="12" t="s">
        <v>122</v>
      </c>
      <c r="AQ52" s="12" t="s">
        <v>123</v>
      </c>
      <c r="AR52" s="12" t="s">
        <v>124</v>
      </c>
      <c r="AS52" s="12" t="s">
        <v>655</v>
      </c>
      <c r="AT52" s="12" t="s">
        <v>125</v>
      </c>
      <c r="AU52" s="12"/>
      <c r="AV52" s="12"/>
      <c r="AW52" s="12" t="s">
        <v>155</v>
      </c>
    </row>
    <row r="53" spans="1:49" ht="42.95" customHeight="1">
      <c r="A53" s="2" t="s">
        <v>691</v>
      </c>
      <c r="B53" s="9" t="s">
        <v>48</v>
      </c>
      <c r="C53" s="2" t="s">
        <v>46</v>
      </c>
      <c r="D53" s="2" t="s">
        <v>251</v>
      </c>
      <c r="E53" s="2" t="s">
        <v>41</v>
      </c>
      <c r="F53" s="2" t="s">
        <v>92</v>
      </c>
      <c r="G53" s="2" t="s">
        <v>692</v>
      </c>
      <c r="H53" s="2" t="s">
        <v>693</v>
      </c>
      <c r="I53" s="2" t="s">
        <v>692</v>
      </c>
      <c r="J53" s="2" t="s">
        <v>160</v>
      </c>
      <c r="K53" s="2" t="s">
        <v>694</v>
      </c>
      <c r="L53" s="2" t="s">
        <v>645</v>
      </c>
      <c r="M53" s="3" t="s">
        <v>695</v>
      </c>
      <c r="N53" s="2" t="s">
        <v>696</v>
      </c>
      <c r="O53" s="2" t="s">
        <v>100</v>
      </c>
      <c r="P53" s="2"/>
      <c r="Q53" s="2"/>
      <c r="R53" s="2"/>
      <c r="S53" s="2" t="s">
        <v>134</v>
      </c>
      <c r="T53" s="2" t="s">
        <v>105</v>
      </c>
      <c r="U53" s="2" t="s">
        <v>106</v>
      </c>
      <c r="V53" s="2"/>
      <c r="W53" s="2"/>
      <c r="X53" s="2"/>
      <c r="Y53" s="2" t="s">
        <v>109</v>
      </c>
      <c r="Z53" s="2" t="s">
        <v>149</v>
      </c>
      <c r="AA53" s="2"/>
      <c r="AB53" s="2"/>
      <c r="AC53" s="3" t="s">
        <v>678</v>
      </c>
      <c r="AD53" s="2" t="s">
        <v>112</v>
      </c>
      <c r="AE53" s="2" t="s">
        <v>113</v>
      </c>
      <c r="AF53" s="2"/>
      <c r="AG53" s="2" t="s">
        <v>292</v>
      </c>
      <c r="AH53" s="2" t="s">
        <v>115</v>
      </c>
      <c r="AI53" s="2" t="s">
        <v>667</v>
      </c>
      <c r="AJ53" s="2" t="s">
        <v>697</v>
      </c>
      <c r="AK53" s="2" t="s">
        <v>698</v>
      </c>
      <c r="AL53" s="2" t="s">
        <v>267</v>
      </c>
      <c r="AM53" s="2" t="s">
        <v>682</v>
      </c>
      <c r="AN53" s="2" t="s">
        <v>121</v>
      </c>
      <c r="AO53" s="2" t="s">
        <v>696</v>
      </c>
      <c r="AP53" s="2" t="s">
        <v>122</v>
      </c>
      <c r="AQ53" s="2" t="s">
        <v>123</v>
      </c>
      <c r="AR53" s="2" t="s">
        <v>124</v>
      </c>
      <c r="AS53" s="2" t="s">
        <v>655</v>
      </c>
      <c r="AT53" s="2" t="s">
        <v>125</v>
      </c>
      <c r="AU53" s="2"/>
      <c r="AV53" s="2"/>
      <c r="AW53" s="2" t="s">
        <v>155</v>
      </c>
    </row>
    <row r="54" spans="1:49" ht="42.95" customHeight="1">
      <c r="A54" s="12" t="s">
        <v>699</v>
      </c>
      <c r="B54" s="9" t="s">
        <v>48</v>
      </c>
      <c r="C54" s="12" t="s">
        <v>46</v>
      </c>
      <c r="D54" s="12" t="s">
        <v>251</v>
      </c>
      <c r="E54" s="12" t="s">
        <v>41</v>
      </c>
      <c r="F54" s="12" t="s">
        <v>172</v>
      </c>
      <c r="G54" s="12" t="s">
        <v>700</v>
      </c>
      <c r="H54" s="12" t="s">
        <v>701</v>
      </c>
      <c r="I54" s="12" t="s">
        <v>702</v>
      </c>
      <c r="J54" s="12" t="s">
        <v>160</v>
      </c>
      <c r="K54" s="12" t="s">
        <v>703</v>
      </c>
      <c r="L54" s="12" t="s">
        <v>645</v>
      </c>
      <c r="M54" s="13" t="s">
        <v>704</v>
      </c>
      <c r="N54" s="12" t="s">
        <v>99</v>
      </c>
      <c r="O54" s="12" t="s">
        <v>100</v>
      </c>
      <c r="P54" s="12" t="s">
        <v>705</v>
      </c>
      <c r="Q54" s="12" t="s">
        <v>706</v>
      </c>
      <c r="R54" s="12" t="s">
        <v>707</v>
      </c>
      <c r="S54" s="12" t="s">
        <v>351</v>
      </c>
      <c r="T54" s="12" t="s">
        <v>105</v>
      </c>
      <c r="U54" s="12" t="s">
        <v>708</v>
      </c>
      <c r="V54" s="12" t="s">
        <v>709</v>
      </c>
      <c r="W54" s="12" t="s">
        <v>183</v>
      </c>
      <c r="X54" s="12" t="s">
        <v>710</v>
      </c>
      <c r="Y54" s="12" t="s">
        <v>109</v>
      </c>
      <c r="Z54" s="12" t="s">
        <v>263</v>
      </c>
      <c r="AA54" s="12"/>
      <c r="AB54" s="12"/>
      <c r="AC54" s="13" t="s">
        <v>651</v>
      </c>
      <c r="AD54" s="12" t="s">
        <v>112</v>
      </c>
      <c r="AE54" s="12" t="s">
        <v>113</v>
      </c>
      <c r="AF54" s="12"/>
      <c r="AG54" s="12" t="s">
        <v>292</v>
      </c>
      <c r="AH54" s="12" t="s">
        <v>115</v>
      </c>
      <c r="AI54" s="12" t="s">
        <v>711</v>
      </c>
      <c r="AJ54" s="12" t="s">
        <v>712</v>
      </c>
      <c r="AK54" s="12" t="s">
        <v>713</v>
      </c>
      <c r="AL54" s="12" t="s">
        <v>267</v>
      </c>
      <c r="AM54" s="12" t="s">
        <v>120</v>
      </c>
      <c r="AN54" s="12" t="s">
        <v>121</v>
      </c>
      <c r="AO54" s="12" t="s">
        <v>99</v>
      </c>
      <c r="AP54" s="12" t="s">
        <v>714</v>
      </c>
      <c r="AQ54" s="12" t="s">
        <v>123</v>
      </c>
      <c r="AR54" s="12" t="s">
        <v>715</v>
      </c>
      <c r="AS54" s="12" t="s">
        <v>655</v>
      </c>
      <c r="AT54" s="12" t="s">
        <v>125</v>
      </c>
      <c r="AU54" s="12" t="s">
        <v>716</v>
      </c>
      <c r="AV54" s="12"/>
      <c r="AW54" s="12" t="s">
        <v>717</v>
      </c>
    </row>
    <row r="55" spans="1:49" ht="42.95" customHeight="1">
      <c r="A55" s="2" t="s">
        <v>718</v>
      </c>
      <c r="B55" s="9" t="s">
        <v>48</v>
      </c>
      <c r="C55" s="2" t="s">
        <v>46</v>
      </c>
      <c r="D55" s="2" t="s">
        <v>251</v>
      </c>
      <c r="E55" s="2" t="s">
        <v>41</v>
      </c>
      <c r="F55" s="2" t="s">
        <v>172</v>
      </c>
      <c r="G55" s="2" t="s">
        <v>719</v>
      </c>
      <c r="H55" s="2" t="s">
        <v>720</v>
      </c>
      <c r="I55" s="2" t="s">
        <v>721</v>
      </c>
      <c r="J55" s="2" t="s">
        <v>160</v>
      </c>
      <c r="K55" s="2" t="s">
        <v>722</v>
      </c>
      <c r="L55" s="2" t="s">
        <v>645</v>
      </c>
      <c r="M55" s="3" t="s">
        <v>723</v>
      </c>
      <c r="N55" s="2"/>
      <c r="O55" s="2" t="s">
        <v>100</v>
      </c>
      <c r="P55" s="2" t="s">
        <v>724</v>
      </c>
      <c r="Q55" s="2"/>
      <c r="R55" s="2"/>
      <c r="S55" s="2" t="s">
        <v>182</v>
      </c>
      <c r="T55" s="2" t="s">
        <v>105</v>
      </c>
      <c r="U55" s="2" t="s">
        <v>106</v>
      </c>
      <c r="V55" s="2"/>
      <c r="W55" s="2" t="s">
        <v>183</v>
      </c>
      <c r="X55" s="2"/>
      <c r="Y55" s="2" t="s">
        <v>109</v>
      </c>
      <c r="Z55" s="2" t="s">
        <v>167</v>
      </c>
      <c r="AA55" s="2"/>
      <c r="AB55" s="2"/>
      <c r="AC55" s="2"/>
      <c r="AD55" s="2" t="s">
        <v>112</v>
      </c>
      <c r="AE55" s="2" t="s">
        <v>113</v>
      </c>
      <c r="AF55" s="2"/>
      <c r="AG55" s="2" t="s">
        <v>292</v>
      </c>
      <c r="AH55" s="2" t="s">
        <v>115</v>
      </c>
      <c r="AI55" s="2" t="s">
        <v>725</v>
      </c>
      <c r="AJ55" s="2" t="s">
        <v>726</v>
      </c>
      <c r="AK55" s="2" t="s">
        <v>727</v>
      </c>
      <c r="AL55" s="2" t="s">
        <v>267</v>
      </c>
      <c r="AM55" s="2" t="s">
        <v>153</v>
      </c>
      <c r="AN55" s="2" t="s">
        <v>121</v>
      </c>
      <c r="AO55" s="2"/>
      <c r="AP55" s="2" t="s">
        <v>122</v>
      </c>
      <c r="AQ55" s="2" t="s">
        <v>123</v>
      </c>
      <c r="AR55" s="2" t="s">
        <v>715</v>
      </c>
      <c r="AS55" s="2" t="s">
        <v>655</v>
      </c>
      <c r="AT55" s="2" t="s">
        <v>125</v>
      </c>
      <c r="AU55" s="2"/>
      <c r="AV55" s="2"/>
      <c r="AW55" s="2" t="s">
        <v>155</v>
      </c>
    </row>
    <row r="56" spans="1:49" ht="42.95" customHeight="1">
      <c r="A56" s="12" t="s">
        <v>728</v>
      </c>
      <c r="B56" s="9" t="s">
        <v>48</v>
      </c>
      <c r="C56" s="12" t="s">
        <v>46</v>
      </c>
      <c r="D56" s="12" t="s">
        <v>251</v>
      </c>
      <c r="E56" s="12" t="s">
        <v>41</v>
      </c>
      <c r="F56" s="12" t="s">
        <v>172</v>
      </c>
      <c r="G56" s="12" t="s">
        <v>729</v>
      </c>
      <c r="H56" s="12" t="s">
        <v>730</v>
      </c>
      <c r="I56" s="12" t="s">
        <v>731</v>
      </c>
      <c r="J56" s="12" t="s">
        <v>160</v>
      </c>
      <c r="K56" s="12" t="s">
        <v>732</v>
      </c>
      <c r="L56" s="12" t="s">
        <v>733</v>
      </c>
      <c r="M56" s="13" t="s">
        <v>734</v>
      </c>
      <c r="N56" s="12" t="s">
        <v>735</v>
      </c>
      <c r="O56" s="12" t="s">
        <v>100</v>
      </c>
      <c r="P56" s="12" t="s">
        <v>736</v>
      </c>
      <c r="Q56" s="12"/>
      <c r="R56" s="12"/>
      <c r="S56" s="12" t="s">
        <v>182</v>
      </c>
      <c r="T56" s="12" t="s">
        <v>105</v>
      </c>
      <c r="U56" s="12" t="s">
        <v>106</v>
      </c>
      <c r="V56" s="12"/>
      <c r="W56" s="12" t="s">
        <v>594</v>
      </c>
      <c r="X56" s="12"/>
      <c r="Y56" s="12" t="s">
        <v>109</v>
      </c>
      <c r="Z56" s="12" t="s">
        <v>167</v>
      </c>
      <c r="AA56" s="12" t="s">
        <v>212</v>
      </c>
      <c r="AB56" s="12"/>
      <c r="AC56" s="12"/>
      <c r="AD56" s="12" t="s">
        <v>112</v>
      </c>
      <c r="AE56" s="12" t="s">
        <v>113</v>
      </c>
      <c r="AF56" s="12"/>
      <c r="AG56" s="12" t="s">
        <v>292</v>
      </c>
      <c r="AH56" s="12" t="s">
        <v>115</v>
      </c>
      <c r="AI56" s="12" t="s">
        <v>737</v>
      </c>
      <c r="AJ56" s="12" t="s">
        <v>738</v>
      </c>
      <c r="AK56" s="12" t="s">
        <v>739</v>
      </c>
      <c r="AL56" s="12" t="s">
        <v>267</v>
      </c>
      <c r="AM56" s="12" t="s">
        <v>153</v>
      </c>
      <c r="AN56" s="12" t="s">
        <v>121</v>
      </c>
      <c r="AO56" s="12" t="s">
        <v>735</v>
      </c>
      <c r="AP56" s="12" t="s">
        <v>122</v>
      </c>
      <c r="AQ56" s="12" t="s">
        <v>123</v>
      </c>
      <c r="AR56" s="12" t="s">
        <v>715</v>
      </c>
      <c r="AS56" s="12" t="s">
        <v>655</v>
      </c>
      <c r="AT56" s="12" t="s">
        <v>125</v>
      </c>
      <c r="AU56" s="12"/>
      <c r="AV56" s="12"/>
      <c r="AW56" s="12" t="s">
        <v>155</v>
      </c>
    </row>
    <row r="57" spans="1:49" ht="42.95" customHeight="1">
      <c r="A57" s="2" t="s">
        <v>740</v>
      </c>
      <c r="B57" s="9" t="s">
        <v>48</v>
      </c>
      <c r="C57" s="2" t="s">
        <v>46</v>
      </c>
      <c r="D57" s="2" t="s">
        <v>251</v>
      </c>
      <c r="E57" s="2" t="s">
        <v>41</v>
      </c>
      <c r="F57" s="2" t="s">
        <v>172</v>
      </c>
      <c r="G57" s="2" t="s">
        <v>741</v>
      </c>
      <c r="H57" s="2" t="s">
        <v>742</v>
      </c>
      <c r="I57" s="2" t="s">
        <v>702</v>
      </c>
      <c r="J57" s="2" t="s">
        <v>160</v>
      </c>
      <c r="K57" s="2" t="s">
        <v>702</v>
      </c>
      <c r="L57" s="2" t="s">
        <v>645</v>
      </c>
      <c r="M57" s="3" t="s">
        <v>743</v>
      </c>
      <c r="N57" s="2" t="s">
        <v>476</v>
      </c>
      <c r="O57" s="2" t="s">
        <v>100</v>
      </c>
      <c r="P57" s="2" t="s">
        <v>744</v>
      </c>
      <c r="Q57" s="2"/>
      <c r="R57" s="2"/>
      <c r="S57" s="2" t="s">
        <v>182</v>
      </c>
      <c r="T57" s="2" t="s">
        <v>105</v>
      </c>
      <c r="U57" s="2" t="s">
        <v>166</v>
      </c>
      <c r="V57" s="2"/>
      <c r="W57" s="2" t="s">
        <v>594</v>
      </c>
      <c r="X57" s="2"/>
      <c r="Y57" s="2" t="s">
        <v>109</v>
      </c>
      <c r="Z57" s="2" t="s">
        <v>167</v>
      </c>
      <c r="AA57" s="2"/>
      <c r="AB57" s="2"/>
      <c r="AC57" s="2"/>
      <c r="AD57" s="2" t="s">
        <v>112</v>
      </c>
      <c r="AE57" s="2" t="s">
        <v>113</v>
      </c>
      <c r="AF57" s="2"/>
      <c r="AG57" s="2" t="s">
        <v>292</v>
      </c>
      <c r="AH57" s="2" t="s">
        <v>115</v>
      </c>
      <c r="AI57" s="2" t="s">
        <v>745</v>
      </c>
      <c r="AJ57" s="2" t="s">
        <v>746</v>
      </c>
      <c r="AK57" s="2" t="s">
        <v>747</v>
      </c>
      <c r="AL57" s="2" t="s">
        <v>267</v>
      </c>
      <c r="AM57" s="2" t="s">
        <v>153</v>
      </c>
      <c r="AN57" s="2" t="s">
        <v>121</v>
      </c>
      <c r="AO57" s="2" t="s">
        <v>476</v>
      </c>
      <c r="AP57" s="2" t="s">
        <v>122</v>
      </c>
      <c r="AQ57" s="2" t="s">
        <v>123</v>
      </c>
      <c r="AR57" s="2" t="s">
        <v>715</v>
      </c>
      <c r="AS57" s="2" t="s">
        <v>655</v>
      </c>
      <c r="AT57" s="2" t="s">
        <v>125</v>
      </c>
      <c r="AU57" s="2"/>
      <c r="AV57" s="2"/>
      <c r="AW57" s="2" t="s">
        <v>155</v>
      </c>
    </row>
    <row r="58" spans="1:49" ht="42.95" customHeight="1">
      <c r="A58" s="12" t="s">
        <v>748</v>
      </c>
      <c r="B58" s="9" t="s">
        <v>48</v>
      </c>
      <c r="C58" s="12" t="s">
        <v>46</v>
      </c>
      <c r="D58" s="12" t="s">
        <v>251</v>
      </c>
      <c r="E58" s="12" t="s">
        <v>41</v>
      </c>
      <c r="F58" s="12" t="s">
        <v>199</v>
      </c>
      <c r="G58" s="12" t="s">
        <v>749</v>
      </c>
      <c r="H58" s="12" t="s">
        <v>750</v>
      </c>
      <c r="I58" s="12" t="s">
        <v>751</v>
      </c>
      <c r="J58" s="12" t="s">
        <v>96</v>
      </c>
      <c r="K58" s="12" t="s">
        <v>97</v>
      </c>
      <c r="L58" s="12" t="s">
        <v>645</v>
      </c>
      <c r="M58" s="13" t="s">
        <v>752</v>
      </c>
      <c r="N58" s="12" t="s">
        <v>99</v>
      </c>
      <c r="O58" s="12" t="s">
        <v>100</v>
      </c>
      <c r="P58" s="12" t="s">
        <v>753</v>
      </c>
      <c r="Q58" s="12" t="s">
        <v>754</v>
      </c>
      <c r="R58" s="12" t="s">
        <v>755</v>
      </c>
      <c r="S58" s="12" t="s">
        <v>384</v>
      </c>
      <c r="T58" s="12" t="s">
        <v>105</v>
      </c>
      <c r="U58" s="12" t="s">
        <v>166</v>
      </c>
      <c r="V58" s="12" t="s">
        <v>650</v>
      </c>
      <c r="W58" s="12" t="s">
        <v>512</v>
      </c>
      <c r="X58" s="12" t="s">
        <v>513</v>
      </c>
      <c r="Y58" s="12" t="s">
        <v>109</v>
      </c>
      <c r="Z58" s="12" t="s">
        <v>263</v>
      </c>
      <c r="AA58" s="12"/>
      <c r="AB58" s="12"/>
      <c r="AC58" s="12"/>
      <c r="AD58" s="12" t="s">
        <v>112</v>
      </c>
      <c r="AE58" s="12" t="s">
        <v>113</v>
      </c>
      <c r="AF58" s="12"/>
      <c r="AG58" s="12" t="s">
        <v>114</v>
      </c>
      <c r="AH58" s="12" t="s">
        <v>115</v>
      </c>
      <c r="AI58" s="12" t="s">
        <v>756</v>
      </c>
      <c r="AJ58" s="12" t="s">
        <v>757</v>
      </c>
      <c r="AK58" s="12"/>
      <c r="AL58" s="12" t="s">
        <v>119</v>
      </c>
      <c r="AM58" s="12" t="s">
        <v>120</v>
      </c>
      <c r="AN58" s="12" t="s">
        <v>121</v>
      </c>
      <c r="AO58" s="12" t="s">
        <v>99</v>
      </c>
      <c r="AP58" s="12" t="s">
        <v>122</v>
      </c>
      <c r="AQ58" s="12" t="s">
        <v>123</v>
      </c>
      <c r="AR58" s="12" t="s">
        <v>715</v>
      </c>
      <c r="AS58" s="12" t="s">
        <v>655</v>
      </c>
      <c r="AT58" s="12" t="s">
        <v>125</v>
      </c>
      <c r="AU58" s="12"/>
      <c r="AV58" s="12" t="s">
        <v>758</v>
      </c>
      <c r="AW58" s="12"/>
    </row>
    <row r="59" spans="1:49" ht="42.95" customHeight="1">
      <c r="A59" s="2" t="s">
        <v>759</v>
      </c>
      <c r="B59" s="9" t="s">
        <v>48</v>
      </c>
      <c r="C59" s="2" t="s">
        <v>46</v>
      </c>
      <c r="D59" s="2" t="s">
        <v>251</v>
      </c>
      <c r="E59" s="2" t="s">
        <v>41</v>
      </c>
      <c r="F59" s="2" t="s">
        <v>199</v>
      </c>
      <c r="G59" s="2" t="s">
        <v>760</v>
      </c>
      <c r="H59" s="2" t="s">
        <v>761</v>
      </c>
      <c r="I59" s="2" t="s">
        <v>760</v>
      </c>
      <c r="J59" s="2" t="s">
        <v>160</v>
      </c>
      <c r="K59" s="2" t="s">
        <v>722</v>
      </c>
      <c r="L59" s="2" t="s">
        <v>645</v>
      </c>
      <c r="M59" s="3" t="s">
        <v>762</v>
      </c>
      <c r="N59" s="2"/>
      <c r="O59" s="2" t="s">
        <v>100</v>
      </c>
      <c r="P59" s="2" t="s">
        <v>763</v>
      </c>
      <c r="Q59" s="2"/>
      <c r="R59" s="2"/>
      <c r="S59" s="2" t="s">
        <v>182</v>
      </c>
      <c r="T59" s="2" t="s">
        <v>105</v>
      </c>
      <c r="U59" s="2" t="s">
        <v>106</v>
      </c>
      <c r="V59" s="2"/>
      <c r="W59" s="2"/>
      <c r="X59" s="2"/>
      <c r="Y59" s="2" t="s">
        <v>109</v>
      </c>
      <c r="Z59" s="2" t="s">
        <v>149</v>
      </c>
      <c r="AA59" s="2" t="s">
        <v>397</v>
      </c>
      <c r="AB59" s="2"/>
      <c r="AC59" s="3" t="s">
        <v>764</v>
      </c>
      <c r="AD59" s="2" t="s">
        <v>112</v>
      </c>
      <c r="AE59" s="2" t="s">
        <v>113</v>
      </c>
      <c r="AF59" s="2"/>
      <c r="AG59" s="2" t="s">
        <v>292</v>
      </c>
      <c r="AH59" s="2" t="s">
        <v>115</v>
      </c>
      <c r="AI59" s="2" t="s">
        <v>765</v>
      </c>
      <c r="AJ59" s="2" t="s">
        <v>726</v>
      </c>
      <c r="AK59" s="2" t="s">
        <v>766</v>
      </c>
      <c r="AL59" s="2" t="s">
        <v>267</v>
      </c>
      <c r="AM59" s="2" t="s">
        <v>153</v>
      </c>
      <c r="AN59" s="2" t="s">
        <v>121</v>
      </c>
      <c r="AO59" s="2"/>
      <c r="AP59" s="2" t="s">
        <v>767</v>
      </c>
      <c r="AQ59" s="2" t="s">
        <v>123</v>
      </c>
      <c r="AR59" s="2" t="s">
        <v>715</v>
      </c>
      <c r="AS59" s="2" t="s">
        <v>655</v>
      </c>
      <c r="AT59" s="2" t="s">
        <v>125</v>
      </c>
      <c r="AU59" s="2" t="s">
        <v>768</v>
      </c>
      <c r="AV59" s="2"/>
      <c r="AW59" s="2" t="s">
        <v>155</v>
      </c>
    </row>
    <row r="60" spans="1:49" ht="42.95" customHeight="1">
      <c r="A60" s="12" t="s">
        <v>758</v>
      </c>
      <c r="B60" s="9" t="s">
        <v>48</v>
      </c>
      <c r="C60" s="12" t="s">
        <v>46</v>
      </c>
      <c r="D60" s="12" t="s">
        <v>251</v>
      </c>
      <c r="E60" s="12" t="s">
        <v>41</v>
      </c>
      <c r="F60" s="12" t="s">
        <v>217</v>
      </c>
      <c r="G60" s="12" t="s">
        <v>402</v>
      </c>
      <c r="H60" s="12" t="s">
        <v>750</v>
      </c>
      <c r="I60" s="12" t="s">
        <v>751</v>
      </c>
      <c r="J60" s="12" t="s">
        <v>96</v>
      </c>
      <c r="K60" s="12" t="s">
        <v>97</v>
      </c>
      <c r="L60" s="12" t="s">
        <v>645</v>
      </c>
      <c r="M60" s="13" t="s">
        <v>752</v>
      </c>
      <c r="N60" s="12" t="s">
        <v>99</v>
      </c>
      <c r="O60" s="12" t="s">
        <v>100</v>
      </c>
      <c r="P60" s="12" t="s">
        <v>769</v>
      </c>
      <c r="Q60" s="12" t="s">
        <v>770</v>
      </c>
      <c r="R60" s="12" t="s">
        <v>771</v>
      </c>
      <c r="S60" s="12" t="s">
        <v>384</v>
      </c>
      <c r="T60" s="12" t="s">
        <v>105</v>
      </c>
      <c r="U60" s="12" t="s">
        <v>166</v>
      </c>
      <c r="V60" s="12" t="s">
        <v>650</v>
      </c>
      <c r="W60" s="12" t="s">
        <v>226</v>
      </c>
      <c r="X60" s="12" t="s">
        <v>772</v>
      </c>
      <c r="Y60" s="12" t="s">
        <v>109</v>
      </c>
      <c r="Z60" s="12" t="s">
        <v>263</v>
      </c>
      <c r="AA60" s="12"/>
      <c r="AB60" s="12"/>
      <c r="AC60" s="12"/>
      <c r="AD60" s="12" t="s">
        <v>112</v>
      </c>
      <c r="AE60" s="12" t="s">
        <v>113</v>
      </c>
      <c r="AF60" s="12"/>
      <c r="AG60" s="12" t="s">
        <v>114</v>
      </c>
      <c r="AH60" s="12" t="s">
        <v>115</v>
      </c>
      <c r="AI60" s="12" t="s">
        <v>756</v>
      </c>
      <c r="AJ60" s="12" t="s">
        <v>757</v>
      </c>
      <c r="AK60" s="12"/>
      <c r="AL60" s="12" t="s">
        <v>119</v>
      </c>
      <c r="AM60" s="12" t="s">
        <v>120</v>
      </c>
      <c r="AN60" s="12" t="s">
        <v>121</v>
      </c>
      <c r="AO60" s="12" t="s">
        <v>99</v>
      </c>
      <c r="AP60" s="12" t="s">
        <v>122</v>
      </c>
      <c r="AQ60" s="12" t="s">
        <v>123</v>
      </c>
      <c r="AR60" s="12" t="s">
        <v>715</v>
      </c>
      <c r="AS60" s="12" t="s">
        <v>655</v>
      </c>
      <c r="AT60" s="12" t="s">
        <v>125</v>
      </c>
      <c r="AU60" s="12"/>
      <c r="AV60" s="12" t="s">
        <v>748</v>
      </c>
      <c r="AW60" s="12"/>
    </row>
    <row r="61" spans="1:49" ht="42.95" customHeight="1">
      <c r="A61" s="2" t="s">
        <v>773</v>
      </c>
      <c r="B61" s="9" t="s">
        <v>48</v>
      </c>
      <c r="C61" s="2" t="s">
        <v>46</v>
      </c>
      <c r="D61" s="2" t="s">
        <v>251</v>
      </c>
      <c r="E61" s="2" t="s">
        <v>41</v>
      </c>
      <c r="F61" s="2" t="s">
        <v>217</v>
      </c>
      <c r="G61" s="2" t="s">
        <v>774</v>
      </c>
      <c r="H61" s="2" t="s">
        <v>775</v>
      </c>
      <c r="I61" s="2" t="s">
        <v>142</v>
      </c>
      <c r="J61" s="2" t="s">
        <v>142</v>
      </c>
      <c r="K61" s="2" t="s">
        <v>368</v>
      </c>
      <c r="L61" s="2" t="s">
        <v>645</v>
      </c>
      <c r="M61" s="3" t="s">
        <v>776</v>
      </c>
      <c r="N61" s="2"/>
      <c r="O61" s="2" t="s">
        <v>100</v>
      </c>
      <c r="P61" s="2" t="s">
        <v>777</v>
      </c>
      <c r="Q61" s="2"/>
      <c r="R61" s="2"/>
      <c r="S61" s="2" t="s">
        <v>182</v>
      </c>
      <c r="T61" s="2" t="s">
        <v>105</v>
      </c>
      <c r="U61" s="2" t="s">
        <v>166</v>
      </c>
      <c r="V61" s="2"/>
      <c r="W61" s="2"/>
      <c r="X61" s="2"/>
      <c r="Y61" s="2" t="s">
        <v>109</v>
      </c>
      <c r="Z61" s="2" t="s">
        <v>167</v>
      </c>
      <c r="AA61" s="2"/>
      <c r="AB61" s="2"/>
      <c r="AC61" s="2"/>
      <c r="AD61" s="2" t="s">
        <v>112</v>
      </c>
      <c r="AE61" s="2" t="s">
        <v>113</v>
      </c>
      <c r="AF61" s="2"/>
      <c r="AG61" s="2" t="s">
        <v>114</v>
      </c>
      <c r="AH61" s="2" t="s">
        <v>115</v>
      </c>
      <c r="AI61" s="2" t="s">
        <v>778</v>
      </c>
      <c r="AJ61" s="2" t="s">
        <v>779</v>
      </c>
      <c r="AK61" s="2"/>
      <c r="AL61" s="2" t="s">
        <v>119</v>
      </c>
      <c r="AM61" s="2" t="s">
        <v>153</v>
      </c>
      <c r="AN61" s="2" t="s">
        <v>121</v>
      </c>
      <c r="AO61" s="2"/>
      <c r="AP61" s="2" t="s">
        <v>122</v>
      </c>
      <c r="AQ61" s="2" t="s">
        <v>123</v>
      </c>
      <c r="AR61" s="2" t="s">
        <v>715</v>
      </c>
      <c r="AS61" s="2" t="s">
        <v>655</v>
      </c>
      <c r="AT61" s="2" t="s">
        <v>125</v>
      </c>
      <c r="AU61" s="2"/>
      <c r="AV61" s="2"/>
      <c r="AW61" s="2" t="s">
        <v>155</v>
      </c>
    </row>
    <row r="62" spans="1:49" ht="42.95" customHeight="1">
      <c r="A62" s="12" t="s">
        <v>780</v>
      </c>
      <c r="B62" s="9" t="s">
        <v>48</v>
      </c>
      <c r="C62" s="12" t="s">
        <v>46</v>
      </c>
      <c r="D62" s="12" t="s">
        <v>251</v>
      </c>
      <c r="E62" s="12" t="s">
        <v>41</v>
      </c>
      <c r="F62" s="12" t="s">
        <v>217</v>
      </c>
      <c r="G62" s="12" t="s">
        <v>781</v>
      </c>
      <c r="H62" s="12" t="s">
        <v>782</v>
      </c>
      <c r="I62" s="12" t="s">
        <v>783</v>
      </c>
      <c r="J62" s="12" t="s">
        <v>160</v>
      </c>
      <c r="K62" s="12" t="s">
        <v>722</v>
      </c>
      <c r="L62" s="12" t="s">
        <v>645</v>
      </c>
      <c r="M62" s="13" t="s">
        <v>784</v>
      </c>
      <c r="N62" s="12"/>
      <c r="O62" s="12" t="s">
        <v>100</v>
      </c>
      <c r="P62" s="12" t="s">
        <v>785</v>
      </c>
      <c r="Q62" s="12"/>
      <c r="R62" s="12"/>
      <c r="S62" s="12" t="s">
        <v>182</v>
      </c>
      <c r="T62" s="12" t="s">
        <v>105</v>
      </c>
      <c r="U62" s="12" t="s">
        <v>106</v>
      </c>
      <c r="V62" s="12"/>
      <c r="W62" s="12"/>
      <c r="X62" s="12"/>
      <c r="Y62" s="12" t="s">
        <v>109</v>
      </c>
      <c r="Z62" s="12" t="s">
        <v>149</v>
      </c>
      <c r="AA62" s="12"/>
      <c r="AB62" s="12"/>
      <c r="AC62" s="13" t="s">
        <v>764</v>
      </c>
      <c r="AD62" s="12" t="s">
        <v>112</v>
      </c>
      <c r="AE62" s="12" t="s">
        <v>113</v>
      </c>
      <c r="AF62" s="12"/>
      <c r="AG62" s="12" t="s">
        <v>292</v>
      </c>
      <c r="AH62" s="12" t="s">
        <v>115</v>
      </c>
      <c r="AI62" s="12" t="s">
        <v>786</v>
      </c>
      <c r="AJ62" s="12" t="s">
        <v>787</v>
      </c>
      <c r="AK62" s="12" t="s">
        <v>230</v>
      </c>
      <c r="AL62" s="12" t="s">
        <v>267</v>
      </c>
      <c r="AM62" s="12" t="s">
        <v>153</v>
      </c>
      <c r="AN62" s="12" t="s">
        <v>121</v>
      </c>
      <c r="AO62" s="12"/>
      <c r="AP62" s="12" t="s">
        <v>122</v>
      </c>
      <c r="AQ62" s="12" t="s">
        <v>123</v>
      </c>
      <c r="AR62" s="12" t="s">
        <v>715</v>
      </c>
      <c r="AS62" s="12" t="s">
        <v>655</v>
      </c>
      <c r="AT62" s="12" t="s">
        <v>125</v>
      </c>
      <c r="AU62" s="12"/>
      <c r="AV62" s="12"/>
      <c r="AW62" s="12" t="s">
        <v>155</v>
      </c>
    </row>
    <row r="63" spans="1:49" ht="42.95" customHeight="1">
      <c r="A63" s="2" t="s">
        <v>788</v>
      </c>
      <c r="B63" s="9" t="s">
        <v>48</v>
      </c>
      <c r="C63" s="2" t="s">
        <v>46</v>
      </c>
      <c r="D63" s="2" t="s">
        <v>251</v>
      </c>
      <c r="E63" s="2" t="s">
        <v>41</v>
      </c>
      <c r="F63" s="2" t="s">
        <v>217</v>
      </c>
      <c r="G63" s="2" t="s">
        <v>789</v>
      </c>
      <c r="H63" s="2" t="s">
        <v>790</v>
      </c>
      <c r="I63" s="2" t="s">
        <v>783</v>
      </c>
      <c r="J63" s="2" t="s">
        <v>160</v>
      </c>
      <c r="K63" s="2" t="s">
        <v>722</v>
      </c>
      <c r="L63" s="2" t="s">
        <v>645</v>
      </c>
      <c r="M63" s="3" t="s">
        <v>791</v>
      </c>
      <c r="N63" s="2"/>
      <c r="O63" s="2" t="s">
        <v>100</v>
      </c>
      <c r="P63" s="2" t="s">
        <v>792</v>
      </c>
      <c r="Q63" s="2"/>
      <c r="R63" s="2"/>
      <c r="S63" s="2" t="s">
        <v>182</v>
      </c>
      <c r="T63" s="2" t="s">
        <v>105</v>
      </c>
      <c r="U63" s="2" t="s">
        <v>106</v>
      </c>
      <c r="V63" s="2"/>
      <c r="W63" s="2"/>
      <c r="X63" s="2"/>
      <c r="Y63" s="2" t="s">
        <v>109</v>
      </c>
      <c r="Z63" s="2" t="s">
        <v>149</v>
      </c>
      <c r="AA63" s="2" t="s">
        <v>199</v>
      </c>
      <c r="AB63" s="2"/>
      <c r="AC63" s="3" t="s">
        <v>764</v>
      </c>
      <c r="AD63" s="2" t="s">
        <v>112</v>
      </c>
      <c r="AE63" s="2" t="s">
        <v>113</v>
      </c>
      <c r="AF63" s="2"/>
      <c r="AG63" s="2" t="s">
        <v>292</v>
      </c>
      <c r="AH63" s="2" t="s">
        <v>115</v>
      </c>
      <c r="AI63" s="2" t="s">
        <v>793</v>
      </c>
      <c r="AJ63" s="2" t="s">
        <v>726</v>
      </c>
      <c r="AK63" s="2" t="s">
        <v>794</v>
      </c>
      <c r="AL63" s="2" t="s">
        <v>267</v>
      </c>
      <c r="AM63" s="2" t="s">
        <v>153</v>
      </c>
      <c r="AN63" s="2" t="s">
        <v>121</v>
      </c>
      <c r="AO63" s="2"/>
      <c r="AP63" s="2" t="s">
        <v>122</v>
      </c>
      <c r="AQ63" s="2" t="s">
        <v>123</v>
      </c>
      <c r="AR63" s="2" t="s">
        <v>715</v>
      </c>
      <c r="AS63" s="2" t="s">
        <v>655</v>
      </c>
      <c r="AT63" s="2" t="s">
        <v>125</v>
      </c>
      <c r="AU63" s="2"/>
      <c r="AV63" s="2"/>
      <c r="AW63" s="2" t="s">
        <v>155</v>
      </c>
    </row>
    <row r="64" spans="1:49" ht="42.95" customHeight="1">
      <c r="A64" s="12" t="s">
        <v>657</v>
      </c>
      <c r="B64" s="9" t="s">
        <v>48</v>
      </c>
      <c r="C64" s="12" t="s">
        <v>46</v>
      </c>
      <c r="D64" s="12" t="s">
        <v>251</v>
      </c>
      <c r="E64" s="12" t="s">
        <v>41</v>
      </c>
      <c r="F64" s="12" t="s">
        <v>212</v>
      </c>
      <c r="G64" s="12" t="s">
        <v>795</v>
      </c>
      <c r="H64" s="12" t="s">
        <v>796</v>
      </c>
      <c r="I64" s="12" t="s">
        <v>797</v>
      </c>
      <c r="J64" s="12" t="s">
        <v>96</v>
      </c>
      <c r="K64" s="12" t="s">
        <v>97</v>
      </c>
      <c r="L64" s="12" t="s">
        <v>645</v>
      </c>
      <c r="M64" s="13" t="s">
        <v>646</v>
      </c>
      <c r="N64" s="12" t="s">
        <v>99</v>
      </c>
      <c r="O64" s="12" t="s">
        <v>100</v>
      </c>
      <c r="P64" s="12" t="s">
        <v>798</v>
      </c>
      <c r="Q64" s="12" t="s">
        <v>799</v>
      </c>
      <c r="R64" s="12" t="s">
        <v>800</v>
      </c>
      <c r="S64" s="12" t="s">
        <v>384</v>
      </c>
      <c r="T64" s="12" t="s">
        <v>105</v>
      </c>
      <c r="U64" s="12" t="s">
        <v>166</v>
      </c>
      <c r="V64" s="12" t="s">
        <v>650</v>
      </c>
      <c r="W64" s="12" t="s">
        <v>433</v>
      </c>
      <c r="X64" s="12" t="s">
        <v>801</v>
      </c>
      <c r="Y64" s="12" t="s">
        <v>109</v>
      </c>
      <c r="Z64" s="12" t="s">
        <v>263</v>
      </c>
      <c r="AA64" s="12"/>
      <c r="AB64" s="12"/>
      <c r="AC64" s="12"/>
      <c r="AD64" s="12" t="s">
        <v>112</v>
      </c>
      <c r="AE64" s="12" t="s">
        <v>113</v>
      </c>
      <c r="AF64" s="12"/>
      <c r="AG64" s="12" t="s">
        <v>114</v>
      </c>
      <c r="AH64" s="12" t="s">
        <v>115</v>
      </c>
      <c r="AI64" s="12" t="s">
        <v>652</v>
      </c>
      <c r="AJ64" s="12" t="s">
        <v>653</v>
      </c>
      <c r="AK64" s="12" t="s">
        <v>654</v>
      </c>
      <c r="AL64" s="12" t="s">
        <v>119</v>
      </c>
      <c r="AM64" s="12" t="s">
        <v>120</v>
      </c>
      <c r="AN64" s="12" t="s">
        <v>121</v>
      </c>
      <c r="AO64" s="12" t="s">
        <v>99</v>
      </c>
      <c r="AP64" s="12" t="s">
        <v>122</v>
      </c>
      <c r="AQ64" s="12" t="s">
        <v>123</v>
      </c>
      <c r="AR64" s="12" t="s">
        <v>124</v>
      </c>
      <c r="AS64" s="12" t="s">
        <v>655</v>
      </c>
      <c r="AT64" s="12" t="s">
        <v>125</v>
      </c>
      <c r="AU64" s="12"/>
      <c r="AV64" s="12" t="s">
        <v>641</v>
      </c>
      <c r="AW64" s="12"/>
    </row>
    <row r="65" spans="1:49" ht="42.95" customHeight="1">
      <c r="A65" s="2" t="s">
        <v>802</v>
      </c>
      <c r="B65" s="9" t="s">
        <v>48</v>
      </c>
      <c r="C65" s="2" t="s">
        <v>46</v>
      </c>
      <c r="D65" s="2" t="s">
        <v>251</v>
      </c>
      <c r="E65" s="2" t="s">
        <v>41</v>
      </c>
      <c r="F65" s="2" t="s">
        <v>212</v>
      </c>
      <c r="G65" s="2" t="s">
        <v>803</v>
      </c>
      <c r="H65" s="2" t="s">
        <v>804</v>
      </c>
      <c r="I65" s="2" t="s">
        <v>805</v>
      </c>
      <c r="J65" s="2" t="s">
        <v>142</v>
      </c>
      <c r="K65" s="2" t="s">
        <v>806</v>
      </c>
      <c r="L65" s="2" t="s">
        <v>645</v>
      </c>
      <c r="M65" s="3" t="s">
        <v>807</v>
      </c>
      <c r="N65" s="2" t="s">
        <v>337</v>
      </c>
      <c r="O65" s="2" t="s">
        <v>100</v>
      </c>
      <c r="P65" s="2" t="s">
        <v>808</v>
      </c>
      <c r="Q65" s="2"/>
      <c r="R65" s="2"/>
      <c r="S65" s="2" t="s">
        <v>182</v>
      </c>
      <c r="T65" s="2" t="s">
        <v>105</v>
      </c>
      <c r="U65" s="2" t="s">
        <v>166</v>
      </c>
      <c r="V65" s="2"/>
      <c r="W65" s="2"/>
      <c r="X65" s="2"/>
      <c r="Y65" s="2" t="s">
        <v>109</v>
      </c>
      <c r="Z65" s="2" t="s">
        <v>167</v>
      </c>
      <c r="AA65" s="2"/>
      <c r="AB65" s="2"/>
      <c r="AC65" s="3" t="s">
        <v>809</v>
      </c>
      <c r="AD65" s="2" t="s">
        <v>112</v>
      </c>
      <c r="AE65" s="2" t="s">
        <v>113</v>
      </c>
      <c r="AF65" s="2"/>
      <c r="AG65" s="2" t="s">
        <v>114</v>
      </c>
      <c r="AH65" s="2" t="s">
        <v>115</v>
      </c>
      <c r="AI65" s="2" t="s">
        <v>810</v>
      </c>
      <c r="AJ65" s="2" t="s">
        <v>811</v>
      </c>
      <c r="AK65" s="2" t="s">
        <v>812</v>
      </c>
      <c r="AL65" s="2" t="s">
        <v>119</v>
      </c>
      <c r="AM65" s="2" t="s">
        <v>153</v>
      </c>
      <c r="AN65" s="2" t="s">
        <v>121</v>
      </c>
      <c r="AO65" s="2" t="s">
        <v>337</v>
      </c>
      <c r="AP65" s="2" t="s">
        <v>122</v>
      </c>
      <c r="AQ65" s="2" t="s">
        <v>123</v>
      </c>
      <c r="AR65" s="2" t="s">
        <v>124</v>
      </c>
      <c r="AS65" s="2" t="s">
        <v>655</v>
      </c>
      <c r="AT65" s="2" t="s">
        <v>125</v>
      </c>
      <c r="AU65" s="2"/>
      <c r="AV65" s="2"/>
      <c r="AW65" s="2" t="s">
        <v>155</v>
      </c>
    </row>
    <row r="66" spans="1:49" ht="42.95" customHeight="1">
      <c r="A66" s="12" t="s">
        <v>813</v>
      </c>
      <c r="B66" s="9" t="s">
        <v>48</v>
      </c>
      <c r="C66" s="12" t="s">
        <v>46</v>
      </c>
      <c r="D66" s="12" t="s">
        <v>251</v>
      </c>
      <c r="E66" s="12" t="s">
        <v>41</v>
      </c>
      <c r="F66" s="12" t="s">
        <v>212</v>
      </c>
      <c r="G66" s="12" t="s">
        <v>814</v>
      </c>
      <c r="H66" s="12" t="s">
        <v>815</v>
      </c>
      <c r="I66" s="12" t="s">
        <v>816</v>
      </c>
      <c r="J66" s="12" t="s">
        <v>160</v>
      </c>
      <c r="K66" s="12" t="s">
        <v>817</v>
      </c>
      <c r="L66" s="12" t="s">
        <v>645</v>
      </c>
      <c r="M66" s="13" t="s">
        <v>818</v>
      </c>
      <c r="N66" s="12" t="s">
        <v>476</v>
      </c>
      <c r="O66" s="12" t="s">
        <v>100</v>
      </c>
      <c r="P66" s="12" t="s">
        <v>819</v>
      </c>
      <c r="Q66" s="12"/>
      <c r="R66" s="12"/>
      <c r="S66" s="12" t="s">
        <v>182</v>
      </c>
      <c r="T66" s="12" t="s">
        <v>105</v>
      </c>
      <c r="U66" s="12" t="s">
        <v>106</v>
      </c>
      <c r="V66" s="12"/>
      <c r="W66" s="12"/>
      <c r="X66" s="12"/>
      <c r="Y66" s="12" t="s">
        <v>109</v>
      </c>
      <c r="Z66" s="12" t="s">
        <v>167</v>
      </c>
      <c r="AA66" s="12"/>
      <c r="AB66" s="12"/>
      <c r="AC66" s="13" t="s">
        <v>646</v>
      </c>
      <c r="AD66" s="12" t="s">
        <v>112</v>
      </c>
      <c r="AE66" s="12" t="s">
        <v>113</v>
      </c>
      <c r="AF66" s="12"/>
      <c r="AG66" s="12" t="s">
        <v>292</v>
      </c>
      <c r="AH66" s="12" t="s">
        <v>115</v>
      </c>
      <c r="AI66" s="12" t="s">
        <v>820</v>
      </c>
      <c r="AJ66" s="12" t="s">
        <v>821</v>
      </c>
      <c r="AK66" s="12" t="s">
        <v>504</v>
      </c>
      <c r="AL66" s="12" t="s">
        <v>267</v>
      </c>
      <c r="AM66" s="12" t="s">
        <v>682</v>
      </c>
      <c r="AN66" s="12" t="s">
        <v>121</v>
      </c>
      <c r="AO66" s="12" t="s">
        <v>476</v>
      </c>
      <c r="AP66" s="12" t="s">
        <v>122</v>
      </c>
      <c r="AQ66" s="12" t="s">
        <v>123</v>
      </c>
      <c r="AR66" s="12" t="s">
        <v>124</v>
      </c>
      <c r="AS66" s="12" t="s">
        <v>655</v>
      </c>
      <c r="AT66" s="12" t="s">
        <v>125</v>
      </c>
      <c r="AU66" s="12" t="s">
        <v>822</v>
      </c>
      <c r="AV66" s="12"/>
      <c r="AW66" s="12" t="s">
        <v>155</v>
      </c>
    </row>
    <row r="67" spans="1:49" ht="42.95" customHeight="1">
      <c r="A67" s="2" t="s">
        <v>823</v>
      </c>
      <c r="B67" s="9" t="s">
        <v>48</v>
      </c>
      <c r="C67" s="2" t="s">
        <v>46</v>
      </c>
      <c r="D67" s="2" t="s">
        <v>251</v>
      </c>
      <c r="E67" s="2" t="s">
        <v>41</v>
      </c>
      <c r="F67" s="2" t="s">
        <v>212</v>
      </c>
      <c r="G67" s="2" t="s">
        <v>814</v>
      </c>
      <c r="H67" s="2" t="s">
        <v>824</v>
      </c>
      <c r="I67" s="2" t="s">
        <v>816</v>
      </c>
      <c r="J67" s="2" t="s">
        <v>160</v>
      </c>
      <c r="K67" s="2" t="s">
        <v>817</v>
      </c>
      <c r="L67" s="2" t="s">
        <v>645</v>
      </c>
      <c r="M67" s="3" t="s">
        <v>825</v>
      </c>
      <c r="N67" s="2" t="s">
        <v>337</v>
      </c>
      <c r="O67" s="2" t="s">
        <v>100</v>
      </c>
      <c r="P67" s="2" t="s">
        <v>826</v>
      </c>
      <c r="Q67" s="2"/>
      <c r="R67" s="2"/>
      <c r="S67" s="2" t="s">
        <v>182</v>
      </c>
      <c r="T67" s="2" t="s">
        <v>105</v>
      </c>
      <c r="U67" s="2" t="s">
        <v>106</v>
      </c>
      <c r="V67" s="2"/>
      <c r="W67" s="2"/>
      <c r="X67" s="2"/>
      <c r="Y67" s="2" t="s">
        <v>109</v>
      </c>
      <c r="Z67" s="2" t="s">
        <v>149</v>
      </c>
      <c r="AA67" s="2" t="s">
        <v>92</v>
      </c>
      <c r="AB67" s="2"/>
      <c r="AC67" s="3" t="s">
        <v>646</v>
      </c>
      <c r="AD67" s="2" t="s">
        <v>112</v>
      </c>
      <c r="AE67" s="2" t="s">
        <v>113</v>
      </c>
      <c r="AF67" s="2"/>
      <c r="AG67" s="2" t="s">
        <v>292</v>
      </c>
      <c r="AH67" s="2" t="s">
        <v>115</v>
      </c>
      <c r="AI67" s="2" t="s">
        <v>820</v>
      </c>
      <c r="AJ67" s="2" t="s">
        <v>827</v>
      </c>
      <c r="AK67" s="2" t="s">
        <v>828</v>
      </c>
      <c r="AL67" s="2" t="s">
        <v>267</v>
      </c>
      <c r="AM67" s="2" t="s">
        <v>682</v>
      </c>
      <c r="AN67" s="2" t="s">
        <v>121</v>
      </c>
      <c r="AO67" s="2" t="s">
        <v>337</v>
      </c>
      <c r="AP67" s="2" t="s">
        <v>122</v>
      </c>
      <c r="AQ67" s="2" t="s">
        <v>123</v>
      </c>
      <c r="AR67" s="2" t="s">
        <v>124</v>
      </c>
      <c r="AS67" s="2" t="s">
        <v>655</v>
      </c>
      <c r="AT67" s="2" t="s">
        <v>125</v>
      </c>
      <c r="AU67" s="2"/>
      <c r="AV67" s="2"/>
      <c r="AW67" s="2" t="s">
        <v>155</v>
      </c>
    </row>
    <row r="68" spans="1:49" ht="42.95" customHeight="1">
      <c r="A68" s="12" t="s">
        <v>829</v>
      </c>
      <c r="B68" s="9" t="s">
        <v>48</v>
      </c>
      <c r="C68" s="12" t="s">
        <v>46</v>
      </c>
      <c r="D68" s="12" t="s">
        <v>251</v>
      </c>
      <c r="E68" s="12" t="s">
        <v>41</v>
      </c>
      <c r="F68" s="12" t="s">
        <v>212</v>
      </c>
      <c r="G68" s="12" t="s">
        <v>814</v>
      </c>
      <c r="H68" s="12" t="s">
        <v>830</v>
      </c>
      <c r="I68" s="12" t="s">
        <v>816</v>
      </c>
      <c r="J68" s="12" t="s">
        <v>160</v>
      </c>
      <c r="K68" s="12" t="s">
        <v>817</v>
      </c>
      <c r="L68" s="12" t="s">
        <v>645</v>
      </c>
      <c r="M68" s="13" t="s">
        <v>831</v>
      </c>
      <c r="N68" s="12" t="s">
        <v>337</v>
      </c>
      <c r="O68" s="12" t="s">
        <v>100</v>
      </c>
      <c r="P68" s="12" t="s">
        <v>832</v>
      </c>
      <c r="Q68" s="12"/>
      <c r="R68" s="12"/>
      <c r="S68" s="12" t="s">
        <v>182</v>
      </c>
      <c r="T68" s="12" t="s">
        <v>105</v>
      </c>
      <c r="U68" s="12" t="s">
        <v>106</v>
      </c>
      <c r="V68" s="12"/>
      <c r="W68" s="12"/>
      <c r="X68" s="12"/>
      <c r="Y68" s="12" t="s">
        <v>109</v>
      </c>
      <c r="Z68" s="12" t="s">
        <v>149</v>
      </c>
      <c r="AA68" s="12" t="s">
        <v>92</v>
      </c>
      <c r="AB68" s="12"/>
      <c r="AC68" s="13" t="s">
        <v>646</v>
      </c>
      <c r="AD68" s="12" t="s">
        <v>112</v>
      </c>
      <c r="AE68" s="12" t="s">
        <v>113</v>
      </c>
      <c r="AF68" s="12"/>
      <c r="AG68" s="12" t="s">
        <v>292</v>
      </c>
      <c r="AH68" s="12" t="s">
        <v>115</v>
      </c>
      <c r="AI68" s="12" t="s">
        <v>833</v>
      </c>
      <c r="AJ68" s="12" t="s">
        <v>834</v>
      </c>
      <c r="AK68" s="12" t="s">
        <v>835</v>
      </c>
      <c r="AL68" s="12" t="s">
        <v>267</v>
      </c>
      <c r="AM68" s="12" t="s">
        <v>682</v>
      </c>
      <c r="AN68" s="12" t="s">
        <v>121</v>
      </c>
      <c r="AO68" s="12" t="s">
        <v>337</v>
      </c>
      <c r="AP68" s="12" t="s">
        <v>122</v>
      </c>
      <c r="AQ68" s="12" t="s">
        <v>123</v>
      </c>
      <c r="AR68" s="12" t="s">
        <v>124</v>
      </c>
      <c r="AS68" s="12" t="s">
        <v>655</v>
      </c>
      <c r="AT68" s="12" t="s">
        <v>125</v>
      </c>
      <c r="AU68" s="12" t="s">
        <v>836</v>
      </c>
      <c r="AV68" s="12"/>
      <c r="AW68" s="12" t="s">
        <v>155</v>
      </c>
    </row>
    <row r="69" spans="1:49" ht="42.95" customHeight="1">
      <c r="A69" s="2" t="s">
        <v>837</v>
      </c>
      <c r="B69" s="9" t="s">
        <v>48</v>
      </c>
      <c r="C69" s="2" t="s">
        <v>46</v>
      </c>
      <c r="D69" s="2" t="s">
        <v>251</v>
      </c>
      <c r="E69" s="2" t="s">
        <v>41</v>
      </c>
      <c r="F69" s="2" t="s">
        <v>212</v>
      </c>
      <c r="G69" s="2" t="s">
        <v>803</v>
      </c>
      <c r="H69" s="2" t="s">
        <v>838</v>
      </c>
      <c r="I69" s="2" t="s">
        <v>803</v>
      </c>
      <c r="J69" s="2" t="s">
        <v>160</v>
      </c>
      <c r="K69" s="2" t="s">
        <v>806</v>
      </c>
      <c r="L69" s="2" t="s">
        <v>645</v>
      </c>
      <c r="M69" s="3" t="s">
        <v>839</v>
      </c>
      <c r="N69" s="2" t="s">
        <v>337</v>
      </c>
      <c r="O69" s="2" t="s">
        <v>100</v>
      </c>
      <c r="P69" s="2" t="s">
        <v>840</v>
      </c>
      <c r="Q69" s="2"/>
      <c r="R69" s="2"/>
      <c r="S69" s="2" t="s">
        <v>182</v>
      </c>
      <c r="T69" s="2" t="s">
        <v>105</v>
      </c>
      <c r="U69" s="2" t="s">
        <v>106</v>
      </c>
      <c r="V69" s="2"/>
      <c r="W69" s="2"/>
      <c r="X69" s="2"/>
      <c r="Y69" s="2" t="s">
        <v>109</v>
      </c>
      <c r="Z69" s="2" t="s">
        <v>149</v>
      </c>
      <c r="AA69" s="2"/>
      <c r="AB69" s="2"/>
      <c r="AC69" s="3" t="s">
        <v>809</v>
      </c>
      <c r="AD69" s="2" t="s">
        <v>112</v>
      </c>
      <c r="AE69" s="2" t="s">
        <v>113</v>
      </c>
      <c r="AF69" s="2"/>
      <c r="AG69" s="2" t="s">
        <v>292</v>
      </c>
      <c r="AH69" s="2" t="s">
        <v>115</v>
      </c>
      <c r="AI69" s="2" t="s">
        <v>810</v>
      </c>
      <c r="AJ69" s="2" t="s">
        <v>841</v>
      </c>
      <c r="AK69" s="2" t="s">
        <v>337</v>
      </c>
      <c r="AL69" s="2" t="s">
        <v>267</v>
      </c>
      <c r="AM69" s="2" t="s">
        <v>682</v>
      </c>
      <c r="AN69" s="2" t="s">
        <v>121</v>
      </c>
      <c r="AO69" s="2" t="s">
        <v>337</v>
      </c>
      <c r="AP69" s="2" t="s">
        <v>122</v>
      </c>
      <c r="AQ69" s="2" t="s">
        <v>123</v>
      </c>
      <c r="AR69" s="2" t="s">
        <v>124</v>
      </c>
      <c r="AS69" s="2" t="s">
        <v>655</v>
      </c>
      <c r="AT69" s="2" t="s">
        <v>125</v>
      </c>
      <c r="AU69" s="2"/>
      <c r="AV69" s="2"/>
      <c r="AW69" s="2" t="s">
        <v>155</v>
      </c>
    </row>
    <row r="70" spans="1:49" ht="42.95" customHeight="1">
      <c r="A70" s="12" t="s">
        <v>842</v>
      </c>
      <c r="B70" s="9" t="s">
        <v>48</v>
      </c>
      <c r="C70" s="12" t="s">
        <v>46</v>
      </c>
      <c r="D70" s="12" t="s">
        <v>251</v>
      </c>
      <c r="E70" s="12" t="s">
        <v>41</v>
      </c>
      <c r="F70" s="12" t="s">
        <v>212</v>
      </c>
      <c r="G70" s="12" t="s">
        <v>843</v>
      </c>
      <c r="H70" s="12" t="s">
        <v>844</v>
      </c>
      <c r="I70" s="12" t="s">
        <v>845</v>
      </c>
      <c r="J70" s="12" t="s">
        <v>160</v>
      </c>
      <c r="K70" s="12" t="s">
        <v>368</v>
      </c>
      <c r="L70" s="12" t="s">
        <v>645</v>
      </c>
      <c r="M70" s="13" t="s">
        <v>846</v>
      </c>
      <c r="N70" s="12" t="s">
        <v>696</v>
      </c>
      <c r="O70" s="12" t="s">
        <v>100</v>
      </c>
      <c r="P70" s="12" t="s">
        <v>847</v>
      </c>
      <c r="Q70" s="12"/>
      <c r="R70" s="12"/>
      <c r="S70" s="12" t="s">
        <v>182</v>
      </c>
      <c r="T70" s="12" t="s">
        <v>105</v>
      </c>
      <c r="U70" s="12" t="s">
        <v>166</v>
      </c>
      <c r="V70" s="12"/>
      <c r="W70" s="12"/>
      <c r="X70" s="12"/>
      <c r="Y70" s="12" t="s">
        <v>109</v>
      </c>
      <c r="Z70" s="12" t="s">
        <v>149</v>
      </c>
      <c r="AA70" s="12"/>
      <c r="AB70" s="12"/>
      <c r="AC70" s="13" t="s">
        <v>848</v>
      </c>
      <c r="AD70" s="12" t="s">
        <v>112</v>
      </c>
      <c r="AE70" s="12" t="s">
        <v>113</v>
      </c>
      <c r="AF70" s="12"/>
      <c r="AG70" s="12" t="s">
        <v>292</v>
      </c>
      <c r="AH70" s="12" t="s">
        <v>115</v>
      </c>
      <c r="AI70" s="12" t="s">
        <v>849</v>
      </c>
      <c r="AJ70" s="12" t="s">
        <v>850</v>
      </c>
      <c r="AK70" s="12" t="s">
        <v>696</v>
      </c>
      <c r="AL70" s="12" t="s">
        <v>267</v>
      </c>
      <c r="AM70" s="12" t="s">
        <v>682</v>
      </c>
      <c r="AN70" s="12" t="s">
        <v>121</v>
      </c>
      <c r="AO70" s="12" t="s">
        <v>696</v>
      </c>
      <c r="AP70" s="12" t="s">
        <v>122</v>
      </c>
      <c r="AQ70" s="12" t="s">
        <v>123</v>
      </c>
      <c r="AR70" s="12" t="s">
        <v>124</v>
      </c>
      <c r="AS70" s="12" t="s">
        <v>655</v>
      </c>
      <c r="AT70" s="12" t="s">
        <v>125</v>
      </c>
      <c r="AU70" s="12"/>
      <c r="AV70" s="12"/>
      <c r="AW70" s="12" t="s">
        <v>155</v>
      </c>
    </row>
    <row r="71" spans="1:49" ht="42.95" customHeight="1">
      <c r="A71" s="2" t="s">
        <v>851</v>
      </c>
      <c r="B71" s="9" t="s">
        <v>48</v>
      </c>
      <c r="C71" s="2" t="s">
        <v>46</v>
      </c>
      <c r="D71" s="2" t="s">
        <v>251</v>
      </c>
      <c r="E71" s="2" t="s">
        <v>41</v>
      </c>
      <c r="F71" s="2" t="s">
        <v>212</v>
      </c>
      <c r="G71" s="2" t="s">
        <v>852</v>
      </c>
      <c r="H71" s="2" t="s">
        <v>853</v>
      </c>
      <c r="I71" s="2" t="s">
        <v>783</v>
      </c>
      <c r="J71" s="2" t="s">
        <v>160</v>
      </c>
      <c r="K71" s="2" t="s">
        <v>722</v>
      </c>
      <c r="L71" s="2" t="s">
        <v>645</v>
      </c>
      <c r="M71" s="3" t="s">
        <v>854</v>
      </c>
      <c r="N71" s="2"/>
      <c r="O71" s="2" t="s">
        <v>100</v>
      </c>
      <c r="P71" s="2" t="s">
        <v>855</v>
      </c>
      <c r="Q71" s="2"/>
      <c r="R71" s="2"/>
      <c r="S71" s="2" t="s">
        <v>182</v>
      </c>
      <c r="T71" s="2" t="s">
        <v>105</v>
      </c>
      <c r="U71" s="2" t="s">
        <v>106</v>
      </c>
      <c r="V71" s="2"/>
      <c r="W71" s="2"/>
      <c r="X71" s="2"/>
      <c r="Y71" s="2" t="s">
        <v>109</v>
      </c>
      <c r="Z71" s="2" t="s">
        <v>149</v>
      </c>
      <c r="AA71" s="2"/>
      <c r="AB71" s="2"/>
      <c r="AC71" s="3" t="s">
        <v>764</v>
      </c>
      <c r="AD71" s="2" t="s">
        <v>112</v>
      </c>
      <c r="AE71" s="2" t="s">
        <v>113</v>
      </c>
      <c r="AF71" s="2"/>
      <c r="AG71" s="2" t="s">
        <v>292</v>
      </c>
      <c r="AH71" s="2" t="s">
        <v>115</v>
      </c>
      <c r="AI71" s="2" t="s">
        <v>856</v>
      </c>
      <c r="AJ71" s="2" t="s">
        <v>726</v>
      </c>
      <c r="AK71" s="2" t="s">
        <v>794</v>
      </c>
      <c r="AL71" s="2" t="s">
        <v>267</v>
      </c>
      <c r="AM71" s="2" t="s">
        <v>153</v>
      </c>
      <c r="AN71" s="2" t="s">
        <v>121</v>
      </c>
      <c r="AO71" s="2"/>
      <c r="AP71" s="2" t="s">
        <v>122</v>
      </c>
      <c r="AQ71" s="2" t="s">
        <v>123</v>
      </c>
      <c r="AR71" s="2" t="s">
        <v>124</v>
      </c>
      <c r="AS71" s="2" t="s">
        <v>655</v>
      </c>
      <c r="AT71" s="2" t="s">
        <v>125</v>
      </c>
      <c r="AU71" s="2"/>
      <c r="AV71" s="2"/>
      <c r="AW71" s="2" t="s">
        <v>155</v>
      </c>
    </row>
    <row r="72" spans="1:49" ht="42.95" customHeight="1">
      <c r="A72" s="12" t="s">
        <v>857</v>
      </c>
      <c r="B72" s="9" t="s">
        <v>48</v>
      </c>
      <c r="C72" s="12" t="s">
        <v>46</v>
      </c>
      <c r="D72" s="12" t="s">
        <v>440</v>
      </c>
      <c r="E72" s="12" t="s">
        <v>42</v>
      </c>
      <c r="F72" s="12" t="s">
        <v>92</v>
      </c>
      <c r="G72" s="12" t="s">
        <v>858</v>
      </c>
      <c r="H72" s="12" t="s">
        <v>859</v>
      </c>
      <c r="I72" s="12" t="s">
        <v>860</v>
      </c>
      <c r="J72" s="12" t="s">
        <v>96</v>
      </c>
      <c r="K72" s="12" t="s">
        <v>97</v>
      </c>
      <c r="L72" s="12" t="s">
        <v>861</v>
      </c>
      <c r="M72" s="13" t="s">
        <v>862</v>
      </c>
      <c r="N72" s="12" t="s">
        <v>99</v>
      </c>
      <c r="O72" s="12" t="s">
        <v>100</v>
      </c>
      <c r="P72" s="12" t="s">
        <v>863</v>
      </c>
      <c r="Q72" s="12" t="s">
        <v>864</v>
      </c>
      <c r="R72" s="12" t="s">
        <v>865</v>
      </c>
      <c r="S72" s="12" t="s">
        <v>134</v>
      </c>
      <c r="T72" s="12" t="s">
        <v>105</v>
      </c>
      <c r="U72" s="12" t="s">
        <v>166</v>
      </c>
      <c r="V72" s="12" t="s">
        <v>650</v>
      </c>
      <c r="W72" s="12" t="s">
        <v>135</v>
      </c>
      <c r="X72" s="12" t="s">
        <v>866</v>
      </c>
      <c r="Y72" s="12" t="s">
        <v>109</v>
      </c>
      <c r="Z72" s="12" t="s">
        <v>263</v>
      </c>
      <c r="AA72" s="12"/>
      <c r="AB72" s="12"/>
      <c r="AC72" s="12"/>
      <c r="AD72" s="12" t="s">
        <v>112</v>
      </c>
      <c r="AE72" s="12" t="s">
        <v>113</v>
      </c>
      <c r="AF72" s="12"/>
      <c r="AG72" s="12" t="s">
        <v>114</v>
      </c>
      <c r="AH72" s="12" t="s">
        <v>115</v>
      </c>
      <c r="AI72" s="12" t="s">
        <v>867</v>
      </c>
      <c r="AJ72" s="12" t="s">
        <v>868</v>
      </c>
      <c r="AK72" s="12" t="s">
        <v>869</v>
      </c>
      <c r="AL72" s="12" t="s">
        <v>267</v>
      </c>
      <c r="AM72" s="12" t="s">
        <v>120</v>
      </c>
      <c r="AN72" s="12" t="s">
        <v>121</v>
      </c>
      <c r="AO72" s="12" t="s">
        <v>99</v>
      </c>
      <c r="AP72" s="12" t="s">
        <v>122</v>
      </c>
      <c r="AQ72" s="12" t="s">
        <v>123</v>
      </c>
      <c r="AR72" s="12" t="s">
        <v>124</v>
      </c>
      <c r="AS72" s="12" t="s">
        <v>870</v>
      </c>
      <c r="AT72" s="12" t="s">
        <v>125</v>
      </c>
      <c r="AU72" s="12"/>
      <c r="AV72" s="12"/>
      <c r="AW72" s="12"/>
    </row>
    <row r="73" spans="1:49" ht="42.95" customHeight="1">
      <c r="A73" s="2" t="s">
        <v>871</v>
      </c>
      <c r="B73" s="9" t="s">
        <v>48</v>
      </c>
      <c r="C73" s="2" t="s">
        <v>46</v>
      </c>
      <c r="D73" s="2" t="s">
        <v>440</v>
      </c>
      <c r="E73" s="2" t="s">
        <v>42</v>
      </c>
      <c r="F73" s="2" t="s">
        <v>92</v>
      </c>
      <c r="G73" s="2" t="s">
        <v>672</v>
      </c>
      <c r="H73" s="2" t="s">
        <v>872</v>
      </c>
      <c r="I73" s="2" t="s">
        <v>672</v>
      </c>
      <c r="J73" s="2" t="s">
        <v>873</v>
      </c>
      <c r="K73" s="2" t="s">
        <v>874</v>
      </c>
      <c r="L73" s="2" t="s">
        <v>861</v>
      </c>
      <c r="M73" s="3" t="s">
        <v>875</v>
      </c>
      <c r="N73" s="2" t="s">
        <v>337</v>
      </c>
      <c r="O73" s="2" t="s">
        <v>100</v>
      </c>
      <c r="P73" s="2" t="s">
        <v>876</v>
      </c>
      <c r="Q73" s="2" t="s">
        <v>877</v>
      </c>
      <c r="R73" s="2" t="s">
        <v>878</v>
      </c>
      <c r="S73" s="2" t="s">
        <v>134</v>
      </c>
      <c r="T73" s="2" t="s">
        <v>105</v>
      </c>
      <c r="U73" s="2" t="s">
        <v>166</v>
      </c>
      <c r="V73" s="2" t="s">
        <v>709</v>
      </c>
      <c r="W73" s="2" t="s">
        <v>92</v>
      </c>
      <c r="X73" s="2" t="s">
        <v>262</v>
      </c>
      <c r="Y73" s="2" t="s">
        <v>109</v>
      </c>
      <c r="Z73" s="2" t="s">
        <v>263</v>
      </c>
      <c r="AA73" s="2"/>
      <c r="AB73" s="2"/>
      <c r="AC73" s="2"/>
      <c r="AD73" s="2" t="s">
        <v>112</v>
      </c>
      <c r="AE73" s="2" t="s">
        <v>113</v>
      </c>
      <c r="AF73" s="2"/>
      <c r="AG73" s="2" t="s">
        <v>114</v>
      </c>
      <c r="AH73" s="2" t="s">
        <v>115</v>
      </c>
      <c r="AI73" s="2" t="s">
        <v>879</v>
      </c>
      <c r="AJ73" s="2" t="s">
        <v>880</v>
      </c>
      <c r="AK73" s="2" t="s">
        <v>881</v>
      </c>
      <c r="AL73" s="2" t="s">
        <v>267</v>
      </c>
      <c r="AM73" s="2" t="s">
        <v>120</v>
      </c>
      <c r="AN73" s="2" t="s">
        <v>121</v>
      </c>
      <c r="AO73" s="2" t="s">
        <v>337</v>
      </c>
      <c r="AP73" s="2" t="s">
        <v>122</v>
      </c>
      <c r="AQ73" s="2" t="s">
        <v>123</v>
      </c>
      <c r="AR73" s="2" t="s">
        <v>124</v>
      </c>
      <c r="AS73" s="2" t="s">
        <v>870</v>
      </c>
      <c r="AT73" s="2" t="s">
        <v>125</v>
      </c>
      <c r="AU73" s="2"/>
      <c r="AV73" s="2"/>
      <c r="AW73" s="2" t="s">
        <v>882</v>
      </c>
    </row>
    <row r="74" spans="1:49" ht="42.95" customHeight="1">
      <c r="A74" s="12" t="s">
        <v>883</v>
      </c>
      <c r="B74" s="9" t="s">
        <v>48</v>
      </c>
      <c r="C74" s="12" t="s">
        <v>46</v>
      </c>
      <c r="D74" s="12" t="s">
        <v>440</v>
      </c>
      <c r="E74" s="12" t="s">
        <v>42</v>
      </c>
      <c r="F74" s="12" t="s">
        <v>92</v>
      </c>
      <c r="G74" s="12" t="s">
        <v>672</v>
      </c>
      <c r="H74" s="12" t="s">
        <v>884</v>
      </c>
      <c r="I74" s="12" t="s">
        <v>672</v>
      </c>
      <c r="J74" s="12" t="s">
        <v>873</v>
      </c>
      <c r="K74" s="12" t="s">
        <v>686</v>
      </c>
      <c r="L74" s="12" t="s">
        <v>861</v>
      </c>
      <c r="M74" s="13" t="s">
        <v>885</v>
      </c>
      <c r="N74" s="12" t="s">
        <v>676</v>
      </c>
      <c r="O74" s="12" t="s">
        <v>100</v>
      </c>
      <c r="P74" s="12" t="s">
        <v>886</v>
      </c>
      <c r="Q74" s="12"/>
      <c r="R74" s="12"/>
      <c r="S74" s="12" t="s">
        <v>134</v>
      </c>
      <c r="T74" s="12" t="s">
        <v>105</v>
      </c>
      <c r="U74" s="12" t="s">
        <v>166</v>
      </c>
      <c r="V74" s="12"/>
      <c r="W74" s="12"/>
      <c r="X74" s="12"/>
      <c r="Y74" s="12" t="s">
        <v>109</v>
      </c>
      <c r="Z74" s="12" t="s">
        <v>167</v>
      </c>
      <c r="AA74" s="12"/>
      <c r="AB74" s="12"/>
      <c r="AC74" s="12"/>
      <c r="AD74" s="12" t="s">
        <v>112</v>
      </c>
      <c r="AE74" s="12" t="s">
        <v>113</v>
      </c>
      <c r="AF74" s="12"/>
      <c r="AG74" s="12" t="s">
        <v>114</v>
      </c>
      <c r="AH74" s="12" t="s">
        <v>115</v>
      </c>
      <c r="AI74" s="12" t="s">
        <v>887</v>
      </c>
      <c r="AJ74" s="12" t="s">
        <v>888</v>
      </c>
      <c r="AK74" s="12" t="s">
        <v>828</v>
      </c>
      <c r="AL74" s="12" t="s">
        <v>267</v>
      </c>
      <c r="AM74" s="12" t="s">
        <v>682</v>
      </c>
      <c r="AN74" s="12" t="s">
        <v>121</v>
      </c>
      <c r="AO74" s="12" t="s">
        <v>676</v>
      </c>
      <c r="AP74" s="12" t="s">
        <v>122</v>
      </c>
      <c r="AQ74" s="12" t="s">
        <v>123</v>
      </c>
      <c r="AR74" s="12" t="s">
        <v>124</v>
      </c>
      <c r="AS74" s="12" t="s">
        <v>870</v>
      </c>
      <c r="AT74" s="12" t="s">
        <v>125</v>
      </c>
      <c r="AU74" s="12"/>
      <c r="AV74" s="12"/>
      <c r="AW74" s="12" t="s">
        <v>155</v>
      </c>
    </row>
    <row r="75" spans="1:49" ht="42.95" customHeight="1">
      <c r="A75" s="2" t="s">
        <v>889</v>
      </c>
      <c r="B75" s="9" t="s">
        <v>48</v>
      </c>
      <c r="C75" s="2" t="s">
        <v>46</v>
      </c>
      <c r="D75" s="2" t="s">
        <v>440</v>
      </c>
      <c r="E75" s="2" t="s">
        <v>42</v>
      </c>
      <c r="F75" s="2" t="s">
        <v>92</v>
      </c>
      <c r="G75" s="2" t="s">
        <v>692</v>
      </c>
      <c r="H75" s="2" t="s">
        <v>890</v>
      </c>
      <c r="I75" s="2" t="s">
        <v>692</v>
      </c>
      <c r="J75" s="2" t="s">
        <v>873</v>
      </c>
      <c r="K75" s="2" t="s">
        <v>891</v>
      </c>
      <c r="L75" s="2" t="s">
        <v>861</v>
      </c>
      <c r="M75" s="3" t="s">
        <v>892</v>
      </c>
      <c r="N75" s="2" t="s">
        <v>337</v>
      </c>
      <c r="O75" s="2" t="s">
        <v>100</v>
      </c>
      <c r="P75" s="2"/>
      <c r="Q75" s="2"/>
      <c r="R75" s="2"/>
      <c r="S75" s="2" t="s">
        <v>134</v>
      </c>
      <c r="T75" s="2" t="s">
        <v>105</v>
      </c>
      <c r="U75" s="2" t="s">
        <v>166</v>
      </c>
      <c r="V75" s="2"/>
      <c r="W75" s="2"/>
      <c r="X75" s="2"/>
      <c r="Y75" s="2" t="s">
        <v>109</v>
      </c>
      <c r="Z75" s="2" t="s">
        <v>167</v>
      </c>
      <c r="AA75" s="2"/>
      <c r="AB75" s="2"/>
      <c r="AC75" s="2"/>
      <c r="AD75" s="2" t="s">
        <v>112</v>
      </c>
      <c r="AE75" s="2" t="s">
        <v>113</v>
      </c>
      <c r="AF75" s="2"/>
      <c r="AG75" s="2" t="s">
        <v>114</v>
      </c>
      <c r="AH75" s="2" t="s">
        <v>115</v>
      </c>
      <c r="AI75" s="2" t="s">
        <v>893</v>
      </c>
      <c r="AJ75" s="2" t="s">
        <v>894</v>
      </c>
      <c r="AK75" s="2" t="s">
        <v>895</v>
      </c>
      <c r="AL75" s="2" t="s">
        <v>267</v>
      </c>
      <c r="AM75" s="2" t="s">
        <v>682</v>
      </c>
      <c r="AN75" s="2" t="s">
        <v>121</v>
      </c>
      <c r="AO75" s="2" t="s">
        <v>337</v>
      </c>
      <c r="AP75" s="2" t="s">
        <v>122</v>
      </c>
      <c r="AQ75" s="2" t="s">
        <v>123</v>
      </c>
      <c r="AR75" s="2" t="s">
        <v>124</v>
      </c>
      <c r="AS75" s="2" t="s">
        <v>870</v>
      </c>
      <c r="AT75" s="2" t="s">
        <v>125</v>
      </c>
      <c r="AU75" s="2"/>
      <c r="AV75" s="2"/>
      <c r="AW75" s="2" t="s">
        <v>155</v>
      </c>
    </row>
    <row r="76" spans="1:49" ht="42.95" customHeight="1">
      <c r="A76" s="12" t="s">
        <v>896</v>
      </c>
      <c r="B76" s="9" t="s">
        <v>48</v>
      </c>
      <c r="C76" s="12" t="s">
        <v>46</v>
      </c>
      <c r="D76" s="12" t="s">
        <v>440</v>
      </c>
      <c r="E76" s="12" t="s">
        <v>42</v>
      </c>
      <c r="F76" s="12" t="s">
        <v>92</v>
      </c>
      <c r="G76" s="12" t="s">
        <v>659</v>
      </c>
      <c r="H76" s="12" t="s">
        <v>897</v>
      </c>
      <c r="I76" s="12" t="s">
        <v>898</v>
      </c>
      <c r="J76" s="12" t="s">
        <v>899</v>
      </c>
      <c r="K76" s="12" t="s">
        <v>662</v>
      </c>
      <c r="L76" s="12" t="s">
        <v>861</v>
      </c>
      <c r="M76" s="13" t="s">
        <v>900</v>
      </c>
      <c r="N76" s="12" t="s">
        <v>901</v>
      </c>
      <c r="O76" s="12" t="s">
        <v>100</v>
      </c>
      <c r="P76" s="12" t="s">
        <v>902</v>
      </c>
      <c r="Q76" s="12"/>
      <c r="R76" s="12"/>
      <c r="S76" s="12" t="s">
        <v>134</v>
      </c>
      <c r="T76" s="12" t="s">
        <v>105</v>
      </c>
      <c r="U76" s="12" t="s">
        <v>166</v>
      </c>
      <c r="V76" s="12"/>
      <c r="W76" s="12"/>
      <c r="X76" s="12"/>
      <c r="Y76" s="12" t="s">
        <v>109</v>
      </c>
      <c r="Z76" s="12" t="s">
        <v>167</v>
      </c>
      <c r="AA76" s="12" t="s">
        <v>212</v>
      </c>
      <c r="AB76" s="12"/>
      <c r="AC76" s="12"/>
      <c r="AD76" s="12" t="s">
        <v>112</v>
      </c>
      <c r="AE76" s="12" t="s">
        <v>113</v>
      </c>
      <c r="AF76" s="12"/>
      <c r="AG76" s="12" t="s">
        <v>114</v>
      </c>
      <c r="AH76" s="12" t="s">
        <v>115</v>
      </c>
      <c r="AI76" s="12" t="s">
        <v>903</v>
      </c>
      <c r="AJ76" s="12" t="s">
        <v>904</v>
      </c>
      <c r="AK76" s="12" t="s">
        <v>905</v>
      </c>
      <c r="AL76" s="12" t="s">
        <v>119</v>
      </c>
      <c r="AM76" s="12" t="s">
        <v>682</v>
      </c>
      <c r="AN76" s="12" t="s">
        <v>121</v>
      </c>
      <c r="AO76" s="12" t="s">
        <v>901</v>
      </c>
      <c r="AP76" s="12" t="s">
        <v>122</v>
      </c>
      <c r="AQ76" s="12" t="s">
        <v>123</v>
      </c>
      <c r="AR76" s="12" t="s">
        <v>124</v>
      </c>
      <c r="AS76" s="12" t="s">
        <v>870</v>
      </c>
      <c r="AT76" s="12" t="s">
        <v>125</v>
      </c>
      <c r="AU76" s="12"/>
      <c r="AV76" s="12"/>
      <c r="AW76" s="12" t="s">
        <v>155</v>
      </c>
    </row>
    <row r="77" spans="1:49" ht="42.95" customHeight="1">
      <c r="A77" s="2" t="s">
        <v>906</v>
      </c>
      <c r="B77" s="9" t="s">
        <v>48</v>
      </c>
      <c r="C77" s="2" t="s">
        <v>46</v>
      </c>
      <c r="D77" s="2" t="s">
        <v>440</v>
      </c>
      <c r="E77" s="2" t="s">
        <v>42</v>
      </c>
      <c r="F77" s="2" t="s">
        <v>92</v>
      </c>
      <c r="G77" s="2" t="s">
        <v>858</v>
      </c>
      <c r="H77" s="2" t="s">
        <v>907</v>
      </c>
      <c r="I77" s="2" t="s">
        <v>860</v>
      </c>
      <c r="J77" s="2" t="s">
        <v>160</v>
      </c>
      <c r="K77" s="2" t="s">
        <v>908</v>
      </c>
      <c r="L77" s="2" t="s">
        <v>861</v>
      </c>
      <c r="M77" s="3" t="s">
        <v>909</v>
      </c>
      <c r="N77" s="2" t="s">
        <v>910</v>
      </c>
      <c r="O77" s="2" t="s">
        <v>100</v>
      </c>
      <c r="P77" s="2" t="s">
        <v>911</v>
      </c>
      <c r="Q77" s="2"/>
      <c r="R77" s="2"/>
      <c r="S77" s="2" t="s">
        <v>134</v>
      </c>
      <c r="T77" s="2" t="s">
        <v>105</v>
      </c>
      <c r="U77" s="2" t="s">
        <v>106</v>
      </c>
      <c r="V77" s="2"/>
      <c r="W77" s="2"/>
      <c r="X77" s="2"/>
      <c r="Y77" s="2" t="s">
        <v>109</v>
      </c>
      <c r="Z77" s="2" t="s">
        <v>167</v>
      </c>
      <c r="AA77" s="2"/>
      <c r="AB77" s="2"/>
      <c r="AC77" s="2"/>
      <c r="AD77" s="2" t="s">
        <v>112</v>
      </c>
      <c r="AE77" s="2" t="s">
        <v>113</v>
      </c>
      <c r="AF77" s="2"/>
      <c r="AG77" s="2" t="s">
        <v>292</v>
      </c>
      <c r="AH77" s="2" t="s">
        <v>115</v>
      </c>
      <c r="AI77" s="2" t="s">
        <v>912</v>
      </c>
      <c r="AJ77" s="2" t="s">
        <v>913</v>
      </c>
      <c r="AK77" s="2" t="s">
        <v>914</v>
      </c>
      <c r="AL77" s="2" t="s">
        <v>267</v>
      </c>
      <c r="AM77" s="2" t="s">
        <v>682</v>
      </c>
      <c r="AN77" s="2" t="s">
        <v>121</v>
      </c>
      <c r="AO77" s="2" t="s">
        <v>910</v>
      </c>
      <c r="AP77" s="2" t="s">
        <v>915</v>
      </c>
      <c r="AQ77" s="2" t="s">
        <v>123</v>
      </c>
      <c r="AR77" s="2" t="s">
        <v>124</v>
      </c>
      <c r="AS77" s="2" t="s">
        <v>870</v>
      </c>
      <c r="AT77" s="2" t="s">
        <v>125</v>
      </c>
      <c r="AU77" s="2" t="s">
        <v>916</v>
      </c>
      <c r="AV77" s="2"/>
      <c r="AW77" s="2" t="s">
        <v>155</v>
      </c>
    </row>
    <row r="78" spans="1:49" ht="42.95" customHeight="1">
      <c r="A78" s="12" t="s">
        <v>917</v>
      </c>
      <c r="B78" s="9" t="s">
        <v>48</v>
      </c>
      <c r="C78" s="12" t="s">
        <v>46</v>
      </c>
      <c r="D78" s="12" t="s">
        <v>440</v>
      </c>
      <c r="E78" s="12" t="s">
        <v>42</v>
      </c>
      <c r="F78" s="12" t="s">
        <v>172</v>
      </c>
      <c r="G78" s="12" t="s">
        <v>700</v>
      </c>
      <c r="H78" s="12" t="s">
        <v>918</v>
      </c>
      <c r="I78" s="12" t="s">
        <v>919</v>
      </c>
      <c r="J78" s="12" t="s">
        <v>160</v>
      </c>
      <c r="K78" s="12" t="s">
        <v>920</v>
      </c>
      <c r="L78" s="12" t="s">
        <v>861</v>
      </c>
      <c r="M78" s="13" t="s">
        <v>921</v>
      </c>
      <c r="N78" s="12" t="s">
        <v>922</v>
      </c>
      <c r="O78" s="12" t="s">
        <v>100</v>
      </c>
      <c r="P78" s="12" t="s">
        <v>923</v>
      </c>
      <c r="Q78" s="12" t="s">
        <v>924</v>
      </c>
      <c r="R78" s="12" t="s">
        <v>925</v>
      </c>
      <c r="S78" s="12" t="s">
        <v>351</v>
      </c>
      <c r="T78" s="12" t="s">
        <v>105</v>
      </c>
      <c r="U78" s="12" t="s">
        <v>166</v>
      </c>
      <c r="V78" s="12" t="s">
        <v>709</v>
      </c>
      <c r="W78" s="12" t="s">
        <v>183</v>
      </c>
      <c r="X78" s="12" t="s">
        <v>710</v>
      </c>
      <c r="Y78" s="12" t="s">
        <v>109</v>
      </c>
      <c r="Z78" s="12" t="s">
        <v>263</v>
      </c>
      <c r="AA78" s="12"/>
      <c r="AB78" s="12"/>
      <c r="AC78" s="12"/>
      <c r="AD78" s="12" t="s">
        <v>112</v>
      </c>
      <c r="AE78" s="12" t="s">
        <v>113</v>
      </c>
      <c r="AF78" s="12"/>
      <c r="AG78" s="12" t="s">
        <v>292</v>
      </c>
      <c r="AH78" s="12" t="s">
        <v>115</v>
      </c>
      <c r="AI78" s="12" t="s">
        <v>926</v>
      </c>
      <c r="AJ78" s="12" t="s">
        <v>927</v>
      </c>
      <c r="AK78" s="12" t="s">
        <v>928</v>
      </c>
      <c r="AL78" s="12" t="s">
        <v>267</v>
      </c>
      <c r="AM78" s="12" t="s">
        <v>153</v>
      </c>
      <c r="AN78" s="12" t="s">
        <v>121</v>
      </c>
      <c r="AO78" s="12" t="s">
        <v>922</v>
      </c>
      <c r="AP78" s="12" t="s">
        <v>929</v>
      </c>
      <c r="AQ78" s="12" t="s">
        <v>123</v>
      </c>
      <c r="AR78" s="12" t="s">
        <v>715</v>
      </c>
      <c r="AS78" s="12" t="s">
        <v>870</v>
      </c>
      <c r="AT78" s="12" t="s">
        <v>125</v>
      </c>
      <c r="AU78" s="12" t="s">
        <v>930</v>
      </c>
      <c r="AV78" s="12"/>
      <c r="AW78" s="12" t="s">
        <v>931</v>
      </c>
    </row>
    <row r="79" spans="1:49" ht="42.95" customHeight="1">
      <c r="A79" s="2" t="s">
        <v>932</v>
      </c>
      <c r="B79" s="9" t="s">
        <v>48</v>
      </c>
      <c r="C79" s="2" t="s">
        <v>46</v>
      </c>
      <c r="D79" s="2" t="s">
        <v>440</v>
      </c>
      <c r="E79" s="2" t="s">
        <v>42</v>
      </c>
      <c r="F79" s="2" t="s">
        <v>172</v>
      </c>
      <c r="G79" s="2" t="s">
        <v>933</v>
      </c>
      <c r="H79" s="2" t="s">
        <v>934</v>
      </c>
      <c r="I79" s="2" t="s">
        <v>721</v>
      </c>
      <c r="J79" s="2" t="s">
        <v>160</v>
      </c>
      <c r="K79" s="2" t="s">
        <v>722</v>
      </c>
      <c r="L79" s="2" t="s">
        <v>861</v>
      </c>
      <c r="M79" s="3" t="s">
        <v>935</v>
      </c>
      <c r="N79" s="2"/>
      <c r="O79" s="2" t="s">
        <v>100</v>
      </c>
      <c r="P79" s="2" t="s">
        <v>936</v>
      </c>
      <c r="Q79" s="2"/>
      <c r="R79" s="2"/>
      <c r="S79" s="2" t="s">
        <v>182</v>
      </c>
      <c r="T79" s="2" t="s">
        <v>105</v>
      </c>
      <c r="U79" s="2" t="s">
        <v>106</v>
      </c>
      <c r="V79" s="2"/>
      <c r="W79" s="2" t="s">
        <v>183</v>
      </c>
      <c r="X79" s="2"/>
      <c r="Y79" s="2" t="s">
        <v>109</v>
      </c>
      <c r="Z79" s="2" t="s">
        <v>167</v>
      </c>
      <c r="AA79" s="2"/>
      <c r="AB79" s="2"/>
      <c r="AC79" s="3" t="s">
        <v>937</v>
      </c>
      <c r="AD79" s="2" t="s">
        <v>112</v>
      </c>
      <c r="AE79" s="2" t="s">
        <v>113</v>
      </c>
      <c r="AF79" s="2"/>
      <c r="AG79" s="2" t="s">
        <v>292</v>
      </c>
      <c r="AH79" s="2" t="s">
        <v>115</v>
      </c>
      <c r="AI79" s="2" t="s">
        <v>938</v>
      </c>
      <c r="AJ79" s="2" t="s">
        <v>939</v>
      </c>
      <c r="AK79" s="2" t="s">
        <v>940</v>
      </c>
      <c r="AL79" s="2" t="s">
        <v>267</v>
      </c>
      <c r="AM79" s="2" t="s">
        <v>682</v>
      </c>
      <c r="AN79" s="2" t="s">
        <v>121</v>
      </c>
      <c r="AO79" s="2"/>
      <c r="AP79" s="2" t="s">
        <v>122</v>
      </c>
      <c r="AQ79" s="2" t="s">
        <v>123</v>
      </c>
      <c r="AR79" s="2" t="s">
        <v>715</v>
      </c>
      <c r="AS79" s="2" t="s">
        <v>870</v>
      </c>
      <c r="AT79" s="2" t="s">
        <v>125</v>
      </c>
      <c r="AU79" s="2"/>
      <c r="AV79" s="2"/>
      <c r="AW79" s="2" t="s">
        <v>155</v>
      </c>
    </row>
    <row r="80" spans="1:49" ht="42.95" customHeight="1">
      <c r="A80" s="12" t="s">
        <v>941</v>
      </c>
      <c r="B80" s="9" t="s">
        <v>48</v>
      </c>
      <c r="C80" s="12" t="s">
        <v>46</v>
      </c>
      <c r="D80" s="12" t="s">
        <v>440</v>
      </c>
      <c r="E80" s="12" t="s">
        <v>42</v>
      </c>
      <c r="F80" s="12" t="s">
        <v>172</v>
      </c>
      <c r="G80" s="12" t="s">
        <v>942</v>
      </c>
      <c r="H80" s="12" t="s">
        <v>943</v>
      </c>
      <c r="I80" s="12" t="s">
        <v>919</v>
      </c>
      <c r="J80" s="12" t="s">
        <v>160</v>
      </c>
      <c r="K80" s="12" t="s">
        <v>920</v>
      </c>
      <c r="L80" s="12" t="s">
        <v>861</v>
      </c>
      <c r="M80" s="13" t="s">
        <v>944</v>
      </c>
      <c r="N80" s="12" t="s">
        <v>794</v>
      </c>
      <c r="O80" s="12" t="s">
        <v>100</v>
      </c>
      <c r="P80" s="12" t="s">
        <v>945</v>
      </c>
      <c r="Q80" s="12"/>
      <c r="R80" s="12"/>
      <c r="S80" s="12" t="s">
        <v>182</v>
      </c>
      <c r="T80" s="12" t="s">
        <v>105</v>
      </c>
      <c r="U80" s="12" t="s">
        <v>166</v>
      </c>
      <c r="V80" s="12"/>
      <c r="W80" s="12"/>
      <c r="X80" s="12"/>
      <c r="Y80" s="12" t="s">
        <v>109</v>
      </c>
      <c r="Z80" s="12" t="s">
        <v>167</v>
      </c>
      <c r="AA80" s="12" t="s">
        <v>92</v>
      </c>
      <c r="AB80" s="12"/>
      <c r="AC80" s="12"/>
      <c r="AD80" s="12" t="s">
        <v>112</v>
      </c>
      <c r="AE80" s="12" t="s">
        <v>113</v>
      </c>
      <c r="AF80" s="12"/>
      <c r="AG80" s="12" t="s">
        <v>292</v>
      </c>
      <c r="AH80" s="12" t="s">
        <v>115</v>
      </c>
      <c r="AI80" s="12" t="s">
        <v>946</v>
      </c>
      <c r="AJ80" s="12" t="s">
        <v>947</v>
      </c>
      <c r="AK80" s="12" t="s">
        <v>948</v>
      </c>
      <c r="AL80" s="12" t="s">
        <v>267</v>
      </c>
      <c r="AM80" s="12" t="s">
        <v>682</v>
      </c>
      <c r="AN80" s="12" t="s">
        <v>121</v>
      </c>
      <c r="AO80" s="12" t="s">
        <v>794</v>
      </c>
      <c r="AP80" s="12" t="s">
        <v>122</v>
      </c>
      <c r="AQ80" s="12" t="s">
        <v>123</v>
      </c>
      <c r="AR80" s="12" t="s">
        <v>715</v>
      </c>
      <c r="AS80" s="12" t="s">
        <v>870</v>
      </c>
      <c r="AT80" s="12" t="s">
        <v>125</v>
      </c>
      <c r="AU80" s="12"/>
      <c r="AV80" s="12"/>
      <c r="AW80" s="12" t="s">
        <v>155</v>
      </c>
    </row>
    <row r="81" spans="1:49" ht="42.95" customHeight="1">
      <c r="A81" s="2" t="s">
        <v>949</v>
      </c>
      <c r="B81" s="9" t="s">
        <v>48</v>
      </c>
      <c r="C81" s="2" t="s">
        <v>46</v>
      </c>
      <c r="D81" s="2" t="s">
        <v>440</v>
      </c>
      <c r="E81" s="2" t="s">
        <v>42</v>
      </c>
      <c r="F81" s="2" t="s">
        <v>199</v>
      </c>
      <c r="G81" s="2" t="s">
        <v>386</v>
      </c>
      <c r="H81" s="2" t="s">
        <v>950</v>
      </c>
      <c r="I81" s="2" t="s">
        <v>760</v>
      </c>
      <c r="J81" s="2" t="s">
        <v>160</v>
      </c>
      <c r="K81" s="2" t="s">
        <v>722</v>
      </c>
      <c r="L81" s="2" t="s">
        <v>861</v>
      </c>
      <c r="M81" s="3" t="s">
        <v>951</v>
      </c>
      <c r="N81" s="2" t="s">
        <v>952</v>
      </c>
      <c r="O81" s="2" t="s">
        <v>100</v>
      </c>
      <c r="P81" s="2" t="s">
        <v>953</v>
      </c>
      <c r="Q81" s="2" t="s">
        <v>954</v>
      </c>
      <c r="R81" s="2" t="s">
        <v>955</v>
      </c>
      <c r="S81" s="2" t="s">
        <v>384</v>
      </c>
      <c r="T81" s="2" t="s">
        <v>105</v>
      </c>
      <c r="U81" s="2" t="s">
        <v>106</v>
      </c>
      <c r="V81" s="2" t="s">
        <v>709</v>
      </c>
      <c r="W81" s="2" t="s">
        <v>512</v>
      </c>
      <c r="X81" s="2" t="s">
        <v>386</v>
      </c>
      <c r="Y81" s="2" t="s">
        <v>109</v>
      </c>
      <c r="Z81" s="2" t="s">
        <v>263</v>
      </c>
      <c r="AA81" s="2" t="s">
        <v>212</v>
      </c>
      <c r="AB81" s="2"/>
      <c r="AC81" s="3" t="s">
        <v>956</v>
      </c>
      <c r="AD81" s="2" t="s">
        <v>112</v>
      </c>
      <c r="AE81" s="2" t="s">
        <v>113</v>
      </c>
      <c r="AF81" s="2"/>
      <c r="AG81" s="2" t="s">
        <v>292</v>
      </c>
      <c r="AH81" s="2" t="s">
        <v>115</v>
      </c>
      <c r="AI81" s="2" t="s">
        <v>957</v>
      </c>
      <c r="AJ81" s="2" t="s">
        <v>958</v>
      </c>
      <c r="AK81" s="2" t="s">
        <v>959</v>
      </c>
      <c r="AL81" s="2" t="s">
        <v>267</v>
      </c>
      <c r="AM81" s="2" t="s">
        <v>153</v>
      </c>
      <c r="AN81" s="2" t="s">
        <v>121</v>
      </c>
      <c r="AO81" s="2" t="s">
        <v>952</v>
      </c>
      <c r="AP81" s="2" t="s">
        <v>122</v>
      </c>
      <c r="AQ81" s="2" t="s">
        <v>123</v>
      </c>
      <c r="AR81" s="2" t="s">
        <v>715</v>
      </c>
      <c r="AS81" s="2" t="s">
        <v>870</v>
      </c>
      <c r="AT81" s="2" t="s">
        <v>125</v>
      </c>
      <c r="AU81" s="2" t="s">
        <v>960</v>
      </c>
      <c r="AV81" s="2"/>
      <c r="AW81" s="2" t="s">
        <v>961</v>
      </c>
    </row>
    <row r="82" spans="1:49" ht="42.95" customHeight="1">
      <c r="A82" s="12" t="s">
        <v>962</v>
      </c>
      <c r="B82" s="9" t="s">
        <v>48</v>
      </c>
      <c r="C82" s="12" t="s">
        <v>46</v>
      </c>
      <c r="D82" s="12" t="s">
        <v>440</v>
      </c>
      <c r="E82" s="12" t="s">
        <v>42</v>
      </c>
      <c r="F82" s="12" t="s">
        <v>199</v>
      </c>
      <c r="G82" s="12" t="s">
        <v>963</v>
      </c>
      <c r="H82" s="12" t="s">
        <v>964</v>
      </c>
      <c r="I82" s="12" t="s">
        <v>919</v>
      </c>
      <c r="J82" s="12" t="s">
        <v>160</v>
      </c>
      <c r="K82" s="12" t="s">
        <v>662</v>
      </c>
      <c r="L82" s="12" t="s">
        <v>861</v>
      </c>
      <c r="M82" s="13" t="s">
        <v>965</v>
      </c>
      <c r="N82" s="12" t="s">
        <v>696</v>
      </c>
      <c r="O82" s="12" t="s">
        <v>100</v>
      </c>
      <c r="P82" s="12" t="s">
        <v>966</v>
      </c>
      <c r="Q82" s="12"/>
      <c r="R82" s="12"/>
      <c r="S82" s="12" t="s">
        <v>182</v>
      </c>
      <c r="T82" s="12" t="s">
        <v>105</v>
      </c>
      <c r="U82" s="12" t="s">
        <v>106</v>
      </c>
      <c r="V82" s="12"/>
      <c r="W82" s="12"/>
      <c r="X82" s="12"/>
      <c r="Y82" s="12" t="s">
        <v>109</v>
      </c>
      <c r="Z82" s="12" t="s">
        <v>167</v>
      </c>
      <c r="AA82" s="12" t="s">
        <v>397</v>
      </c>
      <c r="AB82" s="12"/>
      <c r="AC82" s="12"/>
      <c r="AD82" s="12" t="s">
        <v>112</v>
      </c>
      <c r="AE82" s="12" t="s">
        <v>113</v>
      </c>
      <c r="AF82" s="12"/>
      <c r="AG82" s="12" t="s">
        <v>292</v>
      </c>
      <c r="AH82" s="12" t="s">
        <v>115</v>
      </c>
      <c r="AI82" s="12" t="s">
        <v>967</v>
      </c>
      <c r="AJ82" s="12" t="s">
        <v>968</v>
      </c>
      <c r="AK82" s="12" t="s">
        <v>969</v>
      </c>
      <c r="AL82" s="12" t="s">
        <v>267</v>
      </c>
      <c r="AM82" s="12" t="s">
        <v>682</v>
      </c>
      <c r="AN82" s="12" t="s">
        <v>121</v>
      </c>
      <c r="AO82" s="12" t="s">
        <v>696</v>
      </c>
      <c r="AP82" s="12" t="s">
        <v>122</v>
      </c>
      <c r="AQ82" s="12" t="s">
        <v>123</v>
      </c>
      <c r="AR82" s="12" t="s">
        <v>715</v>
      </c>
      <c r="AS82" s="12" t="s">
        <v>870</v>
      </c>
      <c r="AT82" s="12" t="s">
        <v>125</v>
      </c>
      <c r="AU82" s="12"/>
      <c r="AV82" s="12"/>
      <c r="AW82" s="12" t="s">
        <v>155</v>
      </c>
    </row>
    <row r="83" spans="1:49" ht="42.95" customHeight="1">
      <c r="A83" s="2" t="s">
        <v>970</v>
      </c>
      <c r="B83" s="9" t="s">
        <v>48</v>
      </c>
      <c r="C83" s="2" t="s">
        <v>46</v>
      </c>
      <c r="D83" s="2" t="s">
        <v>440</v>
      </c>
      <c r="E83" s="2" t="s">
        <v>42</v>
      </c>
      <c r="F83" s="2" t="s">
        <v>217</v>
      </c>
      <c r="G83" s="2" t="s">
        <v>402</v>
      </c>
      <c r="H83" s="2" t="s">
        <v>971</v>
      </c>
      <c r="I83" s="2" t="s">
        <v>972</v>
      </c>
      <c r="J83" s="2" t="s">
        <v>142</v>
      </c>
      <c r="K83" s="2" t="s">
        <v>368</v>
      </c>
      <c r="L83" s="2" t="s">
        <v>861</v>
      </c>
      <c r="M83" s="3" t="s">
        <v>973</v>
      </c>
      <c r="N83" s="2" t="s">
        <v>99</v>
      </c>
      <c r="O83" s="2" t="s">
        <v>100</v>
      </c>
      <c r="P83" s="2" t="s">
        <v>974</v>
      </c>
      <c r="Q83" s="2" t="s">
        <v>975</v>
      </c>
      <c r="R83" s="2" t="s">
        <v>976</v>
      </c>
      <c r="S83" s="2" t="s">
        <v>384</v>
      </c>
      <c r="T83" s="2" t="s">
        <v>105</v>
      </c>
      <c r="U83" s="2" t="s">
        <v>166</v>
      </c>
      <c r="V83" s="2" t="s">
        <v>709</v>
      </c>
      <c r="W83" s="2" t="s">
        <v>532</v>
      </c>
      <c r="X83" s="2" t="s">
        <v>977</v>
      </c>
      <c r="Y83" s="2" t="s">
        <v>109</v>
      </c>
      <c r="Z83" s="2" t="s">
        <v>263</v>
      </c>
      <c r="AA83" s="2"/>
      <c r="AB83" s="2"/>
      <c r="AC83" s="2"/>
      <c r="AD83" s="2" t="s">
        <v>112</v>
      </c>
      <c r="AE83" s="2" t="s">
        <v>113</v>
      </c>
      <c r="AF83" s="2"/>
      <c r="AG83" s="2" t="s">
        <v>114</v>
      </c>
      <c r="AH83" s="2" t="s">
        <v>115</v>
      </c>
      <c r="AI83" s="2" t="s">
        <v>978</v>
      </c>
      <c r="AJ83" s="2" t="s">
        <v>979</v>
      </c>
      <c r="AK83" s="2" t="s">
        <v>696</v>
      </c>
      <c r="AL83" s="2" t="s">
        <v>119</v>
      </c>
      <c r="AM83" s="2" t="s">
        <v>153</v>
      </c>
      <c r="AN83" s="2" t="s">
        <v>121</v>
      </c>
      <c r="AO83" s="2" t="s">
        <v>99</v>
      </c>
      <c r="AP83" s="2" t="s">
        <v>122</v>
      </c>
      <c r="AQ83" s="2" t="s">
        <v>123</v>
      </c>
      <c r="AR83" s="2" t="s">
        <v>715</v>
      </c>
      <c r="AS83" s="2" t="s">
        <v>870</v>
      </c>
      <c r="AT83" s="2" t="s">
        <v>125</v>
      </c>
      <c r="AU83" s="2"/>
      <c r="AV83" s="2"/>
      <c r="AW83" s="2" t="s">
        <v>980</v>
      </c>
    </row>
    <row r="84" spans="1:49" ht="42.95" customHeight="1">
      <c r="A84" s="12" t="s">
        <v>981</v>
      </c>
      <c r="B84" s="9" t="s">
        <v>48</v>
      </c>
      <c r="C84" s="12" t="s">
        <v>46</v>
      </c>
      <c r="D84" s="12" t="s">
        <v>440</v>
      </c>
      <c r="E84" s="12" t="s">
        <v>42</v>
      </c>
      <c r="F84" s="12" t="s">
        <v>217</v>
      </c>
      <c r="G84" s="12" t="s">
        <v>781</v>
      </c>
      <c r="H84" s="12" t="s">
        <v>982</v>
      </c>
      <c r="I84" s="12" t="s">
        <v>721</v>
      </c>
      <c r="J84" s="12" t="s">
        <v>160</v>
      </c>
      <c r="K84" s="12" t="s">
        <v>722</v>
      </c>
      <c r="L84" s="12" t="s">
        <v>861</v>
      </c>
      <c r="M84" s="13" t="s">
        <v>983</v>
      </c>
      <c r="N84" s="12" t="s">
        <v>984</v>
      </c>
      <c r="O84" s="12" t="s">
        <v>100</v>
      </c>
      <c r="P84" s="12"/>
      <c r="Q84" s="12"/>
      <c r="R84" s="12"/>
      <c r="S84" s="12" t="s">
        <v>182</v>
      </c>
      <c r="T84" s="12" t="s">
        <v>105</v>
      </c>
      <c r="U84" s="12" t="s">
        <v>106</v>
      </c>
      <c r="V84" s="12"/>
      <c r="W84" s="12"/>
      <c r="X84" s="12"/>
      <c r="Y84" s="12" t="s">
        <v>109</v>
      </c>
      <c r="Z84" s="12" t="s">
        <v>167</v>
      </c>
      <c r="AA84" s="12"/>
      <c r="AB84" s="12"/>
      <c r="AC84" s="13" t="s">
        <v>985</v>
      </c>
      <c r="AD84" s="12" t="s">
        <v>112</v>
      </c>
      <c r="AE84" s="12" t="s">
        <v>113</v>
      </c>
      <c r="AF84" s="12"/>
      <c r="AG84" s="12" t="s">
        <v>292</v>
      </c>
      <c r="AH84" s="12" t="s">
        <v>115</v>
      </c>
      <c r="AI84" s="12" t="s">
        <v>986</v>
      </c>
      <c r="AJ84" s="12" t="s">
        <v>958</v>
      </c>
      <c r="AK84" s="12" t="s">
        <v>987</v>
      </c>
      <c r="AL84" s="12" t="s">
        <v>267</v>
      </c>
      <c r="AM84" s="12" t="s">
        <v>682</v>
      </c>
      <c r="AN84" s="12" t="s">
        <v>121</v>
      </c>
      <c r="AO84" s="12" t="s">
        <v>984</v>
      </c>
      <c r="AP84" s="12" t="s">
        <v>122</v>
      </c>
      <c r="AQ84" s="12" t="s">
        <v>123</v>
      </c>
      <c r="AR84" s="12" t="s">
        <v>715</v>
      </c>
      <c r="AS84" s="12" t="s">
        <v>870</v>
      </c>
      <c r="AT84" s="12" t="s">
        <v>125</v>
      </c>
      <c r="AU84" s="12"/>
      <c r="AV84" s="12"/>
      <c r="AW84" s="12" t="s">
        <v>155</v>
      </c>
    </row>
    <row r="85" spans="1:49" ht="42.95" customHeight="1">
      <c r="A85" s="2" t="s">
        <v>988</v>
      </c>
      <c r="B85" s="9" t="s">
        <v>48</v>
      </c>
      <c r="C85" s="2" t="s">
        <v>46</v>
      </c>
      <c r="D85" s="2" t="s">
        <v>440</v>
      </c>
      <c r="E85" s="2" t="s">
        <v>42</v>
      </c>
      <c r="F85" s="2" t="s">
        <v>217</v>
      </c>
      <c r="G85" s="2" t="s">
        <v>774</v>
      </c>
      <c r="H85" s="2" t="s">
        <v>989</v>
      </c>
      <c r="I85" s="2" t="s">
        <v>721</v>
      </c>
      <c r="J85" s="2" t="s">
        <v>990</v>
      </c>
      <c r="K85" s="2" t="s">
        <v>722</v>
      </c>
      <c r="L85" s="2" t="s">
        <v>861</v>
      </c>
      <c r="M85" s="3" t="s">
        <v>991</v>
      </c>
      <c r="N85" s="2" t="s">
        <v>992</v>
      </c>
      <c r="O85" s="2" t="s">
        <v>100</v>
      </c>
      <c r="P85" s="2"/>
      <c r="Q85" s="2"/>
      <c r="R85" s="2"/>
      <c r="S85" s="2" t="s">
        <v>182</v>
      </c>
      <c r="T85" s="2" t="s">
        <v>105</v>
      </c>
      <c r="U85" s="2" t="s">
        <v>166</v>
      </c>
      <c r="V85" s="2"/>
      <c r="W85" s="2"/>
      <c r="X85" s="2"/>
      <c r="Y85" s="2" t="s">
        <v>109</v>
      </c>
      <c r="Z85" s="2" t="s">
        <v>167</v>
      </c>
      <c r="AA85" s="2" t="s">
        <v>199</v>
      </c>
      <c r="AB85" s="2"/>
      <c r="AC85" s="2"/>
      <c r="AD85" s="2" t="s">
        <v>112</v>
      </c>
      <c r="AE85" s="2" t="s">
        <v>113</v>
      </c>
      <c r="AF85" s="2"/>
      <c r="AG85" s="2" t="s">
        <v>114</v>
      </c>
      <c r="AH85" s="2" t="s">
        <v>115</v>
      </c>
      <c r="AI85" s="2" t="s">
        <v>993</v>
      </c>
      <c r="AJ85" s="2" t="s">
        <v>994</v>
      </c>
      <c r="AK85" s="2" t="s">
        <v>995</v>
      </c>
      <c r="AL85" s="2" t="s">
        <v>119</v>
      </c>
      <c r="AM85" s="2" t="s">
        <v>682</v>
      </c>
      <c r="AN85" s="2" t="s">
        <v>121</v>
      </c>
      <c r="AO85" s="2" t="s">
        <v>992</v>
      </c>
      <c r="AP85" s="2" t="s">
        <v>122</v>
      </c>
      <c r="AQ85" s="2" t="s">
        <v>123</v>
      </c>
      <c r="AR85" s="2" t="s">
        <v>715</v>
      </c>
      <c r="AS85" s="2" t="s">
        <v>870</v>
      </c>
      <c r="AT85" s="2" t="s">
        <v>125</v>
      </c>
      <c r="AU85" s="2"/>
      <c r="AV85" s="2"/>
      <c r="AW85" s="2" t="s">
        <v>155</v>
      </c>
    </row>
    <row r="86" spans="1:49" ht="42.95" customHeight="1">
      <c r="A86" s="12" t="s">
        <v>996</v>
      </c>
      <c r="B86" s="9" t="s">
        <v>48</v>
      </c>
      <c r="C86" s="12" t="s">
        <v>46</v>
      </c>
      <c r="D86" s="12" t="s">
        <v>440</v>
      </c>
      <c r="E86" s="12" t="s">
        <v>42</v>
      </c>
      <c r="F86" s="12" t="s">
        <v>212</v>
      </c>
      <c r="G86" s="12" t="s">
        <v>997</v>
      </c>
      <c r="H86" s="12" t="s">
        <v>998</v>
      </c>
      <c r="I86" s="12" t="s">
        <v>999</v>
      </c>
      <c r="J86" s="12" t="s">
        <v>142</v>
      </c>
      <c r="K86" s="12" t="s">
        <v>1000</v>
      </c>
      <c r="L86" s="12" t="s">
        <v>861</v>
      </c>
      <c r="M86" s="13" t="s">
        <v>1001</v>
      </c>
      <c r="N86" s="12" t="s">
        <v>1002</v>
      </c>
      <c r="O86" s="12" t="s">
        <v>100</v>
      </c>
      <c r="P86" s="12" t="s">
        <v>1003</v>
      </c>
      <c r="Q86" s="12" t="s">
        <v>1004</v>
      </c>
      <c r="R86" s="12" t="s">
        <v>1005</v>
      </c>
      <c r="S86" s="12" t="s">
        <v>384</v>
      </c>
      <c r="T86" s="12" t="s">
        <v>105</v>
      </c>
      <c r="U86" s="12" t="s">
        <v>166</v>
      </c>
      <c r="V86" s="12" t="s">
        <v>709</v>
      </c>
      <c r="W86" s="12" t="s">
        <v>199</v>
      </c>
      <c r="X86" s="12" t="s">
        <v>801</v>
      </c>
      <c r="Y86" s="12" t="s">
        <v>109</v>
      </c>
      <c r="Z86" s="12" t="s">
        <v>263</v>
      </c>
      <c r="AA86" s="12"/>
      <c r="AB86" s="12"/>
      <c r="AC86" s="12"/>
      <c r="AD86" s="12" t="s">
        <v>112</v>
      </c>
      <c r="AE86" s="12" t="s">
        <v>113</v>
      </c>
      <c r="AF86" s="12"/>
      <c r="AG86" s="12" t="s">
        <v>114</v>
      </c>
      <c r="AH86" s="12" t="s">
        <v>115</v>
      </c>
      <c r="AI86" s="12" t="s">
        <v>1006</v>
      </c>
      <c r="AJ86" s="12" t="s">
        <v>1007</v>
      </c>
      <c r="AK86" s="12" t="s">
        <v>1008</v>
      </c>
      <c r="AL86" s="12" t="s">
        <v>119</v>
      </c>
      <c r="AM86" s="12" t="s">
        <v>153</v>
      </c>
      <c r="AN86" s="12" t="s">
        <v>121</v>
      </c>
      <c r="AO86" s="12" t="s">
        <v>1002</v>
      </c>
      <c r="AP86" s="12" t="s">
        <v>122</v>
      </c>
      <c r="AQ86" s="12" t="s">
        <v>123</v>
      </c>
      <c r="AR86" s="12" t="s">
        <v>124</v>
      </c>
      <c r="AS86" s="12" t="s">
        <v>870</v>
      </c>
      <c r="AT86" s="12" t="s">
        <v>125</v>
      </c>
      <c r="AU86" s="12"/>
      <c r="AV86" s="12"/>
      <c r="AW86" s="12" t="s">
        <v>1009</v>
      </c>
    </row>
    <row r="87" spans="1:49" ht="42.95" customHeight="1">
      <c r="A87" s="2" t="s">
        <v>1010</v>
      </c>
      <c r="B87" s="9" t="s">
        <v>48</v>
      </c>
      <c r="C87" s="2" t="s">
        <v>46</v>
      </c>
      <c r="D87" s="2" t="s">
        <v>440</v>
      </c>
      <c r="E87" s="2" t="s">
        <v>42</v>
      </c>
      <c r="F87" s="2" t="s">
        <v>212</v>
      </c>
      <c r="G87" s="2" t="s">
        <v>816</v>
      </c>
      <c r="H87" s="2" t="s">
        <v>1011</v>
      </c>
      <c r="I87" s="2" t="s">
        <v>816</v>
      </c>
      <c r="J87" s="2" t="s">
        <v>160</v>
      </c>
      <c r="K87" s="2" t="s">
        <v>817</v>
      </c>
      <c r="L87" s="2" t="s">
        <v>861</v>
      </c>
      <c r="M87" s="3" t="s">
        <v>1012</v>
      </c>
      <c r="N87" s="2" t="s">
        <v>676</v>
      </c>
      <c r="O87" s="2" t="s">
        <v>100</v>
      </c>
      <c r="P87" s="2" t="s">
        <v>1013</v>
      </c>
      <c r="Q87" s="2"/>
      <c r="R87" s="2"/>
      <c r="S87" s="2" t="s">
        <v>182</v>
      </c>
      <c r="T87" s="2" t="s">
        <v>105</v>
      </c>
      <c r="U87" s="2" t="s">
        <v>106</v>
      </c>
      <c r="V87" s="2"/>
      <c r="W87" s="2"/>
      <c r="X87" s="2"/>
      <c r="Y87" s="2" t="s">
        <v>109</v>
      </c>
      <c r="Z87" s="2" t="s">
        <v>167</v>
      </c>
      <c r="AA87" s="2"/>
      <c r="AB87" s="2"/>
      <c r="AC87" s="2"/>
      <c r="AD87" s="2" t="s">
        <v>112</v>
      </c>
      <c r="AE87" s="2" t="s">
        <v>113</v>
      </c>
      <c r="AF87" s="2"/>
      <c r="AG87" s="2" t="s">
        <v>292</v>
      </c>
      <c r="AH87" s="2" t="s">
        <v>115</v>
      </c>
      <c r="AI87" s="2" t="s">
        <v>1014</v>
      </c>
      <c r="AJ87" s="2" t="s">
        <v>1015</v>
      </c>
      <c r="AK87" s="2" t="s">
        <v>1016</v>
      </c>
      <c r="AL87" s="2" t="s">
        <v>267</v>
      </c>
      <c r="AM87" s="2" t="s">
        <v>682</v>
      </c>
      <c r="AN87" s="2" t="s">
        <v>121</v>
      </c>
      <c r="AO87" s="2" t="s">
        <v>676</v>
      </c>
      <c r="AP87" s="2" t="s">
        <v>122</v>
      </c>
      <c r="AQ87" s="2" t="s">
        <v>123</v>
      </c>
      <c r="AR87" s="2" t="s">
        <v>124</v>
      </c>
      <c r="AS87" s="2" t="s">
        <v>870</v>
      </c>
      <c r="AT87" s="2" t="s">
        <v>125</v>
      </c>
      <c r="AU87" s="2"/>
      <c r="AV87" s="2"/>
      <c r="AW87" s="2" t="s">
        <v>155</v>
      </c>
    </row>
    <row r="88" spans="1:49" ht="42.95" customHeight="1">
      <c r="A88" s="12" t="s">
        <v>1017</v>
      </c>
      <c r="B88" s="9" t="s">
        <v>48</v>
      </c>
      <c r="C88" s="12" t="s">
        <v>46</v>
      </c>
      <c r="D88" s="12" t="s">
        <v>440</v>
      </c>
      <c r="E88" s="12" t="s">
        <v>42</v>
      </c>
      <c r="F88" s="12" t="s">
        <v>212</v>
      </c>
      <c r="G88" s="12" t="s">
        <v>1018</v>
      </c>
      <c r="H88" s="12" t="s">
        <v>1019</v>
      </c>
      <c r="I88" s="12" t="s">
        <v>1020</v>
      </c>
      <c r="J88" s="12" t="s">
        <v>142</v>
      </c>
      <c r="K88" s="12" t="s">
        <v>817</v>
      </c>
      <c r="L88" s="12" t="s">
        <v>861</v>
      </c>
      <c r="M88" s="13" t="s">
        <v>1021</v>
      </c>
      <c r="N88" s="12" t="s">
        <v>337</v>
      </c>
      <c r="O88" s="12" t="s">
        <v>100</v>
      </c>
      <c r="P88" s="12" t="s">
        <v>1022</v>
      </c>
      <c r="Q88" s="12"/>
      <c r="R88" s="12"/>
      <c r="S88" s="12" t="s">
        <v>182</v>
      </c>
      <c r="T88" s="12" t="s">
        <v>105</v>
      </c>
      <c r="U88" s="12" t="s">
        <v>166</v>
      </c>
      <c r="V88" s="12"/>
      <c r="W88" s="12"/>
      <c r="X88" s="12"/>
      <c r="Y88" s="12" t="s">
        <v>109</v>
      </c>
      <c r="Z88" s="12" t="s">
        <v>167</v>
      </c>
      <c r="AA88" s="12" t="s">
        <v>92</v>
      </c>
      <c r="AB88" s="12"/>
      <c r="AC88" s="12"/>
      <c r="AD88" s="12" t="s">
        <v>112</v>
      </c>
      <c r="AE88" s="12" t="s">
        <v>113</v>
      </c>
      <c r="AF88" s="12"/>
      <c r="AG88" s="12" t="s">
        <v>114</v>
      </c>
      <c r="AH88" s="12" t="s">
        <v>115</v>
      </c>
      <c r="AI88" s="12" t="s">
        <v>1023</v>
      </c>
      <c r="AJ88" s="12" t="s">
        <v>1024</v>
      </c>
      <c r="AK88" s="12" t="s">
        <v>1025</v>
      </c>
      <c r="AL88" s="12" t="s">
        <v>119</v>
      </c>
      <c r="AM88" s="12" t="s">
        <v>682</v>
      </c>
      <c r="AN88" s="12" t="s">
        <v>121</v>
      </c>
      <c r="AO88" s="12" t="s">
        <v>337</v>
      </c>
      <c r="AP88" s="12" t="s">
        <v>122</v>
      </c>
      <c r="AQ88" s="12" t="s">
        <v>123</v>
      </c>
      <c r="AR88" s="12" t="s">
        <v>124</v>
      </c>
      <c r="AS88" s="12" t="s">
        <v>870</v>
      </c>
      <c r="AT88" s="12" t="s">
        <v>125</v>
      </c>
      <c r="AU88" s="12"/>
      <c r="AV88" s="12"/>
      <c r="AW88" s="12" t="s">
        <v>155</v>
      </c>
    </row>
    <row r="89" spans="1:49" ht="42.95" customHeight="1">
      <c r="A89" s="2" t="s">
        <v>1026</v>
      </c>
      <c r="B89" s="9" t="s">
        <v>48</v>
      </c>
      <c r="C89" s="2" t="s">
        <v>46</v>
      </c>
      <c r="D89" s="2" t="s">
        <v>440</v>
      </c>
      <c r="E89" s="2" t="s">
        <v>42</v>
      </c>
      <c r="F89" s="2" t="s">
        <v>212</v>
      </c>
      <c r="G89" s="2" t="s">
        <v>543</v>
      </c>
      <c r="H89" s="2" t="s">
        <v>1027</v>
      </c>
      <c r="I89" s="2" t="s">
        <v>1028</v>
      </c>
      <c r="J89" s="2" t="s">
        <v>160</v>
      </c>
      <c r="K89" s="2" t="s">
        <v>1029</v>
      </c>
      <c r="L89" s="2" t="s">
        <v>861</v>
      </c>
      <c r="M89" s="3" t="s">
        <v>1030</v>
      </c>
      <c r="N89" s="2" t="s">
        <v>230</v>
      </c>
      <c r="O89" s="2" t="s">
        <v>100</v>
      </c>
      <c r="P89" s="2" t="s">
        <v>1031</v>
      </c>
      <c r="Q89" s="2"/>
      <c r="R89" s="2"/>
      <c r="S89" s="2" t="s">
        <v>182</v>
      </c>
      <c r="T89" s="2" t="s">
        <v>105</v>
      </c>
      <c r="U89" s="2" t="s">
        <v>106</v>
      </c>
      <c r="V89" s="2"/>
      <c r="W89" s="2"/>
      <c r="X89" s="2"/>
      <c r="Y89" s="2" t="s">
        <v>109</v>
      </c>
      <c r="Z89" s="2" t="s">
        <v>167</v>
      </c>
      <c r="AA89" s="2" t="s">
        <v>172</v>
      </c>
      <c r="AB89" s="2"/>
      <c r="AC89" s="2"/>
      <c r="AD89" s="2" t="s">
        <v>112</v>
      </c>
      <c r="AE89" s="2" t="s">
        <v>113</v>
      </c>
      <c r="AF89" s="2"/>
      <c r="AG89" s="2" t="s">
        <v>292</v>
      </c>
      <c r="AH89" s="2" t="s">
        <v>115</v>
      </c>
      <c r="AI89" s="2" t="s">
        <v>1032</v>
      </c>
      <c r="AJ89" s="2" t="s">
        <v>1033</v>
      </c>
      <c r="AK89" s="2" t="s">
        <v>1034</v>
      </c>
      <c r="AL89" s="2" t="s">
        <v>267</v>
      </c>
      <c r="AM89" s="2" t="s">
        <v>682</v>
      </c>
      <c r="AN89" s="2" t="s">
        <v>121</v>
      </c>
      <c r="AO89" s="2" t="s">
        <v>230</v>
      </c>
      <c r="AP89" s="2" t="s">
        <v>122</v>
      </c>
      <c r="AQ89" s="2" t="s">
        <v>123</v>
      </c>
      <c r="AR89" s="2" t="s">
        <v>124</v>
      </c>
      <c r="AS89" s="2" t="s">
        <v>870</v>
      </c>
      <c r="AT89" s="2" t="s">
        <v>125</v>
      </c>
      <c r="AU89" s="2"/>
      <c r="AV89" s="2"/>
      <c r="AW89" s="2" t="s">
        <v>155</v>
      </c>
    </row>
    <row r="90" spans="1:49" ht="42.95" customHeight="1">
      <c r="A90" s="12" t="s">
        <v>1035</v>
      </c>
      <c r="B90" s="9" t="s">
        <v>48</v>
      </c>
      <c r="C90" s="12" t="s">
        <v>46</v>
      </c>
      <c r="D90" s="12" t="s">
        <v>440</v>
      </c>
      <c r="E90" s="12" t="s">
        <v>42</v>
      </c>
      <c r="F90" s="12" t="s">
        <v>212</v>
      </c>
      <c r="G90" s="12" t="s">
        <v>1036</v>
      </c>
      <c r="H90" s="12" t="s">
        <v>1037</v>
      </c>
      <c r="I90" s="12" t="s">
        <v>1038</v>
      </c>
      <c r="J90" s="12" t="s">
        <v>142</v>
      </c>
      <c r="K90" s="12" t="s">
        <v>368</v>
      </c>
      <c r="L90" s="12" t="s">
        <v>861</v>
      </c>
      <c r="M90" s="13" t="s">
        <v>1039</v>
      </c>
      <c r="N90" s="12"/>
      <c r="O90" s="12" t="s">
        <v>100</v>
      </c>
      <c r="P90" s="12"/>
      <c r="Q90" s="12"/>
      <c r="R90" s="12"/>
      <c r="S90" s="12" t="s">
        <v>182</v>
      </c>
      <c r="T90" s="12" t="s">
        <v>105</v>
      </c>
      <c r="U90" s="12" t="s">
        <v>166</v>
      </c>
      <c r="V90" s="12"/>
      <c r="W90" s="12"/>
      <c r="X90" s="12"/>
      <c r="Y90" s="12" t="s">
        <v>109</v>
      </c>
      <c r="Z90" s="12" t="s">
        <v>167</v>
      </c>
      <c r="AA90" s="12" t="s">
        <v>199</v>
      </c>
      <c r="AB90" s="12"/>
      <c r="AC90" s="12"/>
      <c r="AD90" s="12" t="s">
        <v>112</v>
      </c>
      <c r="AE90" s="12" t="s">
        <v>113</v>
      </c>
      <c r="AF90" s="12"/>
      <c r="AG90" s="12" t="s">
        <v>114</v>
      </c>
      <c r="AH90" s="12" t="s">
        <v>115</v>
      </c>
      <c r="AI90" s="12" t="s">
        <v>1040</v>
      </c>
      <c r="AJ90" s="12" t="s">
        <v>1041</v>
      </c>
      <c r="AK90" s="12" t="s">
        <v>696</v>
      </c>
      <c r="AL90" s="12" t="s">
        <v>119</v>
      </c>
      <c r="AM90" s="12" t="s">
        <v>682</v>
      </c>
      <c r="AN90" s="12" t="s">
        <v>121</v>
      </c>
      <c r="AO90" s="12"/>
      <c r="AP90" s="12" t="s">
        <v>122</v>
      </c>
      <c r="AQ90" s="12" t="s">
        <v>123</v>
      </c>
      <c r="AR90" s="12" t="s">
        <v>124</v>
      </c>
      <c r="AS90" s="12" t="s">
        <v>870</v>
      </c>
      <c r="AT90" s="12" t="s">
        <v>125</v>
      </c>
      <c r="AU90" s="12"/>
      <c r="AV90" s="12"/>
      <c r="AW90" s="12" t="s">
        <v>155</v>
      </c>
    </row>
    <row r="91" spans="1:49" ht="42.95" customHeight="1">
      <c r="A91" s="2" t="s">
        <v>1042</v>
      </c>
      <c r="B91" s="9" t="s">
        <v>48</v>
      </c>
      <c r="C91" s="2" t="s">
        <v>46</v>
      </c>
      <c r="D91" s="2" t="s">
        <v>555</v>
      </c>
      <c r="E91" s="2" t="s">
        <v>43</v>
      </c>
      <c r="F91" s="2" t="s">
        <v>92</v>
      </c>
      <c r="G91" s="2" t="s">
        <v>1043</v>
      </c>
      <c r="H91" s="2" t="s">
        <v>1044</v>
      </c>
      <c r="I91" s="2" t="s">
        <v>644</v>
      </c>
      <c r="J91" s="2" t="s">
        <v>96</v>
      </c>
      <c r="K91" s="2" t="s">
        <v>97</v>
      </c>
      <c r="L91" s="2" t="s">
        <v>1045</v>
      </c>
      <c r="M91" s="3" t="s">
        <v>1046</v>
      </c>
      <c r="N91" s="2" t="s">
        <v>99</v>
      </c>
      <c r="O91" s="2" t="s">
        <v>100</v>
      </c>
      <c r="P91" s="2" t="s">
        <v>1047</v>
      </c>
      <c r="Q91" s="2" t="s">
        <v>1048</v>
      </c>
      <c r="R91" s="2" t="s">
        <v>1049</v>
      </c>
      <c r="S91" s="2" t="s">
        <v>134</v>
      </c>
      <c r="T91" s="2" t="s">
        <v>105</v>
      </c>
      <c r="U91" s="2" t="s">
        <v>166</v>
      </c>
      <c r="V91" s="2" t="s">
        <v>650</v>
      </c>
      <c r="W91" s="2" t="s">
        <v>135</v>
      </c>
      <c r="X91" s="2" t="s">
        <v>262</v>
      </c>
      <c r="Y91" s="2" t="s">
        <v>109</v>
      </c>
      <c r="Z91" s="2" t="s">
        <v>263</v>
      </c>
      <c r="AA91" s="2"/>
      <c r="AB91" s="2"/>
      <c r="AC91" s="2"/>
      <c r="AD91" s="2" t="s">
        <v>112</v>
      </c>
      <c r="AE91" s="2" t="s">
        <v>1050</v>
      </c>
      <c r="AF91" s="2"/>
      <c r="AG91" s="2" t="s">
        <v>114</v>
      </c>
      <c r="AH91" s="2" t="s">
        <v>115</v>
      </c>
      <c r="AI91" s="2" t="s">
        <v>1051</v>
      </c>
      <c r="AJ91" s="2" t="s">
        <v>1052</v>
      </c>
      <c r="AK91" s="2" t="s">
        <v>1053</v>
      </c>
      <c r="AL91" s="2" t="s">
        <v>119</v>
      </c>
      <c r="AM91" s="2" t="s">
        <v>153</v>
      </c>
      <c r="AN91" s="2" t="s">
        <v>121</v>
      </c>
      <c r="AO91" s="2" t="s">
        <v>99</v>
      </c>
      <c r="AP91" s="2" t="s">
        <v>122</v>
      </c>
      <c r="AQ91" s="2" t="s">
        <v>123</v>
      </c>
      <c r="AR91" s="2" t="s">
        <v>124</v>
      </c>
      <c r="AS91" s="2" t="s">
        <v>1054</v>
      </c>
      <c r="AT91" s="2" t="s">
        <v>125</v>
      </c>
      <c r="AU91" s="2"/>
      <c r="AV91" s="2"/>
      <c r="AW91" s="2"/>
    </row>
    <row r="92" spans="1:49" ht="42.95" customHeight="1">
      <c r="A92" s="12" t="s">
        <v>1055</v>
      </c>
      <c r="B92" s="9" t="s">
        <v>48</v>
      </c>
      <c r="C92" s="12" t="s">
        <v>46</v>
      </c>
      <c r="D92" s="12" t="s">
        <v>555</v>
      </c>
      <c r="E92" s="12" t="s">
        <v>43</v>
      </c>
      <c r="F92" s="12" t="s">
        <v>92</v>
      </c>
      <c r="G92" s="12" t="s">
        <v>672</v>
      </c>
      <c r="H92" s="12" t="s">
        <v>1056</v>
      </c>
      <c r="I92" s="12" t="s">
        <v>1057</v>
      </c>
      <c r="J92" s="12" t="s">
        <v>96</v>
      </c>
      <c r="K92" s="12" t="s">
        <v>97</v>
      </c>
      <c r="L92" s="12" t="s">
        <v>1045</v>
      </c>
      <c r="M92" s="13" t="s">
        <v>1058</v>
      </c>
      <c r="N92" s="12" t="s">
        <v>99</v>
      </c>
      <c r="O92" s="12" t="s">
        <v>100</v>
      </c>
      <c r="P92" s="12" t="s">
        <v>1059</v>
      </c>
      <c r="Q92" s="12" t="s">
        <v>1060</v>
      </c>
      <c r="R92" s="12" t="s">
        <v>1061</v>
      </c>
      <c r="S92" s="12" t="s">
        <v>134</v>
      </c>
      <c r="T92" s="12" t="s">
        <v>105</v>
      </c>
      <c r="U92" s="12" t="s">
        <v>166</v>
      </c>
      <c r="V92" s="12" t="s">
        <v>650</v>
      </c>
      <c r="W92" s="12" t="s">
        <v>92</v>
      </c>
      <c r="X92" s="12" t="s">
        <v>1062</v>
      </c>
      <c r="Y92" s="12" t="s">
        <v>109</v>
      </c>
      <c r="Z92" s="12" t="s">
        <v>263</v>
      </c>
      <c r="AA92" s="12"/>
      <c r="AB92" s="12"/>
      <c r="AC92" s="12"/>
      <c r="AD92" s="12" t="s">
        <v>112</v>
      </c>
      <c r="AE92" s="12" t="s">
        <v>1050</v>
      </c>
      <c r="AF92" s="12"/>
      <c r="AG92" s="12" t="s">
        <v>114</v>
      </c>
      <c r="AH92" s="12" t="s">
        <v>115</v>
      </c>
      <c r="AI92" s="12" t="s">
        <v>1063</v>
      </c>
      <c r="AJ92" s="12" t="s">
        <v>1064</v>
      </c>
      <c r="AK92" s="12" t="s">
        <v>1065</v>
      </c>
      <c r="AL92" s="12" t="s">
        <v>119</v>
      </c>
      <c r="AM92" s="12" t="s">
        <v>153</v>
      </c>
      <c r="AN92" s="12" t="s">
        <v>121</v>
      </c>
      <c r="AO92" s="12" t="s">
        <v>99</v>
      </c>
      <c r="AP92" s="12" t="s">
        <v>122</v>
      </c>
      <c r="AQ92" s="12" t="s">
        <v>123</v>
      </c>
      <c r="AR92" s="12" t="s">
        <v>124</v>
      </c>
      <c r="AS92" s="12" t="s">
        <v>1054</v>
      </c>
      <c r="AT92" s="12" t="s">
        <v>125</v>
      </c>
      <c r="AU92" s="12"/>
      <c r="AV92" s="12"/>
      <c r="AW92" s="12"/>
    </row>
    <row r="93" spans="1:49" ht="42.95" customHeight="1">
      <c r="A93" s="2" t="s">
        <v>1066</v>
      </c>
      <c r="B93" s="9" t="s">
        <v>48</v>
      </c>
      <c r="C93" s="2" t="s">
        <v>46</v>
      </c>
      <c r="D93" s="2" t="s">
        <v>555</v>
      </c>
      <c r="E93" s="2" t="s">
        <v>43</v>
      </c>
      <c r="F93" s="2" t="s">
        <v>92</v>
      </c>
      <c r="G93" s="2" t="s">
        <v>672</v>
      </c>
      <c r="H93" s="2" t="s">
        <v>1067</v>
      </c>
      <c r="I93" s="2" t="s">
        <v>672</v>
      </c>
      <c r="J93" s="2" t="s">
        <v>160</v>
      </c>
      <c r="K93" s="2" t="s">
        <v>686</v>
      </c>
      <c r="L93" s="2" t="s">
        <v>1068</v>
      </c>
      <c r="M93" s="3" t="s">
        <v>1069</v>
      </c>
      <c r="N93" s="2" t="s">
        <v>476</v>
      </c>
      <c r="O93" s="2" t="s">
        <v>100</v>
      </c>
      <c r="P93" s="2"/>
      <c r="Q93" s="2"/>
      <c r="R93" s="2"/>
      <c r="S93" s="2" t="s">
        <v>134</v>
      </c>
      <c r="T93" s="2" t="s">
        <v>105</v>
      </c>
      <c r="U93" s="2" t="s">
        <v>106</v>
      </c>
      <c r="V93" s="2"/>
      <c r="W93" s="2"/>
      <c r="X93" s="2"/>
      <c r="Y93" s="2" t="s">
        <v>109</v>
      </c>
      <c r="Z93" s="2" t="s">
        <v>149</v>
      </c>
      <c r="AA93" s="2"/>
      <c r="AB93" s="2"/>
      <c r="AC93" s="3" t="s">
        <v>1046</v>
      </c>
      <c r="AD93" s="2" t="s">
        <v>112</v>
      </c>
      <c r="AE93" s="2" t="s">
        <v>113</v>
      </c>
      <c r="AF93" s="2"/>
      <c r="AG93" s="2" t="s">
        <v>292</v>
      </c>
      <c r="AH93" s="2" t="s">
        <v>115</v>
      </c>
      <c r="AI93" s="2" t="s">
        <v>1070</v>
      </c>
      <c r="AJ93" s="2" t="s">
        <v>1071</v>
      </c>
      <c r="AK93" s="2" t="s">
        <v>1072</v>
      </c>
      <c r="AL93" s="2" t="s">
        <v>119</v>
      </c>
      <c r="AM93" s="2" t="s">
        <v>682</v>
      </c>
      <c r="AN93" s="2" t="s">
        <v>121</v>
      </c>
      <c r="AO93" s="2" t="s">
        <v>476</v>
      </c>
      <c r="AP93" s="2" t="s">
        <v>122</v>
      </c>
      <c r="AQ93" s="2" t="s">
        <v>123</v>
      </c>
      <c r="AR93" s="2" t="s">
        <v>124</v>
      </c>
      <c r="AS93" s="2" t="s">
        <v>1054</v>
      </c>
      <c r="AT93" s="2" t="s">
        <v>125</v>
      </c>
      <c r="AU93" s="2" t="s">
        <v>1073</v>
      </c>
      <c r="AV93" s="2"/>
      <c r="AW93" s="2" t="s">
        <v>155</v>
      </c>
    </row>
    <row r="94" spans="1:49" ht="42.95" customHeight="1">
      <c r="A94" s="12" t="s">
        <v>1074</v>
      </c>
      <c r="B94" s="9" t="s">
        <v>48</v>
      </c>
      <c r="C94" s="12" t="s">
        <v>46</v>
      </c>
      <c r="D94" s="12" t="s">
        <v>555</v>
      </c>
      <c r="E94" s="12" t="s">
        <v>43</v>
      </c>
      <c r="F94" s="12" t="s">
        <v>92</v>
      </c>
      <c r="G94" s="12" t="s">
        <v>672</v>
      </c>
      <c r="H94" s="12" t="s">
        <v>1075</v>
      </c>
      <c r="I94" s="12" t="s">
        <v>672</v>
      </c>
      <c r="J94" s="12" t="s">
        <v>160</v>
      </c>
      <c r="K94" s="12" t="s">
        <v>662</v>
      </c>
      <c r="L94" s="12" t="s">
        <v>1068</v>
      </c>
      <c r="M94" s="13" t="s">
        <v>1076</v>
      </c>
      <c r="N94" s="12" t="s">
        <v>676</v>
      </c>
      <c r="O94" s="12" t="s">
        <v>100</v>
      </c>
      <c r="P94" s="12"/>
      <c r="Q94" s="12"/>
      <c r="R94" s="12"/>
      <c r="S94" s="12" t="s">
        <v>134</v>
      </c>
      <c r="T94" s="12" t="s">
        <v>105</v>
      </c>
      <c r="U94" s="12" t="s">
        <v>106</v>
      </c>
      <c r="V94" s="12"/>
      <c r="W94" s="12"/>
      <c r="X94" s="12"/>
      <c r="Y94" s="12" t="s">
        <v>109</v>
      </c>
      <c r="Z94" s="12" t="s">
        <v>149</v>
      </c>
      <c r="AA94" s="12"/>
      <c r="AB94" s="12"/>
      <c r="AC94" s="13" t="s">
        <v>1046</v>
      </c>
      <c r="AD94" s="12" t="s">
        <v>112</v>
      </c>
      <c r="AE94" s="12" t="s">
        <v>113</v>
      </c>
      <c r="AF94" s="12"/>
      <c r="AG94" s="12" t="s">
        <v>292</v>
      </c>
      <c r="AH94" s="12" t="s">
        <v>115</v>
      </c>
      <c r="AI94" s="12" t="s">
        <v>1077</v>
      </c>
      <c r="AJ94" s="12" t="s">
        <v>1078</v>
      </c>
      <c r="AK94" s="12" t="s">
        <v>1079</v>
      </c>
      <c r="AL94" s="12" t="s">
        <v>119</v>
      </c>
      <c r="AM94" s="12" t="s">
        <v>682</v>
      </c>
      <c r="AN94" s="12" t="s">
        <v>121</v>
      </c>
      <c r="AO94" s="12" t="s">
        <v>676</v>
      </c>
      <c r="AP94" s="12" t="s">
        <v>122</v>
      </c>
      <c r="AQ94" s="12" t="s">
        <v>123</v>
      </c>
      <c r="AR94" s="12" t="s">
        <v>124</v>
      </c>
      <c r="AS94" s="12" t="s">
        <v>1054</v>
      </c>
      <c r="AT94" s="12" t="s">
        <v>125</v>
      </c>
      <c r="AU94" s="12" t="s">
        <v>1080</v>
      </c>
      <c r="AV94" s="12"/>
      <c r="AW94" s="12" t="s">
        <v>155</v>
      </c>
    </row>
    <row r="95" spans="1:49" ht="42.95" customHeight="1">
      <c r="A95" s="2" t="s">
        <v>1081</v>
      </c>
      <c r="B95" s="9" t="s">
        <v>48</v>
      </c>
      <c r="C95" s="2" t="s">
        <v>46</v>
      </c>
      <c r="D95" s="2" t="s">
        <v>555</v>
      </c>
      <c r="E95" s="2" t="s">
        <v>43</v>
      </c>
      <c r="F95" s="2" t="s">
        <v>92</v>
      </c>
      <c r="G95" s="2" t="s">
        <v>672</v>
      </c>
      <c r="H95" s="2" t="s">
        <v>1082</v>
      </c>
      <c r="I95" s="2" t="s">
        <v>672</v>
      </c>
      <c r="J95" s="2" t="s">
        <v>160</v>
      </c>
      <c r="K95" s="2" t="s">
        <v>662</v>
      </c>
      <c r="L95" s="2" t="s">
        <v>1068</v>
      </c>
      <c r="M95" s="3" t="s">
        <v>1083</v>
      </c>
      <c r="N95" s="2" t="s">
        <v>337</v>
      </c>
      <c r="O95" s="2" t="s">
        <v>100</v>
      </c>
      <c r="P95" s="2"/>
      <c r="Q95" s="2"/>
      <c r="R95" s="2"/>
      <c r="S95" s="2" t="s">
        <v>134</v>
      </c>
      <c r="T95" s="2" t="s">
        <v>105</v>
      </c>
      <c r="U95" s="2" t="s">
        <v>166</v>
      </c>
      <c r="V95" s="2"/>
      <c r="W95" s="2"/>
      <c r="X95" s="2"/>
      <c r="Y95" s="2" t="s">
        <v>109</v>
      </c>
      <c r="Z95" s="2" t="s">
        <v>167</v>
      </c>
      <c r="AA95" s="2"/>
      <c r="AB95" s="2"/>
      <c r="AC95" s="2"/>
      <c r="AD95" s="2" t="s">
        <v>112</v>
      </c>
      <c r="AE95" s="2" t="s">
        <v>113</v>
      </c>
      <c r="AF95" s="2"/>
      <c r="AG95" s="2" t="s">
        <v>292</v>
      </c>
      <c r="AH95" s="2" t="s">
        <v>115</v>
      </c>
      <c r="AI95" s="2" t="s">
        <v>1084</v>
      </c>
      <c r="AJ95" s="2" t="s">
        <v>1085</v>
      </c>
      <c r="AK95" s="2" t="s">
        <v>1086</v>
      </c>
      <c r="AL95" s="2" t="s">
        <v>119</v>
      </c>
      <c r="AM95" s="2" t="s">
        <v>572</v>
      </c>
      <c r="AN95" s="2" t="s">
        <v>121</v>
      </c>
      <c r="AO95" s="2" t="s">
        <v>337</v>
      </c>
      <c r="AP95" s="2" t="s">
        <v>122</v>
      </c>
      <c r="AQ95" s="2" t="s">
        <v>123</v>
      </c>
      <c r="AR95" s="2" t="s">
        <v>124</v>
      </c>
      <c r="AS95" s="2" t="s">
        <v>1054</v>
      </c>
      <c r="AT95" s="2" t="s">
        <v>125</v>
      </c>
      <c r="AU95" s="2" t="s">
        <v>1087</v>
      </c>
      <c r="AV95" s="2"/>
      <c r="AW95" s="2" t="s">
        <v>155</v>
      </c>
    </row>
    <row r="96" spans="1:49" ht="42.95" customHeight="1">
      <c r="A96" s="12" t="s">
        <v>1088</v>
      </c>
      <c r="B96" s="9" t="s">
        <v>48</v>
      </c>
      <c r="C96" s="12" t="s">
        <v>46</v>
      </c>
      <c r="D96" s="12" t="s">
        <v>555</v>
      </c>
      <c r="E96" s="12" t="s">
        <v>43</v>
      </c>
      <c r="F96" s="12" t="s">
        <v>92</v>
      </c>
      <c r="G96" s="12" t="s">
        <v>858</v>
      </c>
      <c r="H96" s="12" t="s">
        <v>1089</v>
      </c>
      <c r="I96" s="12" t="s">
        <v>860</v>
      </c>
      <c r="J96" s="12" t="s">
        <v>160</v>
      </c>
      <c r="K96" s="12" t="s">
        <v>1090</v>
      </c>
      <c r="L96" s="12" t="s">
        <v>1068</v>
      </c>
      <c r="M96" s="13" t="s">
        <v>1091</v>
      </c>
      <c r="N96" s="12" t="s">
        <v>1092</v>
      </c>
      <c r="O96" s="12" t="s">
        <v>100</v>
      </c>
      <c r="P96" s="12"/>
      <c r="Q96" s="12"/>
      <c r="R96" s="12"/>
      <c r="S96" s="12" t="s">
        <v>134</v>
      </c>
      <c r="T96" s="12" t="s">
        <v>105</v>
      </c>
      <c r="U96" s="12" t="s">
        <v>106</v>
      </c>
      <c r="V96" s="12"/>
      <c r="W96" s="12"/>
      <c r="X96" s="12"/>
      <c r="Y96" s="12" t="s">
        <v>109</v>
      </c>
      <c r="Z96" s="12" t="s">
        <v>167</v>
      </c>
      <c r="AA96" s="12"/>
      <c r="AB96" s="12"/>
      <c r="AC96" s="13" t="s">
        <v>1046</v>
      </c>
      <c r="AD96" s="12" t="s">
        <v>112</v>
      </c>
      <c r="AE96" s="12" t="s">
        <v>113</v>
      </c>
      <c r="AF96" s="12"/>
      <c r="AG96" s="12" t="s">
        <v>292</v>
      </c>
      <c r="AH96" s="12" t="s">
        <v>115</v>
      </c>
      <c r="AI96" s="12" t="s">
        <v>1093</v>
      </c>
      <c r="AJ96" s="12" t="s">
        <v>1094</v>
      </c>
      <c r="AK96" s="12" t="s">
        <v>1095</v>
      </c>
      <c r="AL96" s="12" t="s">
        <v>119</v>
      </c>
      <c r="AM96" s="12" t="s">
        <v>572</v>
      </c>
      <c r="AN96" s="12" t="s">
        <v>121</v>
      </c>
      <c r="AO96" s="12" t="s">
        <v>1092</v>
      </c>
      <c r="AP96" s="12" t="s">
        <v>122</v>
      </c>
      <c r="AQ96" s="12" t="s">
        <v>123</v>
      </c>
      <c r="AR96" s="12" t="s">
        <v>124</v>
      </c>
      <c r="AS96" s="12" t="s">
        <v>1054</v>
      </c>
      <c r="AT96" s="12" t="s">
        <v>125</v>
      </c>
      <c r="AU96" s="12"/>
      <c r="AV96" s="12"/>
      <c r="AW96" s="12" t="s">
        <v>155</v>
      </c>
    </row>
    <row r="97" spans="1:49" ht="42.95" customHeight="1">
      <c r="A97" s="2" t="s">
        <v>1096</v>
      </c>
      <c r="B97" s="9" t="s">
        <v>48</v>
      </c>
      <c r="C97" s="2" t="s">
        <v>46</v>
      </c>
      <c r="D97" s="2" t="s">
        <v>555</v>
      </c>
      <c r="E97" s="2" t="s">
        <v>43</v>
      </c>
      <c r="F97" s="2" t="s">
        <v>92</v>
      </c>
      <c r="G97" s="2" t="s">
        <v>1097</v>
      </c>
      <c r="H97" s="2" t="s">
        <v>1098</v>
      </c>
      <c r="I97" s="2" t="s">
        <v>1099</v>
      </c>
      <c r="J97" s="2" t="s">
        <v>160</v>
      </c>
      <c r="K97" s="2" t="s">
        <v>1090</v>
      </c>
      <c r="L97" s="2" t="s">
        <v>1068</v>
      </c>
      <c r="M97" s="3" t="s">
        <v>1100</v>
      </c>
      <c r="N97" s="2" t="s">
        <v>1092</v>
      </c>
      <c r="O97" s="2" t="s">
        <v>100</v>
      </c>
      <c r="P97" s="2"/>
      <c r="Q97" s="2"/>
      <c r="R97" s="2"/>
      <c r="S97" s="2" t="s">
        <v>134</v>
      </c>
      <c r="T97" s="2" t="s">
        <v>105</v>
      </c>
      <c r="U97" s="2" t="s">
        <v>106</v>
      </c>
      <c r="V97" s="2"/>
      <c r="W97" s="2"/>
      <c r="X97" s="2"/>
      <c r="Y97" s="2" t="s">
        <v>109</v>
      </c>
      <c r="Z97" s="2" t="s">
        <v>149</v>
      </c>
      <c r="AA97" s="2"/>
      <c r="AB97" s="2"/>
      <c r="AC97" s="3" t="s">
        <v>1046</v>
      </c>
      <c r="AD97" s="2" t="s">
        <v>112</v>
      </c>
      <c r="AE97" s="2" t="s">
        <v>113</v>
      </c>
      <c r="AF97" s="2"/>
      <c r="AG97" s="2" t="s">
        <v>292</v>
      </c>
      <c r="AH97" s="2" t="s">
        <v>115</v>
      </c>
      <c r="AI97" s="2" t="s">
        <v>1101</v>
      </c>
      <c r="AJ97" s="2" t="s">
        <v>1102</v>
      </c>
      <c r="AK97" s="2" t="s">
        <v>1103</v>
      </c>
      <c r="AL97" s="2" t="s">
        <v>119</v>
      </c>
      <c r="AM97" s="2" t="s">
        <v>572</v>
      </c>
      <c r="AN97" s="2" t="s">
        <v>121</v>
      </c>
      <c r="AO97" s="2" t="s">
        <v>1092</v>
      </c>
      <c r="AP97" s="2" t="s">
        <v>122</v>
      </c>
      <c r="AQ97" s="2" t="s">
        <v>123</v>
      </c>
      <c r="AR97" s="2" t="s">
        <v>124</v>
      </c>
      <c r="AS97" s="2" t="s">
        <v>1054</v>
      </c>
      <c r="AT97" s="2" t="s">
        <v>125</v>
      </c>
      <c r="AU97" s="2"/>
      <c r="AV97" s="2"/>
      <c r="AW97" s="2" t="s">
        <v>155</v>
      </c>
    </row>
    <row r="98" spans="1:49" ht="42.95" customHeight="1">
      <c r="A98" s="12" t="s">
        <v>1104</v>
      </c>
      <c r="B98" s="9" t="s">
        <v>48</v>
      </c>
      <c r="C98" s="12" t="s">
        <v>46</v>
      </c>
      <c r="D98" s="12" t="s">
        <v>555</v>
      </c>
      <c r="E98" s="12" t="s">
        <v>43</v>
      </c>
      <c r="F98" s="12" t="s">
        <v>92</v>
      </c>
      <c r="G98" s="12" t="s">
        <v>692</v>
      </c>
      <c r="H98" s="12" t="s">
        <v>1105</v>
      </c>
      <c r="I98" s="12" t="s">
        <v>692</v>
      </c>
      <c r="J98" s="12" t="s">
        <v>160</v>
      </c>
      <c r="K98" s="12" t="s">
        <v>662</v>
      </c>
      <c r="L98" s="12" t="s">
        <v>1068</v>
      </c>
      <c r="M98" s="13" t="s">
        <v>1106</v>
      </c>
      <c r="N98" s="12" t="s">
        <v>696</v>
      </c>
      <c r="O98" s="12" t="s">
        <v>100</v>
      </c>
      <c r="P98" s="12"/>
      <c r="Q98" s="12"/>
      <c r="R98" s="12"/>
      <c r="S98" s="12" t="s">
        <v>134</v>
      </c>
      <c r="T98" s="12" t="s">
        <v>105</v>
      </c>
      <c r="U98" s="12" t="s">
        <v>106</v>
      </c>
      <c r="V98" s="12"/>
      <c r="W98" s="12"/>
      <c r="X98" s="12"/>
      <c r="Y98" s="12" t="s">
        <v>109</v>
      </c>
      <c r="Z98" s="12" t="s">
        <v>149</v>
      </c>
      <c r="AA98" s="12"/>
      <c r="AB98" s="12"/>
      <c r="AC98" s="13" t="s">
        <v>1046</v>
      </c>
      <c r="AD98" s="12" t="s">
        <v>112</v>
      </c>
      <c r="AE98" s="12" t="s">
        <v>113</v>
      </c>
      <c r="AF98" s="12"/>
      <c r="AG98" s="12" t="s">
        <v>292</v>
      </c>
      <c r="AH98" s="12" t="s">
        <v>115</v>
      </c>
      <c r="AI98" s="12" t="s">
        <v>1107</v>
      </c>
      <c r="AJ98" s="12" t="s">
        <v>1108</v>
      </c>
      <c r="AK98" s="12" t="s">
        <v>1109</v>
      </c>
      <c r="AL98" s="12" t="s">
        <v>119</v>
      </c>
      <c r="AM98" s="12" t="s">
        <v>572</v>
      </c>
      <c r="AN98" s="12" t="s">
        <v>121</v>
      </c>
      <c r="AO98" s="12" t="s">
        <v>696</v>
      </c>
      <c r="AP98" s="12" t="s">
        <v>122</v>
      </c>
      <c r="AQ98" s="12" t="s">
        <v>123</v>
      </c>
      <c r="AR98" s="12" t="s">
        <v>124</v>
      </c>
      <c r="AS98" s="12" t="s">
        <v>1054</v>
      </c>
      <c r="AT98" s="12" t="s">
        <v>125</v>
      </c>
      <c r="AU98" s="12" t="s">
        <v>1110</v>
      </c>
      <c r="AV98" s="12"/>
      <c r="AW98" s="12" t="s">
        <v>155</v>
      </c>
    </row>
    <row r="99" spans="1:49" ht="42.95" customHeight="1">
      <c r="A99" s="2" t="s">
        <v>1111</v>
      </c>
      <c r="B99" s="9" t="s">
        <v>48</v>
      </c>
      <c r="C99" s="2" t="s">
        <v>46</v>
      </c>
      <c r="D99" s="2" t="s">
        <v>555</v>
      </c>
      <c r="E99" s="2" t="s">
        <v>43</v>
      </c>
      <c r="F99" s="2" t="s">
        <v>92</v>
      </c>
      <c r="G99" s="2" t="s">
        <v>1112</v>
      </c>
      <c r="H99" s="2" t="s">
        <v>1113</v>
      </c>
      <c r="I99" s="2" t="s">
        <v>1114</v>
      </c>
      <c r="J99" s="2" t="s">
        <v>160</v>
      </c>
      <c r="K99" s="2" t="s">
        <v>662</v>
      </c>
      <c r="L99" s="2" t="s">
        <v>1115</v>
      </c>
      <c r="M99" s="3" t="s">
        <v>1116</v>
      </c>
      <c r="N99" s="2" t="s">
        <v>337</v>
      </c>
      <c r="O99" s="2" t="s">
        <v>100</v>
      </c>
      <c r="P99" s="2" t="s">
        <v>1117</v>
      </c>
      <c r="Q99" s="2"/>
      <c r="R99" s="2"/>
      <c r="S99" s="2" t="s">
        <v>134</v>
      </c>
      <c r="T99" s="2" t="s">
        <v>105</v>
      </c>
      <c r="U99" s="2" t="s">
        <v>166</v>
      </c>
      <c r="V99" s="2"/>
      <c r="W99" s="2"/>
      <c r="X99" s="2"/>
      <c r="Y99" s="2" t="s">
        <v>109</v>
      </c>
      <c r="Z99" s="2" t="s">
        <v>167</v>
      </c>
      <c r="AA99" s="2" t="s">
        <v>199</v>
      </c>
      <c r="AB99" s="2"/>
      <c r="AC99" s="2"/>
      <c r="AD99" s="2" t="s">
        <v>112</v>
      </c>
      <c r="AE99" s="2" t="s">
        <v>113</v>
      </c>
      <c r="AF99" s="2"/>
      <c r="AG99" s="2" t="s">
        <v>292</v>
      </c>
      <c r="AH99" s="2" t="s">
        <v>115</v>
      </c>
      <c r="AI99" s="2" t="s">
        <v>1118</v>
      </c>
      <c r="AJ99" s="2" t="s">
        <v>1119</v>
      </c>
      <c r="AK99" s="2" t="s">
        <v>1120</v>
      </c>
      <c r="AL99" s="2" t="s">
        <v>119</v>
      </c>
      <c r="AM99" s="2" t="s">
        <v>572</v>
      </c>
      <c r="AN99" s="2" t="s">
        <v>121</v>
      </c>
      <c r="AO99" s="2" t="s">
        <v>337</v>
      </c>
      <c r="AP99" s="2" t="s">
        <v>122</v>
      </c>
      <c r="AQ99" s="2" t="s">
        <v>123</v>
      </c>
      <c r="AR99" s="2" t="s">
        <v>124</v>
      </c>
      <c r="AS99" s="2" t="s">
        <v>1054</v>
      </c>
      <c r="AT99" s="2" t="s">
        <v>125</v>
      </c>
      <c r="AU99" s="2"/>
      <c r="AV99" s="2"/>
      <c r="AW99" s="2" t="s">
        <v>155</v>
      </c>
    </row>
    <row r="100" spans="1:49" ht="42.95" customHeight="1">
      <c r="A100" s="12" t="s">
        <v>1121</v>
      </c>
      <c r="B100" s="9" t="s">
        <v>48</v>
      </c>
      <c r="C100" s="12" t="s">
        <v>46</v>
      </c>
      <c r="D100" s="12" t="s">
        <v>555</v>
      </c>
      <c r="E100" s="12" t="s">
        <v>43</v>
      </c>
      <c r="F100" s="12" t="s">
        <v>92</v>
      </c>
      <c r="G100" s="12" t="s">
        <v>692</v>
      </c>
      <c r="H100" s="12" t="s">
        <v>1122</v>
      </c>
      <c r="I100" s="12" t="s">
        <v>692</v>
      </c>
      <c r="J100" s="12" t="s">
        <v>160</v>
      </c>
      <c r="K100" s="12" t="s">
        <v>1123</v>
      </c>
      <c r="L100" s="12" t="s">
        <v>1068</v>
      </c>
      <c r="M100" s="13" t="s">
        <v>1124</v>
      </c>
      <c r="N100" s="12" t="s">
        <v>1125</v>
      </c>
      <c r="O100" s="12" t="s">
        <v>100</v>
      </c>
      <c r="P100" s="12" t="s">
        <v>1126</v>
      </c>
      <c r="Q100" s="12"/>
      <c r="R100" s="12"/>
      <c r="S100" s="12" t="s">
        <v>134</v>
      </c>
      <c r="T100" s="12" t="s">
        <v>105</v>
      </c>
      <c r="U100" s="12" t="s">
        <v>106</v>
      </c>
      <c r="V100" s="12"/>
      <c r="W100" s="12"/>
      <c r="X100" s="12"/>
      <c r="Y100" s="12" t="s">
        <v>109</v>
      </c>
      <c r="Z100" s="12" t="s">
        <v>149</v>
      </c>
      <c r="AA100" s="12"/>
      <c r="AB100" s="12"/>
      <c r="AC100" s="13" t="s">
        <v>1046</v>
      </c>
      <c r="AD100" s="12" t="s">
        <v>112</v>
      </c>
      <c r="AE100" s="12" t="s">
        <v>113</v>
      </c>
      <c r="AF100" s="12"/>
      <c r="AG100" s="12" t="s">
        <v>292</v>
      </c>
      <c r="AH100" s="12" t="s">
        <v>115</v>
      </c>
      <c r="AI100" s="12" t="s">
        <v>1127</v>
      </c>
      <c r="AJ100" s="12" t="s">
        <v>1128</v>
      </c>
      <c r="AK100" s="12" t="s">
        <v>1129</v>
      </c>
      <c r="AL100" s="12" t="s">
        <v>119</v>
      </c>
      <c r="AM100" s="12" t="s">
        <v>572</v>
      </c>
      <c r="AN100" s="12" t="s">
        <v>121</v>
      </c>
      <c r="AO100" s="12" t="s">
        <v>1125</v>
      </c>
      <c r="AP100" s="12" t="s">
        <v>122</v>
      </c>
      <c r="AQ100" s="12" t="s">
        <v>123</v>
      </c>
      <c r="AR100" s="12" t="s">
        <v>124</v>
      </c>
      <c r="AS100" s="12" t="s">
        <v>1054</v>
      </c>
      <c r="AT100" s="12" t="s">
        <v>125</v>
      </c>
      <c r="AU100" s="12" t="s">
        <v>1130</v>
      </c>
      <c r="AV100" s="12"/>
      <c r="AW100" s="12" t="s">
        <v>155</v>
      </c>
    </row>
    <row r="101" spans="1:49" ht="42.95" customHeight="1">
      <c r="A101" s="2" t="s">
        <v>1131</v>
      </c>
      <c r="B101" s="9" t="s">
        <v>48</v>
      </c>
      <c r="C101" s="2" t="s">
        <v>46</v>
      </c>
      <c r="D101" s="2" t="s">
        <v>555</v>
      </c>
      <c r="E101" s="2" t="s">
        <v>43</v>
      </c>
      <c r="F101" s="2" t="s">
        <v>92</v>
      </c>
      <c r="G101" s="2" t="s">
        <v>858</v>
      </c>
      <c r="H101" s="2" t="s">
        <v>1132</v>
      </c>
      <c r="I101" s="2" t="s">
        <v>860</v>
      </c>
      <c r="J101" s="2" t="s">
        <v>160</v>
      </c>
      <c r="K101" s="2" t="s">
        <v>1090</v>
      </c>
      <c r="L101" s="2" t="s">
        <v>1068</v>
      </c>
      <c r="M101" s="3" t="s">
        <v>1133</v>
      </c>
      <c r="N101" s="2" t="s">
        <v>1134</v>
      </c>
      <c r="O101" s="2" t="s">
        <v>100</v>
      </c>
      <c r="P101" s="2" t="s">
        <v>1135</v>
      </c>
      <c r="Q101" s="2"/>
      <c r="R101" s="2"/>
      <c r="S101" s="2" t="s">
        <v>134</v>
      </c>
      <c r="T101" s="2" t="s">
        <v>105</v>
      </c>
      <c r="U101" s="2" t="s">
        <v>166</v>
      </c>
      <c r="V101" s="2"/>
      <c r="W101" s="2"/>
      <c r="X101" s="2"/>
      <c r="Y101" s="2" t="s">
        <v>109</v>
      </c>
      <c r="Z101" s="2" t="s">
        <v>149</v>
      </c>
      <c r="AA101" s="2"/>
      <c r="AB101" s="2"/>
      <c r="AC101" s="3" t="s">
        <v>1046</v>
      </c>
      <c r="AD101" s="2" t="s">
        <v>112</v>
      </c>
      <c r="AE101" s="2" t="s">
        <v>113</v>
      </c>
      <c r="AF101" s="2"/>
      <c r="AG101" s="2" t="s">
        <v>292</v>
      </c>
      <c r="AH101" s="2" t="s">
        <v>115</v>
      </c>
      <c r="AI101" s="2" t="s">
        <v>1136</v>
      </c>
      <c r="AJ101" s="2" t="s">
        <v>1137</v>
      </c>
      <c r="AK101" s="2" t="s">
        <v>1138</v>
      </c>
      <c r="AL101" s="2" t="s">
        <v>119</v>
      </c>
      <c r="AM101" s="2" t="s">
        <v>572</v>
      </c>
      <c r="AN101" s="2" t="s">
        <v>121</v>
      </c>
      <c r="AO101" s="2" t="s">
        <v>1134</v>
      </c>
      <c r="AP101" s="2" t="s">
        <v>122</v>
      </c>
      <c r="AQ101" s="2" t="s">
        <v>123</v>
      </c>
      <c r="AR101" s="2" t="s">
        <v>124</v>
      </c>
      <c r="AS101" s="2" t="s">
        <v>1054</v>
      </c>
      <c r="AT101" s="2" t="s">
        <v>125</v>
      </c>
      <c r="AU101" s="2"/>
      <c r="AV101" s="2"/>
      <c r="AW101" s="2" t="s">
        <v>155</v>
      </c>
    </row>
    <row r="102" spans="1:49" ht="42.95" customHeight="1">
      <c r="A102" s="12" t="s">
        <v>1139</v>
      </c>
      <c r="B102" s="9" t="s">
        <v>48</v>
      </c>
      <c r="C102" s="12" t="s">
        <v>46</v>
      </c>
      <c r="D102" s="12" t="s">
        <v>555</v>
      </c>
      <c r="E102" s="12" t="s">
        <v>43</v>
      </c>
      <c r="F102" s="12" t="s">
        <v>172</v>
      </c>
      <c r="G102" s="12" t="s">
        <v>700</v>
      </c>
      <c r="H102" s="12" t="s">
        <v>1140</v>
      </c>
      <c r="I102" s="12" t="s">
        <v>1141</v>
      </c>
      <c r="J102" s="12" t="s">
        <v>142</v>
      </c>
      <c r="K102" s="12" t="s">
        <v>1142</v>
      </c>
      <c r="L102" s="12" t="s">
        <v>1045</v>
      </c>
      <c r="M102" s="13" t="s">
        <v>1143</v>
      </c>
      <c r="N102" s="12" t="s">
        <v>676</v>
      </c>
      <c r="O102" s="12" t="s">
        <v>100</v>
      </c>
      <c r="P102" s="12" t="s">
        <v>1144</v>
      </c>
      <c r="Q102" s="12" t="s">
        <v>1145</v>
      </c>
      <c r="R102" s="12" t="s">
        <v>1146</v>
      </c>
      <c r="S102" s="12" t="s">
        <v>351</v>
      </c>
      <c r="T102" s="12" t="s">
        <v>105</v>
      </c>
      <c r="U102" s="12" t="s">
        <v>166</v>
      </c>
      <c r="V102" s="12" t="s">
        <v>709</v>
      </c>
      <c r="W102" s="12" t="s">
        <v>183</v>
      </c>
      <c r="X102" s="12" t="s">
        <v>492</v>
      </c>
      <c r="Y102" s="12" t="s">
        <v>109</v>
      </c>
      <c r="Z102" s="12" t="s">
        <v>149</v>
      </c>
      <c r="AA102" s="12" t="s">
        <v>212</v>
      </c>
      <c r="AB102" s="12"/>
      <c r="AC102" s="13" t="s">
        <v>1147</v>
      </c>
      <c r="AD102" s="12" t="s">
        <v>112</v>
      </c>
      <c r="AE102" s="12" t="s">
        <v>1050</v>
      </c>
      <c r="AF102" s="12"/>
      <c r="AG102" s="12" t="s">
        <v>114</v>
      </c>
      <c r="AH102" s="12" t="s">
        <v>115</v>
      </c>
      <c r="AI102" s="12" t="s">
        <v>1148</v>
      </c>
      <c r="AJ102" s="12" t="s">
        <v>1149</v>
      </c>
      <c r="AK102" s="12" t="s">
        <v>1065</v>
      </c>
      <c r="AL102" s="12" t="s">
        <v>119</v>
      </c>
      <c r="AM102" s="12" t="s">
        <v>153</v>
      </c>
      <c r="AN102" s="12" t="s">
        <v>121</v>
      </c>
      <c r="AO102" s="12" t="s">
        <v>676</v>
      </c>
      <c r="AP102" s="12" t="s">
        <v>122</v>
      </c>
      <c r="AQ102" s="12" t="s">
        <v>123</v>
      </c>
      <c r="AR102" s="12" t="s">
        <v>715</v>
      </c>
      <c r="AS102" s="12" t="s">
        <v>1054</v>
      </c>
      <c r="AT102" s="12" t="s">
        <v>125</v>
      </c>
      <c r="AU102" s="12" t="s">
        <v>1150</v>
      </c>
      <c r="AV102" s="12"/>
      <c r="AW102" s="12" t="s">
        <v>1151</v>
      </c>
    </row>
    <row r="103" spans="1:49" ht="42.95" customHeight="1">
      <c r="A103" s="2" t="s">
        <v>1152</v>
      </c>
      <c r="B103" s="9" t="s">
        <v>48</v>
      </c>
      <c r="C103" s="2" t="s">
        <v>46</v>
      </c>
      <c r="D103" s="2" t="s">
        <v>555</v>
      </c>
      <c r="E103" s="2" t="s">
        <v>43</v>
      </c>
      <c r="F103" s="2" t="s">
        <v>172</v>
      </c>
      <c r="G103" s="2" t="s">
        <v>1153</v>
      </c>
      <c r="H103" s="2" t="s">
        <v>1154</v>
      </c>
      <c r="I103" s="2" t="s">
        <v>1155</v>
      </c>
      <c r="J103" s="2" t="s">
        <v>160</v>
      </c>
      <c r="K103" s="2" t="s">
        <v>1156</v>
      </c>
      <c r="L103" s="2" t="s">
        <v>1068</v>
      </c>
      <c r="M103" s="3" t="s">
        <v>1157</v>
      </c>
      <c r="N103" s="2"/>
      <c r="O103" s="2" t="s">
        <v>100</v>
      </c>
      <c r="P103" s="2"/>
      <c r="Q103" s="2"/>
      <c r="R103" s="2"/>
      <c r="S103" s="2" t="s">
        <v>182</v>
      </c>
      <c r="T103" s="2" t="s">
        <v>105</v>
      </c>
      <c r="U103" s="2" t="s">
        <v>708</v>
      </c>
      <c r="V103" s="2"/>
      <c r="W103" s="2"/>
      <c r="X103" s="2"/>
      <c r="Y103" s="2" t="s">
        <v>109</v>
      </c>
      <c r="Z103" s="2" t="s">
        <v>167</v>
      </c>
      <c r="AA103" s="2"/>
      <c r="AB103" s="2"/>
      <c r="AC103" s="2"/>
      <c r="AD103" s="2" t="s">
        <v>112</v>
      </c>
      <c r="AE103" s="2" t="s">
        <v>113</v>
      </c>
      <c r="AF103" s="2"/>
      <c r="AG103" s="2" t="s">
        <v>292</v>
      </c>
      <c r="AH103" s="2" t="s">
        <v>115</v>
      </c>
      <c r="AI103" s="2" t="s">
        <v>1158</v>
      </c>
      <c r="AJ103" s="2" t="s">
        <v>1159</v>
      </c>
      <c r="AK103" s="2" t="s">
        <v>1160</v>
      </c>
      <c r="AL103" s="2" t="s">
        <v>119</v>
      </c>
      <c r="AM103" s="2" t="s">
        <v>572</v>
      </c>
      <c r="AN103" s="2" t="s">
        <v>121</v>
      </c>
      <c r="AO103" s="2"/>
      <c r="AP103" s="2" t="s">
        <v>122</v>
      </c>
      <c r="AQ103" s="2" t="s">
        <v>123</v>
      </c>
      <c r="AR103" s="2" t="s">
        <v>715</v>
      </c>
      <c r="AS103" s="2" t="s">
        <v>1054</v>
      </c>
      <c r="AT103" s="2" t="s">
        <v>125</v>
      </c>
      <c r="AU103" s="2" t="s">
        <v>1161</v>
      </c>
      <c r="AV103" s="2"/>
      <c r="AW103" s="2" t="s">
        <v>155</v>
      </c>
    </row>
    <row r="104" spans="1:49" ht="42.95" customHeight="1">
      <c r="A104" s="12" t="s">
        <v>1162</v>
      </c>
      <c r="B104" s="9" t="s">
        <v>48</v>
      </c>
      <c r="C104" s="12" t="s">
        <v>46</v>
      </c>
      <c r="D104" s="12" t="s">
        <v>555</v>
      </c>
      <c r="E104" s="12" t="s">
        <v>43</v>
      </c>
      <c r="F104" s="12" t="s">
        <v>199</v>
      </c>
      <c r="G104" s="12" t="s">
        <v>1163</v>
      </c>
      <c r="H104" s="12" t="s">
        <v>1164</v>
      </c>
      <c r="I104" s="12" t="s">
        <v>958</v>
      </c>
      <c r="J104" s="12" t="s">
        <v>1165</v>
      </c>
      <c r="K104" s="12" t="s">
        <v>1166</v>
      </c>
      <c r="L104" s="12" t="s">
        <v>1045</v>
      </c>
      <c r="M104" s="13" t="s">
        <v>1167</v>
      </c>
      <c r="N104" s="12" t="s">
        <v>99</v>
      </c>
      <c r="O104" s="12" t="s">
        <v>100</v>
      </c>
      <c r="P104" s="12" t="s">
        <v>1168</v>
      </c>
      <c r="Q104" s="12" t="s">
        <v>1169</v>
      </c>
      <c r="R104" s="12" t="s">
        <v>1170</v>
      </c>
      <c r="S104" s="12" t="s">
        <v>384</v>
      </c>
      <c r="T104" s="12" t="s">
        <v>105</v>
      </c>
      <c r="U104" s="12" t="s">
        <v>166</v>
      </c>
      <c r="V104" s="12" t="s">
        <v>709</v>
      </c>
      <c r="W104" s="12" t="s">
        <v>1171</v>
      </c>
      <c r="X104" s="12" t="s">
        <v>1172</v>
      </c>
      <c r="Y104" s="12" t="s">
        <v>109</v>
      </c>
      <c r="Z104" s="12" t="s">
        <v>149</v>
      </c>
      <c r="AA104" s="12"/>
      <c r="AB104" s="12"/>
      <c r="AC104" s="12"/>
      <c r="AD104" s="12" t="s">
        <v>112</v>
      </c>
      <c r="AE104" s="12" t="s">
        <v>1050</v>
      </c>
      <c r="AF104" s="12"/>
      <c r="AG104" s="12" t="s">
        <v>114</v>
      </c>
      <c r="AH104" s="12" t="s">
        <v>115</v>
      </c>
      <c r="AI104" s="12" t="s">
        <v>1173</v>
      </c>
      <c r="AJ104" s="12" t="s">
        <v>1174</v>
      </c>
      <c r="AK104" s="12" t="s">
        <v>1065</v>
      </c>
      <c r="AL104" s="12" t="s">
        <v>119</v>
      </c>
      <c r="AM104" s="12" t="s">
        <v>153</v>
      </c>
      <c r="AN104" s="12" t="s">
        <v>121</v>
      </c>
      <c r="AO104" s="12" t="s">
        <v>99</v>
      </c>
      <c r="AP104" s="12" t="s">
        <v>122</v>
      </c>
      <c r="AQ104" s="12" t="s">
        <v>123</v>
      </c>
      <c r="AR104" s="12" t="s">
        <v>715</v>
      </c>
      <c r="AS104" s="12" t="s">
        <v>1054</v>
      </c>
      <c r="AT104" s="12" t="s">
        <v>125</v>
      </c>
      <c r="AU104" s="12" t="s">
        <v>1175</v>
      </c>
      <c r="AV104" s="12"/>
      <c r="AW104" s="12" t="s">
        <v>1176</v>
      </c>
    </row>
    <row r="105" spans="1:49" ht="42.95" customHeight="1">
      <c r="A105" s="2" t="s">
        <v>1177</v>
      </c>
      <c r="B105" s="9" t="s">
        <v>48</v>
      </c>
      <c r="C105" s="2" t="s">
        <v>46</v>
      </c>
      <c r="D105" s="2" t="s">
        <v>555</v>
      </c>
      <c r="E105" s="2" t="s">
        <v>43</v>
      </c>
      <c r="F105" s="2" t="s">
        <v>199</v>
      </c>
      <c r="G105" s="2" t="s">
        <v>1178</v>
      </c>
      <c r="H105" s="2" t="s">
        <v>1179</v>
      </c>
      <c r="I105" s="2" t="s">
        <v>1180</v>
      </c>
      <c r="J105" s="2" t="s">
        <v>160</v>
      </c>
      <c r="K105" s="2" t="s">
        <v>1181</v>
      </c>
      <c r="L105" s="2" t="s">
        <v>1182</v>
      </c>
      <c r="M105" s="3" t="s">
        <v>1183</v>
      </c>
      <c r="N105" s="2" t="s">
        <v>476</v>
      </c>
      <c r="O105" s="2" t="s">
        <v>100</v>
      </c>
      <c r="P105" s="2" t="s">
        <v>1184</v>
      </c>
      <c r="Q105" s="2"/>
      <c r="R105" s="2"/>
      <c r="S105" s="2" t="s">
        <v>182</v>
      </c>
      <c r="T105" s="2" t="s">
        <v>105</v>
      </c>
      <c r="U105" s="2" t="s">
        <v>106</v>
      </c>
      <c r="V105" s="2"/>
      <c r="W105" s="2" t="s">
        <v>594</v>
      </c>
      <c r="X105" s="2"/>
      <c r="Y105" s="2" t="s">
        <v>109</v>
      </c>
      <c r="Z105" s="2" t="s">
        <v>167</v>
      </c>
      <c r="AA105" s="2"/>
      <c r="AB105" s="2"/>
      <c r="AC105" s="2"/>
      <c r="AD105" s="2" t="s">
        <v>112</v>
      </c>
      <c r="AE105" s="2" t="s">
        <v>113</v>
      </c>
      <c r="AF105" s="2"/>
      <c r="AG105" s="2" t="s">
        <v>292</v>
      </c>
      <c r="AH105" s="2" t="s">
        <v>115</v>
      </c>
      <c r="AI105" s="2" t="s">
        <v>1185</v>
      </c>
      <c r="AJ105" s="2" t="s">
        <v>1186</v>
      </c>
      <c r="AK105" s="2" t="s">
        <v>1187</v>
      </c>
      <c r="AL105" s="2" t="s">
        <v>267</v>
      </c>
      <c r="AM105" s="2" t="s">
        <v>572</v>
      </c>
      <c r="AN105" s="2" t="s">
        <v>121</v>
      </c>
      <c r="AO105" s="2" t="s">
        <v>476</v>
      </c>
      <c r="AP105" s="2" t="s">
        <v>122</v>
      </c>
      <c r="AQ105" s="2" t="s">
        <v>123</v>
      </c>
      <c r="AR105" s="2" t="s">
        <v>715</v>
      </c>
      <c r="AS105" s="2" t="s">
        <v>1054</v>
      </c>
      <c r="AT105" s="2" t="s">
        <v>125</v>
      </c>
      <c r="AU105" s="2"/>
      <c r="AV105" s="2"/>
      <c r="AW105" s="2" t="s">
        <v>155</v>
      </c>
    </row>
    <row r="106" spans="1:49" ht="42.95" customHeight="1">
      <c r="A106" s="12" t="s">
        <v>1188</v>
      </c>
      <c r="B106" s="9" t="s">
        <v>48</v>
      </c>
      <c r="C106" s="12" t="s">
        <v>46</v>
      </c>
      <c r="D106" s="12" t="s">
        <v>555</v>
      </c>
      <c r="E106" s="12" t="s">
        <v>43</v>
      </c>
      <c r="F106" s="12" t="s">
        <v>199</v>
      </c>
      <c r="G106" s="12" t="s">
        <v>1178</v>
      </c>
      <c r="H106" s="12" t="s">
        <v>1189</v>
      </c>
      <c r="I106" s="12" t="s">
        <v>1190</v>
      </c>
      <c r="J106" s="12" t="s">
        <v>160</v>
      </c>
      <c r="K106" s="12" t="s">
        <v>368</v>
      </c>
      <c r="L106" s="12" t="s">
        <v>1191</v>
      </c>
      <c r="M106" s="13" t="s">
        <v>1192</v>
      </c>
      <c r="N106" s="12" t="s">
        <v>337</v>
      </c>
      <c r="O106" s="12" t="s">
        <v>100</v>
      </c>
      <c r="P106" s="12"/>
      <c r="Q106" s="12"/>
      <c r="R106" s="12"/>
      <c r="S106" s="12" t="s">
        <v>182</v>
      </c>
      <c r="T106" s="12" t="s">
        <v>105</v>
      </c>
      <c r="U106" s="12" t="s">
        <v>166</v>
      </c>
      <c r="V106" s="12"/>
      <c r="W106" s="12"/>
      <c r="X106" s="12"/>
      <c r="Y106" s="12" t="s">
        <v>109</v>
      </c>
      <c r="Z106" s="12" t="s">
        <v>167</v>
      </c>
      <c r="AA106" s="12"/>
      <c r="AB106" s="12"/>
      <c r="AC106" s="12"/>
      <c r="AD106" s="12" t="s">
        <v>112</v>
      </c>
      <c r="AE106" s="12" t="s">
        <v>113</v>
      </c>
      <c r="AF106" s="12"/>
      <c r="AG106" s="12" t="s">
        <v>292</v>
      </c>
      <c r="AH106" s="12" t="s">
        <v>115</v>
      </c>
      <c r="AI106" s="12" t="s">
        <v>1193</v>
      </c>
      <c r="AJ106" s="12" t="s">
        <v>1194</v>
      </c>
      <c r="AK106" s="12" t="s">
        <v>1195</v>
      </c>
      <c r="AL106" s="12" t="s">
        <v>267</v>
      </c>
      <c r="AM106" s="12" t="s">
        <v>572</v>
      </c>
      <c r="AN106" s="12" t="s">
        <v>121</v>
      </c>
      <c r="AO106" s="12" t="s">
        <v>337</v>
      </c>
      <c r="AP106" s="12" t="s">
        <v>122</v>
      </c>
      <c r="AQ106" s="12" t="s">
        <v>123</v>
      </c>
      <c r="AR106" s="12" t="s">
        <v>715</v>
      </c>
      <c r="AS106" s="12" t="s">
        <v>1054</v>
      </c>
      <c r="AT106" s="12" t="s">
        <v>125</v>
      </c>
      <c r="AU106" s="12"/>
      <c r="AV106" s="12"/>
      <c r="AW106" s="12" t="s">
        <v>155</v>
      </c>
    </row>
    <row r="107" spans="1:49" ht="42.95" customHeight="1">
      <c r="A107" s="2" t="s">
        <v>1196</v>
      </c>
      <c r="B107" s="9" t="s">
        <v>48</v>
      </c>
      <c r="C107" s="2" t="s">
        <v>46</v>
      </c>
      <c r="D107" s="2" t="s">
        <v>555</v>
      </c>
      <c r="E107" s="2" t="s">
        <v>43</v>
      </c>
      <c r="F107" s="2" t="s">
        <v>217</v>
      </c>
      <c r="G107" s="2" t="s">
        <v>402</v>
      </c>
      <c r="H107" s="2" t="s">
        <v>1197</v>
      </c>
      <c r="I107" s="2" t="s">
        <v>1198</v>
      </c>
      <c r="J107" s="2" t="s">
        <v>160</v>
      </c>
      <c r="K107" s="2" t="s">
        <v>1199</v>
      </c>
      <c r="L107" s="2" t="s">
        <v>1045</v>
      </c>
      <c r="M107" s="3" t="s">
        <v>1200</v>
      </c>
      <c r="N107" s="2" t="s">
        <v>337</v>
      </c>
      <c r="O107" s="2" t="s">
        <v>100</v>
      </c>
      <c r="P107" s="2" t="s">
        <v>1201</v>
      </c>
      <c r="Q107" s="2" t="s">
        <v>1202</v>
      </c>
      <c r="R107" s="2" t="s">
        <v>1203</v>
      </c>
      <c r="S107" s="2" t="s">
        <v>384</v>
      </c>
      <c r="T107" s="2" t="s">
        <v>105</v>
      </c>
      <c r="U107" s="2" t="s">
        <v>106</v>
      </c>
      <c r="V107" s="2" t="s">
        <v>709</v>
      </c>
      <c r="W107" s="2" t="s">
        <v>226</v>
      </c>
      <c r="X107" s="2" t="s">
        <v>411</v>
      </c>
      <c r="Y107" s="2" t="s">
        <v>109</v>
      </c>
      <c r="Z107" s="2" t="s">
        <v>149</v>
      </c>
      <c r="AA107" s="2" t="s">
        <v>1204</v>
      </c>
      <c r="AB107" s="2"/>
      <c r="AC107" s="3" t="s">
        <v>1205</v>
      </c>
      <c r="AD107" s="2" t="s">
        <v>112</v>
      </c>
      <c r="AE107" s="2" t="s">
        <v>113</v>
      </c>
      <c r="AF107" s="2"/>
      <c r="AG107" s="2" t="s">
        <v>292</v>
      </c>
      <c r="AH107" s="2" t="s">
        <v>115</v>
      </c>
      <c r="AI107" s="2" t="s">
        <v>1206</v>
      </c>
      <c r="AJ107" s="2" t="s">
        <v>1207</v>
      </c>
      <c r="AK107" s="2" t="s">
        <v>1208</v>
      </c>
      <c r="AL107" s="2" t="s">
        <v>119</v>
      </c>
      <c r="AM107" s="2" t="s">
        <v>153</v>
      </c>
      <c r="AN107" s="2" t="s">
        <v>121</v>
      </c>
      <c r="AO107" s="2" t="s">
        <v>337</v>
      </c>
      <c r="AP107" s="2" t="s">
        <v>1209</v>
      </c>
      <c r="AQ107" s="2" t="s">
        <v>123</v>
      </c>
      <c r="AR107" s="2" t="s">
        <v>715</v>
      </c>
      <c r="AS107" s="2" t="s">
        <v>1054</v>
      </c>
      <c r="AT107" s="2" t="s">
        <v>125</v>
      </c>
      <c r="AU107" s="2" t="s">
        <v>1210</v>
      </c>
      <c r="AV107" s="2"/>
      <c r="AW107" s="2" t="s">
        <v>1211</v>
      </c>
    </row>
    <row r="108" spans="1:49" ht="42.95" customHeight="1">
      <c r="A108" s="12" t="s">
        <v>1212</v>
      </c>
      <c r="B108" s="9" t="s">
        <v>48</v>
      </c>
      <c r="C108" s="12" t="s">
        <v>46</v>
      </c>
      <c r="D108" s="12" t="s">
        <v>555</v>
      </c>
      <c r="E108" s="12" t="s">
        <v>43</v>
      </c>
      <c r="F108" s="12" t="s">
        <v>212</v>
      </c>
      <c r="G108" s="12" t="s">
        <v>1213</v>
      </c>
      <c r="H108" s="12" t="s">
        <v>1214</v>
      </c>
      <c r="I108" s="12" t="s">
        <v>999</v>
      </c>
      <c r="J108" s="12" t="s">
        <v>160</v>
      </c>
      <c r="K108" s="12" t="s">
        <v>806</v>
      </c>
      <c r="L108" s="12" t="s">
        <v>1045</v>
      </c>
      <c r="M108" s="13" t="s">
        <v>1215</v>
      </c>
      <c r="N108" s="12" t="s">
        <v>1216</v>
      </c>
      <c r="O108" s="12" t="s">
        <v>100</v>
      </c>
      <c r="P108" s="12" t="s">
        <v>1217</v>
      </c>
      <c r="Q108" s="12" t="s">
        <v>1218</v>
      </c>
      <c r="R108" s="12" t="s">
        <v>1219</v>
      </c>
      <c r="S108" s="12" t="s">
        <v>384</v>
      </c>
      <c r="T108" s="12" t="s">
        <v>105</v>
      </c>
      <c r="U108" s="12" t="s">
        <v>166</v>
      </c>
      <c r="V108" s="12" t="s">
        <v>709</v>
      </c>
      <c r="W108" s="12" t="s">
        <v>433</v>
      </c>
      <c r="X108" s="12" t="s">
        <v>248</v>
      </c>
      <c r="Y108" s="12" t="s">
        <v>109</v>
      </c>
      <c r="Z108" s="12" t="s">
        <v>263</v>
      </c>
      <c r="AA108" s="12"/>
      <c r="AB108" s="12"/>
      <c r="AC108" s="12"/>
      <c r="AD108" s="12" t="s">
        <v>112</v>
      </c>
      <c r="AE108" s="12" t="s">
        <v>113</v>
      </c>
      <c r="AF108" s="12"/>
      <c r="AG108" s="12" t="s">
        <v>292</v>
      </c>
      <c r="AH108" s="12" t="s">
        <v>115</v>
      </c>
      <c r="AI108" s="12" t="s">
        <v>1220</v>
      </c>
      <c r="AJ108" s="12" t="s">
        <v>1119</v>
      </c>
      <c r="AK108" s="12" t="s">
        <v>1221</v>
      </c>
      <c r="AL108" s="12" t="s">
        <v>119</v>
      </c>
      <c r="AM108" s="12" t="s">
        <v>153</v>
      </c>
      <c r="AN108" s="12" t="s">
        <v>121</v>
      </c>
      <c r="AO108" s="12" t="s">
        <v>1216</v>
      </c>
      <c r="AP108" s="12" t="s">
        <v>122</v>
      </c>
      <c r="AQ108" s="12" t="s">
        <v>123</v>
      </c>
      <c r="AR108" s="12" t="s">
        <v>124</v>
      </c>
      <c r="AS108" s="12" t="s">
        <v>1054</v>
      </c>
      <c r="AT108" s="12" t="s">
        <v>125</v>
      </c>
      <c r="AU108" s="12"/>
      <c r="AV108" s="12"/>
      <c r="AW108" s="12" t="s">
        <v>1222</v>
      </c>
    </row>
    <row r="109" spans="1:49" ht="42.95" customHeight="1">
      <c r="A109" s="2" t="s">
        <v>1223</v>
      </c>
      <c r="B109" s="9" t="s">
        <v>48</v>
      </c>
      <c r="C109" s="2" t="s">
        <v>46</v>
      </c>
      <c r="D109" s="2" t="s">
        <v>555</v>
      </c>
      <c r="E109" s="2" t="s">
        <v>43</v>
      </c>
      <c r="F109" s="2" t="s">
        <v>212</v>
      </c>
      <c r="G109" s="2" t="s">
        <v>1224</v>
      </c>
      <c r="H109" s="2" t="s">
        <v>1225</v>
      </c>
      <c r="I109" s="2" t="s">
        <v>702</v>
      </c>
      <c r="J109" s="2" t="s">
        <v>160</v>
      </c>
      <c r="K109" s="2" t="s">
        <v>1226</v>
      </c>
      <c r="L109" s="2" t="s">
        <v>1068</v>
      </c>
      <c r="M109" s="3" t="s">
        <v>1227</v>
      </c>
      <c r="N109" s="2" t="s">
        <v>696</v>
      </c>
      <c r="O109" s="2" t="s">
        <v>100</v>
      </c>
      <c r="P109" s="2"/>
      <c r="Q109" s="2"/>
      <c r="R109" s="2"/>
      <c r="S109" s="2" t="s">
        <v>182</v>
      </c>
      <c r="T109" s="2" t="s">
        <v>105</v>
      </c>
      <c r="U109" s="2" t="s">
        <v>166</v>
      </c>
      <c r="V109" s="2"/>
      <c r="W109" s="2"/>
      <c r="X109" s="2"/>
      <c r="Y109" s="2" t="s">
        <v>109</v>
      </c>
      <c r="Z109" s="2" t="s">
        <v>167</v>
      </c>
      <c r="AA109" s="2" t="s">
        <v>172</v>
      </c>
      <c r="AB109" s="2"/>
      <c r="AC109" s="2"/>
      <c r="AD109" s="2" t="s">
        <v>112</v>
      </c>
      <c r="AE109" s="2" t="s">
        <v>113</v>
      </c>
      <c r="AF109" s="2"/>
      <c r="AG109" s="2" t="s">
        <v>292</v>
      </c>
      <c r="AH109" s="2" t="s">
        <v>115</v>
      </c>
      <c r="AI109" s="2" t="s">
        <v>1228</v>
      </c>
      <c r="AJ109" s="2" t="s">
        <v>1229</v>
      </c>
      <c r="AK109" s="2" t="s">
        <v>1230</v>
      </c>
      <c r="AL109" s="2" t="s">
        <v>119</v>
      </c>
      <c r="AM109" s="2" t="s">
        <v>572</v>
      </c>
      <c r="AN109" s="2" t="s">
        <v>121</v>
      </c>
      <c r="AO109" s="2" t="s">
        <v>696</v>
      </c>
      <c r="AP109" s="2" t="s">
        <v>122</v>
      </c>
      <c r="AQ109" s="2" t="s">
        <v>123</v>
      </c>
      <c r="AR109" s="2" t="s">
        <v>124</v>
      </c>
      <c r="AS109" s="2" t="s">
        <v>1054</v>
      </c>
      <c r="AT109" s="2" t="s">
        <v>125</v>
      </c>
      <c r="AU109" s="2" t="s">
        <v>1231</v>
      </c>
      <c r="AV109" s="2"/>
      <c r="AW109" s="2" t="s">
        <v>155</v>
      </c>
    </row>
    <row r="110" spans="1:49" ht="42.95" customHeight="1">
      <c r="A110" s="12" t="s">
        <v>1232</v>
      </c>
      <c r="B110" s="9" t="s">
        <v>48</v>
      </c>
      <c r="C110" s="12" t="s">
        <v>46</v>
      </c>
      <c r="D110" s="12" t="s">
        <v>555</v>
      </c>
      <c r="E110" s="12" t="s">
        <v>43</v>
      </c>
      <c r="F110" s="12" t="s">
        <v>212</v>
      </c>
      <c r="G110" s="12" t="s">
        <v>543</v>
      </c>
      <c r="H110" s="12" t="s">
        <v>1233</v>
      </c>
      <c r="I110" s="12" t="s">
        <v>1234</v>
      </c>
      <c r="J110" s="12" t="s">
        <v>160</v>
      </c>
      <c r="K110" s="12" t="s">
        <v>368</v>
      </c>
      <c r="L110" s="12" t="s">
        <v>1068</v>
      </c>
      <c r="M110" s="13" t="s">
        <v>1235</v>
      </c>
      <c r="N110" s="12" t="s">
        <v>337</v>
      </c>
      <c r="O110" s="12" t="s">
        <v>100</v>
      </c>
      <c r="P110" s="12"/>
      <c r="Q110" s="12"/>
      <c r="R110" s="12"/>
      <c r="S110" s="12" t="s">
        <v>182</v>
      </c>
      <c r="T110" s="12" t="s">
        <v>105</v>
      </c>
      <c r="U110" s="12" t="s">
        <v>708</v>
      </c>
      <c r="V110" s="12"/>
      <c r="W110" s="12"/>
      <c r="X110" s="12"/>
      <c r="Y110" s="12" t="s">
        <v>109</v>
      </c>
      <c r="Z110" s="12" t="s">
        <v>167</v>
      </c>
      <c r="AA110" s="12"/>
      <c r="AB110" s="12"/>
      <c r="AC110" s="12"/>
      <c r="AD110" s="12" t="s">
        <v>112</v>
      </c>
      <c r="AE110" s="12" t="s">
        <v>113</v>
      </c>
      <c r="AF110" s="12"/>
      <c r="AG110" s="12" t="s">
        <v>292</v>
      </c>
      <c r="AH110" s="12" t="s">
        <v>115</v>
      </c>
      <c r="AI110" s="12" t="s">
        <v>1236</v>
      </c>
      <c r="AJ110" s="12" t="s">
        <v>1237</v>
      </c>
      <c r="AK110" s="12" t="s">
        <v>1238</v>
      </c>
      <c r="AL110" s="12" t="s">
        <v>119</v>
      </c>
      <c r="AM110" s="12" t="s">
        <v>572</v>
      </c>
      <c r="AN110" s="12" t="s">
        <v>121</v>
      </c>
      <c r="AO110" s="12" t="s">
        <v>337</v>
      </c>
      <c r="AP110" s="12" t="s">
        <v>122</v>
      </c>
      <c r="AQ110" s="12" t="s">
        <v>123</v>
      </c>
      <c r="AR110" s="12" t="s">
        <v>124</v>
      </c>
      <c r="AS110" s="12" t="s">
        <v>1054</v>
      </c>
      <c r="AT110" s="12" t="s">
        <v>125</v>
      </c>
      <c r="AU110" s="12" t="s">
        <v>1161</v>
      </c>
      <c r="AV110" s="12"/>
      <c r="AW110" s="12" t="s">
        <v>155</v>
      </c>
    </row>
  </sheetData>
  <conditionalFormatting sqref="AD2:AD500">
    <cfRule type="cellIs" dxfId="27" priority="1" operator="equal">
      <formula>"Verifiziert"</formula>
    </cfRule>
    <cfRule type="cellIs" dxfId="26" priority="2" operator="equal">
      <formula>"Weiterleitung"</formula>
    </cfRule>
    <cfRule type="cellIs" dxfId="25" priority="3" operator="equal">
      <formula>"Fehler"</formula>
    </cfRule>
    <cfRule type="cellIs" dxfId="24" priority="4" operator="equal">
      <formula>"Nicht prüfbar"</formula>
    </cfRule>
  </conditionalFormatting>
  <conditionalFormatting sqref="AH2:AH500">
    <cfRule type="cellIs" dxfId="23" priority="5" operator="equal">
      <formula>"Bestätigt"</formula>
    </cfRule>
    <cfRule type="cellIs" dxfId="22" priority="6" operator="equal">
      <formula>"Teilweise bestätigt"</formula>
    </cfRule>
    <cfRule type="cellIs" dxfId="21" priority="7" operator="equal">
      <formula>"Offen"</formula>
    </cfRule>
  </conditionalFormatting>
  <dataValidations count="10">
    <dataValidation type="list" allowBlank="1" sqref="B2:B500" xr:uid="{00000000-0002-0000-0100-000000000000}">
      <formula1>"Bund,Kanton,Gemeinde"</formula1>
    </dataValidation>
    <dataValidation type="list" allowBlank="1" sqref="F2:F500" xr:uid="{00000000-0002-0000-0100-000001000000}">
      <formula1>"C1,C2,C3,C4,C5"</formula1>
    </dataValidation>
    <dataValidation type="list" allowBlank="1" sqref="T2:T500" xr:uid="{00000000-0002-0000-0100-000002000000}">
      <formula1>"Noch nicht bewertet,Hoch,Mittel,Gering"</formula1>
    </dataValidation>
    <dataValidation type="list" allowBlank="1" sqref="U2:U500" xr:uid="{00000000-0002-0000-0100-000003000000}">
      <formula1>"Hoch,Mittel,Niedrig"</formula1>
    </dataValidation>
    <dataValidation type="list" allowBlank="1" sqref="Y2:Y500" xr:uid="{00000000-0002-0000-0100-000004000000}">
      <formula1>"Dokument auswerten; Aktualität und Geltung prüfen,In Bearbeitung,Geprüft,Nachforderung offen"</formula1>
    </dataValidation>
    <dataValidation type="list" allowBlank="1" sqref="AD2:AD500" xr:uid="{00000000-0002-0000-0100-000005000000}">
      <formula1>"Verifiziert,Weiterleitung,Fehler,Nicht prüfbar"</formula1>
    </dataValidation>
    <dataValidation type="list" allowBlank="1" sqref="AH2:AH500" xr:uid="{00000000-0002-0000-0100-000006000000}">
      <formula1>"Bestätigt,Teilweise bestätigt,Offen"</formula1>
    </dataValidation>
    <dataValidation type="list" allowBlank="1" sqref="AN2:AN500" xr:uid="{00000000-0002-0000-0100-000007000000}">
      <formula1>"Öffentlich verfügbar und verifiziert,Öffentlich verfügbar – noch nicht geprüft,Nicht öffentlich auffindbar,Nur über Gemeindeanfrage erhältlich,Nicht zugänglich / nicht prüfbar"</formula1>
    </dataValidation>
    <dataValidation type="list" allowBlank="1" sqref="AR2:AR500" xr:uid="{00000000-0002-0000-0100-000008000000}">
      <formula1>"Ja,Nein"</formula1>
    </dataValidation>
    <dataValidation type="list" allowBlank="1" sqref="AT2:AT500" xr:uid="{00000000-0002-0000-0100-000009000000}">
      <formula1>"Offen,In Prüfung,Abgeschlossen"</formula1>
    </dataValidation>
  </dataValidations>
  <hyperlinks>
    <hyperlink ref="M2" r:id="rId1" xr:uid="{00000000-0004-0000-0100-000000000000}"/>
    <hyperlink ref="AC2" r:id="rId2" xr:uid="{00000000-0004-0000-0100-000001000000}"/>
    <hyperlink ref="M3" r:id="rId3" xr:uid="{00000000-0004-0000-0100-000002000000}"/>
    <hyperlink ref="M4" r:id="rId4" xr:uid="{00000000-0004-0000-0100-000003000000}"/>
    <hyperlink ref="AC4" r:id="rId5" xr:uid="{00000000-0004-0000-0100-000004000000}"/>
    <hyperlink ref="M5" r:id="rId6" xr:uid="{00000000-0004-0000-0100-000005000000}"/>
    <hyperlink ref="M6" r:id="rId7" xr:uid="{00000000-0004-0000-0100-000006000000}"/>
    <hyperlink ref="M7" r:id="rId8" xr:uid="{00000000-0004-0000-0100-000007000000}"/>
    <hyperlink ref="M8" r:id="rId9" xr:uid="{00000000-0004-0000-0100-000008000000}"/>
    <hyperlink ref="M9" r:id="rId10" xr:uid="{00000000-0004-0000-0100-000009000000}"/>
    <hyperlink ref="M10" r:id="rId11" xr:uid="{00000000-0004-0000-0100-00000A000000}"/>
    <hyperlink ref="M11" r:id="rId12" xr:uid="{00000000-0004-0000-0100-00000B000000}"/>
    <hyperlink ref="M12" r:id="rId13" xr:uid="{00000000-0004-0000-0100-00000C000000}"/>
    <hyperlink ref="M13" r:id="rId14" xr:uid="{00000000-0004-0000-0100-00000D000000}"/>
    <hyperlink ref="M14" r:id="rId15" xr:uid="{00000000-0004-0000-0100-00000E000000}"/>
    <hyperlink ref="AC14" r:id="rId16" xr:uid="{00000000-0004-0000-0100-00000F000000}"/>
    <hyperlink ref="AF14" r:id="rId17" xr:uid="{00000000-0004-0000-0100-000010000000}"/>
    <hyperlink ref="M15" r:id="rId18" xr:uid="{00000000-0004-0000-0100-000011000000}"/>
    <hyperlink ref="AC15" r:id="rId19" xr:uid="{00000000-0004-0000-0100-000012000000}"/>
    <hyperlink ref="AF15" r:id="rId20" xr:uid="{00000000-0004-0000-0100-000013000000}"/>
    <hyperlink ref="M16" r:id="rId21" xr:uid="{00000000-0004-0000-0100-000014000000}"/>
    <hyperlink ref="AC16" r:id="rId22" xr:uid="{00000000-0004-0000-0100-000015000000}"/>
    <hyperlink ref="M17" r:id="rId23" xr:uid="{00000000-0004-0000-0100-000016000000}"/>
    <hyperlink ref="M18" r:id="rId24" xr:uid="{00000000-0004-0000-0100-000017000000}"/>
    <hyperlink ref="M19" r:id="rId25" xr:uid="{00000000-0004-0000-0100-000018000000}"/>
    <hyperlink ref="M20" r:id="rId26" xr:uid="{00000000-0004-0000-0100-000019000000}"/>
    <hyperlink ref="M21" r:id="rId27" xr:uid="{00000000-0004-0000-0100-00001A000000}"/>
    <hyperlink ref="M22" r:id="rId28" xr:uid="{00000000-0004-0000-0100-00001B000000}"/>
    <hyperlink ref="M23" r:id="rId29" xr:uid="{00000000-0004-0000-0100-00001C000000}"/>
    <hyperlink ref="M24" r:id="rId30" xr:uid="{00000000-0004-0000-0100-00001D000000}"/>
    <hyperlink ref="M25" r:id="rId31" xr:uid="{00000000-0004-0000-0100-00001E000000}"/>
    <hyperlink ref="M26" r:id="rId32" xr:uid="{00000000-0004-0000-0100-00001F000000}"/>
    <hyperlink ref="M27" r:id="rId33" xr:uid="{00000000-0004-0000-0100-000020000000}"/>
    <hyperlink ref="M28" r:id="rId34" xr:uid="{00000000-0004-0000-0100-000021000000}"/>
    <hyperlink ref="M29" r:id="rId35" xr:uid="{00000000-0004-0000-0100-000022000000}"/>
    <hyperlink ref="M30" r:id="rId36" xr:uid="{00000000-0004-0000-0100-000023000000}"/>
    <hyperlink ref="M31" r:id="rId37" xr:uid="{00000000-0004-0000-0100-000024000000}"/>
    <hyperlink ref="M32" r:id="rId38" xr:uid="{00000000-0004-0000-0100-000025000000}"/>
    <hyperlink ref="M33" r:id="rId39" xr:uid="{00000000-0004-0000-0100-000026000000}"/>
    <hyperlink ref="M34" r:id="rId40" xr:uid="{00000000-0004-0000-0100-000027000000}"/>
    <hyperlink ref="M35" r:id="rId41" xr:uid="{00000000-0004-0000-0100-000028000000}"/>
    <hyperlink ref="M36" r:id="rId42" xr:uid="{00000000-0004-0000-0100-000029000000}"/>
    <hyperlink ref="M37" r:id="rId43" xr:uid="{00000000-0004-0000-0100-00002A000000}"/>
    <hyperlink ref="M38" r:id="rId44" xr:uid="{00000000-0004-0000-0100-00002B000000}"/>
    <hyperlink ref="M39" r:id="rId45" xr:uid="{00000000-0004-0000-0100-00002C000000}"/>
    <hyperlink ref="M40" r:id="rId46" xr:uid="{00000000-0004-0000-0100-00002D000000}"/>
    <hyperlink ref="M41" r:id="rId47" xr:uid="{00000000-0004-0000-0100-00002E000000}"/>
    <hyperlink ref="M42" r:id="rId48" xr:uid="{00000000-0004-0000-0100-00002F000000}"/>
    <hyperlink ref="M43" r:id="rId49" xr:uid="{00000000-0004-0000-0100-000030000000}"/>
    <hyperlink ref="M44" r:id="rId50" xr:uid="{00000000-0004-0000-0100-000031000000}"/>
    <hyperlink ref="M45" r:id="rId51" xr:uid="{00000000-0004-0000-0100-000032000000}"/>
    <hyperlink ref="M46" r:id="rId52" xr:uid="{00000000-0004-0000-0100-000033000000}"/>
    <hyperlink ref="M47" r:id="rId53" xr:uid="{00000000-0004-0000-0100-000034000000}"/>
    <hyperlink ref="AC47" r:id="rId54" xr:uid="{00000000-0004-0000-0100-000035000000}"/>
    <hyperlink ref="M48" r:id="rId55" xr:uid="{00000000-0004-0000-0100-000036000000}"/>
    <hyperlink ref="M49" r:id="rId56" xr:uid="{00000000-0004-0000-0100-000037000000}"/>
    <hyperlink ref="AC49" r:id="rId57" xr:uid="{00000000-0004-0000-0100-000038000000}"/>
    <hyperlink ref="M50" r:id="rId58" xr:uid="{00000000-0004-0000-0100-000039000000}"/>
    <hyperlink ref="AC50" r:id="rId59" xr:uid="{00000000-0004-0000-0100-00003A000000}"/>
    <hyperlink ref="M51" r:id="rId60" xr:uid="{00000000-0004-0000-0100-00003B000000}"/>
    <hyperlink ref="AC51" r:id="rId61" xr:uid="{00000000-0004-0000-0100-00003C000000}"/>
    <hyperlink ref="M52" r:id="rId62" xr:uid="{00000000-0004-0000-0100-00003D000000}"/>
    <hyperlink ref="AC52" r:id="rId63" xr:uid="{00000000-0004-0000-0100-00003E000000}"/>
    <hyperlink ref="M53" r:id="rId64" xr:uid="{00000000-0004-0000-0100-00003F000000}"/>
    <hyperlink ref="AC53" r:id="rId65" xr:uid="{00000000-0004-0000-0100-000040000000}"/>
    <hyperlink ref="M54" r:id="rId66" xr:uid="{00000000-0004-0000-0100-000041000000}"/>
    <hyperlink ref="AC54" r:id="rId67" xr:uid="{00000000-0004-0000-0100-000042000000}"/>
    <hyperlink ref="M55" r:id="rId68" xr:uid="{00000000-0004-0000-0100-000043000000}"/>
    <hyperlink ref="M56" r:id="rId69" xr:uid="{00000000-0004-0000-0100-000044000000}"/>
    <hyperlink ref="M57" r:id="rId70" xr:uid="{00000000-0004-0000-0100-000045000000}"/>
    <hyperlink ref="M58" r:id="rId71" xr:uid="{00000000-0004-0000-0100-000046000000}"/>
    <hyperlink ref="M59" r:id="rId72" xr:uid="{00000000-0004-0000-0100-000047000000}"/>
    <hyperlink ref="AC59" r:id="rId73" xr:uid="{00000000-0004-0000-0100-000048000000}"/>
    <hyperlink ref="M60" r:id="rId74" xr:uid="{00000000-0004-0000-0100-000049000000}"/>
    <hyperlink ref="M61" r:id="rId75" xr:uid="{00000000-0004-0000-0100-00004A000000}"/>
    <hyperlink ref="M62" r:id="rId76" xr:uid="{00000000-0004-0000-0100-00004B000000}"/>
    <hyperlink ref="AC62" r:id="rId77" xr:uid="{00000000-0004-0000-0100-00004C000000}"/>
    <hyperlink ref="M63" r:id="rId78" xr:uid="{00000000-0004-0000-0100-00004D000000}"/>
    <hyperlink ref="AC63" r:id="rId79" xr:uid="{00000000-0004-0000-0100-00004E000000}"/>
    <hyperlink ref="M64" r:id="rId80" xr:uid="{00000000-0004-0000-0100-00004F000000}"/>
    <hyperlink ref="M65" r:id="rId81" xr:uid="{00000000-0004-0000-0100-000050000000}"/>
    <hyperlink ref="AC65" r:id="rId82" xr:uid="{00000000-0004-0000-0100-000051000000}"/>
    <hyperlink ref="M66" r:id="rId83" xr:uid="{00000000-0004-0000-0100-000052000000}"/>
    <hyperlink ref="AC66" r:id="rId84" xr:uid="{00000000-0004-0000-0100-000053000000}"/>
    <hyperlink ref="M67" r:id="rId85" xr:uid="{00000000-0004-0000-0100-000054000000}"/>
    <hyperlink ref="AC67" r:id="rId86" xr:uid="{00000000-0004-0000-0100-000055000000}"/>
    <hyperlink ref="M68" r:id="rId87" xr:uid="{00000000-0004-0000-0100-000056000000}"/>
    <hyperlink ref="AC68" r:id="rId88" xr:uid="{00000000-0004-0000-0100-000057000000}"/>
    <hyperlink ref="M69" r:id="rId89" xr:uid="{00000000-0004-0000-0100-000058000000}"/>
    <hyperlink ref="AC69" r:id="rId90" xr:uid="{00000000-0004-0000-0100-000059000000}"/>
    <hyperlink ref="M70" r:id="rId91" xr:uid="{00000000-0004-0000-0100-00005A000000}"/>
    <hyperlink ref="AC70" r:id="rId92" xr:uid="{00000000-0004-0000-0100-00005B000000}"/>
    <hyperlink ref="M71" r:id="rId93" xr:uid="{00000000-0004-0000-0100-00005C000000}"/>
    <hyperlink ref="AC71" r:id="rId94" xr:uid="{00000000-0004-0000-0100-00005D000000}"/>
    <hyperlink ref="M72" r:id="rId95" xr:uid="{00000000-0004-0000-0100-00005E000000}"/>
    <hyperlink ref="M73" r:id="rId96" xr:uid="{00000000-0004-0000-0100-00005F000000}"/>
    <hyperlink ref="M74" r:id="rId97" xr:uid="{00000000-0004-0000-0100-000060000000}"/>
    <hyperlink ref="M75" r:id="rId98" xr:uid="{00000000-0004-0000-0100-000061000000}"/>
    <hyperlink ref="M76" r:id="rId99" xr:uid="{00000000-0004-0000-0100-000062000000}"/>
    <hyperlink ref="M77" r:id="rId100" xr:uid="{00000000-0004-0000-0100-000063000000}"/>
    <hyperlink ref="M78" r:id="rId101" xr:uid="{00000000-0004-0000-0100-000064000000}"/>
    <hyperlink ref="M79" r:id="rId102" xr:uid="{00000000-0004-0000-0100-000065000000}"/>
    <hyperlink ref="AC79" r:id="rId103" xr:uid="{00000000-0004-0000-0100-000066000000}"/>
    <hyperlink ref="M80" r:id="rId104" xr:uid="{00000000-0004-0000-0100-000067000000}"/>
    <hyperlink ref="M81" r:id="rId105" xr:uid="{00000000-0004-0000-0100-000068000000}"/>
    <hyperlink ref="AC81" r:id="rId106" xr:uid="{00000000-0004-0000-0100-000069000000}"/>
    <hyperlink ref="M82" r:id="rId107" xr:uid="{00000000-0004-0000-0100-00006A000000}"/>
    <hyperlink ref="M83" r:id="rId108" xr:uid="{00000000-0004-0000-0100-00006B000000}"/>
    <hyperlink ref="M84" r:id="rId109" xr:uid="{00000000-0004-0000-0100-00006C000000}"/>
    <hyperlink ref="AC84" r:id="rId110" xr:uid="{00000000-0004-0000-0100-00006D000000}"/>
    <hyperlink ref="M85" r:id="rId111" xr:uid="{00000000-0004-0000-0100-00006E000000}"/>
    <hyperlink ref="M86" r:id="rId112" xr:uid="{00000000-0004-0000-0100-00006F000000}"/>
    <hyperlink ref="M87" r:id="rId113" xr:uid="{00000000-0004-0000-0100-000070000000}"/>
    <hyperlink ref="M88" r:id="rId114" xr:uid="{00000000-0004-0000-0100-000071000000}"/>
    <hyperlink ref="M89" r:id="rId115" xr:uid="{00000000-0004-0000-0100-000072000000}"/>
    <hyperlink ref="M90" r:id="rId116" xr:uid="{00000000-0004-0000-0100-000073000000}"/>
    <hyperlink ref="M91" r:id="rId117" xr:uid="{00000000-0004-0000-0100-000074000000}"/>
    <hyperlink ref="M92" r:id="rId118" xr:uid="{00000000-0004-0000-0100-000075000000}"/>
    <hyperlink ref="M93" r:id="rId119" xr:uid="{00000000-0004-0000-0100-000076000000}"/>
    <hyperlink ref="AC93" r:id="rId120" xr:uid="{00000000-0004-0000-0100-000077000000}"/>
    <hyperlink ref="M94" r:id="rId121" xr:uid="{00000000-0004-0000-0100-000078000000}"/>
    <hyperlink ref="AC94" r:id="rId122" xr:uid="{00000000-0004-0000-0100-000079000000}"/>
    <hyperlink ref="M95" r:id="rId123" xr:uid="{00000000-0004-0000-0100-00007A000000}"/>
    <hyperlink ref="M96" r:id="rId124" xr:uid="{00000000-0004-0000-0100-00007B000000}"/>
    <hyperlink ref="AC96" r:id="rId125" xr:uid="{00000000-0004-0000-0100-00007C000000}"/>
    <hyperlink ref="M97" r:id="rId126" xr:uid="{00000000-0004-0000-0100-00007D000000}"/>
    <hyperlink ref="AC97" r:id="rId127" xr:uid="{00000000-0004-0000-0100-00007E000000}"/>
    <hyperlink ref="M98" r:id="rId128" xr:uid="{00000000-0004-0000-0100-00007F000000}"/>
    <hyperlink ref="AC98" r:id="rId129" xr:uid="{00000000-0004-0000-0100-000080000000}"/>
    <hyperlink ref="M99" r:id="rId130" xr:uid="{00000000-0004-0000-0100-000081000000}"/>
    <hyperlink ref="M100" r:id="rId131" xr:uid="{00000000-0004-0000-0100-000082000000}"/>
    <hyperlink ref="AC100" r:id="rId132" xr:uid="{00000000-0004-0000-0100-000083000000}"/>
    <hyperlink ref="M101" r:id="rId133" xr:uid="{00000000-0004-0000-0100-000084000000}"/>
    <hyperlink ref="AC101" r:id="rId134" xr:uid="{00000000-0004-0000-0100-000085000000}"/>
    <hyperlink ref="M102" r:id="rId135" xr:uid="{00000000-0004-0000-0100-000086000000}"/>
    <hyperlink ref="AC102" r:id="rId136" xr:uid="{00000000-0004-0000-0100-000087000000}"/>
    <hyperlink ref="M103" r:id="rId137" xr:uid="{00000000-0004-0000-0100-000088000000}"/>
    <hyperlink ref="M104" r:id="rId138" xr:uid="{00000000-0004-0000-0100-000089000000}"/>
    <hyperlink ref="M105" r:id="rId139" xr:uid="{00000000-0004-0000-0100-00008A000000}"/>
    <hyperlink ref="M106" r:id="rId140" xr:uid="{00000000-0004-0000-0100-00008B000000}"/>
    <hyperlink ref="M107" r:id="rId141" xr:uid="{00000000-0004-0000-0100-00008C000000}"/>
    <hyperlink ref="AC107" r:id="rId142" xr:uid="{00000000-0004-0000-0100-00008D000000}"/>
    <hyperlink ref="M108" r:id="rId143" xr:uid="{00000000-0004-0000-0100-00008E000000}"/>
    <hyperlink ref="M109" r:id="rId144" xr:uid="{00000000-0004-0000-0100-00008F000000}"/>
    <hyperlink ref="M110" r:id="rId145" xr:uid="{00000000-0004-0000-0100-000090000000}"/>
  </hyperlinks>
  <pageMargins left="0.75" right="0.75" top="1" bottom="1" header="0.5" footer="0.5"/>
  <tableParts count="1">
    <tablePart r:id="rId14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X49"/>
  <sheetViews>
    <sheetView showGridLines="0" workbookViewId="0">
      <pane xSplit="7" ySplit="1" topLeftCell="H2" activePane="bottomRight" state="frozen"/>
      <selection pane="bottomRight"/>
      <selection pane="bottomLeft"/>
      <selection pane="topRight"/>
    </sheetView>
  </sheetViews>
  <sheetFormatPr defaultRowHeight="15"/>
  <cols>
    <col min="1" max="1" width="13" customWidth="1"/>
    <col min="2" max="2" width="15" customWidth="1"/>
    <col min="3" max="3" width="14" customWidth="1"/>
    <col min="4" max="4" width="22" customWidth="1"/>
    <col min="5" max="5" width="18" customWidth="1"/>
    <col min="6" max="6" width="15" customWidth="1"/>
    <col min="7" max="7" width="24" customWidth="1"/>
    <col min="8" max="8" width="48" customWidth="1"/>
    <col min="9" max="9" width="21" customWidth="1"/>
    <col min="10" max="10" width="28" customWidth="1"/>
    <col min="11" max="11" width="26" customWidth="1"/>
    <col min="12" max="12" width="24" customWidth="1"/>
    <col min="13" max="13" width="45" customWidth="1"/>
    <col min="14" max="15" width="19" customWidth="1"/>
    <col min="16" max="16" width="54" customWidth="1"/>
    <col min="17" max="17" width="35" customWidth="1"/>
    <col min="18" max="18" width="49" customWidth="1"/>
    <col min="19" max="19" width="32" customWidth="1"/>
    <col min="20" max="20" width="26" customWidth="1"/>
    <col min="21" max="21" width="14" customWidth="1"/>
    <col min="22" max="22" width="44" customWidth="1"/>
    <col min="23" max="23" width="24" customWidth="1"/>
    <col min="24" max="24" width="39" customWidth="1"/>
    <col min="25" max="25" width="40" customWidth="1"/>
    <col min="26" max="26" width="31" customWidth="1"/>
    <col min="27" max="27" width="16" customWidth="1"/>
    <col min="28" max="28" width="18" customWidth="1"/>
    <col min="29" max="29" width="40" customWidth="1"/>
    <col min="30" max="30" width="16" customWidth="1"/>
    <col min="31" max="31" width="12" customWidth="1"/>
    <col min="32" max="32" width="40" customWidth="1"/>
    <col min="33" max="33" width="11" customWidth="1"/>
    <col min="34" max="34" width="18" customWidth="1"/>
    <col min="35" max="35" width="50" customWidth="1"/>
    <col min="36" max="36" width="40" customWidth="1"/>
    <col min="37" max="37" width="18" customWidth="1"/>
    <col min="38" max="38" width="26" customWidth="1"/>
    <col min="39" max="39" width="18" customWidth="1"/>
    <col min="40" max="40" width="30" customWidth="1"/>
    <col min="41" max="41" width="20" customWidth="1"/>
    <col min="42" max="42" width="50" customWidth="1"/>
    <col min="43" max="43" width="44" customWidth="1"/>
    <col min="44" max="44" width="15" customWidth="1"/>
    <col min="45" max="45" width="30" customWidth="1"/>
    <col min="46" max="46" width="16" customWidth="1"/>
    <col min="47" max="47" width="50" customWidth="1"/>
    <col min="48" max="48" width="18" customWidth="1"/>
    <col min="49" max="49" width="50" customWidth="1"/>
    <col min="50" max="50" width="26" customWidth="1"/>
  </cols>
  <sheetData>
    <row r="1" spans="1:50" ht="36" customHeight="1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F1" s="1" t="s">
        <v>49</v>
      </c>
      <c r="G1" s="1" t="s">
        <v>50</v>
      </c>
      <c r="H1" s="1" t="s">
        <v>51</v>
      </c>
      <c r="I1" s="1" t="s">
        <v>52</v>
      </c>
      <c r="J1" s="1" t="s">
        <v>53</v>
      </c>
      <c r="K1" s="1" t="s">
        <v>54</v>
      </c>
      <c r="L1" s="1" t="s">
        <v>55</v>
      </c>
      <c r="M1" s="1" t="s">
        <v>56</v>
      </c>
      <c r="N1" s="1" t="s">
        <v>57</v>
      </c>
      <c r="O1" s="1" t="s">
        <v>58</v>
      </c>
      <c r="P1" s="1" t="s">
        <v>59</v>
      </c>
      <c r="Q1" s="1" t="s">
        <v>60</v>
      </c>
      <c r="R1" s="1" t="s">
        <v>61</v>
      </c>
      <c r="S1" s="1" t="s">
        <v>62</v>
      </c>
      <c r="T1" s="1" t="s">
        <v>63</v>
      </c>
      <c r="U1" s="1" t="s">
        <v>12</v>
      </c>
      <c r="V1" s="1" t="s">
        <v>64</v>
      </c>
      <c r="W1" s="1" t="s">
        <v>65</v>
      </c>
      <c r="X1" s="1" t="s">
        <v>66</v>
      </c>
      <c r="Y1" s="1" t="s">
        <v>67</v>
      </c>
      <c r="Z1" s="1" t="s">
        <v>68</v>
      </c>
      <c r="AA1" s="1" t="s">
        <v>69</v>
      </c>
      <c r="AB1" s="1" t="s">
        <v>70</v>
      </c>
      <c r="AC1" s="1" t="s">
        <v>71</v>
      </c>
      <c r="AD1" s="1" t="s">
        <v>26</v>
      </c>
      <c r="AE1" s="1" t="s">
        <v>72</v>
      </c>
      <c r="AF1" s="1" t="s">
        <v>73</v>
      </c>
      <c r="AG1" s="1" t="s">
        <v>74</v>
      </c>
      <c r="AH1" s="1" t="s">
        <v>28</v>
      </c>
      <c r="AI1" s="1" t="s">
        <v>75</v>
      </c>
      <c r="AJ1" s="1" t="s">
        <v>76</v>
      </c>
      <c r="AK1" s="1" t="s">
        <v>77</v>
      </c>
      <c r="AL1" s="1" t="s">
        <v>78</v>
      </c>
      <c r="AM1" s="1" t="s">
        <v>79</v>
      </c>
      <c r="AN1" s="1" t="s">
        <v>30</v>
      </c>
      <c r="AO1" s="1" t="s">
        <v>80</v>
      </c>
      <c r="AP1" s="1" t="s">
        <v>81</v>
      </c>
      <c r="AQ1" s="1" t="s">
        <v>82</v>
      </c>
      <c r="AR1" s="1" t="s">
        <v>83</v>
      </c>
      <c r="AS1" s="1" t="s">
        <v>84</v>
      </c>
      <c r="AT1" s="1" t="s">
        <v>85</v>
      </c>
      <c r="AU1" s="1" t="s">
        <v>86</v>
      </c>
      <c r="AV1" s="1" t="s">
        <v>87</v>
      </c>
      <c r="AW1" s="1" t="s">
        <v>88</v>
      </c>
      <c r="AX1" s="1" t="s">
        <v>1239</v>
      </c>
    </row>
    <row r="2" spans="1:50" ht="42.95" customHeight="1">
      <c r="A2" s="12" t="s">
        <v>89</v>
      </c>
      <c r="B2" s="7" t="s">
        <v>90</v>
      </c>
      <c r="C2" s="12" t="s">
        <v>46</v>
      </c>
      <c r="D2" s="12" t="s">
        <v>91</v>
      </c>
      <c r="E2" s="12" t="s">
        <v>91</v>
      </c>
      <c r="F2" s="12" t="s">
        <v>92</v>
      </c>
      <c r="G2" s="12" t="s">
        <v>93</v>
      </c>
      <c r="H2" s="12" t="s">
        <v>94</v>
      </c>
      <c r="I2" s="12" t="s">
        <v>95</v>
      </c>
      <c r="J2" s="12" t="s">
        <v>96</v>
      </c>
      <c r="K2" s="12" t="s">
        <v>97</v>
      </c>
      <c r="L2" s="12" t="s">
        <v>90</v>
      </c>
      <c r="M2" s="13" t="s">
        <v>98</v>
      </c>
      <c r="N2" s="12" t="s">
        <v>99</v>
      </c>
      <c r="O2" s="12" t="s">
        <v>100</v>
      </c>
      <c r="P2" s="12" t="s">
        <v>101</v>
      </c>
      <c r="Q2" s="12" t="s">
        <v>102</v>
      </c>
      <c r="R2" s="12" t="s">
        <v>103</v>
      </c>
      <c r="S2" s="12" t="s">
        <v>104</v>
      </c>
      <c r="T2" s="12" t="s">
        <v>105</v>
      </c>
      <c r="U2" s="12" t="s">
        <v>106</v>
      </c>
      <c r="V2" s="12"/>
      <c r="W2" s="12" t="s">
        <v>107</v>
      </c>
      <c r="X2" s="12" t="s">
        <v>108</v>
      </c>
      <c r="Y2" s="12" t="s">
        <v>109</v>
      </c>
      <c r="Z2" s="12" t="s">
        <v>110</v>
      </c>
      <c r="AA2" s="12"/>
      <c r="AB2" s="12"/>
      <c r="AC2" s="13" t="s">
        <v>111</v>
      </c>
      <c r="AD2" s="12" t="s">
        <v>112</v>
      </c>
      <c r="AE2" s="12" t="s">
        <v>113</v>
      </c>
      <c r="AF2" s="12"/>
      <c r="AG2" s="12" t="s">
        <v>114</v>
      </c>
      <c r="AH2" s="12" t="s">
        <v>115</v>
      </c>
      <c r="AI2" s="12" t="s">
        <v>116</v>
      </c>
      <c r="AJ2" s="12" t="s">
        <v>117</v>
      </c>
      <c r="AK2" s="12" t="s">
        <v>118</v>
      </c>
      <c r="AL2" s="12" t="s">
        <v>119</v>
      </c>
      <c r="AM2" s="12" t="s">
        <v>120</v>
      </c>
      <c r="AN2" s="12" t="s">
        <v>121</v>
      </c>
      <c r="AO2" s="12" t="s">
        <v>99</v>
      </c>
      <c r="AP2" s="12" t="s">
        <v>122</v>
      </c>
      <c r="AQ2" s="12" t="s">
        <v>123</v>
      </c>
      <c r="AR2" s="12" t="s">
        <v>124</v>
      </c>
      <c r="AS2" s="12" t="s">
        <v>90</v>
      </c>
      <c r="AT2" s="12" t="s">
        <v>125</v>
      </c>
      <c r="AU2" s="12"/>
      <c r="AV2" s="12"/>
      <c r="AW2" s="12"/>
      <c r="AX2" s="12" t="str">
        <f>IF(ISNA(MATCH($A2,Gesamtübersicht!$A:$A,0)),"ID fehlt in Gesamtübersicht",IF(AND(INDEX(Gesamtübersicht!$H:$H,MATCH($A2,Gesamtübersicht!$A:$A,0))&amp;""=$H2&amp;"",INDEX(Gesamtübersicht!$M:$M,MATCH($A2,Gesamtübersicht!$A:$A,0))&amp;""=$M2&amp;"",INDEX(Gesamtübersicht!$AD:$AD,MATCH($A2,Gesamtübersicht!$A:$A,0))&amp;""=$AD2&amp;"",INDEX(Gesamtübersicht!$AH:$AH,MATCH($A2,Gesamtübersicht!$A:$A,0))&amp;""=$AH2&amp;"",INDEX(Gesamtübersicht!$T:$T,MATCH($A2,Gesamtübersicht!$A:$A,0))&amp;""=$T2&amp;""),"OK","Abweichung – Ansicht neu erzeugen"))</f>
        <v>OK</v>
      </c>
    </row>
    <row r="3" spans="1:50" ht="42.95" customHeight="1">
      <c r="A3" s="2" t="s">
        <v>126</v>
      </c>
      <c r="B3" s="7" t="s">
        <v>90</v>
      </c>
      <c r="C3" s="2" t="s">
        <v>46</v>
      </c>
      <c r="D3" s="2" t="s">
        <v>91</v>
      </c>
      <c r="E3" s="2" t="s">
        <v>91</v>
      </c>
      <c r="F3" s="2" t="s">
        <v>92</v>
      </c>
      <c r="G3" s="2" t="s">
        <v>127</v>
      </c>
      <c r="H3" s="2" t="s">
        <v>128</v>
      </c>
      <c r="I3" s="2" t="s">
        <v>129</v>
      </c>
      <c r="J3" s="2" t="s">
        <v>96</v>
      </c>
      <c r="K3" s="2" t="s">
        <v>97</v>
      </c>
      <c r="L3" s="2" t="s">
        <v>90</v>
      </c>
      <c r="M3" s="3" t="s">
        <v>130</v>
      </c>
      <c r="N3" s="2" t="s">
        <v>99</v>
      </c>
      <c r="O3" s="2" t="s">
        <v>100</v>
      </c>
      <c r="P3" s="2" t="s">
        <v>131</v>
      </c>
      <c r="Q3" s="2" t="s">
        <v>132</v>
      </c>
      <c r="R3" s="2" t="s">
        <v>133</v>
      </c>
      <c r="S3" s="2" t="s">
        <v>134</v>
      </c>
      <c r="T3" s="2" t="s">
        <v>105</v>
      </c>
      <c r="U3" s="2" t="s">
        <v>106</v>
      </c>
      <c r="V3" s="2"/>
      <c r="W3" s="2" t="s">
        <v>135</v>
      </c>
      <c r="X3" s="2" t="s">
        <v>136</v>
      </c>
      <c r="Y3" s="2" t="s">
        <v>109</v>
      </c>
      <c r="Z3" s="2" t="s">
        <v>110</v>
      </c>
      <c r="AA3" s="2"/>
      <c r="AB3" s="2"/>
      <c r="AC3" s="2"/>
      <c r="AD3" s="2" t="s">
        <v>112</v>
      </c>
      <c r="AE3" s="2" t="s">
        <v>113</v>
      </c>
      <c r="AF3" s="2"/>
      <c r="AG3" s="2" t="s">
        <v>114</v>
      </c>
      <c r="AH3" s="2" t="s">
        <v>115</v>
      </c>
      <c r="AI3" s="2" t="s">
        <v>116</v>
      </c>
      <c r="AJ3" s="2" t="s">
        <v>137</v>
      </c>
      <c r="AK3" s="2" t="s">
        <v>138</v>
      </c>
      <c r="AL3" s="2" t="s">
        <v>119</v>
      </c>
      <c r="AM3" s="2" t="s">
        <v>120</v>
      </c>
      <c r="AN3" s="2" t="s">
        <v>121</v>
      </c>
      <c r="AO3" s="2" t="s">
        <v>99</v>
      </c>
      <c r="AP3" s="2" t="s">
        <v>122</v>
      </c>
      <c r="AQ3" s="2" t="s">
        <v>123</v>
      </c>
      <c r="AR3" s="2" t="s">
        <v>124</v>
      </c>
      <c r="AS3" s="2" t="s">
        <v>90</v>
      </c>
      <c r="AT3" s="2" t="s">
        <v>125</v>
      </c>
      <c r="AU3" s="2"/>
      <c r="AV3" s="2"/>
      <c r="AW3" s="2"/>
      <c r="AX3" s="2" t="str">
        <f>IF(ISNA(MATCH($A3,Gesamtübersicht!$A:$A,0)),"ID fehlt in Gesamtübersicht",IF(AND(INDEX(Gesamtübersicht!$H:$H,MATCH($A3,Gesamtübersicht!$A:$A,0))&amp;""=$H3&amp;"",INDEX(Gesamtübersicht!$M:$M,MATCH($A3,Gesamtübersicht!$A:$A,0))&amp;""=$M3&amp;"",INDEX(Gesamtübersicht!$AD:$AD,MATCH($A3,Gesamtübersicht!$A:$A,0))&amp;""=$AD3&amp;"",INDEX(Gesamtübersicht!$AH:$AH,MATCH($A3,Gesamtübersicht!$A:$A,0))&amp;""=$AH3&amp;"",INDEX(Gesamtübersicht!$T:$T,MATCH($A3,Gesamtübersicht!$A:$A,0))&amp;""=$T3&amp;""),"OK","Abweichung – Ansicht neu erzeugen"))</f>
        <v>OK</v>
      </c>
    </row>
    <row r="4" spans="1:50" ht="42.95" customHeight="1">
      <c r="A4" s="12" t="s">
        <v>139</v>
      </c>
      <c r="B4" s="7" t="s">
        <v>90</v>
      </c>
      <c r="C4" s="12" t="s">
        <v>46</v>
      </c>
      <c r="D4" s="12" t="s">
        <v>91</v>
      </c>
      <c r="E4" s="12" t="s">
        <v>91</v>
      </c>
      <c r="F4" s="12" t="s">
        <v>92</v>
      </c>
      <c r="G4" s="12" t="s">
        <v>140</v>
      </c>
      <c r="H4" s="12" t="s">
        <v>141</v>
      </c>
      <c r="I4" s="12" t="s">
        <v>129</v>
      </c>
      <c r="J4" s="12" t="s">
        <v>142</v>
      </c>
      <c r="K4" s="12" t="s">
        <v>143</v>
      </c>
      <c r="L4" s="12" t="s">
        <v>144</v>
      </c>
      <c r="M4" s="13" t="s">
        <v>145</v>
      </c>
      <c r="N4" s="12"/>
      <c r="O4" s="12" t="s">
        <v>100</v>
      </c>
      <c r="P4" s="12" t="s">
        <v>146</v>
      </c>
      <c r="Q4" s="12" t="s">
        <v>147</v>
      </c>
      <c r="R4" s="12"/>
      <c r="S4" s="12" t="s">
        <v>134</v>
      </c>
      <c r="T4" s="12" t="s">
        <v>105</v>
      </c>
      <c r="U4" s="12" t="s">
        <v>106</v>
      </c>
      <c r="V4" s="12"/>
      <c r="W4" s="12" t="s">
        <v>92</v>
      </c>
      <c r="X4" s="12" t="s">
        <v>148</v>
      </c>
      <c r="Y4" s="12" t="s">
        <v>109</v>
      </c>
      <c r="Z4" s="12" t="s">
        <v>149</v>
      </c>
      <c r="AA4" s="12"/>
      <c r="AB4" s="12"/>
      <c r="AC4" s="13" t="s">
        <v>98</v>
      </c>
      <c r="AD4" s="12" t="s">
        <v>112</v>
      </c>
      <c r="AE4" s="12" t="s">
        <v>113</v>
      </c>
      <c r="AF4" s="12"/>
      <c r="AG4" s="12" t="s">
        <v>114</v>
      </c>
      <c r="AH4" s="12" t="s">
        <v>115</v>
      </c>
      <c r="AI4" s="12" t="s">
        <v>150</v>
      </c>
      <c r="AJ4" s="12" t="s">
        <v>151</v>
      </c>
      <c r="AK4" s="12" t="s">
        <v>152</v>
      </c>
      <c r="AL4" s="12" t="s">
        <v>119</v>
      </c>
      <c r="AM4" s="12" t="s">
        <v>153</v>
      </c>
      <c r="AN4" s="12" t="s">
        <v>121</v>
      </c>
      <c r="AO4" s="12"/>
      <c r="AP4" s="12" t="s">
        <v>122</v>
      </c>
      <c r="AQ4" s="12" t="s">
        <v>123</v>
      </c>
      <c r="AR4" s="12" t="s">
        <v>124</v>
      </c>
      <c r="AS4" s="12" t="s">
        <v>144</v>
      </c>
      <c r="AT4" s="12" t="s">
        <v>125</v>
      </c>
      <c r="AU4" s="12" t="s">
        <v>154</v>
      </c>
      <c r="AV4" s="12"/>
      <c r="AW4" s="12" t="s">
        <v>155</v>
      </c>
      <c r="AX4" s="12" t="str">
        <f>IF(ISNA(MATCH($A4,Gesamtübersicht!$A:$A,0)),"ID fehlt in Gesamtübersicht",IF(AND(INDEX(Gesamtübersicht!$H:$H,MATCH($A4,Gesamtübersicht!$A:$A,0))&amp;""=$H4&amp;"",INDEX(Gesamtübersicht!$M:$M,MATCH($A4,Gesamtübersicht!$A:$A,0))&amp;""=$M4&amp;"",INDEX(Gesamtübersicht!$AD:$AD,MATCH($A4,Gesamtübersicht!$A:$A,0))&amp;""=$AD4&amp;"",INDEX(Gesamtübersicht!$AH:$AH,MATCH($A4,Gesamtübersicht!$A:$A,0))&amp;""=$AH4&amp;"",INDEX(Gesamtübersicht!$T:$T,MATCH($A4,Gesamtübersicht!$A:$A,0))&amp;""=$T4&amp;""),"OK","Abweichung – Ansicht neu erzeugen"))</f>
        <v>OK</v>
      </c>
    </row>
    <row r="5" spans="1:50" ht="42.95" customHeight="1">
      <c r="A5" s="2" t="s">
        <v>156</v>
      </c>
      <c r="B5" s="7" t="s">
        <v>90</v>
      </c>
      <c r="C5" s="2" t="s">
        <v>46</v>
      </c>
      <c r="D5" s="2" t="s">
        <v>91</v>
      </c>
      <c r="E5" s="2" t="s">
        <v>91</v>
      </c>
      <c r="F5" s="2" t="s">
        <v>92</v>
      </c>
      <c r="G5" s="2" t="s">
        <v>157</v>
      </c>
      <c r="H5" s="2" t="s">
        <v>158</v>
      </c>
      <c r="I5" s="2" t="s">
        <v>159</v>
      </c>
      <c r="J5" s="2" t="s">
        <v>160</v>
      </c>
      <c r="K5" s="2" t="s">
        <v>161</v>
      </c>
      <c r="L5" s="2" t="s">
        <v>162</v>
      </c>
      <c r="M5" s="3" t="s">
        <v>163</v>
      </c>
      <c r="N5" s="2"/>
      <c r="O5" s="2" t="s">
        <v>100</v>
      </c>
      <c r="P5" s="2" t="s">
        <v>164</v>
      </c>
      <c r="Q5" s="2" t="s">
        <v>165</v>
      </c>
      <c r="R5" s="2"/>
      <c r="S5" s="2" t="s">
        <v>134</v>
      </c>
      <c r="T5" s="2" t="s">
        <v>105</v>
      </c>
      <c r="U5" s="2" t="s">
        <v>166</v>
      </c>
      <c r="V5" s="2"/>
      <c r="W5" s="2"/>
      <c r="X5" s="2"/>
      <c r="Y5" s="2" t="s">
        <v>109</v>
      </c>
      <c r="Z5" s="2" t="s">
        <v>167</v>
      </c>
      <c r="AA5" s="2"/>
      <c r="AB5" s="2"/>
      <c r="AC5" s="2"/>
      <c r="AD5" s="2" t="s">
        <v>112</v>
      </c>
      <c r="AE5" s="2" t="s">
        <v>113</v>
      </c>
      <c r="AF5" s="2"/>
      <c r="AG5" s="2" t="s">
        <v>114</v>
      </c>
      <c r="AH5" s="2" t="s">
        <v>115</v>
      </c>
      <c r="AI5" s="2" t="s">
        <v>168</v>
      </c>
      <c r="AJ5" s="2" t="s">
        <v>169</v>
      </c>
      <c r="AK5" s="2" t="s">
        <v>170</v>
      </c>
      <c r="AL5" s="2" t="s">
        <v>119</v>
      </c>
      <c r="AM5" s="2" t="s">
        <v>153</v>
      </c>
      <c r="AN5" s="2" t="s">
        <v>121</v>
      </c>
      <c r="AO5" s="2"/>
      <c r="AP5" s="2" t="s">
        <v>122</v>
      </c>
      <c r="AQ5" s="2" t="s">
        <v>123</v>
      </c>
      <c r="AR5" s="2" t="s">
        <v>124</v>
      </c>
      <c r="AS5" s="2" t="s">
        <v>162</v>
      </c>
      <c r="AT5" s="2" t="s">
        <v>125</v>
      </c>
      <c r="AU5" s="2"/>
      <c r="AV5" s="2"/>
      <c r="AW5" s="2" t="s">
        <v>155</v>
      </c>
      <c r="AX5" s="2" t="str">
        <f>IF(ISNA(MATCH($A5,Gesamtübersicht!$A:$A,0)),"ID fehlt in Gesamtübersicht",IF(AND(INDEX(Gesamtübersicht!$H:$H,MATCH($A5,Gesamtübersicht!$A:$A,0))&amp;""=$H5&amp;"",INDEX(Gesamtübersicht!$M:$M,MATCH($A5,Gesamtübersicht!$A:$A,0))&amp;""=$M5&amp;"",INDEX(Gesamtübersicht!$AD:$AD,MATCH($A5,Gesamtübersicht!$A:$A,0))&amp;""=$AD5&amp;"",INDEX(Gesamtübersicht!$AH:$AH,MATCH($A5,Gesamtübersicht!$A:$A,0))&amp;""=$AH5&amp;"",INDEX(Gesamtübersicht!$T:$T,MATCH($A5,Gesamtübersicht!$A:$A,0))&amp;""=$T5&amp;""),"OK","Abweichung – Ansicht neu erzeugen"))</f>
        <v>OK</v>
      </c>
    </row>
    <row r="6" spans="1:50" ht="42.95" customHeight="1">
      <c r="A6" s="12" t="s">
        <v>171</v>
      </c>
      <c r="B6" s="7" t="s">
        <v>90</v>
      </c>
      <c r="C6" s="12" t="s">
        <v>46</v>
      </c>
      <c r="D6" s="12" t="s">
        <v>91</v>
      </c>
      <c r="E6" s="12" t="s">
        <v>91</v>
      </c>
      <c r="F6" s="12" t="s">
        <v>172</v>
      </c>
      <c r="G6" s="12" t="s">
        <v>173</v>
      </c>
      <c r="H6" s="12" t="s">
        <v>174</v>
      </c>
      <c r="I6" s="12" t="s">
        <v>175</v>
      </c>
      <c r="J6" s="12" t="s">
        <v>96</v>
      </c>
      <c r="K6" s="12" t="s">
        <v>176</v>
      </c>
      <c r="L6" s="12" t="s">
        <v>90</v>
      </c>
      <c r="M6" s="13" t="s">
        <v>177</v>
      </c>
      <c r="N6" s="12" t="s">
        <v>178</v>
      </c>
      <c r="O6" s="12" t="s">
        <v>100</v>
      </c>
      <c r="P6" s="12" t="s">
        <v>179</v>
      </c>
      <c r="Q6" s="12" t="s">
        <v>180</v>
      </c>
      <c r="R6" s="12" t="s">
        <v>181</v>
      </c>
      <c r="S6" s="12" t="s">
        <v>182</v>
      </c>
      <c r="T6" s="12" t="s">
        <v>105</v>
      </c>
      <c r="U6" s="12" t="s">
        <v>106</v>
      </c>
      <c r="V6" s="12"/>
      <c r="W6" s="12" t="s">
        <v>183</v>
      </c>
      <c r="X6" s="12" t="s">
        <v>184</v>
      </c>
      <c r="Y6" s="12" t="s">
        <v>109</v>
      </c>
      <c r="Z6" s="12" t="s">
        <v>110</v>
      </c>
      <c r="AA6" s="12"/>
      <c r="AB6" s="12"/>
      <c r="AC6" s="12"/>
      <c r="AD6" s="12" t="s">
        <v>112</v>
      </c>
      <c r="AE6" s="12" t="s">
        <v>113</v>
      </c>
      <c r="AF6" s="12"/>
      <c r="AG6" s="12" t="s">
        <v>114</v>
      </c>
      <c r="AH6" s="12" t="s">
        <v>115</v>
      </c>
      <c r="AI6" s="12" t="s">
        <v>185</v>
      </c>
      <c r="AJ6" s="12" t="s">
        <v>186</v>
      </c>
      <c r="AK6" s="12"/>
      <c r="AL6" s="12" t="s">
        <v>187</v>
      </c>
      <c r="AM6" s="12" t="s">
        <v>120</v>
      </c>
      <c r="AN6" s="12" t="s">
        <v>121</v>
      </c>
      <c r="AO6" s="12" t="s">
        <v>178</v>
      </c>
      <c r="AP6" s="12" t="s">
        <v>122</v>
      </c>
      <c r="AQ6" s="12" t="s">
        <v>123</v>
      </c>
      <c r="AR6" s="12" t="s">
        <v>124</v>
      </c>
      <c r="AS6" s="12" t="s">
        <v>90</v>
      </c>
      <c r="AT6" s="12" t="s">
        <v>125</v>
      </c>
      <c r="AU6" s="12"/>
      <c r="AV6" s="12"/>
      <c r="AW6" s="12"/>
      <c r="AX6" s="12" t="str">
        <f>IF(ISNA(MATCH($A6,Gesamtübersicht!$A:$A,0)),"ID fehlt in Gesamtübersicht",IF(AND(INDEX(Gesamtübersicht!$H:$H,MATCH($A6,Gesamtübersicht!$A:$A,0))&amp;""=$H6&amp;"",INDEX(Gesamtübersicht!$M:$M,MATCH($A6,Gesamtübersicht!$A:$A,0))&amp;""=$M6&amp;"",INDEX(Gesamtübersicht!$AD:$AD,MATCH($A6,Gesamtübersicht!$A:$A,0))&amp;""=$AD6&amp;"",INDEX(Gesamtübersicht!$AH:$AH,MATCH($A6,Gesamtübersicht!$A:$A,0))&amp;""=$AH6&amp;"",INDEX(Gesamtübersicht!$T:$T,MATCH($A6,Gesamtübersicht!$A:$A,0))&amp;""=$T6&amp;""),"OK","Abweichung – Ansicht neu erzeugen"))</f>
        <v>OK</v>
      </c>
    </row>
    <row r="7" spans="1:50" ht="42.95" customHeight="1">
      <c r="A7" s="2" t="s">
        <v>188</v>
      </c>
      <c r="B7" s="7" t="s">
        <v>90</v>
      </c>
      <c r="C7" s="2" t="s">
        <v>46</v>
      </c>
      <c r="D7" s="2" t="s">
        <v>91</v>
      </c>
      <c r="E7" s="2" t="s">
        <v>91</v>
      </c>
      <c r="F7" s="2" t="s">
        <v>172</v>
      </c>
      <c r="G7" s="2" t="s">
        <v>189</v>
      </c>
      <c r="H7" s="2" t="s">
        <v>190</v>
      </c>
      <c r="I7" s="2" t="s">
        <v>175</v>
      </c>
      <c r="J7" s="2" t="s">
        <v>160</v>
      </c>
      <c r="K7" s="2" t="s">
        <v>176</v>
      </c>
      <c r="L7" s="2" t="s">
        <v>90</v>
      </c>
      <c r="M7" s="3" t="s">
        <v>191</v>
      </c>
      <c r="N7" s="2" t="s">
        <v>192</v>
      </c>
      <c r="O7" s="2" t="s">
        <v>100</v>
      </c>
      <c r="P7" s="2" t="s">
        <v>193</v>
      </c>
      <c r="Q7" s="2" t="s">
        <v>194</v>
      </c>
      <c r="R7" s="2"/>
      <c r="S7" s="2" t="s">
        <v>182</v>
      </c>
      <c r="T7" s="2" t="s">
        <v>105</v>
      </c>
      <c r="U7" s="2" t="s">
        <v>106</v>
      </c>
      <c r="V7" s="2"/>
      <c r="W7" s="2" t="s">
        <v>183</v>
      </c>
      <c r="X7" s="2"/>
      <c r="Y7" s="2" t="s">
        <v>109</v>
      </c>
      <c r="Z7" s="2" t="s">
        <v>195</v>
      </c>
      <c r="AA7" s="2"/>
      <c r="AB7" s="2"/>
      <c r="AC7" s="2"/>
      <c r="AD7" s="2" t="s">
        <v>112</v>
      </c>
      <c r="AE7" s="2" t="s">
        <v>113</v>
      </c>
      <c r="AF7" s="2"/>
      <c r="AG7" s="2" t="s">
        <v>114</v>
      </c>
      <c r="AH7" s="2" t="s">
        <v>115</v>
      </c>
      <c r="AI7" s="2" t="s">
        <v>196</v>
      </c>
      <c r="AJ7" s="2" t="s">
        <v>197</v>
      </c>
      <c r="AK7" s="2"/>
      <c r="AL7" s="2" t="s">
        <v>187</v>
      </c>
      <c r="AM7" s="2" t="s">
        <v>153</v>
      </c>
      <c r="AN7" s="2" t="s">
        <v>121</v>
      </c>
      <c r="AO7" s="2" t="s">
        <v>192</v>
      </c>
      <c r="AP7" s="2" t="s">
        <v>122</v>
      </c>
      <c r="AQ7" s="2" t="s">
        <v>123</v>
      </c>
      <c r="AR7" s="2" t="s">
        <v>124</v>
      </c>
      <c r="AS7" s="2" t="s">
        <v>90</v>
      </c>
      <c r="AT7" s="2" t="s">
        <v>125</v>
      </c>
      <c r="AU7" s="2"/>
      <c r="AV7" s="2"/>
      <c r="AW7" s="2" t="s">
        <v>155</v>
      </c>
      <c r="AX7" s="2" t="str">
        <f>IF(ISNA(MATCH($A7,Gesamtübersicht!$A:$A,0)),"ID fehlt in Gesamtübersicht",IF(AND(INDEX(Gesamtübersicht!$H:$H,MATCH($A7,Gesamtübersicht!$A:$A,0))&amp;""=$H7&amp;"",INDEX(Gesamtübersicht!$M:$M,MATCH($A7,Gesamtübersicht!$A:$A,0))&amp;""=$M7&amp;"",INDEX(Gesamtübersicht!$AD:$AD,MATCH($A7,Gesamtübersicht!$A:$A,0))&amp;""=$AD7&amp;"",INDEX(Gesamtübersicht!$AH:$AH,MATCH($A7,Gesamtübersicht!$A:$A,0))&amp;""=$AH7&amp;"",INDEX(Gesamtübersicht!$T:$T,MATCH($A7,Gesamtübersicht!$A:$A,0))&amp;""=$T7&amp;""),"OK","Abweichung – Ansicht neu erzeugen"))</f>
        <v>OK</v>
      </c>
    </row>
    <row r="8" spans="1:50" ht="42.95" customHeight="1">
      <c r="A8" s="12" t="s">
        <v>198</v>
      </c>
      <c r="B8" s="7" t="s">
        <v>90</v>
      </c>
      <c r="C8" s="12" t="s">
        <v>46</v>
      </c>
      <c r="D8" s="12" t="s">
        <v>91</v>
      </c>
      <c r="E8" s="12" t="s">
        <v>91</v>
      </c>
      <c r="F8" s="12" t="s">
        <v>199</v>
      </c>
      <c r="G8" s="12" t="s">
        <v>200</v>
      </c>
      <c r="H8" s="12" t="s">
        <v>201</v>
      </c>
      <c r="I8" s="12" t="s">
        <v>202</v>
      </c>
      <c r="J8" s="12" t="s">
        <v>96</v>
      </c>
      <c r="K8" s="12" t="s">
        <v>203</v>
      </c>
      <c r="L8" s="12" t="s">
        <v>90</v>
      </c>
      <c r="M8" s="13" t="s">
        <v>204</v>
      </c>
      <c r="N8" s="12" t="s">
        <v>205</v>
      </c>
      <c r="O8" s="12" t="s">
        <v>100</v>
      </c>
      <c r="P8" s="12" t="s">
        <v>206</v>
      </c>
      <c r="Q8" s="12" t="s">
        <v>207</v>
      </c>
      <c r="R8" s="12" t="s">
        <v>208</v>
      </c>
      <c r="S8" s="12" t="s">
        <v>209</v>
      </c>
      <c r="T8" s="12" t="s">
        <v>105</v>
      </c>
      <c r="U8" s="12" t="s">
        <v>106</v>
      </c>
      <c r="V8" s="12"/>
      <c r="W8" s="12" t="s">
        <v>210</v>
      </c>
      <c r="X8" s="12" t="s">
        <v>211</v>
      </c>
      <c r="Y8" s="12" t="s">
        <v>109</v>
      </c>
      <c r="Z8" s="12" t="s">
        <v>110</v>
      </c>
      <c r="AA8" s="12" t="s">
        <v>212</v>
      </c>
      <c r="AB8" s="12"/>
      <c r="AC8" s="12"/>
      <c r="AD8" s="12" t="s">
        <v>112</v>
      </c>
      <c r="AE8" s="12" t="s">
        <v>113</v>
      </c>
      <c r="AF8" s="12"/>
      <c r="AG8" s="12" t="s">
        <v>114</v>
      </c>
      <c r="AH8" s="12" t="s">
        <v>115</v>
      </c>
      <c r="AI8" s="12" t="s">
        <v>213</v>
      </c>
      <c r="AJ8" s="12" t="s">
        <v>214</v>
      </c>
      <c r="AK8" s="12"/>
      <c r="AL8" s="12" t="s">
        <v>187</v>
      </c>
      <c r="AM8" s="12" t="s">
        <v>120</v>
      </c>
      <c r="AN8" s="12" t="s">
        <v>121</v>
      </c>
      <c r="AO8" s="12" t="s">
        <v>205</v>
      </c>
      <c r="AP8" s="12" t="s">
        <v>122</v>
      </c>
      <c r="AQ8" s="12" t="s">
        <v>123</v>
      </c>
      <c r="AR8" s="12" t="s">
        <v>124</v>
      </c>
      <c r="AS8" s="12" t="s">
        <v>90</v>
      </c>
      <c r="AT8" s="12" t="s">
        <v>125</v>
      </c>
      <c r="AU8" s="12"/>
      <c r="AV8" s="12" t="s">
        <v>215</v>
      </c>
      <c r="AW8" s="12"/>
      <c r="AX8" s="12" t="str">
        <f>IF(ISNA(MATCH($A8,Gesamtübersicht!$A:$A,0)),"ID fehlt in Gesamtübersicht",IF(AND(INDEX(Gesamtübersicht!$H:$H,MATCH($A8,Gesamtübersicht!$A:$A,0))&amp;""=$H8&amp;"",INDEX(Gesamtübersicht!$M:$M,MATCH($A8,Gesamtübersicht!$A:$A,0))&amp;""=$M8&amp;"",INDEX(Gesamtübersicht!$AD:$AD,MATCH($A8,Gesamtübersicht!$A:$A,0))&amp;""=$AD8&amp;"",INDEX(Gesamtübersicht!$AH:$AH,MATCH($A8,Gesamtübersicht!$A:$A,0))&amp;""=$AH8&amp;"",INDEX(Gesamtübersicht!$T:$T,MATCH($A8,Gesamtübersicht!$A:$A,0))&amp;""=$T8&amp;""),"OK","Abweichung – Ansicht neu erzeugen"))</f>
        <v>OK</v>
      </c>
    </row>
    <row r="9" spans="1:50" ht="42.95" customHeight="1">
      <c r="A9" s="2" t="s">
        <v>216</v>
      </c>
      <c r="B9" s="7" t="s">
        <v>90</v>
      </c>
      <c r="C9" s="2" t="s">
        <v>46</v>
      </c>
      <c r="D9" s="2" t="s">
        <v>91</v>
      </c>
      <c r="E9" s="2" t="s">
        <v>91</v>
      </c>
      <c r="F9" s="2" t="s">
        <v>217</v>
      </c>
      <c r="G9" s="2" t="s">
        <v>218</v>
      </c>
      <c r="H9" s="2" t="s">
        <v>219</v>
      </c>
      <c r="I9" s="2" t="s">
        <v>175</v>
      </c>
      <c r="J9" s="2" t="s">
        <v>96</v>
      </c>
      <c r="K9" s="2" t="s">
        <v>220</v>
      </c>
      <c r="L9" s="2" t="s">
        <v>90</v>
      </c>
      <c r="M9" s="3" t="s">
        <v>221</v>
      </c>
      <c r="N9" s="2" t="s">
        <v>222</v>
      </c>
      <c r="O9" s="2" t="s">
        <v>100</v>
      </c>
      <c r="P9" s="2" t="s">
        <v>223</v>
      </c>
      <c r="Q9" s="2" t="s">
        <v>224</v>
      </c>
      <c r="R9" s="2" t="s">
        <v>225</v>
      </c>
      <c r="S9" s="2" t="s">
        <v>209</v>
      </c>
      <c r="T9" s="2" t="s">
        <v>105</v>
      </c>
      <c r="U9" s="2" t="s">
        <v>106</v>
      </c>
      <c r="V9" s="2"/>
      <c r="W9" s="2" t="s">
        <v>226</v>
      </c>
      <c r="X9" s="2" t="s">
        <v>227</v>
      </c>
      <c r="Y9" s="2" t="s">
        <v>109</v>
      </c>
      <c r="Z9" s="2" t="s">
        <v>110</v>
      </c>
      <c r="AA9" s="2"/>
      <c r="AB9" s="2"/>
      <c r="AC9" s="2"/>
      <c r="AD9" s="2" t="s">
        <v>112</v>
      </c>
      <c r="AE9" s="2" t="s">
        <v>113</v>
      </c>
      <c r="AF9" s="2"/>
      <c r="AG9" s="2" t="s">
        <v>114</v>
      </c>
      <c r="AH9" s="2" t="s">
        <v>115</v>
      </c>
      <c r="AI9" s="2" t="s">
        <v>228</v>
      </c>
      <c r="AJ9" s="2" t="s">
        <v>229</v>
      </c>
      <c r="AK9" s="2" t="s">
        <v>230</v>
      </c>
      <c r="AL9" s="2" t="s">
        <v>187</v>
      </c>
      <c r="AM9" s="2" t="s">
        <v>120</v>
      </c>
      <c r="AN9" s="2" t="s">
        <v>121</v>
      </c>
      <c r="AO9" s="2" t="s">
        <v>222</v>
      </c>
      <c r="AP9" s="2" t="s">
        <v>122</v>
      </c>
      <c r="AQ9" s="2" t="s">
        <v>123</v>
      </c>
      <c r="AR9" s="2" t="s">
        <v>124</v>
      </c>
      <c r="AS9" s="2" t="s">
        <v>90</v>
      </c>
      <c r="AT9" s="2" t="s">
        <v>125</v>
      </c>
      <c r="AU9" s="2"/>
      <c r="AV9" s="2"/>
      <c r="AW9" s="2"/>
      <c r="AX9" s="2" t="str">
        <f>IF(ISNA(MATCH($A9,Gesamtübersicht!$A:$A,0)),"ID fehlt in Gesamtübersicht",IF(AND(INDEX(Gesamtübersicht!$H:$H,MATCH($A9,Gesamtübersicht!$A:$A,0))&amp;""=$H9&amp;"",INDEX(Gesamtübersicht!$M:$M,MATCH($A9,Gesamtübersicht!$A:$A,0))&amp;""=$M9&amp;"",INDEX(Gesamtübersicht!$AD:$AD,MATCH($A9,Gesamtübersicht!$A:$A,0))&amp;""=$AD9&amp;"",INDEX(Gesamtübersicht!$AH:$AH,MATCH($A9,Gesamtübersicht!$A:$A,0))&amp;""=$AH9&amp;"",INDEX(Gesamtübersicht!$T:$T,MATCH($A9,Gesamtübersicht!$A:$A,0))&amp;""=$T9&amp;""),"OK","Abweichung – Ansicht neu erzeugen"))</f>
        <v>OK</v>
      </c>
    </row>
    <row r="10" spans="1:50" ht="42.95" customHeight="1">
      <c r="A10" s="12" t="s">
        <v>231</v>
      </c>
      <c r="B10" s="7" t="s">
        <v>90</v>
      </c>
      <c r="C10" s="12" t="s">
        <v>46</v>
      </c>
      <c r="D10" s="12" t="s">
        <v>91</v>
      </c>
      <c r="E10" s="12" t="s">
        <v>91</v>
      </c>
      <c r="F10" s="12" t="s">
        <v>217</v>
      </c>
      <c r="G10" s="12" t="s">
        <v>232</v>
      </c>
      <c r="H10" s="12" t="s">
        <v>233</v>
      </c>
      <c r="I10" s="12" t="s">
        <v>159</v>
      </c>
      <c r="J10" s="12" t="s">
        <v>160</v>
      </c>
      <c r="K10" s="12" t="s">
        <v>161</v>
      </c>
      <c r="L10" s="12" t="s">
        <v>234</v>
      </c>
      <c r="M10" s="13" t="s">
        <v>235</v>
      </c>
      <c r="N10" s="12" t="s">
        <v>236</v>
      </c>
      <c r="O10" s="12" t="s">
        <v>100</v>
      </c>
      <c r="P10" s="12" t="s">
        <v>237</v>
      </c>
      <c r="Q10" s="12"/>
      <c r="R10" s="12"/>
      <c r="S10" s="12" t="s">
        <v>238</v>
      </c>
      <c r="T10" s="12" t="s">
        <v>105</v>
      </c>
      <c r="U10" s="12" t="s">
        <v>166</v>
      </c>
      <c r="V10" s="12"/>
      <c r="W10" s="12"/>
      <c r="X10" s="12"/>
      <c r="Y10" s="12" t="s">
        <v>109</v>
      </c>
      <c r="Z10" s="12" t="s">
        <v>167</v>
      </c>
      <c r="AA10" s="12" t="s">
        <v>92</v>
      </c>
      <c r="AB10" s="12"/>
      <c r="AC10" s="12"/>
      <c r="AD10" s="12" t="s">
        <v>112</v>
      </c>
      <c r="AE10" s="12" t="s">
        <v>113</v>
      </c>
      <c r="AF10" s="12"/>
      <c r="AG10" s="12" t="s">
        <v>114</v>
      </c>
      <c r="AH10" s="12" t="s">
        <v>115</v>
      </c>
      <c r="AI10" s="12" t="s">
        <v>239</v>
      </c>
      <c r="AJ10" s="12" t="s">
        <v>240</v>
      </c>
      <c r="AK10" s="12" t="s">
        <v>241</v>
      </c>
      <c r="AL10" s="12" t="s">
        <v>119</v>
      </c>
      <c r="AM10" s="12" t="s">
        <v>153</v>
      </c>
      <c r="AN10" s="12" t="s">
        <v>121</v>
      </c>
      <c r="AO10" s="12" t="s">
        <v>236</v>
      </c>
      <c r="AP10" s="12" t="s">
        <v>122</v>
      </c>
      <c r="AQ10" s="12" t="s">
        <v>123</v>
      </c>
      <c r="AR10" s="12" t="s">
        <v>124</v>
      </c>
      <c r="AS10" s="12" t="s">
        <v>234</v>
      </c>
      <c r="AT10" s="12" t="s">
        <v>125</v>
      </c>
      <c r="AU10" s="12" t="s">
        <v>242</v>
      </c>
      <c r="AV10" s="12"/>
      <c r="AW10" s="12" t="s">
        <v>155</v>
      </c>
      <c r="AX10" s="12" t="str">
        <f>IF(ISNA(MATCH($A10,Gesamtübersicht!$A:$A,0)),"ID fehlt in Gesamtübersicht",IF(AND(INDEX(Gesamtübersicht!$H:$H,MATCH($A10,Gesamtübersicht!$A:$A,0))&amp;""=$H10&amp;"",INDEX(Gesamtübersicht!$M:$M,MATCH($A10,Gesamtübersicht!$A:$A,0))&amp;""=$M10&amp;"",INDEX(Gesamtübersicht!$AD:$AD,MATCH($A10,Gesamtübersicht!$A:$A,0))&amp;""=$AD10&amp;"",INDEX(Gesamtübersicht!$AH:$AH,MATCH($A10,Gesamtübersicht!$A:$A,0))&amp;""=$AH10&amp;"",INDEX(Gesamtübersicht!$T:$T,MATCH($A10,Gesamtübersicht!$A:$A,0))&amp;""=$T10&amp;""),"OK","Abweichung – Ansicht neu erzeugen"))</f>
        <v>OK</v>
      </c>
    </row>
    <row r="11" spans="1:50" ht="42.95" customHeight="1">
      <c r="A11" s="2" t="s">
        <v>215</v>
      </c>
      <c r="B11" s="7" t="s">
        <v>90</v>
      </c>
      <c r="C11" s="2" t="s">
        <v>46</v>
      </c>
      <c r="D11" s="2" t="s">
        <v>91</v>
      </c>
      <c r="E11" s="2" t="s">
        <v>91</v>
      </c>
      <c r="F11" s="2" t="s">
        <v>212</v>
      </c>
      <c r="G11" s="2" t="s">
        <v>243</v>
      </c>
      <c r="H11" s="2" t="s">
        <v>201</v>
      </c>
      <c r="I11" s="2" t="s">
        <v>202</v>
      </c>
      <c r="J11" s="2" t="s">
        <v>96</v>
      </c>
      <c r="K11" s="2" t="s">
        <v>203</v>
      </c>
      <c r="L11" s="2" t="s">
        <v>90</v>
      </c>
      <c r="M11" s="3" t="s">
        <v>204</v>
      </c>
      <c r="N11" s="2" t="s">
        <v>205</v>
      </c>
      <c r="O11" s="2" t="s">
        <v>100</v>
      </c>
      <c r="P11" s="2" t="s">
        <v>244</v>
      </c>
      <c r="Q11" s="2" t="s">
        <v>245</v>
      </c>
      <c r="R11" s="2" t="s">
        <v>246</v>
      </c>
      <c r="S11" s="2" t="s">
        <v>209</v>
      </c>
      <c r="T11" s="2" t="s">
        <v>105</v>
      </c>
      <c r="U11" s="2" t="s">
        <v>106</v>
      </c>
      <c r="V11" s="2"/>
      <c r="W11" s="2" t="s">
        <v>247</v>
      </c>
      <c r="X11" s="2" t="s">
        <v>248</v>
      </c>
      <c r="Y11" s="2" t="s">
        <v>109</v>
      </c>
      <c r="Z11" s="2" t="s">
        <v>110</v>
      </c>
      <c r="AA11" s="2" t="s">
        <v>199</v>
      </c>
      <c r="AB11" s="2"/>
      <c r="AC11" s="2"/>
      <c r="AD11" s="2" t="s">
        <v>112</v>
      </c>
      <c r="AE11" s="2" t="s">
        <v>113</v>
      </c>
      <c r="AF11" s="2"/>
      <c r="AG11" s="2" t="s">
        <v>114</v>
      </c>
      <c r="AH11" s="2" t="s">
        <v>115</v>
      </c>
      <c r="AI11" s="2" t="s">
        <v>213</v>
      </c>
      <c r="AJ11" s="2" t="s">
        <v>214</v>
      </c>
      <c r="AK11" s="2"/>
      <c r="AL11" s="2" t="s">
        <v>187</v>
      </c>
      <c r="AM11" s="2" t="s">
        <v>120</v>
      </c>
      <c r="AN11" s="2" t="s">
        <v>121</v>
      </c>
      <c r="AO11" s="2" t="s">
        <v>205</v>
      </c>
      <c r="AP11" s="2" t="s">
        <v>122</v>
      </c>
      <c r="AQ11" s="2" t="s">
        <v>123</v>
      </c>
      <c r="AR11" s="2" t="s">
        <v>124</v>
      </c>
      <c r="AS11" s="2" t="s">
        <v>90</v>
      </c>
      <c r="AT11" s="2" t="s">
        <v>125</v>
      </c>
      <c r="AU11" s="2" t="s">
        <v>249</v>
      </c>
      <c r="AV11" s="2" t="s">
        <v>198</v>
      </c>
      <c r="AW11" s="2"/>
      <c r="AX11" s="2" t="str">
        <f>IF(ISNA(MATCH($A11,Gesamtübersicht!$A:$A,0)),"ID fehlt in Gesamtübersicht",IF(AND(INDEX(Gesamtübersicht!$H:$H,MATCH($A11,Gesamtübersicht!$A:$A,0))&amp;""=$H11&amp;"",INDEX(Gesamtübersicht!$M:$M,MATCH($A11,Gesamtübersicht!$A:$A,0))&amp;""=$M11&amp;"",INDEX(Gesamtübersicht!$AD:$AD,MATCH($A11,Gesamtübersicht!$A:$A,0))&amp;""=$AD11&amp;"",INDEX(Gesamtübersicht!$AH:$AH,MATCH($A11,Gesamtübersicht!$A:$A,0))&amp;""=$AH11&amp;"",INDEX(Gesamtübersicht!$T:$T,MATCH($A11,Gesamtübersicht!$A:$A,0))&amp;""=$T11&amp;""),"OK","Abweichung – Ansicht neu erzeugen"))</f>
        <v>OK</v>
      </c>
    </row>
    <row r="12" spans="1:50" ht="42.95" customHeight="1">
      <c r="A12" s="12" t="s">
        <v>250</v>
      </c>
      <c r="B12" s="8" t="s">
        <v>47</v>
      </c>
      <c r="C12" s="12" t="s">
        <v>46</v>
      </c>
      <c r="D12" s="12" t="s">
        <v>251</v>
      </c>
      <c r="E12" s="12" t="s">
        <v>91</v>
      </c>
      <c r="F12" s="12" t="s">
        <v>92</v>
      </c>
      <c r="G12" s="12" t="s">
        <v>252</v>
      </c>
      <c r="H12" s="12" t="s">
        <v>253</v>
      </c>
      <c r="I12" s="12" t="s">
        <v>254</v>
      </c>
      <c r="J12" s="12" t="s">
        <v>96</v>
      </c>
      <c r="K12" s="12" t="s">
        <v>97</v>
      </c>
      <c r="L12" s="12" t="s">
        <v>255</v>
      </c>
      <c r="M12" s="13" t="s">
        <v>256</v>
      </c>
      <c r="N12" s="12" t="s">
        <v>99</v>
      </c>
      <c r="O12" s="12" t="s">
        <v>100</v>
      </c>
      <c r="P12" s="12" t="s">
        <v>257</v>
      </c>
      <c r="Q12" s="12" t="s">
        <v>258</v>
      </c>
      <c r="R12" s="12" t="s">
        <v>259</v>
      </c>
      <c r="S12" s="12" t="s">
        <v>260</v>
      </c>
      <c r="T12" s="12" t="s">
        <v>105</v>
      </c>
      <c r="U12" s="12" t="s">
        <v>166</v>
      </c>
      <c r="V12" s="12" t="s">
        <v>261</v>
      </c>
      <c r="W12" s="12" t="s">
        <v>135</v>
      </c>
      <c r="X12" s="12" t="s">
        <v>262</v>
      </c>
      <c r="Y12" s="12" t="s">
        <v>109</v>
      </c>
      <c r="Z12" s="12" t="s">
        <v>263</v>
      </c>
      <c r="AA12" s="12"/>
      <c r="AB12" s="12"/>
      <c r="AC12" s="12"/>
      <c r="AD12" s="12" t="s">
        <v>112</v>
      </c>
      <c r="AE12" s="12" t="s">
        <v>113</v>
      </c>
      <c r="AF12" s="12"/>
      <c r="AG12" s="12" t="s">
        <v>114</v>
      </c>
      <c r="AH12" s="12" t="s">
        <v>115</v>
      </c>
      <c r="AI12" s="12" t="s">
        <v>264</v>
      </c>
      <c r="AJ12" s="12" t="s">
        <v>265</v>
      </c>
      <c r="AK12" s="12" t="s">
        <v>266</v>
      </c>
      <c r="AL12" s="12" t="s">
        <v>267</v>
      </c>
      <c r="AM12" s="12" t="s">
        <v>120</v>
      </c>
      <c r="AN12" s="12" t="s">
        <v>121</v>
      </c>
      <c r="AO12" s="12" t="s">
        <v>99</v>
      </c>
      <c r="AP12" s="12" t="s">
        <v>122</v>
      </c>
      <c r="AQ12" s="12" t="s">
        <v>123</v>
      </c>
      <c r="AR12" s="12" t="s">
        <v>124</v>
      </c>
      <c r="AS12" s="12" t="s">
        <v>255</v>
      </c>
      <c r="AT12" s="12" t="s">
        <v>125</v>
      </c>
      <c r="AU12" s="12"/>
      <c r="AV12" s="12"/>
      <c r="AW12" s="12"/>
      <c r="AX12" s="12" t="str">
        <f>IF(ISNA(MATCH($A12,Gesamtübersicht!$A:$A,0)),"ID fehlt in Gesamtübersicht",IF(AND(INDEX(Gesamtübersicht!$H:$H,MATCH($A12,Gesamtübersicht!$A:$A,0))&amp;""=$H12&amp;"",INDEX(Gesamtübersicht!$M:$M,MATCH($A12,Gesamtübersicht!$A:$A,0))&amp;""=$M12&amp;"",INDEX(Gesamtübersicht!$AD:$AD,MATCH($A12,Gesamtübersicht!$A:$A,0))&amp;""=$AD12&amp;"",INDEX(Gesamtübersicht!$AH:$AH,MATCH($A12,Gesamtübersicht!$A:$A,0))&amp;""=$AH12&amp;"",INDEX(Gesamtübersicht!$T:$T,MATCH($A12,Gesamtübersicht!$A:$A,0))&amp;""=$T12&amp;""),"OK","Abweichung – Ansicht neu erzeugen"))</f>
        <v>OK</v>
      </c>
    </row>
    <row r="13" spans="1:50" ht="42.95" customHeight="1">
      <c r="A13" s="2" t="s">
        <v>268</v>
      </c>
      <c r="B13" s="8" t="s">
        <v>47</v>
      </c>
      <c r="C13" s="2" t="s">
        <v>46</v>
      </c>
      <c r="D13" s="2" t="s">
        <v>251</v>
      </c>
      <c r="E13" s="2" t="s">
        <v>91</v>
      </c>
      <c r="F13" s="2" t="s">
        <v>92</v>
      </c>
      <c r="G13" s="2" t="s">
        <v>269</v>
      </c>
      <c r="H13" s="2" t="s">
        <v>270</v>
      </c>
      <c r="I13" s="2" t="s">
        <v>254</v>
      </c>
      <c r="J13" s="2" t="s">
        <v>96</v>
      </c>
      <c r="K13" s="2" t="s">
        <v>97</v>
      </c>
      <c r="L13" s="2" t="s">
        <v>255</v>
      </c>
      <c r="M13" s="3" t="s">
        <v>271</v>
      </c>
      <c r="N13" s="2" t="s">
        <v>99</v>
      </c>
      <c r="O13" s="2" t="s">
        <v>100</v>
      </c>
      <c r="P13" s="2" t="s">
        <v>272</v>
      </c>
      <c r="Q13" s="2" t="s">
        <v>273</v>
      </c>
      <c r="R13" s="2" t="s">
        <v>274</v>
      </c>
      <c r="S13" s="2" t="s">
        <v>134</v>
      </c>
      <c r="T13" s="2" t="s">
        <v>105</v>
      </c>
      <c r="U13" s="2" t="s">
        <v>166</v>
      </c>
      <c r="V13" s="2" t="s">
        <v>261</v>
      </c>
      <c r="W13" s="2" t="s">
        <v>275</v>
      </c>
      <c r="X13" s="2" t="s">
        <v>276</v>
      </c>
      <c r="Y13" s="2" t="s">
        <v>109</v>
      </c>
      <c r="Z13" s="2" t="s">
        <v>263</v>
      </c>
      <c r="AA13" s="2"/>
      <c r="AB13" s="2"/>
      <c r="AC13" s="2"/>
      <c r="AD13" s="2" t="s">
        <v>112</v>
      </c>
      <c r="AE13" s="2" t="s">
        <v>113</v>
      </c>
      <c r="AF13" s="2"/>
      <c r="AG13" s="2" t="s">
        <v>114</v>
      </c>
      <c r="AH13" s="2" t="s">
        <v>115</v>
      </c>
      <c r="AI13" s="2" t="s">
        <v>277</v>
      </c>
      <c r="AJ13" s="2" t="s">
        <v>278</v>
      </c>
      <c r="AK13" s="2" t="s">
        <v>279</v>
      </c>
      <c r="AL13" s="2" t="s">
        <v>119</v>
      </c>
      <c r="AM13" s="2" t="s">
        <v>120</v>
      </c>
      <c r="AN13" s="2" t="s">
        <v>121</v>
      </c>
      <c r="AO13" s="2" t="s">
        <v>99</v>
      </c>
      <c r="AP13" s="2" t="s">
        <v>122</v>
      </c>
      <c r="AQ13" s="2" t="s">
        <v>123</v>
      </c>
      <c r="AR13" s="2" t="s">
        <v>124</v>
      </c>
      <c r="AS13" s="2" t="s">
        <v>255</v>
      </c>
      <c r="AT13" s="2" t="s">
        <v>125</v>
      </c>
      <c r="AU13" s="2"/>
      <c r="AV13" s="2"/>
      <c r="AW13" s="2"/>
      <c r="AX13" s="2" t="str">
        <f>IF(ISNA(MATCH($A13,Gesamtübersicht!$A:$A,0)),"ID fehlt in Gesamtübersicht",IF(AND(INDEX(Gesamtübersicht!$H:$H,MATCH($A13,Gesamtübersicht!$A:$A,0))&amp;""=$H13&amp;"",INDEX(Gesamtübersicht!$M:$M,MATCH($A13,Gesamtübersicht!$A:$A,0))&amp;""=$M13&amp;"",INDEX(Gesamtübersicht!$AD:$AD,MATCH($A13,Gesamtübersicht!$A:$A,0))&amp;""=$AD13&amp;"",INDEX(Gesamtübersicht!$AH:$AH,MATCH($A13,Gesamtübersicht!$A:$A,0))&amp;""=$AH13&amp;"",INDEX(Gesamtübersicht!$T:$T,MATCH($A13,Gesamtübersicht!$A:$A,0))&amp;""=$T13&amp;""),"OK","Abweichung – Ansicht neu erzeugen"))</f>
        <v>OK</v>
      </c>
    </row>
    <row r="14" spans="1:50" ht="42.95" customHeight="1">
      <c r="A14" s="12" t="s">
        <v>280</v>
      </c>
      <c r="B14" s="8" t="s">
        <v>47</v>
      </c>
      <c r="C14" s="12" t="s">
        <v>46</v>
      </c>
      <c r="D14" s="12" t="s">
        <v>251</v>
      </c>
      <c r="E14" s="12" t="s">
        <v>91</v>
      </c>
      <c r="F14" s="12" t="s">
        <v>92</v>
      </c>
      <c r="G14" s="12" t="s">
        <v>281</v>
      </c>
      <c r="H14" s="12" t="s">
        <v>282</v>
      </c>
      <c r="I14" s="12" t="s">
        <v>283</v>
      </c>
      <c r="J14" s="12" t="s">
        <v>160</v>
      </c>
      <c r="K14" s="12" t="s">
        <v>161</v>
      </c>
      <c r="L14" s="12" t="s">
        <v>284</v>
      </c>
      <c r="M14" s="13" t="s">
        <v>285</v>
      </c>
      <c r="N14" s="12" t="s">
        <v>286</v>
      </c>
      <c r="O14" s="12" t="s">
        <v>100</v>
      </c>
      <c r="P14" s="12" t="s">
        <v>287</v>
      </c>
      <c r="Q14" s="12" t="s">
        <v>288</v>
      </c>
      <c r="R14" s="12"/>
      <c r="S14" s="12" t="s">
        <v>134</v>
      </c>
      <c r="T14" s="12" t="s">
        <v>105</v>
      </c>
      <c r="U14" s="12" t="s">
        <v>106</v>
      </c>
      <c r="V14" s="12"/>
      <c r="W14" s="12" t="s">
        <v>135</v>
      </c>
      <c r="X14" s="12" t="s">
        <v>289</v>
      </c>
      <c r="Y14" s="12" t="s">
        <v>109</v>
      </c>
      <c r="Z14" s="12" t="s">
        <v>167</v>
      </c>
      <c r="AA14" s="12"/>
      <c r="AB14" s="12"/>
      <c r="AC14" s="13" t="s">
        <v>256</v>
      </c>
      <c r="AD14" s="12" t="s">
        <v>290</v>
      </c>
      <c r="AE14" s="12" t="s">
        <v>113</v>
      </c>
      <c r="AF14" s="13" t="s">
        <v>291</v>
      </c>
      <c r="AG14" s="12" t="s">
        <v>292</v>
      </c>
      <c r="AH14" s="12" t="s">
        <v>115</v>
      </c>
      <c r="AI14" s="12" t="s">
        <v>293</v>
      </c>
      <c r="AJ14" s="12" t="s">
        <v>294</v>
      </c>
      <c r="AK14" s="12" t="s">
        <v>295</v>
      </c>
      <c r="AL14" s="12" t="s">
        <v>119</v>
      </c>
      <c r="AM14" s="12" t="s">
        <v>153</v>
      </c>
      <c r="AN14" s="12" t="s">
        <v>121</v>
      </c>
      <c r="AO14" s="12" t="s">
        <v>286</v>
      </c>
      <c r="AP14" s="12" t="s">
        <v>122</v>
      </c>
      <c r="AQ14" s="12" t="s">
        <v>123</v>
      </c>
      <c r="AR14" s="12" t="s">
        <v>124</v>
      </c>
      <c r="AS14" s="12" t="s">
        <v>284</v>
      </c>
      <c r="AT14" s="12" t="s">
        <v>125</v>
      </c>
      <c r="AU14" s="12"/>
      <c r="AV14" s="12"/>
      <c r="AW14" s="12" t="s">
        <v>155</v>
      </c>
      <c r="AX14" s="12" t="str">
        <f>IF(ISNA(MATCH($A14,Gesamtübersicht!$A:$A,0)),"ID fehlt in Gesamtübersicht",IF(AND(INDEX(Gesamtübersicht!$H:$H,MATCH($A14,Gesamtübersicht!$A:$A,0))&amp;""=$H14&amp;"",INDEX(Gesamtübersicht!$M:$M,MATCH($A14,Gesamtübersicht!$A:$A,0))&amp;""=$M14&amp;"",INDEX(Gesamtübersicht!$AD:$AD,MATCH($A14,Gesamtübersicht!$A:$A,0))&amp;""=$AD14&amp;"",INDEX(Gesamtübersicht!$AH:$AH,MATCH($A14,Gesamtübersicht!$A:$A,0))&amp;""=$AH14&amp;"",INDEX(Gesamtübersicht!$T:$T,MATCH($A14,Gesamtübersicht!$A:$A,0))&amp;""=$T14&amp;""),"OK","Abweichung – Ansicht neu erzeugen"))</f>
        <v>OK</v>
      </c>
    </row>
    <row r="15" spans="1:50" ht="42.95" customHeight="1">
      <c r="A15" s="2" t="s">
        <v>296</v>
      </c>
      <c r="B15" s="8" t="s">
        <v>47</v>
      </c>
      <c r="C15" s="2" t="s">
        <v>46</v>
      </c>
      <c r="D15" s="2" t="s">
        <v>251</v>
      </c>
      <c r="E15" s="2" t="s">
        <v>91</v>
      </c>
      <c r="F15" s="2" t="s">
        <v>92</v>
      </c>
      <c r="G15" s="2" t="s">
        <v>281</v>
      </c>
      <c r="H15" s="2" t="s">
        <v>297</v>
      </c>
      <c r="I15" s="2" t="s">
        <v>283</v>
      </c>
      <c r="J15" s="2" t="s">
        <v>160</v>
      </c>
      <c r="K15" s="2" t="s">
        <v>161</v>
      </c>
      <c r="L15" s="2" t="s">
        <v>284</v>
      </c>
      <c r="M15" s="3" t="s">
        <v>298</v>
      </c>
      <c r="N15" s="2" t="s">
        <v>299</v>
      </c>
      <c r="O15" s="2" t="s">
        <v>100</v>
      </c>
      <c r="P15" s="2" t="s">
        <v>300</v>
      </c>
      <c r="Q15" s="2" t="s">
        <v>301</v>
      </c>
      <c r="R15" s="2"/>
      <c r="S15" s="2" t="s">
        <v>134</v>
      </c>
      <c r="T15" s="2" t="s">
        <v>105</v>
      </c>
      <c r="U15" s="2" t="s">
        <v>106</v>
      </c>
      <c r="V15" s="2"/>
      <c r="W15" s="2"/>
      <c r="X15" s="2"/>
      <c r="Y15" s="2" t="s">
        <v>109</v>
      </c>
      <c r="Z15" s="2" t="s">
        <v>167</v>
      </c>
      <c r="AA15" s="2"/>
      <c r="AB15" s="2"/>
      <c r="AC15" s="3" t="s">
        <v>256</v>
      </c>
      <c r="AD15" s="2" t="s">
        <v>290</v>
      </c>
      <c r="AE15" s="2" t="s">
        <v>113</v>
      </c>
      <c r="AF15" s="3" t="s">
        <v>302</v>
      </c>
      <c r="AG15" s="2" t="s">
        <v>292</v>
      </c>
      <c r="AH15" s="2" t="s">
        <v>115</v>
      </c>
      <c r="AI15" s="2" t="s">
        <v>293</v>
      </c>
      <c r="AJ15" s="2" t="s">
        <v>303</v>
      </c>
      <c r="AK15" s="2" t="s">
        <v>304</v>
      </c>
      <c r="AL15" s="2" t="s">
        <v>119</v>
      </c>
      <c r="AM15" s="2" t="s">
        <v>153</v>
      </c>
      <c r="AN15" s="2" t="s">
        <v>121</v>
      </c>
      <c r="AO15" s="2" t="s">
        <v>299</v>
      </c>
      <c r="AP15" s="2" t="s">
        <v>122</v>
      </c>
      <c r="AQ15" s="2" t="s">
        <v>123</v>
      </c>
      <c r="AR15" s="2" t="s">
        <v>124</v>
      </c>
      <c r="AS15" s="2" t="s">
        <v>284</v>
      </c>
      <c r="AT15" s="2" t="s">
        <v>125</v>
      </c>
      <c r="AU15" s="2"/>
      <c r="AV15" s="2"/>
      <c r="AW15" s="2" t="s">
        <v>155</v>
      </c>
      <c r="AX15" s="2" t="str">
        <f>IF(ISNA(MATCH($A15,Gesamtübersicht!$A:$A,0)),"ID fehlt in Gesamtübersicht",IF(AND(INDEX(Gesamtübersicht!$H:$H,MATCH($A15,Gesamtübersicht!$A:$A,0))&amp;""=$H15&amp;"",INDEX(Gesamtübersicht!$M:$M,MATCH($A15,Gesamtübersicht!$A:$A,0))&amp;""=$M15&amp;"",INDEX(Gesamtübersicht!$AD:$AD,MATCH($A15,Gesamtübersicht!$A:$A,0))&amp;""=$AD15&amp;"",INDEX(Gesamtübersicht!$AH:$AH,MATCH($A15,Gesamtübersicht!$A:$A,0))&amp;""=$AH15&amp;"",INDEX(Gesamtübersicht!$T:$T,MATCH($A15,Gesamtübersicht!$A:$A,0))&amp;""=$T15&amp;""),"OK","Abweichung – Ansicht neu erzeugen"))</f>
        <v>OK</v>
      </c>
    </row>
    <row r="16" spans="1:50" ht="42.95" customHeight="1">
      <c r="A16" s="12" t="s">
        <v>305</v>
      </c>
      <c r="B16" s="8" t="s">
        <v>47</v>
      </c>
      <c r="C16" s="12" t="s">
        <v>46</v>
      </c>
      <c r="D16" s="12" t="s">
        <v>251</v>
      </c>
      <c r="E16" s="12" t="s">
        <v>91</v>
      </c>
      <c r="F16" s="12" t="s">
        <v>92</v>
      </c>
      <c r="G16" s="12" t="s">
        <v>306</v>
      </c>
      <c r="H16" s="12" t="s">
        <v>307</v>
      </c>
      <c r="I16" s="12" t="s">
        <v>308</v>
      </c>
      <c r="J16" s="12" t="s">
        <v>160</v>
      </c>
      <c r="K16" s="12" t="s">
        <v>309</v>
      </c>
      <c r="L16" s="12" t="s">
        <v>310</v>
      </c>
      <c r="M16" s="13" t="s">
        <v>311</v>
      </c>
      <c r="N16" s="12" t="s">
        <v>312</v>
      </c>
      <c r="O16" s="12" t="s">
        <v>100</v>
      </c>
      <c r="P16" s="12" t="s">
        <v>313</v>
      </c>
      <c r="Q16" s="12"/>
      <c r="R16" s="12"/>
      <c r="S16" s="12" t="s">
        <v>134</v>
      </c>
      <c r="T16" s="12" t="s">
        <v>105</v>
      </c>
      <c r="U16" s="12" t="s">
        <v>106</v>
      </c>
      <c r="V16" s="12"/>
      <c r="W16" s="12"/>
      <c r="X16" s="12"/>
      <c r="Y16" s="12" t="s">
        <v>109</v>
      </c>
      <c r="Z16" s="12" t="s">
        <v>167</v>
      </c>
      <c r="AA16" s="12"/>
      <c r="AB16" s="12"/>
      <c r="AC16" s="13" t="s">
        <v>314</v>
      </c>
      <c r="AD16" s="12" t="s">
        <v>112</v>
      </c>
      <c r="AE16" s="12" t="s">
        <v>113</v>
      </c>
      <c r="AF16" s="12"/>
      <c r="AG16" s="12" t="s">
        <v>292</v>
      </c>
      <c r="AH16" s="12" t="s">
        <v>115</v>
      </c>
      <c r="AI16" s="12" t="s">
        <v>315</v>
      </c>
      <c r="AJ16" s="12" t="s">
        <v>316</v>
      </c>
      <c r="AK16" s="12" t="s">
        <v>317</v>
      </c>
      <c r="AL16" s="12" t="s">
        <v>318</v>
      </c>
      <c r="AM16" s="12" t="s">
        <v>153</v>
      </c>
      <c r="AN16" s="12" t="s">
        <v>121</v>
      </c>
      <c r="AO16" s="12" t="s">
        <v>312</v>
      </c>
      <c r="AP16" s="12" t="s">
        <v>122</v>
      </c>
      <c r="AQ16" s="12" t="s">
        <v>123</v>
      </c>
      <c r="AR16" s="12" t="s">
        <v>124</v>
      </c>
      <c r="AS16" s="12" t="s">
        <v>310</v>
      </c>
      <c r="AT16" s="12" t="s">
        <v>125</v>
      </c>
      <c r="AU16" s="12" t="s">
        <v>319</v>
      </c>
      <c r="AV16" s="12"/>
      <c r="AW16" s="12" t="s">
        <v>155</v>
      </c>
      <c r="AX16" s="12" t="str">
        <f>IF(ISNA(MATCH($A16,Gesamtübersicht!$A:$A,0)),"ID fehlt in Gesamtübersicht",IF(AND(INDEX(Gesamtübersicht!$H:$H,MATCH($A16,Gesamtübersicht!$A:$A,0))&amp;""=$H16&amp;"",INDEX(Gesamtübersicht!$M:$M,MATCH($A16,Gesamtübersicht!$A:$A,0))&amp;""=$M16&amp;"",INDEX(Gesamtübersicht!$AD:$AD,MATCH($A16,Gesamtübersicht!$A:$A,0))&amp;""=$AD16&amp;"",INDEX(Gesamtübersicht!$AH:$AH,MATCH($A16,Gesamtübersicht!$A:$A,0))&amp;""=$AH16&amp;"",INDEX(Gesamtübersicht!$T:$T,MATCH($A16,Gesamtübersicht!$A:$A,0))&amp;""=$T16&amp;""),"OK","Abweichung – Ansicht neu erzeugen"))</f>
        <v>OK</v>
      </c>
    </row>
    <row r="17" spans="1:50" ht="42.95" customHeight="1">
      <c r="A17" s="2" t="s">
        <v>320</v>
      </c>
      <c r="B17" s="8" t="s">
        <v>47</v>
      </c>
      <c r="C17" s="2" t="s">
        <v>46</v>
      </c>
      <c r="D17" s="2" t="s">
        <v>251</v>
      </c>
      <c r="E17" s="2" t="s">
        <v>91</v>
      </c>
      <c r="F17" s="2" t="s">
        <v>92</v>
      </c>
      <c r="G17" s="2" t="s">
        <v>321</v>
      </c>
      <c r="H17" s="2" t="s">
        <v>322</v>
      </c>
      <c r="I17" s="2" t="s">
        <v>323</v>
      </c>
      <c r="J17" s="2" t="s">
        <v>160</v>
      </c>
      <c r="K17" s="2" t="s">
        <v>309</v>
      </c>
      <c r="L17" s="2" t="s">
        <v>255</v>
      </c>
      <c r="M17" s="3" t="s">
        <v>324</v>
      </c>
      <c r="N17" s="2" t="s">
        <v>325</v>
      </c>
      <c r="O17" s="2" t="s">
        <v>100</v>
      </c>
      <c r="P17" s="2" t="s">
        <v>326</v>
      </c>
      <c r="Q17" s="2" t="s">
        <v>327</v>
      </c>
      <c r="R17" s="2"/>
      <c r="S17" s="2" t="s">
        <v>134</v>
      </c>
      <c r="T17" s="2" t="s">
        <v>105</v>
      </c>
      <c r="U17" s="2" t="s">
        <v>106</v>
      </c>
      <c r="V17" s="2"/>
      <c r="W17" s="2"/>
      <c r="X17" s="2"/>
      <c r="Y17" s="2" t="s">
        <v>109</v>
      </c>
      <c r="Z17" s="2" t="s">
        <v>328</v>
      </c>
      <c r="AA17" s="2"/>
      <c r="AB17" s="2"/>
      <c r="AC17" s="2"/>
      <c r="AD17" s="2" t="s">
        <v>112</v>
      </c>
      <c r="AE17" s="2" t="s">
        <v>113</v>
      </c>
      <c r="AF17" s="2"/>
      <c r="AG17" s="2" t="s">
        <v>114</v>
      </c>
      <c r="AH17" s="2" t="s">
        <v>115</v>
      </c>
      <c r="AI17" s="2" t="s">
        <v>329</v>
      </c>
      <c r="AJ17" s="2" t="s">
        <v>330</v>
      </c>
      <c r="AK17" s="2" t="s">
        <v>331</v>
      </c>
      <c r="AL17" s="2" t="s">
        <v>318</v>
      </c>
      <c r="AM17" s="2" t="s">
        <v>153</v>
      </c>
      <c r="AN17" s="2" t="s">
        <v>121</v>
      </c>
      <c r="AO17" s="2" t="s">
        <v>325</v>
      </c>
      <c r="AP17" s="2" t="s">
        <v>122</v>
      </c>
      <c r="AQ17" s="2" t="s">
        <v>123</v>
      </c>
      <c r="AR17" s="2" t="s">
        <v>124</v>
      </c>
      <c r="AS17" s="2" t="s">
        <v>255</v>
      </c>
      <c r="AT17" s="2" t="s">
        <v>125</v>
      </c>
      <c r="AU17" s="2"/>
      <c r="AV17" s="2"/>
      <c r="AW17" s="2" t="s">
        <v>155</v>
      </c>
      <c r="AX17" s="2" t="str">
        <f>IF(ISNA(MATCH($A17,Gesamtübersicht!$A:$A,0)),"ID fehlt in Gesamtübersicht",IF(AND(INDEX(Gesamtübersicht!$H:$H,MATCH($A17,Gesamtübersicht!$A:$A,0))&amp;""=$H17&amp;"",INDEX(Gesamtübersicht!$M:$M,MATCH($A17,Gesamtübersicht!$A:$A,0))&amp;""=$M17&amp;"",INDEX(Gesamtübersicht!$AD:$AD,MATCH($A17,Gesamtübersicht!$A:$A,0))&amp;""=$AD17&amp;"",INDEX(Gesamtübersicht!$AH:$AH,MATCH($A17,Gesamtübersicht!$A:$A,0))&amp;""=$AH17&amp;"",INDEX(Gesamtübersicht!$T:$T,MATCH($A17,Gesamtübersicht!$A:$A,0))&amp;""=$T17&amp;""),"OK","Abweichung – Ansicht neu erzeugen"))</f>
        <v>OK</v>
      </c>
    </row>
    <row r="18" spans="1:50" ht="42.95" customHeight="1">
      <c r="A18" s="12" t="s">
        <v>332</v>
      </c>
      <c r="B18" s="8" t="s">
        <v>47</v>
      </c>
      <c r="C18" s="12" t="s">
        <v>46</v>
      </c>
      <c r="D18" s="12" t="s">
        <v>251</v>
      </c>
      <c r="E18" s="12" t="s">
        <v>91</v>
      </c>
      <c r="F18" s="12" t="s">
        <v>92</v>
      </c>
      <c r="G18" s="12" t="s">
        <v>321</v>
      </c>
      <c r="H18" s="12" t="s">
        <v>333</v>
      </c>
      <c r="I18" s="12" t="s">
        <v>334</v>
      </c>
      <c r="J18" s="12" t="s">
        <v>160</v>
      </c>
      <c r="K18" s="12" t="s">
        <v>161</v>
      </c>
      <c r="L18" s="12" t="s">
        <v>335</v>
      </c>
      <c r="M18" s="13" t="s">
        <v>336</v>
      </c>
      <c r="N18" s="12" t="s">
        <v>337</v>
      </c>
      <c r="O18" s="12" t="s">
        <v>100</v>
      </c>
      <c r="P18" s="12" t="s">
        <v>338</v>
      </c>
      <c r="Q18" s="12" t="s">
        <v>339</v>
      </c>
      <c r="R18" s="12"/>
      <c r="S18" s="12" t="s">
        <v>134</v>
      </c>
      <c r="T18" s="12" t="s">
        <v>105</v>
      </c>
      <c r="U18" s="12" t="s">
        <v>106</v>
      </c>
      <c r="V18" s="12"/>
      <c r="W18" s="12"/>
      <c r="X18" s="12"/>
      <c r="Y18" s="12" t="s">
        <v>109</v>
      </c>
      <c r="Z18" s="12" t="s">
        <v>167</v>
      </c>
      <c r="AA18" s="12"/>
      <c r="AB18" s="12"/>
      <c r="AC18" s="12"/>
      <c r="AD18" s="12" t="s">
        <v>112</v>
      </c>
      <c r="AE18" s="12" t="s">
        <v>113</v>
      </c>
      <c r="AF18" s="12"/>
      <c r="AG18" s="12" t="s">
        <v>292</v>
      </c>
      <c r="AH18" s="12" t="s">
        <v>115</v>
      </c>
      <c r="AI18" s="12" t="s">
        <v>340</v>
      </c>
      <c r="AJ18" s="12" t="s">
        <v>341</v>
      </c>
      <c r="AK18" s="12" t="s">
        <v>342</v>
      </c>
      <c r="AL18" s="12" t="s">
        <v>267</v>
      </c>
      <c r="AM18" s="12" t="s">
        <v>153</v>
      </c>
      <c r="AN18" s="12" t="s">
        <v>121</v>
      </c>
      <c r="AO18" s="12" t="s">
        <v>337</v>
      </c>
      <c r="AP18" s="12" t="s">
        <v>122</v>
      </c>
      <c r="AQ18" s="12" t="s">
        <v>123</v>
      </c>
      <c r="AR18" s="12" t="s">
        <v>124</v>
      </c>
      <c r="AS18" s="12" t="s">
        <v>335</v>
      </c>
      <c r="AT18" s="12" t="s">
        <v>125</v>
      </c>
      <c r="AU18" s="12"/>
      <c r="AV18" s="12"/>
      <c r="AW18" s="12" t="s">
        <v>155</v>
      </c>
      <c r="AX18" s="12" t="str">
        <f>IF(ISNA(MATCH($A18,Gesamtübersicht!$A:$A,0)),"ID fehlt in Gesamtübersicht",IF(AND(INDEX(Gesamtübersicht!$H:$H,MATCH($A18,Gesamtübersicht!$A:$A,0))&amp;""=$H18&amp;"",INDEX(Gesamtübersicht!$M:$M,MATCH($A18,Gesamtübersicht!$A:$A,0))&amp;""=$M18&amp;"",INDEX(Gesamtübersicht!$AD:$AD,MATCH($A18,Gesamtübersicht!$A:$A,0))&amp;""=$AD18&amp;"",INDEX(Gesamtübersicht!$AH:$AH,MATCH($A18,Gesamtübersicht!$A:$A,0))&amp;""=$AH18&amp;"",INDEX(Gesamtübersicht!$T:$T,MATCH($A18,Gesamtübersicht!$A:$A,0))&amp;""=$T18&amp;""),"OK","Abweichung – Ansicht neu erzeugen"))</f>
        <v>OK</v>
      </c>
    </row>
    <row r="19" spans="1:50" ht="42.95" customHeight="1">
      <c r="A19" s="2" t="s">
        <v>343</v>
      </c>
      <c r="B19" s="8" t="s">
        <v>47</v>
      </c>
      <c r="C19" s="2" t="s">
        <v>46</v>
      </c>
      <c r="D19" s="2" t="s">
        <v>251</v>
      </c>
      <c r="E19" s="2" t="s">
        <v>91</v>
      </c>
      <c r="F19" s="2" t="s">
        <v>172</v>
      </c>
      <c r="G19" s="2" t="s">
        <v>344</v>
      </c>
      <c r="H19" s="2" t="s">
        <v>345</v>
      </c>
      <c r="I19" s="2" t="s">
        <v>346</v>
      </c>
      <c r="J19" s="2" t="s">
        <v>96</v>
      </c>
      <c r="K19" s="2" t="s">
        <v>97</v>
      </c>
      <c r="L19" s="2" t="s">
        <v>255</v>
      </c>
      <c r="M19" s="3" t="s">
        <v>347</v>
      </c>
      <c r="N19" s="2" t="s">
        <v>99</v>
      </c>
      <c r="O19" s="2" t="s">
        <v>100</v>
      </c>
      <c r="P19" s="2" t="s">
        <v>348</v>
      </c>
      <c r="Q19" s="2" t="s">
        <v>349</v>
      </c>
      <c r="R19" s="2" t="s">
        <v>350</v>
      </c>
      <c r="S19" s="2" t="s">
        <v>351</v>
      </c>
      <c r="T19" s="2" t="s">
        <v>105</v>
      </c>
      <c r="U19" s="2" t="s">
        <v>166</v>
      </c>
      <c r="V19" s="2" t="s">
        <v>261</v>
      </c>
      <c r="W19" s="2" t="s">
        <v>183</v>
      </c>
      <c r="X19" s="2" t="s">
        <v>352</v>
      </c>
      <c r="Y19" s="2" t="s">
        <v>109</v>
      </c>
      <c r="Z19" s="2" t="s">
        <v>263</v>
      </c>
      <c r="AA19" s="2"/>
      <c r="AB19" s="2"/>
      <c r="AC19" s="2"/>
      <c r="AD19" s="2" t="s">
        <v>112</v>
      </c>
      <c r="AE19" s="2" t="s">
        <v>113</v>
      </c>
      <c r="AF19" s="2"/>
      <c r="AG19" s="2" t="s">
        <v>114</v>
      </c>
      <c r="AH19" s="2" t="s">
        <v>115</v>
      </c>
      <c r="AI19" s="2" t="s">
        <v>353</v>
      </c>
      <c r="AJ19" s="2" t="s">
        <v>354</v>
      </c>
      <c r="AK19" s="2"/>
      <c r="AL19" s="2" t="s">
        <v>355</v>
      </c>
      <c r="AM19" s="2" t="s">
        <v>120</v>
      </c>
      <c r="AN19" s="2" t="s">
        <v>121</v>
      </c>
      <c r="AO19" s="2" t="s">
        <v>99</v>
      </c>
      <c r="AP19" s="2" t="s">
        <v>122</v>
      </c>
      <c r="AQ19" s="2" t="s">
        <v>123</v>
      </c>
      <c r="AR19" s="2" t="s">
        <v>124</v>
      </c>
      <c r="AS19" s="2" t="s">
        <v>255</v>
      </c>
      <c r="AT19" s="2" t="s">
        <v>125</v>
      </c>
      <c r="AU19" s="2" t="s">
        <v>356</v>
      </c>
      <c r="AV19" s="2"/>
      <c r="AW19" s="2"/>
      <c r="AX19" s="2" t="str">
        <f>IF(ISNA(MATCH($A19,Gesamtübersicht!$A:$A,0)),"ID fehlt in Gesamtübersicht",IF(AND(INDEX(Gesamtübersicht!$H:$H,MATCH($A19,Gesamtübersicht!$A:$A,0))&amp;""=$H19&amp;"",INDEX(Gesamtübersicht!$M:$M,MATCH($A19,Gesamtübersicht!$A:$A,0))&amp;""=$M19&amp;"",INDEX(Gesamtübersicht!$AD:$AD,MATCH($A19,Gesamtübersicht!$A:$A,0))&amp;""=$AD19&amp;"",INDEX(Gesamtübersicht!$AH:$AH,MATCH($A19,Gesamtübersicht!$A:$A,0))&amp;""=$AH19&amp;"",INDEX(Gesamtübersicht!$T:$T,MATCH($A19,Gesamtübersicht!$A:$A,0))&amp;""=$T19&amp;""),"OK","Abweichung – Ansicht neu erzeugen"))</f>
        <v>OK</v>
      </c>
    </row>
    <row r="20" spans="1:50" ht="42.95" customHeight="1">
      <c r="A20" s="12" t="s">
        <v>357</v>
      </c>
      <c r="B20" s="8" t="s">
        <v>47</v>
      </c>
      <c r="C20" s="12" t="s">
        <v>46</v>
      </c>
      <c r="D20" s="12" t="s">
        <v>251</v>
      </c>
      <c r="E20" s="12" t="s">
        <v>91</v>
      </c>
      <c r="F20" s="12" t="s">
        <v>172</v>
      </c>
      <c r="G20" s="12" t="s">
        <v>189</v>
      </c>
      <c r="H20" s="12" t="s">
        <v>358</v>
      </c>
      <c r="I20" s="12" t="s">
        <v>323</v>
      </c>
      <c r="J20" s="12" t="s">
        <v>160</v>
      </c>
      <c r="K20" s="12" t="s">
        <v>309</v>
      </c>
      <c r="L20" s="12" t="s">
        <v>255</v>
      </c>
      <c r="M20" s="13" t="s">
        <v>359</v>
      </c>
      <c r="N20" s="12" t="s">
        <v>325</v>
      </c>
      <c r="O20" s="12" t="s">
        <v>100</v>
      </c>
      <c r="P20" s="12" t="s">
        <v>360</v>
      </c>
      <c r="Q20" s="12"/>
      <c r="R20" s="12"/>
      <c r="S20" s="12" t="s">
        <v>182</v>
      </c>
      <c r="T20" s="12" t="s">
        <v>105</v>
      </c>
      <c r="U20" s="12" t="s">
        <v>106</v>
      </c>
      <c r="V20" s="12"/>
      <c r="W20" s="12" t="s">
        <v>183</v>
      </c>
      <c r="X20" s="12"/>
      <c r="Y20" s="12" t="s">
        <v>109</v>
      </c>
      <c r="Z20" s="12" t="s">
        <v>167</v>
      </c>
      <c r="AA20" s="12"/>
      <c r="AB20" s="12"/>
      <c r="AC20" s="12"/>
      <c r="AD20" s="12" t="s">
        <v>112</v>
      </c>
      <c r="AE20" s="12" t="s">
        <v>113</v>
      </c>
      <c r="AF20" s="12"/>
      <c r="AG20" s="12" t="s">
        <v>114</v>
      </c>
      <c r="AH20" s="12" t="s">
        <v>115</v>
      </c>
      <c r="AI20" s="12" t="s">
        <v>361</v>
      </c>
      <c r="AJ20" s="12" t="s">
        <v>362</v>
      </c>
      <c r="AK20" s="12" t="s">
        <v>363</v>
      </c>
      <c r="AL20" s="12" t="s">
        <v>318</v>
      </c>
      <c r="AM20" s="12" t="s">
        <v>153</v>
      </c>
      <c r="AN20" s="12" t="s">
        <v>121</v>
      </c>
      <c r="AO20" s="12" t="s">
        <v>325</v>
      </c>
      <c r="AP20" s="12" t="s">
        <v>122</v>
      </c>
      <c r="AQ20" s="12" t="s">
        <v>123</v>
      </c>
      <c r="AR20" s="12" t="s">
        <v>124</v>
      </c>
      <c r="AS20" s="12" t="s">
        <v>255</v>
      </c>
      <c r="AT20" s="12" t="s">
        <v>125</v>
      </c>
      <c r="AU20" s="12"/>
      <c r="AV20" s="12"/>
      <c r="AW20" s="12" t="s">
        <v>155</v>
      </c>
      <c r="AX20" s="12" t="str">
        <f>IF(ISNA(MATCH($A20,Gesamtübersicht!$A:$A,0)),"ID fehlt in Gesamtübersicht",IF(AND(INDEX(Gesamtübersicht!$H:$H,MATCH($A20,Gesamtübersicht!$A:$A,0))&amp;""=$H20&amp;"",INDEX(Gesamtübersicht!$M:$M,MATCH($A20,Gesamtübersicht!$A:$A,0))&amp;""=$M20&amp;"",INDEX(Gesamtübersicht!$AD:$AD,MATCH($A20,Gesamtübersicht!$A:$A,0))&amp;""=$AD20&amp;"",INDEX(Gesamtübersicht!$AH:$AH,MATCH($A20,Gesamtübersicht!$A:$A,0))&amp;""=$AH20&amp;"",INDEX(Gesamtübersicht!$T:$T,MATCH($A20,Gesamtübersicht!$A:$A,0))&amp;""=$T20&amp;""),"OK","Abweichung – Ansicht neu erzeugen"))</f>
        <v>OK</v>
      </c>
    </row>
    <row r="21" spans="1:50" ht="42.95" customHeight="1">
      <c r="A21" s="2" t="s">
        <v>364</v>
      </c>
      <c r="B21" s="8" t="s">
        <v>47</v>
      </c>
      <c r="C21" s="2" t="s">
        <v>46</v>
      </c>
      <c r="D21" s="2" t="s">
        <v>251</v>
      </c>
      <c r="E21" s="2" t="s">
        <v>91</v>
      </c>
      <c r="F21" s="2" t="s">
        <v>172</v>
      </c>
      <c r="G21" s="2" t="s">
        <v>365</v>
      </c>
      <c r="H21" s="2" t="s">
        <v>366</v>
      </c>
      <c r="I21" s="2" t="s">
        <v>367</v>
      </c>
      <c r="J21" s="2" t="s">
        <v>142</v>
      </c>
      <c r="K21" s="2" t="s">
        <v>368</v>
      </c>
      <c r="L21" s="2" t="s">
        <v>369</v>
      </c>
      <c r="M21" s="3" t="s">
        <v>370</v>
      </c>
      <c r="N21" s="2"/>
      <c r="O21" s="2" t="s">
        <v>100</v>
      </c>
      <c r="P21" s="2" t="s">
        <v>371</v>
      </c>
      <c r="Q21" s="2"/>
      <c r="R21" s="2"/>
      <c r="S21" s="2" t="s">
        <v>182</v>
      </c>
      <c r="T21" s="2" t="s">
        <v>105</v>
      </c>
      <c r="U21" s="2" t="s">
        <v>166</v>
      </c>
      <c r="V21" s="2"/>
      <c r="W21" s="2"/>
      <c r="X21" s="2"/>
      <c r="Y21" s="2" t="s">
        <v>109</v>
      </c>
      <c r="Z21" s="2" t="s">
        <v>167</v>
      </c>
      <c r="AA21" s="2"/>
      <c r="AB21" s="2"/>
      <c r="AC21" s="2"/>
      <c r="AD21" s="2" t="s">
        <v>112</v>
      </c>
      <c r="AE21" s="2" t="s">
        <v>113</v>
      </c>
      <c r="AF21" s="2"/>
      <c r="AG21" s="2" t="s">
        <v>114</v>
      </c>
      <c r="AH21" s="2" t="s">
        <v>115</v>
      </c>
      <c r="AI21" s="2" t="s">
        <v>372</v>
      </c>
      <c r="AJ21" s="2" t="s">
        <v>373</v>
      </c>
      <c r="AK21" s="2" t="s">
        <v>374</v>
      </c>
      <c r="AL21" s="2" t="s">
        <v>119</v>
      </c>
      <c r="AM21" s="2" t="s">
        <v>153</v>
      </c>
      <c r="AN21" s="2" t="s">
        <v>121</v>
      </c>
      <c r="AO21" s="2"/>
      <c r="AP21" s="2" t="s">
        <v>122</v>
      </c>
      <c r="AQ21" s="2" t="s">
        <v>123</v>
      </c>
      <c r="AR21" s="2" t="s">
        <v>124</v>
      </c>
      <c r="AS21" s="2" t="s">
        <v>369</v>
      </c>
      <c r="AT21" s="2" t="s">
        <v>125</v>
      </c>
      <c r="AU21" s="2"/>
      <c r="AV21" s="2"/>
      <c r="AW21" s="2" t="s">
        <v>155</v>
      </c>
      <c r="AX21" s="2" t="str">
        <f>IF(ISNA(MATCH($A21,Gesamtübersicht!$A:$A,0)),"ID fehlt in Gesamtübersicht",IF(AND(INDEX(Gesamtübersicht!$H:$H,MATCH($A21,Gesamtübersicht!$A:$A,0))&amp;""=$H21&amp;"",INDEX(Gesamtübersicht!$M:$M,MATCH($A21,Gesamtübersicht!$A:$A,0))&amp;""=$M21&amp;"",INDEX(Gesamtübersicht!$AD:$AD,MATCH($A21,Gesamtübersicht!$A:$A,0))&amp;""=$AD21&amp;"",INDEX(Gesamtübersicht!$AH:$AH,MATCH($A21,Gesamtübersicht!$A:$A,0))&amp;""=$AH21&amp;"",INDEX(Gesamtübersicht!$T:$T,MATCH($A21,Gesamtübersicht!$A:$A,0))&amp;""=$T21&amp;""),"OK","Abweichung – Ansicht neu erzeugen"))</f>
        <v>OK</v>
      </c>
    </row>
    <row r="22" spans="1:50" ht="42.95" customHeight="1">
      <c r="A22" s="12" t="s">
        <v>375</v>
      </c>
      <c r="B22" s="8" t="s">
        <v>47</v>
      </c>
      <c r="C22" s="12" t="s">
        <v>46</v>
      </c>
      <c r="D22" s="12" t="s">
        <v>251</v>
      </c>
      <c r="E22" s="12" t="s">
        <v>91</v>
      </c>
      <c r="F22" s="12" t="s">
        <v>199</v>
      </c>
      <c r="G22" s="12" t="s">
        <v>376</v>
      </c>
      <c r="H22" s="12" t="s">
        <v>377</v>
      </c>
      <c r="I22" s="12" t="s">
        <v>323</v>
      </c>
      <c r="J22" s="12" t="s">
        <v>96</v>
      </c>
      <c r="K22" s="12" t="s">
        <v>378</v>
      </c>
      <c r="L22" s="12" t="s">
        <v>255</v>
      </c>
      <c r="M22" s="13" t="s">
        <v>379</v>
      </c>
      <c r="N22" s="12" t="s">
        <v>380</v>
      </c>
      <c r="O22" s="12" t="s">
        <v>100</v>
      </c>
      <c r="P22" s="12" t="s">
        <v>381</v>
      </c>
      <c r="Q22" s="12" t="s">
        <v>382</v>
      </c>
      <c r="R22" s="12" t="s">
        <v>383</v>
      </c>
      <c r="S22" s="12" t="s">
        <v>384</v>
      </c>
      <c r="T22" s="12" t="s">
        <v>105</v>
      </c>
      <c r="U22" s="12" t="s">
        <v>166</v>
      </c>
      <c r="V22" s="12" t="s">
        <v>261</v>
      </c>
      <c r="W22" s="12" t="s">
        <v>385</v>
      </c>
      <c r="X22" s="12" t="s">
        <v>386</v>
      </c>
      <c r="Y22" s="12" t="s">
        <v>109</v>
      </c>
      <c r="Z22" s="12" t="s">
        <v>328</v>
      </c>
      <c r="AA22" s="12"/>
      <c r="AB22" s="12"/>
      <c r="AC22" s="12"/>
      <c r="AD22" s="12" t="s">
        <v>112</v>
      </c>
      <c r="AE22" s="12" t="s">
        <v>113</v>
      </c>
      <c r="AF22" s="12"/>
      <c r="AG22" s="12" t="s">
        <v>114</v>
      </c>
      <c r="AH22" s="12" t="s">
        <v>115</v>
      </c>
      <c r="AI22" s="12" t="s">
        <v>387</v>
      </c>
      <c r="AJ22" s="12" t="s">
        <v>388</v>
      </c>
      <c r="AK22" s="12" t="s">
        <v>389</v>
      </c>
      <c r="AL22" s="12" t="s">
        <v>318</v>
      </c>
      <c r="AM22" s="12" t="s">
        <v>120</v>
      </c>
      <c r="AN22" s="12" t="s">
        <v>121</v>
      </c>
      <c r="AO22" s="12" t="s">
        <v>380</v>
      </c>
      <c r="AP22" s="12" t="s">
        <v>122</v>
      </c>
      <c r="AQ22" s="12" t="s">
        <v>123</v>
      </c>
      <c r="AR22" s="12" t="s">
        <v>124</v>
      </c>
      <c r="AS22" s="12" t="s">
        <v>255</v>
      </c>
      <c r="AT22" s="12" t="s">
        <v>125</v>
      </c>
      <c r="AU22" s="12"/>
      <c r="AV22" s="12"/>
      <c r="AW22" s="12" t="s">
        <v>390</v>
      </c>
      <c r="AX22" s="12" t="str">
        <f>IF(ISNA(MATCH($A22,Gesamtübersicht!$A:$A,0)),"ID fehlt in Gesamtübersicht",IF(AND(INDEX(Gesamtübersicht!$H:$H,MATCH($A22,Gesamtübersicht!$A:$A,0))&amp;""=$H22&amp;"",INDEX(Gesamtübersicht!$M:$M,MATCH($A22,Gesamtübersicht!$A:$A,0))&amp;""=$M22&amp;"",INDEX(Gesamtübersicht!$AD:$AD,MATCH($A22,Gesamtübersicht!$A:$A,0))&amp;""=$AD22&amp;"",INDEX(Gesamtübersicht!$AH:$AH,MATCH($A22,Gesamtübersicht!$A:$A,0))&amp;""=$AH22&amp;"",INDEX(Gesamtübersicht!$T:$T,MATCH($A22,Gesamtübersicht!$A:$A,0))&amp;""=$T22&amp;""),"OK","Abweichung – Ansicht neu erzeugen"))</f>
        <v>OK</v>
      </c>
    </row>
    <row r="23" spans="1:50" ht="42.95" customHeight="1">
      <c r="A23" s="2" t="s">
        <v>391</v>
      </c>
      <c r="B23" s="8" t="s">
        <v>47</v>
      </c>
      <c r="C23" s="2" t="s">
        <v>46</v>
      </c>
      <c r="D23" s="2" t="s">
        <v>251</v>
      </c>
      <c r="E23" s="2" t="s">
        <v>91</v>
      </c>
      <c r="F23" s="2" t="s">
        <v>199</v>
      </c>
      <c r="G23" s="2" t="s">
        <v>392</v>
      </c>
      <c r="H23" s="2" t="s">
        <v>393</v>
      </c>
      <c r="I23" s="2" t="s">
        <v>392</v>
      </c>
      <c r="J23" s="2" t="s">
        <v>160</v>
      </c>
      <c r="K23" s="2" t="s">
        <v>309</v>
      </c>
      <c r="L23" s="2" t="s">
        <v>255</v>
      </c>
      <c r="M23" s="3" t="s">
        <v>394</v>
      </c>
      <c r="N23" s="2" t="s">
        <v>395</v>
      </c>
      <c r="O23" s="2" t="s">
        <v>100</v>
      </c>
      <c r="P23" s="2" t="s">
        <v>396</v>
      </c>
      <c r="Q23" s="2"/>
      <c r="R23" s="2"/>
      <c r="S23" s="2" t="s">
        <v>182</v>
      </c>
      <c r="T23" s="2" t="s">
        <v>105</v>
      </c>
      <c r="U23" s="2" t="s">
        <v>106</v>
      </c>
      <c r="V23" s="2"/>
      <c r="W23" s="2"/>
      <c r="X23" s="2"/>
      <c r="Y23" s="2" t="s">
        <v>109</v>
      </c>
      <c r="Z23" s="2" t="s">
        <v>328</v>
      </c>
      <c r="AA23" s="2" t="s">
        <v>397</v>
      </c>
      <c r="AB23" s="2"/>
      <c r="AC23" s="2"/>
      <c r="AD23" s="2" t="s">
        <v>112</v>
      </c>
      <c r="AE23" s="2" t="s">
        <v>113</v>
      </c>
      <c r="AF23" s="2"/>
      <c r="AG23" s="2" t="s">
        <v>114</v>
      </c>
      <c r="AH23" s="2" t="s">
        <v>115</v>
      </c>
      <c r="AI23" s="2" t="s">
        <v>398</v>
      </c>
      <c r="AJ23" s="2" t="s">
        <v>399</v>
      </c>
      <c r="AK23" s="2" t="s">
        <v>400</v>
      </c>
      <c r="AL23" s="2" t="s">
        <v>318</v>
      </c>
      <c r="AM23" s="2" t="s">
        <v>153</v>
      </c>
      <c r="AN23" s="2" t="s">
        <v>121</v>
      </c>
      <c r="AO23" s="2" t="s">
        <v>395</v>
      </c>
      <c r="AP23" s="2" t="s">
        <v>122</v>
      </c>
      <c r="AQ23" s="2" t="s">
        <v>123</v>
      </c>
      <c r="AR23" s="2" t="s">
        <v>124</v>
      </c>
      <c r="AS23" s="2" t="s">
        <v>255</v>
      </c>
      <c r="AT23" s="2" t="s">
        <v>125</v>
      </c>
      <c r="AU23" s="2"/>
      <c r="AV23" s="2"/>
      <c r="AW23" s="2" t="s">
        <v>155</v>
      </c>
      <c r="AX23" s="2" t="str">
        <f>IF(ISNA(MATCH($A23,Gesamtübersicht!$A:$A,0)),"ID fehlt in Gesamtübersicht",IF(AND(INDEX(Gesamtübersicht!$H:$H,MATCH($A23,Gesamtübersicht!$A:$A,0))&amp;""=$H23&amp;"",INDEX(Gesamtübersicht!$M:$M,MATCH($A23,Gesamtübersicht!$A:$A,0))&amp;""=$M23&amp;"",INDEX(Gesamtübersicht!$AD:$AD,MATCH($A23,Gesamtübersicht!$A:$A,0))&amp;""=$AD23&amp;"",INDEX(Gesamtübersicht!$AH:$AH,MATCH($A23,Gesamtübersicht!$A:$A,0))&amp;""=$AH23&amp;"",INDEX(Gesamtübersicht!$T:$T,MATCH($A23,Gesamtübersicht!$A:$A,0))&amp;""=$T23&amp;""),"OK","Abweichung – Ansicht neu erzeugen"))</f>
        <v>OK</v>
      </c>
    </row>
    <row r="24" spans="1:50" ht="42.95" customHeight="1">
      <c r="A24" s="12" t="s">
        <v>401</v>
      </c>
      <c r="B24" s="8" t="s">
        <v>47</v>
      </c>
      <c r="C24" s="12" t="s">
        <v>46</v>
      </c>
      <c r="D24" s="12" t="s">
        <v>251</v>
      </c>
      <c r="E24" s="12" t="s">
        <v>91</v>
      </c>
      <c r="F24" s="12" t="s">
        <v>217</v>
      </c>
      <c r="G24" s="12" t="s">
        <v>402</v>
      </c>
      <c r="H24" s="12" t="s">
        <v>403</v>
      </c>
      <c r="I24" s="12" t="s">
        <v>404</v>
      </c>
      <c r="J24" s="12" t="s">
        <v>96</v>
      </c>
      <c r="K24" s="12" t="s">
        <v>405</v>
      </c>
      <c r="L24" s="12" t="s">
        <v>255</v>
      </c>
      <c r="M24" s="13" t="s">
        <v>406</v>
      </c>
      <c r="N24" s="12" t="s">
        <v>99</v>
      </c>
      <c r="O24" s="12" t="s">
        <v>100</v>
      </c>
      <c r="P24" s="12" t="s">
        <v>407</v>
      </c>
      <c r="Q24" s="12" t="s">
        <v>408</v>
      </c>
      <c r="R24" s="12" t="s">
        <v>409</v>
      </c>
      <c r="S24" s="12" t="s">
        <v>384</v>
      </c>
      <c r="T24" s="12" t="s">
        <v>105</v>
      </c>
      <c r="U24" s="12" t="s">
        <v>166</v>
      </c>
      <c r="V24" s="12" t="s">
        <v>261</v>
      </c>
      <c r="W24" s="12" t="s">
        <v>410</v>
      </c>
      <c r="X24" s="12" t="s">
        <v>411</v>
      </c>
      <c r="Y24" s="12" t="s">
        <v>109</v>
      </c>
      <c r="Z24" s="12" t="s">
        <v>263</v>
      </c>
      <c r="AA24" s="12"/>
      <c r="AB24" s="12"/>
      <c r="AC24" s="12"/>
      <c r="AD24" s="12" t="s">
        <v>112</v>
      </c>
      <c r="AE24" s="12" t="s">
        <v>113</v>
      </c>
      <c r="AF24" s="12"/>
      <c r="AG24" s="12" t="s">
        <v>114</v>
      </c>
      <c r="AH24" s="12" t="s">
        <v>115</v>
      </c>
      <c r="AI24" s="12" t="s">
        <v>412</v>
      </c>
      <c r="AJ24" s="12" t="s">
        <v>413</v>
      </c>
      <c r="AK24" s="12" t="s">
        <v>414</v>
      </c>
      <c r="AL24" s="12" t="s">
        <v>119</v>
      </c>
      <c r="AM24" s="12" t="s">
        <v>120</v>
      </c>
      <c r="AN24" s="12" t="s">
        <v>121</v>
      </c>
      <c r="AO24" s="12" t="s">
        <v>99</v>
      </c>
      <c r="AP24" s="12" t="s">
        <v>122</v>
      </c>
      <c r="AQ24" s="12" t="s">
        <v>123</v>
      </c>
      <c r="AR24" s="12" t="s">
        <v>124</v>
      </c>
      <c r="AS24" s="12" t="s">
        <v>255</v>
      </c>
      <c r="AT24" s="12" t="s">
        <v>125</v>
      </c>
      <c r="AU24" s="12"/>
      <c r="AV24" s="12"/>
      <c r="AW24" s="12" t="s">
        <v>415</v>
      </c>
      <c r="AX24" s="12" t="str">
        <f>IF(ISNA(MATCH($A24,Gesamtübersicht!$A:$A,0)),"ID fehlt in Gesamtübersicht",IF(AND(INDEX(Gesamtübersicht!$H:$H,MATCH($A24,Gesamtübersicht!$A:$A,0))&amp;""=$H24&amp;"",INDEX(Gesamtübersicht!$M:$M,MATCH($A24,Gesamtübersicht!$A:$A,0))&amp;""=$M24&amp;"",INDEX(Gesamtübersicht!$AD:$AD,MATCH($A24,Gesamtübersicht!$A:$A,0))&amp;""=$AD24&amp;"",INDEX(Gesamtübersicht!$AH:$AH,MATCH($A24,Gesamtübersicht!$A:$A,0))&amp;""=$AH24&amp;"",INDEX(Gesamtübersicht!$T:$T,MATCH($A24,Gesamtübersicht!$A:$A,0))&amp;""=$T24&amp;""),"OK","Abweichung – Ansicht neu erzeugen"))</f>
        <v>OK</v>
      </c>
    </row>
    <row r="25" spans="1:50" ht="42.95" customHeight="1">
      <c r="A25" s="2" t="s">
        <v>416</v>
      </c>
      <c r="B25" s="8" t="s">
        <v>47</v>
      </c>
      <c r="C25" s="2" t="s">
        <v>46</v>
      </c>
      <c r="D25" s="2" t="s">
        <v>251</v>
      </c>
      <c r="E25" s="2" t="s">
        <v>91</v>
      </c>
      <c r="F25" s="2" t="s">
        <v>217</v>
      </c>
      <c r="G25" s="2" t="s">
        <v>417</v>
      </c>
      <c r="H25" s="2" t="s">
        <v>418</v>
      </c>
      <c r="I25" s="2" t="s">
        <v>419</v>
      </c>
      <c r="J25" s="2" t="s">
        <v>160</v>
      </c>
      <c r="K25" s="2" t="s">
        <v>420</v>
      </c>
      <c r="L25" s="2" t="s">
        <v>255</v>
      </c>
      <c r="M25" s="3" t="s">
        <v>421</v>
      </c>
      <c r="N25" s="2"/>
      <c r="O25" s="2" t="s">
        <v>100</v>
      </c>
      <c r="P25" s="2" t="s">
        <v>422</v>
      </c>
      <c r="Q25" s="2"/>
      <c r="R25" s="2"/>
      <c r="S25" s="2" t="s">
        <v>182</v>
      </c>
      <c r="T25" s="2" t="s">
        <v>105</v>
      </c>
      <c r="U25" s="2" t="s">
        <v>106</v>
      </c>
      <c r="V25" s="2"/>
      <c r="W25" s="2"/>
      <c r="X25" s="2"/>
      <c r="Y25" s="2" t="s">
        <v>109</v>
      </c>
      <c r="Z25" s="2" t="s">
        <v>328</v>
      </c>
      <c r="AA25" s="2"/>
      <c r="AB25" s="2"/>
      <c r="AC25" s="2"/>
      <c r="AD25" s="2" t="s">
        <v>112</v>
      </c>
      <c r="AE25" s="2" t="s">
        <v>113</v>
      </c>
      <c r="AF25" s="2"/>
      <c r="AG25" s="2" t="s">
        <v>114</v>
      </c>
      <c r="AH25" s="2" t="s">
        <v>115</v>
      </c>
      <c r="AI25" s="2" t="s">
        <v>423</v>
      </c>
      <c r="AJ25" s="2" t="s">
        <v>424</v>
      </c>
      <c r="AK25" s="2" t="s">
        <v>425</v>
      </c>
      <c r="AL25" s="2" t="s">
        <v>318</v>
      </c>
      <c r="AM25" s="2" t="s">
        <v>153</v>
      </c>
      <c r="AN25" s="2" t="s">
        <v>121</v>
      </c>
      <c r="AO25" s="2"/>
      <c r="AP25" s="2" t="s">
        <v>122</v>
      </c>
      <c r="AQ25" s="2" t="s">
        <v>123</v>
      </c>
      <c r="AR25" s="2" t="s">
        <v>124</v>
      </c>
      <c r="AS25" s="2" t="s">
        <v>255</v>
      </c>
      <c r="AT25" s="2" t="s">
        <v>125</v>
      </c>
      <c r="AU25" s="2"/>
      <c r="AV25" s="2"/>
      <c r="AW25" s="2" t="s">
        <v>155</v>
      </c>
      <c r="AX25" s="2" t="str">
        <f>IF(ISNA(MATCH($A25,Gesamtübersicht!$A:$A,0)),"ID fehlt in Gesamtübersicht",IF(AND(INDEX(Gesamtübersicht!$H:$H,MATCH($A25,Gesamtübersicht!$A:$A,0))&amp;""=$H25&amp;"",INDEX(Gesamtübersicht!$M:$M,MATCH($A25,Gesamtübersicht!$A:$A,0))&amp;""=$M25&amp;"",INDEX(Gesamtübersicht!$AD:$AD,MATCH($A25,Gesamtübersicht!$A:$A,0))&amp;""=$AD25&amp;"",INDEX(Gesamtübersicht!$AH:$AH,MATCH($A25,Gesamtübersicht!$A:$A,0))&amp;""=$AH25&amp;"",INDEX(Gesamtübersicht!$T:$T,MATCH($A25,Gesamtübersicht!$A:$A,0))&amp;""=$T25&amp;""),"OK","Abweichung – Ansicht neu erzeugen"))</f>
        <v>OK</v>
      </c>
    </row>
    <row r="26" spans="1:50" ht="42.95" customHeight="1">
      <c r="A26" s="12" t="s">
        <v>426</v>
      </c>
      <c r="B26" s="8" t="s">
        <v>47</v>
      </c>
      <c r="C26" s="12" t="s">
        <v>46</v>
      </c>
      <c r="D26" s="12" t="s">
        <v>251</v>
      </c>
      <c r="E26" s="12" t="s">
        <v>91</v>
      </c>
      <c r="F26" s="12" t="s">
        <v>212</v>
      </c>
      <c r="G26" s="12" t="s">
        <v>243</v>
      </c>
      <c r="H26" s="12" t="s">
        <v>427</v>
      </c>
      <c r="I26" s="12" t="s">
        <v>323</v>
      </c>
      <c r="J26" s="12" t="s">
        <v>96</v>
      </c>
      <c r="K26" s="12" t="s">
        <v>378</v>
      </c>
      <c r="L26" s="12" t="s">
        <v>255</v>
      </c>
      <c r="M26" s="13" t="s">
        <v>428</v>
      </c>
      <c r="N26" s="12" t="s">
        <v>429</v>
      </c>
      <c r="O26" s="12" t="s">
        <v>100</v>
      </c>
      <c r="P26" s="12" t="s">
        <v>430</v>
      </c>
      <c r="Q26" s="12" t="s">
        <v>431</v>
      </c>
      <c r="R26" s="12" t="s">
        <v>432</v>
      </c>
      <c r="S26" s="12" t="s">
        <v>384</v>
      </c>
      <c r="T26" s="12" t="s">
        <v>105</v>
      </c>
      <c r="U26" s="12" t="s">
        <v>166</v>
      </c>
      <c r="V26" s="12" t="s">
        <v>261</v>
      </c>
      <c r="W26" s="12" t="s">
        <v>433</v>
      </c>
      <c r="X26" s="12" t="s">
        <v>434</v>
      </c>
      <c r="Y26" s="12" t="s">
        <v>109</v>
      </c>
      <c r="Z26" s="12" t="s">
        <v>328</v>
      </c>
      <c r="AA26" s="12"/>
      <c r="AB26" s="12"/>
      <c r="AC26" s="12"/>
      <c r="AD26" s="12" t="s">
        <v>112</v>
      </c>
      <c r="AE26" s="12" t="s">
        <v>113</v>
      </c>
      <c r="AF26" s="12"/>
      <c r="AG26" s="12" t="s">
        <v>114</v>
      </c>
      <c r="AH26" s="12" t="s">
        <v>115</v>
      </c>
      <c r="AI26" s="12" t="s">
        <v>435</v>
      </c>
      <c r="AJ26" s="12" t="s">
        <v>436</v>
      </c>
      <c r="AK26" s="12" t="s">
        <v>437</v>
      </c>
      <c r="AL26" s="12" t="s">
        <v>318</v>
      </c>
      <c r="AM26" s="12" t="s">
        <v>120</v>
      </c>
      <c r="AN26" s="12" t="s">
        <v>121</v>
      </c>
      <c r="AO26" s="12" t="s">
        <v>429</v>
      </c>
      <c r="AP26" s="12" t="s">
        <v>122</v>
      </c>
      <c r="AQ26" s="12" t="s">
        <v>123</v>
      </c>
      <c r="AR26" s="12" t="s">
        <v>124</v>
      </c>
      <c r="AS26" s="12" t="s">
        <v>255</v>
      </c>
      <c r="AT26" s="12" t="s">
        <v>125</v>
      </c>
      <c r="AU26" s="12"/>
      <c r="AV26" s="12"/>
      <c r="AW26" s="12" t="s">
        <v>438</v>
      </c>
      <c r="AX26" s="12" t="str">
        <f>IF(ISNA(MATCH($A26,Gesamtübersicht!$A:$A,0)),"ID fehlt in Gesamtübersicht",IF(AND(INDEX(Gesamtübersicht!$H:$H,MATCH($A26,Gesamtübersicht!$A:$A,0))&amp;""=$H26&amp;"",INDEX(Gesamtübersicht!$M:$M,MATCH($A26,Gesamtübersicht!$A:$A,0))&amp;""=$M26&amp;"",INDEX(Gesamtübersicht!$AD:$AD,MATCH($A26,Gesamtübersicht!$A:$A,0))&amp;""=$AD26&amp;"",INDEX(Gesamtübersicht!$AH:$AH,MATCH($A26,Gesamtübersicht!$A:$A,0))&amp;""=$AH26&amp;"",INDEX(Gesamtübersicht!$T:$T,MATCH($A26,Gesamtübersicht!$A:$A,0))&amp;""=$T26&amp;""),"OK","Abweichung – Ansicht neu erzeugen"))</f>
        <v>OK</v>
      </c>
    </row>
    <row r="27" spans="1:50" ht="42.95" customHeight="1">
      <c r="A27" s="2" t="s">
        <v>641</v>
      </c>
      <c r="B27" s="9" t="s">
        <v>48</v>
      </c>
      <c r="C27" s="2" t="s">
        <v>46</v>
      </c>
      <c r="D27" s="2" t="s">
        <v>251</v>
      </c>
      <c r="E27" s="2" t="s">
        <v>41</v>
      </c>
      <c r="F27" s="2" t="s">
        <v>92</v>
      </c>
      <c r="G27" s="2" t="s">
        <v>642</v>
      </c>
      <c r="H27" s="2" t="s">
        <v>643</v>
      </c>
      <c r="I27" s="2" t="s">
        <v>644</v>
      </c>
      <c r="J27" s="2" t="s">
        <v>96</v>
      </c>
      <c r="K27" s="2" t="s">
        <v>97</v>
      </c>
      <c r="L27" s="2" t="s">
        <v>645</v>
      </c>
      <c r="M27" s="3" t="s">
        <v>646</v>
      </c>
      <c r="N27" s="2" t="s">
        <v>99</v>
      </c>
      <c r="O27" s="2" t="s">
        <v>100</v>
      </c>
      <c r="P27" s="2" t="s">
        <v>647</v>
      </c>
      <c r="Q27" s="2" t="s">
        <v>648</v>
      </c>
      <c r="R27" s="2" t="s">
        <v>649</v>
      </c>
      <c r="S27" s="2" t="s">
        <v>134</v>
      </c>
      <c r="T27" s="2" t="s">
        <v>105</v>
      </c>
      <c r="U27" s="2" t="s">
        <v>166</v>
      </c>
      <c r="V27" s="2" t="s">
        <v>650</v>
      </c>
      <c r="W27" s="2" t="s">
        <v>135</v>
      </c>
      <c r="X27" s="2" t="s">
        <v>262</v>
      </c>
      <c r="Y27" s="2" t="s">
        <v>109</v>
      </c>
      <c r="Z27" s="2" t="s">
        <v>263</v>
      </c>
      <c r="AA27" s="2"/>
      <c r="AB27" s="2"/>
      <c r="AC27" s="3" t="s">
        <v>651</v>
      </c>
      <c r="AD27" s="2" t="s">
        <v>112</v>
      </c>
      <c r="AE27" s="2" t="s">
        <v>113</v>
      </c>
      <c r="AF27" s="2"/>
      <c r="AG27" s="2" t="s">
        <v>114</v>
      </c>
      <c r="AH27" s="2" t="s">
        <v>115</v>
      </c>
      <c r="AI27" s="2" t="s">
        <v>652</v>
      </c>
      <c r="AJ27" s="2" t="s">
        <v>653</v>
      </c>
      <c r="AK27" s="2" t="s">
        <v>654</v>
      </c>
      <c r="AL27" s="2" t="s">
        <v>119</v>
      </c>
      <c r="AM27" s="2" t="s">
        <v>120</v>
      </c>
      <c r="AN27" s="2" t="s">
        <v>121</v>
      </c>
      <c r="AO27" s="2" t="s">
        <v>99</v>
      </c>
      <c r="AP27" s="2" t="s">
        <v>122</v>
      </c>
      <c r="AQ27" s="2" t="s">
        <v>123</v>
      </c>
      <c r="AR27" s="2" t="s">
        <v>124</v>
      </c>
      <c r="AS27" s="2" t="s">
        <v>655</v>
      </c>
      <c r="AT27" s="2" t="s">
        <v>125</v>
      </c>
      <c r="AU27" s="2" t="s">
        <v>656</v>
      </c>
      <c r="AV27" s="2" t="s">
        <v>657</v>
      </c>
      <c r="AW27" s="2"/>
      <c r="AX27" s="2" t="str">
        <f>IF(ISNA(MATCH($A27,Gesamtübersicht!$A:$A,0)),"ID fehlt in Gesamtübersicht",IF(AND(INDEX(Gesamtübersicht!$H:$H,MATCH($A27,Gesamtübersicht!$A:$A,0))&amp;""=$H27&amp;"",INDEX(Gesamtübersicht!$M:$M,MATCH($A27,Gesamtübersicht!$A:$A,0))&amp;""=$M27&amp;"",INDEX(Gesamtübersicht!$AD:$AD,MATCH($A27,Gesamtübersicht!$A:$A,0))&amp;""=$AD27&amp;"",INDEX(Gesamtübersicht!$AH:$AH,MATCH($A27,Gesamtübersicht!$A:$A,0))&amp;""=$AH27&amp;"",INDEX(Gesamtübersicht!$T:$T,MATCH($A27,Gesamtübersicht!$A:$A,0))&amp;""=$T27&amp;""),"OK","Abweichung – Ansicht neu erzeugen"))</f>
        <v>OK</v>
      </c>
    </row>
    <row r="28" spans="1:50" ht="42.95" customHeight="1">
      <c r="A28" s="12" t="s">
        <v>658</v>
      </c>
      <c r="B28" s="9" t="s">
        <v>48</v>
      </c>
      <c r="C28" s="12" t="s">
        <v>46</v>
      </c>
      <c r="D28" s="12" t="s">
        <v>251</v>
      </c>
      <c r="E28" s="12" t="s">
        <v>41</v>
      </c>
      <c r="F28" s="12" t="s">
        <v>92</v>
      </c>
      <c r="G28" s="12" t="s">
        <v>659</v>
      </c>
      <c r="H28" s="12" t="s">
        <v>660</v>
      </c>
      <c r="I28" s="12" t="s">
        <v>661</v>
      </c>
      <c r="J28" s="12" t="s">
        <v>160</v>
      </c>
      <c r="K28" s="12" t="s">
        <v>662</v>
      </c>
      <c r="L28" s="12" t="s">
        <v>645</v>
      </c>
      <c r="M28" s="13" t="s">
        <v>663</v>
      </c>
      <c r="N28" s="12" t="s">
        <v>664</v>
      </c>
      <c r="O28" s="12" t="s">
        <v>100</v>
      </c>
      <c r="P28" s="12" t="s">
        <v>665</v>
      </c>
      <c r="Q28" s="12" t="s">
        <v>666</v>
      </c>
      <c r="R28" s="12"/>
      <c r="S28" s="12" t="s">
        <v>134</v>
      </c>
      <c r="T28" s="12" t="s">
        <v>105</v>
      </c>
      <c r="U28" s="12" t="s">
        <v>106</v>
      </c>
      <c r="V28" s="12"/>
      <c r="W28" s="12" t="s">
        <v>135</v>
      </c>
      <c r="X28" s="12" t="s">
        <v>262</v>
      </c>
      <c r="Y28" s="12" t="s">
        <v>109</v>
      </c>
      <c r="Z28" s="12" t="s">
        <v>167</v>
      </c>
      <c r="AA28" s="12" t="s">
        <v>212</v>
      </c>
      <c r="AB28" s="12"/>
      <c r="AC28" s="13" t="s">
        <v>646</v>
      </c>
      <c r="AD28" s="12" t="s">
        <v>112</v>
      </c>
      <c r="AE28" s="12" t="s">
        <v>113</v>
      </c>
      <c r="AF28" s="12"/>
      <c r="AG28" s="12" t="s">
        <v>292</v>
      </c>
      <c r="AH28" s="12" t="s">
        <v>115</v>
      </c>
      <c r="AI28" s="12" t="s">
        <v>667</v>
      </c>
      <c r="AJ28" s="12" t="s">
        <v>668</v>
      </c>
      <c r="AK28" s="12" t="s">
        <v>669</v>
      </c>
      <c r="AL28" s="12" t="s">
        <v>267</v>
      </c>
      <c r="AM28" s="12" t="s">
        <v>153</v>
      </c>
      <c r="AN28" s="12" t="s">
        <v>121</v>
      </c>
      <c r="AO28" s="12" t="s">
        <v>664</v>
      </c>
      <c r="AP28" s="12" t="s">
        <v>670</v>
      </c>
      <c r="AQ28" s="12" t="s">
        <v>123</v>
      </c>
      <c r="AR28" s="12" t="s">
        <v>124</v>
      </c>
      <c r="AS28" s="12" t="s">
        <v>655</v>
      </c>
      <c r="AT28" s="12" t="s">
        <v>125</v>
      </c>
      <c r="AU28" s="12"/>
      <c r="AV28" s="12"/>
      <c r="AW28" s="12" t="s">
        <v>155</v>
      </c>
      <c r="AX28" s="12" t="str">
        <f>IF(ISNA(MATCH($A28,Gesamtübersicht!$A:$A,0)),"ID fehlt in Gesamtübersicht",IF(AND(INDEX(Gesamtübersicht!$H:$H,MATCH($A28,Gesamtübersicht!$A:$A,0))&amp;""=$H28&amp;"",INDEX(Gesamtübersicht!$M:$M,MATCH($A28,Gesamtübersicht!$A:$A,0))&amp;""=$M28&amp;"",INDEX(Gesamtübersicht!$AD:$AD,MATCH($A28,Gesamtübersicht!$A:$A,0))&amp;""=$AD28&amp;"",INDEX(Gesamtübersicht!$AH:$AH,MATCH($A28,Gesamtübersicht!$A:$A,0))&amp;""=$AH28&amp;"",INDEX(Gesamtübersicht!$T:$T,MATCH($A28,Gesamtübersicht!$A:$A,0))&amp;""=$T28&amp;""),"OK","Abweichung – Ansicht neu erzeugen"))</f>
        <v>OK</v>
      </c>
    </row>
    <row r="29" spans="1:50" ht="42.95" customHeight="1">
      <c r="A29" s="2" t="s">
        <v>671</v>
      </c>
      <c r="B29" s="9" t="s">
        <v>48</v>
      </c>
      <c r="C29" s="2" t="s">
        <v>46</v>
      </c>
      <c r="D29" s="2" t="s">
        <v>251</v>
      </c>
      <c r="E29" s="2" t="s">
        <v>41</v>
      </c>
      <c r="F29" s="2" t="s">
        <v>92</v>
      </c>
      <c r="G29" s="2" t="s">
        <v>672</v>
      </c>
      <c r="H29" s="2" t="s">
        <v>673</v>
      </c>
      <c r="I29" s="2" t="s">
        <v>672</v>
      </c>
      <c r="J29" s="2" t="s">
        <v>160</v>
      </c>
      <c r="K29" s="2" t="s">
        <v>674</v>
      </c>
      <c r="L29" s="2" t="s">
        <v>645</v>
      </c>
      <c r="M29" s="3" t="s">
        <v>675</v>
      </c>
      <c r="N29" s="2" t="s">
        <v>676</v>
      </c>
      <c r="O29" s="2" t="s">
        <v>100</v>
      </c>
      <c r="P29" s="2" t="s">
        <v>677</v>
      </c>
      <c r="Q29" s="2" t="s">
        <v>648</v>
      </c>
      <c r="R29" s="2"/>
      <c r="S29" s="2" t="s">
        <v>134</v>
      </c>
      <c r="T29" s="2" t="s">
        <v>105</v>
      </c>
      <c r="U29" s="2" t="s">
        <v>106</v>
      </c>
      <c r="V29" s="2"/>
      <c r="W29" s="2" t="s">
        <v>135</v>
      </c>
      <c r="X29" s="2" t="s">
        <v>262</v>
      </c>
      <c r="Y29" s="2" t="s">
        <v>109</v>
      </c>
      <c r="Z29" s="2" t="s">
        <v>149</v>
      </c>
      <c r="AA29" s="2"/>
      <c r="AB29" s="2"/>
      <c r="AC29" s="3" t="s">
        <v>678</v>
      </c>
      <c r="AD29" s="2" t="s">
        <v>112</v>
      </c>
      <c r="AE29" s="2" t="s">
        <v>113</v>
      </c>
      <c r="AF29" s="2"/>
      <c r="AG29" s="2" t="s">
        <v>292</v>
      </c>
      <c r="AH29" s="2" t="s">
        <v>115</v>
      </c>
      <c r="AI29" s="2" t="s">
        <v>679</v>
      </c>
      <c r="AJ29" s="2" t="s">
        <v>680</v>
      </c>
      <c r="AK29" s="2" t="s">
        <v>681</v>
      </c>
      <c r="AL29" s="2" t="s">
        <v>267</v>
      </c>
      <c r="AM29" s="2" t="s">
        <v>682</v>
      </c>
      <c r="AN29" s="2" t="s">
        <v>121</v>
      </c>
      <c r="AO29" s="2" t="s">
        <v>676</v>
      </c>
      <c r="AP29" s="2" t="s">
        <v>122</v>
      </c>
      <c r="AQ29" s="2" t="s">
        <v>123</v>
      </c>
      <c r="AR29" s="2" t="s">
        <v>124</v>
      </c>
      <c r="AS29" s="2" t="s">
        <v>655</v>
      </c>
      <c r="AT29" s="2" t="s">
        <v>125</v>
      </c>
      <c r="AU29" s="2" t="s">
        <v>683</v>
      </c>
      <c r="AV29" s="2"/>
      <c r="AW29" s="2" t="s">
        <v>155</v>
      </c>
      <c r="AX29" s="2" t="str">
        <f>IF(ISNA(MATCH($A29,Gesamtübersicht!$A:$A,0)),"ID fehlt in Gesamtübersicht",IF(AND(INDEX(Gesamtübersicht!$H:$H,MATCH($A29,Gesamtübersicht!$A:$A,0))&amp;""=$H29&amp;"",INDEX(Gesamtübersicht!$M:$M,MATCH($A29,Gesamtübersicht!$A:$A,0))&amp;""=$M29&amp;"",INDEX(Gesamtübersicht!$AD:$AD,MATCH($A29,Gesamtübersicht!$A:$A,0))&amp;""=$AD29&amp;"",INDEX(Gesamtübersicht!$AH:$AH,MATCH($A29,Gesamtübersicht!$A:$A,0))&amp;""=$AH29&amp;"",INDEX(Gesamtübersicht!$T:$T,MATCH($A29,Gesamtübersicht!$A:$A,0))&amp;""=$T29&amp;""),"OK","Abweichung – Ansicht neu erzeugen"))</f>
        <v>OK</v>
      </c>
    </row>
    <row r="30" spans="1:50" ht="42.95" customHeight="1">
      <c r="A30" s="12" t="s">
        <v>684</v>
      </c>
      <c r="B30" s="9" t="s">
        <v>48</v>
      </c>
      <c r="C30" s="12" t="s">
        <v>46</v>
      </c>
      <c r="D30" s="12" t="s">
        <v>251</v>
      </c>
      <c r="E30" s="12" t="s">
        <v>41</v>
      </c>
      <c r="F30" s="12" t="s">
        <v>92</v>
      </c>
      <c r="G30" s="12" t="s">
        <v>672</v>
      </c>
      <c r="H30" s="12" t="s">
        <v>685</v>
      </c>
      <c r="I30" s="12" t="s">
        <v>672</v>
      </c>
      <c r="J30" s="12" t="s">
        <v>160</v>
      </c>
      <c r="K30" s="12" t="s">
        <v>686</v>
      </c>
      <c r="L30" s="12" t="s">
        <v>645</v>
      </c>
      <c r="M30" s="13" t="s">
        <v>687</v>
      </c>
      <c r="N30" s="12" t="s">
        <v>476</v>
      </c>
      <c r="O30" s="12" t="s">
        <v>100</v>
      </c>
      <c r="P30" s="12" t="s">
        <v>688</v>
      </c>
      <c r="Q30" s="12"/>
      <c r="R30" s="12"/>
      <c r="S30" s="12" t="s">
        <v>134</v>
      </c>
      <c r="T30" s="12" t="s">
        <v>105</v>
      </c>
      <c r="U30" s="12" t="s">
        <v>106</v>
      </c>
      <c r="V30" s="12"/>
      <c r="W30" s="12"/>
      <c r="X30" s="12"/>
      <c r="Y30" s="12" t="s">
        <v>109</v>
      </c>
      <c r="Z30" s="12" t="s">
        <v>149</v>
      </c>
      <c r="AA30" s="12"/>
      <c r="AB30" s="12"/>
      <c r="AC30" s="13" t="s">
        <v>678</v>
      </c>
      <c r="AD30" s="12" t="s">
        <v>112</v>
      </c>
      <c r="AE30" s="12" t="s">
        <v>113</v>
      </c>
      <c r="AF30" s="12"/>
      <c r="AG30" s="12" t="s">
        <v>292</v>
      </c>
      <c r="AH30" s="12" t="s">
        <v>115</v>
      </c>
      <c r="AI30" s="12" t="s">
        <v>689</v>
      </c>
      <c r="AJ30" s="12" t="s">
        <v>680</v>
      </c>
      <c r="AK30" s="12" t="s">
        <v>690</v>
      </c>
      <c r="AL30" s="12" t="s">
        <v>267</v>
      </c>
      <c r="AM30" s="12" t="s">
        <v>682</v>
      </c>
      <c r="AN30" s="12" t="s">
        <v>121</v>
      </c>
      <c r="AO30" s="12" t="s">
        <v>476</v>
      </c>
      <c r="AP30" s="12" t="s">
        <v>122</v>
      </c>
      <c r="AQ30" s="12" t="s">
        <v>123</v>
      </c>
      <c r="AR30" s="12" t="s">
        <v>124</v>
      </c>
      <c r="AS30" s="12" t="s">
        <v>655</v>
      </c>
      <c r="AT30" s="12" t="s">
        <v>125</v>
      </c>
      <c r="AU30" s="12"/>
      <c r="AV30" s="12"/>
      <c r="AW30" s="12" t="s">
        <v>155</v>
      </c>
      <c r="AX30" s="12" t="str">
        <f>IF(ISNA(MATCH($A30,Gesamtübersicht!$A:$A,0)),"ID fehlt in Gesamtübersicht",IF(AND(INDEX(Gesamtübersicht!$H:$H,MATCH($A30,Gesamtübersicht!$A:$A,0))&amp;""=$H30&amp;"",INDEX(Gesamtübersicht!$M:$M,MATCH($A30,Gesamtübersicht!$A:$A,0))&amp;""=$M30&amp;"",INDEX(Gesamtübersicht!$AD:$AD,MATCH($A30,Gesamtübersicht!$A:$A,0))&amp;""=$AD30&amp;"",INDEX(Gesamtübersicht!$AH:$AH,MATCH($A30,Gesamtübersicht!$A:$A,0))&amp;""=$AH30&amp;"",INDEX(Gesamtübersicht!$T:$T,MATCH($A30,Gesamtübersicht!$A:$A,0))&amp;""=$T30&amp;""),"OK","Abweichung – Ansicht neu erzeugen"))</f>
        <v>OK</v>
      </c>
    </row>
    <row r="31" spans="1:50" ht="42.95" customHeight="1">
      <c r="A31" s="2" t="s">
        <v>691</v>
      </c>
      <c r="B31" s="9" t="s">
        <v>48</v>
      </c>
      <c r="C31" s="2" t="s">
        <v>46</v>
      </c>
      <c r="D31" s="2" t="s">
        <v>251</v>
      </c>
      <c r="E31" s="2" t="s">
        <v>41</v>
      </c>
      <c r="F31" s="2" t="s">
        <v>92</v>
      </c>
      <c r="G31" s="2" t="s">
        <v>692</v>
      </c>
      <c r="H31" s="2" t="s">
        <v>693</v>
      </c>
      <c r="I31" s="2" t="s">
        <v>692</v>
      </c>
      <c r="J31" s="2" t="s">
        <v>160</v>
      </c>
      <c r="K31" s="2" t="s">
        <v>694</v>
      </c>
      <c r="L31" s="2" t="s">
        <v>645</v>
      </c>
      <c r="M31" s="3" t="s">
        <v>695</v>
      </c>
      <c r="N31" s="2" t="s">
        <v>696</v>
      </c>
      <c r="O31" s="2" t="s">
        <v>100</v>
      </c>
      <c r="P31" s="2"/>
      <c r="Q31" s="2"/>
      <c r="R31" s="2"/>
      <c r="S31" s="2" t="s">
        <v>134</v>
      </c>
      <c r="T31" s="2" t="s">
        <v>105</v>
      </c>
      <c r="U31" s="2" t="s">
        <v>106</v>
      </c>
      <c r="V31" s="2"/>
      <c r="W31" s="2"/>
      <c r="X31" s="2"/>
      <c r="Y31" s="2" t="s">
        <v>109</v>
      </c>
      <c r="Z31" s="2" t="s">
        <v>149</v>
      </c>
      <c r="AA31" s="2"/>
      <c r="AB31" s="2"/>
      <c r="AC31" s="3" t="s">
        <v>678</v>
      </c>
      <c r="AD31" s="2" t="s">
        <v>112</v>
      </c>
      <c r="AE31" s="2" t="s">
        <v>113</v>
      </c>
      <c r="AF31" s="2"/>
      <c r="AG31" s="2" t="s">
        <v>292</v>
      </c>
      <c r="AH31" s="2" t="s">
        <v>115</v>
      </c>
      <c r="AI31" s="2" t="s">
        <v>667</v>
      </c>
      <c r="AJ31" s="2" t="s">
        <v>697</v>
      </c>
      <c r="AK31" s="2" t="s">
        <v>698</v>
      </c>
      <c r="AL31" s="2" t="s">
        <v>267</v>
      </c>
      <c r="AM31" s="2" t="s">
        <v>682</v>
      </c>
      <c r="AN31" s="2" t="s">
        <v>121</v>
      </c>
      <c r="AO31" s="2" t="s">
        <v>696</v>
      </c>
      <c r="AP31" s="2" t="s">
        <v>122</v>
      </c>
      <c r="AQ31" s="2" t="s">
        <v>123</v>
      </c>
      <c r="AR31" s="2" t="s">
        <v>124</v>
      </c>
      <c r="AS31" s="2" t="s">
        <v>655</v>
      </c>
      <c r="AT31" s="2" t="s">
        <v>125</v>
      </c>
      <c r="AU31" s="2"/>
      <c r="AV31" s="2"/>
      <c r="AW31" s="2" t="s">
        <v>155</v>
      </c>
      <c r="AX31" s="2" t="str">
        <f>IF(ISNA(MATCH($A31,Gesamtübersicht!$A:$A,0)),"ID fehlt in Gesamtübersicht",IF(AND(INDEX(Gesamtübersicht!$H:$H,MATCH($A31,Gesamtübersicht!$A:$A,0))&amp;""=$H31&amp;"",INDEX(Gesamtübersicht!$M:$M,MATCH($A31,Gesamtübersicht!$A:$A,0))&amp;""=$M31&amp;"",INDEX(Gesamtübersicht!$AD:$AD,MATCH($A31,Gesamtübersicht!$A:$A,0))&amp;""=$AD31&amp;"",INDEX(Gesamtübersicht!$AH:$AH,MATCH($A31,Gesamtübersicht!$A:$A,0))&amp;""=$AH31&amp;"",INDEX(Gesamtübersicht!$T:$T,MATCH($A31,Gesamtübersicht!$A:$A,0))&amp;""=$T31&amp;""),"OK","Abweichung – Ansicht neu erzeugen"))</f>
        <v>OK</v>
      </c>
    </row>
    <row r="32" spans="1:50" ht="42.95" customHeight="1">
      <c r="A32" s="12" t="s">
        <v>699</v>
      </c>
      <c r="B32" s="9" t="s">
        <v>48</v>
      </c>
      <c r="C32" s="12" t="s">
        <v>46</v>
      </c>
      <c r="D32" s="12" t="s">
        <v>251</v>
      </c>
      <c r="E32" s="12" t="s">
        <v>41</v>
      </c>
      <c r="F32" s="12" t="s">
        <v>172</v>
      </c>
      <c r="G32" s="12" t="s">
        <v>700</v>
      </c>
      <c r="H32" s="12" t="s">
        <v>701</v>
      </c>
      <c r="I32" s="12" t="s">
        <v>702</v>
      </c>
      <c r="J32" s="12" t="s">
        <v>160</v>
      </c>
      <c r="K32" s="12" t="s">
        <v>703</v>
      </c>
      <c r="L32" s="12" t="s">
        <v>645</v>
      </c>
      <c r="M32" s="13" t="s">
        <v>704</v>
      </c>
      <c r="N32" s="12" t="s">
        <v>99</v>
      </c>
      <c r="O32" s="12" t="s">
        <v>100</v>
      </c>
      <c r="P32" s="12" t="s">
        <v>705</v>
      </c>
      <c r="Q32" s="12" t="s">
        <v>706</v>
      </c>
      <c r="R32" s="12" t="s">
        <v>707</v>
      </c>
      <c r="S32" s="12" t="s">
        <v>351</v>
      </c>
      <c r="T32" s="12" t="s">
        <v>105</v>
      </c>
      <c r="U32" s="12" t="s">
        <v>708</v>
      </c>
      <c r="V32" s="12" t="s">
        <v>709</v>
      </c>
      <c r="W32" s="12" t="s">
        <v>183</v>
      </c>
      <c r="X32" s="12" t="s">
        <v>710</v>
      </c>
      <c r="Y32" s="12" t="s">
        <v>109</v>
      </c>
      <c r="Z32" s="12" t="s">
        <v>263</v>
      </c>
      <c r="AA32" s="12"/>
      <c r="AB32" s="12"/>
      <c r="AC32" s="13" t="s">
        <v>651</v>
      </c>
      <c r="AD32" s="12" t="s">
        <v>112</v>
      </c>
      <c r="AE32" s="12" t="s">
        <v>113</v>
      </c>
      <c r="AF32" s="12"/>
      <c r="AG32" s="12" t="s">
        <v>292</v>
      </c>
      <c r="AH32" s="12" t="s">
        <v>115</v>
      </c>
      <c r="AI32" s="12" t="s">
        <v>711</v>
      </c>
      <c r="AJ32" s="12" t="s">
        <v>712</v>
      </c>
      <c r="AK32" s="12" t="s">
        <v>713</v>
      </c>
      <c r="AL32" s="12" t="s">
        <v>267</v>
      </c>
      <c r="AM32" s="12" t="s">
        <v>120</v>
      </c>
      <c r="AN32" s="12" t="s">
        <v>121</v>
      </c>
      <c r="AO32" s="12" t="s">
        <v>99</v>
      </c>
      <c r="AP32" s="12" t="s">
        <v>714</v>
      </c>
      <c r="AQ32" s="12" t="s">
        <v>123</v>
      </c>
      <c r="AR32" s="12" t="s">
        <v>715</v>
      </c>
      <c r="AS32" s="12" t="s">
        <v>655</v>
      </c>
      <c r="AT32" s="12" t="s">
        <v>125</v>
      </c>
      <c r="AU32" s="12" t="s">
        <v>716</v>
      </c>
      <c r="AV32" s="12"/>
      <c r="AW32" s="12" t="s">
        <v>717</v>
      </c>
      <c r="AX32" s="12" t="str">
        <f>IF(ISNA(MATCH($A32,Gesamtübersicht!$A:$A,0)),"ID fehlt in Gesamtübersicht",IF(AND(INDEX(Gesamtübersicht!$H:$H,MATCH($A32,Gesamtübersicht!$A:$A,0))&amp;""=$H32&amp;"",INDEX(Gesamtübersicht!$M:$M,MATCH($A32,Gesamtübersicht!$A:$A,0))&amp;""=$M32&amp;"",INDEX(Gesamtübersicht!$AD:$AD,MATCH($A32,Gesamtübersicht!$A:$A,0))&amp;""=$AD32&amp;"",INDEX(Gesamtübersicht!$AH:$AH,MATCH($A32,Gesamtübersicht!$A:$A,0))&amp;""=$AH32&amp;"",INDEX(Gesamtübersicht!$T:$T,MATCH($A32,Gesamtübersicht!$A:$A,0))&amp;""=$T32&amp;""),"OK","Abweichung – Ansicht neu erzeugen"))</f>
        <v>OK</v>
      </c>
    </row>
    <row r="33" spans="1:50" ht="42.95" customHeight="1">
      <c r="A33" s="2" t="s">
        <v>718</v>
      </c>
      <c r="B33" s="9" t="s">
        <v>48</v>
      </c>
      <c r="C33" s="2" t="s">
        <v>46</v>
      </c>
      <c r="D33" s="2" t="s">
        <v>251</v>
      </c>
      <c r="E33" s="2" t="s">
        <v>41</v>
      </c>
      <c r="F33" s="2" t="s">
        <v>172</v>
      </c>
      <c r="G33" s="2" t="s">
        <v>719</v>
      </c>
      <c r="H33" s="2" t="s">
        <v>720</v>
      </c>
      <c r="I33" s="2" t="s">
        <v>721</v>
      </c>
      <c r="J33" s="2" t="s">
        <v>160</v>
      </c>
      <c r="K33" s="2" t="s">
        <v>722</v>
      </c>
      <c r="L33" s="2" t="s">
        <v>645</v>
      </c>
      <c r="M33" s="3" t="s">
        <v>723</v>
      </c>
      <c r="N33" s="2"/>
      <c r="O33" s="2" t="s">
        <v>100</v>
      </c>
      <c r="P33" s="2" t="s">
        <v>724</v>
      </c>
      <c r="Q33" s="2"/>
      <c r="R33" s="2"/>
      <c r="S33" s="2" t="s">
        <v>182</v>
      </c>
      <c r="T33" s="2" t="s">
        <v>105</v>
      </c>
      <c r="U33" s="2" t="s">
        <v>106</v>
      </c>
      <c r="V33" s="2"/>
      <c r="W33" s="2" t="s">
        <v>183</v>
      </c>
      <c r="X33" s="2"/>
      <c r="Y33" s="2" t="s">
        <v>109</v>
      </c>
      <c r="Z33" s="2" t="s">
        <v>167</v>
      </c>
      <c r="AA33" s="2"/>
      <c r="AB33" s="2"/>
      <c r="AC33" s="2"/>
      <c r="AD33" s="2" t="s">
        <v>112</v>
      </c>
      <c r="AE33" s="2" t="s">
        <v>113</v>
      </c>
      <c r="AF33" s="2"/>
      <c r="AG33" s="2" t="s">
        <v>292</v>
      </c>
      <c r="AH33" s="2" t="s">
        <v>115</v>
      </c>
      <c r="AI33" s="2" t="s">
        <v>725</v>
      </c>
      <c r="AJ33" s="2" t="s">
        <v>726</v>
      </c>
      <c r="AK33" s="2" t="s">
        <v>727</v>
      </c>
      <c r="AL33" s="2" t="s">
        <v>267</v>
      </c>
      <c r="AM33" s="2" t="s">
        <v>153</v>
      </c>
      <c r="AN33" s="2" t="s">
        <v>121</v>
      </c>
      <c r="AO33" s="2"/>
      <c r="AP33" s="2" t="s">
        <v>122</v>
      </c>
      <c r="AQ33" s="2" t="s">
        <v>123</v>
      </c>
      <c r="AR33" s="2" t="s">
        <v>715</v>
      </c>
      <c r="AS33" s="2" t="s">
        <v>655</v>
      </c>
      <c r="AT33" s="2" t="s">
        <v>125</v>
      </c>
      <c r="AU33" s="2"/>
      <c r="AV33" s="2"/>
      <c r="AW33" s="2" t="s">
        <v>155</v>
      </c>
      <c r="AX33" s="2" t="str">
        <f>IF(ISNA(MATCH($A33,Gesamtübersicht!$A:$A,0)),"ID fehlt in Gesamtübersicht",IF(AND(INDEX(Gesamtübersicht!$H:$H,MATCH($A33,Gesamtübersicht!$A:$A,0))&amp;""=$H33&amp;"",INDEX(Gesamtübersicht!$M:$M,MATCH($A33,Gesamtübersicht!$A:$A,0))&amp;""=$M33&amp;"",INDEX(Gesamtübersicht!$AD:$AD,MATCH($A33,Gesamtübersicht!$A:$A,0))&amp;""=$AD33&amp;"",INDEX(Gesamtübersicht!$AH:$AH,MATCH($A33,Gesamtübersicht!$A:$A,0))&amp;""=$AH33&amp;"",INDEX(Gesamtübersicht!$T:$T,MATCH($A33,Gesamtübersicht!$A:$A,0))&amp;""=$T33&amp;""),"OK","Abweichung – Ansicht neu erzeugen"))</f>
        <v>OK</v>
      </c>
    </row>
    <row r="34" spans="1:50" ht="42.95" customHeight="1">
      <c r="A34" s="12" t="s">
        <v>728</v>
      </c>
      <c r="B34" s="9" t="s">
        <v>48</v>
      </c>
      <c r="C34" s="12" t="s">
        <v>46</v>
      </c>
      <c r="D34" s="12" t="s">
        <v>251</v>
      </c>
      <c r="E34" s="12" t="s">
        <v>41</v>
      </c>
      <c r="F34" s="12" t="s">
        <v>172</v>
      </c>
      <c r="G34" s="12" t="s">
        <v>729</v>
      </c>
      <c r="H34" s="12" t="s">
        <v>730</v>
      </c>
      <c r="I34" s="12" t="s">
        <v>731</v>
      </c>
      <c r="J34" s="12" t="s">
        <v>160</v>
      </c>
      <c r="K34" s="12" t="s">
        <v>732</v>
      </c>
      <c r="L34" s="12" t="s">
        <v>733</v>
      </c>
      <c r="M34" s="13" t="s">
        <v>734</v>
      </c>
      <c r="N34" s="12" t="s">
        <v>735</v>
      </c>
      <c r="O34" s="12" t="s">
        <v>100</v>
      </c>
      <c r="P34" s="12" t="s">
        <v>736</v>
      </c>
      <c r="Q34" s="12"/>
      <c r="R34" s="12"/>
      <c r="S34" s="12" t="s">
        <v>182</v>
      </c>
      <c r="T34" s="12" t="s">
        <v>105</v>
      </c>
      <c r="U34" s="12" t="s">
        <v>106</v>
      </c>
      <c r="V34" s="12"/>
      <c r="W34" s="12" t="s">
        <v>594</v>
      </c>
      <c r="X34" s="12"/>
      <c r="Y34" s="12" t="s">
        <v>109</v>
      </c>
      <c r="Z34" s="12" t="s">
        <v>167</v>
      </c>
      <c r="AA34" s="12" t="s">
        <v>212</v>
      </c>
      <c r="AB34" s="12"/>
      <c r="AC34" s="12"/>
      <c r="AD34" s="12" t="s">
        <v>112</v>
      </c>
      <c r="AE34" s="12" t="s">
        <v>113</v>
      </c>
      <c r="AF34" s="12"/>
      <c r="AG34" s="12" t="s">
        <v>292</v>
      </c>
      <c r="AH34" s="12" t="s">
        <v>115</v>
      </c>
      <c r="AI34" s="12" t="s">
        <v>737</v>
      </c>
      <c r="AJ34" s="12" t="s">
        <v>738</v>
      </c>
      <c r="AK34" s="12" t="s">
        <v>739</v>
      </c>
      <c r="AL34" s="12" t="s">
        <v>267</v>
      </c>
      <c r="AM34" s="12" t="s">
        <v>153</v>
      </c>
      <c r="AN34" s="12" t="s">
        <v>121</v>
      </c>
      <c r="AO34" s="12" t="s">
        <v>735</v>
      </c>
      <c r="AP34" s="12" t="s">
        <v>122</v>
      </c>
      <c r="AQ34" s="12" t="s">
        <v>123</v>
      </c>
      <c r="AR34" s="12" t="s">
        <v>715</v>
      </c>
      <c r="AS34" s="12" t="s">
        <v>655</v>
      </c>
      <c r="AT34" s="12" t="s">
        <v>125</v>
      </c>
      <c r="AU34" s="12"/>
      <c r="AV34" s="12"/>
      <c r="AW34" s="12" t="s">
        <v>155</v>
      </c>
      <c r="AX34" s="12" t="str">
        <f>IF(ISNA(MATCH($A34,Gesamtübersicht!$A:$A,0)),"ID fehlt in Gesamtübersicht",IF(AND(INDEX(Gesamtübersicht!$H:$H,MATCH($A34,Gesamtübersicht!$A:$A,0))&amp;""=$H34&amp;"",INDEX(Gesamtübersicht!$M:$M,MATCH($A34,Gesamtübersicht!$A:$A,0))&amp;""=$M34&amp;"",INDEX(Gesamtübersicht!$AD:$AD,MATCH($A34,Gesamtübersicht!$A:$A,0))&amp;""=$AD34&amp;"",INDEX(Gesamtübersicht!$AH:$AH,MATCH($A34,Gesamtübersicht!$A:$A,0))&amp;""=$AH34&amp;"",INDEX(Gesamtübersicht!$T:$T,MATCH($A34,Gesamtübersicht!$A:$A,0))&amp;""=$T34&amp;""),"OK","Abweichung – Ansicht neu erzeugen"))</f>
        <v>OK</v>
      </c>
    </row>
    <row r="35" spans="1:50" ht="42.95" customHeight="1">
      <c r="A35" s="2" t="s">
        <v>740</v>
      </c>
      <c r="B35" s="9" t="s">
        <v>48</v>
      </c>
      <c r="C35" s="2" t="s">
        <v>46</v>
      </c>
      <c r="D35" s="2" t="s">
        <v>251</v>
      </c>
      <c r="E35" s="2" t="s">
        <v>41</v>
      </c>
      <c r="F35" s="2" t="s">
        <v>172</v>
      </c>
      <c r="G35" s="2" t="s">
        <v>741</v>
      </c>
      <c r="H35" s="2" t="s">
        <v>742</v>
      </c>
      <c r="I35" s="2" t="s">
        <v>702</v>
      </c>
      <c r="J35" s="2" t="s">
        <v>160</v>
      </c>
      <c r="K35" s="2" t="s">
        <v>702</v>
      </c>
      <c r="L35" s="2" t="s">
        <v>645</v>
      </c>
      <c r="M35" s="3" t="s">
        <v>743</v>
      </c>
      <c r="N35" s="2" t="s">
        <v>476</v>
      </c>
      <c r="O35" s="2" t="s">
        <v>100</v>
      </c>
      <c r="P35" s="2" t="s">
        <v>744</v>
      </c>
      <c r="Q35" s="2"/>
      <c r="R35" s="2"/>
      <c r="S35" s="2" t="s">
        <v>182</v>
      </c>
      <c r="T35" s="2" t="s">
        <v>105</v>
      </c>
      <c r="U35" s="2" t="s">
        <v>166</v>
      </c>
      <c r="V35" s="2"/>
      <c r="W35" s="2" t="s">
        <v>594</v>
      </c>
      <c r="X35" s="2"/>
      <c r="Y35" s="2" t="s">
        <v>109</v>
      </c>
      <c r="Z35" s="2" t="s">
        <v>167</v>
      </c>
      <c r="AA35" s="2"/>
      <c r="AB35" s="2"/>
      <c r="AC35" s="2"/>
      <c r="AD35" s="2" t="s">
        <v>112</v>
      </c>
      <c r="AE35" s="2" t="s">
        <v>113</v>
      </c>
      <c r="AF35" s="2"/>
      <c r="AG35" s="2" t="s">
        <v>292</v>
      </c>
      <c r="AH35" s="2" t="s">
        <v>115</v>
      </c>
      <c r="AI35" s="2" t="s">
        <v>745</v>
      </c>
      <c r="AJ35" s="2" t="s">
        <v>746</v>
      </c>
      <c r="AK35" s="2" t="s">
        <v>747</v>
      </c>
      <c r="AL35" s="2" t="s">
        <v>267</v>
      </c>
      <c r="AM35" s="2" t="s">
        <v>153</v>
      </c>
      <c r="AN35" s="2" t="s">
        <v>121</v>
      </c>
      <c r="AO35" s="2" t="s">
        <v>476</v>
      </c>
      <c r="AP35" s="2" t="s">
        <v>122</v>
      </c>
      <c r="AQ35" s="2" t="s">
        <v>123</v>
      </c>
      <c r="AR35" s="2" t="s">
        <v>715</v>
      </c>
      <c r="AS35" s="2" t="s">
        <v>655</v>
      </c>
      <c r="AT35" s="2" t="s">
        <v>125</v>
      </c>
      <c r="AU35" s="2"/>
      <c r="AV35" s="2"/>
      <c r="AW35" s="2" t="s">
        <v>155</v>
      </c>
      <c r="AX35" s="2" t="str">
        <f>IF(ISNA(MATCH($A35,Gesamtübersicht!$A:$A,0)),"ID fehlt in Gesamtübersicht",IF(AND(INDEX(Gesamtübersicht!$H:$H,MATCH($A35,Gesamtübersicht!$A:$A,0))&amp;""=$H35&amp;"",INDEX(Gesamtübersicht!$M:$M,MATCH($A35,Gesamtübersicht!$A:$A,0))&amp;""=$M35&amp;"",INDEX(Gesamtübersicht!$AD:$AD,MATCH($A35,Gesamtübersicht!$A:$A,0))&amp;""=$AD35&amp;"",INDEX(Gesamtübersicht!$AH:$AH,MATCH($A35,Gesamtübersicht!$A:$A,0))&amp;""=$AH35&amp;"",INDEX(Gesamtübersicht!$T:$T,MATCH($A35,Gesamtübersicht!$A:$A,0))&amp;""=$T35&amp;""),"OK","Abweichung – Ansicht neu erzeugen"))</f>
        <v>OK</v>
      </c>
    </row>
    <row r="36" spans="1:50" ht="42.95" customHeight="1">
      <c r="A36" s="12" t="s">
        <v>748</v>
      </c>
      <c r="B36" s="9" t="s">
        <v>48</v>
      </c>
      <c r="C36" s="12" t="s">
        <v>46</v>
      </c>
      <c r="D36" s="12" t="s">
        <v>251</v>
      </c>
      <c r="E36" s="12" t="s">
        <v>41</v>
      </c>
      <c r="F36" s="12" t="s">
        <v>199</v>
      </c>
      <c r="G36" s="12" t="s">
        <v>749</v>
      </c>
      <c r="H36" s="12" t="s">
        <v>750</v>
      </c>
      <c r="I36" s="12" t="s">
        <v>751</v>
      </c>
      <c r="J36" s="12" t="s">
        <v>96</v>
      </c>
      <c r="K36" s="12" t="s">
        <v>97</v>
      </c>
      <c r="L36" s="12" t="s">
        <v>645</v>
      </c>
      <c r="M36" s="13" t="s">
        <v>752</v>
      </c>
      <c r="N36" s="12" t="s">
        <v>99</v>
      </c>
      <c r="O36" s="12" t="s">
        <v>100</v>
      </c>
      <c r="P36" s="12" t="s">
        <v>753</v>
      </c>
      <c r="Q36" s="12" t="s">
        <v>754</v>
      </c>
      <c r="R36" s="12" t="s">
        <v>755</v>
      </c>
      <c r="S36" s="12" t="s">
        <v>384</v>
      </c>
      <c r="T36" s="12" t="s">
        <v>105</v>
      </c>
      <c r="U36" s="12" t="s">
        <v>166</v>
      </c>
      <c r="V36" s="12" t="s">
        <v>650</v>
      </c>
      <c r="W36" s="12" t="s">
        <v>512</v>
      </c>
      <c r="X36" s="12" t="s">
        <v>513</v>
      </c>
      <c r="Y36" s="12" t="s">
        <v>109</v>
      </c>
      <c r="Z36" s="12" t="s">
        <v>263</v>
      </c>
      <c r="AA36" s="12"/>
      <c r="AB36" s="12"/>
      <c r="AC36" s="12"/>
      <c r="AD36" s="12" t="s">
        <v>112</v>
      </c>
      <c r="AE36" s="12" t="s">
        <v>113</v>
      </c>
      <c r="AF36" s="12"/>
      <c r="AG36" s="12" t="s">
        <v>114</v>
      </c>
      <c r="AH36" s="12" t="s">
        <v>115</v>
      </c>
      <c r="AI36" s="12" t="s">
        <v>756</v>
      </c>
      <c r="AJ36" s="12" t="s">
        <v>757</v>
      </c>
      <c r="AK36" s="12"/>
      <c r="AL36" s="12" t="s">
        <v>119</v>
      </c>
      <c r="AM36" s="12" t="s">
        <v>120</v>
      </c>
      <c r="AN36" s="12" t="s">
        <v>121</v>
      </c>
      <c r="AO36" s="12" t="s">
        <v>99</v>
      </c>
      <c r="AP36" s="12" t="s">
        <v>122</v>
      </c>
      <c r="AQ36" s="12" t="s">
        <v>123</v>
      </c>
      <c r="AR36" s="12" t="s">
        <v>715</v>
      </c>
      <c r="AS36" s="12" t="s">
        <v>655</v>
      </c>
      <c r="AT36" s="12" t="s">
        <v>125</v>
      </c>
      <c r="AU36" s="12"/>
      <c r="AV36" s="12" t="s">
        <v>758</v>
      </c>
      <c r="AW36" s="12"/>
      <c r="AX36" s="12" t="str">
        <f>IF(ISNA(MATCH($A36,Gesamtübersicht!$A:$A,0)),"ID fehlt in Gesamtübersicht",IF(AND(INDEX(Gesamtübersicht!$H:$H,MATCH($A36,Gesamtübersicht!$A:$A,0))&amp;""=$H36&amp;"",INDEX(Gesamtübersicht!$M:$M,MATCH($A36,Gesamtübersicht!$A:$A,0))&amp;""=$M36&amp;"",INDEX(Gesamtübersicht!$AD:$AD,MATCH($A36,Gesamtübersicht!$A:$A,0))&amp;""=$AD36&amp;"",INDEX(Gesamtübersicht!$AH:$AH,MATCH($A36,Gesamtübersicht!$A:$A,0))&amp;""=$AH36&amp;"",INDEX(Gesamtübersicht!$T:$T,MATCH($A36,Gesamtübersicht!$A:$A,0))&amp;""=$T36&amp;""),"OK","Abweichung – Ansicht neu erzeugen"))</f>
        <v>OK</v>
      </c>
    </row>
    <row r="37" spans="1:50" ht="42.95" customHeight="1">
      <c r="A37" s="2" t="s">
        <v>759</v>
      </c>
      <c r="B37" s="9" t="s">
        <v>48</v>
      </c>
      <c r="C37" s="2" t="s">
        <v>46</v>
      </c>
      <c r="D37" s="2" t="s">
        <v>251</v>
      </c>
      <c r="E37" s="2" t="s">
        <v>41</v>
      </c>
      <c r="F37" s="2" t="s">
        <v>199</v>
      </c>
      <c r="G37" s="2" t="s">
        <v>760</v>
      </c>
      <c r="H37" s="2" t="s">
        <v>761</v>
      </c>
      <c r="I37" s="2" t="s">
        <v>760</v>
      </c>
      <c r="J37" s="2" t="s">
        <v>160</v>
      </c>
      <c r="K37" s="2" t="s">
        <v>722</v>
      </c>
      <c r="L37" s="2" t="s">
        <v>645</v>
      </c>
      <c r="M37" s="3" t="s">
        <v>762</v>
      </c>
      <c r="N37" s="2"/>
      <c r="O37" s="2" t="s">
        <v>100</v>
      </c>
      <c r="P37" s="2" t="s">
        <v>763</v>
      </c>
      <c r="Q37" s="2"/>
      <c r="R37" s="2"/>
      <c r="S37" s="2" t="s">
        <v>182</v>
      </c>
      <c r="T37" s="2" t="s">
        <v>105</v>
      </c>
      <c r="U37" s="2" t="s">
        <v>106</v>
      </c>
      <c r="V37" s="2"/>
      <c r="W37" s="2"/>
      <c r="X37" s="2"/>
      <c r="Y37" s="2" t="s">
        <v>109</v>
      </c>
      <c r="Z37" s="2" t="s">
        <v>149</v>
      </c>
      <c r="AA37" s="2" t="s">
        <v>397</v>
      </c>
      <c r="AB37" s="2"/>
      <c r="AC37" s="3" t="s">
        <v>764</v>
      </c>
      <c r="AD37" s="2" t="s">
        <v>112</v>
      </c>
      <c r="AE37" s="2" t="s">
        <v>113</v>
      </c>
      <c r="AF37" s="2"/>
      <c r="AG37" s="2" t="s">
        <v>292</v>
      </c>
      <c r="AH37" s="2" t="s">
        <v>115</v>
      </c>
      <c r="AI37" s="2" t="s">
        <v>765</v>
      </c>
      <c r="AJ37" s="2" t="s">
        <v>726</v>
      </c>
      <c r="AK37" s="2" t="s">
        <v>766</v>
      </c>
      <c r="AL37" s="2" t="s">
        <v>267</v>
      </c>
      <c r="AM37" s="2" t="s">
        <v>153</v>
      </c>
      <c r="AN37" s="2" t="s">
        <v>121</v>
      </c>
      <c r="AO37" s="2"/>
      <c r="AP37" s="2" t="s">
        <v>767</v>
      </c>
      <c r="AQ37" s="2" t="s">
        <v>123</v>
      </c>
      <c r="AR37" s="2" t="s">
        <v>715</v>
      </c>
      <c r="AS37" s="2" t="s">
        <v>655</v>
      </c>
      <c r="AT37" s="2" t="s">
        <v>125</v>
      </c>
      <c r="AU37" s="2" t="s">
        <v>768</v>
      </c>
      <c r="AV37" s="2"/>
      <c r="AW37" s="2" t="s">
        <v>155</v>
      </c>
      <c r="AX37" s="2" t="str">
        <f>IF(ISNA(MATCH($A37,Gesamtübersicht!$A:$A,0)),"ID fehlt in Gesamtübersicht",IF(AND(INDEX(Gesamtübersicht!$H:$H,MATCH($A37,Gesamtübersicht!$A:$A,0))&amp;""=$H37&amp;"",INDEX(Gesamtübersicht!$M:$M,MATCH($A37,Gesamtübersicht!$A:$A,0))&amp;""=$M37&amp;"",INDEX(Gesamtübersicht!$AD:$AD,MATCH($A37,Gesamtübersicht!$A:$A,0))&amp;""=$AD37&amp;"",INDEX(Gesamtübersicht!$AH:$AH,MATCH($A37,Gesamtübersicht!$A:$A,0))&amp;""=$AH37&amp;"",INDEX(Gesamtübersicht!$T:$T,MATCH($A37,Gesamtübersicht!$A:$A,0))&amp;""=$T37&amp;""),"OK","Abweichung – Ansicht neu erzeugen"))</f>
        <v>OK</v>
      </c>
    </row>
    <row r="38" spans="1:50" ht="42.95" customHeight="1">
      <c r="A38" s="12" t="s">
        <v>758</v>
      </c>
      <c r="B38" s="9" t="s">
        <v>48</v>
      </c>
      <c r="C38" s="12" t="s">
        <v>46</v>
      </c>
      <c r="D38" s="12" t="s">
        <v>251</v>
      </c>
      <c r="E38" s="12" t="s">
        <v>41</v>
      </c>
      <c r="F38" s="12" t="s">
        <v>217</v>
      </c>
      <c r="G38" s="12" t="s">
        <v>402</v>
      </c>
      <c r="H38" s="12" t="s">
        <v>750</v>
      </c>
      <c r="I38" s="12" t="s">
        <v>751</v>
      </c>
      <c r="J38" s="12" t="s">
        <v>96</v>
      </c>
      <c r="K38" s="12" t="s">
        <v>97</v>
      </c>
      <c r="L38" s="12" t="s">
        <v>645</v>
      </c>
      <c r="M38" s="13" t="s">
        <v>752</v>
      </c>
      <c r="N38" s="12" t="s">
        <v>99</v>
      </c>
      <c r="O38" s="12" t="s">
        <v>100</v>
      </c>
      <c r="P38" s="12" t="s">
        <v>769</v>
      </c>
      <c r="Q38" s="12" t="s">
        <v>770</v>
      </c>
      <c r="R38" s="12" t="s">
        <v>771</v>
      </c>
      <c r="S38" s="12" t="s">
        <v>384</v>
      </c>
      <c r="T38" s="12" t="s">
        <v>105</v>
      </c>
      <c r="U38" s="12" t="s">
        <v>166</v>
      </c>
      <c r="V38" s="12" t="s">
        <v>650</v>
      </c>
      <c r="W38" s="12" t="s">
        <v>226</v>
      </c>
      <c r="X38" s="12" t="s">
        <v>772</v>
      </c>
      <c r="Y38" s="12" t="s">
        <v>109</v>
      </c>
      <c r="Z38" s="12" t="s">
        <v>263</v>
      </c>
      <c r="AA38" s="12"/>
      <c r="AB38" s="12"/>
      <c r="AC38" s="12"/>
      <c r="AD38" s="12" t="s">
        <v>112</v>
      </c>
      <c r="AE38" s="12" t="s">
        <v>113</v>
      </c>
      <c r="AF38" s="12"/>
      <c r="AG38" s="12" t="s">
        <v>114</v>
      </c>
      <c r="AH38" s="12" t="s">
        <v>115</v>
      </c>
      <c r="AI38" s="12" t="s">
        <v>756</v>
      </c>
      <c r="AJ38" s="12" t="s">
        <v>757</v>
      </c>
      <c r="AK38" s="12"/>
      <c r="AL38" s="12" t="s">
        <v>119</v>
      </c>
      <c r="AM38" s="12" t="s">
        <v>120</v>
      </c>
      <c r="AN38" s="12" t="s">
        <v>121</v>
      </c>
      <c r="AO38" s="12" t="s">
        <v>99</v>
      </c>
      <c r="AP38" s="12" t="s">
        <v>122</v>
      </c>
      <c r="AQ38" s="12" t="s">
        <v>123</v>
      </c>
      <c r="AR38" s="12" t="s">
        <v>715</v>
      </c>
      <c r="AS38" s="12" t="s">
        <v>655</v>
      </c>
      <c r="AT38" s="12" t="s">
        <v>125</v>
      </c>
      <c r="AU38" s="12"/>
      <c r="AV38" s="12" t="s">
        <v>748</v>
      </c>
      <c r="AW38" s="12"/>
      <c r="AX38" s="12" t="str">
        <f>IF(ISNA(MATCH($A38,Gesamtübersicht!$A:$A,0)),"ID fehlt in Gesamtübersicht",IF(AND(INDEX(Gesamtübersicht!$H:$H,MATCH($A38,Gesamtübersicht!$A:$A,0))&amp;""=$H38&amp;"",INDEX(Gesamtübersicht!$M:$M,MATCH($A38,Gesamtübersicht!$A:$A,0))&amp;""=$M38&amp;"",INDEX(Gesamtübersicht!$AD:$AD,MATCH($A38,Gesamtübersicht!$A:$A,0))&amp;""=$AD38&amp;"",INDEX(Gesamtübersicht!$AH:$AH,MATCH($A38,Gesamtübersicht!$A:$A,0))&amp;""=$AH38&amp;"",INDEX(Gesamtübersicht!$T:$T,MATCH($A38,Gesamtübersicht!$A:$A,0))&amp;""=$T38&amp;""),"OK","Abweichung – Ansicht neu erzeugen"))</f>
        <v>OK</v>
      </c>
    </row>
    <row r="39" spans="1:50" ht="42.95" customHeight="1">
      <c r="A39" s="2" t="s">
        <v>773</v>
      </c>
      <c r="B39" s="9" t="s">
        <v>48</v>
      </c>
      <c r="C39" s="2" t="s">
        <v>46</v>
      </c>
      <c r="D39" s="2" t="s">
        <v>251</v>
      </c>
      <c r="E39" s="2" t="s">
        <v>41</v>
      </c>
      <c r="F39" s="2" t="s">
        <v>217</v>
      </c>
      <c r="G39" s="2" t="s">
        <v>774</v>
      </c>
      <c r="H39" s="2" t="s">
        <v>775</v>
      </c>
      <c r="I39" s="2" t="s">
        <v>142</v>
      </c>
      <c r="J39" s="2" t="s">
        <v>142</v>
      </c>
      <c r="K39" s="2" t="s">
        <v>368</v>
      </c>
      <c r="L39" s="2" t="s">
        <v>645</v>
      </c>
      <c r="M39" s="3" t="s">
        <v>776</v>
      </c>
      <c r="N39" s="2"/>
      <c r="O39" s="2" t="s">
        <v>100</v>
      </c>
      <c r="P39" s="2" t="s">
        <v>777</v>
      </c>
      <c r="Q39" s="2"/>
      <c r="R39" s="2"/>
      <c r="S39" s="2" t="s">
        <v>182</v>
      </c>
      <c r="T39" s="2" t="s">
        <v>105</v>
      </c>
      <c r="U39" s="2" t="s">
        <v>166</v>
      </c>
      <c r="V39" s="2"/>
      <c r="W39" s="2"/>
      <c r="X39" s="2"/>
      <c r="Y39" s="2" t="s">
        <v>109</v>
      </c>
      <c r="Z39" s="2" t="s">
        <v>167</v>
      </c>
      <c r="AA39" s="2"/>
      <c r="AB39" s="2"/>
      <c r="AC39" s="2"/>
      <c r="AD39" s="2" t="s">
        <v>112</v>
      </c>
      <c r="AE39" s="2" t="s">
        <v>113</v>
      </c>
      <c r="AF39" s="2"/>
      <c r="AG39" s="2" t="s">
        <v>114</v>
      </c>
      <c r="AH39" s="2" t="s">
        <v>115</v>
      </c>
      <c r="AI39" s="2" t="s">
        <v>778</v>
      </c>
      <c r="AJ39" s="2" t="s">
        <v>779</v>
      </c>
      <c r="AK39" s="2"/>
      <c r="AL39" s="2" t="s">
        <v>119</v>
      </c>
      <c r="AM39" s="2" t="s">
        <v>153</v>
      </c>
      <c r="AN39" s="2" t="s">
        <v>121</v>
      </c>
      <c r="AO39" s="2"/>
      <c r="AP39" s="2" t="s">
        <v>122</v>
      </c>
      <c r="AQ39" s="2" t="s">
        <v>123</v>
      </c>
      <c r="AR39" s="2" t="s">
        <v>715</v>
      </c>
      <c r="AS39" s="2" t="s">
        <v>655</v>
      </c>
      <c r="AT39" s="2" t="s">
        <v>125</v>
      </c>
      <c r="AU39" s="2"/>
      <c r="AV39" s="2"/>
      <c r="AW39" s="2" t="s">
        <v>155</v>
      </c>
      <c r="AX39" s="2" t="str">
        <f>IF(ISNA(MATCH($A39,Gesamtübersicht!$A:$A,0)),"ID fehlt in Gesamtübersicht",IF(AND(INDEX(Gesamtübersicht!$H:$H,MATCH($A39,Gesamtübersicht!$A:$A,0))&amp;""=$H39&amp;"",INDEX(Gesamtübersicht!$M:$M,MATCH($A39,Gesamtübersicht!$A:$A,0))&amp;""=$M39&amp;"",INDEX(Gesamtübersicht!$AD:$AD,MATCH($A39,Gesamtübersicht!$A:$A,0))&amp;""=$AD39&amp;"",INDEX(Gesamtübersicht!$AH:$AH,MATCH($A39,Gesamtübersicht!$A:$A,0))&amp;""=$AH39&amp;"",INDEX(Gesamtübersicht!$T:$T,MATCH($A39,Gesamtübersicht!$A:$A,0))&amp;""=$T39&amp;""),"OK","Abweichung – Ansicht neu erzeugen"))</f>
        <v>OK</v>
      </c>
    </row>
    <row r="40" spans="1:50" ht="42.95" customHeight="1">
      <c r="A40" s="12" t="s">
        <v>780</v>
      </c>
      <c r="B40" s="9" t="s">
        <v>48</v>
      </c>
      <c r="C40" s="12" t="s">
        <v>46</v>
      </c>
      <c r="D40" s="12" t="s">
        <v>251</v>
      </c>
      <c r="E40" s="12" t="s">
        <v>41</v>
      </c>
      <c r="F40" s="12" t="s">
        <v>217</v>
      </c>
      <c r="G40" s="12" t="s">
        <v>781</v>
      </c>
      <c r="H40" s="12" t="s">
        <v>782</v>
      </c>
      <c r="I40" s="12" t="s">
        <v>783</v>
      </c>
      <c r="J40" s="12" t="s">
        <v>160</v>
      </c>
      <c r="K40" s="12" t="s">
        <v>722</v>
      </c>
      <c r="L40" s="12" t="s">
        <v>645</v>
      </c>
      <c r="M40" s="13" t="s">
        <v>784</v>
      </c>
      <c r="N40" s="12"/>
      <c r="O40" s="12" t="s">
        <v>100</v>
      </c>
      <c r="P40" s="12" t="s">
        <v>785</v>
      </c>
      <c r="Q40" s="12"/>
      <c r="R40" s="12"/>
      <c r="S40" s="12" t="s">
        <v>182</v>
      </c>
      <c r="T40" s="12" t="s">
        <v>105</v>
      </c>
      <c r="U40" s="12" t="s">
        <v>106</v>
      </c>
      <c r="V40" s="12"/>
      <c r="W40" s="12"/>
      <c r="X40" s="12"/>
      <c r="Y40" s="12" t="s">
        <v>109</v>
      </c>
      <c r="Z40" s="12" t="s">
        <v>149</v>
      </c>
      <c r="AA40" s="12"/>
      <c r="AB40" s="12"/>
      <c r="AC40" s="13" t="s">
        <v>764</v>
      </c>
      <c r="AD40" s="12" t="s">
        <v>112</v>
      </c>
      <c r="AE40" s="12" t="s">
        <v>113</v>
      </c>
      <c r="AF40" s="12"/>
      <c r="AG40" s="12" t="s">
        <v>292</v>
      </c>
      <c r="AH40" s="12" t="s">
        <v>115</v>
      </c>
      <c r="AI40" s="12" t="s">
        <v>786</v>
      </c>
      <c r="AJ40" s="12" t="s">
        <v>787</v>
      </c>
      <c r="AK40" s="12" t="s">
        <v>230</v>
      </c>
      <c r="AL40" s="12" t="s">
        <v>267</v>
      </c>
      <c r="AM40" s="12" t="s">
        <v>153</v>
      </c>
      <c r="AN40" s="12" t="s">
        <v>121</v>
      </c>
      <c r="AO40" s="12"/>
      <c r="AP40" s="12" t="s">
        <v>122</v>
      </c>
      <c r="AQ40" s="12" t="s">
        <v>123</v>
      </c>
      <c r="AR40" s="12" t="s">
        <v>715</v>
      </c>
      <c r="AS40" s="12" t="s">
        <v>655</v>
      </c>
      <c r="AT40" s="12" t="s">
        <v>125</v>
      </c>
      <c r="AU40" s="12"/>
      <c r="AV40" s="12"/>
      <c r="AW40" s="12" t="s">
        <v>155</v>
      </c>
      <c r="AX40" s="12" t="str">
        <f>IF(ISNA(MATCH($A40,Gesamtübersicht!$A:$A,0)),"ID fehlt in Gesamtübersicht",IF(AND(INDEX(Gesamtübersicht!$H:$H,MATCH($A40,Gesamtübersicht!$A:$A,0))&amp;""=$H40&amp;"",INDEX(Gesamtübersicht!$M:$M,MATCH($A40,Gesamtübersicht!$A:$A,0))&amp;""=$M40&amp;"",INDEX(Gesamtübersicht!$AD:$AD,MATCH($A40,Gesamtübersicht!$A:$A,0))&amp;""=$AD40&amp;"",INDEX(Gesamtübersicht!$AH:$AH,MATCH($A40,Gesamtübersicht!$A:$A,0))&amp;""=$AH40&amp;"",INDEX(Gesamtübersicht!$T:$T,MATCH($A40,Gesamtübersicht!$A:$A,0))&amp;""=$T40&amp;""),"OK","Abweichung – Ansicht neu erzeugen"))</f>
        <v>OK</v>
      </c>
    </row>
    <row r="41" spans="1:50" ht="42.95" customHeight="1">
      <c r="A41" s="2" t="s">
        <v>788</v>
      </c>
      <c r="B41" s="9" t="s">
        <v>48</v>
      </c>
      <c r="C41" s="2" t="s">
        <v>46</v>
      </c>
      <c r="D41" s="2" t="s">
        <v>251</v>
      </c>
      <c r="E41" s="2" t="s">
        <v>41</v>
      </c>
      <c r="F41" s="2" t="s">
        <v>217</v>
      </c>
      <c r="G41" s="2" t="s">
        <v>789</v>
      </c>
      <c r="H41" s="2" t="s">
        <v>790</v>
      </c>
      <c r="I41" s="2" t="s">
        <v>783</v>
      </c>
      <c r="J41" s="2" t="s">
        <v>160</v>
      </c>
      <c r="K41" s="2" t="s">
        <v>722</v>
      </c>
      <c r="L41" s="2" t="s">
        <v>645</v>
      </c>
      <c r="M41" s="3" t="s">
        <v>791</v>
      </c>
      <c r="N41" s="2"/>
      <c r="O41" s="2" t="s">
        <v>100</v>
      </c>
      <c r="P41" s="2" t="s">
        <v>792</v>
      </c>
      <c r="Q41" s="2"/>
      <c r="R41" s="2"/>
      <c r="S41" s="2" t="s">
        <v>182</v>
      </c>
      <c r="T41" s="2" t="s">
        <v>105</v>
      </c>
      <c r="U41" s="2" t="s">
        <v>106</v>
      </c>
      <c r="V41" s="2"/>
      <c r="W41" s="2"/>
      <c r="X41" s="2"/>
      <c r="Y41" s="2" t="s">
        <v>109</v>
      </c>
      <c r="Z41" s="2" t="s">
        <v>149</v>
      </c>
      <c r="AA41" s="2" t="s">
        <v>199</v>
      </c>
      <c r="AB41" s="2"/>
      <c r="AC41" s="3" t="s">
        <v>764</v>
      </c>
      <c r="AD41" s="2" t="s">
        <v>112</v>
      </c>
      <c r="AE41" s="2" t="s">
        <v>113</v>
      </c>
      <c r="AF41" s="2"/>
      <c r="AG41" s="2" t="s">
        <v>292</v>
      </c>
      <c r="AH41" s="2" t="s">
        <v>115</v>
      </c>
      <c r="AI41" s="2" t="s">
        <v>793</v>
      </c>
      <c r="AJ41" s="2" t="s">
        <v>726</v>
      </c>
      <c r="AK41" s="2" t="s">
        <v>794</v>
      </c>
      <c r="AL41" s="2" t="s">
        <v>267</v>
      </c>
      <c r="AM41" s="2" t="s">
        <v>153</v>
      </c>
      <c r="AN41" s="2" t="s">
        <v>121</v>
      </c>
      <c r="AO41" s="2"/>
      <c r="AP41" s="2" t="s">
        <v>122</v>
      </c>
      <c r="AQ41" s="2" t="s">
        <v>123</v>
      </c>
      <c r="AR41" s="2" t="s">
        <v>715</v>
      </c>
      <c r="AS41" s="2" t="s">
        <v>655</v>
      </c>
      <c r="AT41" s="2" t="s">
        <v>125</v>
      </c>
      <c r="AU41" s="2"/>
      <c r="AV41" s="2"/>
      <c r="AW41" s="2" t="s">
        <v>155</v>
      </c>
      <c r="AX41" s="2" t="str">
        <f>IF(ISNA(MATCH($A41,Gesamtübersicht!$A:$A,0)),"ID fehlt in Gesamtübersicht",IF(AND(INDEX(Gesamtübersicht!$H:$H,MATCH($A41,Gesamtübersicht!$A:$A,0))&amp;""=$H41&amp;"",INDEX(Gesamtübersicht!$M:$M,MATCH($A41,Gesamtübersicht!$A:$A,0))&amp;""=$M41&amp;"",INDEX(Gesamtübersicht!$AD:$AD,MATCH($A41,Gesamtübersicht!$A:$A,0))&amp;""=$AD41&amp;"",INDEX(Gesamtübersicht!$AH:$AH,MATCH($A41,Gesamtübersicht!$A:$A,0))&amp;""=$AH41&amp;"",INDEX(Gesamtübersicht!$T:$T,MATCH($A41,Gesamtübersicht!$A:$A,0))&amp;""=$T41&amp;""),"OK","Abweichung – Ansicht neu erzeugen"))</f>
        <v>OK</v>
      </c>
    </row>
    <row r="42" spans="1:50" ht="42.95" customHeight="1">
      <c r="A42" s="12" t="s">
        <v>657</v>
      </c>
      <c r="B42" s="9" t="s">
        <v>48</v>
      </c>
      <c r="C42" s="12" t="s">
        <v>46</v>
      </c>
      <c r="D42" s="12" t="s">
        <v>251</v>
      </c>
      <c r="E42" s="12" t="s">
        <v>41</v>
      </c>
      <c r="F42" s="12" t="s">
        <v>212</v>
      </c>
      <c r="G42" s="12" t="s">
        <v>795</v>
      </c>
      <c r="H42" s="12" t="s">
        <v>796</v>
      </c>
      <c r="I42" s="12" t="s">
        <v>797</v>
      </c>
      <c r="J42" s="12" t="s">
        <v>96</v>
      </c>
      <c r="K42" s="12" t="s">
        <v>97</v>
      </c>
      <c r="L42" s="12" t="s">
        <v>645</v>
      </c>
      <c r="M42" s="13" t="s">
        <v>646</v>
      </c>
      <c r="N42" s="12" t="s">
        <v>99</v>
      </c>
      <c r="O42" s="12" t="s">
        <v>100</v>
      </c>
      <c r="P42" s="12" t="s">
        <v>798</v>
      </c>
      <c r="Q42" s="12" t="s">
        <v>799</v>
      </c>
      <c r="R42" s="12" t="s">
        <v>800</v>
      </c>
      <c r="S42" s="12" t="s">
        <v>384</v>
      </c>
      <c r="T42" s="12" t="s">
        <v>105</v>
      </c>
      <c r="U42" s="12" t="s">
        <v>166</v>
      </c>
      <c r="V42" s="12" t="s">
        <v>650</v>
      </c>
      <c r="W42" s="12" t="s">
        <v>433</v>
      </c>
      <c r="X42" s="12" t="s">
        <v>801</v>
      </c>
      <c r="Y42" s="12" t="s">
        <v>109</v>
      </c>
      <c r="Z42" s="12" t="s">
        <v>263</v>
      </c>
      <c r="AA42" s="12"/>
      <c r="AB42" s="12"/>
      <c r="AC42" s="12"/>
      <c r="AD42" s="12" t="s">
        <v>112</v>
      </c>
      <c r="AE42" s="12" t="s">
        <v>113</v>
      </c>
      <c r="AF42" s="12"/>
      <c r="AG42" s="12" t="s">
        <v>114</v>
      </c>
      <c r="AH42" s="12" t="s">
        <v>115</v>
      </c>
      <c r="AI42" s="12" t="s">
        <v>652</v>
      </c>
      <c r="AJ42" s="12" t="s">
        <v>653</v>
      </c>
      <c r="AK42" s="12" t="s">
        <v>654</v>
      </c>
      <c r="AL42" s="12" t="s">
        <v>119</v>
      </c>
      <c r="AM42" s="12" t="s">
        <v>120</v>
      </c>
      <c r="AN42" s="12" t="s">
        <v>121</v>
      </c>
      <c r="AO42" s="12" t="s">
        <v>99</v>
      </c>
      <c r="AP42" s="12" t="s">
        <v>122</v>
      </c>
      <c r="AQ42" s="12" t="s">
        <v>123</v>
      </c>
      <c r="AR42" s="12" t="s">
        <v>124</v>
      </c>
      <c r="AS42" s="12" t="s">
        <v>655</v>
      </c>
      <c r="AT42" s="12" t="s">
        <v>125</v>
      </c>
      <c r="AU42" s="12"/>
      <c r="AV42" s="12" t="s">
        <v>641</v>
      </c>
      <c r="AW42" s="12"/>
      <c r="AX42" s="12" t="str">
        <f>IF(ISNA(MATCH($A42,Gesamtübersicht!$A:$A,0)),"ID fehlt in Gesamtübersicht",IF(AND(INDEX(Gesamtübersicht!$H:$H,MATCH($A42,Gesamtübersicht!$A:$A,0))&amp;""=$H42&amp;"",INDEX(Gesamtübersicht!$M:$M,MATCH($A42,Gesamtübersicht!$A:$A,0))&amp;""=$M42&amp;"",INDEX(Gesamtübersicht!$AD:$AD,MATCH($A42,Gesamtübersicht!$A:$A,0))&amp;""=$AD42&amp;"",INDEX(Gesamtübersicht!$AH:$AH,MATCH($A42,Gesamtübersicht!$A:$A,0))&amp;""=$AH42&amp;"",INDEX(Gesamtübersicht!$T:$T,MATCH($A42,Gesamtübersicht!$A:$A,0))&amp;""=$T42&amp;""),"OK","Abweichung – Ansicht neu erzeugen"))</f>
        <v>OK</v>
      </c>
    </row>
    <row r="43" spans="1:50" ht="42.95" customHeight="1">
      <c r="A43" s="2" t="s">
        <v>802</v>
      </c>
      <c r="B43" s="9" t="s">
        <v>48</v>
      </c>
      <c r="C43" s="2" t="s">
        <v>46</v>
      </c>
      <c r="D43" s="2" t="s">
        <v>251</v>
      </c>
      <c r="E43" s="2" t="s">
        <v>41</v>
      </c>
      <c r="F43" s="2" t="s">
        <v>212</v>
      </c>
      <c r="G43" s="2" t="s">
        <v>803</v>
      </c>
      <c r="H43" s="2" t="s">
        <v>804</v>
      </c>
      <c r="I43" s="2" t="s">
        <v>805</v>
      </c>
      <c r="J43" s="2" t="s">
        <v>142</v>
      </c>
      <c r="K43" s="2" t="s">
        <v>806</v>
      </c>
      <c r="L43" s="2" t="s">
        <v>645</v>
      </c>
      <c r="M43" s="3" t="s">
        <v>807</v>
      </c>
      <c r="N43" s="2" t="s">
        <v>337</v>
      </c>
      <c r="O43" s="2" t="s">
        <v>100</v>
      </c>
      <c r="P43" s="2" t="s">
        <v>808</v>
      </c>
      <c r="Q43" s="2"/>
      <c r="R43" s="2"/>
      <c r="S43" s="2" t="s">
        <v>182</v>
      </c>
      <c r="T43" s="2" t="s">
        <v>105</v>
      </c>
      <c r="U43" s="2" t="s">
        <v>166</v>
      </c>
      <c r="V43" s="2"/>
      <c r="W43" s="2"/>
      <c r="X43" s="2"/>
      <c r="Y43" s="2" t="s">
        <v>109</v>
      </c>
      <c r="Z43" s="2" t="s">
        <v>167</v>
      </c>
      <c r="AA43" s="2"/>
      <c r="AB43" s="2"/>
      <c r="AC43" s="3" t="s">
        <v>809</v>
      </c>
      <c r="AD43" s="2" t="s">
        <v>112</v>
      </c>
      <c r="AE43" s="2" t="s">
        <v>113</v>
      </c>
      <c r="AF43" s="2"/>
      <c r="AG43" s="2" t="s">
        <v>114</v>
      </c>
      <c r="AH43" s="2" t="s">
        <v>115</v>
      </c>
      <c r="AI43" s="2" t="s">
        <v>810</v>
      </c>
      <c r="AJ43" s="2" t="s">
        <v>811</v>
      </c>
      <c r="AK43" s="2" t="s">
        <v>812</v>
      </c>
      <c r="AL43" s="2" t="s">
        <v>119</v>
      </c>
      <c r="AM43" s="2" t="s">
        <v>153</v>
      </c>
      <c r="AN43" s="2" t="s">
        <v>121</v>
      </c>
      <c r="AO43" s="2" t="s">
        <v>337</v>
      </c>
      <c r="AP43" s="2" t="s">
        <v>122</v>
      </c>
      <c r="AQ43" s="2" t="s">
        <v>123</v>
      </c>
      <c r="AR43" s="2" t="s">
        <v>124</v>
      </c>
      <c r="AS43" s="2" t="s">
        <v>655</v>
      </c>
      <c r="AT43" s="2" t="s">
        <v>125</v>
      </c>
      <c r="AU43" s="2"/>
      <c r="AV43" s="2"/>
      <c r="AW43" s="2" t="s">
        <v>155</v>
      </c>
      <c r="AX43" s="2" t="str">
        <f>IF(ISNA(MATCH($A43,Gesamtübersicht!$A:$A,0)),"ID fehlt in Gesamtübersicht",IF(AND(INDEX(Gesamtübersicht!$H:$H,MATCH($A43,Gesamtübersicht!$A:$A,0))&amp;""=$H43&amp;"",INDEX(Gesamtübersicht!$M:$M,MATCH($A43,Gesamtübersicht!$A:$A,0))&amp;""=$M43&amp;"",INDEX(Gesamtübersicht!$AD:$AD,MATCH($A43,Gesamtübersicht!$A:$A,0))&amp;""=$AD43&amp;"",INDEX(Gesamtübersicht!$AH:$AH,MATCH($A43,Gesamtübersicht!$A:$A,0))&amp;""=$AH43&amp;"",INDEX(Gesamtübersicht!$T:$T,MATCH($A43,Gesamtübersicht!$A:$A,0))&amp;""=$T43&amp;""),"OK","Abweichung – Ansicht neu erzeugen"))</f>
        <v>OK</v>
      </c>
    </row>
    <row r="44" spans="1:50" ht="42.95" customHeight="1">
      <c r="A44" s="12" t="s">
        <v>813</v>
      </c>
      <c r="B44" s="9" t="s">
        <v>48</v>
      </c>
      <c r="C44" s="12" t="s">
        <v>46</v>
      </c>
      <c r="D44" s="12" t="s">
        <v>251</v>
      </c>
      <c r="E44" s="12" t="s">
        <v>41</v>
      </c>
      <c r="F44" s="12" t="s">
        <v>212</v>
      </c>
      <c r="G44" s="12" t="s">
        <v>814</v>
      </c>
      <c r="H44" s="12" t="s">
        <v>815</v>
      </c>
      <c r="I44" s="12" t="s">
        <v>816</v>
      </c>
      <c r="J44" s="12" t="s">
        <v>160</v>
      </c>
      <c r="K44" s="12" t="s">
        <v>817</v>
      </c>
      <c r="L44" s="12" t="s">
        <v>645</v>
      </c>
      <c r="M44" s="13" t="s">
        <v>818</v>
      </c>
      <c r="N44" s="12" t="s">
        <v>476</v>
      </c>
      <c r="O44" s="12" t="s">
        <v>100</v>
      </c>
      <c r="P44" s="12" t="s">
        <v>819</v>
      </c>
      <c r="Q44" s="12"/>
      <c r="R44" s="12"/>
      <c r="S44" s="12" t="s">
        <v>182</v>
      </c>
      <c r="T44" s="12" t="s">
        <v>105</v>
      </c>
      <c r="U44" s="12" t="s">
        <v>106</v>
      </c>
      <c r="V44" s="12"/>
      <c r="W44" s="12"/>
      <c r="X44" s="12"/>
      <c r="Y44" s="12" t="s">
        <v>109</v>
      </c>
      <c r="Z44" s="12" t="s">
        <v>167</v>
      </c>
      <c r="AA44" s="12"/>
      <c r="AB44" s="12"/>
      <c r="AC44" s="13" t="s">
        <v>646</v>
      </c>
      <c r="AD44" s="12" t="s">
        <v>112</v>
      </c>
      <c r="AE44" s="12" t="s">
        <v>113</v>
      </c>
      <c r="AF44" s="12"/>
      <c r="AG44" s="12" t="s">
        <v>292</v>
      </c>
      <c r="AH44" s="12" t="s">
        <v>115</v>
      </c>
      <c r="AI44" s="12" t="s">
        <v>820</v>
      </c>
      <c r="AJ44" s="12" t="s">
        <v>821</v>
      </c>
      <c r="AK44" s="12" t="s">
        <v>504</v>
      </c>
      <c r="AL44" s="12" t="s">
        <v>267</v>
      </c>
      <c r="AM44" s="12" t="s">
        <v>682</v>
      </c>
      <c r="AN44" s="12" t="s">
        <v>121</v>
      </c>
      <c r="AO44" s="12" t="s">
        <v>476</v>
      </c>
      <c r="AP44" s="12" t="s">
        <v>122</v>
      </c>
      <c r="AQ44" s="12" t="s">
        <v>123</v>
      </c>
      <c r="AR44" s="12" t="s">
        <v>124</v>
      </c>
      <c r="AS44" s="12" t="s">
        <v>655</v>
      </c>
      <c r="AT44" s="12" t="s">
        <v>125</v>
      </c>
      <c r="AU44" s="12" t="s">
        <v>822</v>
      </c>
      <c r="AV44" s="12"/>
      <c r="AW44" s="12" t="s">
        <v>155</v>
      </c>
      <c r="AX44" s="12" t="str">
        <f>IF(ISNA(MATCH($A44,Gesamtübersicht!$A:$A,0)),"ID fehlt in Gesamtübersicht",IF(AND(INDEX(Gesamtübersicht!$H:$H,MATCH($A44,Gesamtübersicht!$A:$A,0))&amp;""=$H44&amp;"",INDEX(Gesamtübersicht!$M:$M,MATCH($A44,Gesamtübersicht!$A:$A,0))&amp;""=$M44&amp;"",INDEX(Gesamtübersicht!$AD:$AD,MATCH($A44,Gesamtübersicht!$A:$A,0))&amp;""=$AD44&amp;"",INDEX(Gesamtübersicht!$AH:$AH,MATCH($A44,Gesamtübersicht!$A:$A,0))&amp;""=$AH44&amp;"",INDEX(Gesamtübersicht!$T:$T,MATCH($A44,Gesamtübersicht!$A:$A,0))&amp;""=$T44&amp;""),"OK","Abweichung – Ansicht neu erzeugen"))</f>
        <v>OK</v>
      </c>
    </row>
    <row r="45" spans="1:50" ht="42.95" customHeight="1">
      <c r="A45" s="2" t="s">
        <v>823</v>
      </c>
      <c r="B45" s="9" t="s">
        <v>48</v>
      </c>
      <c r="C45" s="2" t="s">
        <v>46</v>
      </c>
      <c r="D45" s="2" t="s">
        <v>251</v>
      </c>
      <c r="E45" s="2" t="s">
        <v>41</v>
      </c>
      <c r="F45" s="2" t="s">
        <v>212</v>
      </c>
      <c r="G45" s="2" t="s">
        <v>814</v>
      </c>
      <c r="H45" s="2" t="s">
        <v>824</v>
      </c>
      <c r="I45" s="2" t="s">
        <v>816</v>
      </c>
      <c r="J45" s="2" t="s">
        <v>160</v>
      </c>
      <c r="K45" s="2" t="s">
        <v>817</v>
      </c>
      <c r="L45" s="2" t="s">
        <v>645</v>
      </c>
      <c r="M45" s="3" t="s">
        <v>825</v>
      </c>
      <c r="N45" s="2" t="s">
        <v>337</v>
      </c>
      <c r="O45" s="2" t="s">
        <v>100</v>
      </c>
      <c r="P45" s="2" t="s">
        <v>826</v>
      </c>
      <c r="Q45" s="2"/>
      <c r="R45" s="2"/>
      <c r="S45" s="2" t="s">
        <v>182</v>
      </c>
      <c r="T45" s="2" t="s">
        <v>105</v>
      </c>
      <c r="U45" s="2" t="s">
        <v>106</v>
      </c>
      <c r="V45" s="2"/>
      <c r="W45" s="2"/>
      <c r="X45" s="2"/>
      <c r="Y45" s="2" t="s">
        <v>109</v>
      </c>
      <c r="Z45" s="2" t="s">
        <v>149</v>
      </c>
      <c r="AA45" s="2" t="s">
        <v>92</v>
      </c>
      <c r="AB45" s="2"/>
      <c r="AC45" s="3" t="s">
        <v>646</v>
      </c>
      <c r="AD45" s="2" t="s">
        <v>112</v>
      </c>
      <c r="AE45" s="2" t="s">
        <v>113</v>
      </c>
      <c r="AF45" s="2"/>
      <c r="AG45" s="2" t="s">
        <v>292</v>
      </c>
      <c r="AH45" s="2" t="s">
        <v>115</v>
      </c>
      <c r="AI45" s="2" t="s">
        <v>820</v>
      </c>
      <c r="AJ45" s="2" t="s">
        <v>827</v>
      </c>
      <c r="AK45" s="2" t="s">
        <v>828</v>
      </c>
      <c r="AL45" s="2" t="s">
        <v>267</v>
      </c>
      <c r="AM45" s="2" t="s">
        <v>682</v>
      </c>
      <c r="AN45" s="2" t="s">
        <v>121</v>
      </c>
      <c r="AO45" s="2" t="s">
        <v>337</v>
      </c>
      <c r="AP45" s="2" t="s">
        <v>122</v>
      </c>
      <c r="AQ45" s="2" t="s">
        <v>123</v>
      </c>
      <c r="AR45" s="2" t="s">
        <v>124</v>
      </c>
      <c r="AS45" s="2" t="s">
        <v>655</v>
      </c>
      <c r="AT45" s="2" t="s">
        <v>125</v>
      </c>
      <c r="AU45" s="2"/>
      <c r="AV45" s="2"/>
      <c r="AW45" s="2" t="s">
        <v>155</v>
      </c>
      <c r="AX45" s="2" t="str">
        <f>IF(ISNA(MATCH($A45,Gesamtübersicht!$A:$A,0)),"ID fehlt in Gesamtübersicht",IF(AND(INDEX(Gesamtübersicht!$H:$H,MATCH($A45,Gesamtübersicht!$A:$A,0))&amp;""=$H45&amp;"",INDEX(Gesamtübersicht!$M:$M,MATCH($A45,Gesamtübersicht!$A:$A,0))&amp;""=$M45&amp;"",INDEX(Gesamtübersicht!$AD:$AD,MATCH($A45,Gesamtübersicht!$A:$A,0))&amp;""=$AD45&amp;"",INDEX(Gesamtübersicht!$AH:$AH,MATCH($A45,Gesamtübersicht!$A:$A,0))&amp;""=$AH45&amp;"",INDEX(Gesamtübersicht!$T:$T,MATCH($A45,Gesamtübersicht!$A:$A,0))&amp;""=$T45&amp;""),"OK","Abweichung – Ansicht neu erzeugen"))</f>
        <v>OK</v>
      </c>
    </row>
    <row r="46" spans="1:50" ht="42.95" customHeight="1">
      <c r="A46" s="12" t="s">
        <v>829</v>
      </c>
      <c r="B46" s="9" t="s">
        <v>48</v>
      </c>
      <c r="C46" s="12" t="s">
        <v>46</v>
      </c>
      <c r="D46" s="12" t="s">
        <v>251</v>
      </c>
      <c r="E46" s="12" t="s">
        <v>41</v>
      </c>
      <c r="F46" s="12" t="s">
        <v>212</v>
      </c>
      <c r="G46" s="12" t="s">
        <v>814</v>
      </c>
      <c r="H46" s="12" t="s">
        <v>830</v>
      </c>
      <c r="I46" s="12" t="s">
        <v>816</v>
      </c>
      <c r="J46" s="12" t="s">
        <v>160</v>
      </c>
      <c r="K46" s="12" t="s">
        <v>817</v>
      </c>
      <c r="L46" s="12" t="s">
        <v>645</v>
      </c>
      <c r="M46" s="13" t="s">
        <v>831</v>
      </c>
      <c r="N46" s="12" t="s">
        <v>337</v>
      </c>
      <c r="O46" s="12" t="s">
        <v>100</v>
      </c>
      <c r="P46" s="12" t="s">
        <v>832</v>
      </c>
      <c r="Q46" s="12"/>
      <c r="R46" s="12"/>
      <c r="S46" s="12" t="s">
        <v>182</v>
      </c>
      <c r="T46" s="12" t="s">
        <v>105</v>
      </c>
      <c r="U46" s="12" t="s">
        <v>106</v>
      </c>
      <c r="V46" s="12"/>
      <c r="W46" s="12"/>
      <c r="X46" s="12"/>
      <c r="Y46" s="12" t="s">
        <v>109</v>
      </c>
      <c r="Z46" s="12" t="s">
        <v>149</v>
      </c>
      <c r="AA46" s="12" t="s">
        <v>92</v>
      </c>
      <c r="AB46" s="12"/>
      <c r="AC46" s="13" t="s">
        <v>646</v>
      </c>
      <c r="AD46" s="12" t="s">
        <v>112</v>
      </c>
      <c r="AE46" s="12" t="s">
        <v>113</v>
      </c>
      <c r="AF46" s="12"/>
      <c r="AG46" s="12" t="s">
        <v>292</v>
      </c>
      <c r="AH46" s="12" t="s">
        <v>115</v>
      </c>
      <c r="AI46" s="12" t="s">
        <v>833</v>
      </c>
      <c r="AJ46" s="12" t="s">
        <v>834</v>
      </c>
      <c r="AK46" s="12" t="s">
        <v>835</v>
      </c>
      <c r="AL46" s="12" t="s">
        <v>267</v>
      </c>
      <c r="AM46" s="12" t="s">
        <v>682</v>
      </c>
      <c r="AN46" s="12" t="s">
        <v>121</v>
      </c>
      <c r="AO46" s="12" t="s">
        <v>337</v>
      </c>
      <c r="AP46" s="12" t="s">
        <v>122</v>
      </c>
      <c r="AQ46" s="12" t="s">
        <v>123</v>
      </c>
      <c r="AR46" s="12" t="s">
        <v>124</v>
      </c>
      <c r="AS46" s="12" t="s">
        <v>655</v>
      </c>
      <c r="AT46" s="12" t="s">
        <v>125</v>
      </c>
      <c r="AU46" s="12" t="s">
        <v>836</v>
      </c>
      <c r="AV46" s="12"/>
      <c r="AW46" s="12" t="s">
        <v>155</v>
      </c>
      <c r="AX46" s="12" t="str">
        <f>IF(ISNA(MATCH($A46,Gesamtübersicht!$A:$A,0)),"ID fehlt in Gesamtübersicht",IF(AND(INDEX(Gesamtübersicht!$H:$H,MATCH($A46,Gesamtübersicht!$A:$A,0))&amp;""=$H46&amp;"",INDEX(Gesamtübersicht!$M:$M,MATCH($A46,Gesamtübersicht!$A:$A,0))&amp;""=$M46&amp;"",INDEX(Gesamtübersicht!$AD:$AD,MATCH($A46,Gesamtübersicht!$A:$A,0))&amp;""=$AD46&amp;"",INDEX(Gesamtübersicht!$AH:$AH,MATCH($A46,Gesamtübersicht!$A:$A,0))&amp;""=$AH46&amp;"",INDEX(Gesamtübersicht!$T:$T,MATCH($A46,Gesamtübersicht!$A:$A,0))&amp;""=$T46&amp;""),"OK","Abweichung – Ansicht neu erzeugen"))</f>
        <v>OK</v>
      </c>
    </row>
    <row r="47" spans="1:50" ht="42.95" customHeight="1">
      <c r="A47" s="2" t="s">
        <v>837</v>
      </c>
      <c r="B47" s="9" t="s">
        <v>48</v>
      </c>
      <c r="C47" s="2" t="s">
        <v>46</v>
      </c>
      <c r="D47" s="2" t="s">
        <v>251</v>
      </c>
      <c r="E47" s="2" t="s">
        <v>41</v>
      </c>
      <c r="F47" s="2" t="s">
        <v>212</v>
      </c>
      <c r="G47" s="2" t="s">
        <v>803</v>
      </c>
      <c r="H47" s="2" t="s">
        <v>838</v>
      </c>
      <c r="I47" s="2" t="s">
        <v>803</v>
      </c>
      <c r="J47" s="2" t="s">
        <v>160</v>
      </c>
      <c r="K47" s="2" t="s">
        <v>806</v>
      </c>
      <c r="L47" s="2" t="s">
        <v>645</v>
      </c>
      <c r="M47" s="3" t="s">
        <v>839</v>
      </c>
      <c r="N47" s="2" t="s">
        <v>337</v>
      </c>
      <c r="O47" s="2" t="s">
        <v>100</v>
      </c>
      <c r="P47" s="2" t="s">
        <v>840</v>
      </c>
      <c r="Q47" s="2"/>
      <c r="R47" s="2"/>
      <c r="S47" s="2" t="s">
        <v>182</v>
      </c>
      <c r="T47" s="2" t="s">
        <v>105</v>
      </c>
      <c r="U47" s="2" t="s">
        <v>106</v>
      </c>
      <c r="V47" s="2"/>
      <c r="W47" s="2"/>
      <c r="X47" s="2"/>
      <c r="Y47" s="2" t="s">
        <v>109</v>
      </c>
      <c r="Z47" s="2" t="s">
        <v>149</v>
      </c>
      <c r="AA47" s="2"/>
      <c r="AB47" s="2"/>
      <c r="AC47" s="3" t="s">
        <v>809</v>
      </c>
      <c r="AD47" s="2" t="s">
        <v>112</v>
      </c>
      <c r="AE47" s="2" t="s">
        <v>113</v>
      </c>
      <c r="AF47" s="2"/>
      <c r="AG47" s="2" t="s">
        <v>292</v>
      </c>
      <c r="AH47" s="2" t="s">
        <v>115</v>
      </c>
      <c r="AI47" s="2" t="s">
        <v>810</v>
      </c>
      <c r="AJ47" s="2" t="s">
        <v>841</v>
      </c>
      <c r="AK47" s="2" t="s">
        <v>337</v>
      </c>
      <c r="AL47" s="2" t="s">
        <v>267</v>
      </c>
      <c r="AM47" s="2" t="s">
        <v>682</v>
      </c>
      <c r="AN47" s="2" t="s">
        <v>121</v>
      </c>
      <c r="AO47" s="2" t="s">
        <v>337</v>
      </c>
      <c r="AP47" s="2" t="s">
        <v>122</v>
      </c>
      <c r="AQ47" s="2" t="s">
        <v>123</v>
      </c>
      <c r="AR47" s="2" t="s">
        <v>124</v>
      </c>
      <c r="AS47" s="2" t="s">
        <v>655</v>
      </c>
      <c r="AT47" s="2" t="s">
        <v>125</v>
      </c>
      <c r="AU47" s="2"/>
      <c r="AV47" s="2"/>
      <c r="AW47" s="2" t="s">
        <v>155</v>
      </c>
      <c r="AX47" s="2" t="str">
        <f>IF(ISNA(MATCH($A47,Gesamtübersicht!$A:$A,0)),"ID fehlt in Gesamtübersicht",IF(AND(INDEX(Gesamtübersicht!$H:$H,MATCH($A47,Gesamtübersicht!$A:$A,0))&amp;""=$H47&amp;"",INDEX(Gesamtübersicht!$M:$M,MATCH($A47,Gesamtübersicht!$A:$A,0))&amp;""=$M47&amp;"",INDEX(Gesamtübersicht!$AD:$AD,MATCH($A47,Gesamtübersicht!$A:$A,0))&amp;""=$AD47&amp;"",INDEX(Gesamtübersicht!$AH:$AH,MATCH($A47,Gesamtübersicht!$A:$A,0))&amp;""=$AH47&amp;"",INDEX(Gesamtübersicht!$T:$T,MATCH($A47,Gesamtübersicht!$A:$A,0))&amp;""=$T47&amp;""),"OK","Abweichung – Ansicht neu erzeugen"))</f>
        <v>OK</v>
      </c>
    </row>
    <row r="48" spans="1:50" ht="42.95" customHeight="1">
      <c r="A48" s="12" t="s">
        <v>842</v>
      </c>
      <c r="B48" s="9" t="s">
        <v>48</v>
      </c>
      <c r="C48" s="12" t="s">
        <v>46</v>
      </c>
      <c r="D48" s="12" t="s">
        <v>251</v>
      </c>
      <c r="E48" s="12" t="s">
        <v>41</v>
      </c>
      <c r="F48" s="12" t="s">
        <v>212</v>
      </c>
      <c r="G48" s="12" t="s">
        <v>843</v>
      </c>
      <c r="H48" s="12" t="s">
        <v>844</v>
      </c>
      <c r="I48" s="12" t="s">
        <v>845</v>
      </c>
      <c r="J48" s="12" t="s">
        <v>160</v>
      </c>
      <c r="K48" s="12" t="s">
        <v>368</v>
      </c>
      <c r="L48" s="12" t="s">
        <v>645</v>
      </c>
      <c r="M48" s="13" t="s">
        <v>846</v>
      </c>
      <c r="N48" s="12" t="s">
        <v>696</v>
      </c>
      <c r="O48" s="12" t="s">
        <v>100</v>
      </c>
      <c r="P48" s="12" t="s">
        <v>847</v>
      </c>
      <c r="Q48" s="12"/>
      <c r="R48" s="12"/>
      <c r="S48" s="12" t="s">
        <v>182</v>
      </c>
      <c r="T48" s="12" t="s">
        <v>105</v>
      </c>
      <c r="U48" s="12" t="s">
        <v>166</v>
      </c>
      <c r="V48" s="12"/>
      <c r="W48" s="12"/>
      <c r="X48" s="12"/>
      <c r="Y48" s="12" t="s">
        <v>109</v>
      </c>
      <c r="Z48" s="12" t="s">
        <v>149</v>
      </c>
      <c r="AA48" s="12"/>
      <c r="AB48" s="12"/>
      <c r="AC48" s="13" t="s">
        <v>848</v>
      </c>
      <c r="AD48" s="12" t="s">
        <v>112</v>
      </c>
      <c r="AE48" s="12" t="s">
        <v>113</v>
      </c>
      <c r="AF48" s="12"/>
      <c r="AG48" s="12" t="s">
        <v>292</v>
      </c>
      <c r="AH48" s="12" t="s">
        <v>115</v>
      </c>
      <c r="AI48" s="12" t="s">
        <v>849</v>
      </c>
      <c r="AJ48" s="12" t="s">
        <v>850</v>
      </c>
      <c r="AK48" s="12" t="s">
        <v>696</v>
      </c>
      <c r="AL48" s="12" t="s">
        <v>267</v>
      </c>
      <c r="AM48" s="12" t="s">
        <v>682</v>
      </c>
      <c r="AN48" s="12" t="s">
        <v>121</v>
      </c>
      <c r="AO48" s="12" t="s">
        <v>696</v>
      </c>
      <c r="AP48" s="12" t="s">
        <v>122</v>
      </c>
      <c r="AQ48" s="12" t="s">
        <v>123</v>
      </c>
      <c r="AR48" s="12" t="s">
        <v>124</v>
      </c>
      <c r="AS48" s="12" t="s">
        <v>655</v>
      </c>
      <c r="AT48" s="12" t="s">
        <v>125</v>
      </c>
      <c r="AU48" s="12"/>
      <c r="AV48" s="12"/>
      <c r="AW48" s="12" t="s">
        <v>155</v>
      </c>
      <c r="AX48" s="12" t="str">
        <f>IF(ISNA(MATCH($A48,Gesamtübersicht!$A:$A,0)),"ID fehlt in Gesamtübersicht",IF(AND(INDEX(Gesamtübersicht!$H:$H,MATCH($A48,Gesamtübersicht!$A:$A,0))&amp;""=$H48&amp;"",INDEX(Gesamtübersicht!$M:$M,MATCH($A48,Gesamtübersicht!$A:$A,0))&amp;""=$M48&amp;"",INDEX(Gesamtübersicht!$AD:$AD,MATCH($A48,Gesamtübersicht!$A:$A,0))&amp;""=$AD48&amp;"",INDEX(Gesamtübersicht!$AH:$AH,MATCH($A48,Gesamtübersicht!$A:$A,0))&amp;""=$AH48&amp;"",INDEX(Gesamtübersicht!$T:$T,MATCH($A48,Gesamtübersicht!$A:$A,0))&amp;""=$T48&amp;""),"OK","Abweichung – Ansicht neu erzeugen"))</f>
        <v>OK</v>
      </c>
    </row>
    <row r="49" spans="1:50" ht="42.95" customHeight="1">
      <c r="A49" s="2" t="s">
        <v>851</v>
      </c>
      <c r="B49" s="9" t="s">
        <v>48</v>
      </c>
      <c r="C49" s="2" t="s">
        <v>46</v>
      </c>
      <c r="D49" s="2" t="s">
        <v>251</v>
      </c>
      <c r="E49" s="2" t="s">
        <v>41</v>
      </c>
      <c r="F49" s="2" t="s">
        <v>212</v>
      </c>
      <c r="G49" s="2" t="s">
        <v>852</v>
      </c>
      <c r="H49" s="2" t="s">
        <v>853</v>
      </c>
      <c r="I49" s="2" t="s">
        <v>783</v>
      </c>
      <c r="J49" s="2" t="s">
        <v>160</v>
      </c>
      <c r="K49" s="2" t="s">
        <v>722</v>
      </c>
      <c r="L49" s="2" t="s">
        <v>645</v>
      </c>
      <c r="M49" s="3" t="s">
        <v>854</v>
      </c>
      <c r="N49" s="2"/>
      <c r="O49" s="2" t="s">
        <v>100</v>
      </c>
      <c r="P49" s="2" t="s">
        <v>855</v>
      </c>
      <c r="Q49" s="2"/>
      <c r="R49" s="2"/>
      <c r="S49" s="2" t="s">
        <v>182</v>
      </c>
      <c r="T49" s="2" t="s">
        <v>105</v>
      </c>
      <c r="U49" s="2" t="s">
        <v>106</v>
      </c>
      <c r="V49" s="2"/>
      <c r="W49" s="2"/>
      <c r="X49" s="2"/>
      <c r="Y49" s="2" t="s">
        <v>109</v>
      </c>
      <c r="Z49" s="2" t="s">
        <v>149</v>
      </c>
      <c r="AA49" s="2"/>
      <c r="AB49" s="2"/>
      <c r="AC49" s="3" t="s">
        <v>764</v>
      </c>
      <c r="AD49" s="2" t="s">
        <v>112</v>
      </c>
      <c r="AE49" s="2" t="s">
        <v>113</v>
      </c>
      <c r="AF49" s="2"/>
      <c r="AG49" s="2" t="s">
        <v>292</v>
      </c>
      <c r="AH49" s="2" t="s">
        <v>115</v>
      </c>
      <c r="AI49" s="2" t="s">
        <v>856</v>
      </c>
      <c r="AJ49" s="2" t="s">
        <v>726</v>
      </c>
      <c r="AK49" s="2" t="s">
        <v>794</v>
      </c>
      <c r="AL49" s="2" t="s">
        <v>267</v>
      </c>
      <c r="AM49" s="2" t="s">
        <v>153</v>
      </c>
      <c r="AN49" s="2" t="s">
        <v>121</v>
      </c>
      <c r="AO49" s="2"/>
      <c r="AP49" s="2" t="s">
        <v>122</v>
      </c>
      <c r="AQ49" s="2" t="s">
        <v>123</v>
      </c>
      <c r="AR49" s="2" t="s">
        <v>124</v>
      </c>
      <c r="AS49" s="2" t="s">
        <v>655</v>
      </c>
      <c r="AT49" s="2" t="s">
        <v>125</v>
      </c>
      <c r="AU49" s="2"/>
      <c r="AV49" s="2"/>
      <c r="AW49" s="2" t="s">
        <v>155</v>
      </c>
      <c r="AX49" s="2" t="str">
        <f>IF(ISNA(MATCH($A49,Gesamtübersicht!$A:$A,0)),"ID fehlt in Gesamtübersicht",IF(AND(INDEX(Gesamtübersicht!$H:$H,MATCH($A49,Gesamtübersicht!$A:$A,0))&amp;""=$H49&amp;"",INDEX(Gesamtübersicht!$M:$M,MATCH($A49,Gesamtübersicht!$A:$A,0))&amp;""=$M49&amp;"",INDEX(Gesamtübersicht!$AD:$AD,MATCH($A49,Gesamtübersicht!$A:$A,0))&amp;""=$AD49&amp;"",INDEX(Gesamtübersicht!$AH:$AH,MATCH($A49,Gesamtübersicht!$A:$A,0))&amp;""=$AH49&amp;"",INDEX(Gesamtübersicht!$T:$T,MATCH($A49,Gesamtübersicht!$A:$A,0))&amp;""=$T49&amp;""),"OK","Abweichung – Ansicht neu erzeugen"))</f>
        <v>OK</v>
      </c>
    </row>
  </sheetData>
  <conditionalFormatting sqref="AD2:AD500">
    <cfRule type="cellIs" dxfId="20" priority="1" operator="equal">
      <formula>"Verifiziert"</formula>
    </cfRule>
    <cfRule type="cellIs" dxfId="19" priority="2" operator="equal">
      <formula>"Weiterleitung"</formula>
    </cfRule>
    <cfRule type="cellIs" dxfId="18" priority="3" operator="equal">
      <formula>"Fehler"</formula>
    </cfRule>
    <cfRule type="cellIs" dxfId="17" priority="4" operator="equal">
      <formula>"Nicht prüfbar"</formula>
    </cfRule>
  </conditionalFormatting>
  <conditionalFormatting sqref="AH2:AH500">
    <cfRule type="cellIs" dxfId="16" priority="5" operator="equal">
      <formula>"Bestätigt"</formula>
    </cfRule>
    <cfRule type="cellIs" dxfId="15" priority="6" operator="equal">
      <formula>"Teilweise bestätigt"</formula>
    </cfRule>
    <cfRule type="cellIs" dxfId="14" priority="7" operator="equal">
      <formula>"Offen"</formula>
    </cfRule>
  </conditionalFormatting>
  <dataValidations count="10">
    <dataValidation type="list" allowBlank="1" sqref="B2:B500" xr:uid="{00000000-0002-0000-0200-000000000000}">
      <formula1>"Bund,Kanton,Gemeinde"</formula1>
    </dataValidation>
    <dataValidation type="list" allowBlank="1" sqref="F2:F500" xr:uid="{00000000-0002-0000-0200-000001000000}">
      <formula1>"C1,C2,C3,C4,C5"</formula1>
    </dataValidation>
    <dataValidation type="list" allowBlank="1" sqref="T2:T500" xr:uid="{00000000-0002-0000-0200-000002000000}">
      <formula1>"Noch nicht bewertet,Hoch,Mittel,Gering"</formula1>
    </dataValidation>
    <dataValidation type="list" allowBlank="1" sqref="U2:U500" xr:uid="{00000000-0002-0000-0200-000003000000}">
      <formula1>"Hoch,Mittel,Niedrig"</formula1>
    </dataValidation>
    <dataValidation type="list" allowBlank="1" sqref="Y2:Y500" xr:uid="{00000000-0002-0000-0200-000004000000}">
      <formula1>"Dokument auswerten; Aktualität und Geltung prüfen,In Bearbeitung,Geprüft,Nachforderung offen"</formula1>
    </dataValidation>
    <dataValidation type="list" allowBlank="1" sqref="AD2:AD500" xr:uid="{00000000-0002-0000-0200-000005000000}">
      <formula1>"Verifiziert,Weiterleitung,Fehler,Nicht prüfbar"</formula1>
    </dataValidation>
    <dataValidation type="list" allowBlank="1" sqref="AH2:AH500" xr:uid="{00000000-0002-0000-0200-000006000000}">
      <formula1>"Bestätigt,Teilweise bestätigt,Offen"</formula1>
    </dataValidation>
    <dataValidation type="list" allowBlank="1" sqref="AN2:AN500" xr:uid="{00000000-0002-0000-0200-000007000000}">
      <formula1>"Öffentlich verfügbar und verifiziert,Öffentlich verfügbar – noch nicht geprüft,Nicht öffentlich auffindbar,Nur über Gemeindeanfrage erhältlich,Nicht zugänglich / nicht prüfbar"</formula1>
    </dataValidation>
    <dataValidation type="list" allowBlank="1" sqref="AR2:AR500" xr:uid="{00000000-0002-0000-0200-000008000000}">
      <formula1>"Ja,Nein"</formula1>
    </dataValidation>
    <dataValidation type="list" allowBlank="1" sqref="AT2:AT500" xr:uid="{00000000-0002-0000-0200-000009000000}">
      <formula1>"Offen,In Prüfung,Abgeschlossen"</formula1>
    </dataValidation>
  </dataValidations>
  <hyperlinks>
    <hyperlink ref="M2" r:id="rId1" xr:uid="{00000000-0004-0000-0200-000000000000}"/>
    <hyperlink ref="AC2" r:id="rId2" xr:uid="{00000000-0004-0000-0200-000001000000}"/>
    <hyperlink ref="M3" r:id="rId3" xr:uid="{00000000-0004-0000-0200-000002000000}"/>
    <hyperlink ref="M4" r:id="rId4" xr:uid="{00000000-0004-0000-0200-000003000000}"/>
    <hyperlink ref="AC4" r:id="rId5" xr:uid="{00000000-0004-0000-0200-000004000000}"/>
    <hyperlink ref="M5" r:id="rId6" xr:uid="{00000000-0004-0000-0200-000005000000}"/>
    <hyperlink ref="M6" r:id="rId7" xr:uid="{00000000-0004-0000-0200-000006000000}"/>
    <hyperlink ref="M7" r:id="rId8" xr:uid="{00000000-0004-0000-0200-000007000000}"/>
    <hyperlink ref="M8" r:id="rId9" xr:uid="{00000000-0004-0000-0200-000008000000}"/>
    <hyperlink ref="M9" r:id="rId10" xr:uid="{00000000-0004-0000-0200-000009000000}"/>
    <hyperlink ref="M10" r:id="rId11" xr:uid="{00000000-0004-0000-0200-00000A000000}"/>
    <hyperlink ref="M11" r:id="rId12" xr:uid="{00000000-0004-0000-0200-00000B000000}"/>
    <hyperlink ref="M12" r:id="rId13" xr:uid="{00000000-0004-0000-0200-00000C000000}"/>
    <hyperlink ref="M13" r:id="rId14" xr:uid="{00000000-0004-0000-0200-00000D000000}"/>
    <hyperlink ref="M14" r:id="rId15" xr:uid="{00000000-0004-0000-0200-00000E000000}"/>
    <hyperlink ref="AC14" r:id="rId16" xr:uid="{00000000-0004-0000-0200-00000F000000}"/>
    <hyperlink ref="AF14" r:id="rId17" xr:uid="{00000000-0004-0000-0200-000010000000}"/>
    <hyperlink ref="M15" r:id="rId18" xr:uid="{00000000-0004-0000-0200-000011000000}"/>
    <hyperlink ref="AC15" r:id="rId19" xr:uid="{00000000-0004-0000-0200-000012000000}"/>
    <hyperlink ref="AF15" r:id="rId20" xr:uid="{00000000-0004-0000-0200-000013000000}"/>
    <hyperlink ref="M16" r:id="rId21" xr:uid="{00000000-0004-0000-0200-000014000000}"/>
    <hyperlink ref="AC16" r:id="rId22" xr:uid="{00000000-0004-0000-0200-000015000000}"/>
    <hyperlink ref="M17" r:id="rId23" xr:uid="{00000000-0004-0000-0200-000016000000}"/>
    <hyperlink ref="M18" r:id="rId24" xr:uid="{00000000-0004-0000-0200-000017000000}"/>
    <hyperlink ref="M19" r:id="rId25" xr:uid="{00000000-0004-0000-0200-000018000000}"/>
    <hyperlink ref="M20" r:id="rId26" xr:uid="{00000000-0004-0000-0200-000019000000}"/>
    <hyperlink ref="M21" r:id="rId27" xr:uid="{00000000-0004-0000-0200-00001A000000}"/>
    <hyperlink ref="M22" r:id="rId28" xr:uid="{00000000-0004-0000-0200-00001B000000}"/>
    <hyperlink ref="M23" r:id="rId29" xr:uid="{00000000-0004-0000-0200-00001C000000}"/>
    <hyperlink ref="M24" r:id="rId30" xr:uid="{00000000-0004-0000-0200-00001D000000}"/>
    <hyperlink ref="M25" r:id="rId31" xr:uid="{00000000-0004-0000-0200-00001E000000}"/>
    <hyperlink ref="M26" r:id="rId32" xr:uid="{00000000-0004-0000-0200-00001F000000}"/>
    <hyperlink ref="M27" r:id="rId33" xr:uid="{00000000-0004-0000-0200-000020000000}"/>
    <hyperlink ref="AC27" r:id="rId34" xr:uid="{00000000-0004-0000-0200-000021000000}"/>
    <hyperlink ref="M28" r:id="rId35" xr:uid="{00000000-0004-0000-0200-000022000000}"/>
    <hyperlink ref="AC28" r:id="rId36" xr:uid="{00000000-0004-0000-0200-000023000000}"/>
    <hyperlink ref="M29" r:id="rId37" xr:uid="{00000000-0004-0000-0200-000024000000}"/>
    <hyperlink ref="AC29" r:id="rId38" xr:uid="{00000000-0004-0000-0200-000025000000}"/>
    <hyperlink ref="M30" r:id="rId39" xr:uid="{00000000-0004-0000-0200-000026000000}"/>
    <hyperlink ref="AC30" r:id="rId40" xr:uid="{00000000-0004-0000-0200-000027000000}"/>
    <hyperlink ref="M31" r:id="rId41" xr:uid="{00000000-0004-0000-0200-000028000000}"/>
    <hyperlink ref="AC31" r:id="rId42" xr:uid="{00000000-0004-0000-0200-000029000000}"/>
    <hyperlink ref="M32" r:id="rId43" xr:uid="{00000000-0004-0000-0200-00002A000000}"/>
    <hyperlink ref="AC32" r:id="rId44" xr:uid="{00000000-0004-0000-0200-00002B000000}"/>
    <hyperlink ref="M33" r:id="rId45" xr:uid="{00000000-0004-0000-0200-00002C000000}"/>
    <hyperlink ref="M34" r:id="rId46" xr:uid="{00000000-0004-0000-0200-00002D000000}"/>
    <hyperlink ref="M35" r:id="rId47" xr:uid="{00000000-0004-0000-0200-00002E000000}"/>
    <hyperlink ref="M36" r:id="rId48" xr:uid="{00000000-0004-0000-0200-00002F000000}"/>
    <hyperlink ref="M37" r:id="rId49" xr:uid="{00000000-0004-0000-0200-000030000000}"/>
    <hyperlink ref="AC37" r:id="rId50" xr:uid="{00000000-0004-0000-0200-000031000000}"/>
    <hyperlink ref="M38" r:id="rId51" xr:uid="{00000000-0004-0000-0200-000032000000}"/>
    <hyperlink ref="M39" r:id="rId52" xr:uid="{00000000-0004-0000-0200-000033000000}"/>
    <hyperlink ref="M40" r:id="rId53" xr:uid="{00000000-0004-0000-0200-000034000000}"/>
    <hyperlink ref="AC40" r:id="rId54" xr:uid="{00000000-0004-0000-0200-000035000000}"/>
    <hyperlink ref="M41" r:id="rId55" xr:uid="{00000000-0004-0000-0200-000036000000}"/>
    <hyperlink ref="AC41" r:id="rId56" xr:uid="{00000000-0004-0000-0200-000037000000}"/>
    <hyperlink ref="M42" r:id="rId57" xr:uid="{00000000-0004-0000-0200-000038000000}"/>
    <hyperlink ref="M43" r:id="rId58" xr:uid="{00000000-0004-0000-0200-000039000000}"/>
    <hyperlink ref="AC43" r:id="rId59" xr:uid="{00000000-0004-0000-0200-00003A000000}"/>
    <hyperlink ref="M44" r:id="rId60" xr:uid="{00000000-0004-0000-0200-00003B000000}"/>
    <hyperlink ref="AC44" r:id="rId61" xr:uid="{00000000-0004-0000-0200-00003C000000}"/>
    <hyperlink ref="M45" r:id="rId62" xr:uid="{00000000-0004-0000-0200-00003D000000}"/>
    <hyperlink ref="AC45" r:id="rId63" xr:uid="{00000000-0004-0000-0200-00003E000000}"/>
    <hyperlink ref="M46" r:id="rId64" xr:uid="{00000000-0004-0000-0200-00003F000000}"/>
    <hyperlink ref="AC46" r:id="rId65" xr:uid="{00000000-0004-0000-0200-000040000000}"/>
    <hyperlink ref="M47" r:id="rId66" xr:uid="{00000000-0004-0000-0200-000041000000}"/>
    <hyperlink ref="AC47" r:id="rId67" xr:uid="{00000000-0004-0000-0200-000042000000}"/>
    <hyperlink ref="M48" r:id="rId68" xr:uid="{00000000-0004-0000-0200-000043000000}"/>
    <hyperlink ref="AC48" r:id="rId69" xr:uid="{00000000-0004-0000-0200-000044000000}"/>
    <hyperlink ref="M49" r:id="rId70" xr:uid="{00000000-0004-0000-0200-000045000000}"/>
    <hyperlink ref="AC49" r:id="rId71" xr:uid="{00000000-0004-0000-0200-000046000000}"/>
  </hyperlinks>
  <pageMargins left="0.75" right="0.75" top="1" bottom="1" header="0.5" footer="0.5"/>
  <tableParts count="1">
    <tablePart r:id="rId7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X42"/>
  <sheetViews>
    <sheetView showGridLines="0" workbookViewId="0">
      <pane xSplit="7" ySplit="1" topLeftCell="H2" activePane="bottomRight" state="frozen"/>
      <selection pane="bottomRight"/>
      <selection pane="bottomLeft"/>
      <selection pane="topRight"/>
    </sheetView>
  </sheetViews>
  <sheetFormatPr defaultRowHeight="15"/>
  <cols>
    <col min="1" max="1" width="13" customWidth="1"/>
    <col min="2" max="2" width="15" customWidth="1"/>
    <col min="3" max="3" width="14" customWidth="1"/>
    <col min="4" max="4" width="22" customWidth="1"/>
    <col min="5" max="5" width="18" customWidth="1"/>
    <col min="6" max="6" width="15" customWidth="1"/>
    <col min="7" max="7" width="24" customWidth="1"/>
    <col min="8" max="8" width="48" customWidth="1"/>
    <col min="9" max="9" width="21" customWidth="1"/>
    <col min="10" max="10" width="28" customWidth="1"/>
    <col min="11" max="11" width="26" customWidth="1"/>
    <col min="12" max="12" width="24" customWidth="1"/>
    <col min="13" max="13" width="45" customWidth="1"/>
    <col min="14" max="15" width="19" customWidth="1"/>
    <col min="16" max="16" width="54" customWidth="1"/>
    <col min="17" max="17" width="35" customWidth="1"/>
    <col min="18" max="18" width="49" customWidth="1"/>
    <col min="19" max="19" width="32" customWidth="1"/>
    <col min="20" max="20" width="26" customWidth="1"/>
    <col min="21" max="21" width="14" customWidth="1"/>
    <col min="22" max="22" width="44" customWidth="1"/>
    <col min="23" max="23" width="24" customWidth="1"/>
    <col min="24" max="24" width="39" customWidth="1"/>
    <col min="25" max="25" width="40" customWidth="1"/>
    <col min="26" max="26" width="31" customWidth="1"/>
    <col min="27" max="27" width="16" customWidth="1"/>
    <col min="28" max="28" width="18" customWidth="1"/>
    <col min="29" max="29" width="40" customWidth="1"/>
    <col min="30" max="30" width="16" customWidth="1"/>
    <col min="31" max="31" width="12" customWidth="1"/>
    <col min="32" max="32" width="40" customWidth="1"/>
    <col min="33" max="33" width="11" customWidth="1"/>
    <col min="34" max="34" width="18" customWidth="1"/>
    <col min="35" max="35" width="50" customWidth="1"/>
    <col min="36" max="36" width="40" customWidth="1"/>
    <col min="37" max="37" width="18" customWidth="1"/>
    <col min="38" max="38" width="26" customWidth="1"/>
    <col min="39" max="39" width="18" customWidth="1"/>
    <col min="40" max="40" width="30" customWidth="1"/>
    <col min="41" max="41" width="20" customWidth="1"/>
    <col min="42" max="42" width="50" customWidth="1"/>
    <col min="43" max="43" width="44" customWidth="1"/>
    <col min="44" max="44" width="15" customWidth="1"/>
    <col min="45" max="45" width="30" customWidth="1"/>
    <col min="46" max="46" width="16" customWidth="1"/>
    <col min="47" max="47" width="50" customWidth="1"/>
    <col min="48" max="48" width="18" customWidth="1"/>
    <col min="49" max="49" width="50" customWidth="1"/>
    <col min="50" max="50" width="26" customWidth="1"/>
  </cols>
  <sheetData>
    <row r="1" spans="1:50" ht="36" customHeight="1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F1" s="1" t="s">
        <v>49</v>
      </c>
      <c r="G1" s="1" t="s">
        <v>50</v>
      </c>
      <c r="H1" s="1" t="s">
        <v>51</v>
      </c>
      <c r="I1" s="1" t="s">
        <v>52</v>
      </c>
      <c r="J1" s="1" t="s">
        <v>53</v>
      </c>
      <c r="K1" s="1" t="s">
        <v>54</v>
      </c>
      <c r="L1" s="1" t="s">
        <v>55</v>
      </c>
      <c r="M1" s="1" t="s">
        <v>56</v>
      </c>
      <c r="N1" s="1" t="s">
        <v>57</v>
      </c>
      <c r="O1" s="1" t="s">
        <v>58</v>
      </c>
      <c r="P1" s="1" t="s">
        <v>59</v>
      </c>
      <c r="Q1" s="1" t="s">
        <v>60</v>
      </c>
      <c r="R1" s="1" t="s">
        <v>61</v>
      </c>
      <c r="S1" s="1" t="s">
        <v>62</v>
      </c>
      <c r="T1" s="1" t="s">
        <v>63</v>
      </c>
      <c r="U1" s="1" t="s">
        <v>12</v>
      </c>
      <c r="V1" s="1" t="s">
        <v>64</v>
      </c>
      <c r="W1" s="1" t="s">
        <v>65</v>
      </c>
      <c r="X1" s="1" t="s">
        <v>66</v>
      </c>
      <c r="Y1" s="1" t="s">
        <v>67</v>
      </c>
      <c r="Z1" s="1" t="s">
        <v>68</v>
      </c>
      <c r="AA1" s="1" t="s">
        <v>69</v>
      </c>
      <c r="AB1" s="1" t="s">
        <v>70</v>
      </c>
      <c r="AC1" s="1" t="s">
        <v>71</v>
      </c>
      <c r="AD1" s="1" t="s">
        <v>26</v>
      </c>
      <c r="AE1" s="1" t="s">
        <v>72</v>
      </c>
      <c r="AF1" s="1" t="s">
        <v>73</v>
      </c>
      <c r="AG1" s="1" t="s">
        <v>74</v>
      </c>
      <c r="AH1" s="1" t="s">
        <v>28</v>
      </c>
      <c r="AI1" s="1" t="s">
        <v>75</v>
      </c>
      <c r="AJ1" s="1" t="s">
        <v>76</v>
      </c>
      <c r="AK1" s="1" t="s">
        <v>77</v>
      </c>
      <c r="AL1" s="1" t="s">
        <v>78</v>
      </c>
      <c r="AM1" s="1" t="s">
        <v>79</v>
      </c>
      <c r="AN1" s="1" t="s">
        <v>30</v>
      </c>
      <c r="AO1" s="1" t="s">
        <v>80</v>
      </c>
      <c r="AP1" s="1" t="s">
        <v>81</v>
      </c>
      <c r="AQ1" s="1" t="s">
        <v>82</v>
      </c>
      <c r="AR1" s="1" t="s">
        <v>83</v>
      </c>
      <c r="AS1" s="1" t="s">
        <v>84</v>
      </c>
      <c r="AT1" s="1" t="s">
        <v>85</v>
      </c>
      <c r="AU1" s="1" t="s">
        <v>86</v>
      </c>
      <c r="AV1" s="1" t="s">
        <v>87</v>
      </c>
      <c r="AW1" s="1" t="s">
        <v>88</v>
      </c>
      <c r="AX1" s="1" t="s">
        <v>1239</v>
      </c>
    </row>
    <row r="2" spans="1:50" ht="42.95" customHeight="1">
      <c r="A2" s="12" t="s">
        <v>89</v>
      </c>
      <c r="B2" s="7" t="s">
        <v>90</v>
      </c>
      <c r="C2" s="12" t="s">
        <v>46</v>
      </c>
      <c r="D2" s="12" t="s">
        <v>91</v>
      </c>
      <c r="E2" s="12" t="s">
        <v>91</v>
      </c>
      <c r="F2" s="12" t="s">
        <v>92</v>
      </c>
      <c r="G2" s="12" t="s">
        <v>93</v>
      </c>
      <c r="H2" s="12" t="s">
        <v>94</v>
      </c>
      <c r="I2" s="12" t="s">
        <v>95</v>
      </c>
      <c r="J2" s="12" t="s">
        <v>96</v>
      </c>
      <c r="K2" s="12" t="s">
        <v>97</v>
      </c>
      <c r="L2" s="12" t="s">
        <v>90</v>
      </c>
      <c r="M2" s="13" t="s">
        <v>98</v>
      </c>
      <c r="N2" s="12" t="s">
        <v>99</v>
      </c>
      <c r="O2" s="12" t="s">
        <v>100</v>
      </c>
      <c r="P2" s="12" t="s">
        <v>101</v>
      </c>
      <c r="Q2" s="12" t="s">
        <v>102</v>
      </c>
      <c r="R2" s="12" t="s">
        <v>103</v>
      </c>
      <c r="S2" s="12" t="s">
        <v>104</v>
      </c>
      <c r="T2" s="12" t="s">
        <v>105</v>
      </c>
      <c r="U2" s="12" t="s">
        <v>106</v>
      </c>
      <c r="V2" s="12"/>
      <c r="W2" s="12" t="s">
        <v>107</v>
      </c>
      <c r="X2" s="12" t="s">
        <v>108</v>
      </c>
      <c r="Y2" s="12" t="s">
        <v>109</v>
      </c>
      <c r="Z2" s="12" t="s">
        <v>110</v>
      </c>
      <c r="AA2" s="12"/>
      <c r="AB2" s="12"/>
      <c r="AC2" s="13" t="s">
        <v>111</v>
      </c>
      <c r="AD2" s="12" t="s">
        <v>112</v>
      </c>
      <c r="AE2" s="12" t="s">
        <v>113</v>
      </c>
      <c r="AF2" s="12"/>
      <c r="AG2" s="12" t="s">
        <v>114</v>
      </c>
      <c r="AH2" s="12" t="s">
        <v>115</v>
      </c>
      <c r="AI2" s="12" t="s">
        <v>116</v>
      </c>
      <c r="AJ2" s="12" t="s">
        <v>117</v>
      </c>
      <c r="AK2" s="12" t="s">
        <v>118</v>
      </c>
      <c r="AL2" s="12" t="s">
        <v>119</v>
      </c>
      <c r="AM2" s="12" t="s">
        <v>120</v>
      </c>
      <c r="AN2" s="12" t="s">
        <v>121</v>
      </c>
      <c r="AO2" s="12" t="s">
        <v>99</v>
      </c>
      <c r="AP2" s="12" t="s">
        <v>122</v>
      </c>
      <c r="AQ2" s="12" t="s">
        <v>123</v>
      </c>
      <c r="AR2" s="12" t="s">
        <v>124</v>
      </c>
      <c r="AS2" s="12" t="s">
        <v>90</v>
      </c>
      <c r="AT2" s="12" t="s">
        <v>125</v>
      </c>
      <c r="AU2" s="12"/>
      <c r="AV2" s="12"/>
      <c r="AW2" s="12"/>
      <c r="AX2" s="12" t="str">
        <f>IF(ISNA(MATCH($A2,Gesamtübersicht!$A:$A,0)),"ID fehlt in Gesamtübersicht",IF(AND(INDEX(Gesamtübersicht!$H:$H,MATCH($A2,Gesamtübersicht!$A:$A,0))&amp;""=$H2&amp;"",INDEX(Gesamtübersicht!$M:$M,MATCH($A2,Gesamtübersicht!$A:$A,0))&amp;""=$M2&amp;"",INDEX(Gesamtübersicht!$AD:$AD,MATCH($A2,Gesamtübersicht!$A:$A,0))&amp;""=$AD2&amp;"",INDEX(Gesamtübersicht!$AH:$AH,MATCH($A2,Gesamtübersicht!$A:$A,0))&amp;""=$AH2&amp;"",INDEX(Gesamtübersicht!$T:$T,MATCH($A2,Gesamtübersicht!$A:$A,0))&amp;""=$T2&amp;""),"OK","Abweichung – Ansicht neu erzeugen"))</f>
        <v>OK</v>
      </c>
    </row>
    <row r="3" spans="1:50" ht="42.95" customHeight="1">
      <c r="A3" s="2" t="s">
        <v>126</v>
      </c>
      <c r="B3" s="7" t="s">
        <v>90</v>
      </c>
      <c r="C3" s="2" t="s">
        <v>46</v>
      </c>
      <c r="D3" s="2" t="s">
        <v>91</v>
      </c>
      <c r="E3" s="2" t="s">
        <v>91</v>
      </c>
      <c r="F3" s="2" t="s">
        <v>92</v>
      </c>
      <c r="G3" s="2" t="s">
        <v>127</v>
      </c>
      <c r="H3" s="2" t="s">
        <v>128</v>
      </c>
      <c r="I3" s="2" t="s">
        <v>129</v>
      </c>
      <c r="J3" s="2" t="s">
        <v>96</v>
      </c>
      <c r="K3" s="2" t="s">
        <v>97</v>
      </c>
      <c r="L3" s="2" t="s">
        <v>90</v>
      </c>
      <c r="M3" s="3" t="s">
        <v>130</v>
      </c>
      <c r="N3" s="2" t="s">
        <v>99</v>
      </c>
      <c r="O3" s="2" t="s">
        <v>100</v>
      </c>
      <c r="P3" s="2" t="s">
        <v>131</v>
      </c>
      <c r="Q3" s="2" t="s">
        <v>132</v>
      </c>
      <c r="R3" s="2" t="s">
        <v>133</v>
      </c>
      <c r="S3" s="2" t="s">
        <v>134</v>
      </c>
      <c r="T3" s="2" t="s">
        <v>105</v>
      </c>
      <c r="U3" s="2" t="s">
        <v>106</v>
      </c>
      <c r="V3" s="2"/>
      <c r="W3" s="2" t="s">
        <v>135</v>
      </c>
      <c r="X3" s="2" t="s">
        <v>136</v>
      </c>
      <c r="Y3" s="2" t="s">
        <v>109</v>
      </c>
      <c r="Z3" s="2" t="s">
        <v>110</v>
      </c>
      <c r="AA3" s="2"/>
      <c r="AB3" s="2"/>
      <c r="AC3" s="2"/>
      <c r="AD3" s="2" t="s">
        <v>112</v>
      </c>
      <c r="AE3" s="2" t="s">
        <v>113</v>
      </c>
      <c r="AF3" s="2"/>
      <c r="AG3" s="2" t="s">
        <v>114</v>
      </c>
      <c r="AH3" s="2" t="s">
        <v>115</v>
      </c>
      <c r="AI3" s="2" t="s">
        <v>116</v>
      </c>
      <c r="AJ3" s="2" t="s">
        <v>137</v>
      </c>
      <c r="AK3" s="2" t="s">
        <v>138</v>
      </c>
      <c r="AL3" s="2" t="s">
        <v>119</v>
      </c>
      <c r="AM3" s="2" t="s">
        <v>120</v>
      </c>
      <c r="AN3" s="2" t="s">
        <v>121</v>
      </c>
      <c r="AO3" s="2" t="s">
        <v>99</v>
      </c>
      <c r="AP3" s="2" t="s">
        <v>122</v>
      </c>
      <c r="AQ3" s="2" t="s">
        <v>123</v>
      </c>
      <c r="AR3" s="2" t="s">
        <v>124</v>
      </c>
      <c r="AS3" s="2" t="s">
        <v>90</v>
      </c>
      <c r="AT3" s="2" t="s">
        <v>125</v>
      </c>
      <c r="AU3" s="2"/>
      <c r="AV3" s="2"/>
      <c r="AW3" s="2"/>
      <c r="AX3" s="2" t="str">
        <f>IF(ISNA(MATCH($A3,Gesamtübersicht!$A:$A,0)),"ID fehlt in Gesamtübersicht",IF(AND(INDEX(Gesamtübersicht!$H:$H,MATCH($A3,Gesamtübersicht!$A:$A,0))&amp;""=$H3&amp;"",INDEX(Gesamtübersicht!$M:$M,MATCH($A3,Gesamtübersicht!$A:$A,0))&amp;""=$M3&amp;"",INDEX(Gesamtübersicht!$AD:$AD,MATCH($A3,Gesamtübersicht!$A:$A,0))&amp;""=$AD3&amp;"",INDEX(Gesamtübersicht!$AH:$AH,MATCH($A3,Gesamtübersicht!$A:$A,0))&amp;""=$AH3&amp;"",INDEX(Gesamtübersicht!$T:$T,MATCH($A3,Gesamtübersicht!$A:$A,0))&amp;""=$T3&amp;""),"OK","Abweichung – Ansicht neu erzeugen"))</f>
        <v>OK</v>
      </c>
    </row>
    <row r="4" spans="1:50" ht="42.95" customHeight="1">
      <c r="A4" s="12" t="s">
        <v>139</v>
      </c>
      <c r="B4" s="7" t="s">
        <v>90</v>
      </c>
      <c r="C4" s="12" t="s">
        <v>46</v>
      </c>
      <c r="D4" s="12" t="s">
        <v>91</v>
      </c>
      <c r="E4" s="12" t="s">
        <v>91</v>
      </c>
      <c r="F4" s="12" t="s">
        <v>92</v>
      </c>
      <c r="G4" s="12" t="s">
        <v>140</v>
      </c>
      <c r="H4" s="12" t="s">
        <v>141</v>
      </c>
      <c r="I4" s="12" t="s">
        <v>129</v>
      </c>
      <c r="J4" s="12" t="s">
        <v>142</v>
      </c>
      <c r="K4" s="12" t="s">
        <v>143</v>
      </c>
      <c r="L4" s="12" t="s">
        <v>144</v>
      </c>
      <c r="M4" s="13" t="s">
        <v>145</v>
      </c>
      <c r="N4" s="12"/>
      <c r="O4" s="12" t="s">
        <v>100</v>
      </c>
      <c r="P4" s="12" t="s">
        <v>146</v>
      </c>
      <c r="Q4" s="12" t="s">
        <v>147</v>
      </c>
      <c r="R4" s="12"/>
      <c r="S4" s="12" t="s">
        <v>134</v>
      </c>
      <c r="T4" s="12" t="s">
        <v>105</v>
      </c>
      <c r="U4" s="12" t="s">
        <v>106</v>
      </c>
      <c r="V4" s="12"/>
      <c r="W4" s="12" t="s">
        <v>92</v>
      </c>
      <c r="X4" s="12" t="s">
        <v>148</v>
      </c>
      <c r="Y4" s="12" t="s">
        <v>109</v>
      </c>
      <c r="Z4" s="12" t="s">
        <v>149</v>
      </c>
      <c r="AA4" s="12"/>
      <c r="AB4" s="12"/>
      <c r="AC4" s="13" t="s">
        <v>98</v>
      </c>
      <c r="AD4" s="12" t="s">
        <v>112</v>
      </c>
      <c r="AE4" s="12" t="s">
        <v>113</v>
      </c>
      <c r="AF4" s="12"/>
      <c r="AG4" s="12" t="s">
        <v>114</v>
      </c>
      <c r="AH4" s="12" t="s">
        <v>115</v>
      </c>
      <c r="AI4" s="12" t="s">
        <v>150</v>
      </c>
      <c r="AJ4" s="12" t="s">
        <v>151</v>
      </c>
      <c r="AK4" s="12" t="s">
        <v>152</v>
      </c>
      <c r="AL4" s="12" t="s">
        <v>119</v>
      </c>
      <c r="AM4" s="12" t="s">
        <v>153</v>
      </c>
      <c r="AN4" s="12" t="s">
        <v>121</v>
      </c>
      <c r="AO4" s="12"/>
      <c r="AP4" s="12" t="s">
        <v>122</v>
      </c>
      <c r="AQ4" s="12" t="s">
        <v>123</v>
      </c>
      <c r="AR4" s="12" t="s">
        <v>124</v>
      </c>
      <c r="AS4" s="12" t="s">
        <v>144</v>
      </c>
      <c r="AT4" s="12" t="s">
        <v>125</v>
      </c>
      <c r="AU4" s="12" t="s">
        <v>154</v>
      </c>
      <c r="AV4" s="12"/>
      <c r="AW4" s="12" t="s">
        <v>155</v>
      </c>
      <c r="AX4" s="12" t="str">
        <f>IF(ISNA(MATCH($A4,Gesamtübersicht!$A:$A,0)),"ID fehlt in Gesamtübersicht",IF(AND(INDEX(Gesamtübersicht!$H:$H,MATCH($A4,Gesamtübersicht!$A:$A,0))&amp;""=$H4&amp;"",INDEX(Gesamtübersicht!$M:$M,MATCH($A4,Gesamtübersicht!$A:$A,0))&amp;""=$M4&amp;"",INDEX(Gesamtübersicht!$AD:$AD,MATCH($A4,Gesamtübersicht!$A:$A,0))&amp;""=$AD4&amp;"",INDEX(Gesamtübersicht!$AH:$AH,MATCH($A4,Gesamtübersicht!$A:$A,0))&amp;""=$AH4&amp;"",INDEX(Gesamtübersicht!$T:$T,MATCH($A4,Gesamtübersicht!$A:$A,0))&amp;""=$T4&amp;""),"OK","Abweichung – Ansicht neu erzeugen"))</f>
        <v>OK</v>
      </c>
    </row>
    <row r="5" spans="1:50" ht="42.95" customHeight="1">
      <c r="A5" s="2" t="s">
        <v>156</v>
      </c>
      <c r="B5" s="7" t="s">
        <v>90</v>
      </c>
      <c r="C5" s="2" t="s">
        <v>46</v>
      </c>
      <c r="D5" s="2" t="s">
        <v>91</v>
      </c>
      <c r="E5" s="2" t="s">
        <v>91</v>
      </c>
      <c r="F5" s="2" t="s">
        <v>92</v>
      </c>
      <c r="G5" s="2" t="s">
        <v>157</v>
      </c>
      <c r="H5" s="2" t="s">
        <v>158</v>
      </c>
      <c r="I5" s="2" t="s">
        <v>159</v>
      </c>
      <c r="J5" s="2" t="s">
        <v>160</v>
      </c>
      <c r="K5" s="2" t="s">
        <v>161</v>
      </c>
      <c r="L5" s="2" t="s">
        <v>162</v>
      </c>
      <c r="M5" s="3" t="s">
        <v>163</v>
      </c>
      <c r="N5" s="2"/>
      <c r="O5" s="2" t="s">
        <v>100</v>
      </c>
      <c r="P5" s="2" t="s">
        <v>164</v>
      </c>
      <c r="Q5" s="2" t="s">
        <v>165</v>
      </c>
      <c r="R5" s="2"/>
      <c r="S5" s="2" t="s">
        <v>134</v>
      </c>
      <c r="T5" s="2" t="s">
        <v>105</v>
      </c>
      <c r="U5" s="2" t="s">
        <v>166</v>
      </c>
      <c r="V5" s="2"/>
      <c r="W5" s="2"/>
      <c r="X5" s="2"/>
      <c r="Y5" s="2" t="s">
        <v>109</v>
      </c>
      <c r="Z5" s="2" t="s">
        <v>167</v>
      </c>
      <c r="AA5" s="2"/>
      <c r="AB5" s="2"/>
      <c r="AC5" s="2"/>
      <c r="AD5" s="2" t="s">
        <v>112</v>
      </c>
      <c r="AE5" s="2" t="s">
        <v>113</v>
      </c>
      <c r="AF5" s="2"/>
      <c r="AG5" s="2" t="s">
        <v>114</v>
      </c>
      <c r="AH5" s="2" t="s">
        <v>115</v>
      </c>
      <c r="AI5" s="2" t="s">
        <v>168</v>
      </c>
      <c r="AJ5" s="2" t="s">
        <v>169</v>
      </c>
      <c r="AK5" s="2" t="s">
        <v>170</v>
      </c>
      <c r="AL5" s="2" t="s">
        <v>119</v>
      </c>
      <c r="AM5" s="2" t="s">
        <v>153</v>
      </c>
      <c r="AN5" s="2" t="s">
        <v>121</v>
      </c>
      <c r="AO5" s="2"/>
      <c r="AP5" s="2" t="s">
        <v>122</v>
      </c>
      <c r="AQ5" s="2" t="s">
        <v>123</v>
      </c>
      <c r="AR5" s="2" t="s">
        <v>124</v>
      </c>
      <c r="AS5" s="2" t="s">
        <v>162</v>
      </c>
      <c r="AT5" s="2" t="s">
        <v>125</v>
      </c>
      <c r="AU5" s="2"/>
      <c r="AV5" s="2"/>
      <c r="AW5" s="2" t="s">
        <v>155</v>
      </c>
      <c r="AX5" s="2" t="str">
        <f>IF(ISNA(MATCH($A5,Gesamtübersicht!$A:$A,0)),"ID fehlt in Gesamtübersicht",IF(AND(INDEX(Gesamtübersicht!$H:$H,MATCH($A5,Gesamtübersicht!$A:$A,0))&amp;""=$H5&amp;"",INDEX(Gesamtübersicht!$M:$M,MATCH($A5,Gesamtübersicht!$A:$A,0))&amp;""=$M5&amp;"",INDEX(Gesamtübersicht!$AD:$AD,MATCH($A5,Gesamtübersicht!$A:$A,0))&amp;""=$AD5&amp;"",INDEX(Gesamtübersicht!$AH:$AH,MATCH($A5,Gesamtübersicht!$A:$A,0))&amp;""=$AH5&amp;"",INDEX(Gesamtübersicht!$T:$T,MATCH($A5,Gesamtübersicht!$A:$A,0))&amp;""=$T5&amp;""),"OK","Abweichung – Ansicht neu erzeugen"))</f>
        <v>OK</v>
      </c>
    </row>
    <row r="6" spans="1:50" ht="42.95" customHeight="1">
      <c r="A6" s="12" t="s">
        <v>171</v>
      </c>
      <c r="B6" s="7" t="s">
        <v>90</v>
      </c>
      <c r="C6" s="12" t="s">
        <v>46</v>
      </c>
      <c r="D6" s="12" t="s">
        <v>91</v>
      </c>
      <c r="E6" s="12" t="s">
        <v>91</v>
      </c>
      <c r="F6" s="12" t="s">
        <v>172</v>
      </c>
      <c r="G6" s="12" t="s">
        <v>173</v>
      </c>
      <c r="H6" s="12" t="s">
        <v>174</v>
      </c>
      <c r="I6" s="12" t="s">
        <v>175</v>
      </c>
      <c r="J6" s="12" t="s">
        <v>96</v>
      </c>
      <c r="K6" s="12" t="s">
        <v>176</v>
      </c>
      <c r="L6" s="12" t="s">
        <v>90</v>
      </c>
      <c r="M6" s="13" t="s">
        <v>177</v>
      </c>
      <c r="N6" s="12" t="s">
        <v>178</v>
      </c>
      <c r="O6" s="12" t="s">
        <v>100</v>
      </c>
      <c r="P6" s="12" t="s">
        <v>179</v>
      </c>
      <c r="Q6" s="12" t="s">
        <v>180</v>
      </c>
      <c r="R6" s="12" t="s">
        <v>181</v>
      </c>
      <c r="S6" s="12" t="s">
        <v>182</v>
      </c>
      <c r="T6" s="12" t="s">
        <v>105</v>
      </c>
      <c r="U6" s="12" t="s">
        <v>106</v>
      </c>
      <c r="V6" s="12"/>
      <c r="W6" s="12" t="s">
        <v>183</v>
      </c>
      <c r="X6" s="12" t="s">
        <v>184</v>
      </c>
      <c r="Y6" s="12" t="s">
        <v>109</v>
      </c>
      <c r="Z6" s="12" t="s">
        <v>110</v>
      </c>
      <c r="AA6" s="12"/>
      <c r="AB6" s="12"/>
      <c r="AC6" s="12"/>
      <c r="AD6" s="12" t="s">
        <v>112</v>
      </c>
      <c r="AE6" s="12" t="s">
        <v>113</v>
      </c>
      <c r="AF6" s="12"/>
      <c r="AG6" s="12" t="s">
        <v>114</v>
      </c>
      <c r="AH6" s="12" t="s">
        <v>115</v>
      </c>
      <c r="AI6" s="12" t="s">
        <v>185</v>
      </c>
      <c r="AJ6" s="12" t="s">
        <v>186</v>
      </c>
      <c r="AK6" s="12"/>
      <c r="AL6" s="12" t="s">
        <v>187</v>
      </c>
      <c r="AM6" s="12" t="s">
        <v>120</v>
      </c>
      <c r="AN6" s="12" t="s">
        <v>121</v>
      </c>
      <c r="AO6" s="12" t="s">
        <v>178</v>
      </c>
      <c r="AP6" s="12" t="s">
        <v>122</v>
      </c>
      <c r="AQ6" s="12" t="s">
        <v>123</v>
      </c>
      <c r="AR6" s="12" t="s">
        <v>124</v>
      </c>
      <c r="AS6" s="12" t="s">
        <v>90</v>
      </c>
      <c r="AT6" s="12" t="s">
        <v>125</v>
      </c>
      <c r="AU6" s="12"/>
      <c r="AV6" s="12"/>
      <c r="AW6" s="12"/>
      <c r="AX6" s="12" t="str">
        <f>IF(ISNA(MATCH($A6,Gesamtübersicht!$A:$A,0)),"ID fehlt in Gesamtübersicht",IF(AND(INDEX(Gesamtübersicht!$H:$H,MATCH($A6,Gesamtübersicht!$A:$A,0))&amp;""=$H6&amp;"",INDEX(Gesamtübersicht!$M:$M,MATCH($A6,Gesamtübersicht!$A:$A,0))&amp;""=$M6&amp;"",INDEX(Gesamtübersicht!$AD:$AD,MATCH($A6,Gesamtübersicht!$A:$A,0))&amp;""=$AD6&amp;"",INDEX(Gesamtübersicht!$AH:$AH,MATCH($A6,Gesamtübersicht!$A:$A,0))&amp;""=$AH6&amp;"",INDEX(Gesamtübersicht!$T:$T,MATCH($A6,Gesamtübersicht!$A:$A,0))&amp;""=$T6&amp;""),"OK","Abweichung – Ansicht neu erzeugen"))</f>
        <v>OK</v>
      </c>
    </row>
    <row r="7" spans="1:50" ht="42.95" customHeight="1">
      <c r="A7" s="2" t="s">
        <v>188</v>
      </c>
      <c r="B7" s="7" t="s">
        <v>90</v>
      </c>
      <c r="C7" s="2" t="s">
        <v>46</v>
      </c>
      <c r="D7" s="2" t="s">
        <v>91</v>
      </c>
      <c r="E7" s="2" t="s">
        <v>91</v>
      </c>
      <c r="F7" s="2" t="s">
        <v>172</v>
      </c>
      <c r="G7" s="2" t="s">
        <v>189</v>
      </c>
      <c r="H7" s="2" t="s">
        <v>190</v>
      </c>
      <c r="I7" s="2" t="s">
        <v>175</v>
      </c>
      <c r="J7" s="2" t="s">
        <v>160</v>
      </c>
      <c r="K7" s="2" t="s">
        <v>176</v>
      </c>
      <c r="L7" s="2" t="s">
        <v>90</v>
      </c>
      <c r="M7" s="3" t="s">
        <v>191</v>
      </c>
      <c r="N7" s="2" t="s">
        <v>192</v>
      </c>
      <c r="O7" s="2" t="s">
        <v>100</v>
      </c>
      <c r="P7" s="2" t="s">
        <v>193</v>
      </c>
      <c r="Q7" s="2" t="s">
        <v>194</v>
      </c>
      <c r="R7" s="2"/>
      <c r="S7" s="2" t="s">
        <v>182</v>
      </c>
      <c r="T7" s="2" t="s">
        <v>105</v>
      </c>
      <c r="U7" s="2" t="s">
        <v>106</v>
      </c>
      <c r="V7" s="2"/>
      <c r="W7" s="2" t="s">
        <v>183</v>
      </c>
      <c r="X7" s="2"/>
      <c r="Y7" s="2" t="s">
        <v>109</v>
      </c>
      <c r="Z7" s="2" t="s">
        <v>195</v>
      </c>
      <c r="AA7" s="2"/>
      <c r="AB7" s="2"/>
      <c r="AC7" s="2"/>
      <c r="AD7" s="2" t="s">
        <v>112</v>
      </c>
      <c r="AE7" s="2" t="s">
        <v>113</v>
      </c>
      <c r="AF7" s="2"/>
      <c r="AG7" s="2" t="s">
        <v>114</v>
      </c>
      <c r="AH7" s="2" t="s">
        <v>115</v>
      </c>
      <c r="AI7" s="2" t="s">
        <v>196</v>
      </c>
      <c r="AJ7" s="2" t="s">
        <v>197</v>
      </c>
      <c r="AK7" s="2"/>
      <c r="AL7" s="2" t="s">
        <v>187</v>
      </c>
      <c r="AM7" s="2" t="s">
        <v>153</v>
      </c>
      <c r="AN7" s="2" t="s">
        <v>121</v>
      </c>
      <c r="AO7" s="2" t="s">
        <v>192</v>
      </c>
      <c r="AP7" s="2" t="s">
        <v>122</v>
      </c>
      <c r="AQ7" s="2" t="s">
        <v>123</v>
      </c>
      <c r="AR7" s="2" t="s">
        <v>124</v>
      </c>
      <c r="AS7" s="2" t="s">
        <v>90</v>
      </c>
      <c r="AT7" s="2" t="s">
        <v>125</v>
      </c>
      <c r="AU7" s="2"/>
      <c r="AV7" s="2"/>
      <c r="AW7" s="2" t="s">
        <v>155</v>
      </c>
      <c r="AX7" s="2" t="str">
        <f>IF(ISNA(MATCH($A7,Gesamtübersicht!$A:$A,0)),"ID fehlt in Gesamtübersicht",IF(AND(INDEX(Gesamtübersicht!$H:$H,MATCH($A7,Gesamtübersicht!$A:$A,0))&amp;""=$H7&amp;"",INDEX(Gesamtübersicht!$M:$M,MATCH($A7,Gesamtübersicht!$A:$A,0))&amp;""=$M7&amp;"",INDEX(Gesamtübersicht!$AD:$AD,MATCH($A7,Gesamtübersicht!$A:$A,0))&amp;""=$AD7&amp;"",INDEX(Gesamtübersicht!$AH:$AH,MATCH($A7,Gesamtübersicht!$A:$A,0))&amp;""=$AH7&amp;"",INDEX(Gesamtübersicht!$T:$T,MATCH($A7,Gesamtübersicht!$A:$A,0))&amp;""=$T7&amp;""),"OK","Abweichung – Ansicht neu erzeugen"))</f>
        <v>OK</v>
      </c>
    </row>
    <row r="8" spans="1:50" ht="42.95" customHeight="1">
      <c r="A8" s="12" t="s">
        <v>198</v>
      </c>
      <c r="B8" s="7" t="s">
        <v>90</v>
      </c>
      <c r="C8" s="12" t="s">
        <v>46</v>
      </c>
      <c r="D8" s="12" t="s">
        <v>91</v>
      </c>
      <c r="E8" s="12" t="s">
        <v>91</v>
      </c>
      <c r="F8" s="12" t="s">
        <v>199</v>
      </c>
      <c r="G8" s="12" t="s">
        <v>200</v>
      </c>
      <c r="H8" s="12" t="s">
        <v>201</v>
      </c>
      <c r="I8" s="12" t="s">
        <v>202</v>
      </c>
      <c r="J8" s="12" t="s">
        <v>96</v>
      </c>
      <c r="K8" s="12" t="s">
        <v>203</v>
      </c>
      <c r="L8" s="12" t="s">
        <v>90</v>
      </c>
      <c r="M8" s="13" t="s">
        <v>204</v>
      </c>
      <c r="N8" s="12" t="s">
        <v>205</v>
      </c>
      <c r="O8" s="12" t="s">
        <v>100</v>
      </c>
      <c r="P8" s="12" t="s">
        <v>206</v>
      </c>
      <c r="Q8" s="12" t="s">
        <v>207</v>
      </c>
      <c r="R8" s="12" t="s">
        <v>208</v>
      </c>
      <c r="S8" s="12" t="s">
        <v>209</v>
      </c>
      <c r="T8" s="12" t="s">
        <v>105</v>
      </c>
      <c r="U8" s="12" t="s">
        <v>106</v>
      </c>
      <c r="V8" s="12"/>
      <c r="W8" s="12" t="s">
        <v>210</v>
      </c>
      <c r="X8" s="12" t="s">
        <v>211</v>
      </c>
      <c r="Y8" s="12" t="s">
        <v>109</v>
      </c>
      <c r="Z8" s="12" t="s">
        <v>110</v>
      </c>
      <c r="AA8" s="12" t="s">
        <v>212</v>
      </c>
      <c r="AB8" s="12"/>
      <c r="AC8" s="12"/>
      <c r="AD8" s="12" t="s">
        <v>112</v>
      </c>
      <c r="AE8" s="12" t="s">
        <v>113</v>
      </c>
      <c r="AF8" s="12"/>
      <c r="AG8" s="12" t="s">
        <v>114</v>
      </c>
      <c r="AH8" s="12" t="s">
        <v>115</v>
      </c>
      <c r="AI8" s="12" t="s">
        <v>213</v>
      </c>
      <c r="AJ8" s="12" t="s">
        <v>214</v>
      </c>
      <c r="AK8" s="12"/>
      <c r="AL8" s="12" t="s">
        <v>187</v>
      </c>
      <c r="AM8" s="12" t="s">
        <v>120</v>
      </c>
      <c r="AN8" s="12" t="s">
        <v>121</v>
      </c>
      <c r="AO8" s="12" t="s">
        <v>205</v>
      </c>
      <c r="AP8" s="12" t="s">
        <v>122</v>
      </c>
      <c r="AQ8" s="12" t="s">
        <v>123</v>
      </c>
      <c r="AR8" s="12" t="s">
        <v>124</v>
      </c>
      <c r="AS8" s="12" t="s">
        <v>90</v>
      </c>
      <c r="AT8" s="12" t="s">
        <v>125</v>
      </c>
      <c r="AU8" s="12"/>
      <c r="AV8" s="12" t="s">
        <v>215</v>
      </c>
      <c r="AW8" s="12"/>
      <c r="AX8" s="12" t="str">
        <f>IF(ISNA(MATCH($A8,Gesamtübersicht!$A:$A,0)),"ID fehlt in Gesamtübersicht",IF(AND(INDEX(Gesamtübersicht!$H:$H,MATCH($A8,Gesamtübersicht!$A:$A,0))&amp;""=$H8&amp;"",INDEX(Gesamtübersicht!$M:$M,MATCH($A8,Gesamtübersicht!$A:$A,0))&amp;""=$M8&amp;"",INDEX(Gesamtübersicht!$AD:$AD,MATCH($A8,Gesamtübersicht!$A:$A,0))&amp;""=$AD8&amp;"",INDEX(Gesamtübersicht!$AH:$AH,MATCH($A8,Gesamtübersicht!$A:$A,0))&amp;""=$AH8&amp;"",INDEX(Gesamtübersicht!$T:$T,MATCH($A8,Gesamtübersicht!$A:$A,0))&amp;""=$T8&amp;""),"OK","Abweichung – Ansicht neu erzeugen"))</f>
        <v>OK</v>
      </c>
    </row>
    <row r="9" spans="1:50" ht="42.95" customHeight="1">
      <c r="A9" s="2" t="s">
        <v>216</v>
      </c>
      <c r="B9" s="7" t="s">
        <v>90</v>
      </c>
      <c r="C9" s="2" t="s">
        <v>46</v>
      </c>
      <c r="D9" s="2" t="s">
        <v>91</v>
      </c>
      <c r="E9" s="2" t="s">
        <v>91</v>
      </c>
      <c r="F9" s="2" t="s">
        <v>217</v>
      </c>
      <c r="G9" s="2" t="s">
        <v>218</v>
      </c>
      <c r="H9" s="2" t="s">
        <v>219</v>
      </c>
      <c r="I9" s="2" t="s">
        <v>175</v>
      </c>
      <c r="J9" s="2" t="s">
        <v>96</v>
      </c>
      <c r="K9" s="2" t="s">
        <v>220</v>
      </c>
      <c r="L9" s="2" t="s">
        <v>90</v>
      </c>
      <c r="M9" s="3" t="s">
        <v>221</v>
      </c>
      <c r="N9" s="2" t="s">
        <v>222</v>
      </c>
      <c r="O9" s="2" t="s">
        <v>100</v>
      </c>
      <c r="P9" s="2" t="s">
        <v>223</v>
      </c>
      <c r="Q9" s="2" t="s">
        <v>224</v>
      </c>
      <c r="R9" s="2" t="s">
        <v>225</v>
      </c>
      <c r="S9" s="2" t="s">
        <v>209</v>
      </c>
      <c r="T9" s="2" t="s">
        <v>105</v>
      </c>
      <c r="U9" s="2" t="s">
        <v>106</v>
      </c>
      <c r="V9" s="2"/>
      <c r="W9" s="2" t="s">
        <v>226</v>
      </c>
      <c r="X9" s="2" t="s">
        <v>227</v>
      </c>
      <c r="Y9" s="2" t="s">
        <v>109</v>
      </c>
      <c r="Z9" s="2" t="s">
        <v>110</v>
      </c>
      <c r="AA9" s="2"/>
      <c r="AB9" s="2"/>
      <c r="AC9" s="2"/>
      <c r="AD9" s="2" t="s">
        <v>112</v>
      </c>
      <c r="AE9" s="2" t="s">
        <v>113</v>
      </c>
      <c r="AF9" s="2"/>
      <c r="AG9" s="2" t="s">
        <v>114</v>
      </c>
      <c r="AH9" s="2" t="s">
        <v>115</v>
      </c>
      <c r="AI9" s="2" t="s">
        <v>228</v>
      </c>
      <c r="AJ9" s="2" t="s">
        <v>229</v>
      </c>
      <c r="AK9" s="2" t="s">
        <v>230</v>
      </c>
      <c r="AL9" s="2" t="s">
        <v>187</v>
      </c>
      <c r="AM9" s="2" t="s">
        <v>120</v>
      </c>
      <c r="AN9" s="2" t="s">
        <v>121</v>
      </c>
      <c r="AO9" s="2" t="s">
        <v>222</v>
      </c>
      <c r="AP9" s="2" t="s">
        <v>122</v>
      </c>
      <c r="AQ9" s="2" t="s">
        <v>123</v>
      </c>
      <c r="AR9" s="2" t="s">
        <v>124</v>
      </c>
      <c r="AS9" s="2" t="s">
        <v>90</v>
      </c>
      <c r="AT9" s="2" t="s">
        <v>125</v>
      </c>
      <c r="AU9" s="2"/>
      <c r="AV9" s="2"/>
      <c r="AW9" s="2"/>
      <c r="AX9" s="2" t="str">
        <f>IF(ISNA(MATCH($A9,Gesamtübersicht!$A:$A,0)),"ID fehlt in Gesamtübersicht",IF(AND(INDEX(Gesamtübersicht!$H:$H,MATCH($A9,Gesamtübersicht!$A:$A,0))&amp;""=$H9&amp;"",INDEX(Gesamtübersicht!$M:$M,MATCH($A9,Gesamtübersicht!$A:$A,0))&amp;""=$M9&amp;"",INDEX(Gesamtübersicht!$AD:$AD,MATCH($A9,Gesamtübersicht!$A:$A,0))&amp;""=$AD9&amp;"",INDEX(Gesamtübersicht!$AH:$AH,MATCH($A9,Gesamtübersicht!$A:$A,0))&amp;""=$AH9&amp;"",INDEX(Gesamtübersicht!$T:$T,MATCH($A9,Gesamtübersicht!$A:$A,0))&amp;""=$T9&amp;""),"OK","Abweichung – Ansicht neu erzeugen"))</f>
        <v>OK</v>
      </c>
    </row>
    <row r="10" spans="1:50" ht="42.95" customHeight="1">
      <c r="A10" s="12" t="s">
        <v>231</v>
      </c>
      <c r="B10" s="7" t="s">
        <v>90</v>
      </c>
      <c r="C10" s="12" t="s">
        <v>46</v>
      </c>
      <c r="D10" s="12" t="s">
        <v>91</v>
      </c>
      <c r="E10" s="12" t="s">
        <v>91</v>
      </c>
      <c r="F10" s="12" t="s">
        <v>217</v>
      </c>
      <c r="G10" s="12" t="s">
        <v>232</v>
      </c>
      <c r="H10" s="12" t="s">
        <v>233</v>
      </c>
      <c r="I10" s="12" t="s">
        <v>159</v>
      </c>
      <c r="J10" s="12" t="s">
        <v>160</v>
      </c>
      <c r="K10" s="12" t="s">
        <v>161</v>
      </c>
      <c r="L10" s="12" t="s">
        <v>234</v>
      </c>
      <c r="M10" s="13" t="s">
        <v>235</v>
      </c>
      <c r="N10" s="12" t="s">
        <v>236</v>
      </c>
      <c r="O10" s="12" t="s">
        <v>100</v>
      </c>
      <c r="P10" s="12" t="s">
        <v>237</v>
      </c>
      <c r="Q10" s="12"/>
      <c r="R10" s="12"/>
      <c r="S10" s="12" t="s">
        <v>238</v>
      </c>
      <c r="T10" s="12" t="s">
        <v>105</v>
      </c>
      <c r="U10" s="12" t="s">
        <v>166</v>
      </c>
      <c r="V10" s="12"/>
      <c r="W10" s="12"/>
      <c r="X10" s="12"/>
      <c r="Y10" s="12" t="s">
        <v>109</v>
      </c>
      <c r="Z10" s="12" t="s">
        <v>167</v>
      </c>
      <c r="AA10" s="12" t="s">
        <v>92</v>
      </c>
      <c r="AB10" s="12"/>
      <c r="AC10" s="12"/>
      <c r="AD10" s="12" t="s">
        <v>112</v>
      </c>
      <c r="AE10" s="12" t="s">
        <v>113</v>
      </c>
      <c r="AF10" s="12"/>
      <c r="AG10" s="12" t="s">
        <v>114</v>
      </c>
      <c r="AH10" s="12" t="s">
        <v>115</v>
      </c>
      <c r="AI10" s="12" t="s">
        <v>239</v>
      </c>
      <c r="AJ10" s="12" t="s">
        <v>240</v>
      </c>
      <c r="AK10" s="12" t="s">
        <v>241</v>
      </c>
      <c r="AL10" s="12" t="s">
        <v>119</v>
      </c>
      <c r="AM10" s="12" t="s">
        <v>153</v>
      </c>
      <c r="AN10" s="12" t="s">
        <v>121</v>
      </c>
      <c r="AO10" s="12" t="s">
        <v>236</v>
      </c>
      <c r="AP10" s="12" t="s">
        <v>122</v>
      </c>
      <c r="AQ10" s="12" t="s">
        <v>123</v>
      </c>
      <c r="AR10" s="12" t="s">
        <v>124</v>
      </c>
      <c r="AS10" s="12" t="s">
        <v>234</v>
      </c>
      <c r="AT10" s="12" t="s">
        <v>125</v>
      </c>
      <c r="AU10" s="12" t="s">
        <v>242</v>
      </c>
      <c r="AV10" s="12"/>
      <c r="AW10" s="12" t="s">
        <v>155</v>
      </c>
      <c r="AX10" s="12" t="str">
        <f>IF(ISNA(MATCH($A10,Gesamtübersicht!$A:$A,0)),"ID fehlt in Gesamtübersicht",IF(AND(INDEX(Gesamtübersicht!$H:$H,MATCH($A10,Gesamtübersicht!$A:$A,0))&amp;""=$H10&amp;"",INDEX(Gesamtübersicht!$M:$M,MATCH($A10,Gesamtübersicht!$A:$A,0))&amp;""=$M10&amp;"",INDEX(Gesamtübersicht!$AD:$AD,MATCH($A10,Gesamtübersicht!$A:$A,0))&amp;""=$AD10&amp;"",INDEX(Gesamtübersicht!$AH:$AH,MATCH($A10,Gesamtübersicht!$A:$A,0))&amp;""=$AH10&amp;"",INDEX(Gesamtübersicht!$T:$T,MATCH($A10,Gesamtübersicht!$A:$A,0))&amp;""=$T10&amp;""),"OK","Abweichung – Ansicht neu erzeugen"))</f>
        <v>OK</v>
      </c>
    </row>
    <row r="11" spans="1:50" ht="42.95" customHeight="1">
      <c r="A11" s="2" t="s">
        <v>215</v>
      </c>
      <c r="B11" s="7" t="s">
        <v>90</v>
      </c>
      <c r="C11" s="2" t="s">
        <v>46</v>
      </c>
      <c r="D11" s="2" t="s">
        <v>91</v>
      </c>
      <c r="E11" s="2" t="s">
        <v>91</v>
      </c>
      <c r="F11" s="2" t="s">
        <v>212</v>
      </c>
      <c r="G11" s="2" t="s">
        <v>243</v>
      </c>
      <c r="H11" s="2" t="s">
        <v>201</v>
      </c>
      <c r="I11" s="2" t="s">
        <v>202</v>
      </c>
      <c r="J11" s="2" t="s">
        <v>96</v>
      </c>
      <c r="K11" s="2" t="s">
        <v>203</v>
      </c>
      <c r="L11" s="2" t="s">
        <v>90</v>
      </c>
      <c r="M11" s="3" t="s">
        <v>204</v>
      </c>
      <c r="N11" s="2" t="s">
        <v>205</v>
      </c>
      <c r="O11" s="2" t="s">
        <v>100</v>
      </c>
      <c r="P11" s="2" t="s">
        <v>244</v>
      </c>
      <c r="Q11" s="2" t="s">
        <v>245</v>
      </c>
      <c r="R11" s="2" t="s">
        <v>246</v>
      </c>
      <c r="S11" s="2" t="s">
        <v>209</v>
      </c>
      <c r="T11" s="2" t="s">
        <v>105</v>
      </c>
      <c r="U11" s="2" t="s">
        <v>106</v>
      </c>
      <c r="V11" s="2"/>
      <c r="W11" s="2" t="s">
        <v>247</v>
      </c>
      <c r="X11" s="2" t="s">
        <v>248</v>
      </c>
      <c r="Y11" s="2" t="s">
        <v>109</v>
      </c>
      <c r="Z11" s="2" t="s">
        <v>110</v>
      </c>
      <c r="AA11" s="2" t="s">
        <v>199</v>
      </c>
      <c r="AB11" s="2"/>
      <c r="AC11" s="2"/>
      <c r="AD11" s="2" t="s">
        <v>112</v>
      </c>
      <c r="AE11" s="2" t="s">
        <v>113</v>
      </c>
      <c r="AF11" s="2"/>
      <c r="AG11" s="2" t="s">
        <v>114</v>
      </c>
      <c r="AH11" s="2" t="s">
        <v>115</v>
      </c>
      <c r="AI11" s="2" t="s">
        <v>213</v>
      </c>
      <c r="AJ11" s="2" t="s">
        <v>214</v>
      </c>
      <c r="AK11" s="2"/>
      <c r="AL11" s="2" t="s">
        <v>187</v>
      </c>
      <c r="AM11" s="2" t="s">
        <v>120</v>
      </c>
      <c r="AN11" s="2" t="s">
        <v>121</v>
      </c>
      <c r="AO11" s="2" t="s">
        <v>205</v>
      </c>
      <c r="AP11" s="2" t="s">
        <v>122</v>
      </c>
      <c r="AQ11" s="2" t="s">
        <v>123</v>
      </c>
      <c r="AR11" s="2" t="s">
        <v>124</v>
      </c>
      <c r="AS11" s="2" t="s">
        <v>90</v>
      </c>
      <c r="AT11" s="2" t="s">
        <v>125</v>
      </c>
      <c r="AU11" s="2" t="s">
        <v>249</v>
      </c>
      <c r="AV11" s="2" t="s">
        <v>198</v>
      </c>
      <c r="AW11" s="2"/>
      <c r="AX11" s="2" t="str">
        <f>IF(ISNA(MATCH($A11,Gesamtübersicht!$A:$A,0)),"ID fehlt in Gesamtübersicht",IF(AND(INDEX(Gesamtübersicht!$H:$H,MATCH($A11,Gesamtübersicht!$A:$A,0))&amp;""=$H11&amp;"",INDEX(Gesamtübersicht!$M:$M,MATCH($A11,Gesamtübersicht!$A:$A,0))&amp;""=$M11&amp;"",INDEX(Gesamtübersicht!$AD:$AD,MATCH($A11,Gesamtübersicht!$A:$A,0))&amp;""=$AD11&amp;"",INDEX(Gesamtübersicht!$AH:$AH,MATCH($A11,Gesamtübersicht!$A:$A,0))&amp;""=$AH11&amp;"",INDEX(Gesamtübersicht!$T:$T,MATCH($A11,Gesamtübersicht!$A:$A,0))&amp;""=$T11&amp;""),"OK","Abweichung – Ansicht neu erzeugen"))</f>
        <v>OK</v>
      </c>
    </row>
    <row r="12" spans="1:50" ht="42.95" customHeight="1">
      <c r="A12" s="12" t="s">
        <v>439</v>
      </c>
      <c r="B12" s="8" t="s">
        <v>47</v>
      </c>
      <c r="C12" s="12" t="s">
        <v>46</v>
      </c>
      <c r="D12" s="12" t="s">
        <v>440</v>
      </c>
      <c r="E12" s="12" t="s">
        <v>91</v>
      </c>
      <c r="F12" s="12" t="s">
        <v>92</v>
      </c>
      <c r="G12" s="12" t="s">
        <v>441</v>
      </c>
      <c r="H12" s="12" t="s">
        <v>442</v>
      </c>
      <c r="I12" s="12" t="s">
        <v>254</v>
      </c>
      <c r="J12" s="12" t="s">
        <v>96</v>
      </c>
      <c r="K12" s="12" t="s">
        <v>97</v>
      </c>
      <c r="L12" s="12" t="s">
        <v>443</v>
      </c>
      <c r="M12" s="13" t="s">
        <v>444</v>
      </c>
      <c r="N12" s="12" t="s">
        <v>99</v>
      </c>
      <c r="O12" s="12" t="s">
        <v>100</v>
      </c>
      <c r="P12" s="12" t="s">
        <v>445</v>
      </c>
      <c r="Q12" s="12" t="s">
        <v>446</v>
      </c>
      <c r="R12" s="12" t="s">
        <v>447</v>
      </c>
      <c r="S12" s="12" t="s">
        <v>134</v>
      </c>
      <c r="T12" s="12" t="s">
        <v>105</v>
      </c>
      <c r="U12" s="12" t="s">
        <v>166</v>
      </c>
      <c r="V12" s="12" t="s">
        <v>261</v>
      </c>
      <c r="W12" s="12" t="s">
        <v>135</v>
      </c>
      <c r="X12" s="12" t="s">
        <v>262</v>
      </c>
      <c r="Y12" s="12" t="s">
        <v>109</v>
      </c>
      <c r="Z12" s="12" t="s">
        <v>263</v>
      </c>
      <c r="AA12" s="12"/>
      <c r="AB12" s="12"/>
      <c r="AC12" s="12"/>
      <c r="AD12" s="12" t="s">
        <v>112</v>
      </c>
      <c r="AE12" s="12" t="s">
        <v>113</v>
      </c>
      <c r="AF12" s="12"/>
      <c r="AG12" s="12" t="s">
        <v>114</v>
      </c>
      <c r="AH12" s="12" t="s">
        <v>115</v>
      </c>
      <c r="AI12" s="12" t="s">
        <v>448</v>
      </c>
      <c r="AJ12" s="12" t="s">
        <v>449</v>
      </c>
      <c r="AK12" s="12" t="s">
        <v>450</v>
      </c>
      <c r="AL12" s="12" t="s">
        <v>119</v>
      </c>
      <c r="AM12" s="12" t="s">
        <v>120</v>
      </c>
      <c r="AN12" s="12" t="s">
        <v>121</v>
      </c>
      <c r="AO12" s="12" t="s">
        <v>99</v>
      </c>
      <c r="AP12" s="12" t="s">
        <v>122</v>
      </c>
      <c r="AQ12" s="12" t="s">
        <v>123</v>
      </c>
      <c r="AR12" s="12" t="s">
        <v>124</v>
      </c>
      <c r="AS12" s="12" t="s">
        <v>443</v>
      </c>
      <c r="AT12" s="12" t="s">
        <v>125</v>
      </c>
      <c r="AU12" s="12"/>
      <c r="AV12" s="12"/>
      <c r="AW12" s="12"/>
      <c r="AX12" s="12" t="str">
        <f>IF(ISNA(MATCH($A12,Gesamtübersicht!$A:$A,0)),"ID fehlt in Gesamtübersicht",IF(AND(INDEX(Gesamtübersicht!$H:$H,MATCH($A12,Gesamtübersicht!$A:$A,0))&amp;""=$H12&amp;"",INDEX(Gesamtübersicht!$M:$M,MATCH($A12,Gesamtübersicht!$A:$A,0))&amp;""=$M12&amp;"",INDEX(Gesamtübersicht!$AD:$AD,MATCH($A12,Gesamtübersicht!$A:$A,0))&amp;""=$AD12&amp;"",INDEX(Gesamtübersicht!$AH:$AH,MATCH($A12,Gesamtübersicht!$A:$A,0))&amp;""=$AH12&amp;"",INDEX(Gesamtübersicht!$T:$T,MATCH($A12,Gesamtübersicht!$A:$A,0))&amp;""=$T12&amp;""),"OK","Abweichung – Ansicht neu erzeugen"))</f>
        <v>OK</v>
      </c>
    </row>
    <row r="13" spans="1:50" ht="42.95" customHeight="1">
      <c r="A13" s="2" t="s">
        <v>451</v>
      </c>
      <c r="B13" s="8" t="s">
        <v>47</v>
      </c>
      <c r="C13" s="2" t="s">
        <v>46</v>
      </c>
      <c r="D13" s="2" t="s">
        <v>440</v>
      </c>
      <c r="E13" s="2" t="s">
        <v>91</v>
      </c>
      <c r="F13" s="2" t="s">
        <v>92</v>
      </c>
      <c r="G13" s="2" t="s">
        <v>127</v>
      </c>
      <c r="H13" s="2" t="s">
        <v>452</v>
      </c>
      <c r="I13" s="2" t="s">
        <v>453</v>
      </c>
      <c r="J13" s="2" t="s">
        <v>96</v>
      </c>
      <c r="K13" s="2" t="s">
        <v>97</v>
      </c>
      <c r="L13" s="2" t="s">
        <v>443</v>
      </c>
      <c r="M13" s="3" t="s">
        <v>454</v>
      </c>
      <c r="N13" s="2" t="s">
        <v>99</v>
      </c>
      <c r="O13" s="2" t="s">
        <v>100</v>
      </c>
      <c r="P13" s="2" t="s">
        <v>455</v>
      </c>
      <c r="Q13" s="2" t="s">
        <v>456</v>
      </c>
      <c r="R13" s="2" t="s">
        <v>457</v>
      </c>
      <c r="S13" s="2" t="s">
        <v>134</v>
      </c>
      <c r="T13" s="2" t="s">
        <v>105</v>
      </c>
      <c r="U13" s="2" t="s">
        <v>166</v>
      </c>
      <c r="V13" s="2" t="s">
        <v>261</v>
      </c>
      <c r="W13" s="2" t="s">
        <v>92</v>
      </c>
      <c r="X13" s="2" t="s">
        <v>458</v>
      </c>
      <c r="Y13" s="2" t="s">
        <v>109</v>
      </c>
      <c r="Z13" s="2" t="s">
        <v>263</v>
      </c>
      <c r="AA13" s="2"/>
      <c r="AB13" s="2"/>
      <c r="AC13" s="2"/>
      <c r="AD13" s="2" t="s">
        <v>459</v>
      </c>
      <c r="AE13" s="2" t="s">
        <v>460</v>
      </c>
      <c r="AF13" s="2"/>
      <c r="AG13" s="2"/>
      <c r="AH13" s="2" t="s">
        <v>461</v>
      </c>
      <c r="AI13" s="2" t="s">
        <v>462</v>
      </c>
      <c r="AJ13" s="2"/>
      <c r="AK13" s="2"/>
      <c r="AL13" s="2" t="s">
        <v>119</v>
      </c>
      <c r="AM13" s="2" t="s">
        <v>120</v>
      </c>
      <c r="AN13" s="2" t="s">
        <v>463</v>
      </c>
      <c r="AO13" s="2" t="s">
        <v>99</v>
      </c>
      <c r="AP13" s="2" t="s">
        <v>122</v>
      </c>
      <c r="AQ13" s="2" t="s">
        <v>123</v>
      </c>
      <c r="AR13" s="2" t="s">
        <v>124</v>
      </c>
      <c r="AS13" s="2" t="s">
        <v>443</v>
      </c>
      <c r="AT13" s="2" t="s">
        <v>461</v>
      </c>
      <c r="AU13" s="2" t="s">
        <v>464</v>
      </c>
      <c r="AV13" s="2"/>
      <c r="AW13" s="2"/>
      <c r="AX13" s="2" t="str">
        <f>IF(ISNA(MATCH($A13,Gesamtübersicht!$A:$A,0)),"ID fehlt in Gesamtübersicht",IF(AND(INDEX(Gesamtübersicht!$H:$H,MATCH($A13,Gesamtübersicht!$A:$A,0))&amp;""=$H13&amp;"",INDEX(Gesamtübersicht!$M:$M,MATCH($A13,Gesamtübersicht!$A:$A,0))&amp;""=$M13&amp;"",INDEX(Gesamtübersicht!$AD:$AD,MATCH($A13,Gesamtübersicht!$A:$A,0))&amp;""=$AD13&amp;"",INDEX(Gesamtübersicht!$AH:$AH,MATCH($A13,Gesamtübersicht!$A:$A,0))&amp;""=$AH13&amp;"",INDEX(Gesamtübersicht!$T:$T,MATCH($A13,Gesamtübersicht!$A:$A,0))&amp;""=$T13&amp;""),"OK","Abweichung – Ansicht neu erzeugen"))</f>
        <v>OK</v>
      </c>
    </row>
    <row r="14" spans="1:50" ht="42.95" customHeight="1">
      <c r="A14" s="12" t="s">
        <v>465</v>
      </c>
      <c r="B14" s="8" t="s">
        <v>47</v>
      </c>
      <c r="C14" s="12" t="s">
        <v>46</v>
      </c>
      <c r="D14" s="12" t="s">
        <v>440</v>
      </c>
      <c r="E14" s="12" t="s">
        <v>91</v>
      </c>
      <c r="F14" s="12" t="s">
        <v>92</v>
      </c>
      <c r="G14" s="12" t="s">
        <v>306</v>
      </c>
      <c r="H14" s="12" t="s">
        <v>466</v>
      </c>
      <c r="I14" s="12" t="s">
        <v>404</v>
      </c>
      <c r="J14" s="12" t="s">
        <v>142</v>
      </c>
      <c r="K14" s="12" t="s">
        <v>368</v>
      </c>
      <c r="L14" s="12" t="s">
        <v>467</v>
      </c>
      <c r="M14" s="13" t="s">
        <v>468</v>
      </c>
      <c r="N14" s="12"/>
      <c r="O14" s="12" t="s">
        <v>100</v>
      </c>
      <c r="P14" s="12" t="s">
        <v>469</v>
      </c>
      <c r="Q14" s="12"/>
      <c r="R14" s="12"/>
      <c r="S14" s="12" t="s">
        <v>134</v>
      </c>
      <c r="T14" s="12" t="s">
        <v>105</v>
      </c>
      <c r="U14" s="12" t="s">
        <v>166</v>
      </c>
      <c r="V14" s="12"/>
      <c r="W14" s="12"/>
      <c r="X14" s="12"/>
      <c r="Y14" s="12" t="s">
        <v>109</v>
      </c>
      <c r="Z14" s="12" t="s">
        <v>167</v>
      </c>
      <c r="AA14" s="12"/>
      <c r="AB14" s="12"/>
      <c r="AC14" s="12"/>
      <c r="AD14" s="12" t="s">
        <v>459</v>
      </c>
      <c r="AE14" s="12" t="s">
        <v>460</v>
      </c>
      <c r="AF14" s="12"/>
      <c r="AG14" s="12"/>
      <c r="AH14" s="12" t="s">
        <v>461</v>
      </c>
      <c r="AI14" s="12" t="s">
        <v>462</v>
      </c>
      <c r="AJ14" s="12"/>
      <c r="AK14" s="12"/>
      <c r="AL14" s="12" t="s">
        <v>119</v>
      </c>
      <c r="AM14" s="12" t="s">
        <v>153</v>
      </c>
      <c r="AN14" s="12" t="s">
        <v>463</v>
      </c>
      <c r="AO14" s="12"/>
      <c r="AP14" s="12" t="s">
        <v>122</v>
      </c>
      <c r="AQ14" s="12" t="s">
        <v>123</v>
      </c>
      <c r="AR14" s="12" t="s">
        <v>124</v>
      </c>
      <c r="AS14" s="12" t="s">
        <v>467</v>
      </c>
      <c r="AT14" s="12" t="s">
        <v>461</v>
      </c>
      <c r="AU14" s="12" t="s">
        <v>464</v>
      </c>
      <c r="AV14" s="12"/>
      <c r="AW14" s="12" t="s">
        <v>155</v>
      </c>
      <c r="AX14" s="12" t="str">
        <f>IF(ISNA(MATCH($A14,Gesamtübersicht!$A:$A,0)),"ID fehlt in Gesamtübersicht",IF(AND(INDEX(Gesamtübersicht!$H:$H,MATCH($A14,Gesamtübersicht!$A:$A,0))&amp;""=$H14&amp;"",INDEX(Gesamtübersicht!$M:$M,MATCH($A14,Gesamtübersicht!$A:$A,0))&amp;""=$M14&amp;"",INDEX(Gesamtübersicht!$AD:$AD,MATCH($A14,Gesamtübersicht!$A:$A,0))&amp;""=$AD14&amp;"",INDEX(Gesamtübersicht!$AH:$AH,MATCH($A14,Gesamtübersicht!$A:$A,0))&amp;""=$AH14&amp;"",INDEX(Gesamtübersicht!$T:$T,MATCH($A14,Gesamtübersicht!$A:$A,0))&amp;""=$T14&amp;""),"OK","Abweichung – Ansicht neu erzeugen"))</f>
        <v>OK</v>
      </c>
    </row>
    <row r="15" spans="1:50" ht="42.95" customHeight="1">
      <c r="A15" s="2" t="s">
        <v>470</v>
      </c>
      <c r="B15" s="8" t="s">
        <v>47</v>
      </c>
      <c r="C15" s="2" t="s">
        <v>46</v>
      </c>
      <c r="D15" s="2" t="s">
        <v>440</v>
      </c>
      <c r="E15" s="2" t="s">
        <v>91</v>
      </c>
      <c r="F15" s="2" t="s">
        <v>92</v>
      </c>
      <c r="G15" s="2" t="s">
        <v>471</v>
      </c>
      <c r="H15" s="2" t="s">
        <v>472</v>
      </c>
      <c r="I15" s="2" t="s">
        <v>473</v>
      </c>
      <c r="J15" s="2" t="s">
        <v>142</v>
      </c>
      <c r="K15" s="2" t="s">
        <v>368</v>
      </c>
      <c r="L15" s="2" t="s">
        <v>474</v>
      </c>
      <c r="M15" s="3" t="s">
        <v>475</v>
      </c>
      <c r="N15" s="2" t="s">
        <v>476</v>
      </c>
      <c r="O15" s="2" t="s">
        <v>100</v>
      </c>
      <c r="P15" s="2" t="s">
        <v>477</v>
      </c>
      <c r="Q15" s="2"/>
      <c r="R15" s="2"/>
      <c r="S15" s="2" t="s">
        <v>134</v>
      </c>
      <c r="T15" s="2" t="s">
        <v>105</v>
      </c>
      <c r="U15" s="2" t="s">
        <v>166</v>
      </c>
      <c r="V15" s="2"/>
      <c r="W15" s="2"/>
      <c r="X15" s="2"/>
      <c r="Y15" s="2" t="s">
        <v>109</v>
      </c>
      <c r="Z15" s="2" t="s">
        <v>167</v>
      </c>
      <c r="AA15" s="2"/>
      <c r="AB15" s="2"/>
      <c r="AC15" s="2"/>
      <c r="AD15" s="2" t="s">
        <v>459</v>
      </c>
      <c r="AE15" s="2" t="s">
        <v>460</v>
      </c>
      <c r="AF15" s="2"/>
      <c r="AG15" s="2"/>
      <c r="AH15" s="2" t="s">
        <v>461</v>
      </c>
      <c r="AI15" s="2" t="s">
        <v>462</v>
      </c>
      <c r="AJ15" s="2"/>
      <c r="AK15" s="2"/>
      <c r="AL15" s="2" t="s">
        <v>119</v>
      </c>
      <c r="AM15" s="2" t="s">
        <v>153</v>
      </c>
      <c r="AN15" s="2" t="s">
        <v>463</v>
      </c>
      <c r="AO15" s="2" t="s">
        <v>476</v>
      </c>
      <c r="AP15" s="2" t="s">
        <v>122</v>
      </c>
      <c r="AQ15" s="2" t="s">
        <v>123</v>
      </c>
      <c r="AR15" s="2" t="s">
        <v>124</v>
      </c>
      <c r="AS15" s="2" t="s">
        <v>474</v>
      </c>
      <c r="AT15" s="2" t="s">
        <v>461</v>
      </c>
      <c r="AU15" s="2" t="s">
        <v>464</v>
      </c>
      <c r="AV15" s="2"/>
      <c r="AW15" s="2" t="s">
        <v>155</v>
      </c>
      <c r="AX15" s="2" t="str">
        <f>IF(ISNA(MATCH($A15,Gesamtübersicht!$A:$A,0)),"ID fehlt in Gesamtübersicht",IF(AND(INDEX(Gesamtübersicht!$H:$H,MATCH($A15,Gesamtübersicht!$A:$A,0))&amp;""=$H15&amp;"",INDEX(Gesamtübersicht!$M:$M,MATCH($A15,Gesamtübersicht!$A:$A,0))&amp;""=$M15&amp;"",INDEX(Gesamtübersicht!$AD:$AD,MATCH($A15,Gesamtübersicht!$A:$A,0))&amp;""=$AD15&amp;"",INDEX(Gesamtübersicht!$AH:$AH,MATCH($A15,Gesamtübersicht!$A:$A,0))&amp;""=$AH15&amp;"",INDEX(Gesamtübersicht!$T:$T,MATCH($A15,Gesamtübersicht!$A:$A,0))&amp;""=$T15&amp;""),"OK","Abweichung – Ansicht neu erzeugen"))</f>
        <v>OK</v>
      </c>
    </row>
    <row r="16" spans="1:50" ht="42.95" customHeight="1">
      <c r="A16" s="12" t="s">
        <v>478</v>
      </c>
      <c r="B16" s="8" t="s">
        <v>47</v>
      </c>
      <c r="C16" s="12" t="s">
        <v>46</v>
      </c>
      <c r="D16" s="12" t="s">
        <v>440</v>
      </c>
      <c r="E16" s="12" t="s">
        <v>91</v>
      </c>
      <c r="F16" s="12" t="s">
        <v>92</v>
      </c>
      <c r="G16" s="12" t="s">
        <v>321</v>
      </c>
      <c r="H16" s="12" t="s">
        <v>479</v>
      </c>
      <c r="I16" s="12" t="s">
        <v>323</v>
      </c>
      <c r="J16" s="12" t="s">
        <v>160</v>
      </c>
      <c r="K16" s="12" t="s">
        <v>309</v>
      </c>
      <c r="L16" s="12" t="s">
        <v>443</v>
      </c>
      <c r="M16" s="13" t="s">
        <v>480</v>
      </c>
      <c r="N16" s="12"/>
      <c r="O16" s="12" t="s">
        <v>100</v>
      </c>
      <c r="P16" s="12" t="s">
        <v>481</v>
      </c>
      <c r="Q16" s="12"/>
      <c r="R16" s="12"/>
      <c r="S16" s="12" t="s">
        <v>134</v>
      </c>
      <c r="T16" s="12" t="s">
        <v>105</v>
      </c>
      <c r="U16" s="12" t="s">
        <v>106</v>
      </c>
      <c r="V16" s="12"/>
      <c r="W16" s="12"/>
      <c r="X16" s="12"/>
      <c r="Y16" s="12" t="s">
        <v>109</v>
      </c>
      <c r="Z16" s="12" t="s">
        <v>328</v>
      </c>
      <c r="AA16" s="12"/>
      <c r="AB16" s="12"/>
      <c r="AC16" s="12"/>
      <c r="AD16" s="12" t="s">
        <v>112</v>
      </c>
      <c r="AE16" s="12" t="s">
        <v>113</v>
      </c>
      <c r="AF16" s="12"/>
      <c r="AG16" s="12" t="s">
        <v>114</v>
      </c>
      <c r="AH16" s="12" t="s">
        <v>115</v>
      </c>
      <c r="AI16" s="12" t="s">
        <v>482</v>
      </c>
      <c r="AJ16" s="12" t="s">
        <v>483</v>
      </c>
      <c r="AK16" s="12" t="s">
        <v>484</v>
      </c>
      <c r="AL16" s="12" t="s">
        <v>318</v>
      </c>
      <c r="AM16" s="12" t="s">
        <v>153</v>
      </c>
      <c r="AN16" s="12" t="s">
        <v>121</v>
      </c>
      <c r="AO16" s="12"/>
      <c r="AP16" s="12" t="s">
        <v>122</v>
      </c>
      <c r="AQ16" s="12" t="s">
        <v>123</v>
      </c>
      <c r="AR16" s="12" t="s">
        <v>124</v>
      </c>
      <c r="AS16" s="12" t="s">
        <v>443</v>
      </c>
      <c r="AT16" s="12" t="s">
        <v>125</v>
      </c>
      <c r="AU16" s="12"/>
      <c r="AV16" s="12"/>
      <c r="AW16" s="12" t="s">
        <v>155</v>
      </c>
      <c r="AX16" s="12" t="str">
        <f>IF(ISNA(MATCH($A16,Gesamtübersicht!$A:$A,0)),"ID fehlt in Gesamtübersicht",IF(AND(INDEX(Gesamtübersicht!$H:$H,MATCH($A16,Gesamtübersicht!$A:$A,0))&amp;""=$H16&amp;"",INDEX(Gesamtübersicht!$M:$M,MATCH($A16,Gesamtübersicht!$A:$A,0))&amp;""=$M16&amp;"",INDEX(Gesamtübersicht!$AD:$AD,MATCH($A16,Gesamtübersicht!$A:$A,0))&amp;""=$AD16&amp;"",INDEX(Gesamtübersicht!$AH:$AH,MATCH($A16,Gesamtübersicht!$A:$A,0))&amp;""=$AH16&amp;"",INDEX(Gesamtübersicht!$T:$T,MATCH($A16,Gesamtübersicht!$A:$A,0))&amp;""=$T16&amp;""),"OK","Abweichung – Ansicht neu erzeugen"))</f>
        <v>OK</v>
      </c>
    </row>
    <row r="17" spans="1:50" ht="42.95" customHeight="1">
      <c r="A17" s="2" t="s">
        <v>485</v>
      </c>
      <c r="B17" s="8" t="s">
        <v>47</v>
      </c>
      <c r="C17" s="2" t="s">
        <v>46</v>
      </c>
      <c r="D17" s="2" t="s">
        <v>440</v>
      </c>
      <c r="E17" s="2" t="s">
        <v>91</v>
      </c>
      <c r="F17" s="2" t="s">
        <v>172</v>
      </c>
      <c r="G17" s="2" t="s">
        <v>486</v>
      </c>
      <c r="H17" s="2" t="s">
        <v>487</v>
      </c>
      <c r="I17" s="2" t="s">
        <v>346</v>
      </c>
      <c r="J17" s="2" t="s">
        <v>96</v>
      </c>
      <c r="K17" s="2" t="s">
        <v>97</v>
      </c>
      <c r="L17" s="2" t="s">
        <v>443</v>
      </c>
      <c r="M17" s="3" t="s">
        <v>488</v>
      </c>
      <c r="N17" s="2" t="s">
        <v>99</v>
      </c>
      <c r="O17" s="2" t="s">
        <v>100</v>
      </c>
      <c r="P17" s="2" t="s">
        <v>489</v>
      </c>
      <c r="Q17" s="2" t="s">
        <v>490</v>
      </c>
      <c r="R17" s="2" t="s">
        <v>491</v>
      </c>
      <c r="S17" s="2" t="s">
        <v>351</v>
      </c>
      <c r="T17" s="2" t="s">
        <v>105</v>
      </c>
      <c r="U17" s="2" t="s">
        <v>166</v>
      </c>
      <c r="V17" s="2" t="s">
        <v>261</v>
      </c>
      <c r="W17" s="2" t="s">
        <v>183</v>
      </c>
      <c r="X17" s="2" t="s">
        <v>492</v>
      </c>
      <c r="Y17" s="2" t="s">
        <v>109</v>
      </c>
      <c r="Z17" s="2" t="s">
        <v>263</v>
      </c>
      <c r="AA17" s="2"/>
      <c r="AB17" s="2"/>
      <c r="AC17" s="2"/>
      <c r="AD17" s="2" t="s">
        <v>112</v>
      </c>
      <c r="AE17" s="2" t="s">
        <v>113</v>
      </c>
      <c r="AF17" s="2"/>
      <c r="AG17" s="2" t="s">
        <v>114</v>
      </c>
      <c r="AH17" s="2" t="s">
        <v>115</v>
      </c>
      <c r="AI17" s="2" t="s">
        <v>493</v>
      </c>
      <c r="AJ17" s="2" t="s">
        <v>494</v>
      </c>
      <c r="AK17" s="2" t="s">
        <v>495</v>
      </c>
      <c r="AL17" s="2" t="s">
        <v>355</v>
      </c>
      <c r="AM17" s="2" t="s">
        <v>120</v>
      </c>
      <c r="AN17" s="2" t="s">
        <v>121</v>
      </c>
      <c r="AO17" s="2" t="s">
        <v>99</v>
      </c>
      <c r="AP17" s="2" t="s">
        <v>122</v>
      </c>
      <c r="AQ17" s="2" t="s">
        <v>123</v>
      </c>
      <c r="AR17" s="2" t="s">
        <v>124</v>
      </c>
      <c r="AS17" s="2" t="s">
        <v>443</v>
      </c>
      <c r="AT17" s="2" t="s">
        <v>125</v>
      </c>
      <c r="AU17" s="2" t="s">
        <v>496</v>
      </c>
      <c r="AV17" s="2"/>
      <c r="AW17" s="2"/>
      <c r="AX17" s="2" t="str">
        <f>IF(ISNA(MATCH($A17,Gesamtübersicht!$A:$A,0)),"ID fehlt in Gesamtübersicht",IF(AND(INDEX(Gesamtübersicht!$H:$H,MATCH($A17,Gesamtübersicht!$A:$A,0))&amp;""=$H17&amp;"",INDEX(Gesamtübersicht!$M:$M,MATCH($A17,Gesamtübersicht!$A:$A,0))&amp;""=$M17&amp;"",INDEX(Gesamtübersicht!$AD:$AD,MATCH($A17,Gesamtübersicht!$A:$A,0))&amp;""=$AD17&amp;"",INDEX(Gesamtübersicht!$AH:$AH,MATCH($A17,Gesamtübersicht!$A:$A,0))&amp;""=$AH17&amp;"",INDEX(Gesamtübersicht!$T:$T,MATCH($A17,Gesamtübersicht!$A:$A,0))&amp;""=$T17&amp;""),"OK","Abweichung – Ansicht neu erzeugen"))</f>
        <v>OK</v>
      </c>
    </row>
    <row r="18" spans="1:50" ht="42.95" customHeight="1">
      <c r="A18" s="12" t="s">
        <v>497</v>
      </c>
      <c r="B18" s="8" t="s">
        <v>47</v>
      </c>
      <c r="C18" s="12" t="s">
        <v>46</v>
      </c>
      <c r="D18" s="12" t="s">
        <v>440</v>
      </c>
      <c r="E18" s="12" t="s">
        <v>91</v>
      </c>
      <c r="F18" s="12" t="s">
        <v>172</v>
      </c>
      <c r="G18" s="12" t="s">
        <v>189</v>
      </c>
      <c r="H18" s="12" t="s">
        <v>498</v>
      </c>
      <c r="I18" s="12" t="s">
        <v>323</v>
      </c>
      <c r="J18" s="12" t="s">
        <v>160</v>
      </c>
      <c r="K18" s="12" t="s">
        <v>309</v>
      </c>
      <c r="L18" s="12" t="s">
        <v>443</v>
      </c>
      <c r="M18" s="13" t="s">
        <v>499</v>
      </c>
      <c r="N18" s="12" t="s">
        <v>500</v>
      </c>
      <c r="O18" s="12" t="s">
        <v>100</v>
      </c>
      <c r="P18" s="12" t="s">
        <v>501</v>
      </c>
      <c r="Q18" s="12"/>
      <c r="R18" s="12"/>
      <c r="S18" s="12" t="s">
        <v>182</v>
      </c>
      <c r="T18" s="12" t="s">
        <v>105</v>
      </c>
      <c r="U18" s="12" t="s">
        <v>106</v>
      </c>
      <c r="V18" s="12"/>
      <c r="W18" s="12" t="s">
        <v>183</v>
      </c>
      <c r="X18" s="12"/>
      <c r="Y18" s="12" t="s">
        <v>109</v>
      </c>
      <c r="Z18" s="12" t="s">
        <v>167</v>
      </c>
      <c r="AA18" s="12" t="s">
        <v>212</v>
      </c>
      <c r="AB18" s="12"/>
      <c r="AC18" s="12"/>
      <c r="AD18" s="12" t="s">
        <v>112</v>
      </c>
      <c r="AE18" s="12" t="s">
        <v>113</v>
      </c>
      <c r="AF18" s="12"/>
      <c r="AG18" s="12" t="s">
        <v>114</v>
      </c>
      <c r="AH18" s="12" t="s">
        <v>115</v>
      </c>
      <c r="AI18" s="12" t="s">
        <v>502</v>
      </c>
      <c r="AJ18" s="12" t="s">
        <v>503</v>
      </c>
      <c r="AK18" s="12" t="s">
        <v>504</v>
      </c>
      <c r="AL18" s="12" t="s">
        <v>318</v>
      </c>
      <c r="AM18" s="12" t="s">
        <v>153</v>
      </c>
      <c r="AN18" s="12" t="s">
        <v>121</v>
      </c>
      <c r="AO18" s="12" t="s">
        <v>500</v>
      </c>
      <c r="AP18" s="12" t="s">
        <v>122</v>
      </c>
      <c r="AQ18" s="12" t="s">
        <v>123</v>
      </c>
      <c r="AR18" s="12" t="s">
        <v>124</v>
      </c>
      <c r="AS18" s="12" t="s">
        <v>443</v>
      </c>
      <c r="AT18" s="12" t="s">
        <v>125</v>
      </c>
      <c r="AU18" s="12"/>
      <c r="AV18" s="12"/>
      <c r="AW18" s="12" t="s">
        <v>155</v>
      </c>
      <c r="AX18" s="12" t="str">
        <f>IF(ISNA(MATCH($A18,Gesamtübersicht!$A:$A,0)),"ID fehlt in Gesamtübersicht",IF(AND(INDEX(Gesamtübersicht!$H:$H,MATCH($A18,Gesamtübersicht!$A:$A,0))&amp;""=$H18&amp;"",INDEX(Gesamtübersicht!$M:$M,MATCH($A18,Gesamtübersicht!$A:$A,0))&amp;""=$M18&amp;"",INDEX(Gesamtübersicht!$AD:$AD,MATCH($A18,Gesamtübersicht!$A:$A,0))&amp;""=$AD18&amp;"",INDEX(Gesamtübersicht!$AH:$AH,MATCH($A18,Gesamtübersicht!$A:$A,0))&amp;""=$AH18&amp;"",INDEX(Gesamtübersicht!$T:$T,MATCH($A18,Gesamtübersicht!$A:$A,0))&amp;""=$T18&amp;""),"OK","Abweichung – Ansicht neu erzeugen"))</f>
        <v>OK</v>
      </c>
    </row>
    <row r="19" spans="1:50" ht="42.95" customHeight="1">
      <c r="A19" s="2" t="s">
        <v>505</v>
      </c>
      <c r="B19" s="8" t="s">
        <v>47</v>
      </c>
      <c r="C19" s="2" t="s">
        <v>46</v>
      </c>
      <c r="D19" s="2" t="s">
        <v>440</v>
      </c>
      <c r="E19" s="2" t="s">
        <v>91</v>
      </c>
      <c r="F19" s="2" t="s">
        <v>199</v>
      </c>
      <c r="G19" s="2" t="s">
        <v>376</v>
      </c>
      <c r="H19" s="2" t="s">
        <v>506</v>
      </c>
      <c r="I19" s="2" t="s">
        <v>323</v>
      </c>
      <c r="J19" s="2" t="s">
        <v>96</v>
      </c>
      <c r="K19" s="2" t="s">
        <v>378</v>
      </c>
      <c r="L19" s="2" t="s">
        <v>443</v>
      </c>
      <c r="M19" s="3" t="s">
        <v>507</v>
      </c>
      <c r="N19" s="2" t="s">
        <v>508</v>
      </c>
      <c r="O19" s="2" t="s">
        <v>100</v>
      </c>
      <c r="P19" s="2" t="s">
        <v>509</v>
      </c>
      <c r="Q19" s="2" t="s">
        <v>510</v>
      </c>
      <c r="R19" s="2" t="s">
        <v>511</v>
      </c>
      <c r="S19" s="2" t="s">
        <v>384</v>
      </c>
      <c r="T19" s="2" t="s">
        <v>105</v>
      </c>
      <c r="U19" s="2" t="s">
        <v>166</v>
      </c>
      <c r="V19" s="2" t="s">
        <v>261</v>
      </c>
      <c r="W19" s="2" t="s">
        <v>512</v>
      </c>
      <c r="X19" s="2" t="s">
        <v>513</v>
      </c>
      <c r="Y19" s="2" t="s">
        <v>109</v>
      </c>
      <c r="Z19" s="2" t="s">
        <v>167</v>
      </c>
      <c r="AA19" s="2"/>
      <c r="AB19" s="2"/>
      <c r="AC19" s="2"/>
      <c r="AD19" s="2" t="s">
        <v>112</v>
      </c>
      <c r="AE19" s="2" t="s">
        <v>113</v>
      </c>
      <c r="AF19" s="2"/>
      <c r="AG19" s="2" t="s">
        <v>114</v>
      </c>
      <c r="AH19" s="2" t="s">
        <v>115</v>
      </c>
      <c r="AI19" s="2" t="s">
        <v>514</v>
      </c>
      <c r="AJ19" s="2" t="s">
        <v>515</v>
      </c>
      <c r="AK19" s="2" t="s">
        <v>516</v>
      </c>
      <c r="AL19" s="2" t="s">
        <v>318</v>
      </c>
      <c r="AM19" s="2" t="s">
        <v>120</v>
      </c>
      <c r="AN19" s="2" t="s">
        <v>121</v>
      </c>
      <c r="AO19" s="2" t="s">
        <v>508</v>
      </c>
      <c r="AP19" s="2" t="s">
        <v>122</v>
      </c>
      <c r="AQ19" s="2" t="s">
        <v>123</v>
      </c>
      <c r="AR19" s="2" t="s">
        <v>124</v>
      </c>
      <c r="AS19" s="2" t="s">
        <v>443</v>
      </c>
      <c r="AT19" s="2" t="s">
        <v>125</v>
      </c>
      <c r="AU19" s="2"/>
      <c r="AV19" s="2"/>
      <c r="AW19" s="2" t="s">
        <v>517</v>
      </c>
      <c r="AX19" s="2" t="str">
        <f>IF(ISNA(MATCH($A19,Gesamtübersicht!$A:$A,0)),"ID fehlt in Gesamtübersicht",IF(AND(INDEX(Gesamtübersicht!$H:$H,MATCH($A19,Gesamtübersicht!$A:$A,0))&amp;""=$H19&amp;"",INDEX(Gesamtübersicht!$M:$M,MATCH($A19,Gesamtübersicht!$A:$A,0))&amp;""=$M19&amp;"",INDEX(Gesamtübersicht!$AD:$AD,MATCH($A19,Gesamtübersicht!$A:$A,0))&amp;""=$AD19&amp;"",INDEX(Gesamtübersicht!$AH:$AH,MATCH($A19,Gesamtübersicht!$A:$A,0))&amp;""=$AH19&amp;"",INDEX(Gesamtübersicht!$T:$T,MATCH($A19,Gesamtübersicht!$A:$A,0))&amp;""=$T19&amp;""),"OK","Abweichung – Ansicht neu erzeugen"))</f>
        <v>OK</v>
      </c>
    </row>
    <row r="20" spans="1:50" ht="42.95" customHeight="1">
      <c r="A20" s="12" t="s">
        <v>518</v>
      </c>
      <c r="B20" s="8" t="s">
        <v>47</v>
      </c>
      <c r="C20" s="12" t="s">
        <v>46</v>
      </c>
      <c r="D20" s="12" t="s">
        <v>440</v>
      </c>
      <c r="E20" s="12" t="s">
        <v>91</v>
      </c>
      <c r="F20" s="12" t="s">
        <v>199</v>
      </c>
      <c r="G20" s="12" t="s">
        <v>519</v>
      </c>
      <c r="H20" s="12" t="s">
        <v>520</v>
      </c>
      <c r="I20" s="12" t="s">
        <v>521</v>
      </c>
      <c r="J20" s="12" t="s">
        <v>142</v>
      </c>
      <c r="K20" s="12" t="s">
        <v>368</v>
      </c>
      <c r="L20" s="12" t="s">
        <v>522</v>
      </c>
      <c r="M20" s="13" t="s">
        <v>523</v>
      </c>
      <c r="N20" s="12"/>
      <c r="O20" s="12" t="s">
        <v>100</v>
      </c>
      <c r="P20" s="12" t="s">
        <v>524</v>
      </c>
      <c r="Q20" s="12"/>
      <c r="R20" s="12"/>
      <c r="S20" s="12" t="s">
        <v>182</v>
      </c>
      <c r="T20" s="12" t="s">
        <v>105</v>
      </c>
      <c r="U20" s="12" t="s">
        <v>166</v>
      </c>
      <c r="V20" s="12"/>
      <c r="W20" s="12"/>
      <c r="X20" s="12"/>
      <c r="Y20" s="12" t="s">
        <v>109</v>
      </c>
      <c r="Z20" s="12" t="s">
        <v>167</v>
      </c>
      <c r="AA20" s="12"/>
      <c r="AB20" s="12"/>
      <c r="AC20" s="12"/>
      <c r="AD20" s="12" t="s">
        <v>459</v>
      </c>
      <c r="AE20" s="12" t="s">
        <v>460</v>
      </c>
      <c r="AF20" s="12"/>
      <c r="AG20" s="12"/>
      <c r="AH20" s="12" t="s">
        <v>461</v>
      </c>
      <c r="AI20" s="12" t="s">
        <v>462</v>
      </c>
      <c r="AJ20" s="12"/>
      <c r="AK20" s="12"/>
      <c r="AL20" s="12" t="s">
        <v>119</v>
      </c>
      <c r="AM20" s="12" t="s">
        <v>153</v>
      </c>
      <c r="AN20" s="12" t="s">
        <v>463</v>
      </c>
      <c r="AO20" s="12"/>
      <c r="AP20" s="12" t="s">
        <v>122</v>
      </c>
      <c r="AQ20" s="12" t="s">
        <v>123</v>
      </c>
      <c r="AR20" s="12" t="s">
        <v>124</v>
      </c>
      <c r="AS20" s="12" t="s">
        <v>522</v>
      </c>
      <c r="AT20" s="12" t="s">
        <v>461</v>
      </c>
      <c r="AU20" s="12" t="s">
        <v>464</v>
      </c>
      <c r="AV20" s="12"/>
      <c r="AW20" s="12" t="s">
        <v>155</v>
      </c>
      <c r="AX20" s="12" t="str">
        <f>IF(ISNA(MATCH($A20,Gesamtübersicht!$A:$A,0)),"ID fehlt in Gesamtübersicht",IF(AND(INDEX(Gesamtübersicht!$H:$H,MATCH($A20,Gesamtübersicht!$A:$A,0))&amp;""=$H20&amp;"",INDEX(Gesamtübersicht!$M:$M,MATCH($A20,Gesamtübersicht!$A:$A,0))&amp;""=$M20&amp;"",INDEX(Gesamtübersicht!$AD:$AD,MATCH($A20,Gesamtübersicht!$A:$A,0))&amp;""=$AD20&amp;"",INDEX(Gesamtübersicht!$AH:$AH,MATCH($A20,Gesamtübersicht!$A:$A,0))&amp;""=$AH20&amp;"",INDEX(Gesamtübersicht!$T:$T,MATCH($A20,Gesamtübersicht!$A:$A,0))&amp;""=$T20&amp;""),"OK","Abweichung – Ansicht neu erzeugen"))</f>
        <v>OK</v>
      </c>
    </row>
    <row r="21" spans="1:50" ht="42.95" customHeight="1">
      <c r="A21" s="2" t="s">
        <v>525</v>
      </c>
      <c r="B21" s="8" t="s">
        <v>47</v>
      </c>
      <c r="C21" s="2" t="s">
        <v>46</v>
      </c>
      <c r="D21" s="2" t="s">
        <v>440</v>
      </c>
      <c r="E21" s="2" t="s">
        <v>91</v>
      </c>
      <c r="F21" s="2" t="s">
        <v>217</v>
      </c>
      <c r="G21" s="2" t="s">
        <v>402</v>
      </c>
      <c r="H21" s="2" t="s">
        <v>526</v>
      </c>
      <c r="I21" s="2" t="s">
        <v>527</v>
      </c>
      <c r="J21" s="2" t="s">
        <v>96</v>
      </c>
      <c r="K21" s="2" t="s">
        <v>97</v>
      </c>
      <c r="L21" s="2" t="s">
        <v>443</v>
      </c>
      <c r="M21" s="3" t="s">
        <v>528</v>
      </c>
      <c r="N21" s="2" t="s">
        <v>99</v>
      </c>
      <c r="O21" s="2" t="s">
        <v>100</v>
      </c>
      <c r="P21" s="2" t="s">
        <v>529</v>
      </c>
      <c r="Q21" s="2" t="s">
        <v>530</v>
      </c>
      <c r="R21" s="2" t="s">
        <v>531</v>
      </c>
      <c r="S21" s="2" t="s">
        <v>384</v>
      </c>
      <c r="T21" s="2" t="s">
        <v>105</v>
      </c>
      <c r="U21" s="2" t="s">
        <v>166</v>
      </c>
      <c r="V21" s="2" t="s">
        <v>261</v>
      </c>
      <c r="W21" s="2" t="s">
        <v>532</v>
      </c>
      <c r="X21" s="2" t="s">
        <v>533</v>
      </c>
      <c r="Y21" s="2" t="s">
        <v>109</v>
      </c>
      <c r="Z21" s="2" t="s">
        <v>263</v>
      </c>
      <c r="AA21" s="2"/>
      <c r="AB21" s="2"/>
      <c r="AC21" s="2"/>
      <c r="AD21" s="2" t="s">
        <v>459</v>
      </c>
      <c r="AE21" s="2" t="s">
        <v>460</v>
      </c>
      <c r="AF21" s="2"/>
      <c r="AG21" s="2"/>
      <c r="AH21" s="2" t="s">
        <v>461</v>
      </c>
      <c r="AI21" s="2" t="s">
        <v>462</v>
      </c>
      <c r="AJ21" s="2"/>
      <c r="AK21" s="2"/>
      <c r="AL21" s="2" t="s">
        <v>119</v>
      </c>
      <c r="AM21" s="2" t="s">
        <v>120</v>
      </c>
      <c r="AN21" s="2" t="s">
        <v>463</v>
      </c>
      <c r="AO21" s="2" t="s">
        <v>99</v>
      </c>
      <c r="AP21" s="2" t="s">
        <v>122</v>
      </c>
      <c r="AQ21" s="2" t="s">
        <v>123</v>
      </c>
      <c r="AR21" s="2" t="s">
        <v>124</v>
      </c>
      <c r="AS21" s="2" t="s">
        <v>443</v>
      </c>
      <c r="AT21" s="2" t="s">
        <v>461</v>
      </c>
      <c r="AU21" s="2" t="s">
        <v>464</v>
      </c>
      <c r="AV21" s="2"/>
      <c r="AW21" s="2"/>
      <c r="AX21" s="2" t="str">
        <f>IF(ISNA(MATCH($A21,Gesamtübersicht!$A:$A,0)),"ID fehlt in Gesamtübersicht",IF(AND(INDEX(Gesamtübersicht!$H:$H,MATCH($A21,Gesamtübersicht!$A:$A,0))&amp;""=$H21&amp;"",INDEX(Gesamtübersicht!$M:$M,MATCH($A21,Gesamtübersicht!$A:$A,0))&amp;""=$M21&amp;"",INDEX(Gesamtübersicht!$AD:$AD,MATCH($A21,Gesamtübersicht!$A:$A,0))&amp;""=$AD21&amp;"",INDEX(Gesamtübersicht!$AH:$AH,MATCH($A21,Gesamtübersicht!$A:$A,0))&amp;""=$AH21&amp;"",INDEX(Gesamtübersicht!$T:$T,MATCH($A21,Gesamtübersicht!$A:$A,0))&amp;""=$T21&amp;""),"OK","Abweichung – Ansicht neu erzeugen"))</f>
        <v>OK</v>
      </c>
    </row>
    <row r="22" spans="1:50" ht="42.95" customHeight="1">
      <c r="A22" s="12" t="s">
        <v>534</v>
      </c>
      <c r="B22" s="8" t="s">
        <v>47</v>
      </c>
      <c r="C22" s="12" t="s">
        <v>46</v>
      </c>
      <c r="D22" s="12" t="s">
        <v>440</v>
      </c>
      <c r="E22" s="12" t="s">
        <v>91</v>
      </c>
      <c r="F22" s="12" t="s">
        <v>217</v>
      </c>
      <c r="G22" s="12" t="s">
        <v>417</v>
      </c>
      <c r="H22" s="12" t="s">
        <v>535</v>
      </c>
      <c r="I22" s="12" t="s">
        <v>536</v>
      </c>
      <c r="J22" s="12" t="s">
        <v>160</v>
      </c>
      <c r="K22" s="12" t="s">
        <v>309</v>
      </c>
      <c r="L22" s="12" t="s">
        <v>443</v>
      </c>
      <c r="M22" s="13" t="s">
        <v>537</v>
      </c>
      <c r="N22" s="12"/>
      <c r="O22" s="12" t="s">
        <v>100</v>
      </c>
      <c r="P22" s="12" t="s">
        <v>538</v>
      </c>
      <c r="Q22" s="12"/>
      <c r="R22" s="12"/>
      <c r="S22" s="12" t="s">
        <v>182</v>
      </c>
      <c r="T22" s="12" t="s">
        <v>105</v>
      </c>
      <c r="U22" s="12" t="s">
        <v>106</v>
      </c>
      <c r="V22" s="12"/>
      <c r="W22" s="12"/>
      <c r="X22" s="12"/>
      <c r="Y22" s="12" t="s">
        <v>109</v>
      </c>
      <c r="Z22" s="12" t="s">
        <v>328</v>
      </c>
      <c r="AA22" s="12"/>
      <c r="AB22" s="12"/>
      <c r="AC22" s="12"/>
      <c r="AD22" s="12" t="s">
        <v>112</v>
      </c>
      <c r="AE22" s="12" t="s">
        <v>113</v>
      </c>
      <c r="AF22" s="12"/>
      <c r="AG22" s="12" t="s">
        <v>114</v>
      </c>
      <c r="AH22" s="12" t="s">
        <v>115</v>
      </c>
      <c r="AI22" s="12" t="s">
        <v>539</v>
      </c>
      <c r="AJ22" s="12" t="s">
        <v>540</v>
      </c>
      <c r="AK22" s="12" t="s">
        <v>541</v>
      </c>
      <c r="AL22" s="12" t="s">
        <v>318</v>
      </c>
      <c r="AM22" s="12" t="s">
        <v>153</v>
      </c>
      <c r="AN22" s="12" t="s">
        <v>121</v>
      </c>
      <c r="AO22" s="12"/>
      <c r="AP22" s="12" t="s">
        <v>122</v>
      </c>
      <c r="AQ22" s="12" t="s">
        <v>123</v>
      </c>
      <c r="AR22" s="12" t="s">
        <v>124</v>
      </c>
      <c r="AS22" s="12" t="s">
        <v>443</v>
      </c>
      <c r="AT22" s="12" t="s">
        <v>125</v>
      </c>
      <c r="AU22" s="12"/>
      <c r="AV22" s="12"/>
      <c r="AW22" s="12" t="s">
        <v>155</v>
      </c>
      <c r="AX22" s="12" t="str">
        <f>IF(ISNA(MATCH($A22,Gesamtübersicht!$A:$A,0)),"ID fehlt in Gesamtübersicht",IF(AND(INDEX(Gesamtübersicht!$H:$H,MATCH($A22,Gesamtübersicht!$A:$A,0))&amp;""=$H22&amp;"",INDEX(Gesamtübersicht!$M:$M,MATCH($A22,Gesamtübersicht!$A:$A,0))&amp;""=$M22&amp;"",INDEX(Gesamtübersicht!$AD:$AD,MATCH($A22,Gesamtübersicht!$A:$A,0))&amp;""=$AD22&amp;"",INDEX(Gesamtübersicht!$AH:$AH,MATCH($A22,Gesamtübersicht!$A:$A,0))&amp;""=$AH22&amp;"",INDEX(Gesamtübersicht!$T:$T,MATCH($A22,Gesamtübersicht!$A:$A,0))&amp;""=$T22&amp;""),"OK","Abweichung – Ansicht neu erzeugen"))</f>
        <v>OK</v>
      </c>
    </row>
    <row r="23" spans="1:50" ht="42.95" customHeight="1">
      <c r="A23" s="2" t="s">
        <v>542</v>
      </c>
      <c r="B23" s="8" t="s">
        <v>47</v>
      </c>
      <c r="C23" s="2" t="s">
        <v>46</v>
      </c>
      <c r="D23" s="2" t="s">
        <v>440</v>
      </c>
      <c r="E23" s="2" t="s">
        <v>91</v>
      </c>
      <c r="F23" s="2" t="s">
        <v>212</v>
      </c>
      <c r="G23" s="2" t="s">
        <v>543</v>
      </c>
      <c r="H23" s="2" t="s">
        <v>544</v>
      </c>
      <c r="I23" s="2" t="s">
        <v>323</v>
      </c>
      <c r="J23" s="2" t="s">
        <v>96</v>
      </c>
      <c r="K23" s="2" t="s">
        <v>378</v>
      </c>
      <c r="L23" s="2" t="s">
        <v>443</v>
      </c>
      <c r="M23" s="3" t="s">
        <v>545</v>
      </c>
      <c r="N23" s="2" t="s">
        <v>546</v>
      </c>
      <c r="O23" s="2" t="s">
        <v>100</v>
      </c>
      <c r="P23" s="2" t="s">
        <v>547</v>
      </c>
      <c r="Q23" s="2" t="s">
        <v>548</v>
      </c>
      <c r="R23" s="2" t="s">
        <v>549</v>
      </c>
      <c r="S23" s="2" t="s">
        <v>384</v>
      </c>
      <c r="T23" s="2" t="s">
        <v>105</v>
      </c>
      <c r="U23" s="2" t="s">
        <v>166</v>
      </c>
      <c r="V23" s="2" t="s">
        <v>261</v>
      </c>
      <c r="W23" s="2" t="s">
        <v>199</v>
      </c>
      <c r="X23" s="2" t="s">
        <v>248</v>
      </c>
      <c r="Y23" s="2" t="s">
        <v>109</v>
      </c>
      <c r="Z23" s="2" t="s">
        <v>328</v>
      </c>
      <c r="AA23" s="2"/>
      <c r="AB23" s="2"/>
      <c r="AC23" s="2"/>
      <c r="AD23" s="2" t="s">
        <v>112</v>
      </c>
      <c r="AE23" s="2" t="s">
        <v>113</v>
      </c>
      <c r="AF23" s="2"/>
      <c r="AG23" s="2" t="s">
        <v>114</v>
      </c>
      <c r="AH23" s="2" t="s">
        <v>115</v>
      </c>
      <c r="AI23" s="2" t="s">
        <v>550</v>
      </c>
      <c r="AJ23" s="2" t="s">
        <v>551</v>
      </c>
      <c r="AK23" s="2" t="s">
        <v>552</v>
      </c>
      <c r="AL23" s="2" t="s">
        <v>318</v>
      </c>
      <c r="AM23" s="2" t="s">
        <v>120</v>
      </c>
      <c r="AN23" s="2" t="s">
        <v>121</v>
      </c>
      <c r="AO23" s="2" t="s">
        <v>546</v>
      </c>
      <c r="AP23" s="2" t="s">
        <v>122</v>
      </c>
      <c r="AQ23" s="2" t="s">
        <v>123</v>
      </c>
      <c r="AR23" s="2" t="s">
        <v>124</v>
      </c>
      <c r="AS23" s="2" t="s">
        <v>443</v>
      </c>
      <c r="AT23" s="2" t="s">
        <v>125</v>
      </c>
      <c r="AU23" s="2"/>
      <c r="AV23" s="2"/>
      <c r="AW23" s="2" t="s">
        <v>553</v>
      </c>
      <c r="AX23" s="2" t="str">
        <f>IF(ISNA(MATCH($A23,Gesamtübersicht!$A:$A,0)),"ID fehlt in Gesamtübersicht",IF(AND(INDEX(Gesamtübersicht!$H:$H,MATCH($A23,Gesamtübersicht!$A:$A,0))&amp;""=$H23&amp;"",INDEX(Gesamtübersicht!$M:$M,MATCH($A23,Gesamtübersicht!$A:$A,0))&amp;""=$M23&amp;"",INDEX(Gesamtübersicht!$AD:$AD,MATCH($A23,Gesamtübersicht!$A:$A,0))&amp;""=$AD23&amp;"",INDEX(Gesamtübersicht!$AH:$AH,MATCH($A23,Gesamtübersicht!$A:$A,0))&amp;""=$AH23&amp;"",INDEX(Gesamtübersicht!$T:$T,MATCH($A23,Gesamtübersicht!$A:$A,0))&amp;""=$T23&amp;""),"OK","Abweichung – Ansicht neu erzeugen"))</f>
        <v>OK</v>
      </c>
    </row>
    <row r="24" spans="1:50" ht="42.95" customHeight="1">
      <c r="A24" s="12" t="s">
        <v>857</v>
      </c>
      <c r="B24" s="9" t="s">
        <v>48</v>
      </c>
      <c r="C24" s="12" t="s">
        <v>46</v>
      </c>
      <c r="D24" s="12" t="s">
        <v>440</v>
      </c>
      <c r="E24" s="12" t="s">
        <v>42</v>
      </c>
      <c r="F24" s="12" t="s">
        <v>92</v>
      </c>
      <c r="G24" s="12" t="s">
        <v>858</v>
      </c>
      <c r="H24" s="12" t="s">
        <v>859</v>
      </c>
      <c r="I24" s="12" t="s">
        <v>860</v>
      </c>
      <c r="J24" s="12" t="s">
        <v>96</v>
      </c>
      <c r="K24" s="12" t="s">
        <v>97</v>
      </c>
      <c r="L24" s="12" t="s">
        <v>861</v>
      </c>
      <c r="M24" s="13" t="s">
        <v>862</v>
      </c>
      <c r="N24" s="12" t="s">
        <v>99</v>
      </c>
      <c r="O24" s="12" t="s">
        <v>100</v>
      </c>
      <c r="P24" s="12" t="s">
        <v>863</v>
      </c>
      <c r="Q24" s="12" t="s">
        <v>864</v>
      </c>
      <c r="R24" s="12" t="s">
        <v>865</v>
      </c>
      <c r="S24" s="12" t="s">
        <v>134</v>
      </c>
      <c r="T24" s="12" t="s">
        <v>105</v>
      </c>
      <c r="U24" s="12" t="s">
        <v>166</v>
      </c>
      <c r="V24" s="12" t="s">
        <v>650</v>
      </c>
      <c r="W24" s="12" t="s">
        <v>135</v>
      </c>
      <c r="X24" s="12" t="s">
        <v>866</v>
      </c>
      <c r="Y24" s="12" t="s">
        <v>109</v>
      </c>
      <c r="Z24" s="12" t="s">
        <v>263</v>
      </c>
      <c r="AA24" s="12"/>
      <c r="AB24" s="12"/>
      <c r="AC24" s="12"/>
      <c r="AD24" s="12" t="s">
        <v>112</v>
      </c>
      <c r="AE24" s="12" t="s">
        <v>113</v>
      </c>
      <c r="AF24" s="12"/>
      <c r="AG24" s="12" t="s">
        <v>114</v>
      </c>
      <c r="AH24" s="12" t="s">
        <v>115</v>
      </c>
      <c r="AI24" s="12" t="s">
        <v>867</v>
      </c>
      <c r="AJ24" s="12" t="s">
        <v>868</v>
      </c>
      <c r="AK24" s="12" t="s">
        <v>869</v>
      </c>
      <c r="AL24" s="12" t="s">
        <v>267</v>
      </c>
      <c r="AM24" s="12" t="s">
        <v>120</v>
      </c>
      <c r="AN24" s="12" t="s">
        <v>121</v>
      </c>
      <c r="AO24" s="12" t="s">
        <v>99</v>
      </c>
      <c r="AP24" s="12" t="s">
        <v>122</v>
      </c>
      <c r="AQ24" s="12" t="s">
        <v>123</v>
      </c>
      <c r="AR24" s="12" t="s">
        <v>124</v>
      </c>
      <c r="AS24" s="12" t="s">
        <v>870</v>
      </c>
      <c r="AT24" s="12" t="s">
        <v>125</v>
      </c>
      <c r="AU24" s="12"/>
      <c r="AV24" s="12"/>
      <c r="AW24" s="12"/>
      <c r="AX24" s="12" t="str">
        <f>IF(ISNA(MATCH($A24,Gesamtübersicht!$A:$A,0)),"ID fehlt in Gesamtübersicht",IF(AND(INDEX(Gesamtübersicht!$H:$H,MATCH($A24,Gesamtübersicht!$A:$A,0))&amp;""=$H24&amp;"",INDEX(Gesamtübersicht!$M:$M,MATCH($A24,Gesamtübersicht!$A:$A,0))&amp;""=$M24&amp;"",INDEX(Gesamtübersicht!$AD:$AD,MATCH($A24,Gesamtübersicht!$A:$A,0))&amp;""=$AD24&amp;"",INDEX(Gesamtübersicht!$AH:$AH,MATCH($A24,Gesamtübersicht!$A:$A,0))&amp;""=$AH24&amp;"",INDEX(Gesamtübersicht!$T:$T,MATCH($A24,Gesamtübersicht!$A:$A,0))&amp;""=$T24&amp;""),"OK","Abweichung – Ansicht neu erzeugen"))</f>
        <v>OK</v>
      </c>
    </row>
    <row r="25" spans="1:50" ht="42.95" customHeight="1">
      <c r="A25" s="2" t="s">
        <v>871</v>
      </c>
      <c r="B25" s="9" t="s">
        <v>48</v>
      </c>
      <c r="C25" s="2" t="s">
        <v>46</v>
      </c>
      <c r="D25" s="2" t="s">
        <v>440</v>
      </c>
      <c r="E25" s="2" t="s">
        <v>42</v>
      </c>
      <c r="F25" s="2" t="s">
        <v>92</v>
      </c>
      <c r="G25" s="2" t="s">
        <v>672</v>
      </c>
      <c r="H25" s="2" t="s">
        <v>872</v>
      </c>
      <c r="I25" s="2" t="s">
        <v>672</v>
      </c>
      <c r="J25" s="2" t="s">
        <v>873</v>
      </c>
      <c r="K25" s="2" t="s">
        <v>874</v>
      </c>
      <c r="L25" s="2" t="s">
        <v>861</v>
      </c>
      <c r="M25" s="3" t="s">
        <v>875</v>
      </c>
      <c r="N25" s="2" t="s">
        <v>337</v>
      </c>
      <c r="O25" s="2" t="s">
        <v>100</v>
      </c>
      <c r="P25" s="2" t="s">
        <v>876</v>
      </c>
      <c r="Q25" s="2" t="s">
        <v>877</v>
      </c>
      <c r="R25" s="2" t="s">
        <v>878</v>
      </c>
      <c r="S25" s="2" t="s">
        <v>134</v>
      </c>
      <c r="T25" s="2" t="s">
        <v>105</v>
      </c>
      <c r="U25" s="2" t="s">
        <v>166</v>
      </c>
      <c r="V25" s="2" t="s">
        <v>709</v>
      </c>
      <c r="W25" s="2" t="s">
        <v>92</v>
      </c>
      <c r="X25" s="2" t="s">
        <v>262</v>
      </c>
      <c r="Y25" s="2" t="s">
        <v>109</v>
      </c>
      <c r="Z25" s="2" t="s">
        <v>263</v>
      </c>
      <c r="AA25" s="2"/>
      <c r="AB25" s="2"/>
      <c r="AC25" s="2"/>
      <c r="AD25" s="2" t="s">
        <v>112</v>
      </c>
      <c r="AE25" s="2" t="s">
        <v>113</v>
      </c>
      <c r="AF25" s="2"/>
      <c r="AG25" s="2" t="s">
        <v>114</v>
      </c>
      <c r="AH25" s="2" t="s">
        <v>115</v>
      </c>
      <c r="AI25" s="2" t="s">
        <v>879</v>
      </c>
      <c r="AJ25" s="2" t="s">
        <v>880</v>
      </c>
      <c r="AK25" s="2" t="s">
        <v>881</v>
      </c>
      <c r="AL25" s="2" t="s">
        <v>267</v>
      </c>
      <c r="AM25" s="2" t="s">
        <v>120</v>
      </c>
      <c r="AN25" s="2" t="s">
        <v>121</v>
      </c>
      <c r="AO25" s="2" t="s">
        <v>337</v>
      </c>
      <c r="AP25" s="2" t="s">
        <v>122</v>
      </c>
      <c r="AQ25" s="2" t="s">
        <v>123</v>
      </c>
      <c r="AR25" s="2" t="s">
        <v>124</v>
      </c>
      <c r="AS25" s="2" t="s">
        <v>870</v>
      </c>
      <c r="AT25" s="2" t="s">
        <v>125</v>
      </c>
      <c r="AU25" s="2"/>
      <c r="AV25" s="2"/>
      <c r="AW25" s="2" t="s">
        <v>882</v>
      </c>
      <c r="AX25" s="2" t="str">
        <f>IF(ISNA(MATCH($A25,Gesamtübersicht!$A:$A,0)),"ID fehlt in Gesamtübersicht",IF(AND(INDEX(Gesamtübersicht!$H:$H,MATCH($A25,Gesamtübersicht!$A:$A,0))&amp;""=$H25&amp;"",INDEX(Gesamtübersicht!$M:$M,MATCH($A25,Gesamtübersicht!$A:$A,0))&amp;""=$M25&amp;"",INDEX(Gesamtübersicht!$AD:$AD,MATCH($A25,Gesamtübersicht!$A:$A,0))&amp;""=$AD25&amp;"",INDEX(Gesamtübersicht!$AH:$AH,MATCH($A25,Gesamtübersicht!$A:$A,0))&amp;""=$AH25&amp;"",INDEX(Gesamtübersicht!$T:$T,MATCH($A25,Gesamtübersicht!$A:$A,0))&amp;""=$T25&amp;""),"OK","Abweichung – Ansicht neu erzeugen"))</f>
        <v>OK</v>
      </c>
    </row>
    <row r="26" spans="1:50" ht="42.95" customHeight="1">
      <c r="A26" s="12" t="s">
        <v>883</v>
      </c>
      <c r="B26" s="9" t="s">
        <v>48</v>
      </c>
      <c r="C26" s="12" t="s">
        <v>46</v>
      </c>
      <c r="D26" s="12" t="s">
        <v>440</v>
      </c>
      <c r="E26" s="12" t="s">
        <v>42</v>
      </c>
      <c r="F26" s="12" t="s">
        <v>92</v>
      </c>
      <c r="G26" s="12" t="s">
        <v>672</v>
      </c>
      <c r="H26" s="12" t="s">
        <v>884</v>
      </c>
      <c r="I26" s="12" t="s">
        <v>672</v>
      </c>
      <c r="J26" s="12" t="s">
        <v>873</v>
      </c>
      <c r="K26" s="12" t="s">
        <v>686</v>
      </c>
      <c r="L26" s="12" t="s">
        <v>861</v>
      </c>
      <c r="M26" s="13" t="s">
        <v>885</v>
      </c>
      <c r="N26" s="12" t="s">
        <v>676</v>
      </c>
      <c r="O26" s="12" t="s">
        <v>100</v>
      </c>
      <c r="P26" s="12" t="s">
        <v>886</v>
      </c>
      <c r="Q26" s="12"/>
      <c r="R26" s="12"/>
      <c r="S26" s="12" t="s">
        <v>134</v>
      </c>
      <c r="T26" s="12" t="s">
        <v>105</v>
      </c>
      <c r="U26" s="12" t="s">
        <v>166</v>
      </c>
      <c r="V26" s="12"/>
      <c r="W26" s="12"/>
      <c r="X26" s="12"/>
      <c r="Y26" s="12" t="s">
        <v>109</v>
      </c>
      <c r="Z26" s="12" t="s">
        <v>167</v>
      </c>
      <c r="AA26" s="12"/>
      <c r="AB26" s="12"/>
      <c r="AC26" s="12"/>
      <c r="AD26" s="12" t="s">
        <v>112</v>
      </c>
      <c r="AE26" s="12" t="s">
        <v>113</v>
      </c>
      <c r="AF26" s="12"/>
      <c r="AG26" s="12" t="s">
        <v>114</v>
      </c>
      <c r="AH26" s="12" t="s">
        <v>115</v>
      </c>
      <c r="AI26" s="12" t="s">
        <v>887</v>
      </c>
      <c r="AJ26" s="12" t="s">
        <v>888</v>
      </c>
      <c r="AK26" s="12" t="s">
        <v>828</v>
      </c>
      <c r="AL26" s="12" t="s">
        <v>267</v>
      </c>
      <c r="AM26" s="12" t="s">
        <v>682</v>
      </c>
      <c r="AN26" s="12" t="s">
        <v>121</v>
      </c>
      <c r="AO26" s="12" t="s">
        <v>676</v>
      </c>
      <c r="AP26" s="12" t="s">
        <v>122</v>
      </c>
      <c r="AQ26" s="12" t="s">
        <v>123</v>
      </c>
      <c r="AR26" s="12" t="s">
        <v>124</v>
      </c>
      <c r="AS26" s="12" t="s">
        <v>870</v>
      </c>
      <c r="AT26" s="12" t="s">
        <v>125</v>
      </c>
      <c r="AU26" s="12"/>
      <c r="AV26" s="12"/>
      <c r="AW26" s="12" t="s">
        <v>155</v>
      </c>
      <c r="AX26" s="12" t="str">
        <f>IF(ISNA(MATCH($A26,Gesamtübersicht!$A:$A,0)),"ID fehlt in Gesamtübersicht",IF(AND(INDEX(Gesamtübersicht!$H:$H,MATCH($A26,Gesamtübersicht!$A:$A,0))&amp;""=$H26&amp;"",INDEX(Gesamtübersicht!$M:$M,MATCH($A26,Gesamtübersicht!$A:$A,0))&amp;""=$M26&amp;"",INDEX(Gesamtübersicht!$AD:$AD,MATCH($A26,Gesamtübersicht!$A:$A,0))&amp;""=$AD26&amp;"",INDEX(Gesamtübersicht!$AH:$AH,MATCH($A26,Gesamtübersicht!$A:$A,0))&amp;""=$AH26&amp;"",INDEX(Gesamtübersicht!$T:$T,MATCH($A26,Gesamtübersicht!$A:$A,0))&amp;""=$T26&amp;""),"OK","Abweichung – Ansicht neu erzeugen"))</f>
        <v>OK</v>
      </c>
    </row>
    <row r="27" spans="1:50" ht="42.95" customHeight="1">
      <c r="A27" s="2" t="s">
        <v>889</v>
      </c>
      <c r="B27" s="9" t="s">
        <v>48</v>
      </c>
      <c r="C27" s="2" t="s">
        <v>46</v>
      </c>
      <c r="D27" s="2" t="s">
        <v>440</v>
      </c>
      <c r="E27" s="2" t="s">
        <v>42</v>
      </c>
      <c r="F27" s="2" t="s">
        <v>92</v>
      </c>
      <c r="G27" s="2" t="s">
        <v>692</v>
      </c>
      <c r="H27" s="2" t="s">
        <v>890</v>
      </c>
      <c r="I27" s="2" t="s">
        <v>692</v>
      </c>
      <c r="J27" s="2" t="s">
        <v>873</v>
      </c>
      <c r="K27" s="2" t="s">
        <v>891</v>
      </c>
      <c r="L27" s="2" t="s">
        <v>861</v>
      </c>
      <c r="M27" s="3" t="s">
        <v>892</v>
      </c>
      <c r="N27" s="2" t="s">
        <v>337</v>
      </c>
      <c r="O27" s="2" t="s">
        <v>100</v>
      </c>
      <c r="P27" s="2"/>
      <c r="Q27" s="2"/>
      <c r="R27" s="2"/>
      <c r="S27" s="2" t="s">
        <v>134</v>
      </c>
      <c r="T27" s="2" t="s">
        <v>105</v>
      </c>
      <c r="U27" s="2" t="s">
        <v>166</v>
      </c>
      <c r="V27" s="2"/>
      <c r="W27" s="2"/>
      <c r="X27" s="2"/>
      <c r="Y27" s="2" t="s">
        <v>109</v>
      </c>
      <c r="Z27" s="2" t="s">
        <v>167</v>
      </c>
      <c r="AA27" s="2"/>
      <c r="AB27" s="2"/>
      <c r="AC27" s="2"/>
      <c r="AD27" s="2" t="s">
        <v>112</v>
      </c>
      <c r="AE27" s="2" t="s">
        <v>113</v>
      </c>
      <c r="AF27" s="2"/>
      <c r="AG27" s="2" t="s">
        <v>114</v>
      </c>
      <c r="AH27" s="2" t="s">
        <v>115</v>
      </c>
      <c r="AI27" s="2" t="s">
        <v>893</v>
      </c>
      <c r="AJ27" s="2" t="s">
        <v>894</v>
      </c>
      <c r="AK27" s="2" t="s">
        <v>895</v>
      </c>
      <c r="AL27" s="2" t="s">
        <v>267</v>
      </c>
      <c r="AM27" s="2" t="s">
        <v>682</v>
      </c>
      <c r="AN27" s="2" t="s">
        <v>121</v>
      </c>
      <c r="AO27" s="2" t="s">
        <v>337</v>
      </c>
      <c r="AP27" s="2" t="s">
        <v>122</v>
      </c>
      <c r="AQ27" s="2" t="s">
        <v>123</v>
      </c>
      <c r="AR27" s="2" t="s">
        <v>124</v>
      </c>
      <c r="AS27" s="2" t="s">
        <v>870</v>
      </c>
      <c r="AT27" s="2" t="s">
        <v>125</v>
      </c>
      <c r="AU27" s="2"/>
      <c r="AV27" s="2"/>
      <c r="AW27" s="2" t="s">
        <v>155</v>
      </c>
      <c r="AX27" s="2" t="str">
        <f>IF(ISNA(MATCH($A27,Gesamtübersicht!$A:$A,0)),"ID fehlt in Gesamtübersicht",IF(AND(INDEX(Gesamtübersicht!$H:$H,MATCH($A27,Gesamtübersicht!$A:$A,0))&amp;""=$H27&amp;"",INDEX(Gesamtübersicht!$M:$M,MATCH($A27,Gesamtübersicht!$A:$A,0))&amp;""=$M27&amp;"",INDEX(Gesamtübersicht!$AD:$AD,MATCH($A27,Gesamtübersicht!$A:$A,0))&amp;""=$AD27&amp;"",INDEX(Gesamtübersicht!$AH:$AH,MATCH($A27,Gesamtübersicht!$A:$A,0))&amp;""=$AH27&amp;"",INDEX(Gesamtübersicht!$T:$T,MATCH($A27,Gesamtübersicht!$A:$A,0))&amp;""=$T27&amp;""),"OK","Abweichung – Ansicht neu erzeugen"))</f>
        <v>OK</v>
      </c>
    </row>
    <row r="28" spans="1:50" ht="42.95" customHeight="1">
      <c r="A28" s="12" t="s">
        <v>896</v>
      </c>
      <c r="B28" s="9" t="s">
        <v>48</v>
      </c>
      <c r="C28" s="12" t="s">
        <v>46</v>
      </c>
      <c r="D28" s="12" t="s">
        <v>440</v>
      </c>
      <c r="E28" s="12" t="s">
        <v>42</v>
      </c>
      <c r="F28" s="12" t="s">
        <v>92</v>
      </c>
      <c r="G28" s="12" t="s">
        <v>659</v>
      </c>
      <c r="H28" s="12" t="s">
        <v>897</v>
      </c>
      <c r="I28" s="12" t="s">
        <v>898</v>
      </c>
      <c r="J28" s="12" t="s">
        <v>899</v>
      </c>
      <c r="K28" s="12" t="s">
        <v>662</v>
      </c>
      <c r="L28" s="12" t="s">
        <v>861</v>
      </c>
      <c r="M28" s="13" t="s">
        <v>900</v>
      </c>
      <c r="N28" s="12" t="s">
        <v>901</v>
      </c>
      <c r="O28" s="12" t="s">
        <v>100</v>
      </c>
      <c r="P28" s="12" t="s">
        <v>902</v>
      </c>
      <c r="Q28" s="12"/>
      <c r="R28" s="12"/>
      <c r="S28" s="12" t="s">
        <v>134</v>
      </c>
      <c r="T28" s="12" t="s">
        <v>105</v>
      </c>
      <c r="U28" s="12" t="s">
        <v>166</v>
      </c>
      <c r="V28" s="12"/>
      <c r="W28" s="12"/>
      <c r="X28" s="12"/>
      <c r="Y28" s="12" t="s">
        <v>109</v>
      </c>
      <c r="Z28" s="12" t="s">
        <v>167</v>
      </c>
      <c r="AA28" s="12" t="s">
        <v>212</v>
      </c>
      <c r="AB28" s="12"/>
      <c r="AC28" s="12"/>
      <c r="AD28" s="12" t="s">
        <v>112</v>
      </c>
      <c r="AE28" s="12" t="s">
        <v>113</v>
      </c>
      <c r="AF28" s="12"/>
      <c r="AG28" s="12" t="s">
        <v>114</v>
      </c>
      <c r="AH28" s="12" t="s">
        <v>115</v>
      </c>
      <c r="AI28" s="12" t="s">
        <v>903</v>
      </c>
      <c r="AJ28" s="12" t="s">
        <v>904</v>
      </c>
      <c r="AK28" s="12" t="s">
        <v>905</v>
      </c>
      <c r="AL28" s="12" t="s">
        <v>119</v>
      </c>
      <c r="AM28" s="12" t="s">
        <v>682</v>
      </c>
      <c r="AN28" s="12" t="s">
        <v>121</v>
      </c>
      <c r="AO28" s="12" t="s">
        <v>901</v>
      </c>
      <c r="AP28" s="12" t="s">
        <v>122</v>
      </c>
      <c r="AQ28" s="12" t="s">
        <v>123</v>
      </c>
      <c r="AR28" s="12" t="s">
        <v>124</v>
      </c>
      <c r="AS28" s="12" t="s">
        <v>870</v>
      </c>
      <c r="AT28" s="12" t="s">
        <v>125</v>
      </c>
      <c r="AU28" s="12"/>
      <c r="AV28" s="12"/>
      <c r="AW28" s="12" t="s">
        <v>155</v>
      </c>
      <c r="AX28" s="12" t="str">
        <f>IF(ISNA(MATCH($A28,Gesamtübersicht!$A:$A,0)),"ID fehlt in Gesamtübersicht",IF(AND(INDEX(Gesamtübersicht!$H:$H,MATCH($A28,Gesamtübersicht!$A:$A,0))&amp;""=$H28&amp;"",INDEX(Gesamtübersicht!$M:$M,MATCH($A28,Gesamtübersicht!$A:$A,0))&amp;""=$M28&amp;"",INDEX(Gesamtübersicht!$AD:$AD,MATCH($A28,Gesamtübersicht!$A:$A,0))&amp;""=$AD28&amp;"",INDEX(Gesamtübersicht!$AH:$AH,MATCH($A28,Gesamtübersicht!$A:$A,0))&amp;""=$AH28&amp;"",INDEX(Gesamtübersicht!$T:$T,MATCH($A28,Gesamtübersicht!$A:$A,0))&amp;""=$T28&amp;""),"OK","Abweichung – Ansicht neu erzeugen"))</f>
        <v>OK</v>
      </c>
    </row>
    <row r="29" spans="1:50" ht="42.95" customHeight="1">
      <c r="A29" s="2" t="s">
        <v>906</v>
      </c>
      <c r="B29" s="9" t="s">
        <v>48</v>
      </c>
      <c r="C29" s="2" t="s">
        <v>46</v>
      </c>
      <c r="D29" s="2" t="s">
        <v>440</v>
      </c>
      <c r="E29" s="2" t="s">
        <v>42</v>
      </c>
      <c r="F29" s="2" t="s">
        <v>92</v>
      </c>
      <c r="G29" s="2" t="s">
        <v>858</v>
      </c>
      <c r="H29" s="2" t="s">
        <v>907</v>
      </c>
      <c r="I29" s="2" t="s">
        <v>860</v>
      </c>
      <c r="J29" s="2" t="s">
        <v>160</v>
      </c>
      <c r="K29" s="2" t="s">
        <v>908</v>
      </c>
      <c r="L29" s="2" t="s">
        <v>861</v>
      </c>
      <c r="M29" s="3" t="s">
        <v>909</v>
      </c>
      <c r="N29" s="2" t="s">
        <v>910</v>
      </c>
      <c r="O29" s="2" t="s">
        <v>100</v>
      </c>
      <c r="P29" s="2" t="s">
        <v>911</v>
      </c>
      <c r="Q29" s="2"/>
      <c r="R29" s="2"/>
      <c r="S29" s="2" t="s">
        <v>134</v>
      </c>
      <c r="T29" s="2" t="s">
        <v>105</v>
      </c>
      <c r="U29" s="2" t="s">
        <v>106</v>
      </c>
      <c r="V29" s="2"/>
      <c r="W29" s="2"/>
      <c r="X29" s="2"/>
      <c r="Y29" s="2" t="s">
        <v>109</v>
      </c>
      <c r="Z29" s="2" t="s">
        <v>167</v>
      </c>
      <c r="AA29" s="2"/>
      <c r="AB29" s="2"/>
      <c r="AC29" s="2"/>
      <c r="AD29" s="2" t="s">
        <v>112</v>
      </c>
      <c r="AE29" s="2" t="s">
        <v>113</v>
      </c>
      <c r="AF29" s="2"/>
      <c r="AG29" s="2" t="s">
        <v>292</v>
      </c>
      <c r="AH29" s="2" t="s">
        <v>115</v>
      </c>
      <c r="AI29" s="2" t="s">
        <v>912</v>
      </c>
      <c r="AJ29" s="2" t="s">
        <v>913</v>
      </c>
      <c r="AK29" s="2" t="s">
        <v>914</v>
      </c>
      <c r="AL29" s="2" t="s">
        <v>267</v>
      </c>
      <c r="AM29" s="2" t="s">
        <v>682</v>
      </c>
      <c r="AN29" s="2" t="s">
        <v>121</v>
      </c>
      <c r="AO29" s="2" t="s">
        <v>910</v>
      </c>
      <c r="AP29" s="2" t="s">
        <v>915</v>
      </c>
      <c r="AQ29" s="2" t="s">
        <v>123</v>
      </c>
      <c r="AR29" s="2" t="s">
        <v>124</v>
      </c>
      <c r="AS29" s="2" t="s">
        <v>870</v>
      </c>
      <c r="AT29" s="2" t="s">
        <v>125</v>
      </c>
      <c r="AU29" s="2" t="s">
        <v>916</v>
      </c>
      <c r="AV29" s="2"/>
      <c r="AW29" s="2" t="s">
        <v>155</v>
      </c>
      <c r="AX29" s="2" t="str">
        <f>IF(ISNA(MATCH($A29,Gesamtübersicht!$A:$A,0)),"ID fehlt in Gesamtübersicht",IF(AND(INDEX(Gesamtübersicht!$H:$H,MATCH($A29,Gesamtübersicht!$A:$A,0))&amp;""=$H29&amp;"",INDEX(Gesamtübersicht!$M:$M,MATCH($A29,Gesamtübersicht!$A:$A,0))&amp;""=$M29&amp;"",INDEX(Gesamtübersicht!$AD:$AD,MATCH($A29,Gesamtübersicht!$A:$A,0))&amp;""=$AD29&amp;"",INDEX(Gesamtübersicht!$AH:$AH,MATCH($A29,Gesamtübersicht!$A:$A,0))&amp;""=$AH29&amp;"",INDEX(Gesamtübersicht!$T:$T,MATCH($A29,Gesamtübersicht!$A:$A,0))&amp;""=$T29&amp;""),"OK","Abweichung – Ansicht neu erzeugen"))</f>
        <v>OK</v>
      </c>
    </row>
    <row r="30" spans="1:50" ht="42.95" customHeight="1">
      <c r="A30" s="12" t="s">
        <v>917</v>
      </c>
      <c r="B30" s="9" t="s">
        <v>48</v>
      </c>
      <c r="C30" s="12" t="s">
        <v>46</v>
      </c>
      <c r="D30" s="12" t="s">
        <v>440</v>
      </c>
      <c r="E30" s="12" t="s">
        <v>42</v>
      </c>
      <c r="F30" s="12" t="s">
        <v>172</v>
      </c>
      <c r="G30" s="12" t="s">
        <v>700</v>
      </c>
      <c r="H30" s="12" t="s">
        <v>918</v>
      </c>
      <c r="I30" s="12" t="s">
        <v>919</v>
      </c>
      <c r="J30" s="12" t="s">
        <v>160</v>
      </c>
      <c r="K30" s="12" t="s">
        <v>920</v>
      </c>
      <c r="L30" s="12" t="s">
        <v>861</v>
      </c>
      <c r="M30" s="13" t="s">
        <v>921</v>
      </c>
      <c r="N30" s="12" t="s">
        <v>922</v>
      </c>
      <c r="O30" s="12" t="s">
        <v>100</v>
      </c>
      <c r="P30" s="12" t="s">
        <v>923</v>
      </c>
      <c r="Q30" s="12" t="s">
        <v>924</v>
      </c>
      <c r="R30" s="12" t="s">
        <v>925</v>
      </c>
      <c r="S30" s="12" t="s">
        <v>351</v>
      </c>
      <c r="T30" s="12" t="s">
        <v>105</v>
      </c>
      <c r="U30" s="12" t="s">
        <v>166</v>
      </c>
      <c r="V30" s="12" t="s">
        <v>709</v>
      </c>
      <c r="W30" s="12" t="s">
        <v>183</v>
      </c>
      <c r="X30" s="12" t="s">
        <v>710</v>
      </c>
      <c r="Y30" s="12" t="s">
        <v>109</v>
      </c>
      <c r="Z30" s="12" t="s">
        <v>263</v>
      </c>
      <c r="AA30" s="12"/>
      <c r="AB30" s="12"/>
      <c r="AC30" s="12"/>
      <c r="AD30" s="12" t="s">
        <v>112</v>
      </c>
      <c r="AE30" s="12" t="s">
        <v>113</v>
      </c>
      <c r="AF30" s="12"/>
      <c r="AG30" s="12" t="s">
        <v>292</v>
      </c>
      <c r="AH30" s="12" t="s">
        <v>115</v>
      </c>
      <c r="AI30" s="12" t="s">
        <v>926</v>
      </c>
      <c r="AJ30" s="12" t="s">
        <v>927</v>
      </c>
      <c r="AK30" s="12" t="s">
        <v>928</v>
      </c>
      <c r="AL30" s="12" t="s">
        <v>267</v>
      </c>
      <c r="AM30" s="12" t="s">
        <v>153</v>
      </c>
      <c r="AN30" s="12" t="s">
        <v>121</v>
      </c>
      <c r="AO30" s="12" t="s">
        <v>922</v>
      </c>
      <c r="AP30" s="12" t="s">
        <v>929</v>
      </c>
      <c r="AQ30" s="12" t="s">
        <v>123</v>
      </c>
      <c r="AR30" s="12" t="s">
        <v>715</v>
      </c>
      <c r="AS30" s="12" t="s">
        <v>870</v>
      </c>
      <c r="AT30" s="12" t="s">
        <v>125</v>
      </c>
      <c r="AU30" s="12" t="s">
        <v>930</v>
      </c>
      <c r="AV30" s="12"/>
      <c r="AW30" s="12" t="s">
        <v>931</v>
      </c>
      <c r="AX30" s="12" t="str">
        <f>IF(ISNA(MATCH($A30,Gesamtübersicht!$A:$A,0)),"ID fehlt in Gesamtübersicht",IF(AND(INDEX(Gesamtübersicht!$H:$H,MATCH($A30,Gesamtübersicht!$A:$A,0))&amp;""=$H30&amp;"",INDEX(Gesamtübersicht!$M:$M,MATCH($A30,Gesamtübersicht!$A:$A,0))&amp;""=$M30&amp;"",INDEX(Gesamtübersicht!$AD:$AD,MATCH($A30,Gesamtübersicht!$A:$A,0))&amp;""=$AD30&amp;"",INDEX(Gesamtübersicht!$AH:$AH,MATCH($A30,Gesamtübersicht!$A:$A,0))&amp;""=$AH30&amp;"",INDEX(Gesamtübersicht!$T:$T,MATCH($A30,Gesamtübersicht!$A:$A,0))&amp;""=$T30&amp;""),"OK","Abweichung – Ansicht neu erzeugen"))</f>
        <v>OK</v>
      </c>
    </row>
    <row r="31" spans="1:50" ht="42.95" customHeight="1">
      <c r="A31" s="2" t="s">
        <v>932</v>
      </c>
      <c r="B31" s="9" t="s">
        <v>48</v>
      </c>
      <c r="C31" s="2" t="s">
        <v>46</v>
      </c>
      <c r="D31" s="2" t="s">
        <v>440</v>
      </c>
      <c r="E31" s="2" t="s">
        <v>42</v>
      </c>
      <c r="F31" s="2" t="s">
        <v>172</v>
      </c>
      <c r="G31" s="2" t="s">
        <v>933</v>
      </c>
      <c r="H31" s="2" t="s">
        <v>934</v>
      </c>
      <c r="I31" s="2" t="s">
        <v>721</v>
      </c>
      <c r="J31" s="2" t="s">
        <v>160</v>
      </c>
      <c r="K31" s="2" t="s">
        <v>722</v>
      </c>
      <c r="L31" s="2" t="s">
        <v>861</v>
      </c>
      <c r="M31" s="3" t="s">
        <v>935</v>
      </c>
      <c r="N31" s="2"/>
      <c r="O31" s="2" t="s">
        <v>100</v>
      </c>
      <c r="P31" s="2" t="s">
        <v>936</v>
      </c>
      <c r="Q31" s="2"/>
      <c r="R31" s="2"/>
      <c r="S31" s="2" t="s">
        <v>182</v>
      </c>
      <c r="T31" s="2" t="s">
        <v>105</v>
      </c>
      <c r="U31" s="2" t="s">
        <v>106</v>
      </c>
      <c r="V31" s="2"/>
      <c r="W31" s="2" t="s">
        <v>183</v>
      </c>
      <c r="X31" s="2"/>
      <c r="Y31" s="2" t="s">
        <v>109</v>
      </c>
      <c r="Z31" s="2" t="s">
        <v>167</v>
      </c>
      <c r="AA31" s="2"/>
      <c r="AB31" s="2"/>
      <c r="AC31" s="3" t="s">
        <v>937</v>
      </c>
      <c r="AD31" s="2" t="s">
        <v>112</v>
      </c>
      <c r="AE31" s="2" t="s">
        <v>113</v>
      </c>
      <c r="AF31" s="2"/>
      <c r="AG31" s="2" t="s">
        <v>292</v>
      </c>
      <c r="AH31" s="2" t="s">
        <v>115</v>
      </c>
      <c r="AI31" s="2" t="s">
        <v>938</v>
      </c>
      <c r="AJ31" s="2" t="s">
        <v>939</v>
      </c>
      <c r="AK31" s="2" t="s">
        <v>940</v>
      </c>
      <c r="AL31" s="2" t="s">
        <v>267</v>
      </c>
      <c r="AM31" s="2" t="s">
        <v>682</v>
      </c>
      <c r="AN31" s="2" t="s">
        <v>121</v>
      </c>
      <c r="AO31" s="2"/>
      <c r="AP31" s="2" t="s">
        <v>122</v>
      </c>
      <c r="AQ31" s="2" t="s">
        <v>123</v>
      </c>
      <c r="AR31" s="2" t="s">
        <v>715</v>
      </c>
      <c r="AS31" s="2" t="s">
        <v>870</v>
      </c>
      <c r="AT31" s="2" t="s">
        <v>125</v>
      </c>
      <c r="AU31" s="2"/>
      <c r="AV31" s="2"/>
      <c r="AW31" s="2" t="s">
        <v>155</v>
      </c>
      <c r="AX31" s="2" t="str">
        <f>IF(ISNA(MATCH($A31,Gesamtübersicht!$A:$A,0)),"ID fehlt in Gesamtübersicht",IF(AND(INDEX(Gesamtübersicht!$H:$H,MATCH($A31,Gesamtübersicht!$A:$A,0))&amp;""=$H31&amp;"",INDEX(Gesamtübersicht!$M:$M,MATCH($A31,Gesamtübersicht!$A:$A,0))&amp;""=$M31&amp;"",INDEX(Gesamtübersicht!$AD:$AD,MATCH($A31,Gesamtübersicht!$A:$A,0))&amp;""=$AD31&amp;"",INDEX(Gesamtübersicht!$AH:$AH,MATCH($A31,Gesamtübersicht!$A:$A,0))&amp;""=$AH31&amp;"",INDEX(Gesamtübersicht!$T:$T,MATCH($A31,Gesamtübersicht!$A:$A,0))&amp;""=$T31&amp;""),"OK","Abweichung – Ansicht neu erzeugen"))</f>
        <v>OK</v>
      </c>
    </row>
    <row r="32" spans="1:50" ht="42.95" customHeight="1">
      <c r="A32" s="12" t="s">
        <v>941</v>
      </c>
      <c r="B32" s="9" t="s">
        <v>48</v>
      </c>
      <c r="C32" s="12" t="s">
        <v>46</v>
      </c>
      <c r="D32" s="12" t="s">
        <v>440</v>
      </c>
      <c r="E32" s="12" t="s">
        <v>42</v>
      </c>
      <c r="F32" s="12" t="s">
        <v>172</v>
      </c>
      <c r="G32" s="12" t="s">
        <v>942</v>
      </c>
      <c r="H32" s="12" t="s">
        <v>943</v>
      </c>
      <c r="I32" s="12" t="s">
        <v>919</v>
      </c>
      <c r="J32" s="12" t="s">
        <v>160</v>
      </c>
      <c r="K32" s="12" t="s">
        <v>920</v>
      </c>
      <c r="L32" s="12" t="s">
        <v>861</v>
      </c>
      <c r="M32" s="13" t="s">
        <v>944</v>
      </c>
      <c r="N32" s="12" t="s">
        <v>794</v>
      </c>
      <c r="O32" s="12" t="s">
        <v>100</v>
      </c>
      <c r="P32" s="12" t="s">
        <v>945</v>
      </c>
      <c r="Q32" s="12"/>
      <c r="R32" s="12"/>
      <c r="S32" s="12" t="s">
        <v>182</v>
      </c>
      <c r="T32" s="12" t="s">
        <v>105</v>
      </c>
      <c r="U32" s="12" t="s">
        <v>166</v>
      </c>
      <c r="V32" s="12"/>
      <c r="W32" s="12"/>
      <c r="X32" s="12"/>
      <c r="Y32" s="12" t="s">
        <v>109</v>
      </c>
      <c r="Z32" s="12" t="s">
        <v>167</v>
      </c>
      <c r="AA32" s="12" t="s">
        <v>92</v>
      </c>
      <c r="AB32" s="12"/>
      <c r="AC32" s="12"/>
      <c r="AD32" s="12" t="s">
        <v>112</v>
      </c>
      <c r="AE32" s="12" t="s">
        <v>113</v>
      </c>
      <c r="AF32" s="12"/>
      <c r="AG32" s="12" t="s">
        <v>292</v>
      </c>
      <c r="AH32" s="12" t="s">
        <v>115</v>
      </c>
      <c r="AI32" s="12" t="s">
        <v>946</v>
      </c>
      <c r="AJ32" s="12" t="s">
        <v>947</v>
      </c>
      <c r="AK32" s="12" t="s">
        <v>948</v>
      </c>
      <c r="AL32" s="12" t="s">
        <v>267</v>
      </c>
      <c r="AM32" s="12" t="s">
        <v>682</v>
      </c>
      <c r="AN32" s="12" t="s">
        <v>121</v>
      </c>
      <c r="AO32" s="12" t="s">
        <v>794</v>
      </c>
      <c r="AP32" s="12" t="s">
        <v>122</v>
      </c>
      <c r="AQ32" s="12" t="s">
        <v>123</v>
      </c>
      <c r="AR32" s="12" t="s">
        <v>715</v>
      </c>
      <c r="AS32" s="12" t="s">
        <v>870</v>
      </c>
      <c r="AT32" s="12" t="s">
        <v>125</v>
      </c>
      <c r="AU32" s="12"/>
      <c r="AV32" s="12"/>
      <c r="AW32" s="12" t="s">
        <v>155</v>
      </c>
      <c r="AX32" s="12" t="str">
        <f>IF(ISNA(MATCH($A32,Gesamtübersicht!$A:$A,0)),"ID fehlt in Gesamtübersicht",IF(AND(INDEX(Gesamtübersicht!$H:$H,MATCH($A32,Gesamtübersicht!$A:$A,0))&amp;""=$H32&amp;"",INDEX(Gesamtübersicht!$M:$M,MATCH($A32,Gesamtübersicht!$A:$A,0))&amp;""=$M32&amp;"",INDEX(Gesamtübersicht!$AD:$AD,MATCH($A32,Gesamtübersicht!$A:$A,0))&amp;""=$AD32&amp;"",INDEX(Gesamtübersicht!$AH:$AH,MATCH($A32,Gesamtübersicht!$A:$A,0))&amp;""=$AH32&amp;"",INDEX(Gesamtübersicht!$T:$T,MATCH($A32,Gesamtübersicht!$A:$A,0))&amp;""=$T32&amp;""),"OK","Abweichung – Ansicht neu erzeugen"))</f>
        <v>OK</v>
      </c>
    </row>
    <row r="33" spans="1:50" ht="42.95" customHeight="1">
      <c r="A33" s="2" t="s">
        <v>949</v>
      </c>
      <c r="B33" s="9" t="s">
        <v>48</v>
      </c>
      <c r="C33" s="2" t="s">
        <v>46</v>
      </c>
      <c r="D33" s="2" t="s">
        <v>440</v>
      </c>
      <c r="E33" s="2" t="s">
        <v>42</v>
      </c>
      <c r="F33" s="2" t="s">
        <v>199</v>
      </c>
      <c r="G33" s="2" t="s">
        <v>386</v>
      </c>
      <c r="H33" s="2" t="s">
        <v>950</v>
      </c>
      <c r="I33" s="2" t="s">
        <v>760</v>
      </c>
      <c r="J33" s="2" t="s">
        <v>160</v>
      </c>
      <c r="K33" s="2" t="s">
        <v>722</v>
      </c>
      <c r="L33" s="2" t="s">
        <v>861</v>
      </c>
      <c r="M33" s="3" t="s">
        <v>951</v>
      </c>
      <c r="N33" s="2" t="s">
        <v>952</v>
      </c>
      <c r="O33" s="2" t="s">
        <v>100</v>
      </c>
      <c r="P33" s="2" t="s">
        <v>953</v>
      </c>
      <c r="Q33" s="2" t="s">
        <v>954</v>
      </c>
      <c r="R33" s="2" t="s">
        <v>955</v>
      </c>
      <c r="S33" s="2" t="s">
        <v>384</v>
      </c>
      <c r="T33" s="2" t="s">
        <v>105</v>
      </c>
      <c r="U33" s="2" t="s">
        <v>106</v>
      </c>
      <c r="V33" s="2" t="s">
        <v>709</v>
      </c>
      <c r="W33" s="2" t="s">
        <v>512</v>
      </c>
      <c r="X33" s="2" t="s">
        <v>386</v>
      </c>
      <c r="Y33" s="2" t="s">
        <v>109</v>
      </c>
      <c r="Z33" s="2" t="s">
        <v>263</v>
      </c>
      <c r="AA33" s="2" t="s">
        <v>212</v>
      </c>
      <c r="AB33" s="2"/>
      <c r="AC33" s="3" t="s">
        <v>956</v>
      </c>
      <c r="AD33" s="2" t="s">
        <v>112</v>
      </c>
      <c r="AE33" s="2" t="s">
        <v>113</v>
      </c>
      <c r="AF33" s="2"/>
      <c r="AG33" s="2" t="s">
        <v>292</v>
      </c>
      <c r="AH33" s="2" t="s">
        <v>115</v>
      </c>
      <c r="AI33" s="2" t="s">
        <v>957</v>
      </c>
      <c r="AJ33" s="2" t="s">
        <v>958</v>
      </c>
      <c r="AK33" s="2" t="s">
        <v>959</v>
      </c>
      <c r="AL33" s="2" t="s">
        <v>267</v>
      </c>
      <c r="AM33" s="2" t="s">
        <v>153</v>
      </c>
      <c r="AN33" s="2" t="s">
        <v>121</v>
      </c>
      <c r="AO33" s="2" t="s">
        <v>952</v>
      </c>
      <c r="AP33" s="2" t="s">
        <v>122</v>
      </c>
      <c r="AQ33" s="2" t="s">
        <v>123</v>
      </c>
      <c r="AR33" s="2" t="s">
        <v>715</v>
      </c>
      <c r="AS33" s="2" t="s">
        <v>870</v>
      </c>
      <c r="AT33" s="2" t="s">
        <v>125</v>
      </c>
      <c r="AU33" s="2" t="s">
        <v>960</v>
      </c>
      <c r="AV33" s="2"/>
      <c r="AW33" s="2" t="s">
        <v>961</v>
      </c>
      <c r="AX33" s="2" t="str">
        <f>IF(ISNA(MATCH($A33,Gesamtübersicht!$A:$A,0)),"ID fehlt in Gesamtübersicht",IF(AND(INDEX(Gesamtübersicht!$H:$H,MATCH($A33,Gesamtübersicht!$A:$A,0))&amp;""=$H33&amp;"",INDEX(Gesamtübersicht!$M:$M,MATCH($A33,Gesamtübersicht!$A:$A,0))&amp;""=$M33&amp;"",INDEX(Gesamtübersicht!$AD:$AD,MATCH($A33,Gesamtübersicht!$A:$A,0))&amp;""=$AD33&amp;"",INDEX(Gesamtübersicht!$AH:$AH,MATCH($A33,Gesamtübersicht!$A:$A,0))&amp;""=$AH33&amp;"",INDEX(Gesamtübersicht!$T:$T,MATCH($A33,Gesamtübersicht!$A:$A,0))&amp;""=$T33&amp;""),"OK","Abweichung – Ansicht neu erzeugen"))</f>
        <v>OK</v>
      </c>
    </row>
    <row r="34" spans="1:50" ht="42.95" customHeight="1">
      <c r="A34" s="12" t="s">
        <v>962</v>
      </c>
      <c r="B34" s="9" t="s">
        <v>48</v>
      </c>
      <c r="C34" s="12" t="s">
        <v>46</v>
      </c>
      <c r="D34" s="12" t="s">
        <v>440</v>
      </c>
      <c r="E34" s="12" t="s">
        <v>42</v>
      </c>
      <c r="F34" s="12" t="s">
        <v>199</v>
      </c>
      <c r="G34" s="12" t="s">
        <v>963</v>
      </c>
      <c r="H34" s="12" t="s">
        <v>964</v>
      </c>
      <c r="I34" s="12" t="s">
        <v>919</v>
      </c>
      <c r="J34" s="12" t="s">
        <v>160</v>
      </c>
      <c r="K34" s="12" t="s">
        <v>662</v>
      </c>
      <c r="L34" s="12" t="s">
        <v>861</v>
      </c>
      <c r="M34" s="13" t="s">
        <v>965</v>
      </c>
      <c r="N34" s="12" t="s">
        <v>696</v>
      </c>
      <c r="O34" s="12" t="s">
        <v>100</v>
      </c>
      <c r="P34" s="12" t="s">
        <v>966</v>
      </c>
      <c r="Q34" s="12"/>
      <c r="R34" s="12"/>
      <c r="S34" s="12" t="s">
        <v>182</v>
      </c>
      <c r="T34" s="12" t="s">
        <v>105</v>
      </c>
      <c r="U34" s="12" t="s">
        <v>106</v>
      </c>
      <c r="V34" s="12"/>
      <c r="W34" s="12"/>
      <c r="X34" s="12"/>
      <c r="Y34" s="12" t="s">
        <v>109</v>
      </c>
      <c r="Z34" s="12" t="s">
        <v>167</v>
      </c>
      <c r="AA34" s="12" t="s">
        <v>397</v>
      </c>
      <c r="AB34" s="12"/>
      <c r="AC34" s="12"/>
      <c r="AD34" s="12" t="s">
        <v>112</v>
      </c>
      <c r="AE34" s="12" t="s">
        <v>113</v>
      </c>
      <c r="AF34" s="12"/>
      <c r="AG34" s="12" t="s">
        <v>292</v>
      </c>
      <c r="AH34" s="12" t="s">
        <v>115</v>
      </c>
      <c r="AI34" s="12" t="s">
        <v>967</v>
      </c>
      <c r="AJ34" s="12" t="s">
        <v>968</v>
      </c>
      <c r="AK34" s="12" t="s">
        <v>969</v>
      </c>
      <c r="AL34" s="12" t="s">
        <v>267</v>
      </c>
      <c r="AM34" s="12" t="s">
        <v>682</v>
      </c>
      <c r="AN34" s="12" t="s">
        <v>121</v>
      </c>
      <c r="AO34" s="12" t="s">
        <v>696</v>
      </c>
      <c r="AP34" s="12" t="s">
        <v>122</v>
      </c>
      <c r="AQ34" s="12" t="s">
        <v>123</v>
      </c>
      <c r="AR34" s="12" t="s">
        <v>715</v>
      </c>
      <c r="AS34" s="12" t="s">
        <v>870</v>
      </c>
      <c r="AT34" s="12" t="s">
        <v>125</v>
      </c>
      <c r="AU34" s="12"/>
      <c r="AV34" s="12"/>
      <c r="AW34" s="12" t="s">
        <v>155</v>
      </c>
      <c r="AX34" s="12" t="str">
        <f>IF(ISNA(MATCH($A34,Gesamtübersicht!$A:$A,0)),"ID fehlt in Gesamtübersicht",IF(AND(INDEX(Gesamtübersicht!$H:$H,MATCH($A34,Gesamtübersicht!$A:$A,0))&amp;""=$H34&amp;"",INDEX(Gesamtübersicht!$M:$M,MATCH($A34,Gesamtübersicht!$A:$A,0))&amp;""=$M34&amp;"",INDEX(Gesamtübersicht!$AD:$AD,MATCH($A34,Gesamtübersicht!$A:$A,0))&amp;""=$AD34&amp;"",INDEX(Gesamtübersicht!$AH:$AH,MATCH($A34,Gesamtübersicht!$A:$A,0))&amp;""=$AH34&amp;"",INDEX(Gesamtübersicht!$T:$T,MATCH($A34,Gesamtübersicht!$A:$A,0))&amp;""=$T34&amp;""),"OK","Abweichung – Ansicht neu erzeugen"))</f>
        <v>OK</v>
      </c>
    </row>
    <row r="35" spans="1:50" ht="42.95" customHeight="1">
      <c r="A35" s="2" t="s">
        <v>970</v>
      </c>
      <c r="B35" s="9" t="s">
        <v>48</v>
      </c>
      <c r="C35" s="2" t="s">
        <v>46</v>
      </c>
      <c r="D35" s="2" t="s">
        <v>440</v>
      </c>
      <c r="E35" s="2" t="s">
        <v>42</v>
      </c>
      <c r="F35" s="2" t="s">
        <v>217</v>
      </c>
      <c r="G35" s="2" t="s">
        <v>402</v>
      </c>
      <c r="H35" s="2" t="s">
        <v>971</v>
      </c>
      <c r="I35" s="2" t="s">
        <v>972</v>
      </c>
      <c r="J35" s="2" t="s">
        <v>142</v>
      </c>
      <c r="K35" s="2" t="s">
        <v>368</v>
      </c>
      <c r="L35" s="2" t="s">
        <v>861</v>
      </c>
      <c r="M35" s="3" t="s">
        <v>973</v>
      </c>
      <c r="N35" s="2" t="s">
        <v>99</v>
      </c>
      <c r="O35" s="2" t="s">
        <v>100</v>
      </c>
      <c r="P35" s="2" t="s">
        <v>974</v>
      </c>
      <c r="Q35" s="2" t="s">
        <v>975</v>
      </c>
      <c r="R35" s="2" t="s">
        <v>976</v>
      </c>
      <c r="S35" s="2" t="s">
        <v>384</v>
      </c>
      <c r="T35" s="2" t="s">
        <v>105</v>
      </c>
      <c r="U35" s="2" t="s">
        <v>166</v>
      </c>
      <c r="V35" s="2" t="s">
        <v>709</v>
      </c>
      <c r="W35" s="2" t="s">
        <v>532</v>
      </c>
      <c r="X35" s="2" t="s">
        <v>977</v>
      </c>
      <c r="Y35" s="2" t="s">
        <v>109</v>
      </c>
      <c r="Z35" s="2" t="s">
        <v>263</v>
      </c>
      <c r="AA35" s="2"/>
      <c r="AB35" s="2"/>
      <c r="AC35" s="2"/>
      <c r="AD35" s="2" t="s">
        <v>112</v>
      </c>
      <c r="AE35" s="2" t="s">
        <v>113</v>
      </c>
      <c r="AF35" s="2"/>
      <c r="AG35" s="2" t="s">
        <v>114</v>
      </c>
      <c r="AH35" s="2" t="s">
        <v>115</v>
      </c>
      <c r="AI35" s="2" t="s">
        <v>978</v>
      </c>
      <c r="AJ35" s="2" t="s">
        <v>979</v>
      </c>
      <c r="AK35" s="2" t="s">
        <v>696</v>
      </c>
      <c r="AL35" s="2" t="s">
        <v>119</v>
      </c>
      <c r="AM35" s="2" t="s">
        <v>153</v>
      </c>
      <c r="AN35" s="2" t="s">
        <v>121</v>
      </c>
      <c r="AO35" s="2" t="s">
        <v>99</v>
      </c>
      <c r="AP35" s="2" t="s">
        <v>122</v>
      </c>
      <c r="AQ35" s="2" t="s">
        <v>123</v>
      </c>
      <c r="AR35" s="2" t="s">
        <v>715</v>
      </c>
      <c r="AS35" s="2" t="s">
        <v>870</v>
      </c>
      <c r="AT35" s="2" t="s">
        <v>125</v>
      </c>
      <c r="AU35" s="2"/>
      <c r="AV35" s="2"/>
      <c r="AW35" s="2" t="s">
        <v>980</v>
      </c>
      <c r="AX35" s="2" t="str">
        <f>IF(ISNA(MATCH($A35,Gesamtübersicht!$A:$A,0)),"ID fehlt in Gesamtübersicht",IF(AND(INDEX(Gesamtübersicht!$H:$H,MATCH($A35,Gesamtübersicht!$A:$A,0))&amp;""=$H35&amp;"",INDEX(Gesamtübersicht!$M:$M,MATCH($A35,Gesamtübersicht!$A:$A,0))&amp;""=$M35&amp;"",INDEX(Gesamtübersicht!$AD:$AD,MATCH($A35,Gesamtübersicht!$A:$A,0))&amp;""=$AD35&amp;"",INDEX(Gesamtübersicht!$AH:$AH,MATCH($A35,Gesamtübersicht!$A:$A,0))&amp;""=$AH35&amp;"",INDEX(Gesamtübersicht!$T:$T,MATCH($A35,Gesamtübersicht!$A:$A,0))&amp;""=$T35&amp;""),"OK","Abweichung – Ansicht neu erzeugen"))</f>
        <v>OK</v>
      </c>
    </row>
    <row r="36" spans="1:50" ht="42.95" customHeight="1">
      <c r="A36" s="12" t="s">
        <v>981</v>
      </c>
      <c r="B36" s="9" t="s">
        <v>48</v>
      </c>
      <c r="C36" s="12" t="s">
        <v>46</v>
      </c>
      <c r="D36" s="12" t="s">
        <v>440</v>
      </c>
      <c r="E36" s="12" t="s">
        <v>42</v>
      </c>
      <c r="F36" s="12" t="s">
        <v>217</v>
      </c>
      <c r="G36" s="12" t="s">
        <v>781</v>
      </c>
      <c r="H36" s="12" t="s">
        <v>982</v>
      </c>
      <c r="I36" s="12" t="s">
        <v>721</v>
      </c>
      <c r="J36" s="12" t="s">
        <v>160</v>
      </c>
      <c r="K36" s="12" t="s">
        <v>722</v>
      </c>
      <c r="L36" s="12" t="s">
        <v>861</v>
      </c>
      <c r="M36" s="13" t="s">
        <v>983</v>
      </c>
      <c r="N36" s="12" t="s">
        <v>984</v>
      </c>
      <c r="O36" s="12" t="s">
        <v>100</v>
      </c>
      <c r="P36" s="12"/>
      <c r="Q36" s="12"/>
      <c r="R36" s="12"/>
      <c r="S36" s="12" t="s">
        <v>182</v>
      </c>
      <c r="T36" s="12" t="s">
        <v>105</v>
      </c>
      <c r="U36" s="12" t="s">
        <v>106</v>
      </c>
      <c r="V36" s="12"/>
      <c r="W36" s="12"/>
      <c r="X36" s="12"/>
      <c r="Y36" s="12" t="s">
        <v>109</v>
      </c>
      <c r="Z36" s="12" t="s">
        <v>167</v>
      </c>
      <c r="AA36" s="12"/>
      <c r="AB36" s="12"/>
      <c r="AC36" s="13" t="s">
        <v>985</v>
      </c>
      <c r="AD36" s="12" t="s">
        <v>112</v>
      </c>
      <c r="AE36" s="12" t="s">
        <v>113</v>
      </c>
      <c r="AF36" s="12"/>
      <c r="AG36" s="12" t="s">
        <v>292</v>
      </c>
      <c r="AH36" s="12" t="s">
        <v>115</v>
      </c>
      <c r="AI36" s="12" t="s">
        <v>986</v>
      </c>
      <c r="AJ36" s="12" t="s">
        <v>958</v>
      </c>
      <c r="AK36" s="12" t="s">
        <v>987</v>
      </c>
      <c r="AL36" s="12" t="s">
        <v>267</v>
      </c>
      <c r="AM36" s="12" t="s">
        <v>682</v>
      </c>
      <c r="AN36" s="12" t="s">
        <v>121</v>
      </c>
      <c r="AO36" s="12" t="s">
        <v>984</v>
      </c>
      <c r="AP36" s="12" t="s">
        <v>122</v>
      </c>
      <c r="AQ36" s="12" t="s">
        <v>123</v>
      </c>
      <c r="AR36" s="12" t="s">
        <v>715</v>
      </c>
      <c r="AS36" s="12" t="s">
        <v>870</v>
      </c>
      <c r="AT36" s="12" t="s">
        <v>125</v>
      </c>
      <c r="AU36" s="12"/>
      <c r="AV36" s="12"/>
      <c r="AW36" s="12" t="s">
        <v>155</v>
      </c>
      <c r="AX36" s="12" t="str">
        <f>IF(ISNA(MATCH($A36,Gesamtübersicht!$A:$A,0)),"ID fehlt in Gesamtübersicht",IF(AND(INDEX(Gesamtübersicht!$H:$H,MATCH($A36,Gesamtübersicht!$A:$A,0))&amp;""=$H36&amp;"",INDEX(Gesamtübersicht!$M:$M,MATCH($A36,Gesamtübersicht!$A:$A,0))&amp;""=$M36&amp;"",INDEX(Gesamtübersicht!$AD:$AD,MATCH($A36,Gesamtübersicht!$A:$A,0))&amp;""=$AD36&amp;"",INDEX(Gesamtübersicht!$AH:$AH,MATCH($A36,Gesamtübersicht!$A:$A,0))&amp;""=$AH36&amp;"",INDEX(Gesamtübersicht!$T:$T,MATCH($A36,Gesamtübersicht!$A:$A,0))&amp;""=$T36&amp;""),"OK","Abweichung – Ansicht neu erzeugen"))</f>
        <v>OK</v>
      </c>
    </row>
    <row r="37" spans="1:50" ht="42.95" customHeight="1">
      <c r="A37" s="2" t="s">
        <v>988</v>
      </c>
      <c r="B37" s="9" t="s">
        <v>48</v>
      </c>
      <c r="C37" s="2" t="s">
        <v>46</v>
      </c>
      <c r="D37" s="2" t="s">
        <v>440</v>
      </c>
      <c r="E37" s="2" t="s">
        <v>42</v>
      </c>
      <c r="F37" s="2" t="s">
        <v>217</v>
      </c>
      <c r="G37" s="2" t="s">
        <v>774</v>
      </c>
      <c r="H37" s="2" t="s">
        <v>989</v>
      </c>
      <c r="I37" s="2" t="s">
        <v>721</v>
      </c>
      <c r="J37" s="2" t="s">
        <v>990</v>
      </c>
      <c r="K37" s="2" t="s">
        <v>722</v>
      </c>
      <c r="L37" s="2" t="s">
        <v>861</v>
      </c>
      <c r="M37" s="3" t="s">
        <v>991</v>
      </c>
      <c r="N37" s="2" t="s">
        <v>992</v>
      </c>
      <c r="O37" s="2" t="s">
        <v>100</v>
      </c>
      <c r="P37" s="2"/>
      <c r="Q37" s="2"/>
      <c r="R37" s="2"/>
      <c r="S37" s="2" t="s">
        <v>182</v>
      </c>
      <c r="T37" s="2" t="s">
        <v>105</v>
      </c>
      <c r="U37" s="2" t="s">
        <v>166</v>
      </c>
      <c r="V37" s="2"/>
      <c r="W37" s="2"/>
      <c r="X37" s="2"/>
      <c r="Y37" s="2" t="s">
        <v>109</v>
      </c>
      <c r="Z37" s="2" t="s">
        <v>167</v>
      </c>
      <c r="AA37" s="2" t="s">
        <v>199</v>
      </c>
      <c r="AB37" s="2"/>
      <c r="AC37" s="2"/>
      <c r="AD37" s="2" t="s">
        <v>112</v>
      </c>
      <c r="AE37" s="2" t="s">
        <v>113</v>
      </c>
      <c r="AF37" s="2"/>
      <c r="AG37" s="2" t="s">
        <v>114</v>
      </c>
      <c r="AH37" s="2" t="s">
        <v>115</v>
      </c>
      <c r="AI37" s="2" t="s">
        <v>993</v>
      </c>
      <c r="AJ37" s="2" t="s">
        <v>994</v>
      </c>
      <c r="AK37" s="2" t="s">
        <v>995</v>
      </c>
      <c r="AL37" s="2" t="s">
        <v>119</v>
      </c>
      <c r="AM37" s="2" t="s">
        <v>682</v>
      </c>
      <c r="AN37" s="2" t="s">
        <v>121</v>
      </c>
      <c r="AO37" s="2" t="s">
        <v>992</v>
      </c>
      <c r="AP37" s="2" t="s">
        <v>122</v>
      </c>
      <c r="AQ37" s="2" t="s">
        <v>123</v>
      </c>
      <c r="AR37" s="2" t="s">
        <v>715</v>
      </c>
      <c r="AS37" s="2" t="s">
        <v>870</v>
      </c>
      <c r="AT37" s="2" t="s">
        <v>125</v>
      </c>
      <c r="AU37" s="2"/>
      <c r="AV37" s="2"/>
      <c r="AW37" s="2" t="s">
        <v>155</v>
      </c>
      <c r="AX37" s="2" t="str">
        <f>IF(ISNA(MATCH($A37,Gesamtübersicht!$A:$A,0)),"ID fehlt in Gesamtübersicht",IF(AND(INDEX(Gesamtübersicht!$H:$H,MATCH($A37,Gesamtübersicht!$A:$A,0))&amp;""=$H37&amp;"",INDEX(Gesamtübersicht!$M:$M,MATCH($A37,Gesamtübersicht!$A:$A,0))&amp;""=$M37&amp;"",INDEX(Gesamtübersicht!$AD:$AD,MATCH($A37,Gesamtübersicht!$A:$A,0))&amp;""=$AD37&amp;"",INDEX(Gesamtübersicht!$AH:$AH,MATCH($A37,Gesamtübersicht!$A:$A,0))&amp;""=$AH37&amp;"",INDEX(Gesamtübersicht!$T:$T,MATCH($A37,Gesamtübersicht!$A:$A,0))&amp;""=$T37&amp;""),"OK","Abweichung – Ansicht neu erzeugen"))</f>
        <v>OK</v>
      </c>
    </row>
    <row r="38" spans="1:50" ht="42.95" customHeight="1">
      <c r="A38" s="12" t="s">
        <v>996</v>
      </c>
      <c r="B38" s="9" t="s">
        <v>48</v>
      </c>
      <c r="C38" s="12" t="s">
        <v>46</v>
      </c>
      <c r="D38" s="12" t="s">
        <v>440</v>
      </c>
      <c r="E38" s="12" t="s">
        <v>42</v>
      </c>
      <c r="F38" s="12" t="s">
        <v>212</v>
      </c>
      <c r="G38" s="12" t="s">
        <v>997</v>
      </c>
      <c r="H38" s="12" t="s">
        <v>998</v>
      </c>
      <c r="I38" s="12" t="s">
        <v>999</v>
      </c>
      <c r="J38" s="12" t="s">
        <v>142</v>
      </c>
      <c r="K38" s="12" t="s">
        <v>1000</v>
      </c>
      <c r="L38" s="12" t="s">
        <v>861</v>
      </c>
      <c r="M38" s="13" t="s">
        <v>1001</v>
      </c>
      <c r="N38" s="12" t="s">
        <v>1002</v>
      </c>
      <c r="O38" s="12" t="s">
        <v>100</v>
      </c>
      <c r="P38" s="12" t="s">
        <v>1003</v>
      </c>
      <c r="Q38" s="12" t="s">
        <v>1004</v>
      </c>
      <c r="R38" s="12" t="s">
        <v>1005</v>
      </c>
      <c r="S38" s="12" t="s">
        <v>384</v>
      </c>
      <c r="T38" s="12" t="s">
        <v>105</v>
      </c>
      <c r="U38" s="12" t="s">
        <v>166</v>
      </c>
      <c r="V38" s="12" t="s">
        <v>709</v>
      </c>
      <c r="W38" s="12" t="s">
        <v>199</v>
      </c>
      <c r="X38" s="12" t="s">
        <v>801</v>
      </c>
      <c r="Y38" s="12" t="s">
        <v>109</v>
      </c>
      <c r="Z38" s="12" t="s">
        <v>263</v>
      </c>
      <c r="AA38" s="12"/>
      <c r="AB38" s="12"/>
      <c r="AC38" s="12"/>
      <c r="AD38" s="12" t="s">
        <v>112</v>
      </c>
      <c r="AE38" s="12" t="s">
        <v>113</v>
      </c>
      <c r="AF38" s="12"/>
      <c r="AG38" s="12" t="s">
        <v>114</v>
      </c>
      <c r="AH38" s="12" t="s">
        <v>115</v>
      </c>
      <c r="AI38" s="12" t="s">
        <v>1006</v>
      </c>
      <c r="AJ38" s="12" t="s">
        <v>1007</v>
      </c>
      <c r="AK38" s="12" t="s">
        <v>1008</v>
      </c>
      <c r="AL38" s="12" t="s">
        <v>119</v>
      </c>
      <c r="AM38" s="12" t="s">
        <v>153</v>
      </c>
      <c r="AN38" s="12" t="s">
        <v>121</v>
      </c>
      <c r="AO38" s="12" t="s">
        <v>1002</v>
      </c>
      <c r="AP38" s="12" t="s">
        <v>122</v>
      </c>
      <c r="AQ38" s="12" t="s">
        <v>123</v>
      </c>
      <c r="AR38" s="12" t="s">
        <v>124</v>
      </c>
      <c r="AS38" s="12" t="s">
        <v>870</v>
      </c>
      <c r="AT38" s="12" t="s">
        <v>125</v>
      </c>
      <c r="AU38" s="12"/>
      <c r="AV38" s="12"/>
      <c r="AW38" s="12" t="s">
        <v>1009</v>
      </c>
      <c r="AX38" s="12" t="str">
        <f>IF(ISNA(MATCH($A38,Gesamtübersicht!$A:$A,0)),"ID fehlt in Gesamtübersicht",IF(AND(INDEX(Gesamtübersicht!$H:$H,MATCH($A38,Gesamtübersicht!$A:$A,0))&amp;""=$H38&amp;"",INDEX(Gesamtübersicht!$M:$M,MATCH($A38,Gesamtübersicht!$A:$A,0))&amp;""=$M38&amp;"",INDEX(Gesamtübersicht!$AD:$AD,MATCH($A38,Gesamtübersicht!$A:$A,0))&amp;""=$AD38&amp;"",INDEX(Gesamtübersicht!$AH:$AH,MATCH($A38,Gesamtübersicht!$A:$A,0))&amp;""=$AH38&amp;"",INDEX(Gesamtübersicht!$T:$T,MATCH($A38,Gesamtübersicht!$A:$A,0))&amp;""=$T38&amp;""),"OK","Abweichung – Ansicht neu erzeugen"))</f>
        <v>OK</v>
      </c>
    </row>
    <row r="39" spans="1:50" ht="42.95" customHeight="1">
      <c r="A39" s="2" t="s">
        <v>1010</v>
      </c>
      <c r="B39" s="9" t="s">
        <v>48</v>
      </c>
      <c r="C39" s="2" t="s">
        <v>46</v>
      </c>
      <c r="D39" s="2" t="s">
        <v>440</v>
      </c>
      <c r="E39" s="2" t="s">
        <v>42</v>
      </c>
      <c r="F39" s="2" t="s">
        <v>212</v>
      </c>
      <c r="G39" s="2" t="s">
        <v>816</v>
      </c>
      <c r="H39" s="2" t="s">
        <v>1011</v>
      </c>
      <c r="I39" s="2" t="s">
        <v>816</v>
      </c>
      <c r="J39" s="2" t="s">
        <v>160</v>
      </c>
      <c r="K39" s="2" t="s">
        <v>817</v>
      </c>
      <c r="L39" s="2" t="s">
        <v>861</v>
      </c>
      <c r="M39" s="3" t="s">
        <v>1012</v>
      </c>
      <c r="N39" s="2" t="s">
        <v>676</v>
      </c>
      <c r="O39" s="2" t="s">
        <v>100</v>
      </c>
      <c r="P39" s="2" t="s">
        <v>1013</v>
      </c>
      <c r="Q39" s="2"/>
      <c r="R39" s="2"/>
      <c r="S39" s="2" t="s">
        <v>182</v>
      </c>
      <c r="T39" s="2" t="s">
        <v>105</v>
      </c>
      <c r="U39" s="2" t="s">
        <v>106</v>
      </c>
      <c r="V39" s="2"/>
      <c r="W39" s="2"/>
      <c r="X39" s="2"/>
      <c r="Y39" s="2" t="s">
        <v>109</v>
      </c>
      <c r="Z39" s="2" t="s">
        <v>167</v>
      </c>
      <c r="AA39" s="2"/>
      <c r="AB39" s="2"/>
      <c r="AC39" s="2"/>
      <c r="AD39" s="2" t="s">
        <v>112</v>
      </c>
      <c r="AE39" s="2" t="s">
        <v>113</v>
      </c>
      <c r="AF39" s="2"/>
      <c r="AG39" s="2" t="s">
        <v>292</v>
      </c>
      <c r="AH39" s="2" t="s">
        <v>115</v>
      </c>
      <c r="AI39" s="2" t="s">
        <v>1014</v>
      </c>
      <c r="AJ39" s="2" t="s">
        <v>1015</v>
      </c>
      <c r="AK39" s="2" t="s">
        <v>1016</v>
      </c>
      <c r="AL39" s="2" t="s">
        <v>267</v>
      </c>
      <c r="AM39" s="2" t="s">
        <v>682</v>
      </c>
      <c r="AN39" s="2" t="s">
        <v>121</v>
      </c>
      <c r="AO39" s="2" t="s">
        <v>676</v>
      </c>
      <c r="AP39" s="2" t="s">
        <v>122</v>
      </c>
      <c r="AQ39" s="2" t="s">
        <v>123</v>
      </c>
      <c r="AR39" s="2" t="s">
        <v>124</v>
      </c>
      <c r="AS39" s="2" t="s">
        <v>870</v>
      </c>
      <c r="AT39" s="2" t="s">
        <v>125</v>
      </c>
      <c r="AU39" s="2"/>
      <c r="AV39" s="2"/>
      <c r="AW39" s="2" t="s">
        <v>155</v>
      </c>
      <c r="AX39" s="2" t="str">
        <f>IF(ISNA(MATCH($A39,Gesamtübersicht!$A:$A,0)),"ID fehlt in Gesamtübersicht",IF(AND(INDEX(Gesamtübersicht!$H:$H,MATCH($A39,Gesamtübersicht!$A:$A,0))&amp;""=$H39&amp;"",INDEX(Gesamtübersicht!$M:$M,MATCH($A39,Gesamtübersicht!$A:$A,0))&amp;""=$M39&amp;"",INDEX(Gesamtübersicht!$AD:$AD,MATCH($A39,Gesamtübersicht!$A:$A,0))&amp;""=$AD39&amp;"",INDEX(Gesamtübersicht!$AH:$AH,MATCH($A39,Gesamtübersicht!$A:$A,0))&amp;""=$AH39&amp;"",INDEX(Gesamtübersicht!$T:$T,MATCH($A39,Gesamtübersicht!$A:$A,0))&amp;""=$T39&amp;""),"OK","Abweichung – Ansicht neu erzeugen"))</f>
        <v>OK</v>
      </c>
    </row>
    <row r="40" spans="1:50" ht="42.95" customHeight="1">
      <c r="A40" s="12" t="s">
        <v>1017</v>
      </c>
      <c r="B40" s="9" t="s">
        <v>48</v>
      </c>
      <c r="C40" s="12" t="s">
        <v>46</v>
      </c>
      <c r="D40" s="12" t="s">
        <v>440</v>
      </c>
      <c r="E40" s="12" t="s">
        <v>42</v>
      </c>
      <c r="F40" s="12" t="s">
        <v>212</v>
      </c>
      <c r="G40" s="12" t="s">
        <v>1018</v>
      </c>
      <c r="H40" s="12" t="s">
        <v>1019</v>
      </c>
      <c r="I40" s="12" t="s">
        <v>1020</v>
      </c>
      <c r="J40" s="12" t="s">
        <v>142</v>
      </c>
      <c r="K40" s="12" t="s">
        <v>817</v>
      </c>
      <c r="L40" s="12" t="s">
        <v>861</v>
      </c>
      <c r="M40" s="13" t="s">
        <v>1021</v>
      </c>
      <c r="N40" s="12" t="s">
        <v>337</v>
      </c>
      <c r="O40" s="12" t="s">
        <v>100</v>
      </c>
      <c r="P40" s="12" t="s">
        <v>1022</v>
      </c>
      <c r="Q40" s="12"/>
      <c r="R40" s="12"/>
      <c r="S40" s="12" t="s">
        <v>182</v>
      </c>
      <c r="T40" s="12" t="s">
        <v>105</v>
      </c>
      <c r="U40" s="12" t="s">
        <v>166</v>
      </c>
      <c r="V40" s="12"/>
      <c r="W40" s="12"/>
      <c r="X40" s="12"/>
      <c r="Y40" s="12" t="s">
        <v>109</v>
      </c>
      <c r="Z40" s="12" t="s">
        <v>167</v>
      </c>
      <c r="AA40" s="12" t="s">
        <v>92</v>
      </c>
      <c r="AB40" s="12"/>
      <c r="AC40" s="12"/>
      <c r="AD40" s="12" t="s">
        <v>112</v>
      </c>
      <c r="AE40" s="12" t="s">
        <v>113</v>
      </c>
      <c r="AF40" s="12"/>
      <c r="AG40" s="12" t="s">
        <v>114</v>
      </c>
      <c r="AH40" s="12" t="s">
        <v>115</v>
      </c>
      <c r="AI40" s="12" t="s">
        <v>1023</v>
      </c>
      <c r="AJ40" s="12" t="s">
        <v>1024</v>
      </c>
      <c r="AK40" s="12" t="s">
        <v>1025</v>
      </c>
      <c r="AL40" s="12" t="s">
        <v>119</v>
      </c>
      <c r="AM40" s="12" t="s">
        <v>682</v>
      </c>
      <c r="AN40" s="12" t="s">
        <v>121</v>
      </c>
      <c r="AO40" s="12" t="s">
        <v>337</v>
      </c>
      <c r="AP40" s="12" t="s">
        <v>122</v>
      </c>
      <c r="AQ40" s="12" t="s">
        <v>123</v>
      </c>
      <c r="AR40" s="12" t="s">
        <v>124</v>
      </c>
      <c r="AS40" s="12" t="s">
        <v>870</v>
      </c>
      <c r="AT40" s="12" t="s">
        <v>125</v>
      </c>
      <c r="AU40" s="12"/>
      <c r="AV40" s="12"/>
      <c r="AW40" s="12" t="s">
        <v>155</v>
      </c>
      <c r="AX40" s="12" t="str">
        <f>IF(ISNA(MATCH($A40,Gesamtübersicht!$A:$A,0)),"ID fehlt in Gesamtübersicht",IF(AND(INDEX(Gesamtübersicht!$H:$H,MATCH($A40,Gesamtübersicht!$A:$A,0))&amp;""=$H40&amp;"",INDEX(Gesamtübersicht!$M:$M,MATCH($A40,Gesamtübersicht!$A:$A,0))&amp;""=$M40&amp;"",INDEX(Gesamtübersicht!$AD:$AD,MATCH($A40,Gesamtübersicht!$A:$A,0))&amp;""=$AD40&amp;"",INDEX(Gesamtübersicht!$AH:$AH,MATCH($A40,Gesamtübersicht!$A:$A,0))&amp;""=$AH40&amp;"",INDEX(Gesamtübersicht!$T:$T,MATCH($A40,Gesamtübersicht!$A:$A,0))&amp;""=$T40&amp;""),"OK","Abweichung – Ansicht neu erzeugen"))</f>
        <v>OK</v>
      </c>
    </row>
    <row r="41" spans="1:50" ht="42.95" customHeight="1">
      <c r="A41" s="2" t="s">
        <v>1026</v>
      </c>
      <c r="B41" s="9" t="s">
        <v>48</v>
      </c>
      <c r="C41" s="2" t="s">
        <v>46</v>
      </c>
      <c r="D41" s="2" t="s">
        <v>440</v>
      </c>
      <c r="E41" s="2" t="s">
        <v>42</v>
      </c>
      <c r="F41" s="2" t="s">
        <v>212</v>
      </c>
      <c r="G41" s="2" t="s">
        <v>543</v>
      </c>
      <c r="H41" s="2" t="s">
        <v>1027</v>
      </c>
      <c r="I41" s="2" t="s">
        <v>1028</v>
      </c>
      <c r="J41" s="2" t="s">
        <v>160</v>
      </c>
      <c r="K41" s="2" t="s">
        <v>1029</v>
      </c>
      <c r="L41" s="2" t="s">
        <v>861</v>
      </c>
      <c r="M41" s="3" t="s">
        <v>1030</v>
      </c>
      <c r="N41" s="2" t="s">
        <v>230</v>
      </c>
      <c r="O41" s="2" t="s">
        <v>100</v>
      </c>
      <c r="P41" s="2" t="s">
        <v>1031</v>
      </c>
      <c r="Q41" s="2"/>
      <c r="R41" s="2"/>
      <c r="S41" s="2" t="s">
        <v>182</v>
      </c>
      <c r="T41" s="2" t="s">
        <v>105</v>
      </c>
      <c r="U41" s="2" t="s">
        <v>106</v>
      </c>
      <c r="V41" s="2"/>
      <c r="W41" s="2"/>
      <c r="X41" s="2"/>
      <c r="Y41" s="2" t="s">
        <v>109</v>
      </c>
      <c r="Z41" s="2" t="s">
        <v>167</v>
      </c>
      <c r="AA41" s="2" t="s">
        <v>172</v>
      </c>
      <c r="AB41" s="2"/>
      <c r="AC41" s="2"/>
      <c r="AD41" s="2" t="s">
        <v>112</v>
      </c>
      <c r="AE41" s="2" t="s">
        <v>113</v>
      </c>
      <c r="AF41" s="2"/>
      <c r="AG41" s="2" t="s">
        <v>292</v>
      </c>
      <c r="AH41" s="2" t="s">
        <v>115</v>
      </c>
      <c r="AI41" s="2" t="s">
        <v>1032</v>
      </c>
      <c r="AJ41" s="2" t="s">
        <v>1033</v>
      </c>
      <c r="AK41" s="2" t="s">
        <v>1034</v>
      </c>
      <c r="AL41" s="2" t="s">
        <v>267</v>
      </c>
      <c r="AM41" s="2" t="s">
        <v>682</v>
      </c>
      <c r="AN41" s="2" t="s">
        <v>121</v>
      </c>
      <c r="AO41" s="2" t="s">
        <v>230</v>
      </c>
      <c r="AP41" s="2" t="s">
        <v>122</v>
      </c>
      <c r="AQ41" s="2" t="s">
        <v>123</v>
      </c>
      <c r="AR41" s="2" t="s">
        <v>124</v>
      </c>
      <c r="AS41" s="2" t="s">
        <v>870</v>
      </c>
      <c r="AT41" s="2" t="s">
        <v>125</v>
      </c>
      <c r="AU41" s="2"/>
      <c r="AV41" s="2"/>
      <c r="AW41" s="2" t="s">
        <v>155</v>
      </c>
      <c r="AX41" s="2" t="str">
        <f>IF(ISNA(MATCH($A41,Gesamtübersicht!$A:$A,0)),"ID fehlt in Gesamtübersicht",IF(AND(INDEX(Gesamtübersicht!$H:$H,MATCH($A41,Gesamtübersicht!$A:$A,0))&amp;""=$H41&amp;"",INDEX(Gesamtübersicht!$M:$M,MATCH($A41,Gesamtübersicht!$A:$A,0))&amp;""=$M41&amp;"",INDEX(Gesamtübersicht!$AD:$AD,MATCH($A41,Gesamtübersicht!$A:$A,0))&amp;""=$AD41&amp;"",INDEX(Gesamtübersicht!$AH:$AH,MATCH($A41,Gesamtübersicht!$A:$A,0))&amp;""=$AH41&amp;"",INDEX(Gesamtübersicht!$T:$T,MATCH($A41,Gesamtübersicht!$A:$A,0))&amp;""=$T41&amp;""),"OK","Abweichung – Ansicht neu erzeugen"))</f>
        <v>OK</v>
      </c>
    </row>
    <row r="42" spans="1:50" ht="42.95" customHeight="1">
      <c r="A42" s="12" t="s">
        <v>1035</v>
      </c>
      <c r="B42" s="9" t="s">
        <v>48</v>
      </c>
      <c r="C42" s="12" t="s">
        <v>46</v>
      </c>
      <c r="D42" s="12" t="s">
        <v>440</v>
      </c>
      <c r="E42" s="12" t="s">
        <v>42</v>
      </c>
      <c r="F42" s="12" t="s">
        <v>212</v>
      </c>
      <c r="G42" s="12" t="s">
        <v>1036</v>
      </c>
      <c r="H42" s="12" t="s">
        <v>1037</v>
      </c>
      <c r="I42" s="12" t="s">
        <v>1038</v>
      </c>
      <c r="J42" s="12" t="s">
        <v>142</v>
      </c>
      <c r="K42" s="12" t="s">
        <v>368</v>
      </c>
      <c r="L42" s="12" t="s">
        <v>861</v>
      </c>
      <c r="M42" s="13" t="s">
        <v>1039</v>
      </c>
      <c r="N42" s="12"/>
      <c r="O42" s="12" t="s">
        <v>100</v>
      </c>
      <c r="P42" s="12"/>
      <c r="Q42" s="12"/>
      <c r="R42" s="12"/>
      <c r="S42" s="12" t="s">
        <v>182</v>
      </c>
      <c r="T42" s="12" t="s">
        <v>105</v>
      </c>
      <c r="U42" s="12" t="s">
        <v>166</v>
      </c>
      <c r="V42" s="12"/>
      <c r="W42" s="12"/>
      <c r="X42" s="12"/>
      <c r="Y42" s="12" t="s">
        <v>109</v>
      </c>
      <c r="Z42" s="12" t="s">
        <v>167</v>
      </c>
      <c r="AA42" s="12" t="s">
        <v>199</v>
      </c>
      <c r="AB42" s="12"/>
      <c r="AC42" s="12"/>
      <c r="AD42" s="12" t="s">
        <v>112</v>
      </c>
      <c r="AE42" s="12" t="s">
        <v>113</v>
      </c>
      <c r="AF42" s="12"/>
      <c r="AG42" s="12" t="s">
        <v>114</v>
      </c>
      <c r="AH42" s="12" t="s">
        <v>115</v>
      </c>
      <c r="AI42" s="12" t="s">
        <v>1040</v>
      </c>
      <c r="AJ42" s="12" t="s">
        <v>1041</v>
      </c>
      <c r="AK42" s="12" t="s">
        <v>696</v>
      </c>
      <c r="AL42" s="12" t="s">
        <v>119</v>
      </c>
      <c r="AM42" s="12" t="s">
        <v>682</v>
      </c>
      <c r="AN42" s="12" t="s">
        <v>121</v>
      </c>
      <c r="AO42" s="12"/>
      <c r="AP42" s="12" t="s">
        <v>122</v>
      </c>
      <c r="AQ42" s="12" t="s">
        <v>123</v>
      </c>
      <c r="AR42" s="12" t="s">
        <v>124</v>
      </c>
      <c r="AS42" s="12" t="s">
        <v>870</v>
      </c>
      <c r="AT42" s="12" t="s">
        <v>125</v>
      </c>
      <c r="AU42" s="12"/>
      <c r="AV42" s="12"/>
      <c r="AW42" s="12" t="s">
        <v>155</v>
      </c>
      <c r="AX42" s="12" t="str">
        <f>IF(ISNA(MATCH($A42,Gesamtübersicht!$A:$A,0)),"ID fehlt in Gesamtübersicht",IF(AND(INDEX(Gesamtübersicht!$H:$H,MATCH($A42,Gesamtübersicht!$A:$A,0))&amp;""=$H42&amp;"",INDEX(Gesamtübersicht!$M:$M,MATCH($A42,Gesamtübersicht!$A:$A,0))&amp;""=$M42&amp;"",INDEX(Gesamtübersicht!$AD:$AD,MATCH($A42,Gesamtübersicht!$A:$A,0))&amp;""=$AD42&amp;"",INDEX(Gesamtübersicht!$AH:$AH,MATCH($A42,Gesamtübersicht!$A:$A,0))&amp;""=$AH42&amp;"",INDEX(Gesamtübersicht!$T:$T,MATCH($A42,Gesamtübersicht!$A:$A,0))&amp;""=$T42&amp;""),"OK","Abweichung – Ansicht neu erzeugen"))</f>
        <v>OK</v>
      </c>
    </row>
  </sheetData>
  <conditionalFormatting sqref="AD2:AD500">
    <cfRule type="cellIs" dxfId="13" priority="1" operator="equal">
      <formula>"Verifiziert"</formula>
    </cfRule>
    <cfRule type="cellIs" dxfId="12" priority="2" operator="equal">
      <formula>"Weiterleitung"</formula>
    </cfRule>
    <cfRule type="cellIs" dxfId="11" priority="3" operator="equal">
      <formula>"Fehler"</formula>
    </cfRule>
    <cfRule type="cellIs" dxfId="10" priority="4" operator="equal">
      <formula>"Nicht prüfbar"</formula>
    </cfRule>
  </conditionalFormatting>
  <conditionalFormatting sqref="AH2:AH500">
    <cfRule type="cellIs" dxfId="9" priority="5" operator="equal">
      <formula>"Bestätigt"</formula>
    </cfRule>
    <cfRule type="cellIs" dxfId="8" priority="6" operator="equal">
      <formula>"Teilweise bestätigt"</formula>
    </cfRule>
    <cfRule type="cellIs" dxfId="7" priority="7" operator="equal">
      <formula>"Offen"</formula>
    </cfRule>
  </conditionalFormatting>
  <dataValidations count="10">
    <dataValidation type="list" allowBlank="1" sqref="B2:B500" xr:uid="{00000000-0002-0000-0300-000000000000}">
      <formula1>"Bund,Kanton,Gemeinde"</formula1>
    </dataValidation>
    <dataValidation type="list" allowBlank="1" sqref="F2:F500" xr:uid="{00000000-0002-0000-0300-000001000000}">
      <formula1>"C1,C2,C3,C4,C5"</formula1>
    </dataValidation>
    <dataValidation type="list" allowBlank="1" sqref="T2:T500" xr:uid="{00000000-0002-0000-0300-000002000000}">
      <formula1>"Noch nicht bewertet,Hoch,Mittel,Gering"</formula1>
    </dataValidation>
    <dataValidation type="list" allowBlank="1" sqref="U2:U500" xr:uid="{00000000-0002-0000-0300-000003000000}">
      <formula1>"Hoch,Mittel,Niedrig"</formula1>
    </dataValidation>
    <dataValidation type="list" allowBlank="1" sqref="Y2:Y500" xr:uid="{00000000-0002-0000-0300-000004000000}">
      <formula1>"Dokument auswerten; Aktualität und Geltung prüfen,In Bearbeitung,Geprüft,Nachforderung offen"</formula1>
    </dataValidation>
    <dataValidation type="list" allowBlank="1" sqref="AD2:AD500" xr:uid="{00000000-0002-0000-0300-000005000000}">
      <formula1>"Verifiziert,Weiterleitung,Fehler,Nicht prüfbar"</formula1>
    </dataValidation>
    <dataValidation type="list" allowBlank="1" sqref="AH2:AH500" xr:uid="{00000000-0002-0000-0300-000006000000}">
      <formula1>"Bestätigt,Teilweise bestätigt,Offen"</formula1>
    </dataValidation>
    <dataValidation type="list" allowBlank="1" sqref="AN2:AN500" xr:uid="{00000000-0002-0000-0300-000007000000}">
      <formula1>"Öffentlich verfügbar und verifiziert,Öffentlich verfügbar – noch nicht geprüft,Nicht öffentlich auffindbar,Nur über Gemeindeanfrage erhältlich,Nicht zugänglich / nicht prüfbar"</formula1>
    </dataValidation>
    <dataValidation type="list" allowBlank="1" sqref="AR2:AR500" xr:uid="{00000000-0002-0000-0300-000008000000}">
      <formula1>"Ja,Nein"</formula1>
    </dataValidation>
    <dataValidation type="list" allowBlank="1" sqref="AT2:AT500" xr:uid="{00000000-0002-0000-0300-000009000000}">
      <formula1>"Offen,In Prüfung,Abgeschlossen"</formula1>
    </dataValidation>
  </dataValidations>
  <hyperlinks>
    <hyperlink ref="M2" r:id="rId1" xr:uid="{00000000-0004-0000-0300-000000000000}"/>
    <hyperlink ref="AC2" r:id="rId2" xr:uid="{00000000-0004-0000-0300-000001000000}"/>
    <hyperlink ref="M3" r:id="rId3" xr:uid="{00000000-0004-0000-0300-000002000000}"/>
    <hyperlink ref="M4" r:id="rId4" xr:uid="{00000000-0004-0000-0300-000003000000}"/>
    <hyperlink ref="AC4" r:id="rId5" xr:uid="{00000000-0004-0000-0300-000004000000}"/>
    <hyperlink ref="M5" r:id="rId6" xr:uid="{00000000-0004-0000-0300-000005000000}"/>
    <hyperlink ref="M6" r:id="rId7" xr:uid="{00000000-0004-0000-0300-000006000000}"/>
    <hyperlink ref="M7" r:id="rId8" xr:uid="{00000000-0004-0000-0300-000007000000}"/>
    <hyperlink ref="M8" r:id="rId9" xr:uid="{00000000-0004-0000-0300-000008000000}"/>
    <hyperlink ref="M9" r:id="rId10" xr:uid="{00000000-0004-0000-0300-000009000000}"/>
    <hyperlink ref="M10" r:id="rId11" xr:uid="{00000000-0004-0000-0300-00000A000000}"/>
    <hyperlink ref="M11" r:id="rId12" xr:uid="{00000000-0004-0000-0300-00000B000000}"/>
    <hyperlink ref="M12" r:id="rId13" xr:uid="{00000000-0004-0000-0300-00000C000000}"/>
    <hyperlink ref="M13" r:id="rId14" xr:uid="{00000000-0004-0000-0300-00000D000000}"/>
    <hyperlink ref="M14" r:id="rId15" xr:uid="{00000000-0004-0000-0300-00000E000000}"/>
    <hyperlink ref="M15" r:id="rId16" xr:uid="{00000000-0004-0000-0300-00000F000000}"/>
    <hyperlink ref="M16" r:id="rId17" xr:uid="{00000000-0004-0000-0300-000010000000}"/>
    <hyperlink ref="M17" r:id="rId18" xr:uid="{00000000-0004-0000-0300-000011000000}"/>
    <hyperlink ref="M18" r:id="rId19" xr:uid="{00000000-0004-0000-0300-000012000000}"/>
    <hyperlink ref="M19" r:id="rId20" xr:uid="{00000000-0004-0000-0300-000013000000}"/>
    <hyperlink ref="M20" r:id="rId21" xr:uid="{00000000-0004-0000-0300-000014000000}"/>
    <hyperlink ref="M21" r:id="rId22" xr:uid="{00000000-0004-0000-0300-000015000000}"/>
    <hyperlink ref="M22" r:id="rId23" xr:uid="{00000000-0004-0000-0300-000016000000}"/>
    <hyperlink ref="M23" r:id="rId24" xr:uid="{00000000-0004-0000-0300-000017000000}"/>
    <hyperlink ref="M24" r:id="rId25" xr:uid="{00000000-0004-0000-0300-000018000000}"/>
    <hyperlink ref="M25" r:id="rId26" xr:uid="{00000000-0004-0000-0300-000019000000}"/>
    <hyperlink ref="M26" r:id="rId27" xr:uid="{00000000-0004-0000-0300-00001A000000}"/>
    <hyperlink ref="M27" r:id="rId28" xr:uid="{00000000-0004-0000-0300-00001B000000}"/>
    <hyperlink ref="M28" r:id="rId29" xr:uid="{00000000-0004-0000-0300-00001C000000}"/>
    <hyperlink ref="M29" r:id="rId30" xr:uid="{00000000-0004-0000-0300-00001D000000}"/>
    <hyperlink ref="M30" r:id="rId31" xr:uid="{00000000-0004-0000-0300-00001E000000}"/>
    <hyperlink ref="M31" r:id="rId32" xr:uid="{00000000-0004-0000-0300-00001F000000}"/>
    <hyperlink ref="AC31" r:id="rId33" xr:uid="{00000000-0004-0000-0300-000020000000}"/>
    <hyperlink ref="M32" r:id="rId34" xr:uid="{00000000-0004-0000-0300-000021000000}"/>
    <hyperlink ref="M33" r:id="rId35" xr:uid="{00000000-0004-0000-0300-000022000000}"/>
    <hyperlink ref="AC33" r:id="rId36" xr:uid="{00000000-0004-0000-0300-000023000000}"/>
    <hyperlink ref="M34" r:id="rId37" xr:uid="{00000000-0004-0000-0300-000024000000}"/>
    <hyperlink ref="M35" r:id="rId38" xr:uid="{00000000-0004-0000-0300-000025000000}"/>
    <hyperlink ref="M36" r:id="rId39" xr:uid="{00000000-0004-0000-0300-000026000000}"/>
    <hyperlink ref="AC36" r:id="rId40" xr:uid="{00000000-0004-0000-0300-000027000000}"/>
    <hyperlink ref="M37" r:id="rId41" xr:uid="{00000000-0004-0000-0300-000028000000}"/>
    <hyperlink ref="M38" r:id="rId42" xr:uid="{00000000-0004-0000-0300-000029000000}"/>
    <hyperlink ref="M39" r:id="rId43" xr:uid="{00000000-0004-0000-0300-00002A000000}"/>
    <hyperlink ref="M40" r:id="rId44" xr:uid="{00000000-0004-0000-0300-00002B000000}"/>
    <hyperlink ref="M41" r:id="rId45" xr:uid="{00000000-0004-0000-0300-00002C000000}"/>
    <hyperlink ref="M42" r:id="rId46" xr:uid="{00000000-0004-0000-0300-00002D000000}"/>
  </hyperlinks>
  <pageMargins left="0.75" right="0.75" top="1" bottom="1" header="0.5" footer="0.5"/>
  <tableParts count="1">
    <tablePart r:id="rId47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X41"/>
  <sheetViews>
    <sheetView showGridLines="0" workbookViewId="0">
      <pane xSplit="7" ySplit="1" topLeftCell="H2" activePane="bottomRight" state="frozen"/>
      <selection pane="bottomRight"/>
      <selection pane="bottomLeft"/>
      <selection pane="topRight"/>
    </sheetView>
  </sheetViews>
  <sheetFormatPr defaultRowHeight="15"/>
  <cols>
    <col min="1" max="1" width="13" customWidth="1"/>
    <col min="2" max="2" width="15" customWidth="1"/>
    <col min="3" max="3" width="14" customWidth="1"/>
    <col min="4" max="4" width="22" customWidth="1"/>
    <col min="5" max="5" width="18" customWidth="1"/>
    <col min="6" max="6" width="15" customWidth="1"/>
    <col min="7" max="7" width="24" customWidth="1"/>
    <col min="8" max="8" width="48" customWidth="1"/>
    <col min="9" max="9" width="21" customWidth="1"/>
    <col min="10" max="10" width="28" customWidth="1"/>
    <col min="11" max="11" width="26" customWidth="1"/>
    <col min="12" max="12" width="24" customWidth="1"/>
    <col min="13" max="13" width="45" customWidth="1"/>
    <col min="14" max="15" width="19" customWidth="1"/>
    <col min="16" max="16" width="54" customWidth="1"/>
    <col min="17" max="17" width="35" customWidth="1"/>
    <col min="18" max="18" width="49" customWidth="1"/>
    <col min="19" max="19" width="32" customWidth="1"/>
    <col min="20" max="20" width="26" customWidth="1"/>
    <col min="21" max="21" width="14" customWidth="1"/>
    <col min="22" max="22" width="44" customWidth="1"/>
    <col min="23" max="23" width="24" customWidth="1"/>
    <col min="24" max="24" width="39" customWidth="1"/>
    <col min="25" max="25" width="40" customWidth="1"/>
    <col min="26" max="26" width="31" customWidth="1"/>
    <col min="27" max="27" width="16" customWidth="1"/>
    <col min="28" max="28" width="18" customWidth="1"/>
    <col min="29" max="29" width="40" customWidth="1"/>
    <col min="30" max="30" width="16" customWidth="1"/>
    <col min="31" max="31" width="12" customWidth="1"/>
    <col min="32" max="32" width="40" customWidth="1"/>
    <col min="33" max="33" width="11" customWidth="1"/>
    <col min="34" max="34" width="18" customWidth="1"/>
    <col min="35" max="35" width="50" customWidth="1"/>
    <col min="36" max="36" width="40" customWidth="1"/>
    <col min="37" max="37" width="18" customWidth="1"/>
    <col min="38" max="38" width="26" customWidth="1"/>
    <col min="39" max="39" width="18" customWidth="1"/>
    <col min="40" max="40" width="30" customWidth="1"/>
    <col min="41" max="41" width="20" customWidth="1"/>
    <col min="42" max="42" width="50" customWidth="1"/>
    <col min="43" max="43" width="44" customWidth="1"/>
    <col min="44" max="44" width="15" customWidth="1"/>
    <col min="45" max="45" width="30" customWidth="1"/>
    <col min="46" max="46" width="16" customWidth="1"/>
    <col min="47" max="47" width="50" customWidth="1"/>
    <col min="48" max="48" width="18" customWidth="1"/>
    <col min="49" max="49" width="50" customWidth="1"/>
    <col min="50" max="50" width="26" customWidth="1"/>
  </cols>
  <sheetData>
    <row r="1" spans="1:50" ht="36" customHeight="1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F1" s="1" t="s">
        <v>49</v>
      </c>
      <c r="G1" s="1" t="s">
        <v>50</v>
      </c>
      <c r="H1" s="1" t="s">
        <v>51</v>
      </c>
      <c r="I1" s="1" t="s">
        <v>52</v>
      </c>
      <c r="J1" s="1" t="s">
        <v>53</v>
      </c>
      <c r="K1" s="1" t="s">
        <v>54</v>
      </c>
      <c r="L1" s="1" t="s">
        <v>55</v>
      </c>
      <c r="M1" s="1" t="s">
        <v>56</v>
      </c>
      <c r="N1" s="1" t="s">
        <v>57</v>
      </c>
      <c r="O1" s="1" t="s">
        <v>58</v>
      </c>
      <c r="P1" s="1" t="s">
        <v>59</v>
      </c>
      <c r="Q1" s="1" t="s">
        <v>60</v>
      </c>
      <c r="R1" s="1" t="s">
        <v>61</v>
      </c>
      <c r="S1" s="1" t="s">
        <v>62</v>
      </c>
      <c r="T1" s="1" t="s">
        <v>63</v>
      </c>
      <c r="U1" s="1" t="s">
        <v>12</v>
      </c>
      <c r="V1" s="1" t="s">
        <v>64</v>
      </c>
      <c r="W1" s="1" t="s">
        <v>65</v>
      </c>
      <c r="X1" s="1" t="s">
        <v>66</v>
      </c>
      <c r="Y1" s="1" t="s">
        <v>67</v>
      </c>
      <c r="Z1" s="1" t="s">
        <v>68</v>
      </c>
      <c r="AA1" s="1" t="s">
        <v>69</v>
      </c>
      <c r="AB1" s="1" t="s">
        <v>70</v>
      </c>
      <c r="AC1" s="1" t="s">
        <v>71</v>
      </c>
      <c r="AD1" s="1" t="s">
        <v>26</v>
      </c>
      <c r="AE1" s="1" t="s">
        <v>72</v>
      </c>
      <c r="AF1" s="1" t="s">
        <v>73</v>
      </c>
      <c r="AG1" s="1" t="s">
        <v>74</v>
      </c>
      <c r="AH1" s="1" t="s">
        <v>28</v>
      </c>
      <c r="AI1" s="1" t="s">
        <v>75</v>
      </c>
      <c r="AJ1" s="1" t="s">
        <v>76</v>
      </c>
      <c r="AK1" s="1" t="s">
        <v>77</v>
      </c>
      <c r="AL1" s="1" t="s">
        <v>78</v>
      </c>
      <c r="AM1" s="1" t="s">
        <v>79</v>
      </c>
      <c r="AN1" s="1" t="s">
        <v>30</v>
      </c>
      <c r="AO1" s="1" t="s">
        <v>80</v>
      </c>
      <c r="AP1" s="1" t="s">
        <v>81</v>
      </c>
      <c r="AQ1" s="1" t="s">
        <v>82</v>
      </c>
      <c r="AR1" s="1" t="s">
        <v>83</v>
      </c>
      <c r="AS1" s="1" t="s">
        <v>84</v>
      </c>
      <c r="AT1" s="1" t="s">
        <v>85</v>
      </c>
      <c r="AU1" s="1" t="s">
        <v>86</v>
      </c>
      <c r="AV1" s="1" t="s">
        <v>87</v>
      </c>
      <c r="AW1" s="1" t="s">
        <v>88</v>
      </c>
      <c r="AX1" s="1" t="s">
        <v>1239</v>
      </c>
    </row>
    <row r="2" spans="1:50" ht="42.95" customHeight="1">
      <c r="A2" s="12" t="s">
        <v>89</v>
      </c>
      <c r="B2" s="7" t="s">
        <v>90</v>
      </c>
      <c r="C2" s="12" t="s">
        <v>46</v>
      </c>
      <c r="D2" s="12" t="s">
        <v>91</v>
      </c>
      <c r="E2" s="12" t="s">
        <v>91</v>
      </c>
      <c r="F2" s="12" t="s">
        <v>92</v>
      </c>
      <c r="G2" s="12" t="s">
        <v>93</v>
      </c>
      <c r="H2" s="12" t="s">
        <v>94</v>
      </c>
      <c r="I2" s="12" t="s">
        <v>95</v>
      </c>
      <c r="J2" s="12" t="s">
        <v>96</v>
      </c>
      <c r="K2" s="12" t="s">
        <v>97</v>
      </c>
      <c r="L2" s="12" t="s">
        <v>90</v>
      </c>
      <c r="M2" s="13" t="s">
        <v>98</v>
      </c>
      <c r="N2" s="12" t="s">
        <v>99</v>
      </c>
      <c r="O2" s="12" t="s">
        <v>100</v>
      </c>
      <c r="P2" s="12" t="s">
        <v>101</v>
      </c>
      <c r="Q2" s="12" t="s">
        <v>102</v>
      </c>
      <c r="R2" s="12" t="s">
        <v>103</v>
      </c>
      <c r="S2" s="12" t="s">
        <v>104</v>
      </c>
      <c r="T2" s="12" t="s">
        <v>105</v>
      </c>
      <c r="U2" s="12" t="s">
        <v>106</v>
      </c>
      <c r="V2" s="12"/>
      <c r="W2" s="12" t="s">
        <v>107</v>
      </c>
      <c r="X2" s="12" t="s">
        <v>108</v>
      </c>
      <c r="Y2" s="12" t="s">
        <v>109</v>
      </c>
      <c r="Z2" s="12" t="s">
        <v>110</v>
      </c>
      <c r="AA2" s="12"/>
      <c r="AB2" s="12"/>
      <c r="AC2" s="13" t="s">
        <v>111</v>
      </c>
      <c r="AD2" s="12" t="s">
        <v>112</v>
      </c>
      <c r="AE2" s="12" t="s">
        <v>113</v>
      </c>
      <c r="AF2" s="12"/>
      <c r="AG2" s="12" t="s">
        <v>114</v>
      </c>
      <c r="AH2" s="12" t="s">
        <v>115</v>
      </c>
      <c r="AI2" s="12" t="s">
        <v>116</v>
      </c>
      <c r="AJ2" s="12" t="s">
        <v>117</v>
      </c>
      <c r="AK2" s="12" t="s">
        <v>118</v>
      </c>
      <c r="AL2" s="12" t="s">
        <v>119</v>
      </c>
      <c r="AM2" s="12" t="s">
        <v>120</v>
      </c>
      <c r="AN2" s="12" t="s">
        <v>121</v>
      </c>
      <c r="AO2" s="12" t="s">
        <v>99</v>
      </c>
      <c r="AP2" s="12" t="s">
        <v>122</v>
      </c>
      <c r="AQ2" s="12" t="s">
        <v>123</v>
      </c>
      <c r="AR2" s="12" t="s">
        <v>124</v>
      </c>
      <c r="AS2" s="12" t="s">
        <v>90</v>
      </c>
      <c r="AT2" s="12" t="s">
        <v>125</v>
      </c>
      <c r="AU2" s="12"/>
      <c r="AV2" s="12"/>
      <c r="AW2" s="12"/>
      <c r="AX2" s="12" t="str">
        <f>IF(ISNA(MATCH($A2,Gesamtübersicht!$A:$A,0)),"ID fehlt in Gesamtübersicht",IF(AND(INDEX(Gesamtübersicht!$H:$H,MATCH($A2,Gesamtübersicht!$A:$A,0))&amp;""=$H2&amp;"",INDEX(Gesamtübersicht!$M:$M,MATCH($A2,Gesamtübersicht!$A:$A,0))&amp;""=$M2&amp;"",INDEX(Gesamtübersicht!$AD:$AD,MATCH($A2,Gesamtübersicht!$A:$A,0))&amp;""=$AD2&amp;"",INDEX(Gesamtübersicht!$AH:$AH,MATCH($A2,Gesamtübersicht!$A:$A,0))&amp;""=$AH2&amp;"",INDEX(Gesamtübersicht!$T:$T,MATCH($A2,Gesamtübersicht!$A:$A,0))&amp;""=$T2&amp;""),"OK","Abweichung – Ansicht neu erzeugen"))</f>
        <v>OK</v>
      </c>
    </row>
    <row r="3" spans="1:50" ht="42.95" customHeight="1">
      <c r="A3" s="2" t="s">
        <v>126</v>
      </c>
      <c r="B3" s="7" t="s">
        <v>90</v>
      </c>
      <c r="C3" s="2" t="s">
        <v>46</v>
      </c>
      <c r="D3" s="2" t="s">
        <v>91</v>
      </c>
      <c r="E3" s="2" t="s">
        <v>91</v>
      </c>
      <c r="F3" s="2" t="s">
        <v>92</v>
      </c>
      <c r="G3" s="2" t="s">
        <v>127</v>
      </c>
      <c r="H3" s="2" t="s">
        <v>128</v>
      </c>
      <c r="I3" s="2" t="s">
        <v>129</v>
      </c>
      <c r="J3" s="2" t="s">
        <v>96</v>
      </c>
      <c r="K3" s="2" t="s">
        <v>97</v>
      </c>
      <c r="L3" s="2" t="s">
        <v>90</v>
      </c>
      <c r="M3" s="3" t="s">
        <v>130</v>
      </c>
      <c r="N3" s="2" t="s">
        <v>99</v>
      </c>
      <c r="O3" s="2" t="s">
        <v>100</v>
      </c>
      <c r="P3" s="2" t="s">
        <v>131</v>
      </c>
      <c r="Q3" s="2" t="s">
        <v>132</v>
      </c>
      <c r="R3" s="2" t="s">
        <v>133</v>
      </c>
      <c r="S3" s="2" t="s">
        <v>134</v>
      </c>
      <c r="T3" s="2" t="s">
        <v>105</v>
      </c>
      <c r="U3" s="2" t="s">
        <v>106</v>
      </c>
      <c r="V3" s="2"/>
      <c r="W3" s="2" t="s">
        <v>135</v>
      </c>
      <c r="X3" s="2" t="s">
        <v>136</v>
      </c>
      <c r="Y3" s="2" t="s">
        <v>109</v>
      </c>
      <c r="Z3" s="2" t="s">
        <v>110</v>
      </c>
      <c r="AA3" s="2"/>
      <c r="AB3" s="2"/>
      <c r="AC3" s="2"/>
      <c r="AD3" s="2" t="s">
        <v>112</v>
      </c>
      <c r="AE3" s="2" t="s">
        <v>113</v>
      </c>
      <c r="AF3" s="2"/>
      <c r="AG3" s="2" t="s">
        <v>114</v>
      </c>
      <c r="AH3" s="2" t="s">
        <v>115</v>
      </c>
      <c r="AI3" s="2" t="s">
        <v>116</v>
      </c>
      <c r="AJ3" s="2" t="s">
        <v>137</v>
      </c>
      <c r="AK3" s="2" t="s">
        <v>138</v>
      </c>
      <c r="AL3" s="2" t="s">
        <v>119</v>
      </c>
      <c r="AM3" s="2" t="s">
        <v>120</v>
      </c>
      <c r="AN3" s="2" t="s">
        <v>121</v>
      </c>
      <c r="AO3" s="2" t="s">
        <v>99</v>
      </c>
      <c r="AP3" s="2" t="s">
        <v>122</v>
      </c>
      <c r="AQ3" s="2" t="s">
        <v>123</v>
      </c>
      <c r="AR3" s="2" t="s">
        <v>124</v>
      </c>
      <c r="AS3" s="2" t="s">
        <v>90</v>
      </c>
      <c r="AT3" s="2" t="s">
        <v>125</v>
      </c>
      <c r="AU3" s="2"/>
      <c r="AV3" s="2"/>
      <c r="AW3" s="2"/>
      <c r="AX3" s="2" t="str">
        <f>IF(ISNA(MATCH($A3,Gesamtübersicht!$A:$A,0)),"ID fehlt in Gesamtübersicht",IF(AND(INDEX(Gesamtübersicht!$H:$H,MATCH($A3,Gesamtübersicht!$A:$A,0))&amp;""=$H3&amp;"",INDEX(Gesamtübersicht!$M:$M,MATCH($A3,Gesamtübersicht!$A:$A,0))&amp;""=$M3&amp;"",INDEX(Gesamtübersicht!$AD:$AD,MATCH($A3,Gesamtübersicht!$A:$A,0))&amp;""=$AD3&amp;"",INDEX(Gesamtübersicht!$AH:$AH,MATCH($A3,Gesamtübersicht!$A:$A,0))&amp;""=$AH3&amp;"",INDEX(Gesamtübersicht!$T:$T,MATCH($A3,Gesamtübersicht!$A:$A,0))&amp;""=$T3&amp;""),"OK","Abweichung – Ansicht neu erzeugen"))</f>
        <v>OK</v>
      </c>
    </row>
    <row r="4" spans="1:50" ht="42.95" customHeight="1">
      <c r="A4" s="12" t="s">
        <v>139</v>
      </c>
      <c r="B4" s="7" t="s">
        <v>90</v>
      </c>
      <c r="C4" s="12" t="s">
        <v>46</v>
      </c>
      <c r="D4" s="12" t="s">
        <v>91</v>
      </c>
      <c r="E4" s="12" t="s">
        <v>91</v>
      </c>
      <c r="F4" s="12" t="s">
        <v>92</v>
      </c>
      <c r="G4" s="12" t="s">
        <v>140</v>
      </c>
      <c r="H4" s="12" t="s">
        <v>141</v>
      </c>
      <c r="I4" s="12" t="s">
        <v>129</v>
      </c>
      <c r="J4" s="12" t="s">
        <v>142</v>
      </c>
      <c r="K4" s="12" t="s">
        <v>143</v>
      </c>
      <c r="L4" s="12" t="s">
        <v>144</v>
      </c>
      <c r="M4" s="13" t="s">
        <v>145</v>
      </c>
      <c r="N4" s="12"/>
      <c r="O4" s="12" t="s">
        <v>100</v>
      </c>
      <c r="P4" s="12" t="s">
        <v>146</v>
      </c>
      <c r="Q4" s="12" t="s">
        <v>147</v>
      </c>
      <c r="R4" s="12"/>
      <c r="S4" s="12" t="s">
        <v>134</v>
      </c>
      <c r="T4" s="12" t="s">
        <v>105</v>
      </c>
      <c r="U4" s="12" t="s">
        <v>106</v>
      </c>
      <c r="V4" s="12"/>
      <c r="W4" s="12" t="s">
        <v>92</v>
      </c>
      <c r="X4" s="12" t="s">
        <v>148</v>
      </c>
      <c r="Y4" s="12" t="s">
        <v>109</v>
      </c>
      <c r="Z4" s="12" t="s">
        <v>149</v>
      </c>
      <c r="AA4" s="12"/>
      <c r="AB4" s="12"/>
      <c r="AC4" s="13" t="s">
        <v>98</v>
      </c>
      <c r="AD4" s="12" t="s">
        <v>112</v>
      </c>
      <c r="AE4" s="12" t="s">
        <v>113</v>
      </c>
      <c r="AF4" s="12"/>
      <c r="AG4" s="12" t="s">
        <v>114</v>
      </c>
      <c r="AH4" s="12" t="s">
        <v>115</v>
      </c>
      <c r="AI4" s="12" t="s">
        <v>150</v>
      </c>
      <c r="AJ4" s="12" t="s">
        <v>151</v>
      </c>
      <c r="AK4" s="12" t="s">
        <v>152</v>
      </c>
      <c r="AL4" s="12" t="s">
        <v>119</v>
      </c>
      <c r="AM4" s="12" t="s">
        <v>153</v>
      </c>
      <c r="AN4" s="12" t="s">
        <v>121</v>
      </c>
      <c r="AO4" s="12"/>
      <c r="AP4" s="12" t="s">
        <v>122</v>
      </c>
      <c r="AQ4" s="12" t="s">
        <v>123</v>
      </c>
      <c r="AR4" s="12" t="s">
        <v>124</v>
      </c>
      <c r="AS4" s="12" t="s">
        <v>144</v>
      </c>
      <c r="AT4" s="12" t="s">
        <v>125</v>
      </c>
      <c r="AU4" s="12" t="s">
        <v>154</v>
      </c>
      <c r="AV4" s="12"/>
      <c r="AW4" s="12" t="s">
        <v>155</v>
      </c>
      <c r="AX4" s="12" t="str">
        <f>IF(ISNA(MATCH($A4,Gesamtübersicht!$A:$A,0)),"ID fehlt in Gesamtübersicht",IF(AND(INDEX(Gesamtübersicht!$H:$H,MATCH($A4,Gesamtübersicht!$A:$A,0))&amp;""=$H4&amp;"",INDEX(Gesamtübersicht!$M:$M,MATCH($A4,Gesamtübersicht!$A:$A,0))&amp;""=$M4&amp;"",INDEX(Gesamtübersicht!$AD:$AD,MATCH($A4,Gesamtübersicht!$A:$A,0))&amp;""=$AD4&amp;"",INDEX(Gesamtübersicht!$AH:$AH,MATCH($A4,Gesamtübersicht!$A:$A,0))&amp;""=$AH4&amp;"",INDEX(Gesamtübersicht!$T:$T,MATCH($A4,Gesamtübersicht!$A:$A,0))&amp;""=$T4&amp;""),"OK","Abweichung – Ansicht neu erzeugen"))</f>
        <v>OK</v>
      </c>
    </row>
    <row r="5" spans="1:50" ht="42.95" customHeight="1">
      <c r="A5" s="2" t="s">
        <v>156</v>
      </c>
      <c r="B5" s="7" t="s">
        <v>90</v>
      </c>
      <c r="C5" s="2" t="s">
        <v>46</v>
      </c>
      <c r="D5" s="2" t="s">
        <v>91</v>
      </c>
      <c r="E5" s="2" t="s">
        <v>91</v>
      </c>
      <c r="F5" s="2" t="s">
        <v>92</v>
      </c>
      <c r="G5" s="2" t="s">
        <v>157</v>
      </c>
      <c r="H5" s="2" t="s">
        <v>158</v>
      </c>
      <c r="I5" s="2" t="s">
        <v>159</v>
      </c>
      <c r="J5" s="2" t="s">
        <v>160</v>
      </c>
      <c r="K5" s="2" t="s">
        <v>161</v>
      </c>
      <c r="L5" s="2" t="s">
        <v>162</v>
      </c>
      <c r="M5" s="3" t="s">
        <v>163</v>
      </c>
      <c r="N5" s="2"/>
      <c r="O5" s="2" t="s">
        <v>100</v>
      </c>
      <c r="P5" s="2" t="s">
        <v>164</v>
      </c>
      <c r="Q5" s="2" t="s">
        <v>165</v>
      </c>
      <c r="R5" s="2"/>
      <c r="S5" s="2" t="s">
        <v>134</v>
      </c>
      <c r="T5" s="2" t="s">
        <v>105</v>
      </c>
      <c r="U5" s="2" t="s">
        <v>166</v>
      </c>
      <c r="V5" s="2"/>
      <c r="W5" s="2"/>
      <c r="X5" s="2"/>
      <c r="Y5" s="2" t="s">
        <v>109</v>
      </c>
      <c r="Z5" s="2" t="s">
        <v>167</v>
      </c>
      <c r="AA5" s="2"/>
      <c r="AB5" s="2"/>
      <c r="AC5" s="2"/>
      <c r="AD5" s="2" t="s">
        <v>112</v>
      </c>
      <c r="AE5" s="2" t="s">
        <v>113</v>
      </c>
      <c r="AF5" s="2"/>
      <c r="AG5" s="2" t="s">
        <v>114</v>
      </c>
      <c r="AH5" s="2" t="s">
        <v>115</v>
      </c>
      <c r="AI5" s="2" t="s">
        <v>168</v>
      </c>
      <c r="AJ5" s="2" t="s">
        <v>169</v>
      </c>
      <c r="AK5" s="2" t="s">
        <v>170</v>
      </c>
      <c r="AL5" s="2" t="s">
        <v>119</v>
      </c>
      <c r="AM5" s="2" t="s">
        <v>153</v>
      </c>
      <c r="AN5" s="2" t="s">
        <v>121</v>
      </c>
      <c r="AO5" s="2"/>
      <c r="AP5" s="2" t="s">
        <v>122</v>
      </c>
      <c r="AQ5" s="2" t="s">
        <v>123</v>
      </c>
      <c r="AR5" s="2" t="s">
        <v>124</v>
      </c>
      <c r="AS5" s="2" t="s">
        <v>162</v>
      </c>
      <c r="AT5" s="2" t="s">
        <v>125</v>
      </c>
      <c r="AU5" s="2"/>
      <c r="AV5" s="2"/>
      <c r="AW5" s="2" t="s">
        <v>155</v>
      </c>
      <c r="AX5" s="2" t="str">
        <f>IF(ISNA(MATCH($A5,Gesamtübersicht!$A:$A,0)),"ID fehlt in Gesamtübersicht",IF(AND(INDEX(Gesamtübersicht!$H:$H,MATCH($A5,Gesamtübersicht!$A:$A,0))&amp;""=$H5&amp;"",INDEX(Gesamtübersicht!$M:$M,MATCH($A5,Gesamtübersicht!$A:$A,0))&amp;""=$M5&amp;"",INDEX(Gesamtübersicht!$AD:$AD,MATCH($A5,Gesamtübersicht!$A:$A,0))&amp;""=$AD5&amp;"",INDEX(Gesamtübersicht!$AH:$AH,MATCH($A5,Gesamtübersicht!$A:$A,0))&amp;""=$AH5&amp;"",INDEX(Gesamtübersicht!$T:$T,MATCH($A5,Gesamtübersicht!$A:$A,0))&amp;""=$T5&amp;""),"OK","Abweichung – Ansicht neu erzeugen"))</f>
        <v>OK</v>
      </c>
    </row>
    <row r="6" spans="1:50" ht="42.95" customHeight="1">
      <c r="A6" s="12" t="s">
        <v>171</v>
      </c>
      <c r="B6" s="7" t="s">
        <v>90</v>
      </c>
      <c r="C6" s="12" t="s">
        <v>46</v>
      </c>
      <c r="D6" s="12" t="s">
        <v>91</v>
      </c>
      <c r="E6" s="12" t="s">
        <v>91</v>
      </c>
      <c r="F6" s="12" t="s">
        <v>172</v>
      </c>
      <c r="G6" s="12" t="s">
        <v>173</v>
      </c>
      <c r="H6" s="12" t="s">
        <v>174</v>
      </c>
      <c r="I6" s="12" t="s">
        <v>175</v>
      </c>
      <c r="J6" s="12" t="s">
        <v>96</v>
      </c>
      <c r="K6" s="12" t="s">
        <v>176</v>
      </c>
      <c r="L6" s="12" t="s">
        <v>90</v>
      </c>
      <c r="M6" s="13" t="s">
        <v>177</v>
      </c>
      <c r="N6" s="12" t="s">
        <v>178</v>
      </c>
      <c r="O6" s="12" t="s">
        <v>100</v>
      </c>
      <c r="P6" s="12" t="s">
        <v>179</v>
      </c>
      <c r="Q6" s="12" t="s">
        <v>180</v>
      </c>
      <c r="R6" s="12" t="s">
        <v>181</v>
      </c>
      <c r="S6" s="12" t="s">
        <v>182</v>
      </c>
      <c r="T6" s="12" t="s">
        <v>105</v>
      </c>
      <c r="U6" s="12" t="s">
        <v>106</v>
      </c>
      <c r="V6" s="12"/>
      <c r="W6" s="12" t="s">
        <v>183</v>
      </c>
      <c r="X6" s="12" t="s">
        <v>184</v>
      </c>
      <c r="Y6" s="12" t="s">
        <v>109</v>
      </c>
      <c r="Z6" s="12" t="s">
        <v>110</v>
      </c>
      <c r="AA6" s="12"/>
      <c r="AB6" s="12"/>
      <c r="AC6" s="12"/>
      <c r="AD6" s="12" t="s">
        <v>112</v>
      </c>
      <c r="AE6" s="12" t="s">
        <v>113</v>
      </c>
      <c r="AF6" s="12"/>
      <c r="AG6" s="12" t="s">
        <v>114</v>
      </c>
      <c r="AH6" s="12" t="s">
        <v>115</v>
      </c>
      <c r="AI6" s="12" t="s">
        <v>185</v>
      </c>
      <c r="AJ6" s="12" t="s">
        <v>186</v>
      </c>
      <c r="AK6" s="12"/>
      <c r="AL6" s="12" t="s">
        <v>187</v>
      </c>
      <c r="AM6" s="12" t="s">
        <v>120</v>
      </c>
      <c r="AN6" s="12" t="s">
        <v>121</v>
      </c>
      <c r="AO6" s="12" t="s">
        <v>178</v>
      </c>
      <c r="AP6" s="12" t="s">
        <v>122</v>
      </c>
      <c r="AQ6" s="12" t="s">
        <v>123</v>
      </c>
      <c r="AR6" s="12" t="s">
        <v>124</v>
      </c>
      <c r="AS6" s="12" t="s">
        <v>90</v>
      </c>
      <c r="AT6" s="12" t="s">
        <v>125</v>
      </c>
      <c r="AU6" s="12"/>
      <c r="AV6" s="12"/>
      <c r="AW6" s="12"/>
      <c r="AX6" s="12" t="str">
        <f>IF(ISNA(MATCH($A6,Gesamtübersicht!$A:$A,0)),"ID fehlt in Gesamtübersicht",IF(AND(INDEX(Gesamtübersicht!$H:$H,MATCH($A6,Gesamtübersicht!$A:$A,0))&amp;""=$H6&amp;"",INDEX(Gesamtübersicht!$M:$M,MATCH($A6,Gesamtübersicht!$A:$A,0))&amp;""=$M6&amp;"",INDEX(Gesamtübersicht!$AD:$AD,MATCH($A6,Gesamtübersicht!$A:$A,0))&amp;""=$AD6&amp;"",INDEX(Gesamtübersicht!$AH:$AH,MATCH($A6,Gesamtübersicht!$A:$A,0))&amp;""=$AH6&amp;"",INDEX(Gesamtübersicht!$T:$T,MATCH($A6,Gesamtübersicht!$A:$A,0))&amp;""=$T6&amp;""),"OK","Abweichung – Ansicht neu erzeugen"))</f>
        <v>OK</v>
      </c>
    </row>
    <row r="7" spans="1:50" ht="42.95" customHeight="1">
      <c r="A7" s="2" t="s">
        <v>188</v>
      </c>
      <c r="B7" s="7" t="s">
        <v>90</v>
      </c>
      <c r="C7" s="2" t="s">
        <v>46</v>
      </c>
      <c r="D7" s="2" t="s">
        <v>91</v>
      </c>
      <c r="E7" s="2" t="s">
        <v>91</v>
      </c>
      <c r="F7" s="2" t="s">
        <v>172</v>
      </c>
      <c r="G7" s="2" t="s">
        <v>189</v>
      </c>
      <c r="H7" s="2" t="s">
        <v>190</v>
      </c>
      <c r="I7" s="2" t="s">
        <v>175</v>
      </c>
      <c r="J7" s="2" t="s">
        <v>160</v>
      </c>
      <c r="K7" s="2" t="s">
        <v>176</v>
      </c>
      <c r="L7" s="2" t="s">
        <v>90</v>
      </c>
      <c r="M7" s="3" t="s">
        <v>191</v>
      </c>
      <c r="N7" s="2" t="s">
        <v>192</v>
      </c>
      <c r="O7" s="2" t="s">
        <v>100</v>
      </c>
      <c r="P7" s="2" t="s">
        <v>193</v>
      </c>
      <c r="Q7" s="2" t="s">
        <v>194</v>
      </c>
      <c r="R7" s="2"/>
      <c r="S7" s="2" t="s">
        <v>182</v>
      </c>
      <c r="T7" s="2" t="s">
        <v>105</v>
      </c>
      <c r="U7" s="2" t="s">
        <v>106</v>
      </c>
      <c r="V7" s="2"/>
      <c r="W7" s="2" t="s">
        <v>183</v>
      </c>
      <c r="X7" s="2"/>
      <c r="Y7" s="2" t="s">
        <v>109</v>
      </c>
      <c r="Z7" s="2" t="s">
        <v>195</v>
      </c>
      <c r="AA7" s="2"/>
      <c r="AB7" s="2"/>
      <c r="AC7" s="2"/>
      <c r="AD7" s="2" t="s">
        <v>112</v>
      </c>
      <c r="AE7" s="2" t="s">
        <v>113</v>
      </c>
      <c r="AF7" s="2"/>
      <c r="AG7" s="2" t="s">
        <v>114</v>
      </c>
      <c r="AH7" s="2" t="s">
        <v>115</v>
      </c>
      <c r="AI7" s="2" t="s">
        <v>196</v>
      </c>
      <c r="AJ7" s="2" t="s">
        <v>197</v>
      </c>
      <c r="AK7" s="2"/>
      <c r="AL7" s="2" t="s">
        <v>187</v>
      </c>
      <c r="AM7" s="2" t="s">
        <v>153</v>
      </c>
      <c r="AN7" s="2" t="s">
        <v>121</v>
      </c>
      <c r="AO7" s="2" t="s">
        <v>192</v>
      </c>
      <c r="AP7" s="2" t="s">
        <v>122</v>
      </c>
      <c r="AQ7" s="2" t="s">
        <v>123</v>
      </c>
      <c r="AR7" s="2" t="s">
        <v>124</v>
      </c>
      <c r="AS7" s="2" t="s">
        <v>90</v>
      </c>
      <c r="AT7" s="2" t="s">
        <v>125</v>
      </c>
      <c r="AU7" s="2"/>
      <c r="AV7" s="2"/>
      <c r="AW7" s="2" t="s">
        <v>155</v>
      </c>
      <c r="AX7" s="2" t="str">
        <f>IF(ISNA(MATCH($A7,Gesamtübersicht!$A:$A,0)),"ID fehlt in Gesamtübersicht",IF(AND(INDEX(Gesamtübersicht!$H:$H,MATCH($A7,Gesamtübersicht!$A:$A,0))&amp;""=$H7&amp;"",INDEX(Gesamtübersicht!$M:$M,MATCH($A7,Gesamtübersicht!$A:$A,0))&amp;""=$M7&amp;"",INDEX(Gesamtübersicht!$AD:$AD,MATCH($A7,Gesamtübersicht!$A:$A,0))&amp;""=$AD7&amp;"",INDEX(Gesamtübersicht!$AH:$AH,MATCH($A7,Gesamtübersicht!$A:$A,0))&amp;""=$AH7&amp;"",INDEX(Gesamtübersicht!$T:$T,MATCH($A7,Gesamtübersicht!$A:$A,0))&amp;""=$T7&amp;""),"OK","Abweichung – Ansicht neu erzeugen"))</f>
        <v>OK</v>
      </c>
    </row>
    <row r="8" spans="1:50" ht="42.95" customHeight="1">
      <c r="A8" s="12" t="s">
        <v>198</v>
      </c>
      <c r="B8" s="7" t="s">
        <v>90</v>
      </c>
      <c r="C8" s="12" t="s">
        <v>46</v>
      </c>
      <c r="D8" s="12" t="s">
        <v>91</v>
      </c>
      <c r="E8" s="12" t="s">
        <v>91</v>
      </c>
      <c r="F8" s="12" t="s">
        <v>199</v>
      </c>
      <c r="G8" s="12" t="s">
        <v>200</v>
      </c>
      <c r="H8" s="12" t="s">
        <v>201</v>
      </c>
      <c r="I8" s="12" t="s">
        <v>202</v>
      </c>
      <c r="J8" s="12" t="s">
        <v>96</v>
      </c>
      <c r="K8" s="12" t="s">
        <v>203</v>
      </c>
      <c r="L8" s="12" t="s">
        <v>90</v>
      </c>
      <c r="M8" s="13" t="s">
        <v>204</v>
      </c>
      <c r="N8" s="12" t="s">
        <v>205</v>
      </c>
      <c r="O8" s="12" t="s">
        <v>100</v>
      </c>
      <c r="P8" s="12" t="s">
        <v>206</v>
      </c>
      <c r="Q8" s="12" t="s">
        <v>207</v>
      </c>
      <c r="R8" s="12" t="s">
        <v>208</v>
      </c>
      <c r="S8" s="12" t="s">
        <v>209</v>
      </c>
      <c r="T8" s="12" t="s">
        <v>105</v>
      </c>
      <c r="U8" s="12" t="s">
        <v>106</v>
      </c>
      <c r="V8" s="12"/>
      <c r="W8" s="12" t="s">
        <v>210</v>
      </c>
      <c r="X8" s="12" t="s">
        <v>211</v>
      </c>
      <c r="Y8" s="12" t="s">
        <v>109</v>
      </c>
      <c r="Z8" s="12" t="s">
        <v>110</v>
      </c>
      <c r="AA8" s="12" t="s">
        <v>212</v>
      </c>
      <c r="AB8" s="12"/>
      <c r="AC8" s="12"/>
      <c r="AD8" s="12" t="s">
        <v>112</v>
      </c>
      <c r="AE8" s="12" t="s">
        <v>113</v>
      </c>
      <c r="AF8" s="12"/>
      <c r="AG8" s="12" t="s">
        <v>114</v>
      </c>
      <c r="AH8" s="12" t="s">
        <v>115</v>
      </c>
      <c r="AI8" s="12" t="s">
        <v>213</v>
      </c>
      <c r="AJ8" s="12" t="s">
        <v>214</v>
      </c>
      <c r="AK8" s="12"/>
      <c r="AL8" s="12" t="s">
        <v>187</v>
      </c>
      <c r="AM8" s="12" t="s">
        <v>120</v>
      </c>
      <c r="AN8" s="12" t="s">
        <v>121</v>
      </c>
      <c r="AO8" s="12" t="s">
        <v>205</v>
      </c>
      <c r="AP8" s="12" t="s">
        <v>122</v>
      </c>
      <c r="AQ8" s="12" t="s">
        <v>123</v>
      </c>
      <c r="AR8" s="12" t="s">
        <v>124</v>
      </c>
      <c r="AS8" s="12" t="s">
        <v>90</v>
      </c>
      <c r="AT8" s="12" t="s">
        <v>125</v>
      </c>
      <c r="AU8" s="12"/>
      <c r="AV8" s="12" t="s">
        <v>215</v>
      </c>
      <c r="AW8" s="12"/>
      <c r="AX8" s="12" t="str">
        <f>IF(ISNA(MATCH($A8,Gesamtübersicht!$A:$A,0)),"ID fehlt in Gesamtübersicht",IF(AND(INDEX(Gesamtübersicht!$H:$H,MATCH($A8,Gesamtübersicht!$A:$A,0))&amp;""=$H8&amp;"",INDEX(Gesamtübersicht!$M:$M,MATCH($A8,Gesamtübersicht!$A:$A,0))&amp;""=$M8&amp;"",INDEX(Gesamtübersicht!$AD:$AD,MATCH($A8,Gesamtübersicht!$A:$A,0))&amp;""=$AD8&amp;"",INDEX(Gesamtübersicht!$AH:$AH,MATCH($A8,Gesamtübersicht!$A:$A,0))&amp;""=$AH8&amp;"",INDEX(Gesamtübersicht!$T:$T,MATCH($A8,Gesamtübersicht!$A:$A,0))&amp;""=$T8&amp;""),"OK","Abweichung – Ansicht neu erzeugen"))</f>
        <v>OK</v>
      </c>
    </row>
    <row r="9" spans="1:50" ht="42.95" customHeight="1">
      <c r="A9" s="2" t="s">
        <v>216</v>
      </c>
      <c r="B9" s="7" t="s">
        <v>90</v>
      </c>
      <c r="C9" s="2" t="s">
        <v>46</v>
      </c>
      <c r="D9" s="2" t="s">
        <v>91</v>
      </c>
      <c r="E9" s="2" t="s">
        <v>91</v>
      </c>
      <c r="F9" s="2" t="s">
        <v>217</v>
      </c>
      <c r="G9" s="2" t="s">
        <v>218</v>
      </c>
      <c r="H9" s="2" t="s">
        <v>219</v>
      </c>
      <c r="I9" s="2" t="s">
        <v>175</v>
      </c>
      <c r="J9" s="2" t="s">
        <v>96</v>
      </c>
      <c r="K9" s="2" t="s">
        <v>220</v>
      </c>
      <c r="L9" s="2" t="s">
        <v>90</v>
      </c>
      <c r="M9" s="3" t="s">
        <v>221</v>
      </c>
      <c r="N9" s="2" t="s">
        <v>222</v>
      </c>
      <c r="O9" s="2" t="s">
        <v>100</v>
      </c>
      <c r="P9" s="2" t="s">
        <v>223</v>
      </c>
      <c r="Q9" s="2" t="s">
        <v>224</v>
      </c>
      <c r="R9" s="2" t="s">
        <v>225</v>
      </c>
      <c r="S9" s="2" t="s">
        <v>209</v>
      </c>
      <c r="T9" s="2" t="s">
        <v>105</v>
      </c>
      <c r="U9" s="2" t="s">
        <v>106</v>
      </c>
      <c r="V9" s="2"/>
      <c r="W9" s="2" t="s">
        <v>226</v>
      </c>
      <c r="X9" s="2" t="s">
        <v>227</v>
      </c>
      <c r="Y9" s="2" t="s">
        <v>109</v>
      </c>
      <c r="Z9" s="2" t="s">
        <v>110</v>
      </c>
      <c r="AA9" s="2"/>
      <c r="AB9" s="2"/>
      <c r="AC9" s="2"/>
      <c r="AD9" s="2" t="s">
        <v>112</v>
      </c>
      <c r="AE9" s="2" t="s">
        <v>113</v>
      </c>
      <c r="AF9" s="2"/>
      <c r="AG9" s="2" t="s">
        <v>114</v>
      </c>
      <c r="AH9" s="2" t="s">
        <v>115</v>
      </c>
      <c r="AI9" s="2" t="s">
        <v>228</v>
      </c>
      <c r="AJ9" s="2" t="s">
        <v>229</v>
      </c>
      <c r="AK9" s="2" t="s">
        <v>230</v>
      </c>
      <c r="AL9" s="2" t="s">
        <v>187</v>
      </c>
      <c r="AM9" s="2" t="s">
        <v>120</v>
      </c>
      <c r="AN9" s="2" t="s">
        <v>121</v>
      </c>
      <c r="AO9" s="2" t="s">
        <v>222</v>
      </c>
      <c r="AP9" s="2" t="s">
        <v>122</v>
      </c>
      <c r="AQ9" s="2" t="s">
        <v>123</v>
      </c>
      <c r="AR9" s="2" t="s">
        <v>124</v>
      </c>
      <c r="AS9" s="2" t="s">
        <v>90</v>
      </c>
      <c r="AT9" s="2" t="s">
        <v>125</v>
      </c>
      <c r="AU9" s="2"/>
      <c r="AV9" s="2"/>
      <c r="AW9" s="2"/>
      <c r="AX9" s="2" t="str">
        <f>IF(ISNA(MATCH($A9,Gesamtübersicht!$A:$A,0)),"ID fehlt in Gesamtübersicht",IF(AND(INDEX(Gesamtübersicht!$H:$H,MATCH($A9,Gesamtübersicht!$A:$A,0))&amp;""=$H9&amp;"",INDEX(Gesamtübersicht!$M:$M,MATCH($A9,Gesamtübersicht!$A:$A,0))&amp;""=$M9&amp;"",INDEX(Gesamtübersicht!$AD:$AD,MATCH($A9,Gesamtübersicht!$A:$A,0))&amp;""=$AD9&amp;"",INDEX(Gesamtübersicht!$AH:$AH,MATCH($A9,Gesamtübersicht!$A:$A,0))&amp;""=$AH9&amp;"",INDEX(Gesamtübersicht!$T:$T,MATCH($A9,Gesamtübersicht!$A:$A,0))&amp;""=$T9&amp;""),"OK","Abweichung – Ansicht neu erzeugen"))</f>
        <v>OK</v>
      </c>
    </row>
    <row r="10" spans="1:50" ht="42.95" customHeight="1">
      <c r="A10" s="12" t="s">
        <v>231</v>
      </c>
      <c r="B10" s="7" t="s">
        <v>90</v>
      </c>
      <c r="C10" s="12" t="s">
        <v>46</v>
      </c>
      <c r="D10" s="12" t="s">
        <v>91</v>
      </c>
      <c r="E10" s="12" t="s">
        <v>91</v>
      </c>
      <c r="F10" s="12" t="s">
        <v>217</v>
      </c>
      <c r="G10" s="12" t="s">
        <v>232</v>
      </c>
      <c r="H10" s="12" t="s">
        <v>233</v>
      </c>
      <c r="I10" s="12" t="s">
        <v>159</v>
      </c>
      <c r="J10" s="12" t="s">
        <v>160</v>
      </c>
      <c r="K10" s="12" t="s">
        <v>161</v>
      </c>
      <c r="L10" s="12" t="s">
        <v>234</v>
      </c>
      <c r="M10" s="13" t="s">
        <v>235</v>
      </c>
      <c r="N10" s="12" t="s">
        <v>236</v>
      </c>
      <c r="O10" s="12" t="s">
        <v>100</v>
      </c>
      <c r="P10" s="12" t="s">
        <v>237</v>
      </c>
      <c r="Q10" s="12"/>
      <c r="R10" s="12"/>
      <c r="S10" s="12" t="s">
        <v>238</v>
      </c>
      <c r="T10" s="12" t="s">
        <v>105</v>
      </c>
      <c r="U10" s="12" t="s">
        <v>166</v>
      </c>
      <c r="V10" s="12"/>
      <c r="W10" s="12"/>
      <c r="X10" s="12"/>
      <c r="Y10" s="12" t="s">
        <v>109</v>
      </c>
      <c r="Z10" s="12" t="s">
        <v>167</v>
      </c>
      <c r="AA10" s="12" t="s">
        <v>92</v>
      </c>
      <c r="AB10" s="12"/>
      <c r="AC10" s="12"/>
      <c r="AD10" s="12" t="s">
        <v>112</v>
      </c>
      <c r="AE10" s="12" t="s">
        <v>113</v>
      </c>
      <c r="AF10" s="12"/>
      <c r="AG10" s="12" t="s">
        <v>114</v>
      </c>
      <c r="AH10" s="12" t="s">
        <v>115</v>
      </c>
      <c r="AI10" s="12" t="s">
        <v>239</v>
      </c>
      <c r="AJ10" s="12" t="s">
        <v>240</v>
      </c>
      <c r="AK10" s="12" t="s">
        <v>241</v>
      </c>
      <c r="AL10" s="12" t="s">
        <v>119</v>
      </c>
      <c r="AM10" s="12" t="s">
        <v>153</v>
      </c>
      <c r="AN10" s="12" t="s">
        <v>121</v>
      </c>
      <c r="AO10" s="12" t="s">
        <v>236</v>
      </c>
      <c r="AP10" s="12" t="s">
        <v>122</v>
      </c>
      <c r="AQ10" s="12" t="s">
        <v>123</v>
      </c>
      <c r="AR10" s="12" t="s">
        <v>124</v>
      </c>
      <c r="AS10" s="12" t="s">
        <v>234</v>
      </c>
      <c r="AT10" s="12" t="s">
        <v>125</v>
      </c>
      <c r="AU10" s="12" t="s">
        <v>242</v>
      </c>
      <c r="AV10" s="12"/>
      <c r="AW10" s="12" t="s">
        <v>155</v>
      </c>
      <c r="AX10" s="12" t="str">
        <f>IF(ISNA(MATCH($A10,Gesamtübersicht!$A:$A,0)),"ID fehlt in Gesamtübersicht",IF(AND(INDEX(Gesamtübersicht!$H:$H,MATCH($A10,Gesamtübersicht!$A:$A,0))&amp;""=$H10&amp;"",INDEX(Gesamtübersicht!$M:$M,MATCH($A10,Gesamtübersicht!$A:$A,0))&amp;""=$M10&amp;"",INDEX(Gesamtübersicht!$AD:$AD,MATCH($A10,Gesamtübersicht!$A:$A,0))&amp;""=$AD10&amp;"",INDEX(Gesamtübersicht!$AH:$AH,MATCH($A10,Gesamtübersicht!$A:$A,0))&amp;""=$AH10&amp;"",INDEX(Gesamtübersicht!$T:$T,MATCH($A10,Gesamtübersicht!$A:$A,0))&amp;""=$T10&amp;""),"OK","Abweichung – Ansicht neu erzeugen"))</f>
        <v>OK</v>
      </c>
    </row>
    <row r="11" spans="1:50" ht="42.95" customHeight="1">
      <c r="A11" s="2" t="s">
        <v>215</v>
      </c>
      <c r="B11" s="7" t="s">
        <v>90</v>
      </c>
      <c r="C11" s="2" t="s">
        <v>46</v>
      </c>
      <c r="D11" s="2" t="s">
        <v>91</v>
      </c>
      <c r="E11" s="2" t="s">
        <v>91</v>
      </c>
      <c r="F11" s="2" t="s">
        <v>212</v>
      </c>
      <c r="G11" s="2" t="s">
        <v>243</v>
      </c>
      <c r="H11" s="2" t="s">
        <v>201</v>
      </c>
      <c r="I11" s="2" t="s">
        <v>202</v>
      </c>
      <c r="J11" s="2" t="s">
        <v>96</v>
      </c>
      <c r="K11" s="2" t="s">
        <v>203</v>
      </c>
      <c r="L11" s="2" t="s">
        <v>90</v>
      </c>
      <c r="M11" s="3" t="s">
        <v>204</v>
      </c>
      <c r="N11" s="2" t="s">
        <v>205</v>
      </c>
      <c r="O11" s="2" t="s">
        <v>100</v>
      </c>
      <c r="P11" s="2" t="s">
        <v>244</v>
      </c>
      <c r="Q11" s="2" t="s">
        <v>245</v>
      </c>
      <c r="R11" s="2" t="s">
        <v>246</v>
      </c>
      <c r="S11" s="2" t="s">
        <v>209</v>
      </c>
      <c r="T11" s="2" t="s">
        <v>105</v>
      </c>
      <c r="U11" s="2" t="s">
        <v>106</v>
      </c>
      <c r="V11" s="2"/>
      <c r="W11" s="2" t="s">
        <v>247</v>
      </c>
      <c r="X11" s="2" t="s">
        <v>248</v>
      </c>
      <c r="Y11" s="2" t="s">
        <v>109</v>
      </c>
      <c r="Z11" s="2" t="s">
        <v>110</v>
      </c>
      <c r="AA11" s="2" t="s">
        <v>199</v>
      </c>
      <c r="AB11" s="2"/>
      <c r="AC11" s="2"/>
      <c r="AD11" s="2" t="s">
        <v>112</v>
      </c>
      <c r="AE11" s="2" t="s">
        <v>113</v>
      </c>
      <c r="AF11" s="2"/>
      <c r="AG11" s="2" t="s">
        <v>114</v>
      </c>
      <c r="AH11" s="2" t="s">
        <v>115</v>
      </c>
      <c r="AI11" s="2" t="s">
        <v>213</v>
      </c>
      <c r="AJ11" s="2" t="s">
        <v>214</v>
      </c>
      <c r="AK11" s="2"/>
      <c r="AL11" s="2" t="s">
        <v>187</v>
      </c>
      <c r="AM11" s="2" t="s">
        <v>120</v>
      </c>
      <c r="AN11" s="2" t="s">
        <v>121</v>
      </c>
      <c r="AO11" s="2" t="s">
        <v>205</v>
      </c>
      <c r="AP11" s="2" t="s">
        <v>122</v>
      </c>
      <c r="AQ11" s="2" t="s">
        <v>123</v>
      </c>
      <c r="AR11" s="2" t="s">
        <v>124</v>
      </c>
      <c r="AS11" s="2" t="s">
        <v>90</v>
      </c>
      <c r="AT11" s="2" t="s">
        <v>125</v>
      </c>
      <c r="AU11" s="2" t="s">
        <v>249</v>
      </c>
      <c r="AV11" s="2" t="s">
        <v>198</v>
      </c>
      <c r="AW11" s="2"/>
      <c r="AX11" s="2" t="str">
        <f>IF(ISNA(MATCH($A11,Gesamtübersicht!$A:$A,0)),"ID fehlt in Gesamtübersicht",IF(AND(INDEX(Gesamtübersicht!$H:$H,MATCH($A11,Gesamtübersicht!$A:$A,0))&amp;""=$H11&amp;"",INDEX(Gesamtübersicht!$M:$M,MATCH($A11,Gesamtübersicht!$A:$A,0))&amp;""=$M11&amp;"",INDEX(Gesamtübersicht!$AD:$AD,MATCH($A11,Gesamtübersicht!$A:$A,0))&amp;""=$AD11&amp;"",INDEX(Gesamtübersicht!$AH:$AH,MATCH($A11,Gesamtübersicht!$A:$A,0))&amp;""=$AH11&amp;"",INDEX(Gesamtübersicht!$T:$T,MATCH($A11,Gesamtübersicht!$A:$A,0))&amp;""=$T11&amp;""),"OK","Abweichung – Ansicht neu erzeugen"))</f>
        <v>OK</v>
      </c>
    </row>
    <row r="12" spans="1:50" ht="42.95" customHeight="1">
      <c r="A12" s="12" t="s">
        <v>554</v>
      </c>
      <c r="B12" s="8" t="s">
        <v>47</v>
      </c>
      <c r="C12" s="12" t="s">
        <v>46</v>
      </c>
      <c r="D12" s="12" t="s">
        <v>555</v>
      </c>
      <c r="E12" s="12" t="s">
        <v>91</v>
      </c>
      <c r="F12" s="12" t="s">
        <v>92</v>
      </c>
      <c r="G12" s="12" t="s">
        <v>441</v>
      </c>
      <c r="H12" s="12" t="s">
        <v>556</v>
      </c>
      <c r="I12" s="12" t="s">
        <v>404</v>
      </c>
      <c r="J12" s="12" t="s">
        <v>96</v>
      </c>
      <c r="K12" s="12" t="s">
        <v>97</v>
      </c>
      <c r="L12" s="12" t="s">
        <v>557</v>
      </c>
      <c r="M12" s="13" t="s">
        <v>558</v>
      </c>
      <c r="N12" s="12" t="s">
        <v>99</v>
      </c>
      <c r="O12" s="12" t="s">
        <v>100</v>
      </c>
      <c r="P12" s="12" t="s">
        <v>559</v>
      </c>
      <c r="Q12" s="12" t="s">
        <v>560</v>
      </c>
      <c r="R12" s="12" t="s">
        <v>561</v>
      </c>
      <c r="S12" s="12" t="s">
        <v>134</v>
      </c>
      <c r="T12" s="12" t="s">
        <v>105</v>
      </c>
      <c r="U12" s="12" t="s">
        <v>166</v>
      </c>
      <c r="V12" s="12" t="s">
        <v>261</v>
      </c>
      <c r="W12" s="12" t="s">
        <v>135</v>
      </c>
      <c r="X12" s="12" t="s">
        <v>262</v>
      </c>
      <c r="Y12" s="12" t="s">
        <v>109</v>
      </c>
      <c r="Z12" s="12" t="s">
        <v>263</v>
      </c>
      <c r="AA12" s="12"/>
      <c r="AB12" s="12"/>
      <c r="AC12" s="12"/>
      <c r="AD12" s="12" t="s">
        <v>112</v>
      </c>
      <c r="AE12" s="12" t="s">
        <v>113</v>
      </c>
      <c r="AF12" s="12"/>
      <c r="AG12" s="12" t="s">
        <v>114</v>
      </c>
      <c r="AH12" s="12" t="s">
        <v>115</v>
      </c>
      <c r="AI12" s="12" t="s">
        <v>562</v>
      </c>
      <c r="AJ12" s="12" t="s">
        <v>563</v>
      </c>
      <c r="AK12" s="12" t="s">
        <v>564</v>
      </c>
      <c r="AL12" s="12" t="s">
        <v>119</v>
      </c>
      <c r="AM12" s="12" t="s">
        <v>120</v>
      </c>
      <c r="AN12" s="12" t="s">
        <v>121</v>
      </c>
      <c r="AO12" s="12" t="s">
        <v>99</v>
      </c>
      <c r="AP12" s="12" t="s">
        <v>122</v>
      </c>
      <c r="AQ12" s="12" t="s">
        <v>123</v>
      </c>
      <c r="AR12" s="12" t="s">
        <v>124</v>
      </c>
      <c r="AS12" s="12" t="s">
        <v>557</v>
      </c>
      <c r="AT12" s="12" t="s">
        <v>125</v>
      </c>
      <c r="AU12" s="12"/>
      <c r="AV12" s="12"/>
      <c r="AW12" s="12" t="s">
        <v>565</v>
      </c>
      <c r="AX12" s="12" t="str">
        <f>IF(ISNA(MATCH($A12,Gesamtübersicht!$A:$A,0)),"ID fehlt in Gesamtübersicht",IF(AND(INDEX(Gesamtübersicht!$H:$H,MATCH($A12,Gesamtübersicht!$A:$A,0))&amp;""=$H12&amp;"",INDEX(Gesamtübersicht!$M:$M,MATCH($A12,Gesamtübersicht!$A:$A,0))&amp;""=$M12&amp;"",INDEX(Gesamtübersicht!$AD:$AD,MATCH($A12,Gesamtübersicht!$A:$A,0))&amp;""=$AD12&amp;"",INDEX(Gesamtübersicht!$AH:$AH,MATCH($A12,Gesamtübersicht!$A:$A,0))&amp;""=$AH12&amp;"",INDEX(Gesamtübersicht!$T:$T,MATCH($A12,Gesamtübersicht!$A:$A,0))&amp;""=$T12&amp;""),"OK","Abweichung – Ansicht neu erzeugen"))</f>
        <v>OK</v>
      </c>
    </row>
    <row r="13" spans="1:50" ht="42.95" customHeight="1">
      <c r="A13" s="2" t="s">
        <v>566</v>
      </c>
      <c r="B13" s="8" t="s">
        <v>47</v>
      </c>
      <c r="C13" s="2" t="s">
        <v>46</v>
      </c>
      <c r="D13" s="2" t="s">
        <v>555</v>
      </c>
      <c r="E13" s="2" t="s">
        <v>91</v>
      </c>
      <c r="F13" s="2" t="s">
        <v>92</v>
      </c>
      <c r="G13" s="2" t="s">
        <v>321</v>
      </c>
      <c r="H13" s="2" t="s">
        <v>567</v>
      </c>
      <c r="I13" s="2" t="s">
        <v>323</v>
      </c>
      <c r="J13" s="2" t="s">
        <v>160</v>
      </c>
      <c r="K13" s="2" t="s">
        <v>309</v>
      </c>
      <c r="L13" s="2" t="s">
        <v>568</v>
      </c>
      <c r="M13" s="3" t="s">
        <v>569</v>
      </c>
      <c r="N13" s="2"/>
      <c r="O13" s="2" t="s">
        <v>100</v>
      </c>
      <c r="P13" s="2"/>
      <c r="Q13" s="2"/>
      <c r="R13" s="2"/>
      <c r="S13" s="2" t="s">
        <v>134</v>
      </c>
      <c r="T13" s="2" t="s">
        <v>105</v>
      </c>
      <c r="U13" s="2" t="s">
        <v>106</v>
      </c>
      <c r="V13" s="2"/>
      <c r="W13" s="2"/>
      <c r="X13" s="2"/>
      <c r="Y13" s="2" t="s">
        <v>109</v>
      </c>
      <c r="Z13" s="2" t="s">
        <v>328</v>
      </c>
      <c r="AA13" s="2"/>
      <c r="AB13" s="2"/>
      <c r="AC13" s="2"/>
      <c r="AD13" s="2" t="s">
        <v>112</v>
      </c>
      <c r="AE13" s="2" t="s">
        <v>113</v>
      </c>
      <c r="AF13" s="2"/>
      <c r="AG13" s="2" t="s">
        <v>114</v>
      </c>
      <c r="AH13" s="2" t="s">
        <v>115</v>
      </c>
      <c r="AI13" s="2" t="s">
        <v>570</v>
      </c>
      <c r="AJ13" s="2" t="s">
        <v>483</v>
      </c>
      <c r="AK13" s="2" t="s">
        <v>571</v>
      </c>
      <c r="AL13" s="2" t="s">
        <v>318</v>
      </c>
      <c r="AM13" s="2" t="s">
        <v>572</v>
      </c>
      <c r="AN13" s="2" t="s">
        <v>121</v>
      </c>
      <c r="AO13" s="2"/>
      <c r="AP13" s="2" t="s">
        <v>122</v>
      </c>
      <c r="AQ13" s="2" t="s">
        <v>123</v>
      </c>
      <c r="AR13" s="2" t="s">
        <v>124</v>
      </c>
      <c r="AS13" s="2" t="s">
        <v>568</v>
      </c>
      <c r="AT13" s="2" t="s">
        <v>125</v>
      </c>
      <c r="AU13" s="2"/>
      <c r="AV13" s="2"/>
      <c r="AW13" s="2" t="s">
        <v>155</v>
      </c>
      <c r="AX13" s="2" t="str">
        <f>IF(ISNA(MATCH($A13,Gesamtübersicht!$A:$A,0)),"ID fehlt in Gesamtübersicht",IF(AND(INDEX(Gesamtübersicht!$H:$H,MATCH($A13,Gesamtübersicht!$A:$A,0))&amp;""=$H13&amp;"",INDEX(Gesamtübersicht!$M:$M,MATCH($A13,Gesamtübersicht!$A:$A,0))&amp;""=$M13&amp;"",INDEX(Gesamtübersicht!$AD:$AD,MATCH($A13,Gesamtübersicht!$A:$A,0))&amp;""=$AD13&amp;"",INDEX(Gesamtübersicht!$AH:$AH,MATCH($A13,Gesamtübersicht!$A:$A,0))&amp;""=$AH13&amp;"",INDEX(Gesamtübersicht!$T:$T,MATCH($A13,Gesamtübersicht!$A:$A,0))&amp;""=$T13&amp;""),"OK","Abweichung – Ansicht neu erzeugen"))</f>
        <v>OK</v>
      </c>
    </row>
    <row r="14" spans="1:50" ht="42.95" customHeight="1">
      <c r="A14" s="12" t="s">
        <v>573</v>
      </c>
      <c r="B14" s="8" t="s">
        <v>47</v>
      </c>
      <c r="C14" s="12" t="s">
        <v>46</v>
      </c>
      <c r="D14" s="12" t="s">
        <v>555</v>
      </c>
      <c r="E14" s="12" t="s">
        <v>91</v>
      </c>
      <c r="F14" s="12" t="s">
        <v>92</v>
      </c>
      <c r="G14" s="12" t="s">
        <v>306</v>
      </c>
      <c r="H14" s="12" t="s">
        <v>574</v>
      </c>
      <c r="I14" s="12" t="s">
        <v>536</v>
      </c>
      <c r="J14" s="12" t="s">
        <v>160</v>
      </c>
      <c r="K14" s="12" t="s">
        <v>309</v>
      </c>
      <c r="L14" s="12" t="s">
        <v>568</v>
      </c>
      <c r="M14" s="13" t="s">
        <v>575</v>
      </c>
      <c r="N14" s="12"/>
      <c r="O14" s="12" t="s">
        <v>100</v>
      </c>
      <c r="P14" s="12"/>
      <c r="Q14" s="12"/>
      <c r="R14" s="12"/>
      <c r="S14" s="12" t="s">
        <v>134</v>
      </c>
      <c r="T14" s="12" t="s">
        <v>105</v>
      </c>
      <c r="U14" s="12" t="s">
        <v>106</v>
      </c>
      <c r="V14" s="12"/>
      <c r="W14" s="12"/>
      <c r="X14" s="12"/>
      <c r="Y14" s="12" t="s">
        <v>109</v>
      </c>
      <c r="Z14" s="12" t="s">
        <v>328</v>
      </c>
      <c r="AA14" s="12"/>
      <c r="AB14" s="12"/>
      <c r="AC14" s="12"/>
      <c r="AD14" s="12" t="s">
        <v>112</v>
      </c>
      <c r="AE14" s="12" t="s">
        <v>113</v>
      </c>
      <c r="AF14" s="12"/>
      <c r="AG14" s="12" t="s">
        <v>114</v>
      </c>
      <c r="AH14" s="12" t="s">
        <v>115</v>
      </c>
      <c r="AI14" s="12" t="s">
        <v>576</v>
      </c>
      <c r="AJ14" s="12" t="s">
        <v>577</v>
      </c>
      <c r="AK14" s="12" t="s">
        <v>578</v>
      </c>
      <c r="AL14" s="12" t="s">
        <v>318</v>
      </c>
      <c r="AM14" s="12" t="s">
        <v>572</v>
      </c>
      <c r="AN14" s="12" t="s">
        <v>121</v>
      </c>
      <c r="AO14" s="12"/>
      <c r="AP14" s="12" t="s">
        <v>122</v>
      </c>
      <c r="AQ14" s="12" t="s">
        <v>123</v>
      </c>
      <c r="AR14" s="12" t="s">
        <v>124</v>
      </c>
      <c r="AS14" s="12" t="s">
        <v>568</v>
      </c>
      <c r="AT14" s="12" t="s">
        <v>125</v>
      </c>
      <c r="AU14" s="12"/>
      <c r="AV14" s="12"/>
      <c r="AW14" s="12" t="s">
        <v>155</v>
      </c>
      <c r="AX14" s="12" t="str">
        <f>IF(ISNA(MATCH($A14,Gesamtübersicht!$A:$A,0)),"ID fehlt in Gesamtübersicht",IF(AND(INDEX(Gesamtübersicht!$H:$H,MATCH($A14,Gesamtübersicht!$A:$A,0))&amp;""=$H14&amp;"",INDEX(Gesamtübersicht!$M:$M,MATCH($A14,Gesamtübersicht!$A:$A,0))&amp;""=$M14&amp;"",INDEX(Gesamtübersicht!$AD:$AD,MATCH($A14,Gesamtübersicht!$A:$A,0))&amp;""=$AD14&amp;"",INDEX(Gesamtübersicht!$AH:$AH,MATCH($A14,Gesamtübersicht!$A:$A,0))&amp;""=$AH14&amp;"",INDEX(Gesamtübersicht!$T:$T,MATCH($A14,Gesamtübersicht!$A:$A,0))&amp;""=$T14&amp;""),"OK","Abweichung – Ansicht neu erzeugen"))</f>
        <v>OK</v>
      </c>
    </row>
    <row r="15" spans="1:50" ht="42.95" customHeight="1">
      <c r="A15" s="2" t="s">
        <v>579</v>
      </c>
      <c r="B15" s="8" t="s">
        <v>47</v>
      </c>
      <c r="C15" s="2" t="s">
        <v>46</v>
      </c>
      <c r="D15" s="2" t="s">
        <v>555</v>
      </c>
      <c r="E15" s="2" t="s">
        <v>91</v>
      </c>
      <c r="F15" s="2" t="s">
        <v>172</v>
      </c>
      <c r="G15" s="2" t="s">
        <v>486</v>
      </c>
      <c r="H15" s="2" t="s">
        <v>580</v>
      </c>
      <c r="I15" s="2" t="s">
        <v>346</v>
      </c>
      <c r="J15" s="2" t="s">
        <v>96</v>
      </c>
      <c r="K15" s="2" t="s">
        <v>97</v>
      </c>
      <c r="L15" s="2" t="s">
        <v>568</v>
      </c>
      <c r="M15" s="3" t="s">
        <v>581</v>
      </c>
      <c r="N15" s="2" t="s">
        <v>99</v>
      </c>
      <c r="O15" s="2" t="s">
        <v>100</v>
      </c>
      <c r="P15" s="2" t="s">
        <v>582</v>
      </c>
      <c r="Q15" s="2" t="s">
        <v>583</v>
      </c>
      <c r="R15" s="2" t="s">
        <v>584</v>
      </c>
      <c r="S15" s="2" t="s">
        <v>351</v>
      </c>
      <c r="T15" s="2" t="s">
        <v>105</v>
      </c>
      <c r="U15" s="2" t="s">
        <v>166</v>
      </c>
      <c r="V15" s="2" t="s">
        <v>261</v>
      </c>
      <c r="W15" s="2" t="s">
        <v>183</v>
      </c>
      <c r="X15" s="2" t="s">
        <v>352</v>
      </c>
      <c r="Y15" s="2" t="s">
        <v>109</v>
      </c>
      <c r="Z15" s="2" t="s">
        <v>263</v>
      </c>
      <c r="AA15" s="2"/>
      <c r="AB15" s="2"/>
      <c r="AC15" s="2"/>
      <c r="AD15" s="2" t="s">
        <v>112</v>
      </c>
      <c r="AE15" s="2" t="s">
        <v>113</v>
      </c>
      <c r="AF15" s="2"/>
      <c r="AG15" s="2" t="s">
        <v>114</v>
      </c>
      <c r="AH15" s="2" t="s">
        <v>115</v>
      </c>
      <c r="AI15" s="2" t="s">
        <v>585</v>
      </c>
      <c r="AJ15" s="2" t="s">
        <v>586</v>
      </c>
      <c r="AK15" s="2"/>
      <c r="AL15" s="2" t="s">
        <v>355</v>
      </c>
      <c r="AM15" s="2" t="s">
        <v>120</v>
      </c>
      <c r="AN15" s="2" t="s">
        <v>121</v>
      </c>
      <c r="AO15" s="2" t="s">
        <v>99</v>
      </c>
      <c r="AP15" s="2" t="s">
        <v>122</v>
      </c>
      <c r="AQ15" s="2" t="s">
        <v>123</v>
      </c>
      <c r="AR15" s="2" t="s">
        <v>124</v>
      </c>
      <c r="AS15" s="2" t="s">
        <v>568</v>
      </c>
      <c r="AT15" s="2" t="s">
        <v>125</v>
      </c>
      <c r="AU15" s="2" t="s">
        <v>496</v>
      </c>
      <c r="AV15" s="2"/>
      <c r="AW15" s="2"/>
      <c r="AX15" s="2" t="str">
        <f>IF(ISNA(MATCH($A15,Gesamtübersicht!$A:$A,0)),"ID fehlt in Gesamtübersicht",IF(AND(INDEX(Gesamtübersicht!$H:$H,MATCH($A15,Gesamtübersicht!$A:$A,0))&amp;""=$H15&amp;"",INDEX(Gesamtübersicht!$M:$M,MATCH($A15,Gesamtübersicht!$A:$A,0))&amp;""=$M15&amp;"",INDEX(Gesamtübersicht!$AD:$AD,MATCH($A15,Gesamtübersicht!$A:$A,0))&amp;""=$AD15&amp;"",INDEX(Gesamtübersicht!$AH:$AH,MATCH($A15,Gesamtübersicht!$A:$A,0))&amp;""=$AH15&amp;"",INDEX(Gesamtübersicht!$T:$T,MATCH($A15,Gesamtübersicht!$A:$A,0))&amp;""=$T15&amp;""),"OK","Abweichung – Ansicht neu erzeugen"))</f>
        <v>OK</v>
      </c>
    </row>
    <row r="16" spans="1:50" ht="42.95" customHeight="1">
      <c r="A16" s="12" t="s">
        <v>587</v>
      </c>
      <c r="B16" s="8" t="s">
        <v>47</v>
      </c>
      <c r="C16" s="12" t="s">
        <v>46</v>
      </c>
      <c r="D16" s="12" t="s">
        <v>555</v>
      </c>
      <c r="E16" s="12" t="s">
        <v>91</v>
      </c>
      <c r="F16" s="12" t="s">
        <v>172</v>
      </c>
      <c r="G16" s="12" t="s">
        <v>588</v>
      </c>
      <c r="H16" s="12" t="s">
        <v>589</v>
      </c>
      <c r="I16" s="12" t="s">
        <v>590</v>
      </c>
      <c r="J16" s="12" t="s">
        <v>160</v>
      </c>
      <c r="K16" s="12" t="s">
        <v>591</v>
      </c>
      <c r="L16" s="12" t="s">
        <v>568</v>
      </c>
      <c r="M16" s="13" t="s">
        <v>592</v>
      </c>
      <c r="N16" s="12"/>
      <c r="O16" s="12" t="s">
        <v>100</v>
      </c>
      <c r="P16" s="12" t="s">
        <v>593</v>
      </c>
      <c r="Q16" s="12"/>
      <c r="R16" s="12"/>
      <c r="S16" s="12" t="s">
        <v>182</v>
      </c>
      <c r="T16" s="12" t="s">
        <v>105</v>
      </c>
      <c r="U16" s="12" t="s">
        <v>166</v>
      </c>
      <c r="V16" s="12"/>
      <c r="W16" s="12" t="s">
        <v>594</v>
      </c>
      <c r="X16" s="12"/>
      <c r="Y16" s="12" t="s">
        <v>109</v>
      </c>
      <c r="Z16" s="12" t="s">
        <v>167</v>
      </c>
      <c r="AA16" s="12"/>
      <c r="AB16" s="12"/>
      <c r="AC16" s="12"/>
      <c r="AD16" s="12" t="s">
        <v>112</v>
      </c>
      <c r="AE16" s="12" t="s">
        <v>113</v>
      </c>
      <c r="AF16" s="12"/>
      <c r="AG16" s="12" t="s">
        <v>292</v>
      </c>
      <c r="AH16" s="12" t="s">
        <v>115</v>
      </c>
      <c r="AI16" s="12" t="s">
        <v>595</v>
      </c>
      <c r="AJ16" s="12" t="s">
        <v>596</v>
      </c>
      <c r="AK16" s="12" t="s">
        <v>597</v>
      </c>
      <c r="AL16" s="12" t="s">
        <v>267</v>
      </c>
      <c r="AM16" s="12" t="s">
        <v>572</v>
      </c>
      <c r="AN16" s="12" t="s">
        <v>121</v>
      </c>
      <c r="AO16" s="12"/>
      <c r="AP16" s="12" t="s">
        <v>122</v>
      </c>
      <c r="AQ16" s="12" t="s">
        <v>123</v>
      </c>
      <c r="AR16" s="12" t="s">
        <v>124</v>
      </c>
      <c r="AS16" s="12" t="s">
        <v>568</v>
      </c>
      <c r="AT16" s="12" t="s">
        <v>125</v>
      </c>
      <c r="AU16" s="12"/>
      <c r="AV16" s="12"/>
      <c r="AW16" s="12" t="s">
        <v>155</v>
      </c>
      <c r="AX16" s="12" t="str">
        <f>IF(ISNA(MATCH($A16,Gesamtübersicht!$A:$A,0)),"ID fehlt in Gesamtübersicht",IF(AND(INDEX(Gesamtübersicht!$H:$H,MATCH($A16,Gesamtübersicht!$A:$A,0))&amp;""=$H16&amp;"",INDEX(Gesamtübersicht!$M:$M,MATCH($A16,Gesamtübersicht!$A:$A,0))&amp;""=$M16&amp;"",INDEX(Gesamtübersicht!$AD:$AD,MATCH($A16,Gesamtübersicht!$A:$A,0))&amp;""=$AD16&amp;"",INDEX(Gesamtübersicht!$AH:$AH,MATCH($A16,Gesamtübersicht!$A:$A,0))&amp;""=$AH16&amp;"",INDEX(Gesamtübersicht!$T:$T,MATCH($A16,Gesamtübersicht!$A:$A,0))&amp;""=$T16&amp;""),"OK","Abweichung – Ansicht neu erzeugen"))</f>
        <v>OK</v>
      </c>
    </row>
    <row r="17" spans="1:50" ht="42.95" customHeight="1">
      <c r="A17" s="2" t="s">
        <v>598</v>
      </c>
      <c r="B17" s="8" t="s">
        <v>47</v>
      </c>
      <c r="C17" s="2" t="s">
        <v>46</v>
      </c>
      <c r="D17" s="2" t="s">
        <v>555</v>
      </c>
      <c r="E17" s="2" t="s">
        <v>91</v>
      </c>
      <c r="F17" s="2" t="s">
        <v>172</v>
      </c>
      <c r="G17" s="2" t="s">
        <v>189</v>
      </c>
      <c r="H17" s="2" t="s">
        <v>599</v>
      </c>
      <c r="I17" s="2" t="s">
        <v>323</v>
      </c>
      <c r="J17" s="2" t="s">
        <v>160</v>
      </c>
      <c r="K17" s="2" t="s">
        <v>309</v>
      </c>
      <c r="L17" s="2" t="s">
        <v>568</v>
      </c>
      <c r="M17" s="3" t="s">
        <v>600</v>
      </c>
      <c r="N17" s="2"/>
      <c r="O17" s="2" t="s">
        <v>100</v>
      </c>
      <c r="P17" s="2" t="s">
        <v>601</v>
      </c>
      <c r="Q17" s="2"/>
      <c r="R17" s="2"/>
      <c r="S17" s="2" t="s">
        <v>182</v>
      </c>
      <c r="T17" s="2" t="s">
        <v>105</v>
      </c>
      <c r="U17" s="2" t="s">
        <v>106</v>
      </c>
      <c r="V17" s="2"/>
      <c r="W17" s="2" t="s">
        <v>183</v>
      </c>
      <c r="X17" s="2"/>
      <c r="Y17" s="2" t="s">
        <v>109</v>
      </c>
      <c r="Z17" s="2" t="s">
        <v>328</v>
      </c>
      <c r="AA17" s="2"/>
      <c r="AB17" s="2"/>
      <c r="AC17" s="2"/>
      <c r="AD17" s="2" t="s">
        <v>112</v>
      </c>
      <c r="AE17" s="2" t="s">
        <v>113</v>
      </c>
      <c r="AF17" s="2"/>
      <c r="AG17" s="2" t="s">
        <v>114</v>
      </c>
      <c r="AH17" s="2" t="s">
        <v>115</v>
      </c>
      <c r="AI17" s="2" t="s">
        <v>602</v>
      </c>
      <c r="AJ17" s="2" t="s">
        <v>362</v>
      </c>
      <c r="AK17" s="2" t="s">
        <v>603</v>
      </c>
      <c r="AL17" s="2" t="s">
        <v>318</v>
      </c>
      <c r="AM17" s="2" t="s">
        <v>572</v>
      </c>
      <c r="AN17" s="2" t="s">
        <v>121</v>
      </c>
      <c r="AO17" s="2"/>
      <c r="AP17" s="2" t="s">
        <v>122</v>
      </c>
      <c r="AQ17" s="2" t="s">
        <v>123</v>
      </c>
      <c r="AR17" s="2" t="s">
        <v>124</v>
      </c>
      <c r="AS17" s="2" t="s">
        <v>568</v>
      </c>
      <c r="AT17" s="2" t="s">
        <v>125</v>
      </c>
      <c r="AU17" s="2"/>
      <c r="AV17" s="2"/>
      <c r="AW17" s="2" t="s">
        <v>155</v>
      </c>
      <c r="AX17" s="2" t="str">
        <f>IF(ISNA(MATCH($A17,Gesamtübersicht!$A:$A,0)),"ID fehlt in Gesamtübersicht",IF(AND(INDEX(Gesamtübersicht!$H:$H,MATCH($A17,Gesamtübersicht!$A:$A,0))&amp;""=$H17&amp;"",INDEX(Gesamtübersicht!$M:$M,MATCH($A17,Gesamtübersicht!$A:$A,0))&amp;""=$M17&amp;"",INDEX(Gesamtübersicht!$AD:$AD,MATCH($A17,Gesamtübersicht!$A:$A,0))&amp;""=$AD17&amp;"",INDEX(Gesamtübersicht!$AH:$AH,MATCH($A17,Gesamtübersicht!$A:$A,0))&amp;""=$AH17&amp;"",INDEX(Gesamtübersicht!$T:$T,MATCH($A17,Gesamtübersicht!$A:$A,0))&amp;""=$T17&amp;""),"OK","Abweichung – Ansicht neu erzeugen"))</f>
        <v>OK</v>
      </c>
    </row>
    <row r="18" spans="1:50" ht="42.95" customHeight="1">
      <c r="A18" s="12" t="s">
        <v>604</v>
      </c>
      <c r="B18" s="8" t="s">
        <v>47</v>
      </c>
      <c r="C18" s="12" t="s">
        <v>46</v>
      </c>
      <c r="D18" s="12" t="s">
        <v>555</v>
      </c>
      <c r="E18" s="12" t="s">
        <v>91</v>
      </c>
      <c r="F18" s="12" t="s">
        <v>199</v>
      </c>
      <c r="G18" s="12" t="s">
        <v>376</v>
      </c>
      <c r="H18" s="12" t="s">
        <v>605</v>
      </c>
      <c r="I18" s="12" t="s">
        <v>323</v>
      </c>
      <c r="J18" s="12" t="s">
        <v>96</v>
      </c>
      <c r="K18" s="12" t="s">
        <v>378</v>
      </c>
      <c r="L18" s="12" t="s">
        <v>568</v>
      </c>
      <c r="M18" s="13" t="s">
        <v>606</v>
      </c>
      <c r="N18" s="12" t="s">
        <v>607</v>
      </c>
      <c r="O18" s="12" t="s">
        <v>100</v>
      </c>
      <c r="P18" s="12" t="s">
        <v>608</v>
      </c>
      <c r="Q18" s="12" t="s">
        <v>609</v>
      </c>
      <c r="R18" s="12" t="s">
        <v>610</v>
      </c>
      <c r="S18" s="12" t="s">
        <v>384</v>
      </c>
      <c r="T18" s="12" t="s">
        <v>105</v>
      </c>
      <c r="U18" s="12" t="s">
        <v>166</v>
      </c>
      <c r="V18" s="12" t="s">
        <v>261</v>
      </c>
      <c r="W18" s="12" t="s">
        <v>611</v>
      </c>
      <c r="X18" s="12" t="s">
        <v>386</v>
      </c>
      <c r="Y18" s="12" t="s">
        <v>109</v>
      </c>
      <c r="Z18" s="12" t="s">
        <v>328</v>
      </c>
      <c r="AA18" s="12" t="s">
        <v>92</v>
      </c>
      <c r="AB18" s="12"/>
      <c r="AC18" s="12"/>
      <c r="AD18" s="12" t="s">
        <v>112</v>
      </c>
      <c r="AE18" s="12" t="s">
        <v>113</v>
      </c>
      <c r="AF18" s="12"/>
      <c r="AG18" s="12" t="s">
        <v>114</v>
      </c>
      <c r="AH18" s="12" t="s">
        <v>115</v>
      </c>
      <c r="AI18" s="12" t="s">
        <v>612</v>
      </c>
      <c r="AJ18" s="12" t="s">
        <v>388</v>
      </c>
      <c r="AK18" s="12" t="s">
        <v>613</v>
      </c>
      <c r="AL18" s="12" t="s">
        <v>318</v>
      </c>
      <c r="AM18" s="12" t="s">
        <v>120</v>
      </c>
      <c r="AN18" s="12" t="s">
        <v>121</v>
      </c>
      <c r="AO18" s="12" t="s">
        <v>607</v>
      </c>
      <c r="AP18" s="12" t="s">
        <v>122</v>
      </c>
      <c r="AQ18" s="12" t="s">
        <v>123</v>
      </c>
      <c r="AR18" s="12" t="s">
        <v>124</v>
      </c>
      <c r="AS18" s="12" t="s">
        <v>568</v>
      </c>
      <c r="AT18" s="12" t="s">
        <v>125</v>
      </c>
      <c r="AU18" s="12"/>
      <c r="AV18" s="12"/>
      <c r="AW18" s="12" t="s">
        <v>614</v>
      </c>
      <c r="AX18" s="12" t="str">
        <f>IF(ISNA(MATCH($A18,Gesamtübersicht!$A:$A,0)),"ID fehlt in Gesamtübersicht",IF(AND(INDEX(Gesamtübersicht!$H:$H,MATCH($A18,Gesamtübersicht!$A:$A,0))&amp;""=$H18&amp;"",INDEX(Gesamtübersicht!$M:$M,MATCH($A18,Gesamtübersicht!$A:$A,0))&amp;""=$M18&amp;"",INDEX(Gesamtübersicht!$AD:$AD,MATCH($A18,Gesamtübersicht!$A:$A,0))&amp;""=$AD18&amp;"",INDEX(Gesamtübersicht!$AH:$AH,MATCH($A18,Gesamtübersicht!$A:$A,0))&amp;""=$AH18&amp;"",INDEX(Gesamtübersicht!$T:$T,MATCH($A18,Gesamtübersicht!$A:$A,0))&amp;""=$T18&amp;""),"OK","Abweichung – Ansicht neu erzeugen"))</f>
        <v>OK</v>
      </c>
    </row>
    <row r="19" spans="1:50" ht="42.95" customHeight="1">
      <c r="A19" s="2" t="s">
        <v>615</v>
      </c>
      <c r="B19" s="8" t="s">
        <v>47</v>
      </c>
      <c r="C19" s="2" t="s">
        <v>46</v>
      </c>
      <c r="D19" s="2" t="s">
        <v>555</v>
      </c>
      <c r="E19" s="2" t="s">
        <v>91</v>
      </c>
      <c r="F19" s="2" t="s">
        <v>217</v>
      </c>
      <c r="G19" s="2" t="s">
        <v>402</v>
      </c>
      <c r="H19" s="2" t="s">
        <v>616</v>
      </c>
      <c r="I19" s="2" t="s">
        <v>527</v>
      </c>
      <c r="J19" s="2" t="s">
        <v>96</v>
      </c>
      <c r="K19" s="2" t="s">
        <v>97</v>
      </c>
      <c r="L19" s="2" t="s">
        <v>568</v>
      </c>
      <c r="M19" s="3" t="s">
        <v>617</v>
      </c>
      <c r="N19" s="2" t="s">
        <v>99</v>
      </c>
      <c r="O19" s="2" t="s">
        <v>100</v>
      </c>
      <c r="P19" s="2" t="s">
        <v>618</v>
      </c>
      <c r="Q19" s="2" t="s">
        <v>619</v>
      </c>
      <c r="R19" s="2" t="s">
        <v>620</v>
      </c>
      <c r="S19" s="2" t="s">
        <v>384</v>
      </c>
      <c r="T19" s="2" t="s">
        <v>105</v>
      </c>
      <c r="U19" s="2" t="s">
        <v>166</v>
      </c>
      <c r="V19" s="2" t="s">
        <v>261</v>
      </c>
      <c r="W19" s="2" t="s">
        <v>226</v>
      </c>
      <c r="X19" s="2" t="s">
        <v>411</v>
      </c>
      <c r="Y19" s="2" t="s">
        <v>109</v>
      </c>
      <c r="Z19" s="2" t="s">
        <v>263</v>
      </c>
      <c r="AA19" s="2"/>
      <c r="AB19" s="2"/>
      <c r="AC19" s="2"/>
      <c r="AD19" s="2" t="s">
        <v>112</v>
      </c>
      <c r="AE19" s="2" t="s">
        <v>113</v>
      </c>
      <c r="AF19" s="2"/>
      <c r="AG19" s="2" t="s">
        <v>114</v>
      </c>
      <c r="AH19" s="2" t="s">
        <v>115</v>
      </c>
      <c r="AI19" s="2" t="s">
        <v>621</v>
      </c>
      <c r="AJ19" s="2" t="s">
        <v>622</v>
      </c>
      <c r="AK19" s="2" t="s">
        <v>623</v>
      </c>
      <c r="AL19" s="2" t="s">
        <v>355</v>
      </c>
      <c r="AM19" s="2" t="s">
        <v>120</v>
      </c>
      <c r="AN19" s="2" t="s">
        <v>121</v>
      </c>
      <c r="AO19" s="2" t="s">
        <v>99</v>
      </c>
      <c r="AP19" s="2" t="s">
        <v>122</v>
      </c>
      <c r="AQ19" s="2" t="s">
        <v>123</v>
      </c>
      <c r="AR19" s="2" t="s">
        <v>124</v>
      </c>
      <c r="AS19" s="2" t="s">
        <v>568</v>
      </c>
      <c r="AT19" s="2" t="s">
        <v>125</v>
      </c>
      <c r="AU19" s="2"/>
      <c r="AV19" s="2"/>
      <c r="AW19" s="2"/>
      <c r="AX19" s="2" t="str">
        <f>IF(ISNA(MATCH($A19,Gesamtübersicht!$A:$A,0)),"ID fehlt in Gesamtübersicht",IF(AND(INDEX(Gesamtübersicht!$H:$H,MATCH($A19,Gesamtübersicht!$A:$A,0))&amp;""=$H19&amp;"",INDEX(Gesamtübersicht!$M:$M,MATCH($A19,Gesamtübersicht!$A:$A,0))&amp;""=$M19&amp;"",INDEX(Gesamtübersicht!$AD:$AD,MATCH($A19,Gesamtübersicht!$A:$A,0))&amp;""=$AD19&amp;"",INDEX(Gesamtübersicht!$AH:$AH,MATCH($A19,Gesamtübersicht!$A:$A,0))&amp;""=$AH19&amp;"",INDEX(Gesamtübersicht!$T:$T,MATCH($A19,Gesamtübersicht!$A:$A,0))&amp;""=$T19&amp;""),"OK","Abweichung – Ansicht neu erzeugen"))</f>
        <v>OK</v>
      </c>
    </row>
    <row r="20" spans="1:50" ht="42.95" customHeight="1">
      <c r="A20" s="12" t="s">
        <v>624</v>
      </c>
      <c r="B20" s="8" t="s">
        <v>47</v>
      </c>
      <c r="C20" s="12" t="s">
        <v>46</v>
      </c>
      <c r="D20" s="12" t="s">
        <v>555</v>
      </c>
      <c r="E20" s="12" t="s">
        <v>91</v>
      </c>
      <c r="F20" s="12" t="s">
        <v>217</v>
      </c>
      <c r="G20" s="12" t="s">
        <v>417</v>
      </c>
      <c r="H20" s="12" t="s">
        <v>625</v>
      </c>
      <c r="I20" s="12" t="s">
        <v>323</v>
      </c>
      <c r="J20" s="12" t="s">
        <v>160</v>
      </c>
      <c r="K20" s="12" t="s">
        <v>309</v>
      </c>
      <c r="L20" s="12" t="s">
        <v>568</v>
      </c>
      <c r="M20" s="13" t="s">
        <v>626</v>
      </c>
      <c r="N20" s="12"/>
      <c r="O20" s="12" t="s">
        <v>100</v>
      </c>
      <c r="P20" s="12"/>
      <c r="Q20" s="12"/>
      <c r="R20" s="12"/>
      <c r="S20" s="12" t="s">
        <v>182</v>
      </c>
      <c r="T20" s="12" t="s">
        <v>105</v>
      </c>
      <c r="U20" s="12" t="s">
        <v>106</v>
      </c>
      <c r="V20" s="12"/>
      <c r="W20" s="12"/>
      <c r="X20" s="12"/>
      <c r="Y20" s="12" t="s">
        <v>109</v>
      </c>
      <c r="Z20" s="12" t="s">
        <v>328</v>
      </c>
      <c r="AA20" s="12"/>
      <c r="AB20" s="12"/>
      <c r="AC20" s="13" t="s">
        <v>627</v>
      </c>
      <c r="AD20" s="12" t="s">
        <v>112</v>
      </c>
      <c r="AE20" s="12" t="s">
        <v>113</v>
      </c>
      <c r="AF20" s="12"/>
      <c r="AG20" s="12" t="s">
        <v>114</v>
      </c>
      <c r="AH20" s="12" t="s">
        <v>115</v>
      </c>
      <c r="AI20" s="12" t="s">
        <v>628</v>
      </c>
      <c r="AJ20" s="12" t="s">
        <v>629</v>
      </c>
      <c r="AK20" s="12" t="s">
        <v>630</v>
      </c>
      <c r="AL20" s="12" t="s">
        <v>318</v>
      </c>
      <c r="AM20" s="12" t="s">
        <v>572</v>
      </c>
      <c r="AN20" s="12" t="s">
        <v>121</v>
      </c>
      <c r="AO20" s="12"/>
      <c r="AP20" s="12" t="s">
        <v>122</v>
      </c>
      <c r="AQ20" s="12" t="s">
        <v>123</v>
      </c>
      <c r="AR20" s="12" t="s">
        <v>124</v>
      </c>
      <c r="AS20" s="12" t="s">
        <v>568</v>
      </c>
      <c r="AT20" s="12" t="s">
        <v>125</v>
      </c>
      <c r="AU20" s="12"/>
      <c r="AV20" s="12"/>
      <c r="AW20" s="12" t="s">
        <v>155</v>
      </c>
      <c r="AX20" s="12" t="str">
        <f>IF(ISNA(MATCH($A20,Gesamtübersicht!$A:$A,0)),"ID fehlt in Gesamtübersicht",IF(AND(INDEX(Gesamtübersicht!$H:$H,MATCH($A20,Gesamtübersicht!$A:$A,0))&amp;""=$H20&amp;"",INDEX(Gesamtübersicht!$M:$M,MATCH($A20,Gesamtübersicht!$A:$A,0))&amp;""=$M20&amp;"",INDEX(Gesamtübersicht!$AD:$AD,MATCH($A20,Gesamtübersicht!$A:$A,0))&amp;""=$AD20&amp;"",INDEX(Gesamtübersicht!$AH:$AH,MATCH($A20,Gesamtübersicht!$A:$A,0))&amp;""=$AH20&amp;"",INDEX(Gesamtübersicht!$T:$T,MATCH($A20,Gesamtübersicht!$A:$A,0))&amp;""=$T20&amp;""),"OK","Abweichung – Ansicht neu erzeugen"))</f>
        <v>OK</v>
      </c>
    </row>
    <row r="21" spans="1:50" ht="42.95" customHeight="1">
      <c r="A21" s="2" t="s">
        <v>631</v>
      </c>
      <c r="B21" s="8" t="s">
        <v>47</v>
      </c>
      <c r="C21" s="2" t="s">
        <v>46</v>
      </c>
      <c r="D21" s="2" t="s">
        <v>555</v>
      </c>
      <c r="E21" s="2" t="s">
        <v>91</v>
      </c>
      <c r="F21" s="2" t="s">
        <v>212</v>
      </c>
      <c r="G21" s="2" t="s">
        <v>243</v>
      </c>
      <c r="H21" s="2" t="s">
        <v>632</v>
      </c>
      <c r="I21" s="2" t="s">
        <v>323</v>
      </c>
      <c r="J21" s="2" t="s">
        <v>96</v>
      </c>
      <c r="K21" s="2" t="s">
        <v>378</v>
      </c>
      <c r="L21" s="2" t="s">
        <v>568</v>
      </c>
      <c r="M21" s="3" t="s">
        <v>633</v>
      </c>
      <c r="N21" s="2" t="s">
        <v>325</v>
      </c>
      <c r="O21" s="2" t="s">
        <v>100</v>
      </c>
      <c r="P21" s="2" t="s">
        <v>634</v>
      </c>
      <c r="Q21" s="2" t="s">
        <v>635</v>
      </c>
      <c r="R21" s="2" t="s">
        <v>636</v>
      </c>
      <c r="S21" s="2" t="s">
        <v>384</v>
      </c>
      <c r="T21" s="2" t="s">
        <v>105</v>
      </c>
      <c r="U21" s="2" t="s">
        <v>166</v>
      </c>
      <c r="V21" s="2" t="s">
        <v>261</v>
      </c>
      <c r="W21" s="2" t="s">
        <v>199</v>
      </c>
      <c r="X21" s="2" t="s">
        <v>248</v>
      </c>
      <c r="Y21" s="2" t="s">
        <v>109</v>
      </c>
      <c r="Z21" s="2" t="s">
        <v>328</v>
      </c>
      <c r="AA21" s="2"/>
      <c r="AB21" s="2"/>
      <c r="AC21" s="2"/>
      <c r="AD21" s="2" t="s">
        <v>112</v>
      </c>
      <c r="AE21" s="2" t="s">
        <v>113</v>
      </c>
      <c r="AF21" s="2"/>
      <c r="AG21" s="2" t="s">
        <v>114</v>
      </c>
      <c r="AH21" s="2" t="s">
        <v>115</v>
      </c>
      <c r="AI21" s="2" t="s">
        <v>637</v>
      </c>
      <c r="AJ21" s="2" t="s">
        <v>638</v>
      </c>
      <c r="AK21" s="2" t="s">
        <v>639</v>
      </c>
      <c r="AL21" s="2" t="s">
        <v>318</v>
      </c>
      <c r="AM21" s="2" t="s">
        <v>120</v>
      </c>
      <c r="AN21" s="2" t="s">
        <v>121</v>
      </c>
      <c r="AO21" s="2" t="s">
        <v>325</v>
      </c>
      <c r="AP21" s="2" t="s">
        <v>122</v>
      </c>
      <c r="AQ21" s="2" t="s">
        <v>123</v>
      </c>
      <c r="AR21" s="2" t="s">
        <v>124</v>
      </c>
      <c r="AS21" s="2" t="s">
        <v>568</v>
      </c>
      <c r="AT21" s="2" t="s">
        <v>125</v>
      </c>
      <c r="AU21" s="2"/>
      <c r="AV21" s="2"/>
      <c r="AW21" s="2" t="s">
        <v>640</v>
      </c>
      <c r="AX21" s="2" t="str">
        <f>IF(ISNA(MATCH($A21,Gesamtübersicht!$A:$A,0)),"ID fehlt in Gesamtübersicht",IF(AND(INDEX(Gesamtübersicht!$H:$H,MATCH($A21,Gesamtübersicht!$A:$A,0))&amp;""=$H21&amp;"",INDEX(Gesamtübersicht!$M:$M,MATCH($A21,Gesamtübersicht!$A:$A,0))&amp;""=$M21&amp;"",INDEX(Gesamtübersicht!$AD:$AD,MATCH($A21,Gesamtübersicht!$A:$A,0))&amp;""=$AD21&amp;"",INDEX(Gesamtübersicht!$AH:$AH,MATCH($A21,Gesamtübersicht!$A:$A,0))&amp;""=$AH21&amp;"",INDEX(Gesamtübersicht!$T:$T,MATCH($A21,Gesamtübersicht!$A:$A,0))&amp;""=$T21&amp;""),"OK","Abweichung – Ansicht neu erzeugen"))</f>
        <v>OK</v>
      </c>
    </row>
    <row r="22" spans="1:50" ht="42.95" customHeight="1">
      <c r="A22" s="12" t="s">
        <v>1042</v>
      </c>
      <c r="B22" s="9" t="s">
        <v>48</v>
      </c>
      <c r="C22" s="12" t="s">
        <v>46</v>
      </c>
      <c r="D22" s="12" t="s">
        <v>555</v>
      </c>
      <c r="E22" s="12" t="s">
        <v>43</v>
      </c>
      <c r="F22" s="12" t="s">
        <v>92</v>
      </c>
      <c r="G22" s="12" t="s">
        <v>1043</v>
      </c>
      <c r="H22" s="12" t="s">
        <v>1044</v>
      </c>
      <c r="I22" s="12" t="s">
        <v>644</v>
      </c>
      <c r="J22" s="12" t="s">
        <v>96</v>
      </c>
      <c r="K22" s="12" t="s">
        <v>97</v>
      </c>
      <c r="L22" s="12" t="s">
        <v>1045</v>
      </c>
      <c r="M22" s="13" t="s">
        <v>1046</v>
      </c>
      <c r="N22" s="12" t="s">
        <v>99</v>
      </c>
      <c r="O22" s="12" t="s">
        <v>100</v>
      </c>
      <c r="P22" s="12" t="s">
        <v>1047</v>
      </c>
      <c r="Q22" s="12" t="s">
        <v>1048</v>
      </c>
      <c r="R22" s="12" t="s">
        <v>1049</v>
      </c>
      <c r="S22" s="12" t="s">
        <v>134</v>
      </c>
      <c r="T22" s="12" t="s">
        <v>105</v>
      </c>
      <c r="U22" s="12" t="s">
        <v>166</v>
      </c>
      <c r="V22" s="12" t="s">
        <v>650</v>
      </c>
      <c r="W22" s="12" t="s">
        <v>135</v>
      </c>
      <c r="X22" s="12" t="s">
        <v>262</v>
      </c>
      <c r="Y22" s="12" t="s">
        <v>109</v>
      </c>
      <c r="Z22" s="12" t="s">
        <v>263</v>
      </c>
      <c r="AA22" s="12"/>
      <c r="AB22" s="12"/>
      <c r="AC22" s="12"/>
      <c r="AD22" s="12" t="s">
        <v>112</v>
      </c>
      <c r="AE22" s="12" t="s">
        <v>1050</v>
      </c>
      <c r="AF22" s="12"/>
      <c r="AG22" s="12" t="s">
        <v>114</v>
      </c>
      <c r="AH22" s="12" t="s">
        <v>115</v>
      </c>
      <c r="AI22" s="12" t="s">
        <v>1051</v>
      </c>
      <c r="AJ22" s="12" t="s">
        <v>1052</v>
      </c>
      <c r="AK22" s="12" t="s">
        <v>1053</v>
      </c>
      <c r="AL22" s="12" t="s">
        <v>119</v>
      </c>
      <c r="AM22" s="12" t="s">
        <v>153</v>
      </c>
      <c r="AN22" s="12" t="s">
        <v>121</v>
      </c>
      <c r="AO22" s="12" t="s">
        <v>99</v>
      </c>
      <c r="AP22" s="12" t="s">
        <v>122</v>
      </c>
      <c r="AQ22" s="12" t="s">
        <v>123</v>
      </c>
      <c r="AR22" s="12" t="s">
        <v>124</v>
      </c>
      <c r="AS22" s="12" t="s">
        <v>1054</v>
      </c>
      <c r="AT22" s="12" t="s">
        <v>125</v>
      </c>
      <c r="AU22" s="12"/>
      <c r="AV22" s="12"/>
      <c r="AW22" s="12"/>
      <c r="AX22" s="12" t="str">
        <f>IF(ISNA(MATCH($A22,Gesamtübersicht!$A:$A,0)),"ID fehlt in Gesamtübersicht",IF(AND(INDEX(Gesamtübersicht!$H:$H,MATCH($A22,Gesamtübersicht!$A:$A,0))&amp;""=$H22&amp;"",INDEX(Gesamtübersicht!$M:$M,MATCH($A22,Gesamtübersicht!$A:$A,0))&amp;""=$M22&amp;"",INDEX(Gesamtübersicht!$AD:$AD,MATCH($A22,Gesamtübersicht!$A:$A,0))&amp;""=$AD22&amp;"",INDEX(Gesamtübersicht!$AH:$AH,MATCH($A22,Gesamtübersicht!$A:$A,0))&amp;""=$AH22&amp;"",INDEX(Gesamtübersicht!$T:$T,MATCH($A22,Gesamtübersicht!$A:$A,0))&amp;""=$T22&amp;""),"OK","Abweichung – Ansicht neu erzeugen"))</f>
        <v>OK</v>
      </c>
    </row>
    <row r="23" spans="1:50" ht="42.95" customHeight="1">
      <c r="A23" s="2" t="s">
        <v>1055</v>
      </c>
      <c r="B23" s="9" t="s">
        <v>48</v>
      </c>
      <c r="C23" s="2" t="s">
        <v>46</v>
      </c>
      <c r="D23" s="2" t="s">
        <v>555</v>
      </c>
      <c r="E23" s="2" t="s">
        <v>43</v>
      </c>
      <c r="F23" s="2" t="s">
        <v>92</v>
      </c>
      <c r="G23" s="2" t="s">
        <v>672</v>
      </c>
      <c r="H23" s="2" t="s">
        <v>1056</v>
      </c>
      <c r="I23" s="2" t="s">
        <v>1057</v>
      </c>
      <c r="J23" s="2" t="s">
        <v>96</v>
      </c>
      <c r="K23" s="2" t="s">
        <v>97</v>
      </c>
      <c r="L23" s="2" t="s">
        <v>1045</v>
      </c>
      <c r="M23" s="3" t="s">
        <v>1058</v>
      </c>
      <c r="N23" s="2" t="s">
        <v>99</v>
      </c>
      <c r="O23" s="2" t="s">
        <v>100</v>
      </c>
      <c r="P23" s="2" t="s">
        <v>1059</v>
      </c>
      <c r="Q23" s="2" t="s">
        <v>1060</v>
      </c>
      <c r="R23" s="2" t="s">
        <v>1061</v>
      </c>
      <c r="S23" s="2" t="s">
        <v>134</v>
      </c>
      <c r="T23" s="2" t="s">
        <v>105</v>
      </c>
      <c r="U23" s="2" t="s">
        <v>166</v>
      </c>
      <c r="V23" s="2" t="s">
        <v>650</v>
      </c>
      <c r="W23" s="2" t="s">
        <v>92</v>
      </c>
      <c r="X23" s="2" t="s">
        <v>1062</v>
      </c>
      <c r="Y23" s="2" t="s">
        <v>109</v>
      </c>
      <c r="Z23" s="2" t="s">
        <v>263</v>
      </c>
      <c r="AA23" s="2"/>
      <c r="AB23" s="2"/>
      <c r="AC23" s="2"/>
      <c r="AD23" s="2" t="s">
        <v>112</v>
      </c>
      <c r="AE23" s="2" t="s">
        <v>1050</v>
      </c>
      <c r="AF23" s="2"/>
      <c r="AG23" s="2" t="s">
        <v>114</v>
      </c>
      <c r="AH23" s="2" t="s">
        <v>115</v>
      </c>
      <c r="AI23" s="2" t="s">
        <v>1063</v>
      </c>
      <c r="AJ23" s="2" t="s">
        <v>1064</v>
      </c>
      <c r="AK23" s="2" t="s">
        <v>1065</v>
      </c>
      <c r="AL23" s="2" t="s">
        <v>119</v>
      </c>
      <c r="AM23" s="2" t="s">
        <v>153</v>
      </c>
      <c r="AN23" s="2" t="s">
        <v>121</v>
      </c>
      <c r="AO23" s="2" t="s">
        <v>99</v>
      </c>
      <c r="AP23" s="2" t="s">
        <v>122</v>
      </c>
      <c r="AQ23" s="2" t="s">
        <v>123</v>
      </c>
      <c r="AR23" s="2" t="s">
        <v>124</v>
      </c>
      <c r="AS23" s="2" t="s">
        <v>1054</v>
      </c>
      <c r="AT23" s="2" t="s">
        <v>125</v>
      </c>
      <c r="AU23" s="2"/>
      <c r="AV23" s="2"/>
      <c r="AW23" s="2"/>
      <c r="AX23" s="2" t="str">
        <f>IF(ISNA(MATCH($A23,Gesamtübersicht!$A:$A,0)),"ID fehlt in Gesamtübersicht",IF(AND(INDEX(Gesamtübersicht!$H:$H,MATCH($A23,Gesamtübersicht!$A:$A,0))&amp;""=$H23&amp;"",INDEX(Gesamtübersicht!$M:$M,MATCH($A23,Gesamtübersicht!$A:$A,0))&amp;""=$M23&amp;"",INDEX(Gesamtübersicht!$AD:$AD,MATCH($A23,Gesamtübersicht!$A:$A,0))&amp;""=$AD23&amp;"",INDEX(Gesamtübersicht!$AH:$AH,MATCH($A23,Gesamtübersicht!$A:$A,0))&amp;""=$AH23&amp;"",INDEX(Gesamtübersicht!$T:$T,MATCH($A23,Gesamtübersicht!$A:$A,0))&amp;""=$T23&amp;""),"OK","Abweichung – Ansicht neu erzeugen"))</f>
        <v>OK</v>
      </c>
    </row>
    <row r="24" spans="1:50" ht="42.95" customHeight="1">
      <c r="A24" s="12" t="s">
        <v>1066</v>
      </c>
      <c r="B24" s="9" t="s">
        <v>48</v>
      </c>
      <c r="C24" s="12" t="s">
        <v>46</v>
      </c>
      <c r="D24" s="12" t="s">
        <v>555</v>
      </c>
      <c r="E24" s="12" t="s">
        <v>43</v>
      </c>
      <c r="F24" s="12" t="s">
        <v>92</v>
      </c>
      <c r="G24" s="12" t="s">
        <v>672</v>
      </c>
      <c r="H24" s="12" t="s">
        <v>1067</v>
      </c>
      <c r="I24" s="12" t="s">
        <v>672</v>
      </c>
      <c r="J24" s="12" t="s">
        <v>160</v>
      </c>
      <c r="K24" s="12" t="s">
        <v>686</v>
      </c>
      <c r="L24" s="12" t="s">
        <v>1068</v>
      </c>
      <c r="M24" s="13" t="s">
        <v>1069</v>
      </c>
      <c r="N24" s="12" t="s">
        <v>476</v>
      </c>
      <c r="O24" s="12" t="s">
        <v>100</v>
      </c>
      <c r="P24" s="12"/>
      <c r="Q24" s="12"/>
      <c r="R24" s="12"/>
      <c r="S24" s="12" t="s">
        <v>134</v>
      </c>
      <c r="T24" s="12" t="s">
        <v>105</v>
      </c>
      <c r="U24" s="12" t="s">
        <v>106</v>
      </c>
      <c r="V24" s="12"/>
      <c r="W24" s="12"/>
      <c r="X24" s="12"/>
      <c r="Y24" s="12" t="s">
        <v>109</v>
      </c>
      <c r="Z24" s="12" t="s">
        <v>149</v>
      </c>
      <c r="AA24" s="12"/>
      <c r="AB24" s="12"/>
      <c r="AC24" s="13" t="s">
        <v>1046</v>
      </c>
      <c r="AD24" s="12" t="s">
        <v>112</v>
      </c>
      <c r="AE24" s="12" t="s">
        <v>113</v>
      </c>
      <c r="AF24" s="12"/>
      <c r="AG24" s="12" t="s">
        <v>292</v>
      </c>
      <c r="AH24" s="12" t="s">
        <v>115</v>
      </c>
      <c r="AI24" s="12" t="s">
        <v>1070</v>
      </c>
      <c r="AJ24" s="12" t="s">
        <v>1071</v>
      </c>
      <c r="AK24" s="12" t="s">
        <v>1072</v>
      </c>
      <c r="AL24" s="12" t="s">
        <v>119</v>
      </c>
      <c r="AM24" s="12" t="s">
        <v>682</v>
      </c>
      <c r="AN24" s="12" t="s">
        <v>121</v>
      </c>
      <c r="AO24" s="12" t="s">
        <v>476</v>
      </c>
      <c r="AP24" s="12" t="s">
        <v>122</v>
      </c>
      <c r="AQ24" s="12" t="s">
        <v>123</v>
      </c>
      <c r="AR24" s="12" t="s">
        <v>124</v>
      </c>
      <c r="AS24" s="12" t="s">
        <v>1054</v>
      </c>
      <c r="AT24" s="12" t="s">
        <v>125</v>
      </c>
      <c r="AU24" s="12" t="s">
        <v>1073</v>
      </c>
      <c r="AV24" s="12"/>
      <c r="AW24" s="12" t="s">
        <v>155</v>
      </c>
      <c r="AX24" s="12" t="str">
        <f>IF(ISNA(MATCH($A24,Gesamtübersicht!$A:$A,0)),"ID fehlt in Gesamtübersicht",IF(AND(INDEX(Gesamtübersicht!$H:$H,MATCH($A24,Gesamtübersicht!$A:$A,0))&amp;""=$H24&amp;"",INDEX(Gesamtübersicht!$M:$M,MATCH($A24,Gesamtübersicht!$A:$A,0))&amp;""=$M24&amp;"",INDEX(Gesamtübersicht!$AD:$AD,MATCH($A24,Gesamtübersicht!$A:$A,0))&amp;""=$AD24&amp;"",INDEX(Gesamtübersicht!$AH:$AH,MATCH($A24,Gesamtübersicht!$A:$A,0))&amp;""=$AH24&amp;"",INDEX(Gesamtübersicht!$T:$T,MATCH($A24,Gesamtübersicht!$A:$A,0))&amp;""=$T24&amp;""),"OK","Abweichung – Ansicht neu erzeugen"))</f>
        <v>OK</v>
      </c>
    </row>
    <row r="25" spans="1:50" ht="42.95" customHeight="1">
      <c r="A25" s="2" t="s">
        <v>1074</v>
      </c>
      <c r="B25" s="9" t="s">
        <v>48</v>
      </c>
      <c r="C25" s="2" t="s">
        <v>46</v>
      </c>
      <c r="D25" s="2" t="s">
        <v>555</v>
      </c>
      <c r="E25" s="2" t="s">
        <v>43</v>
      </c>
      <c r="F25" s="2" t="s">
        <v>92</v>
      </c>
      <c r="G25" s="2" t="s">
        <v>672</v>
      </c>
      <c r="H25" s="2" t="s">
        <v>1075</v>
      </c>
      <c r="I25" s="2" t="s">
        <v>672</v>
      </c>
      <c r="J25" s="2" t="s">
        <v>160</v>
      </c>
      <c r="K25" s="2" t="s">
        <v>662</v>
      </c>
      <c r="L25" s="2" t="s">
        <v>1068</v>
      </c>
      <c r="M25" s="3" t="s">
        <v>1076</v>
      </c>
      <c r="N25" s="2" t="s">
        <v>676</v>
      </c>
      <c r="O25" s="2" t="s">
        <v>100</v>
      </c>
      <c r="P25" s="2"/>
      <c r="Q25" s="2"/>
      <c r="R25" s="2"/>
      <c r="S25" s="2" t="s">
        <v>134</v>
      </c>
      <c r="T25" s="2" t="s">
        <v>105</v>
      </c>
      <c r="U25" s="2" t="s">
        <v>106</v>
      </c>
      <c r="V25" s="2"/>
      <c r="W25" s="2"/>
      <c r="X25" s="2"/>
      <c r="Y25" s="2" t="s">
        <v>109</v>
      </c>
      <c r="Z25" s="2" t="s">
        <v>149</v>
      </c>
      <c r="AA25" s="2"/>
      <c r="AB25" s="2"/>
      <c r="AC25" s="3" t="s">
        <v>1046</v>
      </c>
      <c r="AD25" s="2" t="s">
        <v>112</v>
      </c>
      <c r="AE25" s="2" t="s">
        <v>113</v>
      </c>
      <c r="AF25" s="2"/>
      <c r="AG25" s="2" t="s">
        <v>292</v>
      </c>
      <c r="AH25" s="2" t="s">
        <v>115</v>
      </c>
      <c r="AI25" s="2" t="s">
        <v>1077</v>
      </c>
      <c r="AJ25" s="2" t="s">
        <v>1078</v>
      </c>
      <c r="AK25" s="2" t="s">
        <v>1079</v>
      </c>
      <c r="AL25" s="2" t="s">
        <v>119</v>
      </c>
      <c r="AM25" s="2" t="s">
        <v>682</v>
      </c>
      <c r="AN25" s="2" t="s">
        <v>121</v>
      </c>
      <c r="AO25" s="2" t="s">
        <v>676</v>
      </c>
      <c r="AP25" s="2" t="s">
        <v>122</v>
      </c>
      <c r="AQ25" s="2" t="s">
        <v>123</v>
      </c>
      <c r="AR25" s="2" t="s">
        <v>124</v>
      </c>
      <c r="AS25" s="2" t="s">
        <v>1054</v>
      </c>
      <c r="AT25" s="2" t="s">
        <v>125</v>
      </c>
      <c r="AU25" s="2" t="s">
        <v>1080</v>
      </c>
      <c r="AV25" s="2"/>
      <c r="AW25" s="2" t="s">
        <v>155</v>
      </c>
      <c r="AX25" s="2" t="str">
        <f>IF(ISNA(MATCH($A25,Gesamtübersicht!$A:$A,0)),"ID fehlt in Gesamtübersicht",IF(AND(INDEX(Gesamtübersicht!$H:$H,MATCH($A25,Gesamtübersicht!$A:$A,0))&amp;""=$H25&amp;"",INDEX(Gesamtübersicht!$M:$M,MATCH($A25,Gesamtübersicht!$A:$A,0))&amp;""=$M25&amp;"",INDEX(Gesamtübersicht!$AD:$AD,MATCH($A25,Gesamtübersicht!$A:$A,0))&amp;""=$AD25&amp;"",INDEX(Gesamtübersicht!$AH:$AH,MATCH($A25,Gesamtübersicht!$A:$A,0))&amp;""=$AH25&amp;"",INDEX(Gesamtübersicht!$T:$T,MATCH($A25,Gesamtübersicht!$A:$A,0))&amp;""=$T25&amp;""),"OK","Abweichung – Ansicht neu erzeugen"))</f>
        <v>OK</v>
      </c>
    </row>
    <row r="26" spans="1:50" ht="42.95" customHeight="1">
      <c r="A26" s="12" t="s">
        <v>1081</v>
      </c>
      <c r="B26" s="9" t="s">
        <v>48</v>
      </c>
      <c r="C26" s="12" t="s">
        <v>46</v>
      </c>
      <c r="D26" s="12" t="s">
        <v>555</v>
      </c>
      <c r="E26" s="12" t="s">
        <v>43</v>
      </c>
      <c r="F26" s="12" t="s">
        <v>92</v>
      </c>
      <c r="G26" s="12" t="s">
        <v>672</v>
      </c>
      <c r="H26" s="12" t="s">
        <v>1082</v>
      </c>
      <c r="I26" s="12" t="s">
        <v>672</v>
      </c>
      <c r="J26" s="12" t="s">
        <v>160</v>
      </c>
      <c r="K26" s="12" t="s">
        <v>662</v>
      </c>
      <c r="L26" s="12" t="s">
        <v>1068</v>
      </c>
      <c r="M26" s="13" t="s">
        <v>1083</v>
      </c>
      <c r="N26" s="12" t="s">
        <v>337</v>
      </c>
      <c r="O26" s="12" t="s">
        <v>100</v>
      </c>
      <c r="P26" s="12"/>
      <c r="Q26" s="12"/>
      <c r="R26" s="12"/>
      <c r="S26" s="12" t="s">
        <v>134</v>
      </c>
      <c r="T26" s="12" t="s">
        <v>105</v>
      </c>
      <c r="U26" s="12" t="s">
        <v>166</v>
      </c>
      <c r="V26" s="12"/>
      <c r="W26" s="12"/>
      <c r="X26" s="12"/>
      <c r="Y26" s="12" t="s">
        <v>109</v>
      </c>
      <c r="Z26" s="12" t="s">
        <v>167</v>
      </c>
      <c r="AA26" s="12"/>
      <c r="AB26" s="12"/>
      <c r="AC26" s="12"/>
      <c r="AD26" s="12" t="s">
        <v>112</v>
      </c>
      <c r="AE26" s="12" t="s">
        <v>113</v>
      </c>
      <c r="AF26" s="12"/>
      <c r="AG26" s="12" t="s">
        <v>292</v>
      </c>
      <c r="AH26" s="12" t="s">
        <v>115</v>
      </c>
      <c r="AI26" s="12" t="s">
        <v>1084</v>
      </c>
      <c r="AJ26" s="12" t="s">
        <v>1085</v>
      </c>
      <c r="AK26" s="12" t="s">
        <v>1086</v>
      </c>
      <c r="AL26" s="12" t="s">
        <v>119</v>
      </c>
      <c r="AM26" s="12" t="s">
        <v>572</v>
      </c>
      <c r="AN26" s="12" t="s">
        <v>121</v>
      </c>
      <c r="AO26" s="12" t="s">
        <v>337</v>
      </c>
      <c r="AP26" s="12" t="s">
        <v>122</v>
      </c>
      <c r="AQ26" s="12" t="s">
        <v>123</v>
      </c>
      <c r="AR26" s="12" t="s">
        <v>124</v>
      </c>
      <c r="AS26" s="12" t="s">
        <v>1054</v>
      </c>
      <c r="AT26" s="12" t="s">
        <v>125</v>
      </c>
      <c r="AU26" s="12" t="s">
        <v>1087</v>
      </c>
      <c r="AV26" s="12"/>
      <c r="AW26" s="12" t="s">
        <v>155</v>
      </c>
      <c r="AX26" s="12" t="str">
        <f>IF(ISNA(MATCH($A26,Gesamtübersicht!$A:$A,0)),"ID fehlt in Gesamtübersicht",IF(AND(INDEX(Gesamtübersicht!$H:$H,MATCH($A26,Gesamtübersicht!$A:$A,0))&amp;""=$H26&amp;"",INDEX(Gesamtübersicht!$M:$M,MATCH($A26,Gesamtübersicht!$A:$A,0))&amp;""=$M26&amp;"",INDEX(Gesamtübersicht!$AD:$AD,MATCH($A26,Gesamtübersicht!$A:$A,0))&amp;""=$AD26&amp;"",INDEX(Gesamtübersicht!$AH:$AH,MATCH($A26,Gesamtübersicht!$A:$A,0))&amp;""=$AH26&amp;"",INDEX(Gesamtübersicht!$T:$T,MATCH($A26,Gesamtübersicht!$A:$A,0))&amp;""=$T26&amp;""),"OK","Abweichung – Ansicht neu erzeugen"))</f>
        <v>OK</v>
      </c>
    </row>
    <row r="27" spans="1:50" ht="42.95" customHeight="1">
      <c r="A27" s="2" t="s">
        <v>1088</v>
      </c>
      <c r="B27" s="9" t="s">
        <v>48</v>
      </c>
      <c r="C27" s="2" t="s">
        <v>46</v>
      </c>
      <c r="D27" s="2" t="s">
        <v>555</v>
      </c>
      <c r="E27" s="2" t="s">
        <v>43</v>
      </c>
      <c r="F27" s="2" t="s">
        <v>92</v>
      </c>
      <c r="G27" s="2" t="s">
        <v>858</v>
      </c>
      <c r="H27" s="2" t="s">
        <v>1089</v>
      </c>
      <c r="I27" s="2" t="s">
        <v>860</v>
      </c>
      <c r="J27" s="2" t="s">
        <v>160</v>
      </c>
      <c r="K27" s="2" t="s">
        <v>1090</v>
      </c>
      <c r="L27" s="2" t="s">
        <v>1068</v>
      </c>
      <c r="M27" s="3" t="s">
        <v>1091</v>
      </c>
      <c r="N27" s="2" t="s">
        <v>1092</v>
      </c>
      <c r="O27" s="2" t="s">
        <v>100</v>
      </c>
      <c r="P27" s="2"/>
      <c r="Q27" s="2"/>
      <c r="R27" s="2"/>
      <c r="S27" s="2" t="s">
        <v>134</v>
      </c>
      <c r="T27" s="2" t="s">
        <v>105</v>
      </c>
      <c r="U27" s="2" t="s">
        <v>106</v>
      </c>
      <c r="V27" s="2"/>
      <c r="W27" s="2"/>
      <c r="X27" s="2"/>
      <c r="Y27" s="2" t="s">
        <v>109</v>
      </c>
      <c r="Z27" s="2" t="s">
        <v>167</v>
      </c>
      <c r="AA27" s="2"/>
      <c r="AB27" s="2"/>
      <c r="AC27" s="3" t="s">
        <v>1046</v>
      </c>
      <c r="AD27" s="2" t="s">
        <v>112</v>
      </c>
      <c r="AE27" s="2" t="s">
        <v>113</v>
      </c>
      <c r="AF27" s="2"/>
      <c r="AG27" s="2" t="s">
        <v>292</v>
      </c>
      <c r="AH27" s="2" t="s">
        <v>115</v>
      </c>
      <c r="AI27" s="2" t="s">
        <v>1093</v>
      </c>
      <c r="AJ27" s="2" t="s">
        <v>1094</v>
      </c>
      <c r="AK27" s="2" t="s">
        <v>1095</v>
      </c>
      <c r="AL27" s="2" t="s">
        <v>119</v>
      </c>
      <c r="AM27" s="2" t="s">
        <v>572</v>
      </c>
      <c r="AN27" s="2" t="s">
        <v>121</v>
      </c>
      <c r="AO27" s="2" t="s">
        <v>1092</v>
      </c>
      <c r="AP27" s="2" t="s">
        <v>122</v>
      </c>
      <c r="AQ27" s="2" t="s">
        <v>123</v>
      </c>
      <c r="AR27" s="2" t="s">
        <v>124</v>
      </c>
      <c r="AS27" s="2" t="s">
        <v>1054</v>
      </c>
      <c r="AT27" s="2" t="s">
        <v>125</v>
      </c>
      <c r="AU27" s="2"/>
      <c r="AV27" s="2"/>
      <c r="AW27" s="2" t="s">
        <v>155</v>
      </c>
      <c r="AX27" s="2" t="str">
        <f>IF(ISNA(MATCH($A27,Gesamtübersicht!$A:$A,0)),"ID fehlt in Gesamtübersicht",IF(AND(INDEX(Gesamtübersicht!$H:$H,MATCH($A27,Gesamtübersicht!$A:$A,0))&amp;""=$H27&amp;"",INDEX(Gesamtübersicht!$M:$M,MATCH($A27,Gesamtübersicht!$A:$A,0))&amp;""=$M27&amp;"",INDEX(Gesamtübersicht!$AD:$AD,MATCH($A27,Gesamtübersicht!$A:$A,0))&amp;""=$AD27&amp;"",INDEX(Gesamtübersicht!$AH:$AH,MATCH($A27,Gesamtübersicht!$A:$A,0))&amp;""=$AH27&amp;"",INDEX(Gesamtübersicht!$T:$T,MATCH($A27,Gesamtübersicht!$A:$A,0))&amp;""=$T27&amp;""),"OK","Abweichung – Ansicht neu erzeugen"))</f>
        <v>OK</v>
      </c>
    </row>
    <row r="28" spans="1:50" ht="42.95" customHeight="1">
      <c r="A28" s="12" t="s">
        <v>1096</v>
      </c>
      <c r="B28" s="9" t="s">
        <v>48</v>
      </c>
      <c r="C28" s="12" t="s">
        <v>46</v>
      </c>
      <c r="D28" s="12" t="s">
        <v>555</v>
      </c>
      <c r="E28" s="12" t="s">
        <v>43</v>
      </c>
      <c r="F28" s="12" t="s">
        <v>92</v>
      </c>
      <c r="G28" s="12" t="s">
        <v>1097</v>
      </c>
      <c r="H28" s="12" t="s">
        <v>1098</v>
      </c>
      <c r="I28" s="12" t="s">
        <v>1099</v>
      </c>
      <c r="J28" s="12" t="s">
        <v>160</v>
      </c>
      <c r="K28" s="12" t="s">
        <v>1090</v>
      </c>
      <c r="L28" s="12" t="s">
        <v>1068</v>
      </c>
      <c r="M28" s="13" t="s">
        <v>1100</v>
      </c>
      <c r="N28" s="12" t="s">
        <v>1092</v>
      </c>
      <c r="O28" s="12" t="s">
        <v>100</v>
      </c>
      <c r="P28" s="12"/>
      <c r="Q28" s="12"/>
      <c r="R28" s="12"/>
      <c r="S28" s="12" t="s">
        <v>134</v>
      </c>
      <c r="T28" s="12" t="s">
        <v>105</v>
      </c>
      <c r="U28" s="12" t="s">
        <v>106</v>
      </c>
      <c r="V28" s="12"/>
      <c r="W28" s="12"/>
      <c r="X28" s="12"/>
      <c r="Y28" s="12" t="s">
        <v>109</v>
      </c>
      <c r="Z28" s="12" t="s">
        <v>149</v>
      </c>
      <c r="AA28" s="12"/>
      <c r="AB28" s="12"/>
      <c r="AC28" s="13" t="s">
        <v>1046</v>
      </c>
      <c r="AD28" s="12" t="s">
        <v>112</v>
      </c>
      <c r="AE28" s="12" t="s">
        <v>113</v>
      </c>
      <c r="AF28" s="12"/>
      <c r="AG28" s="12" t="s">
        <v>292</v>
      </c>
      <c r="AH28" s="12" t="s">
        <v>115</v>
      </c>
      <c r="AI28" s="12" t="s">
        <v>1101</v>
      </c>
      <c r="AJ28" s="12" t="s">
        <v>1102</v>
      </c>
      <c r="AK28" s="12" t="s">
        <v>1103</v>
      </c>
      <c r="AL28" s="12" t="s">
        <v>119</v>
      </c>
      <c r="AM28" s="12" t="s">
        <v>572</v>
      </c>
      <c r="AN28" s="12" t="s">
        <v>121</v>
      </c>
      <c r="AO28" s="12" t="s">
        <v>1092</v>
      </c>
      <c r="AP28" s="12" t="s">
        <v>122</v>
      </c>
      <c r="AQ28" s="12" t="s">
        <v>123</v>
      </c>
      <c r="AR28" s="12" t="s">
        <v>124</v>
      </c>
      <c r="AS28" s="12" t="s">
        <v>1054</v>
      </c>
      <c r="AT28" s="12" t="s">
        <v>125</v>
      </c>
      <c r="AU28" s="12"/>
      <c r="AV28" s="12"/>
      <c r="AW28" s="12" t="s">
        <v>155</v>
      </c>
      <c r="AX28" s="12" t="str">
        <f>IF(ISNA(MATCH($A28,Gesamtübersicht!$A:$A,0)),"ID fehlt in Gesamtübersicht",IF(AND(INDEX(Gesamtübersicht!$H:$H,MATCH($A28,Gesamtübersicht!$A:$A,0))&amp;""=$H28&amp;"",INDEX(Gesamtübersicht!$M:$M,MATCH($A28,Gesamtübersicht!$A:$A,0))&amp;""=$M28&amp;"",INDEX(Gesamtübersicht!$AD:$AD,MATCH($A28,Gesamtübersicht!$A:$A,0))&amp;""=$AD28&amp;"",INDEX(Gesamtübersicht!$AH:$AH,MATCH($A28,Gesamtübersicht!$A:$A,0))&amp;""=$AH28&amp;"",INDEX(Gesamtübersicht!$T:$T,MATCH($A28,Gesamtübersicht!$A:$A,0))&amp;""=$T28&amp;""),"OK","Abweichung – Ansicht neu erzeugen"))</f>
        <v>OK</v>
      </c>
    </row>
    <row r="29" spans="1:50" ht="42.95" customHeight="1">
      <c r="A29" s="2" t="s">
        <v>1104</v>
      </c>
      <c r="B29" s="9" t="s">
        <v>48</v>
      </c>
      <c r="C29" s="2" t="s">
        <v>46</v>
      </c>
      <c r="D29" s="2" t="s">
        <v>555</v>
      </c>
      <c r="E29" s="2" t="s">
        <v>43</v>
      </c>
      <c r="F29" s="2" t="s">
        <v>92</v>
      </c>
      <c r="G29" s="2" t="s">
        <v>692</v>
      </c>
      <c r="H29" s="2" t="s">
        <v>1105</v>
      </c>
      <c r="I29" s="2" t="s">
        <v>692</v>
      </c>
      <c r="J29" s="2" t="s">
        <v>160</v>
      </c>
      <c r="K29" s="2" t="s">
        <v>662</v>
      </c>
      <c r="L29" s="2" t="s">
        <v>1068</v>
      </c>
      <c r="M29" s="3" t="s">
        <v>1106</v>
      </c>
      <c r="N29" s="2" t="s">
        <v>696</v>
      </c>
      <c r="O29" s="2" t="s">
        <v>100</v>
      </c>
      <c r="P29" s="2"/>
      <c r="Q29" s="2"/>
      <c r="R29" s="2"/>
      <c r="S29" s="2" t="s">
        <v>134</v>
      </c>
      <c r="T29" s="2" t="s">
        <v>105</v>
      </c>
      <c r="U29" s="2" t="s">
        <v>106</v>
      </c>
      <c r="V29" s="2"/>
      <c r="W29" s="2"/>
      <c r="X29" s="2"/>
      <c r="Y29" s="2" t="s">
        <v>109</v>
      </c>
      <c r="Z29" s="2" t="s">
        <v>149</v>
      </c>
      <c r="AA29" s="2"/>
      <c r="AB29" s="2"/>
      <c r="AC29" s="3" t="s">
        <v>1046</v>
      </c>
      <c r="AD29" s="2" t="s">
        <v>112</v>
      </c>
      <c r="AE29" s="2" t="s">
        <v>113</v>
      </c>
      <c r="AF29" s="2"/>
      <c r="AG29" s="2" t="s">
        <v>292</v>
      </c>
      <c r="AH29" s="2" t="s">
        <v>115</v>
      </c>
      <c r="AI29" s="2" t="s">
        <v>1107</v>
      </c>
      <c r="AJ29" s="2" t="s">
        <v>1108</v>
      </c>
      <c r="AK29" s="2" t="s">
        <v>1109</v>
      </c>
      <c r="AL29" s="2" t="s">
        <v>119</v>
      </c>
      <c r="AM29" s="2" t="s">
        <v>572</v>
      </c>
      <c r="AN29" s="2" t="s">
        <v>121</v>
      </c>
      <c r="AO29" s="2" t="s">
        <v>696</v>
      </c>
      <c r="AP29" s="2" t="s">
        <v>122</v>
      </c>
      <c r="AQ29" s="2" t="s">
        <v>123</v>
      </c>
      <c r="AR29" s="2" t="s">
        <v>124</v>
      </c>
      <c r="AS29" s="2" t="s">
        <v>1054</v>
      </c>
      <c r="AT29" s="2" t="s">
        <v>125</v>
      </c>
      <c r="AU29" s="2" t="s">
        <v>1110</v>
      </c>
      <c r="AV29" s="2"/>
      <c r="AW29" s="2" t="s">
        <v>155</v>
      </c>
      <c r="AX29" s="2" t="str">
        <f>IF(ISNA(MATCH($A29,Gesamtübersicht!$A:$A,0)),"ID fehlt in Gesamtübersicht",IF(AND(INDEX(Gesamtübersicht!$H:$H,MATCH($A29,Gesamtübersicht!$A:$A,0))&amp;""=$H29&amp;"",INDEX(Gesamtübersicht!$M:$M,MATCH($A29,Gesamtübersicht!$A:$A,0))&amp;""=$M29&amp;"",INDEX(Gesamtübersicht!$AD:$AD,MATCH($A29,Gesamtübersicht!$A:$A,0))&amp;""=$AD29&amp;"",INDEX(Gesamtübersicht!$AH:$AH,MATCH($A29,Gesamtübersicht!$A:$A,0))&amp;""=$AH29&amp;"",INDEX(Gesamtübersicht!$T:$T,MATCH($A29,Gesamtübersicht!$A:$A,0))&amp;""=$T29&amp;""),"OK","Abweichung – Ansicht neu erzeugen"))</f>
        <v>OK</v>
      </c>
    </row>
    <row r="30" spans="1:50" ht="42.95" customHeight="1">
      <c r="A30" s="12" t="s">
        <v>1111</v>
      </c>
      <c r="B30" s="9" t="s">
        <v>48</v>
      </c>
      <c r="C30" s="12" t="s">
        <v>46</v>
      </c>
      <c r="D30" s="12" t="s">
        <v>555</v>
      </c>
      <c r="E30" s="12" t="s">
        <v>43</v>
      </c>
      <c r="F30" s="12" t="s">
        <v>92</v>
      </c>
      <c r="G30" s="12" t="s">
        <v>1112</v>
      </c>
      <c r="H30" s="12" t="s">
        <v>1113</v>
      </c>
      <c r="I30" s="12" t="s">
        <v>1114</v>
      </c>
      <c r="J30" s="12" t="s">
        <v>160</v>
      </c>
      <c r="K30" s="12" t="s">
        <v>662</v>
      </c>
      <c r="L30" s="12" t="s">
        <v>1115</v>
      </c>
      <c r="M30" s="13" t="s">
        <v>1116</v>
      </c>
      <c r="N30" s="12" t="s">
        <v>337</v>
      </c>
      <c r="O30" s="12" t="s">
        <v>100</v>
      </c>
      <c r="P30" s="12" t="s">
        <v>1117</v>
      </c>
      <c r="Q30" s="12"/>
      <c r="R30" s="12"/>
      <c r="S30" s="12" t="s">
        <v>134</v>
      </c>
      <c r="T30" s="12" t="s">
        <v>105</v>
      </c>
      <c r="U30" s="12" t="s">
        <v>166</v>
      </c>
      <c r="V30" s="12"/>
      <c r="W30" s="12"/>
      <c r="X30" s="12"/>
      <c r="Y30" s="12" t="s">
        <v>109</v>
      </c>
      <c r="Z30" s="12" t="s">
        <v>167</v>
      </c>
      <c r="AA30" s="12" t="s">
        <v>199</v>
      </c>
      <c r="AB30" s="12"/>
      <c r="AC30" s="12"/>
      <c r="AD30" s="12" t="s">
        <v>112</v>
      </c>
      <c r="AE30" s="12" t="s">
        <v>113</v>
      </c>
      <c r="AF30" s="12"/>
      <c r="AG30" s="12" t="s">
        <v>292</v>
      </c>
      <c r="AH30" s="12" t="s">
        <v>115</v>
      </c>
      <c r="AI30" s="12" t="s">
        <v>1118</v>
      </c>
      <c r="AJ30" s="12" t="s">
        <v>1119</v>
      </c>
      <c r="AK30" s="12" t="s">
        <v>1120</v>
      </c>
      <c r="AL30" s="12" t="s">
        <v>119</v>
      </c>
      <c r="AM30" s="12" t="s">
        <v>572</v>
      </c>
      <c r="AN30" s="12" t="s">
        <v>121</v>
      </c>
      <c r="AO30" s="12" t="s">
        <v>337</v>
      </c>
      <c r="AP30" s="12" t="s">
        <v>122</v>
      </c>
      <c r="AQ30" s="12" t="s">
        <v>123</v>
      </c>
      <c r="AR30" s="12" t="s">
        <v>124</v>
      </c>
      <c r="AS30" s="12" t="s">
        <v>1054</v>
      </c>
      <c r="AT30" s="12" t="s">
        <v>125</v>
      </c>
      <c r="AU30" s="12"/>
      <c r="AV30" s="12"/>
      <c r="AW30" s="12" t="s">
        <v>155</v>
      </c>
      <c r="AX30" s="12" t="str">
        <f>IF(ISNA(MATCH($A30,Gesamtübersicht!$A:$A,0)),"ID fehlt in Gesamtübersicht",IF(AND(INDEX(Gesamtübersicht!$H:$H,MATCH($A30,Gesamtübersicht!$A:$A,0))&amp;""=$H30&amp;"",INDEX(Gesamtübersicht!$M:$M,MATCH($A30,Gesamtübersicht!$A:$A,0))&amp;""=$M30&amp;"",INDEX(Gesamtübersicht!$AD:$AD,MATCH($A30,Gesamtübersicht!$A:$A,0))&amp;""=$AD30&amp;"",INDEX(Gesamtübersicht!$AH:$AH,MATCH($A30,Gesamtübersicht!$A:$A,0))&amp;""=$AH30&amp;"",INDEX(Gesamtübersicht!$T:$T,MATCH($A30,Gesamtübersicht!$A:$A,0))&amp;""=$T30&amp;""),"OK","Abweichung – Ansicht neu erzeugen"))</f>
        <v>OK</v>
      </c>
    </row>
    <row r="31" spans="1:50" ht="42.95" customHeight="1">
      <c r="A31" s="2" t="s">
        <v>1121</v>
      </c>
      <c r="B31" s="9" t="s">
        <v>48</v>
      </c>
      <c r="C31" s="2" t="s">
        <v>46</v>
      </c>
      <c r="D31" s="2" t="s">
        <v>555</v>
      </c>
      <c r="E31" s="2" t="s">
        <v>43</v>
      </c>
      <c r="F31" s="2" t="s">
        <v>92</v>
      </c>
      <c r="G31" s="2" t="s">
        <v>692</v>
      </c>
      <c r="H31" s="2" t="s">
        <v>1122</v>
      </c>
      <c r="I31" s="2" t="s">
        <v>692</v>
      </c>
      <c r="J31" s="2" t="s">
        <v>160</v>
      </c>
      <c r="K31" s="2" t="s">
        <v>1123</v>
      </c>
      <c r="L31" s="2" t="s">
        <v>1068</v>
      </c>
      <c r="M31" s="3" t="s">
        <v>1124</v>
      </c>
      <c r="N31" s="2" t="s">
        <v>1125</v>
      </c>
      <c r="O31" s="2" t="s">
        <v>100</v>
      </c>
      <c r="P31" s="2" t="s">
        <v>1126</v>
      </c>
      <c r="Q31" s="2"/>
      <c r="R31" s="2"/>
      <c r="S31" s="2" t="s">
        <v>134</v>
      </c>
      <c r="T31" s="2" t="s">
        <v>105</v>
      </c>
      <c r="U31" s="2" t="s">
        <v>106</v>
      </c>
      <c r="V31" s="2"/>
      <c r="W31" s="2"/>
      <c r="X31" s="2"/>
      <c r="Y31" s="2" t="s">
        <v>109</v>
      </c>
      <c r="Z31" s="2" t="s">
        <v>149</v>
      </c>
      <c r="AA31" s="2"/>
      <c r="AB31" s="2"/>
      <c r="AC31" s="3" t="s">
        <v>1046</v>
      </c>
      <c r="AD31" s="2" t="s">
        <v>112</v>
      </c>
      <c r="AE31" s="2" t="s">
        <v>113</v>
      </c>
      <c r="AF31" s="2"/>
      <c r="AG31" s="2" t="s">
        <v>292</v>
      </c>
      <c r="AH31" s="2" t="s">
        <v>115</v>
      </c>
      <c r="AI31" s="2" t="s">
        <v>1127</v>
      </c>
      <c r="AJ31" s="2" t="s">
        <v>1128</v>
      </c>
      <c r="AK31" s="2" t="s">
        <v>1129</v>
      </c>
      <c r="AL31" s="2" t="s">
        <v>119</v>
      </c>
      <c r="AM31" s="2" t="s">
        <v>572</v>
      </c>
      <c r="AN31" s="2" t="s">
        <v>121</v>
      </c>
      <c r="AO31" s="2" t="s">
        <v>1125</v>
      </c>
      <c r="AP31" s="2" t="s">
        <v>122</v>
      </c>
      <c r="AQ31" s="2" t="s">
        <v>123</v>
      </c>
      <c r="AR31" s="2" t="s">
        <v>124</v>
      </c>
      <c r="AS31" s="2" t="s">
        <v>1054</v>
      </c>
      <c r="AT31" s="2" t="s">
        <v>125</v>
      </c>
      <c r="AU31" s="2" t="s">
        <v>1130</v>
      </c>
      <c r="AV31" s="2"/>
      <c r="AW31" s="2" t="s">
        <v>155</v>
      </c>
      <c r="AX31" s="2" t="str">
        <f>IF(ISNA(MATCH($A31,Gesamtübersicht!$A:$A,0)),"ID fehlt in Gesamtübersicht",IF(AND(INDEX(Gesamtübersicht!$H:$H,MATCH($A31,Gesamtübersicht!$A:$A,0))&amp;""=$H31&amp;"",INDEX(Gesamtübersicht!$M:$M,MATCH($A31,Gesamtübersicht!$A:$A,0))&amp;""=$M31&amp;"",INDEX(Gesamtübersicht!$AD:$AD,MATCH($A31,Gesamtübersicht!$A:$A,0))&amp;""=$AD31&amp;"",INDEX(Gesamtübersicht!$AH:$AH,MATCH($A31,Gesamtübersicht!$A:$A,0))&amp;""=$AH31&amp;"",INDEX(Gesamtübersicht!$T:$T,MATCH($A31,Gesamtübersicht!$A:$A,0))&amp;""=$T31&amp;""),"OK","Abweichung – Ansicht neu erzeugen"))</f>
        <v>OK</v>
      </c>
    </row>
    <row r="32" spans="1:50" ht="42.95" customHeight="1">
      <c r="A32" s="12" t="s">
        <v>1131</v>
      </c>
      <c r="B32" s="9" t="s">
        <v>48</v>
      </c>
      <c r="C32" s="12" t="s">
        <v>46</v>
      </c>
      <c r="D32" s="12" t="s">
        <v>555</v>
      </c>
      <c r="E32" s="12" t="s">
        <v>43</v>
      </c>
      <c r="F32" s="12" t="s">
        <v>92</v>
      </c>
      <c r="G32" s="12" t="s">
        <v>858</v>
      </c>
      <c r="H32" s="12" t="s">
        <v>1132</v>
      </c>
      <c r="I32" s="12" t="s">
        <v>860</v>
      </c>
      <c r="J32" s="12" t="s">
        <v>160</v>
      </c>
      <c r="K32" s="12" t="s">
        <v>1090</v>
      </c>
      <c r="L32" s="12" t="s">
        <v>1068</v>
      </c>
      <c r="M32" s="13" t="s">
        <v>1133</v>
      </c>
      <c r="N32" s="12" t="s">
        <v>1134</v>
      </c>
      <c r="O32" s="12" t="s">
        <v>100</v>
      </c>
      <c r="P32" s="12" t="s">
        <v>1135</v>
      </c>
      <c r="Q32" s="12"/>
      <c r="R32" s="12"/>
      <c r="S32" s="12" t="s">
        <v>134</v>
      </c>
      <c r="T32" s="12" t="s">
        <v>105</v>
      </c>
      <c r="U32" s="12" t="s">
        <v>166</v>
      </c>
      <c r="V32" s="12"/>
      <c r="W32" s="12"/>
      <c r="X32" s="12"/>
      <c r="Y32" s="12" t="s">
        <v>109</v>
      </c>
      <c r="Z32" s="12" t="s">
        <v>149</v>
      </c>
      <c r="AA32" s="12"/>
      <c r="AB32" s="12"/>
      <c r="AC32" s="13" t="s">
        <v>1046</v>
      </c>
      <c r="AD32" s="12" t="s">
        <v>112</v>
      </c>
      <c r="AE32" s="12" t="s">
        <v>113</v>
      </c>
      <c r="AF32" s="12"/>
      <c r="AG32" s="12" t="s">
        <v>292</v>
      </c>
      <c r="AH32" s="12" t="s">
        <v>115</v>
      </c>
      <c r="AI32" s="12" t="s">
        <v>1136</v>
      </c>
      <c r="AJ32" s="12" t="s">
        <v>1137</v>
      </c>
      <c r="AK32" s="12" t="s">
        <v>1138</v>
      </c>
      <c r="AL32" s="12" t="s">
        <v>119</v>
      </c>
      <c r="AM32" s="12" t="s">
        <v>572</v>
      </c>
      <c r="AN32" s="12" t="s">
        <v>121</v>
      </c>
      <c r="AO32" s="12" t="s">
        <v>1134</v>
      </c>
      <c r="AP32" s="12" t="s">
        <v>122</v>
      </c>
      <c r="AQ32" s="12" t="s">
        <v>123</v>
      </c>
      <c r="AR32" s="12" t="s">
        <v>124</v>
      </c>
      <c r="AS32" s="12" t="s">
        <v>1054</v>
      </c>
      <c r="AT32" s="12" t="s">
        <v>125</v>
      </c>
      <c r="AU32" s="12"/>
      <c r="AV32" s="12"/>
      <c r="AW32" s="12" t="s">
        <v>155</v>
      </c>
      <c r="AX32" s="12" t="str">
        <f>IF(ISNA(MATCH($A32,Gesamtübersicht!$A:$A,0)),"ID fehlt in Gesamtübersicht",IF(AND(INDEX(Gesamtübersicht!$H:$H,MATCH($A32,Gesamtübersicht!$A:$A,0))&amp;""=$H32&amp;"",INDEX(Gesamtübersicht!$M:$M,MATCH($A32,Gesamtübersicht!$A:$A,0))&amp;""=$M32&amp;"",INDEX(Gesamtübersicht!$AD:$AD,MATCH($A32,Gesamtübersicht!$A:$A,0))&amp;""=$AD32&amp;"",INDEX(Gesamtübersicht!$AH:$AH,MATCH($A32,Gesamtübersicht!$A:$A,0))&amp;""=$AH32&amp;"",INDEX(Gesamtübersicht!$T:$T,MATCH($A32,Gesamtübersicht!$A:$A,0))&amp;""=$T32&amp;""),"OK","Abweichung – Ansicht neu erzeugen"))</f>
        <v>OK</v>
      </c>
    </row>
    <row r="33" spans="1:50" ht="42.95" customHeight="1">
      <c r="A33" s="2" t="s">
        <v>1139</v>
      </c>
      <c r="B33" s="9" t="s">
        <v>48</v>
      </c>
      <c r="C33" s="2" t="s">
        <v>46</v>
      </c>
      <c r="D33" s="2" t="s">
        <v>555</v>
      </c>
      <c r="E33" s="2" t="s">
        <v>43</v>
      </c>
      <c r="F33" s="2" t="s">
        <v>172</v>
      </c>
      <c r="G33" s="2" t="s">
        <v>700</v>
      </c>
      <c r="H33" s="2" t="s">
        <v>1140</v>
      </c>
      <c r="I33" s="2" t="s">
        <v>1141</v>
      </c>
      <c r="J33" s="2" t="s">
        <v>142</v>
      </c>
      <c r="K33" s="2" t="s">
        <v>1142</v>
      </c>
      <c r="L33" s="2" t="s">
        <v>1045</v>
      </c>
      <c r="M33" s="3" t="s">
        <v>1143</v>
      </c>
      <c r="N33" s="2" t="s">
        <v>676</v>
      </c>
      <c r="O33" s="2" t="s">
        <v>100</v>
      </c>
      <c r="P33" s="2" t="s">
        <v>1144</v>
      </c>
      <c r="Q33" s="2" t="s">
        <v>1145</v>
      </c>
      <c r="R33" s="2" t="s">
        <v>1146</v>
      </c>
      <c r="S33" s="2" t="s">
        <v>351</v>
      </c>
      <c r="T33" s="2" t="s">
        <v>105</v>
      </c>
      <c r="U33" s="2" t="s">
        <v>166</v>
      </c>
      <c r="V33" s="2" t="s">
        <v>709</v>
      </c>
      <c r="W33" s="2" t="s">
        <v>183</v>
      </c>
      <c r="X33" s="2" t="s">
        <v>492</v>
      </c>
      <c r="Y33" s="2" t="s">
        <v>109</v>
      </c>
      <c r="Z33" s="2" t="s">
        <v>149</v>
      </c>
      <c r="AA33" s="2" t="s">
        <v>212</v>
      </c>
      <c r="AB33" s="2"/>
      <c r="AC33" s="3" t="s">
        <v>1147</v>
      </c>
      <c r="AD33" s="2" t="s">
        <v>112</v>
      </c>
      <c r="AE33" s="2" t="s">
        <v>1050</v>
      </c>
      <c r="AF33" s="2"/>
      <c r="AG33" s="2" t="s">
        <v>114</v>
      </c>
      <c r="AH33" s="2" t="s">
        <v>115</v>
      </c>
      <c r="AI33" s="2" t="s">
        <v>1148</v>
      </c>
      <c r="AJ33" s="2" t="s">
        <v>1149</v>
      </c>
      <c r="AK33" s="2" t="s">
        <v>1065</v>
      </c>
      <c r="AL33" s="2" t="s">
        <v>119</v>
      </c>
      <c r="AM33" s="2" t="s">
        <v>153</v>
      </c>
      <c r="AN33" s="2" t="s">
        <v>121</v>
      </c>
      <c r="AO33" s="2" t="s">
        <v>676</v>
      </c>
      <c r="AP33" s="2" t="s">
        <v>122</v>
      </c>
      <c r="AQ33" s="2" t="s">
        <v>123</v>
      </c>
      <c r="AR33" s="2" t="s">
        <v>715</v>
      </c>
      <c r="AS33" s="2" t="s">
        <v>1054</v>
      </c>
      <c r="AT33" s="2" t="s">
        <v>125</v>
      </c>
      <c r="AU33" s="2" t="s">
        <v>1150</v>
      </c>
      <c r="AV33" s="2"/>
      <c r="AW33" s="2" t="s">
        <v>1151</v>
      </c>
      <c r="AX33" s="2" t="str">
        <f>IF(ISNA(MATCH($A33,Gesamtübersicht!$A:$A,0)),"ID fehlt in Gesamtübersicht",IF(AND(INDEX(Gesamtübersicht!$H:$H,MATCH($A33,Gesamtübersicht!$A:$A,0))&amp;""=$H33&amp;"",INDEX(Gesamtübersicht!$M:$M,MATCH($A33,Gesamtübersicht!$A:$A,0))&amp;""=$M33&amp;"",INDEX(Gesamtübersicht!$AD:$AD,MATCH($A33,Gesamtübersicht!$A:$A,0))&amp;""=$AD33&amp;"",INDEX(Gesamtübersicht!$AH:$AH,MATCH($A33,Gesamtübersicht!$A:$A,0))&amp;""=$AH33&amp;"",INDEX(Gesamtübersicht!$T:$T,MATCH($A33,Gesamtübersicht!$A:$A,0))&amp;""=$T33&amp;""),"OK","Abweichung – Ansicht neu erzeugen"))</f>
        <v>OK</v>
      </c>
    </row>
    <row r="34" spans="1:50" ht="42.95" customHeight="1">
      <c r="A34" s="12" t="s">
        <v>1152</v>
      </c>
      <c r="B34" s="9" t="s">
        <v>48</v>
      </c>
      <c r="C34" s="12" t="s">
        <v>46</v>
      </c>
      <c r="D34" s="12" t="s">
        <v>555</v>
      </c>
      <c r="E34" s="12" t="s">
        <v>43</v>
      </c>
      <c r="F34" s="12" t="s">
        <v>172</v>
      </c>
      <c r="G34" s="12" t="s">
        <v>1153</v>
      </c>
      <c r="H34" s="12" t="s">
        <v>1154</v>
      </c>
      <c r="I34" s="12" t="s">
        <v>1155</v>
      </c>
      <c r="J34" s="12" t="s">
        <v>160</v>
      </c>
      <c r="K34" s="12" t="s">
        <v>1156</v>
      </c>
      <c r="L34" s="12" t="s">
        <v>1068</v>
      </c>
      <c r="M34" s="13" t="s">
        <v>1157</v>
      </c>
      <c r="N34" s="12"/>
      <c r="O34" s="12" t="s">
        <v>100</v>
      </c>
      <c r="P34" s="12"/>
      <c r="Q34" s="12"/>
      <c r="R34" s="12"/>
      <c r="S34" s="12" t="s">
        <v>182</v>
      </c>
      <c r="T34" s="12" t="s">
        <v>105</v>
      </c>
      <c r="U34" s="12" t="s">
        <v>708</v>
      </c>
      <c r="V34" s="12"/>
      <c r="W34" s="12"/>
      <c r="X34" s="12"/>
      <c r="Y34" s="12" t="s">
        <v>109</v>
      </c>
      <c r="Z34" s="12" t="s">
        <v>167</v>
      </c>
      <c r="AA34" s="12"/>
      <c r="AB34" s="12"/>
      <c r="AC34" s="12"/>
      <c r="AD34" s="12" t="s">
        <v>112</v>
      </c>
      <c r="AE34" s="12" t="s">
        <v>113</v>
      </c>
      <c r="AF34" s="12"/>
      <c r="AG34" s="12" t="s">
        <v>292</v>
      </c>
      <c r="AH34" s="12" t="s">
        <v>115</v>
      </c>
      <c r="AI34" s="12" t="s">
        <v>1158</v>
      </c>
      <c r="AJ34" s="12" t="s">
        <v>1159</v>
      </c>
      <c r="AK34" s="12" t="s">
        <v>1160</v>
      </c>
      <c r="AL34" s="12" t="s">
        <v>119</v>
      </c>
      <c r="AM34" s="12" t="s">
        <v>572</v>
      </c>
      <c r="AN34" s="12" t="s">
        <v>121</v>
      </c>
      <c r="AO34" s="12"/>
      <c r="AP34" s="12" t="s">
        <v>122</v>
      </c>
      <c r="AQ34" s="12" t="s">
        <v>123</v>
      </c>
      <c r="AR34" s="12" t="s">
        <v>715</v>
      </c>
      <c r="AS34" s="12" t="s">
        <v>1054</v>
      </c>
      <c r="AT34" s="12" t="s">
        <v>125</v>
      </c>
      <c r="AU34" s="12" t="s">
        <v>1161</v>
      </c>
      <c r="AV34" s="12"/>
      <c r="AW34" s="12" t="s">
        <v>155</v>
      </c>
      <c r="AX34" s="12" t="str">
        <f>IF(ISNA(MATCH($A34,Gesamtübersicht!$A:$A,0)),"ID fehlt in Gesamtübersicht",IF(AND(INDEX(Gesamtübersicht!$H:$H,MATCH($A34,Gesamtübersicht!$A:$A,0))&amp;""=$H34&amp;"",INDEX(Gesamtübersicht!$M:$M,MATCH($A34,Gesamtübersicht!$A:$A,0))&amp;""=$M34&amp;"",INDEX(Gesamtübersicht!$AD:$AD,MATCH($A34,Gesamtübersicht!$A:$A,0))&amp;""=$AD34&amp;"",INDEX(Gesamtübersicht!$AH:$AH,MATCH($A34,Gesamtübersicht!$A:$A,0))&amp;""=$AH34&amp;"",INDEX(Gesamtübersicht!$T:$T,MATCH($A34,Gesamtübersicht!$A:$A,0))&amp;""=$T34&amp;""),"OK","Abweichung – Ansicht neu erzeugen"))</f>
        <v>OK</v>
      </c>
    </row>
    <row r="35" spans="1:50" ht="42.95" customHeight="1">
      <c r="A35" s="2" t="s">
        <v>1162</v>
      </c>
      <c r="B35" s="9" t="s">
        <v>48</v>
      </c>
      <c r="C35" s="2" t="s">
        <v>46</v>
      </c>
      <c r="D35" s="2" t="s">
        <v>555</v>
      </c>
      <c r="E35" s="2" t="s">
        <v>43</v>
      </c>
      <c r="F35" s="2" t="s">
        <v>199</v>
      </c>
      <c r="G35" s="2" t="s">
        <v>1163</v>
      </c>
      <c r="H35" s="2" t="s">
        <v>1164</v>
      </c>
      <c r="I35" s="2" t="s">
        <v>958</v>
      </c>
      <c r="J35" s="2" t="s">
        <v>1165</v>
      </c>
      <c r="K35" s="2" t="s">
        <v>1166</v>
      </c>
      <c r="L35" s="2" t="s">
        <v>1045</v>
      </c>
      <c r="M35" s="3" t="s">
        <v>1167</v>
      </c>
      <c r="N35" s="2" t="s">
        <v>99</v>
      </c>
      <c r="O35" s="2" t="s">
        <v>100</v>
      </c>
      <c r="P35" s="2" t="s">
        <v>1168</v>
      </c>
      <c r="Q35" s="2" t="s">
        <v>1169</v>
      </c>
      <c r="R35" s="2" t="s">
        <v>1170</v>
      </c>
      <c r="S35" s="2" t="s">
        <v>384</v>
      </c>
      <c r="T35" s="2" t="s">
        <v>105</v>
      </c>
      <c r="U35" s="2" t="s">
        <v>166</v>
      </c>
      <c r="V35" s="2" t="s">
        <v>709</v>
      </c>
      <c r="W35" s="2" t="s">
        <v>1171</v>
      </c>
      <c r="X35" s="2" t="s">
        <v>1172</v>
      </c>
      <c r="Y35" s="2" t="s">
        <v>109</v>
      </c>
      <c r="Z35" s="2" t="s">
        <v>149</v>
      </c>
      <c r="AA35" s="2"/>
      <c r="AB35" s="2"/>
      <c r="AC35" s="2"/>
      <c r="AD35" s="2" t="s">
        <v>112</v>
      </c>
      <c r="AE35" s="2" t="s">
        <v>1050</v>
      </c>
      <c r="AF35" s="2"/>
      <c r="AG35" s="2" t="s">
        <v>114</v>
      </c>
      <c r="AH35" s="2" t="s">
        <v>115</v>
      </c>
      <c r="AI35" s="2" t="s">
        <v>1173</v>
      </c>
      <c r="AJ35" s="2" t="s">
        <v>1174</v>
      </c>
      <c r="AK35" s="2" t="s">
        <v>1065</v>
      </c>
      <c r="AL35" s="2" t="s">
        <v>119</v>
      </c>
      <c r="AM35" s="2" t="s">
        <v>153</v>
      </c>
      <c r="AN35" s="2" t="s">
        <v>121</v>
      </c>
      <c r="AO35" s="2" t="s">
        <v>99</v>
      </c>
      <c r="AP35" s="2" t="s">
        <v>122</v>
      </c>
      <c r="AQ35" s="2" t="s">
        <v>123</v>
      </c>
      <c r="AR35" s="2" t="s">
        <v>715</v>
      </c>
      <c r="AS35" s="2" t="s">
        <v>1054</v>
      </c>
      <c r="AT35" s="2" t="s">
        <v>125</v>
      </c>
      <c r="AU35" s="2" t="s">
        <v>1175</v>
      </c>
      <c r="AV35" s="2"/>
      <c r="AW35" s="2" t="s">
        <v>1176</v>
      </c>
      <c r="AX35" s="2" t="str">
        <f>IF(ISNA(MATCH($A35,Gesamtübersicht!$A:$A,0)),"ID fehlt in Gesamtübersicht",IF(AND(INDEX(Gesamtübersicht!$H:$H,MATCH($A35,Gesamtübersicht!$A:$A,0))&amp;""=$H35&amp;"",INDEX(Gesamtübersicht!$M:$M,MATCH($A35,Gesamtübersicht!$A:$A,0))&amp;""=$M35&amp;"",INDEX(Gesamtübersicht!$AD:$AD,MATCH($A35,Gesamtübersicht!$A:$A,0))&amp;""=$AD35&amp;"",INDEX(Gesamtübersicht!$AH:$AH,MATCH($A35,Gesamtübersicht!$A:$A,0))&amp;""=$AH35&amp;"",INDEX(Gesamtübersicht!$T:$T,MATCH($A35,Gesamtübersicht!$A:$A,0))&amp;""=$T35&amp;""),"OK","Abweichung – Ansicht neu erzeugen"))</f>
        <v>OK</v>
      </c>
    </row>
    <row r="36" spans="1:50" ht="42.95" customHeight="1">
      <c r="A36" s="12" t="s">
        <v>1177</v>
      </c>
      <c r="B36" s="9" t="s">
        <v>48</v>
      </c>
      <c r="C36" s="12" t="s">
        <v>46</v>
      </c>
      <c r="D36" s="12" t="s">
        <v>555</v>
      </c>
      <c r="E36" s="12" t="s">
        <v>43</v>
      </c>
      <c r="F36" s="12" t="s">
        <v>199</v>
      </c>
      <c r="G36" s="12" t="s">
        <v>1178</v>
      </c>
      <c r="H36" s="12" t="s">
        <v>1179</v>
      </c>
      <c r="I36" s="12" t="s">
        <v>1180</v>
      </c>
      <c r="J36" s="12" t="s">
        <v>160</v>
      </c>
      <c r="K36" s="12" t="s">
        <v>1181</v>
      </c>
      <c r="L36" s="12" t="s">
        <v>1182</v>
      </c>
      <c r="M36" s="13" t="s">
        <v>1183</v>
      </c>
      <c r="N36" s="12" t="s">
        <v>476</v>
      </c>
      <c r="O36" s="12" t="s">
        <v>100</v>
      </c>
      <c r="P36" s="12" t="s">
        <v>1184</v>
      </c>
      <c r="Q36" s="12"/>
      <c r="R36" s="12"/>
      <c r="S36" s="12" t="s">
        <v>182</v>
      </c>
      <c r="T36" s="12" t="s">
        <v>105</v>
      </c>
      <c r="U36" s="12" t="s">
        <v>106</v>
      </c>
      <c r="V36" s="12"/>
      <c r="W36" s="12" t="s">
        <v>594</v>
      </c>
      <c r="X36" s="12"/>
      <c r="Y36" s="12" t="s">
        <v>109</v>
      </c>
      <c r="Z36" s="12" t="s">
        <v>167</v>
      </c>
      <c r="AA36" s="12"/>
      <c r="AB36" s="12"/>
      <c r="AC36" s="12"/>
      <c r="AD36" s="12" t="s">
        <v>112</v>
      </c>
      <c r="AE36" s="12" t="s">
        <v>113</v>
      </c>
      <c r="AF36" s="12"/>
      <c r="AG36" s="12" t="s">
        <v>292</v>
      </c>
      <c r="AH36" s="12" t="s">
        <v>115</v>
      </c>
      <c r="AI36" s="12" t="s">
        <v>1185</v>
      </c>
      <c r="AJ36" s="12" t="s">
        <v>1186</v>
      </c>
      <c r="AK36" s="12" t="s">
        <v>1187</v>
      </c>
      <c r="AL36" s="12" t="s">
        <v>267</v>
      </c>
      <c r="AM36" s="12" t="s">
        <v>572</v>
      </c>
      <c r="AN36" s="12" t="s">
        <v>121</v>
      </c>
      <c r="AO36" s="12" t="s">
        <v>476</v>
      </c>
      <c r="AP36" s="12" t="s">
        <v>122</v>
      </c>
      <c r="AQ36" s="12" t="s">
        <v>123</v>
      </c>
      <c r="AR36" s="12" t="s">
        <v>715</v>
      </c>
      <c r="AS36" s="12" t="s">
        <v>1054</v>
      </c>
      <c r="AT36" s="12" t="s">
        <v>125</v>
      </c>
      <c r="AU36" s="12"/>
      <c r="AV36" s="12"/>
      <c r="AW36" s="12" t="s">
        <v>155</v>
      </c>
      <c r="AX36" s="12" t="str">
        <f>IF(ISNA(MATCH($A36,Gesamtübersicht!$A:$A,0)),"ID fehlt in Gesamtübersicht",IF(AND(INDEX(Gesamtübersicht!$H:$H,MATCH($A36,Gesamtübersicht!$A:$A,0))&amp;""=$H36&amp;"",INDEX(Gesamtübersicht!$M:$M,MATCH($A36,Gesamtübersicht!$A:$A,0))&amp;""=$M36&amp;"",INDEX(Gesamtübersicht!$AD:$AD,MATCH($A36,Gesamtübersicht!$A:$A,0))&amp;""=$AD36&amp;"",INDEX(Gesamtübersicht!$AH:$AH,MATCH($A36,Gesamtübersicht!$A:$A,0))&amp;""=$AH36&amp;"",INDEX(Gesamtübersicht!$T:$T,MATCH($A36,Gesamtübersicht!$A:$A,0))&amp;""=$T36&amp;""),"OK","Abweichung – Ansicht neu erzeugen"))</f>
        <v>OK</v>
      </c>
    </row>
    <row r="37" spans="1:50" ht="42.95" customHeight="1">
      <c r="A37" s="2" t="s">
        <v>1188</v>
      </c>
      <c r="B37" s="9" t="s">
        <v>48</v>
      </c>
      <c r="C37" s="2" t="s">
        <v>46</v>
      </c>
      <c r="D37" s="2" t="s">
        <v>555</v>
      </c>
      <c r="E37" s="2" t="s">
        <v>43</v>
      </c>
      <c r="F37" s="2" t="s">
        <v>199</v>
      </c>
      <c r="G37" s="2" t="s">
        <v>1178</v>
      </c>
      <c r="H37" s="2" t="s">
        <v>1189</v>
      </c>
      <c r="I37" s="2" t="s">
        <v>1190</v>
      </c>
      <c r="J37" s="2" t="s">
        <v>160</v>
      </c>
      <c r="K37" s="2" t="s">
        <v>368</v>
      </c>
      <c r="L37" s="2" t="s">
        <v>1191</v>
      </c>
      <c r="M37" s="3" t="s">
        <v>1192</v>
      </c>
      <c r="N37" s="2" t="s">
        <v>337</v>
      </c>
      <c r="O37" s="2" t="s">
        <v>100</v>
      </c>
      <c r="P37" s="2"/>
      <c r="Q37" s="2"/>
      <c r="R37" s="2"/>
      <c r="S37" s="2" t="s">
        <v>182</v>
      </c>
      <c r="T37" s="2" t="s">
        <v>105</v>
      </c>
      <c r="U37" s="2" t="s">
        <v>166</v>
      </c>
      <c r="V37" s="2"/>
      <c r="W37" s="2"/>
      <c r="X37" s="2"/>
      <c r="Y37" s="2" t="s">
        <v>109</v>
      </c>
      <c r="Z37" s="2" t="s">
        <v>167</v>
      </c>
      <c r="AA37" s="2"/>
      <c r="AB37" s="2"/>
      <c r="AC37" s="2"/>
      <c r="AD37" s="2" t="s">
        <v>112</v>
      </c>
      <c r="AE37" s="2" t="s">
        <v>113</v>
      </c>
      <c r="AF37" s="2"/>
      <c r="AG37" s="2" t="s">
        <v>292</v>
      </c>
      <c r="AH37" s="2" t="s">
        <v>115</v>
      </c>
      <c r="AI37" s="2" t="s">
        <v>1193</v>
      </c>
      <c r="AJ37" s="2" t="s">
        <v>1194</v>
      </c>
      <c r="AK37" s="2" t="s">
        <v>1195</v>
      </c>
      <c r="AL37" s="2" t="s">
        <v>267</v>
      </c>
      <c r="AM37" s="2" t="s">
        <v>572</v>
      </c>
      <c r="AN37" s="2" t="s">
        <v>121</v>
      </c>
      <c r="AO37" s="2" t="s">
        <v>337</v>
      </c>
      <c r="AP37" s="2" t="s">
        <v>122</v>
      </c>
      <c r="AQ37" s="2" t="s">
        <v>123</v>
      </c>
      <c r="AR37" s="2" t="s">
        <v>715</v>
      </c>
      <c r="AS37" s="2" t="s">
        <v>1054</v>
      </c>
      <c r="AT37" s="2" t="s">
        <v>125</v>
      </c>
      <c r="AU37" s="2"/>
      <c r="AV37" s="2"/>
      <c r="AW37" s="2" t="s">
        <v>155</v>
      </c>
      <c r="AX37" s="2" t="str">
        <f>IF(ISNA(MATCH($A37,Gesamtübersicht!$A:$A,0)),"ID fehlt in Gesamtübersicht",IF(AND(INDEX(Gesamtübersicht!$H:$H,MATCH($A37,Gesamtübersicht!$A:$A,0))&amp;""=$H37&amp;"",INDEX(Gesamtübersicht!$M:$M,MATCH($A37,Gesamtübersicht!$A:$A,0))&amp;""=$M37&amp;"",INDEX(Gesamtübersicht!$AD:$AD,MATCH($A37,Gesamtübersicht!$A:$A,0))&amp;""=$AD37&amp;"",INDEX(Gesamtübersicht!$AH:$AH,MATCH($A37,Gesamtübersicht!$A:$A,0))&amp;""=$AH37&amp;"",INDEX(Gesamtübersicht!$T:$T,MATCH($A37,Gesamtübersicht!$A:$A,0))&amp;""=$T37&amp;""),"OK","Abweichung – Ansicht neu erzeugen"))</f>
        <v>OK</v>
      </c>
    </row>
    <row r="38" spans="1:50" ht="42.95" customHeight="1">
      <c r="A38" s="12" t="s">
        <v>1196</v>
      </c>
      <c r="B38" s="9" t="s">
        <v>48</v>
      </c>
      <c r="C38" s="12" t="s">
        <v>46</v>
      </c>
      <c r="D38" s="12" t="s">
        <v>555</v>
      </c>
      <c r="E38" s="12" t="s">
        <v>43</v>
      </c>
      <c r="F38" s="12" t="s">
        <v>217</v>
      </c>
      <c r="G38" s="12" t="s">
        <v>402</v>
      </c>
      <c r="H38" s="12" t="s">
        <v>1197</v>
      </c>
      <c r="I38" s="12" t="s">
        <v>1198</v>
      </c>
      <c r="J38" s="12" t="s">
        <v>160</v>
      </c>
      <c r="K38" s="12" t="s">
        <v>1199</v>
      </c>
      <c r="L38" s="12" t="s">
        <v>1045</v>
      </c>
      <c r="M38" s="13" t="s">
        <v>1200</v>
      </c>
      <c r="N38" s="12" t="s">
        <v>337</v>
      </c>
      <c r="O38" s="12" t="s">
        <v>100</v>
      </c>
      <c r="P38" s="12" t="s">
        <v>1201</v>
      </c>
      <c r="Q38" s="12" t="s">
        <v>1202</v>
      </c>
      <c r="R38" s="12" t="s">
        <v>1203</v>
      </c>
      <c r="S38" s="12" t="s">
        <v>384</v>
      </c>
      <c r="T38" s="12" t="s">
        <v>105</v>
      </c>
      <c r="U38" s="12" t="s">
        <v>106</v>
      </c>
      <c r="V38" s="12" t="s">
        <v>709</v>
      </c>
      <c r="W38" s="12" t="s">
        <v>226</v>
      </c>
      <c r="X38" s="12" t="s">
        <v>411</v>
      </c>
      <c r="Y38" s="12" t="s">
        <v>109</v>
      </c>
      <c r="Z38" s="12" t="s">
        <v>149</v>
      </c>
      <c r="AA38" s="12" t="s">
        <v>1204</v>
      </c>
      <c r="AB38" s="12"/>
      <c r="AC38" s="13" t="s">
        <v>1205</v>
      </c>
      <c r="AD38" s="12" t="s">
        <v>112</v>
      </c>
      <c r="AE38" s="12" t="s">
        <v>113</v>
      </c>
      <c r="AF38" s="12"/>
      <c r="AG38" s="12" t="s">
        <v>292</v>
      </c>
      <c r="AH38" s="12" t="s">
        <v>115</v>
      </c>
      <c r="AI38" s="12" t="s">
        <v>1206</v>
      </c>
      <c r="AJ38" s="12" t="s">
        <v>1207</v>
      </c>
      <c r="AK38" s="12" t="s">
        <v>1208</v>
      </c>
      <c r="AL38" s="12" t="s">
        <v>119</v>
      </c>
      <c r="AM38" s="12" t="s">
        <v>153</v>
      </c>
      <c r="AN38" s="12" t="s">
        <v>121</v>
      </c>
      <c r="AO38" s="12" t="s">
        <v>337</v>
      </c>
      <c r="AP38" s="12" t="s">
        <v>1209</v>
      </c>
      <c r="AQ38" s="12" t="s">
        <v>123</v>
      </c>
      <c r="AR38" s="12" t="s">
        <v>715</v>
      </c>
      <c r="AS38" s="12" t="s">
        <v>1054</v>
      </c>
      <c r="AT38" s="12" t="s">
        <v>125</v>
      </c>
      <c r="AU38" s="12" t="s">
        <v>1210</v>
      </c>
      <c r="AV38" s="12"/>
      <c r="AW38" s="12" t="s">
        <v>1211</v>
      </c>
      <c r="AX38" s="12" t="str">
        <f>IF(ISNA(MATCH($A38,Gesamtübersicht!$A:$A,0)),"ID fehlt in Gesamtübersicht",IF(AND(INDEX(Gesamtübersicht!$H:$H,MATCH($A38,Gesamtübersicht!$A:$A,0))&amp;""=$H38&amp;"",INDEX(Gesamtübersicht!$M:$M,MATCH($A38,Gesamtübersicht!$A:$A,0))&amp;""=$M38&amp;"",INDEX(Gesamtübersicht!$AD:$AD,MATCH($A38,Gesamtübersicht!$A:$A,0))&amp;""=$AD38&amp;"",INDEX(Gesamtübersicht!$AH:$AH,MATCH($A38,Gesamtübersicht!$A:$A,0))&amp;""=$AH38&amp;"",INDEX(Gesamtübersicht!$T:$T,MATCH($A38,Gesamtübersicht!$A:$A,0))&amp;""=$T38&amp;""),"OK","Abweichung – Ansicht neu erzeugen"))</f>
        <v>OK</v>
      </c>
    </row>
    <row r="39" spans="1:50" ht="42.95" customHeight="1">
      <c r="A39" s="2" t="s">
        <v>1212</v>
      </c>
      <c r="B39" s="9" t="s">
        <v>48</v>
      </c>
      <c r="C39" s="2" t="s">
        <v>46</v>
      </c>
      <c r="D39" s="2" t="s">
        <v>555</v>
      </c>
      <c r="E39" s="2" t="s">
        <v>43</v>
      </c>
      <c r="F39" s="2" t="s">
        <v>212</v>
      </c>
      <c r="G39" s="2" t="s">
        <v>1213</v>
      </c>
      <c r="H39" s="2" t="s">
        <v>1214</v>
      </c>
      <c r="I39" s="2" t="s">
        <v>999</v>
      </c>
      <c r="J39" s="2" t="s">
        <v>160</v>
      </c>
      <c r="K39" s="2" t="s">
        <v>806</v>
      </c>
      <c r="L39" s="2" t="s">
        <v>1045</v>
      </c>
      <c r="M39" s="3" t="s">
        <v>1215</v>
      </c>
      <c r="N39" s="2" t="s">
        <v>1216</v>
      </c>
      <c r="O39" s="2" t="s">
        <v>100</v>
      </c>
      <c r="P39" s="2" t="s">
        <v>1217</v>
      </c>
      <c r="Q39" s="2" t="s">
        <v>1218</v>
      </c>
      <c r="R39" s="2" t="s">
        <v>1219</v>
      </c>
      <c r="S39" s="2" t="s">
        <v>384</v>
      </c>
      <c r="T39" s="2" t="s">
        <v>105</v>
      </c>
      <c r="U39" s="2" t="s">
        <v>166</v>
      </c>
      <c r="V39" s="2" t="s">
        <v>709</v>
      </c>
      <c r="W39" s="2" t="s">
        <v>433</v>
      </c>
      <c r="X39" s="2" t="s">
        <v>248</v>
      </c>
      <c r="Y39" s="2" t="s">
        <v>109</v>
      </c>
      <c r="Z39" s="2" t="s">
        <v>263</v>
      </c>
      <c r="AA39" s="2"/>
      <c r="AB39" s="2"/>
      <c r="AC39" s="2"/>
      <c r="AD39" s="2" t="s">
        <v>112</v>
      </c>
      <c r="AE39" s="2" t="s">
        <v>113</v>
      </c>
      <c r="AF39" s="2"/>
      <c r="AG39" s="2" t="s">
        <v>292</v>
      </c>
      <c r="AH39" s="2" t="s">
        <v>115</v>
      </c>
      <c r="AI39" s="2" t="s">
        <v>1220</v>
      </c>
      <c r="AJ39" s="2" t="s">
        <v>1119</v>
      </c>
      <c r="AK39" s="2" t="s">
        <v>1221</v>
      </c>
      <c r="AL39" s="2" t="s">
        <v>119</v>
      </c>
      <c r="AM39" s="2" t="s">
        <v>153</v>
      </c>
      <c r="AN39" s="2" t="s">
        <v>121</v>
      </c>
      <c r="AO39" s="2" t="s">
        <v>1216</v>
      </c>
      <c r="AP39" s="2" t="s">
        <v>122</v>
      </c>
      <c r="AQ39" s="2" t="s">
        <v>123</v>
      </c>
      <c r="AR39" s="2" t="s">
        <v>124</v>
      </c>
      <c r="AS39" s="2" t="s">
        <v>1054</v>
      </c>
      <c r="AT39" s="2" t="s">
        <v>125</v>
      </c>
      <c r="AU39" s="2"/>
      <c r="AV39" s="2"/>
      <c r="AW39" s="2" t="s">
        <v>1222</v>
      </c>
      <c r="AX39" s="2" t="str">
        <f>IF(ISNA(MATCH($A39,Gesamtübersicht!$A:$A,0)),"ID fehlt in Gesamtübersicht",IF(AND(INDEX(Gesamtübersicht!$H:$H,MATCH($A39,Gesamtübersicht!$A:$A,0))&amp;""=$H39&amp;"",INDEX(Gesamtübersicht!$M:$M,MATCH($A39,Gesamtübersicht!$A:$A,0))&amp;""=$M39&amp;"",INDEX(Gesamtübersicht!$AD:$AD,MATCH($A39,Gesamtübersicht!$A:$A,0))&amp;""=$AD39&amp;"",INDEX(Gesamtübersicht!$AH:$AH,MATCH($A39,Gesamtübersicht!$A:$A,0))&amp;""=$AH39&amp;"",INDEX(Gesamtübersicht!$T:$T,MATCH($A39,Gesamtübersicht!$A:$A,0))&amp;""=$T39&amp;""),"OK","Abweichung – Ansicht neu erzeugen"))</f>
        <v>OK</v>
      </c>
    </row>
    <row r="40" spans="1:50" ht="42.95" customHeight="1">
      <c r="A40" s="12" t="s">
        <v>1223</v>
      </c>
      <c r="B40" s="9" t="s">
        <v>48</v>
      </c>
      <c r="C40" s="12" t="s">
        <v>46</v>
      </c>
      <c r="D40" s="12" t="s">
        <v>555</v>
      </c>
      <c r="E40" s="12" t="s">
        <v>43</v>
      </c>
      <c r="F40" s="12" t="s">
        <v>212</v>
      </c>
      <c r="G40" s="12" t="s">
        <v>1224</v>
      </c>
      <c r="H40" s="12" t="s">
        <v>1225</v>
      </c>
      <c r="I40" s="12" t="s">
        <v>702</v>
      </c>
      <c r="J40" s="12" t="s">
        <v>160</v>
      </c>
      <c r="K40" s="12" t="s">
        <v>1226</v>
      </c>
      <c r="L40" s="12" t="s">
        <v>1068</v>
      </c>
      <c r="M40" s="13" t="s">
        <v>1227</v>
      </c>
      <c r="N40" s="12" t="s">
        <v>696</v>
      </c>
      <c r="O40" s="12" t="s">
        <v>100</v>
      </c>
      <c r="P40" s="12"/>
      <c r="Q40" s="12"/>
      <c r="R40" s="12"/>
      <c r="S40" s="12" t="s">
        <v>182</v>
      </c>
      <c r="T40" s="12" t="s">
        <v>105</v>
      </c>
      <c r="U40" s="12" t="s">
        <v>166</v>
      </c>
      <c r="V40" s="12"/>
      <c r="W40" s="12"/>
      <c r="X40" s="12"/>
      <c r="Y40" s="12" t="s">
        <v>109</v>
      </c>
      <c r="Z40" s="12" t="s">
        <v>167</v>
      </c>
      <c r="AA40" s="12" t="s">
        <v>172</v>
      </c>
      <c r="AB40" s="12"/>
      <c r="AC40" s="12"/>
      <c r="AD40" s="12" t="s">
        <v>112</v>
      </c>
      <c r="AE40" s="12" t="s">
        <v>113</v>
      </c>
      <c r="AF40" s="12"/>
      <c r="AG40" s="12" t="s">
        <v>292</v>
      </c>
      <c r="AH40" s="12" t="s">
        <v>115</v>
      </c>
      <c r="AI40" s="12" t="s">
        <v>1228</v>
      </c>
      <c r="AJ40" s="12" t="s">
        <v>1229</v>
      </c>
      <c r="AK40" s="12" t="s">
        <v>1230</v>
      </c>
      <c r="AL40" s="12" t="s">
        <v>119</v>
      </c>
      <c r="AM40" s="12" t="s">
        <v>572</v>
      </c>
      <c r="AN40" s="12" t="s">
        <v>121</v>
      </c>
      <c r="AO40" s="12" t="s">
        <v>696</v>
      </c>
      <c r="AP40" s="12" t="s">
        <v>122</v>
      </c>
      <c r="AQ40" s="12" t="s">
        <v>123</v>
      </c>
      <c r="AR40" s="12" t="s">
        <v>124</v>
      </c>
      <c r="AS40" s="12" t="s">
        <v>1054</v>
      </c>
      <c r="AT40" s="12" t="s">
        <v>125</v>
      </c>
      <c r="AU40" s="12" t="s">
        <v>1231</v>
      </c>
      <c r="AV40" s="12"/>
      <c r="AW40" s="12" t="s">
        <v>155</v>
      </c>
      <c r="AX40" s="12" t="str">
        <f>IF(ISNA(MATCH($A40,Gesamtübersicht!$A:$A,0)),"ID fehlt in Gesamtübersicht",IF(AND(INDEX(Gesamtübersicht!$H:$H,MATCH($A40,Gesamtübersicht!$A:$A,0))&amp;""=$H40&amp;"",INDEX(Gesamtübersicht!$M:$M,MATCH($A40,Gesamtübersicht!$A:$A,0))&amp;""=$M40&amp;"",INDEX(Gesamtübersicht!$AD:$AD,MATCH($A40,Gesamtübersicht!$A:$A,0))&amp;""=$AD40&amp;"",INDEX(Gesamtübersicht!$AH:$AH,MATCH($A40,Gesamtübersicht!$A:$A,0))&amp;""=$AH40&amp;"",INDEX(Gesamtübersicht!$T:$T,MATCH($A40,Gesamtübersicht!$A:$A,0))&amp;""=$T40&amp;""),"OK","Abweichung – Ansicht neu erzeugen"))</f>
        <v>OK</v>
      </c>
    </row>
    <row r="41" spans="1:50" ht="42.95" customHeight="1">
      <c r="A41" s="2" t="s">
        <v>1232</v>
      </c>
      <c r="B41" s="9" t="s">
        <v>48</v>
      </c>
      <c r="C41" s="2" t="s">
        <v>46</v>
      </c>
      <c r="D41" s="2" t="s">
        <v>555</v>
      </c>
      <c r="E41" s="2" t="s">
        <v>43</v>
      </c>
      <c r="F41" s="2" t="s">
        <v>212</v>
      </c>
      <c r="G41" s="2" t="s">
        <v>543</v>
      </c>
      <c r="H41" s="2" t="s">
        <v>1233</v>
      </c>
      <c r="I41" s="2" t="s">
        <v>1234</v>
      </c>
      <c r="J41" s="2" t="s">
        <v>160</v>
      </c>
      <c r="K41" s="2" t="s">
        <v>368</v>
      </c>
      <c r="L41" s="2" t="s">
        <v>1068</v>
      </c>
      <c r="M41" s="3" t="s">
        <v>1235</v>
      </c>
      <c r="N41" s="2" t="s">
        <v>337</v>
      </c>
      <c r="O41" s="2" t="s">
        <v>100</v>
      </c>
      <c r="P41" s="2"/>
      <c r="Q41" s="2"/>
      <c r="R41" s="2"/>
      <c r="S41" s="2" t="s">
        <v>182</v>
      </c>
      <c r="T41" s="2" t="s">
        <v>105</v>
      </c>
      <c r="U41" s="2" t="s">
        <v>708</v>
      </c>
      <c r="V41" s="2"/>
      <c r="W41" s="2"/>
      <c r="X41" s="2"/>
      <c r="Y41" s="2" t="s">
        <v>109</v>
      </c>
      <c r="Z41" s="2" t="s">
        <v>167</v>
      </c>
      <c r="AA41" s="2"/>
      <c r="AB41" s="2"/>
      <c r="AC41" s="2"/>
      <c r="AD41" s="2" t="s">
        <v>112</v>
      </c>
      <c r="AE41" s="2" t="s">
        <v>113</v>
      </c>
      <c r="AF41" s="2"/>
      <c r="AG41" s="2" t="s">
        <v>292</v>
      </c>
      <c r="AH41" s="2" t="s">
        <v>115</v>
      </c>
      <c r="AI41" s="2" t="s">
        <v>1236</v>
      </c>
      <c r="AJ41" s="2" t="s">
        <v>1237</v>
      </c>
      <c r="AK41" s="2" t="s">
        <v>1238</v>
      </c>
      <c r="AL41" s="2" t="s">
        <v>119</v>
      </c>
      <c r="AM41" s="2" t="s">
        <v>572</v>
      </c>
      <c r="AN41" s="2" t="s">
        <v>121</v>
      </c>
      <c r="AO41" s="2" t="s">
        <v>337</v>
      </c>
      <c r="AP41" s="2" t="s">
        <v>122</v>
      </c>
      <c r="AQ41" s="2" t="s">
        <v>123</v>
      </c>
      <c r="AR41" s="2" t="s">
        <v>124</v>
      </c>
      <c r="AS41" s="2" t="s">
        <v>1054</v>
      </c>
      <c r="AT41" s="2" t="s">
        <v>125</v>
      </c>
      <c r="AU41" s="2" t="s">
        <v>1161</v>
      </c>
      <c r="AV41" s="2"/>
      <c r="AW41" s="2" t="s">
        <v>155</v>
      </c>
      <c r="AX41" s="2" t="str">
        <f>IF(ISNA(MATCH($A41,Gesamtübersicht!$A:$A,0)),"ID fehlt in Gesamtübersicht",IF(AND(INDEX(Gesamtübersicht!$H:$H,MATCH($A41,Gesamtübersicht!$A:$A,0))&amp;""=$H41&amp;"",INDEX(Gesamtübersicht!$M:$M,MATCH($A41,Gesamtübersicht!$A:$A,0))&amp;""=$M41&amp;"",INDEX(Gesamtübersicht!$AD:$AD,MATCH($A41,Gesamtübersicht!$A:$A,0))&amp;""=$AD41&amp;"",INDEX(Gesamtübersicht!$AH:$AH,MATCH($A41,Gesamtübersicht!$A:$A,0))&amp;""=$AH41&amp;"",INDEX(Gesamtübersicht!$T:$T,MATCH($A41,Gesamtübersicht!$A:$A,0))&amp;""=$T41&amp;""),"OK","Abweichung – Ansicht neu erzeugen"))</f>
        <v>OK</v>
      </c>
    </row>
  </sheetData>
  <conditionalFormatting sqref="AD2:AD500">
    <cfRule type="cellIs" dxfId="6" priority="1" operator="equal">
      <formula>"Verifiziert"</formula>
    </cfRule>
    <cfRule type="cellIs" dxfId="5" priority="2" operator="equal">
      <formula>"Weiterleitung"</formula>
    </cfRule>
    <cfRule type="cellIs" dxfId="4" priority="3" operator="equal">
      <formula>"Fehler"</formula>
    </cfRule>
    <cfRule type="cellIs" dxfId="3" priority="4" operator="equal">
      <formula>"Nicht prüfbar"</formula>
    </cfRule>
  </conditionalFormatting>
  <conditionalFormatting sqref="AH2:AH500">
    <cfRule type="cellIs" dxfId="2" priority="5" operator="equal">
      <formula>"Bestätigt"</formula>
    </cfRule>
    <cfRule type="cellIs" dxfId="1" priority="6" operator="equal">
      <formula>"Teilweise bestätigt"</formula>
    </cfRule>
    <cfRule type="cellIs" dxfId="0" priority="7" operator="equal">
      <formula>"Offen"</formula>
    </cfRule>
  </conditionalFormatting>
  <dataValidations count="10">
    <dataValidation type="list" allowBlank="1" sqref="B2:B500" xr:uid="{00000000-0002-0000-0400-000000000000}">
      <formula1>"Bund,Kanton,Gemeinde"</formula1>
    </dataValidation>
    <dataValidation type="list" allowBlank="1" sqref="F2:F500" xr:uid="{00000000-0002-0000-0400-000001000000}">
      <formula1>"C1,C2,C3,C4,C5"</formula1>
    </dataValidation>
    <dataValidation type="list" allowBlank="1" sqref="T2:T500" xr:uid="{00000000-0002-0000-0400-000002000000}">
      <formula1>"Noch nicht bewertet,Hoch,Mittel,Gering"</formula1>
    </dataValidation>
    <dataValidation type="list" allowBlank="1" sqref="U2:U500" xr:uid="{00000000-0002-0000-0400-000003000000}">
      <formula1>"Hoch,Mittel,Niedrig"</formula1>
    </dataValidation>
    <dataValidation type="list" allowBlank="1" sqref="Y2:Y500" xr:uid="{00000000-0002-0000-0400-000004000000}">
      <formula1>"Dokument auswerten; Aktualität und Geltung prüfen,In Bearbeitung,Geprüft,Nachforderung offen"</formula1>
    </dataValidation>
    <dataValidation type="list" allowBlank="1" sqref="AD2:AD500" xr:uid="{00000000-0002-0000-0400-000005000000}">
      <formula1>"Verifiziert,Weiterleitung,Fehler,Nicht prüfbar"</formula1>
    </dataValidation>
    <dataValidation type="list" allowBlank="1" sqref="AH2:AH500" xr:uid="{00000000-0002-0000-0400-000006000000}">
      <formula1>"Bestätigt,Teilweise bestätigt,Offen"</formula1>
    </dataValidation>
    <dataValidation type="list" allowBlank="1" sqref="AN2:AN500" xr:uid="{00000000-0002-0000-0400-000007000000}">
      <formula1>"Öffentlich verfügbar und verifiziert,Öffentlich verfügbar – noch nicht geprüft,Nicht öffentlich auffindbar,Nur über Gemeindeanfrage erhältlich,Nicht zugänglich / nicht prüfbar"</formula1>
    </dataValidation>
    <dataValidation type="list" allowBlank="1" sqref="AR2:AR500" xr:uid="{00000000-0002-0000-0400-000008000000}">
      <formula1>"Ja,Nein"</formula1>
    </dataValidation>
    <dataValidation type="list" allowBlank="1" sqref="AT2:AT500" xr:uid="{00000000-0002-0000-0400-000009000000}">
      <formula1>"Offen,In Prüfung,Abgeschlossen"</formula1>
    </dataValidation>
  </dataValidations>
  <hyperlinks>
    <hyperlink ref="M2" r:id="rId1" xr:uid="{00000000-0004-0000-0400-000000000000}"/>
    <hyperlink ref="AC2" r:id="rId2" xr:uid="{00000000-0004-0000-0400-000001000000}"/>
    <hyperlink ref="M3" r:id="rId3" xr:uid="{00000000-0004-0000-0400-000002000000}"/>
    <hyperlink ref="M4" r:id="rId4" xr:uid="{00000000-0004-0000-0400-000003000000}"/>
    <hyperlink ref="AC4" r:id="rId5" xr:uid="{00000000-0004-0000-0400-000004000000}"/>
    <hyperlink ref="M5" r:id="rId6" xr:uid="{00000000-0004-0000-0400-000005000000}"/>
    <hyperlink ref="M6" r:id="rId7" xr:uid="{00000000-0004-0000-0400-000006000000}"/>
    <hyperlink ref="M7" r:id="rId8" xr:uid="{00000000-0004-0000-0400-000007000000}"/>
    <hyperlink ref="M8" r:id="rId9" xr:uid="{00000000-0004-0000-0400-000008000000}"/>
    <hyperlink ref="M9" r:id="rId10" xr:uid="{00000000-0004-0000-0400-000009000000}"/>
    <hyperlink ref="M10" r:id="rId11" xr:uid="{00000000-0004-0000-0400-00000A000000}"/>
    <hyperlink ref="M11" r:id="rId12" xr:uid="{00000000-0004-0000-0400-00000B000000}"/>
    <hyperlink ref="M12" r:id="rId13" xr:uid="{00000000-0004-0000-0400-00000C000000}"/>
    <hyperlink ref="M13" r:id="rId14" xr:uid="{00000000-0004-0000-0400-00000D000000}"/>
    <hyperlink ref="M14" r:id="rId15" xr:uid="{00000000-0004-0000-0400-00000E000000}"/>
    <hyperlink ref="M15" r:id="rId16" xr:uid="{00000000-0004-0000-0400-00000F000000}"/>
    <hyperlink ref="M16" r:id="rId17" xr:uid="{00000000-0004-0000-0400-000010000000}"/>
    <hyperlink ref="M17" r:id="rId18" xr:uid="{00000000-0004-0000-0400-000011000000}"/>
    <hyperlink ref="M18" r:id="rId19" xr:uid="{00000000-0004-0000-0400-000012000000}"/>
    <hyperlink ref="M19" r:id="rId20" xr:uid="{00000000-0004-0000-0400-000013000000}"/>
    <hyperlink ref="M20" r:id="rId21" xr:uid="{00000000-0004-0000-0400-000014000000}"/>
    <hyperlink ref="AC20" r:id="rId22" xr:uid="{00000000-0004-0000-0400-000015000000}"/>
    <hyperlink ref="M21" r:id="rId23" xr:uid="{00000000-0004-0000-0400-000016000000}"/>
    <hyperlink ref="M22" r:id="rId24" xr:uid="{00000000-0004-0000-0400-000017000000}"/>
    <hyperlink ref="M23" r:id="rId25" xr:uid="{00000000-0004-0000-0400-000018000000}"/>
    <hyperlink ref="M24" r:id="rId26" xr:uid="{00000000-0004-0000-0400-000019000000}"/>
    <hyperlink ref="AC24" r:id="rId27" xr:uid="{00000000-0004-0000-0400-00001A000000}"/>
    <hyperlink ref="M25" r:id="rId28" xr:uid="{00000000-0004-0000-0400-00001B000000}"/>
    <hyperlink ref="AC25" r:id="rId29" xr:uid="{00000000-0004-0000-0400-00001C000000}"/>
    <hyperlink ref="M26" r:id="rId30" xr:uid="{00000000-0004-0000-0400-00001D000000}"/>
    <hyperlink ref="M27" r:id="rId31" xr:uid="{00000000-0004-0000-0400-00001E000000}"/>
    <hyperlink ref="AC27" r:id="rId32" xr:uid="{00000000-0004-0000-0400-00001F000000}"/>
    <hyperlink ref="M28" r:id="rId33" xr:uid="{00000000-0004-0000-0400-000020000000}"/>
    <hyperlink ref="AC28" r:id="rId34" xr:uid="{00000000-0004-0000-0400-000021000000}"/>
    <hyperlink ref="M29" r:id="rId35" xr:uid="{00000000-0004-0000-0400-000022000000}"/>
    <hyperlink ref="AC29" r:id="rId36" xr:uid="{00000000-0004-0000-0400-000023000000}"/>
    <hyperlink ref="M30" r:id="rId37" xr:uid="{00000000-0004-0000-0400-000024000000}"/>
    <hyperlink ref="M31" r:id="rId38" xr:uid="{00000000-0004-0000-0400-000025000000}"/>
    <hyperlink ref="AC31" r:id="rId39" xr:uid="{00000000-0004-0000-0400-000026000000}"/>
    <hyperlink ref="M32" r:id="rId40" xr:uid="{00000000-0004-0000-0400-000027000000}"/>
    <hyperlink ref="AC32" r:id="rId41" xr:uid="{00000000-0004-0000-0400-000028000000}"/>
    <hyperlink ref="M33" r:id="rId42" xr:uid="{00000000-0004-0000-0400-000029000000}"/>
    <hyperlink ref="AC33" r:id="rId43" xr:uid="{00000000-0004-0000-0400-00002A000000}"/>
    <hyperlink ref="M34" r:id="rId44" xr:uid="{00000000-0004-0000-0400-00002B000000}"/>
    <hyperlink ref="M35" r:id="rId45" xr:uid="{00000000-0004-0000-0400-00002C000000}"/>
    <hyperlink ref="M36" r:id="rId46" xr:uid="{00000000-0004-0000-0400-00002D000000}"/>
    <hyperlink ref="M37" r:id="rId47" xr:uid="{00000000-0004-0000-0400-00002E000000}"/>
    <hyperlink ref="M38" r:id="rId48" xr:uid="{00000000-0004-0000-0400-00002F000000}"/>
    <hyperlink ref="AC38" r:id="rId49" xr:uid="{00000000-0004-0000-0400-000030000000}"/>
    <hyperlink ref="M39" r:id="rId50" xr:uid="{00000000-0004-0000-0400-000031000000}"/>
    <hyperlink ref="M40" r:id="rId51" xr:uid="{00000000-0004-0000-0400-000032000000}"/>
    <hyperlink ref="M41" r:id="rId52" xr:uid="{00000000-0004-0000-0400-000033000000}"/>
  </hyperlinks>
  <pageMargins left="0.75" right="0.75" top="1" bottom="1" header="0.5" footer="0.5"/>
  <tableParts count="1">
    <tablePart r:id="rId5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L28"/>
  <sheetViews>
    <sheetView showGridLines="0" workbookViewId="0">
      <pane xSplit="1" ySplit="1" topLeftCell="B2" activePane="bottomRight" state="frozen"/>
      <selection pane="bottomRight"/>
      <selection pane="bottomLeft"/>
      <selection pane="topRight"/>
    </sheetView>
  </sheetViews>
  <sheetFormatPr defaultRowHeight="15"/>
  <cols>
    <col min="1" max="1" width="12" customWidth="1"/>
    <col min="2" max="2" width="16" customWidth="1"/>
    <col min="3" max="3" width="13" customWidth="1"/>
    <col min="4" max="4" width="60" customWidth="1"/>
    <col min="5" max="5" width="40" customWidth="1"/>
    <col min="6" max="6" width="11" customWidth="1"/>
    <col min="7" max="7" width="12" customWidth="1"/>
    <col min="8" max="8" width="34" customWidth="1"/>
    <col min="9" max="9" width="60" customWidth="1"/>
    <col min="10" max="10" width="22" customWidth="1"/>
    <col min="11" max="11" width="70" customWidth="1"/>
    <col min="12" max="12" width="30" customWidth="1"/>
  </cols>
  <sheetData>
    <row r="1" spans="1:12" ht="36" customHeight="1">
      <c r="A1" s="1" t="s">
        <v>1240</v>
      </c>
      <c r="B1" s="1" t="s">
        <v>48</v>
      </c>
      <c r="C1" s="1" t="s">
        <v>49</v>
      </c>
      <c r="D1" s="1" t="s">
        <v>1241</v>
      </c>
      <c r="E1" s="1" t="s">
        <v>1242</v>
      </c>
      <c r="F1" s="1" t="s">
        <v>1243</v>
      </c>
      <c r="G1" s="1" t="s">
        <v>1244</v>
      </c>
      <c r="H1" s="1" t="s">
        <v>1245</v>
      </c>
      <c r="I1" s="1" t="s">
        <v>1246</v>
      </c>
      <c r="J1" s="1" t="s">
        <v>1247</v>
      </c>
      <c r="K1" s="1" t="s">
        <v>1248</v>
      </c>
      <c r="L1" s="1" t="s">
        <v>1249</v>
      </c>
    </row>
    <row r="2" spans="1:12" ht="42.95" customHeight="1">
      <c r="A2" s="12" t="s">
        <v>1250</v>
      </c>
      <c r="B2" s="12" t="s">
        <v>41</v>
      </c>
      <c r="C2" s="12" t="s">
        <v>92</v>
      </c>
      <c r="D2" s="12" t="s">
        <v>1251</v>
      </c>
      <c r="E2" s="12" t="s">
        <v>1252</v>
      </c>
      <c r="F2" s="12" t="s">
        <v>106</v>
      </c>
      <c r="G2" s="12" t="s">
        <v>461</v>
      </c>
      <c r="H2" s="12" t="s">
        <v>121</v>
      </c>
      <c r="I2" s="12" t="s">
        <v>1253</v>
      </c>
      <c r="J2" s="12" t="s">
        <v>1254</v>
      </c>
      <c r="K2" s="12" t="s">
        <v>1255</v>
      </c>
      <c r="L2" s="12" t="s">
        <v>1256</v>
      </c>
    </row>
    <row r="3" spans="1:12" ht="42.95" customHeight="1">
      <c r="A3" s="2" t="s">
        <v>1257</v>
      </c>
      <c r="B3" s="2" t="s">
        <v>41</v>
      </c>
      <c r="C3" s="2" t="s">
        <v>92</v>
      </c>
      <c r="D3" s="2" t="s">
        <v>1258</v>
      </c>
      <c r="E3" s="2" t="s">
        <v>1259</v>
      </c>
      <c r="F3" s="2" t="s">
        <v>106</v>
      </c>
      <c r="G3" s="2" t="s">
        <v>461</v>
      </c>
      <c r="H3" s="2" t="s">
        <v>1260</v>
      </c>
      <c r="I3" s="2" t="s">
        <v>1261</v>
      </c>
      <c r="J3" s="2" t="s">
        <v>658</v>
      </c>
      <c r="K3" s="2" t="s">
        <v>1262</v>
      </c>
      <c r="L3" s="2" t="s">
        <v>1263</v>
      </c>
    </row>
    <row r="4" spans="1:12" ht="42.95" customHeight="1">
      <c r="A4" s="12" t="s">
        <v>1264</v>
      </c>
      <c r="B4" s="12" t="s">
        <v>41</v>
      </c>
      <c r="C4" s="12" t="s">
        <v>172</v>
      </c>
      <c r="D4" s="12" t="s">
        <v>1265</v>
      </c>
      <c r="E4" s="12" t="s">
        <v>1266</v>
      </c>
      <c r="F4" s="12" t="s">
        <v>106</v>
      </c>
      <c r="G4" s="12" t="s">
        <v>461</v>
      </c>
      <c r="H4" s="12" t="s">
        <v>1267</v>
      </c>
      <c r="I4" s="12" t="s">
        <v>1268</v>
      </c>
      <c r="J4" s="12" t="s">
        <v>699</v>
      </c>
      <c r="K4" s="12" t="s">
        <v>1269</v>
      </c>
      <c r="L4" s="12" t="s">
        <v>1270</v>
      </c>
    </row>
    <row r="5" spans="1:12" ht="42.95" customHeight="1">
      <c r="A5" s="2" t="s">
        <v>1271</v>
      </c>
      <c r="B5" s="2" t="s">
        <v>41</v>
      </c>
      <c r="C5" s="2" t="s">
        <v>172</v>
      </c>
      <c r="D5" s="2" t="s">
        <v>1272</v>
      </c>
      <c r="E5" s="2" t="s">
        <v>1273</v>
      </c>
      <c r="F5" s="2" t="s">
        <v>106</v>
      </c>
      <c r="G5" s="2" t="s">
        <v>461</v>
      </c>
      <c r="H5" s="2" t="s">
        <v>1260</v>
      </c>
      <c r="I5" s="2" t="s">
        <v>1274</v>
      </c>
      <c r="J5" s="2" t="s">
        <v>699</v>
      </c>
      <c r="K5" s="2" t="s">
        <v>1275</v>
      </c>
      <c r="L5" s="2" t="s">
        <v>655</v>
      </c>
    </row>
    <row r="6" spans="1:12" ht="42.95" customHeight="1">
      <c r="A6" s="12" t="s">
        <v>1276</v>
      </c>
      <c r="B6" s="12" t="s">
        <v>41</v>
      </c>
      <c r="C6" s="12" t="s">
        <v>1277</v>
      </c>
      <c r="D6" s="12" t="s">
        <v>1278</v>
      </c>
      <c r="E6" s="12" t="s">
        <v>1279</v>
      </c>
      <c r="F6" s="12" t="s">
        <v>106</v>
      </c>
      <c r="G6" s="12" t="s">
        <v>461</v>
      </c>
      <c r="H6" s="12" t="s">
        <v>1260</v>
      </c>
      <c r="I6" s="12" t="s">
        <v>1280</v>
      </c>
      <c r="J6" s="12" t="s">
        <v>699</v>
      </c>
      <c r="K6" s="12" t="s">
        <v>1281</v>
      </c>
      <c r="L6" s="12" t="s">
        <v>655</v>
      </c>
    </row>
    <row r="7" spans="1:12" ht="42.95" customHeight="1">
      <c r="A7" s="2" t="s">
        <v>1282</v>
      </c>
      <c r="B7" s="2" t="s">
        <v>41</v>
      </c>
      <c r="C7" s="2" t="s">
        <v>199</v>
      </c>
      <c r="D7" s="2" t="s">
        <v>1283</v>
      </c>
      <c r="E7" s="2" t="s">
        <v>1284</v>
      </c>
      <c r="F7" s="2" t="s">
        <v>106</v>
      </c>
      <c r="G7" s="2" t="s">
        <v>461</v>
      </c>
      <c r="H7" s="2" t="s">
        <v>1267</v>
      </c>
      <c r="I7" s="2" t="s">
        <v>1285</v>
      </c>
      <c r="J7" s="2" t="s">
        <v>759</v>
      </c>
      <c r="K7" s="2" t="s">
        <v>1286</v>
      </c>
      <c r="L7" s="2" t="s">
        <v>1287</v>
      </c>
    </row>
    <row r="8" spans="1:12" ht="42.95" customHeight="1">
      <c r="A8" s="12" t="s">
        <v>1288</v>
      </c>
      <c r="B8" s="12" t="s">
        <v>41</v>
      </c>
      <c r="C8" s="12" t="s">
        <v>217</v>
      </c>
      <c r="D8" s="12" t="s">
        <v>1289</v>
      </c>
      <c r="E8" s="12" t="s">
        <v>1290</v>
      </c>
      <c r="F8" s="12" t="s">
        <v>106</v>
      </c>
      <c r="G8" s="12" t="s">
        <v>461</v>
      </c>
      <c r="H8" s="12" t="s">
        <v>1260</v>
      </c>
      <c r="I8" s="12" t="s">
        <v>1291</v>
      </c>
      <c r="J8" s="12" t="s">
        <v>1292</v>
      </c>
      <c r="K8" s="12" t="s">
        <v>1293</v>
      </c>
      <c r="L8" s="12" t="s">
        <v>655</v>
      </c>
    </row>
    <row r="9" spans="1:12" ht="42.95" customHeight="1">
      <c r="A9" s="2" t="s">
        <v>1294</v>
      </c>
      <c r="B9" s="2" t="s">
        <v>41</v>
      </c>
      <c r="C9" s="2" t="s">
        <v>212</v>
      </c>
      <c r="D9" s="2" t="s">
        <v>1295</v>
      </c>
      <c r="E9" s="2" t="s">
        <v>1296</v>
      </c>
      <c r="F9" s="2" t="s">
        <v>166</v>
      </c>
      <c r="G9" s="2" t="s">
        <v>461</v>
      </c>
      <c r="H9" s="2" t="s">
        <v>121</v>
      </c>
      <c r="I9" s="2" t="s">
        <v>1297</v>
      </c>
      <c r="J9" s="2" t="s">
        <v>1298</v>
      </c>
      <c r="K9" s="2" t="s">
        <v>1299</v>
      </c>
      <c r="L9" s="2" t="s">
        <v>655</v>
      </c>
    </row>
    <row r="10" spans="1:12" ht="42.95" customHeight="1">
      <c r="A10" s="12" t="s">
        <v>1300</v>
      </c>
      <c r="B10" s="12" t="s">
        <v>41</v>
      </c>
      <c r="C10" s="12" t="s">
        <v>212</v>
      </c>
      <c r="D10" s="12" t="s">
        <v>1301</v>
      </c>
      <c r="E10" s="12" t="s">
        <v>1302</v>
      </c>
      <c r="F10" s="12" t="s">
        <v>166</v>
      </c>
      <c r="G10" s="12" t="s">
        <v>461</v>
      </c>
      <c r="H10" s="12" t="s">
        <v>1260</v>
      </c>
      <c r="I10" s="12" t="s">
        <v>1303</v>
      </c>
      <c r="J10" s="12"/>
      <c r="K10" s="12" t="s">
        <v>1304</v>
      </c>
      <c r="L10" s="12" t="s">
        <v>655</v>
      </c>
    </row>
    <row r="11" spans="1:12" ht="42.95" customHeight="1">
      <c r="A11" s="2" t="s">
        <v>1305</v>
      </c>
      <c r="B11" s="2" t="s">
        <v>42</v>
      </c>
      <c r="C11" s="2" t="s">
        <v>92</v>
      </c>
      <c r="D11" s="2" t="s">
        <v>1251</v>
      </c>
      <c r="E11" s="2" t="s">
        <v>1252</v>
      </c>
      <c r="F11" s="2" t="s">
        <v>106</v>
      </c>
      <c r="G11" s="2" t="s">
        <v>461</v>
      </c>
      <c r="H11" s="2" t="s">
        <v>121</v>
      </c>
      <c r="I11" s="2" t="s">
        <v>1306</v>
      </c>
      <c r="J11" s="2" t="s">
        <v>1307</v>
      </c>
      <c r="K11" s="2" t="s">
        <v>1308</v>
      </c>
      <c r="L11" s="2" t="s">
        <v>1309</v>
      </c>
    </row>
    <row r="12" spans="1:12" ht="42.95" customHeight="1">
      <c r="A12" s="12" t="s">
        <v>1310</v>
      </c>
      <c r="B12" s="12" t="s">
        <v>42</v>
      </c>
      <c r="C12" s="12" t="s">
        <v>92</v>
      </c>
      <c r="D12" s="12" t="s">
        <v>1258</v>
      </c>
      <c r="E12" s="12" t="s">
        <v>1259</v>
      </c>
      <c r="F12" s="12" t="s">
        <v>106</v>
      </c>
      <c r="G12" s="12" t="s">
        <v>461</v>
      </c>
      <c r="H12" s="12" t="s">
        <v>121</v>
      </c>
      <c r="I12" s="12" t="s">
        <v>1311</v>
      </c>
      <c r="J12" s="12" t="s">
        <v>1312</v>
      </c>
      <c r="K12" s="12" t="s">
        <v>1313</v>
      </c>
      <c r="L12" s="12" t="s">
        <v>1314</v>
      </c>
    </row>
    <row r="13" spans="1:12" ht="42.95" customHeight="1">
      <c r="A13" s="2" t="s">
        <v>1315</v>
      </c>
      <c r="B13" s="2" t="s">
        <v>42</v>
      </c>
      <c r="C13" s="2" t="s">
        <v>172</v>
      </c>
      <c r="D13" s="2" t="s">
        <v>1265</v>
      </c>
      <c r="E13" s="2" t="s">
        <v>1266</v>
      </c>
      <c r="F13" s="2" t="s">
        <v>106</v>
      </c>
      <c r="G13" s="2" t="s">
        <v>461</v>
      </c>
      <c r="H13" s="2" t="s">
        <v>1267</v>
      </c>
      <c r="I13" s="2" t="s">
        <v>1316</v>
      </c>
      <c r="J13" s="2" t="s">
        <v>1317</v>
      </c>
      <c r="K13" s="2" t="s">
        <v>1318</v>
      </c>
      <c r="L13" s="2" t="s">
        <v>1319</v>
      </c>
    </row>
    <row r="14" spans="1:12" ht="42.95" customHeight="1">
      <c r="A14" s="12" t="s">
        <v>1320</v>
      </c>
      <c r="B14" s="12" t="s">
        <v>42</v>
      </c>
      <c r="C14" s="12" t="s">
        <v>172</v>
      </c>
      <c r="D14" s="12" t="s">
        <v>1272</v>
      </c>
      <c r="E14" s="12" t="s">
        <v>1273</v>
      </c>
      <c r="F14" s="12" t="s">
        <v>106</v>
      </c>
      <c r="G14" s="12" t="s">
        <v>461</v>
      </c>
      <c r="H14" s="12" t="s">
        <v>1260</v>
      </c>
      <c r="I14" s="12" t="s">
        <v>1321</v>
      </c>
      <c r="J14" s="12" t="s">
        <v>917</v>
      </c>
      <c r="K14" s="12" t="s">
        <v>1322</v>
      </c>
      <c r="L14" s="12" t="s">
        <v>870</v>
      </c>
    </row>
    <row r="15" spans="1:12" ht="42.95" customHeight="1">
      <c r="A15" s="2" t="s">
        <v>1323</v>
      </c>
      <c r="B15" s="2" t="s">
        <v>42</v>
      </c>
      <c r="C15" s="2" t="s">
        <v>172</v>
      </c>
      <c r="D15" s="2" t="s">
        <v>1324</v>
      </c>
      <c r="E15" s="2" t="s">
        <v>1325</v>
      </c>
      <c r="F15" s="2" t="s">
        <v>166</v>
      </c>
      <c r="G15" s="2" t="s">
        <v>461</v>
      </c>
      <c r="H15" s="2" t="s">
        <v>1267</v>
      </c>
      <c r="I15" s="2" t="s">
        <v>1326</v>
      </c>
      <c r="J15" s="2" t="s">
        <v>917</v>
      </c>
      <c r="K15" s="2" t="s">
        <v>1327</v>
      </c>
      <c r="L15" s="2" t="s">
        <v>870</v>
      </c>
    </row>
    <row r="16" spans="1:12" ht="42.95" customHeight="1">
      <c r="A16" s="12" t="s">
        <v>1328</v>
      </c>
      <c r="B16" s="12" t="s">
        <v>42</v>
      </c>
      <c r="C16" s="12" t="s">
        <v>199</v>
      </c>
      <c r="D16" s="12" t="s">
        <v>1283</v>
      </c>
      <c r="E16" s="12" t="s">
        <v>1284</v>
      </c>
      <c r="F16" s="12" t="s">
        <v>106</v>
      </c>
      <c r="G16" s="12" t="s">
        <v>461</v>
      </c>
      <c r="H16" s="12" t="s">
        <v>1267</v>
      </c>
      <c r="I16" s="12" t="s">
        <v>1329</v>
      </c>
      <c r="J16" s="12" t="s">
        <v>1330</v>
      </c>
      <c r="K16" s="12" t="s">
        <v>1331</v>
      </c>
      <c r="L16" s="12" t="s">
        <v>870</v>
      </c>
    </row>
    <row r="17" spans="1:12" ht="42.95" customHeight="1">
      <c r="A17" s="2" t="s">
        <v>1332</v>
      </c>
      <c r="B17" s="2" t="s">
        <v>42</v>
      </c>
      <c r="C17" s="2" t="s">
        <v>217</v>
      </c>
      <c r="D17" s="2" t="s">
        <v>1289</v>
      </c>
      <c r="E17" s="2" t="s">
        <v>1290</v>
      </c>
      <c r="F17" s="2" t="s">
        <v>106</v>
      </c>
      <c r="G17" s="2" t="s">
        <v>461</v>
      </c>
      <c r="H17" s="2" t="s">
        <v>1260</v>
      </c>
      <c r="I17" s="2" t="s">
        <v>1333</v>
      </c>
      <c r="J17" s="2" t="s">
        <v>1334</v>
      </c>
      <c r="K17" s="2" t="s">
        <v>1335</v>
      </c>
      <c r="L17" s="2" t="s">
        <v>870</v>
      </c>
    </row>
    <row r="18" spans="1:12" ht="42.95" customHeight="1">
      <c r="A18" s="12" t="s">
        <v>1336</v>
      </c>
      <c r="B18" s="12" t="s">
        <v>42</v>
      </c>
      <c r="C18" s="12" t="s">
        <v>212</v>
      </c>
      <c r="D18" s="12" t="s">
        <v>1295</v>
      </c>
      <c r="E18" s="12" t="s">
        <v>1296</v>
      </c>
      <c r="F18" s="12" t="s">
        <v>166</v>
      </c>
      <c r="G18" s="12" t="s">
        <v>461</v>
      </c>
      <c r="H18" s="12" t="s">
        <v>121</v>
      </c>
      <c r="I18" s="12" t="s">
        <v>1337</v>
      </c>
      <c r="J18" s="12" t="s">
        <v>1338</v>
      </c>
      <c r="K18" s="12" t="s">
        <v>1339</v>
      </c>
      <c r="L18" s="12" t="s">
        <v>870</v>
      </c>
    </row>
    <row r="19" spans="1:12" ht="42.95" customHeight="1">
      <c r="A19" s="2" t="s">
        <v>1340</v>
      </c>
      <c r="B19" s="2" t="s">
        <v>42</v>
      </c>
      <c r="C19" s="2" t="s">
        <v>212</v>
      </c>
      <c r="D19" s="2" t="s">
        <v>1301</v>
      </c>
      <c r="E19" s="2" t="s">
        <v>1302</v>
      </c>
      <c r="F19" s="2" t="s">
        <v>166</v>
      </c>
      <c r="G19" s="2" t="s">
        <v>461</v>
      </c>
      <c r="H19" s="2" t="s">
        <v>1267</v>
      </c>
      <c r="I19" s="2" t="s">
        <v>1341</v>
      </c>
      <c r="J19" s="2"/>
      <c r="K19" s="2" t="s">
        <v>1342</v>
      </c>
      <c r="L19" s="2" t="s">
        <v>870</v>
      </c>
    </row>
    <row r="20" spans="1:12" ht="42.95" customHeight="1">
      <c r="A20" s="12" t="s">
        <v>1343</v>
      </c>
      <c r="B20" s="12" t="s">
        <v>43</v>
      </c>
      <c r="C20" s="12" t="s">
        <v>92</v>
      </c>
      <c r="D20" s="12" t="s">
        <v>1251</v>
      </c>
      <c r="E20" s="12" t="s">
        <v>1252</v>
      </c>
      <c r="F20" s="12" t="s">
        <v>106</v>
      </c>
      <c r="G20" s="12" t="s">
        <v>461</v>
      </c>
      <c r="H20" s="12" t="s">
        <v>121</v>
      </c>
      <c r="I20" s="12" t="s">
        <v>1344</v>
      </c>
      <c r="J20" s="12" t="s">
        <v>1345</v>
      </c>
      <c r="K20" s="12" t="s">
        <v>1346</v>
      </c>
      <c r="L20" s="12" t="s">
        <v>1347</v>
      </c>
    </row>
    <row r="21" spans="1:12" ht="42.95" customHeight="1">
      <c r="A21" s="2" t="s">
        <v>1348</v>
      </c>
      <c r="B21" s="2" t="s">
        <v>43</v>
      </c>
      <c r="C21" s="2" t="s">
        <v>92</v>
      </c>
      <c r="D21" s="2" t="s">
        <v>1258</v>
      </c>
      <c r="E21" s="2" t="s">
        <v>1259</v>
      </c>
      <c r="F21" s="2" t="s">
        <v>106</v>
      </c>
      <c r="G21" s="2" t="s">
        <v>461</v>
      </c>
      <c r="H21" s="2" t="s">
        <v>121</v>
      </c>
      <c r="I21" s="2" t="s">
        <v>1349</v>
      </c>
      <c r="J21" s="2" t="s">
        <v>1350</v>
      </c>
      <c r="K21" s="2" t="s">
        <v>1351</v>
      </c>
      <c r="L21" s="2" t="s">
        <v>1054</v>
      </c>
    </row>
    <row r="22" spans="1:12" ht="42.95" customHeight="1">
      <c r="A22" s="12" t="s">
        <v>1352</v>
      </c>
      <c r="B22" s="12" t="s">
        <v>43</v>
      </c>
      <c r="C22" s="12" t="s">
        <v>172</v>
      </c>
      <c r="D22" s="12" t="s">
        <v>1265</v>
      </c>
      <c r="E22" s="12" t="s">
        <v>1266</v>
      </c>
      <c r="F22" s="12" t="s">
        <v>106</v>
      </c>
      <c r="G22" s="12" t="s">
        <v>461</v>
      </c>
      <c r="H22" s="12" t="s">
        <v>1267</v>
      </c>
      <c r="I22" s="12" t="s">
        <v>1353</v>
      </c>
      <c r="J22" s="12" t="s">
        <v>1354</v>
      </c>
      <c r="K22" s="12" t="s">
        <v>1355</v>
      </c>
      <c r="L22" s="12" t="s">
        <v>1356</v>
      </c>
    </row>
    <row r="23" spans="1:12" ht="42.95" customHeight="1">
      <c r="A23" s="2" t="s">
        <v>1357</v>
      </c>
      <c r="B23" s="2" t="s">
        <v>43</v>
      </c>
      <c r="C23" s="2" t="s">
        <v>172</v>
      </c>
      <c r="D23" s="2" t="s">
        <v>1272</v>
      </c>
      <c r="E23" s="2" t="s">
        <v>1273</v>
      </c>
      <c r="F23" s="2" t="s">
        <v>106</v>
      </c>
      <c r="G23" s="2" t="s">
        <v>461</v>
      </c>
      <c r="H23" s="2" t="s">
        <v>1260</v>
      </c>
      <c r="I23" s="2" t="s">
        <v>1358</v>
      </c>
      <c r="J23" s="2"/>
      <c r="K23" s="2" t="s">
        <v>1359</v>
      </c>
      <c r="L23" s="2" t="s">
        <v>1054</v>
      </c>
    </row>
    <row r="24" spans="1:12" ht="42.95" customHeight="1">
      <c r="A24" s="12" t="s">
        <v>1360</v>
      </c>
      <c r="B24" s="12" t="s">
        <v>43</v>
      </c>
      <c r="C24" s="12" t="s">
        <v>172</v>
      </c>
      <c r="D24" s="12" t="s">
        <v>1361</v>
      </c>
      <c r="E24" s="12" t="s">
        <v>1362</v>
      </c>
      <c r="F24" s="12" t="s">
        <v>166</v>
      </c>
      <c r="G24" s="12" t="s">
        <v>461</v>
      </c>
      <c r="H24" s="12" t="s">
        <v>121</v>
      </c>
      <c r="I24" s="12" t="s">
        <v>1363</v>
      </c>
      <c r="J24" s="12" t="s">
        <v>1354</v>
      </c>
      <c r="K24" s="12" t="s">
        <v>1364</v>
      </c>
      <c r="L24" s="12" t="s">
        <v>1054</v>
      </c>
    </row>
    <row r="25" spans="1:12" ht="42.95" customHeight="1">
      <c r="A25" s="2" t="s">
        <v>1365</v>
      </c>
      <c r="B25" s="2" t="s">
        <v>43</v>
      </c>
      <c r="C25" s="2" t="s">
        <v>199</v>
      </c>
      <c r="D25" s="2" t="s">
        <v>1283</v>
      </c>
      <c r="E25" s="2" t="s">
        <v>1284</v>
      </c>
      <c r="F25" s="2" t="s">
        <v>106</v>
      </c>
      <c r="G25" s="2" t="s">
        <v>461</v>
      </c>
      <c r="H25" s="2" t="s">
        <v>121</v>
      </c>
      <c r="I25" s="2" t="s">
        <v>1366</v>
      </c>
      <c r="J25" s="2" t="s">
        <v>1367</v>
      </c>
      <c r="K25" s="2" t="s">
        <v>1368</v>
      </c>
      <c r="L25" s="2" t="s">
        <v>1054</v>
      </c>
    </row>
    <row r="26" spans="1:12">
      <c r="A26" s="12" t="s">
        <v>1369</v>
      </c>
      <c r="B26" s="12" t="s">
        <v>43</v>
      </c>
      <c r="C26" s="12" t="s">
        <v>217</v>
      </c>
      <c r="D26" s="12" t="s">
        <v>1289</v>
      </c>
      <c r="E26" s="12" t="s">
        <v>1290</v>
      </c>
      <c r="F26" s="12" t="s">
        <v>106</v>
      </c>
      <c r="G26" s="12" t="s">
        <v>461</v>
      </c>
      <c r="H26" s="12" t="s">
        <v>1267</v>
      </c>
      <c r="I26" s="12" t="s">
        <v>1370</v>
      </c>
      <c r="J26" s="12" t="s">
        <v>1196</v>
      </c>
      <c r="K26" s="12" t="s">
        <v>1371</v>
      </c>
      <c r="L26" s="12" t="s">
        <v>1054</v>
      </c>
    </row>
    <row r="27" spans="1:12">
      <c r="A27" s="2" t="s">
        <v>1372</v>
      </c>
      <c r="B27" s="2" t="s">
        <v>43</v>
      </c>
      <c r="C27" s="2" t="s">
        <v>212</v>
      </c>
      <c r="D27" s="2" t="s">
        <v>1295</v>
      </c>
      <c r="E27" s="2" t="s">
        <v>1296</v>
      </c>
      <c r="F27" s="2" t="s">
        <v>166</v>
      </c>
      <c r="G27" s="2" t="s">
        <v>461</v>
      </c>
      <c r="H27" s="2" t="s">
        <v>121</v>
      </c>
      <c r="I27" s="2" t="s">
        <v>1373</v>
      </c>
      <c r="J27" s="2" t="s">
        <v>1374</v>
      </c>
      <c r="K27" s="2" t="s">
        <v>1375</v>
      </c>
      <c r="L27" s="2" t="s">
        <v>1054</v>
      </c>
    </row>
    <row r="28" spans="1:12">
      <c r="A28" s="12" t="s">
        <v>1376</v>
      </c>
      <c r="B28" s="12" t="s">
        <v>43</v>
      </c>
      <c r="C28" s="12" t="s">
        <v>212</v>
      </c>
      <c r="D28" s="12" t="s">
        <v>1301</v>
      </c>
      <c r="E28" s="12" t="s">
        <v>1302</v>
      </c>
      <c r="F28" s="12" t="s">
        <v>166</v>
      </c>
      <c r="G28" s="12" t="s">
        <v>461</v>
      </c>
      <c r="H28" s="12" t="s">
        <v>1260</v>
      </c>
      <c r="I28" s="12" t="s">
        <v>1377</v>
      </c>
      <c r="J28" s="12"/>
      <c r="K28" s="12" t="s">
        <v>1378</v>
      </c>
      <c r="L28" s="12" t="s">
        <v>1054</v>
      </c>
    </row>
  </sheetData>
  <autoFilter ref="A1:L28" xr:uid="{00000000-0009-0000-0000-000005000000}"/>
  <dataValidations count="4">
    <dataValidation type="list" allowBlank="1" sqref="F2:F500" xr:uid="{00000000-0002-0000-0500-000000000000}">
      <formula1>"Hoch,Mittel,Niedrig"</formula1>
    </dataValidation>
    <dataValidation type="list" allowBlank="1" sqref="G2:G500" xr:uid="{00000000-0002-0000-0500-000001000000}">
      <formula1>"Offen,Angefragt,Erhalten,Erledigt,Entfällt"</formula1>
    </dataValidation>
    <dataValidation type="list" allowBlank="1" sqref="H2:H500" xr:uid="{00000000-0002-0000-0500-000002000000}">
      <formula1>"Öffentlich verfügbar und verifiziert,Öffentlich verfügbar – noch nicht geprüft,Nicht öffentlich auffindbar,Nur über Gemeindeanfrage erhältlich,Nicht zugänglich / nicht prüfbar"</formula1>
    </dataValidation>
    <dataValidation type="list" allowBlank="1" sqref="C2:C500" xr:uid="{00000000-0002-0000-0500-000003000000}">
      <formula1>"C1,C2,C3,C4,C5,C1, C2,C3, C4,C3, C5,C4, C5"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828"/>
  <sheetViews>
    <sheetView workbookViewId="0">
      <pane xSplit="1" ySplit="1" topLeftCell="B2" activePane="bottomRight" state="frozen"/>
      <selection pane="bottomRight"/>
      <selection pane="bottomLeft"/>
      <selection pane="topRight"/>
    </sheetView>
  </sheetViews>
  <sheetFormatPr defaultRowHeight="15"/>
  <cols>
    <col min="1" max="1" width="14" customWidth="1"/>
    <col min="2" max="2" width="16" customWidth="1"/>
    <col min="3" max="3" width="14" customWidth="1"/>
    <col min="4" max="4" width="70" customWidth="1"/>
    <col min="5" max="5" width="45" customWidth="1"/>
    <col min="6" max="6" width="10" customWidth="1"/>
    <col min="7" max="7" width="45" customWidth="1"/>
    <col min="8" max="8" width="13" customWidth="1"/>
    <col min="9" max="9" width="12" customWidth="1"/>
    <col min="10" max="10" width="24" customWidth="1"/>
  </cols>
  <sheetData>
    <row r="1" spans="1:10">
      <c r="A1" s="1" t="s">
        <v>48</v>
      </c>
      <c r="B1" s="1" t="s">
        <v>47</v>
      </c>
      <c r="C1" s="1" t="s">
        <v>1379</v>
      </c>
      <c r="D1" s="1" t="s">
        <v>1380</v>
      </c>
      <c r="E1" s="1" t="s">
        <v>1381</v>
      </c>
      <c r="F1" s="1" t="s">
        <v>1382</v>
      </c>
      <c r="G1" s="1" t="s">
        <v>1383</v>
      </c>
      <c r="H1" s="1" t="s">
        <v>1384</v>
      </c>
      <c r="I1" s="1" t="s">
        <v>1385</v>
      </c>
      <c r="J1" s="1" t="s">
        <v>1244</v>
      </c>
    </row>
    <row r="2" spans="1:10">
      <c r="A2" s="6"/>
      <c r="B2" s="6" t="s">
        <v>90</v>
      </c>
      <c r="C2" s="6" t="s">
        <v>92</v>
      </c>
      <c r="D2" s="10" t="s">
        <v>1386</v>
      </c>
      <c r="E2" s="6" t="s">
        <v>1387</v>
      </c>
      <c r="F2" s="6" t="s">
        <v>1388</v>
      </c>
      <c r="G2" s="6" t="s">
        <v>98</v>
      </c>
      <c r="H2" s="6" t="s">
        <v>1389</v>
      </c>
      <c r="I2" s="6" t="s">
        <v>124</v>
      </c>
      <c r="J2" s="6" t="s">
        <v>1390</v>
      </c>
    </row>
    <row r="3" spans="1:10">
      <c r="A3" s="6"/>
      <c r="B3" s="6" t="s">
        <v>90</v>
      </c>
      <c r="C3" s="6" t="s">
        <v>92</v>
      </c>
      <c r="D3" s="10" t="s">
        <v>1391</v>
      </c>
      <c r="E3" s="6" t="s">
        <v>1392</v>
      </c>
      <c r="F3" s="6" t="s">
        <v>1388</v>
      </c>
      <c r="G3" s="6" t="s">
        <v>98</v>
      </c>
      <c r="H3" s="6" t="s">
        <v>1389</v>
      </c>
      <c r="I3" s="6" t="s">
        <v>124</v>
      </c>
      <c r="J3" s="6" t="s">
        <v>1390</v>
      </c>
    </row>
    <row r="4" spans="1:10">
      <c r="A4" s="6"/>
      <c r="B4" s="6" t="s">
        <v>90</v>
      </c>
      <c r="C4" s="6" t="s">
        <v>92</v>
      </c>
      <c r="D4" s="10" t="s">
        <v>1393</v>
      </c>
      <c r="E4" s="6" t="s">
        <v>1394</v>
      </c>
      <c r="F4" s="6" t="s">
        <v>1388</v>
      </c>
      <c r="G4" s="6" t="s">
        <v>98</v>
      </c>
      <c r="H4" s="6" t="s">
        <v>1389</v>
      </c>
      <c r="I4" s="6" t="s">
        <v>124</v>
      </c>
      <c r="J4" s="6" t="s">
        <v>1390</v>
      </c>
    </row>
    <row r="5" spans="1:10">
      <c r="A5" s="6"/>
      <c r="B5" s="6" t="s">
        <v>90</v>
      </c>
      <c r="C5" s="6" t="s">
        <v>92</v>
      </c>
      <c r="D5" s="10" t="s">
        <v>1395</v>
      </c>
      <c r="E5" s="6" t="s">
        <v>1396</v>
      </c>
      <c r="F5" s="6" t="s">
        <v>1397</v>
      </c>
      <c r="G5" s="6" t="s">
        <v>98</v>
      </c>
      <c r="H5" s="6" t="s">
        <v>1389</v>
      </c>
      <c r="I5" s="6" t="s">
        <v>124</v>
      </c>
      <c r="J5" s="6" t="s">
        <v>1390</v>
      </c>
    </row>
    <row r="6" spans="1:10">
      <c r="A6" s="6"/>
      <c r="B6" s="6" t="s">
        <v>90</v>
      </c>
      <c r="C6" s="6" t="s">
        <v>92</v>
      </c>
      <c r="D6" s="10" t="s">
        <v>1398</v>
      </c>
      <c r="E6" s="6" t="s">
        <v>1399</v>
      </c>
      <c r="F6" s="6" t="s">
        <v>1397</v>
      </c>
      <c r="G6" s="6" t="s">
        <v>98</v>
      </c>
      <c r="H6" s="6" t="s">
        <v>1389</v>
      </c>
      <c r="I6" s="6" t="s">
        <v>124</v>
      </c>
      <c r="J6" s="6" t="s">
        <v>1390</v>
      </c>
    </row>
    <row r="7" spans="1:10">
      <c r="A7" s="6"/>
      <c r="B7" s="6" t="s">
        <v>90</v>
      </c>
      <c r="C7" s="6" t="s">
        <v>92</v>
      </c>
      <c r="D7" s="10" t="s">
        <v>98</v>
      </c>
      <c r="E7" s="6" t="s">
        <v>1400</v>
      </c>
      <c r="F7" s="6" t="s">
        <v>1397</v>
      </c>
      <c r="G7" s="6" t="s">
        <v>130</v>
      </c>
      <c r="H7" s="6" t="s">
        <v>1389</v>
      </c>
      <c r="I7" s="6" t="s">
        <v>715</v>
      </c>
      <c r="J7" s="6" t="s">
        <v>1390</v>
      </c>
    </row>
    <row r="8" spans="1:10">
      <c r="A8" s="6"/>
      <c r="B8" s="6" t="s">
        <v>90</v>
      </c>
      <c r="C8" s="6" t="s">
        <v>92</v>
      </c>
      <c r="D8" s="10" t="s">
        <v>145</v>
      </c>
      <c r="E8" s="6" t="s">
        <v>1401</v>
      </c>
      <c r="F8" s="6" t="s">
        <v>1397</v>
      </c>
      <c r="G8" s="6" t="s">
        <v>130</v>
      </c>
      <c r="H8" s="6" t="s">
        <v>1389</v>
      </c>
      <c r="I8" s="6" t="s">
        <v>715</v>
      </c>
      <c r="J8" s="6" t="s">
        <v>1390</v>
      </c>
    </row>
    <row r="9" spans="1:10">
      <c r="A9" s="6"/>
      <c r="B9" s="6" t="s">
        <v>90</v>
      </c>
      <c r="C9" s="6" t="s">
        <v>92</v>
      </c>
      <c r="D9" s="10" t="s">
        <v>1402</v>
      </c>
      <c r="E9" s="6" t="s">
        <v>1403</v>
      </c>
      <c r="F9" s="6" t="s">
        <v>1397</v>
      </c>
      <c r="G9" s="6" t="s">
        <v>130</v>
      </c>
      <c r="H9" s="6" t="s">
        <v>1389</v>
      </c>
      <c r="I9" s="6" t="s">
        <v>124</v>
      </c>
      <c r="J9" s="6" t="s">
        <v>1390</v>
      </c>
    </row>
    <row r="10" spans="1:10">
      <c r="A10" s="6"/>
      <c r="B10" s="6" t="s">
        <v>90</v>
      </c>
      <c r="C10" s="6" t="s">
        <v>92</v>
      </c>
      <c r="D10" s="10" t="s">
        <v>130</v>
      </c>
      <c r="E10" s="6" t="s">
        <v>1404</v>
      </c>
      <c r="F10" s="6" t="s">
        <v>1397</v>
      </c>
      <c r="G10" s="6" t="s">
        <v>130</v>
      </c>
      <c r="H10" s="6" t="s">
        <v>1389</v>
      </c>
      <c r="I10" s="6" t="s">
        <v>715</v>
      </c>
      <c r="J10" s="6" t="s">
        <v>1390</v>
      </c>
    </row>
    <row r="11" spans="1:10">
      <c r="A11" s="6"/>
      <c r="B11" s="6" t="s">
        <v>90</v>
      </c>
      <c r="C11" s="6" t="s">
        <v>199</v>
      </c>
      <c r="D11" s="10" t="s">
        <v>1405</v>
      </c>
      <c r="E11" s="6" t="s">
        <v>1406</v>
      </c>
      <c r="F11" s="6" t="s">
        <v>1388</v>
      </c>
      <c r="G11" s="6" t="s">
        <v>98</v>
      </c>
      <c r="H11" s="6" t="s">
        <v>1389</v>
      </c>
      <c r="I11" s="6" t="s">
        <v>124</v>
      </c>
      <c r="J11" s="6" t="s">
        <v>1390</v>
      </c>
    </row>
    <row r="12" spans="1:10">
      <c r="A12" s="6" t="s">
        <v>42</v>
      </c>
      <c r="B12" s="6" t="s">
        <v>440</v>
      </c>
      <c r="C12" s="6" t="s">
        <v>92</v>
      </c>
      <c r="D12" s="10" t="s">
        <v>1407</v>
      </c>
      <c r="E12" s="6" t="s">
        <v>1408</v>
      </c>
      <c r="F12" s="6" t="s">
        <v>1397</v>
      </c>
      <c r="G12" s="6" t="s">
        <v>1409</v>
      </c>
      <c r="H12" s="6" t="s">
        <v>1389</v>
      </c>
      <c r="I12" s="6" t="s">
        <v>124</v>
      </c>
      <c r="J12" s="6" t="s">
        <v>1390</v>
      </c>
    </row>
    <row r="13" spans="1:10">
      <c r="A13" s="6" t="s">
        <v>42</v>
      </c>
      <c r="B13" s="6" t="s">
        <v>440</v>
      </c>
      <c r="C13" s="6" t="s">
        <v>92</v>
      </c>
      <c r="D13" s="10" t="s">
        <v>1410</v>
      </c>
      <c r="E13" s="6" t="s">
        <v>1411</v>
      </c>
      <c r="F13" s="6" t="s">
        <v>1397</v>
      </c>
      <c r="G13" s="6" t="s">
        <v>862</v>
      </c>
      <c r="H13" s="6" t="s">
        <v>1389</v>
      </c>
      <c r="I13" s="6" t="s">
        <v>124</v>
      </c>
      <c r="J13" s="6" t="s">
        <v>1390</v>
      </c>
    </row>
    <row r="14" spans="1:10">
      <c r="A14" s="6" t="s">
        <v>42</v>
      </c>
      <c r="B14" s="6" t="s">
        <v>440</v>
      </c>
      <c r="C14" s="6" t="s">
        <v>92</v>
      </c>
      <c r="D14" s="10" t="s">
        <v>1412</v>
      </c>
      <c r="E14" s="6" t="s">
        <v>1413</v>
      </c>
      <c r="F14" s="6" t="s">
        <v>1397</v>
      </c>
      <c r="G14" s="6" t="s">
        <v>892</v>
      </c>
      <c r="H14" s="6" t="s">
        <v>1389</v>
      </c>
      <c r="I14" s="6" t="s">
        <v>124</v>
      </c>
      <c r="J14" s="6" t="s">
        <v>1390</v>
      </c>
    </row>
    <row r="15" spans="1:10">
      <c r="A15" s="6" t="s">
        <v>42</v>
      </c>
      <c r="B15" s="6" t="s">
        <v>440</v>
      </c>
      <c r="C15" s="6" t="s">
        <v>92</v>
      </c>
      <c r="D15" s="10" t="s">
        <v>1414</v>
      </c>
      <c r="E15" s="6" t="s">
        <v>1415</v>
      </c>
      <c r="F15" s="6" t="s">
        <v>1397</v>
      </c>
      <c r="G15" s="6" t="s">
        <v>1409</v>
      </c>
      <c r="H15" s="6" t="s">
        <v>1389</v>
      </c>
      <c r="I15" s="6" t="s">
        <v>124</v>
      </c>
      <c r="J15" s="6" t="s">
        <v>1390</v>
      </c>
    </row>
    <row r="16" spans="1:10">
      <c r="A16" s="6" t="s">
        <v>42</v>
      </c>
      <c r="B16" s="6" t="s">
        <v>440</v>
      </c>
      <c r="C16" s="6" t="s">
        <v>92</v>
      </c>
      <c r="D16" s="10" t="s">
        <v>1416</v>
      </c>
      <c r="E16" s="6" t="s">
        <v>1417</v>
      </c>
      <c r="F16" s="6" t="s">
        <v>1397</v>
      </c>
      <c r="G16" s="6" t="s">
        <v>885</v>
      </c>
      <c r="H16" s="6" t="s">
        <v>1389</v>
      </c>
      <c r="I16" s="6" t="s">
        <v>124</v>
      </c>
      <c r="J16" s="6" t="s">
        <v>1390</v>
      </c>
    </row>
    <row r="17" spans="1:10">
      <c r="A17" s="6" t="s">
        <v>42</v>
      </c>
      <c r="B17" s="6" t="s">
        <v>440</v>
      </c>
      <c r="C17" s="6" t="s">
        <v>92</v>
      </c>
      <c r="D17" s="10" t="s">
        <v>1418</v>
      </c>
      <c r="E17" s="6" t="s">
        <v>1419</v>
      </c>
      <c r="F17" s="6" t="s">
        <v>1397</v>
      </c>
      <c r="G17" s="6" t="s">
        <v>900</v>
      </c>
      <c r="H17" s="6" t="s">
        <v>1389</v>
      </c>
      <c r="I17" s="6" t="s">
        <v>124</v>
      </c>
      <c r="J17" s="6" t="s">
        <v>1390</v>
      </c>
    </row>
    <row r="18" spans="1:10">
      <c r="A18" s="6" t="s">
        <v>42</v>
      </c>
      <c r="B18" s="6" t="s">
        <v>440</v>
      </c>
      <c r="C18" s="6" t="s">
        <v>92</v>
      </c>
      <c r="D18" s="10" t="s">
        <v>1420</v>
      </c>
      <c r="E18" s="6" t="s">
        <v>1421</v>
      </c>
      <c r="F18" s="6" t="s">
        <v>1397</v>
      </c>
      <c r="G18" s="6" t="s">
        <v>900</v>
      </c>
      <c r="H18" s="6" t="s">
        <v>1389</v>
      </c>
      <c r="I18" s="6" t="s">
        <v>124</v>
      </c>
      <c r="J18" s="6" t="s">
        <v>1390</v>
      </c>
    </row>
    <row r="19" spans="1:10">
      <c r="A19" s="6" t="s">
        <v>42</v>
      </c>
      <c r="B19" s="6" t="s">
        <v>440</v>
      </c>
      <c r="C19" s="6" t="s">
        <v>92</v>
      </c>
      <c r="D19" s="10" t="s">
        <v>1422</v>
      </c>
      <c r="E19" s="6" t="s">
        <v>1423</v>
      </c>
      <c r="F19" s="6" t="s">
        <v>1397</v>
      </c>
      <c r="G19" s="6" t="s">
        <v>1424</v>
      </c>
      <c r="H19" s="6" t="s">
        <v>1425</v>
      </c>
      <c r="I19" s="6" t="s">
        <v>124</v>
      </c>
      <c r="J19" s="6" t="s">
        <v>1390</v>
      </c>
    </row>
    <row r="20" spans="1:10">
      <c r="A20" s="6" t="s">
        <v>42</v>
      </c>
      <c r="B20" s="6" t="s">
        <v>440</v>
      </c>
      <c r="C20" s="6" t="s">
        <v>92</v>
      </c>
      <c r="D20" s="10" t="s">
        <v>1426</v>
      </c>
      <c r="E20" s="6" t="s">
        <v>1427</v>
      </c>
      <c r="F20" s="6" t="s">
        <v>1397</v>
      </c>
      <c r="G20" s="6" t="s">
        <v>1428</v>
      </c>
      <c r="H20" s="6" t="s">
        <v>1425</v>
      </c>
      <c r="I20" s="6" t="s">
        <v>124</v>
      </c>
      <c r="J20" s="6" t="s">
        <v>1390</v>
      </c>
    </row>
    <row r="21" spans="1:10">
      <c r="A21" s="6" t="s">
        <v>42</v>
      </c>
      <c r="B21" s="6" t="s">
        <v>440</v>
      </c>
      <c r="C21" s="6" t="s">
        <v>92</v>
      </c>
      <c r="D21" s="10" t="s">
        <v>1429</v>
      </c>
      <c r="E21" s="6" t="s">
        <v>1430</v>
      </c>
      <c r="F21" s="6" t="s">
        <v>1397</v>
      </c>
      <c r="G21" s="6" t="s">
        <v>875</v>
      </c>
      <c r="H21" s="6" t="s">
        <v>1389</v>
      </c>
      <c r="I21" s="6" t="s">
        <v>124</v>
      </c>
      <c r="J21" s="6" t="s">
        <v>1390</v>
      </c>
    </row>
    <row r="22" spans="1:10">
      <c r="A22" s="6" t="s">
        <v>42</v>
      </c>
      <c r="B22" s="6" t="s">
        <v>440</v>
      </c>
      <c r="C22" s="6" t="s">
        <v>92</v>
      </c>
      <c r="D22" s="10" t="s">
        <v>1431</v>
      </c>
      <c r="E22" s="6" t="s">
        <v>1432</v>
      </c>
      <c r="F22" s="6" t="s">
        <v>1397</v>
      </c>
      <c r="G22" s="6" t="s">
        <v>875</v>
      </c>
      <c r="H22" s="6" t="s">
        <v>1389</v>
      </c>
      <c r="I22" s="6" t="s">
        <v>124</v>
      </c>
      <c r="J22" s="6" t="s">
        <v>1390</v>
      </c>
    </row>
    <row r="23" spans="1:10">
      <c r="A23" s="6" t="s">
        <v>42</v>
      </c>
      <c r="B23" s="6" t="s">
        <v>440</v>
      </c>
      <c r="C23" s="6" t="s">
        <v>92</v>
      </c>
      <c r="D23" s="10" t="s">
        <v>1433</v>
      </c>
      <c r="E23" s="6" t="s">
        <v>1434</v>
      </c>
      <c r="F23" s="6" t="s">
        <v>1397</v>
      </c>
      <c r="G23" s="6" t="s">
        <v>1001</v>
      </c>
      <c r="H23" s="6" t="s">
        <v>1389</v>
      </c>
      <c r="I23" s="6" t="s">
        <v>124</v>
      </c>
      <c r="J23" s="6" t="s">
        <v>1390</v>
      </c>
    </row>
    <row r="24" spans="1:10">
      <c r="A24" s="6" t="s">
        <v>42</v>
      </c>
      <c r="B24" s="6" t="s">
        <v>440</v>
      </c>
      <c r="C24" s="6" t="s">
        <v>92</v>
      </c>
      <c r="D24" s="10" t="s">
        <v>1424</v>
      </c>
      <c r="E24" s="6" t="s">
        <v>1435</v>
      </c>
      <c r="F24" s="6" t="s">
        <v>1397</v>
      </c>
      <c r="G24" s="6" t="s">
        <v>1436</v>
      </c>
      <c r="H24" s="6" t="s">
        <v>1389</v>
      </c>
      <c r="I24" s="6" t="s">
        <v>124</v>
      </c>
      <c r="J24" s="6" t="s">
        <v>1390</v>
      </c>
    </row>
    <row r="25" spans="1:10">
      <c r="A25" s="6" t="s">
        <v>42</v>
      </c>
      <c r="B25" s="6" t="s">
        <v>440</v>
      </c>
      <c r="C25" s="6" t="s">
        <v>92</v>
      </c>
      <c r="D25" s="10" t="s">
        <v>1428</v>
      </c>
      <c r="E25" s="6" t="s">
        <v>692</v>
      </c>
      <c r="F25" s="6" t="s">
        <v>1397</v>
      </c>
      <c r="G25" s="6" t="s">
        <v>1436</v>
      </c>
      <c r="H25" s="6" t="s">
        <v>1389</v>
      </c>
      <c r="I25" s="6" t="s">
        <v>124</v>
      </c>
      <c r="J25" s="6" t="s">
        <v>1390</v>
      </c>
    </row>
    <row r="26" spans="1:10">
      <c r="A26" s="6" t="s">
        <v>42</v>
      </c>
      <c r="B26" s="6" t="s">
        <v>440</v>
      </c>
      <c r="C26" s="6" t="s">
        <v>92</v>
      </c>
      <c r="D26" s="10" t="s">
        <v>1436</v>
      </c>
      <c r="E26" s="6" t="s">
        <v>1437</v>
      </c>
      <c r="F26" s="6" t="s">
        <v>1397</v>
      </c>
      <c r="G26" s="6" t="s">
        <v>875</v>
      </c>
      <c r="H26" s="6" t="s">
        <v>1389</v>
      </c>
      <c r="I26" s="6" t="s">
        <v>124</v>
      </c>
      <c r="J26" s="6" t="s">
        <v>1390</v>
      </c>
    </row>
    <row r="27" spans="1:10">
      <c r="A27" s="6" t="s">
        <v>42</v>
      </c>
      <c r="B27" s="6" t="s">
        <v>440</v>
      </c>
      <c r="C27" s="6" t="s">
        <v>1438</v>
      </c>
      <c r="D27" s="10" t="s">
        <v>1439</v>
      </c>
      <c r="E27" s="6" t="s">
        <v>1440</v>
      </c>
      <c r="F27" s="6" t="s">
        <v>1397</v>
      </c>
      <c r="G27" s="6" t="s">
        <v>1441</v>
      </c>
      <c r="H27" s="6" t="s">
        <v>1425</v>
      </c>
      <c r="I27" s="6" t="s">
        <v>124</v>
      </c>
      <c r="J27" s="6" t="s">
        <v>1390</v>
      </c>
    </row>
    <row r="28" spans="1:10">
      <c r="A28" s="6" t="s">
        <v>42</v>
      </c>
      <c r="B28" s="6" t="s">
        <v>440</v>
      </c>
      <c r="C28" s="6" t="s">
        <v>1438</v>
      </c>
      <c r="D28" s="10" t="s">
        <v>1442</v>
      </c>
      <c r="E28" s="6" t="s">
        <v>1443</v>
      </c>
      <c r="F28" s="6" t="s">
        <v>1397</v>
      </c>
      <c r="G28" s="6" t="s">
        <v>1441</v>
      </c>
      <c r="H28" s="6" t="s">
        <v>1425</v>
      </c>
      <c r="I28" s="6" t="s">
        <v>124</v>
      </c>
      <c r="J28" s="6" t="s">
        <v>1390</v>
      </c>
    </row>
    <row r="29" spans="1:10">
      <c r="A29" s="6" t="s">
        <v>42</v>
      </c>
      <c r="B29" s="6" t="s">
        <v>440</v>
      </c>
      <c r="C29" s="6" t="s">
        <v>172</v>
      </c>
      <c r="D29" s="10" t="s">
        <v>1444</v>
      </c>
      <c r="E29" s="6" t="s">
        <v>1445</v>
      </c>
      <c r="F29" s="6" t="s">
        <v>1397</v>
      </c>
      <c r="G29" s="6" t="s">
        <v>1446</v>
      </c>
      <c r="H29" s="6" t="s">
        <v>1425</v>
      </c>
      <c r="I29" s="6" t="s">
        <v>124</v>
      </c>
      <c r="J29" s="6" t="s">
        <v>1390</v>
      </c>
    </row>
    <row r="30" spans="1:10">
      <c r="A30" s="6" t="s">
        <v>42</v>
      </c>
      <c r="B30" s="6" t="s">
        <v>440</v>
      </c>
      <c r="C30" s="6" t="s">
        <v>172</v>
      </c>
      <c r="D30" s="10" t="s">
        <v>1446</v>
      </c>
      <c r="E30" s="6" t="s">
        <v>1447</v>
      </c>
      <c r="F30" s="6" t="s">
        <v>1397</v>
      </c>
      <c r="G30" s="6" t="s">
        <v>875</v>
      </c>
      <c r="H30" s="6" t="s">
        <v>1389</v>
      </c>
      <c r="I30" s="6" t="s">
        <v>124</v>
      </c>
      <c r="J30" s="6" t="s">
        <v>1390</v>
      </c>
    </row>
    <row r="31" spans="1:10">
      <c r="A31" s="6" t="s">
        <v>42</v>
      </c>
      <c r="B31" s="6" t="s">
        <v>440</v>
      </c>
      <c r="C31" s="6" t="s">
        <v>1448</v>
      </c>
      <c r="D31" s="10" t="s">
        <v>1449</v>
      </c>
      <c r="E31" s="6" t="s">
        <v>1450</v>
      </c>
      <c r="F31" s="6" t="s">
        <v>1397</v>
      </c>
      <c r="G31" s="6" t="s">
        <v>1441</v>
      </c>
      <c r="H31" s="6" t="s">
        <v>1425</v>
      </c>
      <c r="I31" s="6" t="s">
        <v>124</v>
      </c>
      <c r="J31" s="6" t="s">
        <v>1390</v>
      </c>
    </row>
    <row r="32" spans="1:10">
      <c r="A32" s="6" t="s">
        <v>42</v>
      </c>
      <c r="B32" s="6" t="s">
        <v>440</v>
      </c>
      <c r="C32" s="6" t="s">
        <v>1448</v>
      </c>
      <c r="D32" s="10" t="s">
        <v>1451</v>
      </c>
      <c r="E32" s="6" t="s">
        <v>1452</v>
      </c>
      <c r="F32" s="6" t="s">
        <v>1397</v>
      </c>
      <c r="G32" s="6" t="s">
        <v>1441</v>
      </c>
      <c r="H32" s="6" t="s">
        <v>1425</v>
      </c>
      <c r="I32" s="6" t="s">
        <v>124</v>
      </c>
      <c r="J32" s="6" t="s">
        <v>1390</v>
      </c>
    </row>
    <row r="33" spans="1:10">
      <c r="A33" s="6" t="s">
        <v>42</v>
      </c>
      <c r="B33" s="6" t="s">
        <v>440</v>
      </c>
      <c r="C33" s="6" t="s">
        <v>199</v>
      </c>
      <c r="D33" s="10" t="s">
        <v>1453</v>
      </c>
      <c r="E33" s="6" t="s">
        <v>1454</v>
      </c>
      <c r="F33" s="6" t="s">
        <v>1397</v>
      </c>
      <c r="G33" s="6" t="s">
        <v>991</v>
      </c>
      <c r="H33" s="6" t="s">
        <v>1389</v>
      </c>
      <c r="I33" s="6" t="s">
        <v>124</v>
      </c>
      <c r="J33" s="6" t="s">
        <v>1390</v>
      </c>
    </row>
    <row r="34" spans="1:10">
      <c r="A34" s="6" t="s">
        <v>42</v>
      </c>
      <c r="B34" s="6" t="s">
        <v>440</v>
      </c>
      <c r="C34" s="6" t="s">
        <v>199</v>
      </c>
      <c r="D34" s="10" t="s">
        <v>1455</v>
      </c>
      <c r="E34" s="6" t="s">
        <v>1456</v>
      </c>
      <c r="F34" s="6" t="s">
        <v>1397</v>
      </c>
      <c r="G34" s="6" t="s">
        <v>875</v>
      </c>
      <c r="H34" s="6" t="s">
        <v>1389</v>
      </c>
      <c r="I34" s="6" t="s">
        <v>124</v>
      </c>
      <c r="J34" s="6" t="s">
        <v>1390</v>
      </c>
    </row>
    <row r="35" spans="1:10">
      <c r="A35" s="6" t="s">
        <v>42</v>
      </c>
      <c r="B35" s="6" t="s">
        <v>440</v>
      </c>
      <c r="C35" s="6" t="s">
        <v>199</v>
      </c>
      <c r="D35" s="10" t="s">
        <v>991</v>
      </c>
      <c r="E35" s="6" t="s">
        <v>1457</v>
      </c>
      <c r="F35" s="6" t="s">
        <v>1397</v>
      </c>
      <c r="G35" s="6" t="s">
        <v>991</v>
      </c>
      <c r="H35" s="6" t="s">
        <v>1389</v>
      </c>
      <c r="I35" s="6" t="s">
        <v>715</v>
      </c>
      <c r="J35" s="6" t="s">
        <v>1390</v>
      </c>
    </row>
    <row r="36" spans="1:10">
      <c r="A36" s="6" t="s">
        <v>42</v>
      </c>
      <c r="B36" s="6" t="s">
        <v>440</v>
      </c>
      <c r="C36" s="6" t="s">
        <v>1458</v>
      </c>
      <c r="D36" s="10" t="s">
        <v>1459</v>
      </c>
      <c r="E36" s="6" t="s">
        <v>1460</v>
      </c>
      <c r="F36" s="6" t="s">
        <v>1397</v>
      </c>
      <c r="G36" s="6" t="s">
        <v>1441</v>
      </c>
      <c r="H36" s="6" t="s">
        <v>1425</v>
      </c>
      <c r="I36" s="6" t="s">
        <v>124</v>
      </c>
      <c r="J36" s="6" t="s">
        <v>1390</v>
      </c>
    </row>
    <row r="37" spans="1:10">
      <c r="A37" s="6" t="s">
        <v>42</v>
      </c>
      <c r="B37" s="6" t="s">
        <v>440</v>
      </c>
      <c r="C37" s="6" t="s">
        <v>1458</v>
      </c>
      <c r="D37" s="10" t="s">
        <v>1461</v>
      </c>
      <c r="E37" s="6" t="s">
        <v>1462</v>
      </c>
      <c r="F37" s="6" t="s">
        <v>1397</v>
      </c>
      <c r="G37" s="6" t="s">
        <v>1441</v>
      </c>
      <c r="H37" s="6" t="s">
        <v>1425</v>
      </c>
      <c r="I37" s="6" t="s">
        <v>124</v>
      </c>
      <c r="J37" s="6" t="s">
        <v>1390</v>
      </c>
    </row>
    <row r="38" spans="1:10">
      <c r="A38" s="6" t="s">
        <v>42</v>
      </c>
      <c r="B38" s="6" t="s">
        <v>440</v>
      </c>
      <c r="C38" s="6" t="s">
        <v>1458</v>
      </c>
      <c r="D38" s="10" t="s">
        <v>1463</v>
      </c>
      <c r="E38" s="6" t="s">
        <v>1464</v>
      </c>
      <c r="F38" s="6" t="s">
        <v>1397</v>
      </c>
      <c r="G38" s="6" t="s">
        <v>1441</v>
      </c>
      <c r="H38" s="6" t="s">
        <v>1425</v>
      </c>
      <c r="I38" s="6" t="s">
        <v>124</v>
      </c>
      <c r="J38" s="6" t="s">
        <v>1390</v>
      </c>
    </row>
    <row r="39" spans="1:10">
      <c r="A39" s="6" t="s">
        <v>42</v>
      </c>
      <c r="B39" s="6" t="s">
        <v>440</v>
      </c>
      <c r="C39" s="6" t="s">
        <v>1458</v>
      </c>
      <c r="D39" s="10" t="s">
        <v>1465</v>
      </c>
      <c r="E39" s="6" t="s">
        <v>1466</v>
      </c>
      <c r="F39" s="6" t="s">
        <v>1397</v>
      </c>
      <c r="G39" s="6" t="s">
        <v>1441</v>
      </c>
      <c r="H39" s="6" t="s">
        <v>1425</v>
      </c>
      <c r="I39" s="6" t="s">
        <v>124</v>
      </c>
      <c r="J39" s="6" t="s">
        <v>1390</v>
      </c>
    </row>
    <row r="40" spans="1:10">
      <c r="A40" s="6" t="s">
        <v>42</v>
      </c>
      <c r="B40" s="6" t="s">
        <v>440</v>
      </c>
      <c r="C40" s="6" t="s">
        <v>1458</v>
      </c>
      <c r="D40" s="10" t="s">
        <v>1467</v>
      </c>
      <c r="E40" s="6" t="s">
        <v>1468</v>
      </c>
      <c r="F40" s="6" t="s">
        <v>1397</v>
      </c>
      <c r="G40" s="6" t="s">
        <v>1441</v>
      </c>
      <c r="H40" s="6" t="s">
        <v>1425</v>
      </c>
      <c r="I40" s="6" t="s">
        <v>124</v>
      </c>
      <c r="J40" s="6" t="s">
        <v>1390</v>
      </c>
    </row>
    <row r="41" spans="1:10">
      <c r="A41" s="6" t="s">
        <v>42</v>
      </c>
      <c r="B41" s="6" t="s">
        <v>440</v>
      </c>
      <c r="C41" s="6" t="s">
        <v>1458</v>
      </c>
      <c r="D41" s="10" t="s">
        <v>1469</v>
      </c>
      <c r="E41" s="6" t="s">
        <v>1470</v>
      </c>
      <c r="F41" s="6" t="s">
        <v>1397</v>
      </c>
      <c r="G41" s="6" t="s">
        <v>1441</v>
      </c>
      <c r="H41" s="6" t="s">
        <v>1425</v>
      </c>
      <c r="I41" s="6" t="s">
        <v>124</v>
      </c>
      <c r="J41" s="6" t="s">
        <v>1390</v>
      </c>
    </row>
    <row r="42" spans="1:10">
      <c r="A42" s="6" t="s">
        <v>42</v>
      </c>
      <c r="B42" s="6" t="s">
        <v>440</v>
      </c>
      <c r="C42" s="6" t="s">
        <v>1458</v>
      </c>
      <c r="D42" s="10" t="s">
        <v>1471</v>
      </c>
      <c r="E42" s="6" t="s">
        <v>1472</v>
      </c>
      <c r="F42" s="6" t="s">
        <v>1397</v>
      </c>
      <c r="G42" s="6" t="s">
        <v>1441</v>
      </c>
      <c r="H42" s="6" t="s">
        <v>1425</v>
      </c>
      <c r="I42" s="6" t="s">
        <v>124</v>
      </c>
      <c r="J42" s="6" t="s">
        <v>1390</v>
      </c>
    </row>
    <row r="43" spans="1:10">
      <c r="A43" s="6" t="s">
        <v>42</v>
      </c>
      <c r="B43" s="6" t="s">
        <v>440</v>
      </c>
      <c r="C43" s="6" t="s">
        <v>1458</v>
      </c>
      <c r="D43" s="10" t="s">
        <v>1473</v>
      </c>
      <c r="E43" s="6" t="s">
        <v>1474</v>
      </c>
      <c r="F43" s="6" t="s">
        <v>1397</v>
      </c>
      <c r="G43" s="6" t="s">
        <v>1441</v>
      </c>
      <c r="H43" s="6" t="s">
        <v>1425</v>
      </c>
      <c r="I43" s="6" t="s">
        <v>124</v>
      </c>
      <c r="J43" s="6" t="s">
        <v>1390</v>
      </c>
    </row>
    <row r="44" spans="1:10">
      <c r="A44" s="6" t="s">
        <v>42</v>
      </c>
      <c r="B44" s="6" t="s">
        <v>440</v>
      </c>
      <c r="C44" s="6" t="s">
        <v>1458</v>
      </c>
      <c r="D44" s="10" t="s">
        <v>1475</v>
      </c>
      <c r="E44" s="6" t="s">
        <v>1476</v>
      </c>
      <c r="F44" s="6" t="s">
        <v>1397</v>
      </c>
      <c r="G44" s="6" t="s">
        <v>1441</v>
      </c>
      <c r="H44" s="6" t="s">
        <v>1425</v>
      </c>
      <c r="I44" s="6" t="s">
        <v>124</v>
      </c>
      <c r="J44" s="6" t="s">
        <v>1390</v>
      </c>
    </row>
    <row r="45" spans="1:10">
      <c r="A45" s="6" t="s">
        <v>42</v>
      </c>
      <c r="B45" s="6" t="s">
        <v>440</v>
      </c>
      <c r="C45" s="6" t="s">
        <v>1458</v>
      </c>
      <c r="D45" s="10" t="s">
        <v>1477</v>
      </c>
      <c r="E45" s="6" t="s">
        <v>1478</v>
      </c>
      <c r="F45" s="6" t="s">
        <v>1397</v>
      </c>
      <c r="G45" s="6" t="s">
        <v>1441</v>
      </c>
      <c r="H45" s="6" t="s">
        <v>1425</v>
      </c>
      <c r="I45" s="6" t="s">
        <v>124</v>
      </c>
      <c r="J45" s="6" t="s">
        <v>1390</v>
      </c>
    </row>
    <row r="46" spans="1:10">
      <c r="A46" s="6" t="s">
        <v>42</v>
      </c>
      <c r="B46" s="6" t="s">
        <v>440</v>
      </c>
      <c r="C46" s="6" t="s">
        <v>1458</v>
      </c>
      <c r="D46" s="10" t="s">
        <v>1479</v>
      </c>
      <c r="E46" s="6" t="s">
        <v>1480</v>
      </c>
      <c r="F46" s="6" t="s">
        <v>1397</v>
      </c>
      <c r="G46" s="6" t="s">
        <v>1441</v>
      </c>
      <c r="H46" s="6" t="s">
        <v>1425</v>
      </c>
      <c r="I46" s="6" t="s">
        <v>124</v>
      </c>
      <c r="J46" s="6" t="s">
        <v>1390</v>
      </c>
    </row>
    <row r="47" spans="1:10">
      <c r="A47" s="6" t="s">
        <v>42</v>
      </c>
      <c r="B47" s="6" t="s">
        <v>440</v>
      </c>
      <c r="C47" s="6" t="s">
        <v>1458</v>
      </c>
      <c r="D47" s="10" t="s">
        <v>1481</v>
      </c>
      <c r="E47" s="6" t="s">
        <v>1482</v>
      </c>
      <c r="F47" s="6" t="s">
        <v>1397</v>
      </c>
      <c r="G47" s="6" t="s">
        <v>1441</v>
      </c>
      <c r="H47" s="6" t="s">
        <v>1425</v>
      </c>
      <c r="I47" s="6" t="s">
        <v>124</v>
      </c>
      <c r="J47" s="6" t="s">
        <v>1390</v>
      </c>
    </row>
    <row r="48" spans="1:10">
      <c r="A48" s="6" t="s">
        <v>42</v>
      </c>
      <c r="B48" s="6" t="s">
        <v>440</v>
      </c>
      <c r="C48" s="6" t="s">
        <v>1458</v>
      </c>
      <c r="D48" s="10" t="s">
        <v>1483</v>
      </c>
      <c r="E48" s="6" t="s">
        <v>1484</v>
      </c>
      <c r="F48" s="6" t="s">
        <v>1397</v>
      </c>
      <c r="G48" s="6" t="s">
        <v>1441</v>
      </c>
      <c r="H48" s="6" t="s">
        <v>1425</v>
      </c>
      <c r="I48" s="6" t="s">
        <v>124</v>
      </c>
      <c r="J48" s="6" t="s">
        <v>1390</v>
      </c>
    </row>
    <row r="49" spans="1:10">
      <c r="A49" s="6" t="s">
        <v>42</v>
      </c>
      <c r="B49" s="6" t="s">
        <v>440</v>
      </c>
      <c r="C49" s="6" t="s">
        <v>1458</v>
      </c>
      <c r="D49" s="10" t="s">
        <v>1485</v>
      </c>
      <c r="E49" s="6" t="s">
        <v>1486</v>
      </c>
      <c r="F49" s="6" t="s">
        <v>1397</v>
      </c>
      <c r="G49" s="6" t="s">
        <v>1441</v>
      </c>
      <c r="H49" s="6" t="s">
        <v>1425</v>
      </c>
      <c r="I49" s="6" t="s">
        <v>124</v>
      </c>
      <c r="J49" s="6" t="s">
        <v>1390</v>
      </c>
    </row>
    <row r="50" spans="1:10">
      <c r="A50" s="6" t="s">
        <v>42</v>
      </c>
      <c r="B50" s="6" t="s">
        <v>440</v>
      </c>
      <c r="C50" s="6" t="s">
        <v>1458</v>
      </c>
      <c r="D50" s="10" t="s">
        <v>1487</v>
      </c>
      <c r="E50" s="6" t="s">
        <v>1488</v>
      </c>
      <c r="F50" s="6" t="s">
        <v>1397</v>
      </c>
      <c r="G50" s="6" t="s">
        <v>1441</v>
      </c>
      <c r="H50" s="6" t="s">
        <v>1425</v>
      </c>
      <c r="I50" s="6" t="s">
        <v>124</v>
      </c>
      <c r="J50" s="6" t="s">
        <v>1390</v>
      </c>
    </row>
    <row r="51" spans="1:10">
      <c r="A51" s="6" t="s">
        <v>42</v>
      </c>
      <c r="B51" s="6" t="s">
        <v>440</v>
      </c>
      <c r="C51" s="6" t="s">
        <v>1458</v>
      </c>
      <c r="D51" s="10" t="s">
        <v>1489</v>
      </c>
      <c r="E51" s="6" t="s">
        <v>1490</v>
      </c>
      <c r="F51" s="6" t="s">
        <v>1397</v>
      </c>
      <c r="G51" s="6" t="s">
        <v>1441</v>
      </c>
      <c r="H51" s="6" t="s">
        <v>1425</v>
      </c>
      <c r="I51" s="6" t="s">
        <v>124</v>
      </c>
      <c r="J51" s="6" t="s">
        <v>1390</v>
      </c>
    </row>
    <row r="52" spans="1:10">
      <c r="A52" s="6" t="s">
        <v>42</v>
      </c>
      <c r="B52" s="6" t="s">
        <v>440</v>
      </c>
      <c r="C52" s="6" t="s">
        <v>1458</v>
      </c>
      <c r="D52" s="10" t="s">
        <v>1491</v>
      </c>
      <c r="E52" s="6" t="s">
        <v>1492</v>
      </c>
      <c r="F52" s="6" t="s">
        <v>1397</v>
      </c>
      <c r="G52" s="6" t="s">
        <v>1441</v>
      </c>
      <c r="H52" s="6" t="s">
        <v>1425</v>
      </c>
      <c r="I52" s="6" t="s">
        <v>124</v>
      </c>
      <c r="J52" s="6" t="s">
        <v>1390</v>
      </c>
    </row>
    <row r="53" spans="1:10">
      <c r="A53" s="6" t="s">
        <v>42</v>
      </c>
      <c r="B53" s="6" t="s">
        <v>440</v>
      </c>
      <c r="C53" s="6" t="s">
        <v>1458</v>
      </c>
      <c r="D53" s="10" t="s">
        <v>1493</v>
      </c>
      <c r="E53" s="6" t="s">
        <v>1494</v>
      </c>
      <c r="F53" s="6" t="s">
        <v>1397</v>
      </c>
      <c r="G53" s="6" t="s">
        <v>1441</v>
      </c>
      <c r="H53" s="6" t="s">
        <v>1425</v>
      </c>
      <c r="I53" s="6" t="s">
        <v>124</v>
      </c>
      <c r="J53" s="6" t="s">
        <v>1390</v>
      </c>
    </row>
    <row r="54" spans="1:10">
      <c r="A54" s="6" t="s">
        <v>42</v>
      </c>
      <c r="B54" s="6" t="s">
        <v>440</v>
      </c>
      <c r="C54" s="6" t="s">
        <v>1458</v>
      </c>
      <c r="D54" s="10" t="s">
        <v>1495</v>
      </c>
      <c r="E54" s="6" t="s">
        <v>1460</v>
      </c>
      <c r="F54" s="6" t="s">
        <v>1397</v>
      </c>
      <c r="G54" s="6" t="s">
        <v>1441</v>
      </c>
      <c r="H54" s="6" t="s">
        <v>1425</v>
      </c>
      <c r="I54" s="6" t="s">
        <v>124</v>
      </c>
      <c r="J54" s="6" t="s">
        <v>1390</v>
      </c>
    </row>
    <row r="55" spans="1:10">
      <c r="A55" s="6" t="s">
        <v>42</v>
      </c>
      <c r="B55" s="6" t="s">
        <v>440</v>
      </c>
      <c r="C55" s="6" t="s">
        <v>217</v>
      </c>
      <c r="D55" s="10" t="s">
        <v>1496</v>
      </c>
      <c r="E55" s="6" t="s">
        <v>1497</v>
      </c>
      <c r="F55" s="6" t="s">
        <v>1397</v>
      </c>
      <c r="G55" s="6" t="s">
        <v>973</v>
      </c>
      <c r="H55" s="6" t="s">
        <v>1425</v>
      </c>
      <c r="I55" s="6" t="s">
        <v>124</v>
      </c>
      <c r="J55" s="6" t="s">
        <v>1390</v>
      </c>
    </row>
    <row r="56" spans="1:10">
      <c r="A56" s="6" t="s">
        <v>42</v>
      </c>
      <c r="B56" s="6" t="s">
        <v>440</v>
      </c>
      <c r="C56" s="6" t="s">
        <v>217</v>
      </c>
      <c r="D56" s="10" t="s">
        <v>973</v>
      </c>
      <c r="E56" s="6" t="s">
        <v>1498</v>
      </c>
      <c r="F56" s="6" t="s">
        <v>1397</v>
      </c>
      <c r="G56" s="6" t="s">
        <v>875</v>
      </c>
      <c r="H56" s="6" t="s">
        <v>1389</v>
      </c>
      <c r="I56" s="6" t="s">
        <v>715</v>
      </c>
      <c r="J56" s="6" t="s">
        <v>1390</v>
      </c>
    </row>
    <row r="57" spans="1:10">
      <c r="A57" s="6" t="s">
        <v>42</v>
      </c>
      <c r="B57" s="6" t="s">
        <v>440</v>
      </c>
      <c r="C57" s="6" t="s">
        <v>1499</v>
      </c>
      <c r="D57" s="10" t="s">
        <v>1500</v>
      </c>
      <c r="E57" s="6" t="s">
        <v>1501</v>
      </c>
      <c r="F57" s="6" t="s">
        <v>1397</v>
      </c>
      <c r="G57" s="6" t="s">
        <v>1441</v>
      </c>
      <c r="H57" s="6" t="s">
        <v>1425</v>
      </c>
      <c r="I57" s="6" t="s">
        <v>124</v>
      </c>
      <c r="J57" s="6" t="s">
        <v>1390</v>
      </c>
    </row>
    <row r="58" spans="1:10">
      <c r="A58" s="6" t="s">
        <v>42</v>
      </c>
      <c r="B58" s="6" t="s">
        <v>440</v>
      </c>
      <c r="C58" s="6" t="s">
        <v>1499</v>
      </c>
      <c r="D58" s="10" t="s">
        <v>1502</v>
      </c>
      <c r="E58" s="6" t="s">
        <v>1503</v>
      </c>
      <c r="F58" s="6" t="s">
        <v>1397</v>
      </c>
      <c r="G58" s="6" t="s">
        <v>1441</v>
      </c>
      <c r="H58" s="6" t="s">
        <v>1425</v>
      </c>
      <c r="I58" s="6" t="s">
        <v>124</v>
      </c>
      <c r="J58" s="6" t="s">
        <v>1390</v>
      </c>
    </row>
    <row r="59" spans="1:10">
      <c r="A59" s="6" t="s">
        <v>42</v>
      </c>
      <c r="B59" s="6" t="s">
        <v>440</v>
      </c>
      <c r="C59" s="6" t="s">
        <v>1499</v>
      </c>
      <c r="D59" s="10" t="s">
        <v>1504</v>
      </c>
      <c r="E59" s="6" t="s">
        <v>1505</v>
      </c>
      <c r="F59" s="6" t="s">
        <v>1397</v>
      </c>
      <c r="G59" s="6" t="s">
        <v>1441</v>
      </c>
      <c r="H59" s="6" t="s">
        <v>1425</v>
      </c>
      <c r="I59" s="6" t="s">
        <v>124</v>
      </c>
      <c r="J59" s="6" t="s">
        <v>1390</v>
      </c>
    </row>
    <row r="60" spans="1:10">
      <c r="A60" s="6" t="s">
        <v>42</v>
      </c>
      <c r="B60" s="6" t="s">
        <v>440</v>
      </c>
      <c r="C60" s="6" t="s">
        <v>1499</v>
      </c>
      <c r="D60" s="10" t="s">
        <v>1506</v>
      </c>
      <c r="E60" s="6" t="s">
        <v>1507</v>
      </c>
      <c r="F60" s="6" t="s">
        <v>1397</v>
      </c>
      <c r="G60" s="6" t="s">
        <v>1441</v>
      </c>
      <c r="H60" s="6" t="s">
        <v>1425</v>
      </c>
      <c r="I60" s="6" t="s">
        <v>124</v>
      </c>
      <c r="J60" s="6" t="s">
        <v>1390</v>
      </c>
    </row>
    <row r="61" spans="1:10">
      <c r="A61" s="6" t="s">
        <v>42</v>
      </c>
      <c r="B61" s="6" t="s">
        <v>440</v>
      </c>
      <c r="C61" s="6" t="s">
        <v>212</v>
      </c>
      <c r="D61" s="10" t="s">
        <v>1508</v>
      </c>
      <c r="E61" s="6" t="s">
        <v>1509</v>
      </c>
      <c r="F61" s="6" t="s">
        <v>1388</v>
      </c>
      <c r="G61" s="6" t="s">
        <v>1510</v>
      </c>
      <c r="H61" s="6" t="s">
        <v>1425</v>
      </c>
      <c r="I61" s="6" t="s">
        <v>124</v>
      </c>
      <c r="J61" s="6" t="s">
        <v>1390</v>
      </c>
    </row>
    <row r="62" spans="1:10">
      <c r="A62" s="6" t="s">
        <v>42</v>
      </c>
      <c r="B62" s="6" t="s">
        <v>440</v>
      </c>
      <c r="C62" s="6" t="s">
        <v>212</v>
      </c>
      <c r="D62" s="10" t="s">
        <v>1511</v>
      </c>
      <c r="E62" s="6" t="s">
        <v>1509</v>
      </c>
      <c r="F62" s="6" t="s">
        <v>1388</v>
      </c>
      <c r="G62" s="6" t="s">
        <v>1510</v>
      </c>
      <c r="H62" s="6" t="s">
        <v>1425</v>
      </c>
      <c r="I62" s="6" t="s">
        <v>124</v>
      </c>
      <c r="J62" s="6" t="s">
        <v>1390</v>
      </c>
    </row>
    <row r="63" spans="1:10">
      <c r="A63" s="6" t="s">
        <v>42</v>
      </c>
      <c r="B63" s="6" t="s">
        <v>440</v>
      </c>
      <c r="C63" s="6" t="s">
        <v>212</v>
      </c>
      <c r="D63" s="10" t="s">
        <v>1512</v>
      </c>
      <c r="E63" s="6" t="s">
        <v>1509</v>
      </c>
      <c r="F63" s="6" t="s">
        <v>1388</v>
      </c>
      <c r="G63" s="6" t="s">
        <v>1510</v>
      </c>
      <c r="H63" s="6" t="s">
        <v>1425</v>
      </c>
      <c r="I63" s="6" t="s">
        <v>124</v>
      </c>
      <c r="J63" s="6" t="s">
        <v>1390</v>
      </c>
    </row>
    <row r="64" spans="1:10">
      <c r="A64" s="6" t="s">
        <v>42</v>
      </c>
      <c r="B64" s="6" t="s">
        <v>440</v>
      </c>
      <c r="C64" s="6" t="s">
        <v>212</v>
      </c>
      <c r="D64" s="10" t="s">
        <v>1513</v>
      </c>
      <c r="E64" s="6" t="s">
        <v>1509</v>
      </c>
      <c r="F64" s="6" t="s">
        <v>1388</v>
      </c>
      <c r="G64" s="6" t="s">
        <v>1510</v>
      </c>
      <c r="H64" s="6" t="s">
        <v>1425</v>
      </c>
      <c r="I64" s="6" t="s">
        <v>124</v>
      </c>
      <c r="J64" s="6" t="s">
        <v>1390</v>
      </c>
    </row>
    <row r="65" spans="1:10">
      <c r="A65" s="6" t="s">
        <v>42</v>
      </c>
      <c r="B65" s="6" t="s">
        <v>440</v>
      </c>
      <c r="C65" s="6" t="s">
        <v>212</v>
      </c>
      <c r="D65" s="10" t="s">
        <v>1514</v>
      </c>
      <c r="E65" s="6" t="s">
        <v>1509</v>
      </c>
      <c r="F65" s="6" t="s">
        <v>1388</v>
      </c>
      <c r="G65" s="6" t="s">
        <v>1510</v>
      </c>
      <c r="H65" s="6" t="s">
        <v>1425</v>
      </c>
      <c r="I65" s="6" t="s">
        <v>124</v>
      </c>
      <c r="J65" s="6" t="s">
        <v>1390</v>
      </c>
    </row>
    <row r="66" spans="1:10">
      <c r="A66" s="6" t="s">
        <v>42</v>
      </c>
      <c r="B66" s="6" t="s">
        <v>440</v>
      </c>
      <c r="C66" s="6" t="s">
        <v>212</v>
      </c>
      <c r="D66" s="10" t="s">
        <v>1515</v>
      </c>
      <c r="E66" s="6" t="s">
        <v>1509</v>
      </c>
      <c r="F66" s="6" t="s">
        <v>1388</v>
      </c>
      <c r="G66" s="6" t="s">
        <v>1510</v>
      </c>
      <c r="H66" s="6" t="s">
        <v>1425</v>
      </c>
      <c r="I66" s="6" t="s">
        <v>124</v>
      </c>
      <c r="J66" s="6" t="s">
        <v>1390</v>
      </c>
    </row>
    <row r="67" spans="1:10">
      <c r="A67" s="6" t="s">
        <v>42</v>
      </c>
      <c r="B67" s="6" t="s">
        <v>440</v>
      </c>
      <c r="C67" s="6" t="s">
        <v>212</v>
      </c>
      <c r="D67" s="10" t="s">
        <v>1516</v>
      </c>
      <c r="E67" s="6" t="s">
        <v>1509</v>
      </c>
      <c r="F67" s="6" t="s">
        <v>1388</v>
      </c>
      <c r="G67" s="6" t="s">
        <v>1510</v>
      </c>
      <c r="H67" s="6" t="s">
        <v>1425</v>
      </c>
      <c r="I67" s="6" t="s">
        <v>124</v>
      </c>
      <c r="J67" s="6" t="s">
        <v>1390</v>
      </c>
    </row>
    <row r="68" spans="1:10">
      <c r="A68" s="6" t="s">
        <v>42</v>
      </c>
      <c r="B68" s="6" t="s">
        <v>440</v>
      </c>
      <c r="C68" s="6" t="s">
        <v>212</v>
      </c>
      <c r="D68" s="10" t="s">
        <v>1517</v>
      </c>
      <c r="E68" s="6" t="s">
        <v>1509</v>
      </c>
      <c r="F68" s="6" t="s">
        <v>1388</v>
      </c>
      <c r="G68" s="6" t="s">
        <v>1510</v>
      </c>
      <c r="H68" s="6" t="s">
        <v>1425</v>
      </c>
      <c r="I68" s="6" t="s">
        <v>124</v>
      </c>
      <c r="J68" s="6" t="s">
        <v>1390</v>
      </c>
    </row>
    <row r="69" spans="1:10">
      <c r="A69" s="6" t="s">
        <v>42</v>
      </c>
      <c r="B69" s="6" t="s">
        <v>440</v>
      </c>
      <c r="C69" s="6" t="s">
        <v>212</v>
      </c>
      <c r="D69" s="10" t="s">
        <v>1518</v>
      </c>
      <c r="E69" s="6" t="s">
        <v>1509</v>
      </c>
      <c r="F69" s="6" t="s">
        <v>1388</v>
      </c>
      <c r="G69" s="6" t="s">
        <v>1510</v>
      </c>
      <c r="H69" s="6" t="s">
        <v>1425</v>
      </c>
      <c r="I69" s="6" t="s">
        <v>124</v>
      </c>
      <c r="J69" s="6" t="s">
        <v>1390</v>
      </c>
    </row>
    <row r="70" spans="1:10">
      <c r="A70" s="6" t="s">
        <v>42</v>
      </c>
      <c r="B70" s="6" t="s">
        <v>440</v>
      </c>
      <c r="C70" s="6" t="s">
        <v>212</v>
      </c>
      <c r="D70" s="10" t="s">
        <v>1519</v>
      </c>
      <c r="E70" s="6" t="s">
        <v>1509</v>
      </c>
      <c r="F70" s="6" t="s">
        <v>1388</v>
      </c>
      <c r="G70" s="6" t="s">
        <v>1510</v>
      </c>
      <c r="H70" s="6" t="s">
        <v>1425</v>
      </c>
      <c r="I70" s="6" t="s">
        <v>124</v>
      </c>
      <c r="J70" s="6" t="s">
        <v>1390</v>
      </c>
    </row>
    <row r="71" spans="1:10">
      <c r="A71" s="6" t="s">
        <v>42</v>
      </c>
      <c r="B71" s="6" t="s">
        <v>440</v>
      </c>
      <c r="C71" s="6" t="s">
        <v>212</v>
      </c>
      <c r="D71" s="10" t="s">
        <v>1520</v>
      </c>
      <c r="E71" s="6" t="s">
        <v>1509</v>
      </c>
      <c r="F71" s="6" t="s">
        <v>1388</v>
      </c>
      <c r="G71" s="6" t="s">
        <v>1510</v>
      </c>
      <c r="H71" s="6" t="s">
        <v>1425</v>
      </c>
      <c r="I71" s="6" t="s">
        <v>124</v>
      </c>
      <c r="J71" s="6" t="s">
        <v>1390</v>
      </c>
    </row>
    <row r="72" spans="1:10">
      <c r="A72" s="6" t="s">
        <v>42</v>
      </c>
      <c r="B72" s="6" t="s">
        <v>440</v>
      </c>
      <c r="C72" s="6" t="s">
        <v>212</v>
      </c>
      <c r="D72" s="10" t="s">
        <v>1521</v>
      </c>
      <c r="E72" s="6" t="s">
        <v>1509</v>
      </c>
      <c r="F72" s="6" t="s">
        <v>1388</v>
      </c>
      <c r="G72" s="6" t="s">
        <v>1510</v>
      </c>
      <c r="H72" s="6" t="s">
        <v>1425</v>
      </c>
      <c r="I72" s="6" t="s">
        <v>124</v>
      </c>
      <c r="J72" s="6" t="s">
        <v>1390</v>
      </c>
    </row>
    <row r="73" spans="1:10">
      <c r="A73" s="6" t="s">
        <v>42</v>
      </c>
      <c r="B73" s="6" t="s">
        <v>440</v>
      </c>
      <c r="C73" s="6" t="s">
        <v>212</v>
      </c>
      <c r="D73" s="10" t="s">
        <v>1522</v>
      </c>
      <c r="E73" s="6" t="s">
        <v>1509</v>
      </c>
      <c r="F73" s="6" t="s">
        <v>1388</v>
      </c>
      <c r="G73" s="6" t="s">
        <v>1510</v>
      </c>
      <c r="H73" s="6" t="s">
        <v>1425</v>
      </c>
      <c r="I73" s="6" t="s">
        <v>124</v>
      </c>
      <c r="J73" s="6" t="s">
        <v>1390</v>
      </c>
    </row>
    <row r="74" spans="1:10">
      <c r="A74" s="6" t="s">
        <v>42</v>
      </c>
      <c r="B74" s="6" t="s">
        <v>440</v>
      </c>
      <c r="C74" s="6" t="s">
        <v>212</v>
      </c>
      <c r="D74" s="10" t="s">
        <v>1523</v>
      </c>
      <c r="E74" s="6" t="s">
        <v>1509</v>
      </c>
      <c r="F74" s="6" t="s">
        <v>1388</v>
      </c>
      <c r="G74" s="6" t="s">
        <v>1510</v>
      </c>
      <c r="H74" s="6" t="s">
        <v>1425</v>
      </c>
      <c r="I74" s="6" t="s">
        <v>124</v>
      </c>
      <c r="J74" s="6" t="s">
        <v>1390</v>
      </c>
    </row>
    <row r="75" spans="1:10">
      <c r="A75" s="6" t="s">
        <v>42</v>
      </c>
      <c r="B75" s="6" t="s">
        <v>440</v>
      </c>
      <c r="C75" s="6" t="s">
        <v>212</v>
      </c>
      <c r="D75" s="10" t="s">
        <v>1524</v>
      </c>
      <c r="E75" s="6" t="s">
        <v>1509</v>
      </c>
      <c r="F75" s="6" t="s">
        <v>1388</v>
      </c>
      <c r="G75" s="6" t="s">
        <v>1510</v>
      </c>
      <c r="H75" s="6" t="s">
        <v>1425</v>
      </c>
      <c r="I75" s="6" t="s">
        <v>124</v>
      </c>
      <c r="J75" s="6" t="s">
        <v>1390</v>
      </c>
    </row>
    <row r="76" spans="1:10">
      <c r="A76" s="6" t="s">
        <v>42</v>
      </c>
      <c r="B76" s="6" t="s">
        <v>440</v>
      </c>
      <c r="C76" s="6" t="s">
        <v>212</v>
      </c>
      <c r="D76" s="10" t="s">
        <v>1525</v>
      </c>
      <c r="E76" s="6" t="s">
        <v>1509</v>
      </c>
      <c r="F76" s="6" t="s">
        <v>1388</v>
      </c>
      <c r="G76" s="6" t="s">
        <v>1510</v>
      </c>
      <c r="H76" s="6" t="s">
        <v>1425</v>
      </c>
      <c r="I76" s="6" t="s">
        <v>124</v>
      </c>
      <c r="J76" s="6" t="s">
        <v>1390</v>
      </c>
    </row>
    <row r="77" spans="1:10">
      <c r="A77" s="6" t="s">
        <v>42</v>
      </c>
      <c r="B77" s="6" t="s">
        <v>440</v>
      </c>
      <c r="C77" s="6" t="s">
        <v>212</v>
      </c>
      <c r="D77" s="10" t="s">
        <v>1526</v>
      </c>
      <c r="E77" s="6" t="s">
        <v>1509</v>
      </c>
      <c r="F77" s="6" t="s">
        <v>1388</v>
      </c>
      <c r="G77" s="6" t="s">
        <v>1510</v>
      </c>
      <c r="H77" s="6" t="s">
        <v>1425</v>
      </c>
      <c r="I77" s="6" t="s">
        <v>124</v>
      </c>
      <c r="J77" s="6" t="s">
        <v>1390</v>
      </c>
    </row>
    <row r="78" spans="1:10">
      <c r="A78" s="6" t="s">
        <v>42</v>
      </c>
      <c r="B78" s="6" t="s">
        <v>440</v>
      </c>
      <c r="C78" s="6" t="s">
        <v>212</v>
      </c>
      <c r="D78" s="10" t="s">
        <v>1527</v>
      </c>
      <c r="E78" s="6" t="s">
        <v>1509</v>
      </c>
      <c r="F78" s="6" t="s">
        <v>1388</v>
      </c>
      <c r="G78" s="6" t="s">
        <v>1510</v>
      </c>
      <c r="H78" s="6" t="s">
        <v>1425</v>
      </c>
      <c r="I78" s="6" t="s">
        <v>124</v>
      </c>
      <c r="J78" s="6" t="s">
        <v>1390</v>
      </c>
    </row>
    <row r="79" spans="1:10">
      <c r="A79" s="6" t="s">
        <v>42</v>
      </c>
      <c r="B79" s="6" t="s">
        <v>440</v>
      </c>
      <c r="C79" s="6" t="s">
        <v>212</v>
      </c>
      <c r="D79" s="10" t="s">
        <v>1528</v>
      </c>
      <c r="E79" s="6" t="s">
        <v>1529</v>
      </c>
      <c r="F79" s="6" t="s">
        <v>1397</v>
      </c>
      <c r="G79" s="6" t="s">
        <v>1409</v>
      </c>
      <c r="H79" s="6" t="s">
        <v>1389</v>
      </c>
      <c r="I79" s="6" t="s">
        <v>124</v>
      </c>
      <c r="J79" s="6" t="s">
        <v>1390</v>
      </c>
    </row>
    <row r="80" spans="1:10">
      <c r="A80" s="6" t="s">
        <v>42</v>
      </c>
      <c r="B80" s="6" t="s">
        <v>440</v>
      </c>
      <c r="C80" s="6" t="s">
        <v>212</v>
      </c>
      <c r="D80" s="10" t="s">
        <v>1530</v>
      </c>
      <c r="E80" s="6" t="s">
        <v>1531</v>
      </c>
      <c r="F80" s="6" t="s">
        <v>1397</v>
      </c>
      <c r="G80" s="6" t="s">
        <v>1409</v>
      </c>
      <c r="H80" s="6" t="s">
        <v>1389</v>
      </c>
      <c r="I80" s="6" t="s">
        <v>124</v>
      </c>
      <c r="J80" s="6" t="s">
        <v>1390</v>
      </c>
    </row>
    <row r="81" spans="1:10">
      <c r="A81" s="6" t="s">
        <v>42</v>
      </c>
      <c r="B81" s="6" t="s">
        <v>440</v>
      </c>
      <c r="C81" s="6" t="s">
        <v>212</v>
      </c>
      <c r="D81" s="10" t="s">
        <v>1532</v>
      </c>
      <c r="E81" s="6" t="s">
        <v>1533</v>
      </c>
      <c r="F81" s="6" t="s">
        <v>1397</v>
      </c>
      <c r="G81" s="6" t="s">
        <v>900</v>
      </c>
      <c r="H81" s="6" t="s">
        <v>1389</v>
      </c>
      <c r="I81" s="6" t="s">
        <v>124</v>
      </c>
      <c r="J81" s="6" t="s">
        <v>1390</v>
      </c>
    </row>
    <row r="82" spans="1:10">
      <c r="A82" s="6" t="s">
        <v>42</v>
      </c>
      <c r="B82" s="6" t="s">
        <v>440</v>
      </c>
      <c r="C82" s="6" t="s">
        <v>212</v>
      </c>
      <c r="D82" s="10" t="s">
        <v>1534</v>
      </c>
      <c r="E82" s="6" t="s">
        <v>1535</v>
      </c>
      <c r="F82" s="6" t="s">
        <v>1397</v>
      </c>
      <c r="G82" s="6" t="s">
        <v>1441</v>
      </c>
      <c r="H82" s="6" t="s">
        <v>1425</v>
      </c>
      <c r="I82" s="6" t="s">
        <v>124</v>
      </c>
      <c r="J82" s="6" t="s">
        <v>1390</v>
      </c>
    </row>
    <row r="83" spans="1:10">
      <c r="A83" s="6" t="s">
        <v>42</v>
      </c>
      <c r="B83" s="6" t="s">
        <v>440</v>
      </c>
      <c r="C83" s="6" t="s">
        <v>212</v>
      </c>
      <c r="D83" s="10" t="s">
        <v>1536</v>
      </c>
      <c r="E83" s="6" t="s">
        <v>1537</v>
      </c>
      <c r="F83" s="6" t="s">
        <v>1397</v>
      </c>
      <c r="G83" s="6" t="s">
        <v>1441</v>
      </c>
      <c r="H83" s="6" t="s">
        <v>1425</v>
      </c>
      <c r="I83" s="6" t="s">
        <v>124</v>
      </c>
      <c r="J83" s="6" t="s">
        <v>1390</v>
      </c>
    </row>
    <row r="84" spans="1:10">
      <c r="A84" s="6" t="s">
        <v>42</v>
      </c>
      <c r="B84" s="6" t="s">
        <v>440</v>
      </c>
      <c r="C84" s="6" t="s">
        <v>212</v>
      </c>
      <c r="D84" s="10" t="s">
        <v>1538</v>
      </c>
      <c r="E84" s="6" t="s">
        <v>1539</v>
      </c>
      <c r="F84" s="6" t="s">
        <v>1397</v>
      </c>
      <c r="G84" s="6" t="s">
        <v>1441</v>
      </c>
      <c r="H84" s="6" t="s">
        <v>1425</v>
      </c>
      <c r="I84" s="6" t="s">
        <v>124</v>
      </c>
      <c r="J84" s="6" t="s">
        <v>1390</v>
      </c>
    </row>
    <row r="85" spans="1:10">
      <c r="A85" s="6" t="s">
        <v>42</v>
      </c>
      <c r="B85" s="6" t="s">
        <v>440</v>
      </c>
      <c r="C85" s="6" t="s">
        <v>212</v>
      </c>
      <c r="D85" s="10" t="s">
        <v>1540</v>
      </c>
      <c r="E85" s="6" t="s">
        <v>1541</v>
      </c>
      <c r="F85" s="6" t="s">
        <v>1397</v>
      </c>
      <c r="G85" s="6" t="s">
        <v>1441</v>
      </c>
      <c r="H85" s="6" t="s">
        <v>1425</v>
      </c>
      <c r="I85" s="6" t="s">
        <v>124</v>
      </c>
      <c r="J85" s="6" t="s">
        <v>1390</v>
      </c>
    </row>
    <row r="86" spans="1:10">
      <c r="A86" s="6" t="s">
        <v>42</v>
      </c>
      <c r="B86" s="6" t="s">
        <v>440</v>
      </c>
      <c r="C86" s="6" t="s">
        <v>212</v>
      </c>
      <c r="D86" s="10" t="s">
        <v>1542</v>
      </c>
      <c r="E86" s="6" t="s">
        <v>1543</v>
      </c>
      <c r="F86" s="6" t="s">
        <v>1397</v>
      </c>
      <c r="G86" s="6" t="s">
        <v>1441</v>
      </c>
      <c r="H86" s="6" t="s">
        <v>1425</v>
      </c>
      <c r="I86" s="6" t="s">
        <v>124</v>
      </c>
      <c r="J86" s="6" t="s">
        <v>1390</v>
      </c>
    </row>
    <row r="87" spans="1:10">
      <c r="A87" s="6" t="s">
        <v>42</v>
      </c>
      <c r="B87" s="6" t="s">
        <v>440</v>
      </c>
      <c r="C87" s="6" t="s">
        <v>212</v>
      </c>
      <c r="D87" s="10" t="s">
        <v>1544</v>
      </c>
      <c r="E87" s="6" t="s">
        <v>1545</v>
      </c>
      <c r="F87" s="6" t="s">
        <v>1397</v>
      </c>
      <c r="G87" s="6" t="s">
        <v>1441</v>
      </c>
      <c r="H87" s="6" t="s">
        <v>1425</v>
      </c>
      <c r="I87" s="6" t="s">
        <v>124</v>
      </c>
      <c r="J87" s="6" t="s">
        <v>1390</v>
      </c>
    </row>
    <row r="88" spans="1:10">
      <c r="A88" s="6" t="s">
        <v>42</v>
      </c>
      <c r="B88" s="6" t="s">
        <v>440</v>
      </c>
      <c r="C88" s="6" t="s">
        <v>212</v>
      </c>
      <c r="D88" s="10" t="s">
        <v>1546</v>
      </c>
      <c r="E88" s="6" t="s">
        <v>1547</v>
      </c>
      <c r="F88" s="6" t="s">
        <v>1397</v>
      </c>
      <c r="G88" s="6" t="s">
        <v>1441</v>
      </c>
      <c r="H88" s="6" t="s">
        <v>1425</v>
      </c>
      <c r="I88" s="6" t="s">
        <v>124</v>
      </c>
      <c r="J88" s="6" t="s">
        <v>1390</v>
      </c>
    </row>
    <row r="89" spans="1:10">
      <c r="A89" s="6" t="s">
        <v>42</v>
      </c>
      <c r="B89" s="6" t="s">
        <v>440</v>
      </c>
      <c r="C89" s="6" t="s">
        <v>212</v>
      </c>
      <c r="D89" s="10" t="s">
        <v>1548</v>
      </c>
      <c r="E89" s="6" t="s">
        <v>1549</v>
      </c>
      <c r="F89" s="6" t="s">
        <v>1397</v>
      </c>
      <c r="G89" s="6" t="s">
        <v>1441</v>
      </c>
      <c r="H89" s="6" t="s">
        <v>1425</v>
      </c>
      <c r="I89" s="6" t="s">
        <v>124</v>
      </c>
      <c r="J89" s="6" t="s">
        <v>1390</v>
      </c>
    </row>
    <row r="90" spans="1:10">
      <c r="A90" s="6" t="s">
        <v>42</v>
      </c>
      <c r="B90" s="6" t="s">
        <v>440</v>
      </c>
      <c r="C90" s="6" t="s">
        <v>212</v>
      </c>
      <c r="D90" s="10" t="s">
        <v>1550</v>
      </c>
      <c r="E90" s="6" t="s">
        <v>1551</v>
      </c>
      <c r="F90" s="6" t="s">
        <v>1397</v>
      </c>
      <c r="G90" s="6" t="s">
        <v>1441</v>
      </c>
      <c r="H90" s="6" t="s">
        <v>1425</v>
      </c>
      <c r="I90" s="6" t="s">
        <v>124</v>
      </c>
      <c r="J90" s="6" t="s">
        <v>1390</v>
      </c>
    </row>
    <row r="91" spans="1:10">
      <c r="A91" s="6" t="s">
        <v>42</v>
      </c>
      <c r="B91" s="6" t="s">
        <v>440</v>
      </c>
      <c r="C91" s="6" t="s">
        <v>212</v>
      </c>
      <c r="D91" s="10" t="s">
        <v>1552</v>
      </c>
      <c r="E91" s="6" t="s">
        <v>1553</v>
      </c>
      <c r="F91" s="6" t="s">
        <v>1397</v>
      </c>
      <c r="G91" s="6" t="s">
        <v>1441</v>
      </c>
      <c r="H91" s="6" t="s">
        <v>1425</v>
      </c>
      <c r="I91" s="6" t="s">
        <v>124</v>
      </c>
      <c r="J91" s="6" t="s">
        <v>1390</v>
      </c>
    </row>
    <row r="92" spans="1:10">
      <c r="A92" s="6" t="s">
        <v>42</v>
      </c>
      <c r="B92" s="6" t="s">
        <v>440</v>
      </c>
      <c r="C92" s="6" t="s">
        <v>212</v>
      </c>
      <c r="D92" s="10" t="s">
        <v>1554</v>
      </c>
      <c r="E92" s="6" t="s">
        <v>1555</v>
      </c>
      <c r="F92" s="6" t="s">
        <v>1397</v>
      </c>
      <c r="G92" s="6" t="s">
        <v>1441</v>
      </c>
      <c r="H92" s="6" t="s">
        <v>1425</v>
      </c>
      <c r="I92" s="6" t="s">
        <v>124</v>
      </c>
      <c r="J92" s="6" t="s">
        <v>1390</v>
      </c>
    </row>
    <row r="93" spans="1:10">
      <c r="A93" s="6" t="s">
        <v>42</v>
      </c>
      <c r="B93" s="6" t="s">
        <v>440</v>
      </c>
      <c r="C93" s="6" t="s">
        <v>212</v>
      </c>
      <c r="D93" s="10" t="s">
        <v>1556</v>
      </c>
      <c r="E93" s="6" t="s">
        <v>1557</v>
      </c>
      <c r="F93" s="6" t="s">
        <v>1397</v>
      </c>
      <c r="G93" s="6" t="s">
        <v>1441</v>
      </c>
      <c r="H93" s="6" t="s">
        <v>1425</v>
      </c>
      <c r="I93" s="6" t="s">
        <v>124</v>
      </c>
      <c r="J93" s="6" t="s">
        <v>1390</v>
      </c>
    </row>
    <row r="94" spans="1:10">
      <c r="A94" s="6" t="s">
        <v>42</v>
      </c>
      <c r="B94" s="6" t="s">
        <v>440</v>
      </c>
      <c r="C94" s="6" t="s">
        <v>212</v>
      </c>
      <c r="D94" s="10" t="s">
        <v>1558</v>
      </c>
      <c r="E94" s="6" t="s">
        <v>1559</v>
      </c>
      <c r="F94" s="6" t="s">
        <v>1397</v>
      </c>
      <c r="G94" s="6" t="s">
        <v>1441</v>
      </c>
      <c r="H94" s="6" t="s">
        <v>1425</v>
      </c>
      <c r="I94" s="6" t="s">
        <v>124</v>
      </c>
      <c r="J94" s="6" t="s">
        <v>1390</v>
      </c>
    </row>
    <row r="95" spans="1:10">
      <c r="A95" s="6" t="s">
        <v>42</v>
      </c>
      <c r="B95" s="6" t="s">
        <v>440</v>
      </c>
      <c r="C95" s="6" t="s">
        <v>212</v>
      </c>
      <c r="D95" s="10" t="s">
        <v>1560</v>
      </c>
      <c r="E95" s="6" t="s">
        <v>1561</v>
      </c>
      <c r="F95" s="6" t="s">
        <v>1397</v>
      </c>
      <c r="G95" s="6" t="s">
        <v>1441</v>
      </c>
      <c r="H95" s="6" t="s">
        <v>1425</v>
      </c>
      <c r="I95" s="6" t="s">
        <v>124</v>
      </c>
      <c r="J95" s="6" t="s">
        <v>1390</v>
      </c>
    </row>
    <row r="96" spans="1:10">
      <c r="A96" s="6" t="s">
        <v>42</v>
      </c>
      <c r="B96" s="6" t="s">
        <v>440</v>
      </c>
      <c r="C96" s="6" t="s">
        <v>212</v>
      </c>
      <c r="D96" s="10" t="s">
        <v>1562</v>
      </c>
      <c r="E96" s="6" t="s">
        <v>1563</v>
      </c>
      <c r="F96" s="6" t="s">
        <v>1397</v>
      </c>
      <c r="G96" s="6" t="s">
        <v>1441</v>
      </c>
      <c r="H96" s="6" t="s">
        <v>1425</v>
      </c>
      <c r="I96" s="6" t="s">
        <v>124</v>
      </c>
      <c r="J96" s="6" t="s">
        <v>1390</v>
      </c>
    </row>
    <row r="97" spans="1:10">
      <c r="A97" s="6" t="s">
        <v>42</v>
      </c>
      <c r="B97" s="6" t="s">
        <v>440</v>
      </c>
      <c r="C97" s="6" t="s">
        <v>212</v>
      </c>
      <c r="D97" s="10" t="s">
        <v>1564</v>
      </c>
      <c r="E97" s="6" t="s">
        <v>1565</v>
      </c>
      <c r="F97" s="6" t="s">
        <v>1397</v>
      </c>
      <c r="G97" s="6" t="s">
        <v>1441</v>
      </c>
      <c r="H97" s="6" t="s">
        <v>1425</v>
      </c>
      <c r="I97" s="6" t="s">
        <v>124</v>
      </c>
      <c r="J97" s="6" t="s">
        <v>1390</v>
      </c>
    </row>
    <row r="98" spans="1:10">
      <c r="A98" s="6" t="s">
        <v>42</v>
      </c>
      <c r="B98" s="6" t="s">
        <v>440</v>
      </c>
      <c r="C98" s="6" t="s">
        <v>212</v>
      </c>
      <c r="D98" s="10" t="s">
        <v>1566</v>
      </c>
      <c r="E98" s="6" t="s">
        <v>1567</v>
      </c>
      <c r="F98" s="6" t="s">
        <v>1397</v>
      </c>
      <c r="G98" s="6" t="s">
        <v>1441</v>
      </c>
      <c r="H98" s="6" t="s">
        <v>1425</v>
      </c>
      <c r="I98" s="6" t="s">
        <v>124</v>
      </c>
      <c r="J98" s="6" t="s">
        <v>1390</v>
      </c>
    </row>
    <row r="99" spans="1:10">
      <c r="A99" s="6" t="s">
        <v>42</v>
      </c>
      <c r="B99" s="6" t="s">
        <v>440</v>
      </c>
      <c r="C99" s="6" t="s">
        <v>212</v>
      </c>
      <c r="D99" s="10" t="s">
        <v>1568</v>
      </c>
      <c r="E99" s="6" t="s">
        <v>1569</v>
      </c>
      <c r="F99" s="6" t="s">
        <v>1397</v>
      </c>
      <c r="G99" s="6" t="s">
        <v>1441</v>
      </c>
      <c r="H99" s="6" t="s">
        <v>1425</v>
      </c>
      <c r="I99" s="6" t="s">
        <v>124</v>
      </c>
      <c r="J99" s="6" t="s">
        <v>1390</v>
      </c>
    </row>
    <row r="100" spans="1:10">
      <c r="A100" s="6" t="s">
        <v>42</v>
      </c>
      <c r="B100" s="6" t="s">
        <v>440</v>
      </c>
      <c r="C100" s="6" t="s">
        <v>212</v>
      </c>
      <c r="D100" s="10" t="s">
        <v>1570</v>
      </c>
      <c r="E100" s="6" t="s">
        <v>1571</v>
      </c>
      <c r="F100" s="6" t="s">
        <v>1397</v>
      </c>
      <c r="G100" s="6" t="s">
        <v>1441</v>
      </c>
      <c r="H100" s="6" t="s">
        <v>1425</v>
      </c>
      <c r="I100" s="6" t="s">
        <v>124</v>
      </c>
      <c r="J100" s="6" t="s">
        <v>1390</v>
      </c>
    </row>
    <row r="101" spans="1:10">
      <c r="A101" s="6" t="s">
        <v>42</v>
      </c>
      <c r="B101" s="6" t="s">
        <v>440</v>
      </c>
      <c r="C101" s="6" t="s">
        <v>212</v>
      </c>
      <c r="D101" s="10" t="s">
        <v>1572</v>
      </c>
      <c r="E101" s="6" t="s">
        <v>1573</v>
      </c>
      <c r="F101" s="6" t="s">
        <v>1397</v>
      </c>
      <c r="G101" s="6" t="s">
        <v>1441</v>
      </c>
      <c r="H101" s="6" t="s">
        <v>1425</v>
      </c>
      <c r="I101" s="6" t="s">
        <v>124</v>
      </c>
      <c r="J101" s="6" t="s">
        <v>1390</v>
      </c>
    </row>
    <row r="102" spans="1:10">
      <c r="A102" s="6" t="s">
        <v>42</v>
      </c>
      <c r="B102" s="6" t="s">
        <v>440</v>
      </c>
      <c r="C102" s="6" t="s">
        <v>212</v>
      </c>
      <c r="D102" s="10" t="s">
        <v>1574</v>
      </c>
      <c r="E102" s="6" t="s">
        <v>1575</v>
      </c>
      <c r="F102" s="6" t="s">
        <v>1397</v>
      </c>
      <c r="G102" s="6" t="s">
        <v>1441</v>
      </c>
      <c r="H102" s="6" t="s">
        <v>1425</v>
      </c>
      <c r="I102" s="6" t="s">
        <v>124</v>
      </c>
      <c r="J102" s="6" t="s">
        <v>1390</v>
      </c>
    </row>
    <row r="103" spans="1:10">
      <c r="A103" s="6" t="s">
        <v>42</v>
      </c>
      <c r="B103" s="6" t="s">
        <v>440</v>
      </c>
      <c r="C103" s="6" t="s">
        <v>212</v>
      </c>
      <c r="D103" s="10" t="s">
        <v>1576</v>
      </c>
      <c r="E103" s="6" t="s">
        <v>1577</v>
      </c>
      <c r="F103" s="6" t="s">
        <v>1397</v>
      </c>
      <c r="G103" s="6" t="s">
        <v>1441</v>
      </c>
      <c r="H103" s="6" t="s">
        <v>1425</v>
      </c>
      <c r="I103" s="6" t="s">
        <v>124</v>
      </c>
      <c r="J103" s="6" t="s">
        <v>1390</v>
      </c>
    </row>
    <row r="104" spans="1:10">
      <c r="A104" s="6" t="s">
        <v>42</v>
      </c>
      <c r="B104" s="6" t="s">
        <v>440</v>
      </c>
      <c r="C104" s="6" t="s">
        <v>212</v>
      </c>
      <c r="D104" s="10" t="s">
        <v>1578</v>
      </c>
      <c r="E104" s="6" t="s">
        <v>1579</v>
      </c>
      <c r="F104" s="6" t="s">
        <v>1397</v>
      </c>
      <c r="G104" s="6" t="s">
        <v>1441</v>
      </c>
      <c r="H104" s="6" t="s">
        <v>1425</v>
      </c>
      <c r="I104" s="6" t="s">
        <v>124</v>
      </c>
      <c r="J104" s="6" t="s">
        <v>1390</v>
      </c>
    </row>
    <row r="105" spans="1:10">
      <c r="A105" s="6" t="s">
        <v>42</v>
      </c>
      <c r="B105" s="6" t="s">
        <v>440</v>
      </c>
      <c r="C105" s="6" t="s">
        <v>212</v>
      </c>
      <c r="D105" s="10" t="s">
        <v>1580</v>
      </c>
      <c r="E105" s="6" t="s">
        <v>1581</v>
      </c>
      <c r="F105" s="6" t="s">
        <v>1397</v>
      </c>
      <c r="G105" s="6" t="s">
        <v>1441</v>
      </c>
      <c r="H105" s="6" t="s">
        <v>1425</v>
      </c>
      <c r="I105" s="6" t="s">
        <v>124</v>
      </c>
      <c r="J105" s="6" t="s">
        <v>1390</v>
      </c>
    </row>
    <row r="106" spans="1:10">
      <c r="A106" s="6" t="s">
        <v>42</v>
      </c>
      <c r="B106" s="6" t="s">
        <v>440</v>
      </c>
      <c r="C106" s="6" t="s">
        <v>212</v>
      </c>
      <c r="D106" s="10" t="s">
        <v>1582</v>
      </c>
      <c r="E106" s="6" t="s">
        <v>1583</v>
      </c>
      <c r="F106" s="6" t="s">
        <v>1397</v>
      </c>
      <c r="G106" s="6" t="s">
        <v>1441</v>
      </c>
      <c r="H106" s="6" t="s">
        <v>1425</v>
      </c>
      <c r="I106" s="6" t="s">
        <v>124</v>
      </c>
      <c r="J106" s="6" t="s">
        <v>1390</v>
      </c>
    </row>
    <row r="107" spans="1:10">
      <c r="A107" s="6" t="s">
        <v>42</v>
      </c>
      <c r="B107" s="6" t="s">
        <v>440</v>
      </c>
      <c r="C107" s="6" t="s">
        <v>212</v>
      </c>
      <c r="D107" s="10" t="s">
        <v>1584</v>
      </c>
      <c r="E107" s="6" t="s">
        <v>1585</v>
      </c>
      <c r="F107" s="6" t="s">
        <v>1397</v>
      </c>
      <c r="G107" s="6" t="s">
        <v>1441</v>
      </c>
      <c r="H107" s="6" t="s">
        <v>1425</v>
      </c>
      <c r="I107" s="6" t="s">
        <v>124</v>
      </c>
      <c r="J107" s="6" t="s">
        <v>1390</v>
      </c>
    </row>
    <row r="108" spans="1:10">
      <c r="A108" s="6" t="s">
        <v>42</v>
      </c>
      <c r="B108" s="6" t="s">
        <v>440</v>
      </c>
      <c r="C108" s="6" t="s">
        <v>212</v>
      </c>
      <c r="D108" s="10" t="s">
        <v>1586</v>
      </c>
      <c r="E108" s="6" t="s">
        <v>1587</v>
      </c>
      <c r="F108" s="6" t="s">
        <v>1397</v>
      </c>
      <c r="G108" s="6" t="s">
        <v>1441</v>
      </c>
      <c r="H108" s="6" t="s">
        <v>1425</v>
      </c>
      <c r="I108" s="6" t="s">
        <v>124</v>
      </c>
      <c r="J108" s="6" t="s">
        <v>1390</v>
      </c>
    </row>
    <row r="109" spans="1:10">
      <c r="A109" s="6" t="s">
        <v>42</v>
      </c>
      <c r="B109" s="6" t="s">
        <v>440</v>
      </c>
      <c r="C109" s="6" t="s">
        <v>212</v>
      </c>
      <c r="D109" s="10" t="s">
        <v>1588</v>
      </c>
      <c r="E109" s="6" t="s">
        <v>1589</v>
      </c>
      <c r="F109" s="6" t="s">
        <v>1397</v>
      </c>
      <c r="G109" s="6" t="s">
        <v>1441</v>
      </c>
      <c r="H109" s="6" t="s">
        <v>1425</v>
      </c>
      <c r="I109" s="6" t="s">
        <v>124</v>
      </c>
      <c r="J109" s="6" t="s">
        <v>1390</v>
      </c>
    </row>
    <row r="110" spans="1:10">
      <c r="A110" s="6" t="s">
        <v>42</v>
      </c>
      <c r="B110" s="6" t="s">
        <v>440</v>
      </c>
      <c r="C110" s="6" t="s">
        <v>212</v>
      </c>
      <c r="D110" s="10" t="s">
        <v>1590</v>
      </c>
      <c r="E110" s="6" t="s">
        <v>1591</v>
      </c>
      <c r="F110" s="6" t="s">
        <v>1397</v>
      </c>
      <c r="G110" s="6" t="s">
        <v>1441</v>
      </c>
      <c r="H110" s="6" t="s">
        <v>1425</v>
      </c>
      <c r="I110" s="6" t="s">
        <v>124</v>
      </c>
      <c r="J110" s="6" t="s">
        <v>1390</v>
      </c>
    </row>
    <row r="111" spans="1:10">
      <c r="A111" s="6" t="s">
        <v>42</v>
      </c>
      <c r="B111" s="6" t="s">
        <v>440</v>
      </c>
      <c r="C111" s="6" t="s">
        <v>212</v>
      </c>
      <c r="D111" s="10" t="s">
        <v>1592</v>
      </c>
      <c r="E111" s="6" t="s">
        <v>1593</v>
      </c>
      <c r="F111" s="6" t="s">
        <v>1397</v>
      </c>
      <c r="G111" s="6" t="s">
        <v>1441</v>
      </c>
      <c r="H111" s="6" t="s">
        <v>1425</v>
      </c>
      <c r="I111" s="6" t="s">
        <v>124</v>
      </c>
      <c r="J111" s="6" t="s">
        <v>1390</v>
      </c>
    </row>
    <row r="112" spans="1:10">
      <c r="A112" s="6" t="s">
        <v>42</v>
      </c>
      <c r="B112" s="6" t="s">
        <v>440</v>
      </c>
      <c r="C112" s="6" t="s">
        <v>212</v>
      </c>
      <c r="D112" s="10" t="s">
        <v>1594</v>
      </c>
      <c r="E112" s="6" t="s">
        <v>1595</v>
      </c>
      <c r="F112" s="6" t="s">
        <v>1397</v>
      </c>
      <c r="G112" s="6" t="s">
        <v>1441</v>
      </c>
      <c r="H112" s="6" t="s">
        <v>1425</v>
      </c>
      <c r="I112" s="6" t="s">
        <v>124</v>
      </c>
      <c r="J112" s="6" t="s">
        <v>1390</v>
      </c>
    </row>
    <row r="113" spans="1:10">
      <c r="A113" s="6" t="s">
        <v>42</v>
      </c>
      <c r="B113" s="6" t="s">
        <v>440</v>
      </c>
      <c r="C113" s="6" t="s">
        <v>212</v>
      </c>
      <c r="D113" s="10" t="s">
        <v>1596</v>
      </c>
      <c r="E113" s="6" t="s">
        <v>1597</v>
      </c>
      <c r="F113" s="6" t="s">
        <v>1397</v>
      </c>
      <c r="G113" s="6" t="s">
        <v>1441</v>
      </c>
      <c r="H113" s="6" t="s">
        <v>1425</v>
      </c>
      <c r="I113" s="6" t="s">
        <v>124</v>
      </c>
      <c r="J113" s="6" t="s">
        <v>1390</v>
      </c>
    </row>
    <row r="114" spans="1:10">
      <c r="A114" s="6" t="s">
        <v>42</v>
      </c>
      <c r="B114" s="6" t="s">
        <v>440</v>
      </c>
      <c r="C114" s="6" t="s">
        <v>212</v>
      </c>
      <c r="D114" s="10" t="s">
        <v>1598</v>
      </c>
      <c r="E114" s="6" t="s">
        <v>1599</v>
      </c>
      <c r="F114" s="6" t="s">
        <v>1397</v>
      </c>
      <c r="G114" s="6" t="s">
        <v>1441</v>
      </c>
      <c r="H114" s="6" t="s">
        <v>1425</v>
      </c>
      <c r="I114" s="6" t="s">
        <v>124</v>
      </c>
      <c r="J114" s="6" t="s">
        <v>1390</v>
      </c>
    </row>
    <row r="115" spans="1:10">
      <c r="A115" s="6" t="s">
        <v>42</v>
      </c>
      <c r="B115" s="6" t="s">
        <v>440</v>
      </c>
      <c r="C115" s="6" t="s">
        <v>212</v>
      </c>
      <c r="D115" s="10" t="s">
        <v>1600</v>
      </c>
      <c r="E115" s="6" t="s">
        <v>1601</v>
      </c>
      <c r="F115" s="6" t="s">
        <v>1397</v>
      </c>
      <c r="G115" s="6" t="s">
        <v>1441</v>
      </c>
      <c r="H115" s="6" t="s">
        <v>1425</v>
      </c>
      <c r="I115" s="6" t="s">
        <v>124</v>
      </c>
      <c r="J115" s="6" t="s">
        <v>1390</v>
      </c>
    </row>
    <row r="116" spans="1:10">
      <c r="A116" s="6" t="s">
        <v>42</v>
      </c>
      <c r="B116" s="6" t="s">
        <v>440</v>
      </c>
      <c r="C116" s="6" t="s">
        <v>212</v>
      </c>
      <c r="D116" s="10" t="s">
        <v>1602</v>
      </c>
      <c r="E116" s="6" t="s">
        <v>1603</v>
      </c>
      <c r="F116" s="6" t="s">
        <v>1397</v>
      </c>
      <c r="G116" s="6" t="s">
        <v>1441</v>
      </c>
      <c r="H116" s="6" t="s">
        <v>1425</v>
      </c>
      <c r="I116" s="6" t="s">
        <v>124</v>
      </c>
      <c r="J116" s="6" t="s">
        <v>1390</v>
      </c>
    </row>
    <row r="117" spans="1:10">
      <c r="A117" s="6" t="s">
        <v>42</v>
      </c>
      <c r="B117" s="6" t="s">
        <v>440</v>
      </c>
      <c r="C117" s="6" t="s">
        <v>212</v>
      </c>
      <c r="D117" s="10" t="s">
        <v>1604</v>
      </c>
      <c r="E117" s="6" t="s">
        <v>1605</v>
      </c>
      <c r="F117" s="6" t="s">
        <v>1397</v>
      </c>
      <c r="G117" s="6" t="s">
        <v>1441</v>
      </c>
      <c r="H117" s="6" t="s">
        <v>1425</v>
      </c>
      <c r="I117" s="6" t="s">
        <v>124</v>
      </c>
      <c r="J117" s="6" t="s">
        <v>1390</v>
      </c>
    </row>
    <row r="118" spans="1:10">
      <c r="A118" s="6" t="s">
        <v>42</v>
      </c>
      <c r="B118" s="6" t="s">
        <v>440</v>
      </c>
      <c r="C118" s="6" t="s">
        <v>212</v>
      </c>
      <c r="D118" s="10" t="s">
        <v>1606</v>
      </c>
      <c r="E118" s="6" t="s">
        <v>1607</v>
      </c>
      <c r="F118" s="6" t="s">
        <v>1397</v>
      </c>
      <c r="G118" s="6" t="s">
        <v>1441</v>
      </c>
      <c r="H118" s="6" t="s">
        <v>1425</v>
      </c>
      <c r="I118" s="6" t="s">
        <v>124</v>
      </c>
      <c r="J118" s="6" t="s">
        <v>1390</v>
      </c>
    </row>
    <row r="119" spans="1:10">
      <c r="A119" s="6" t="s">
        <v>42</v>
      </c>
      <c r="B119" s="6" t="s">
        <v>440</v>
      </c>
      <c r="C119" s="6" t="s">
        <v>212</v>
      </c>
      <c r="D119" s="10" t="s">
        <v>1608</v>
      </c>
      <c r="E119" s="6" t="s">
        <v>1609</v>
      </c>
      <c r="F119" s="6" t="s">
        <v>1397</v>
      </c>
      <c r="G119" s="6" t="s">
        <v>1441</v>
      </c>
      <c r="H119" s="6" t="s">
        <v>1425</v>
      </c>
      <c r="I119" s="6" t="s">
        <v>124</v>
      </c>
      <c r="J119" s="6" t="s">
        <v>1390</v>
      </c>
    </row>
    <row r="120" spans="1:10">
      <c r="A120" s="6" t="s">
        <v>42</v>
      </c>
      <c r="B120" s="6" t="s">
        <v>440</v>
      </c>
      <c r="C120" s="6" t="s">
        <v>212</v>
      </c>
      <c r="D120" s="10" t="s">
        <v>1610</v>
      </c>
      <c r="E120" s="6" t="s">
        <v>1611</v>
      </c>
      <c r="F120" s="6" t="s">
        <v>1397</v>
      </c>
      <c r="G120" s="6" t="s">
        <v>1441</v>
      </c>
      <c r="H120" s="6" t="s">
        <v>1425</v>
      </c>
      <c r="I120" s="6" t="s">
        <v>124</v>
      </c>
      <c r="J120" s="6" t="s">
        <v>1390</v>
      </c>
    </row>
    <row r="121" spans="1:10">
      <c r="A121" s="6" t="s">
        <v>42</v>
      </c>
      <c r="B121" s="6" t="s">
        <v>440</v>
      </c>
      <c r="C121" s="6" t="s">
        <v>212</v>
      </c>
      <c r="D121" s="10" t="s">
        <v>1612</v>
      </c>
      <c r="E121" s="6" t="s">
        <v>1613</v>
      </c>
      <c r="F121" s="6" t="s">
        <v>1397</v>
      </c>
      <c r="G121" s="6" t="s">
        <v>1441</v>
      </c>
      <c r="H121" s="6" t="s">
        <v>1425</v>
      </c>
      <c r="I121" s="6" t="s">
        <v>124</v>
      </c>
      <c r="J121" s="6" t="s">
        <v>1390</v>
      </c>
    </row>
    <row r="122" spans="1:10">
      <c r="A122" s="6" t="s">
        <v>42</v>
      </c>
      <c r="B122" s="6" t="s">
        <v>440</v>
      </c>
      <c r="C122" s="6" t="s">
        <v>212</v>
      </c>
      <c r="D122" s="10" t="s">
        <v>1614</v>
      </c>
      <c r="E122" s="6" t="s">
        <v>1615</v>
      </c>
      <c r="F122" s="6" t="s">
        <v>1397</v>
      </c>
      <c r="G122" s="6" t="s">
        <v>1441</v>
      </c>
      <c r="H122" s="6" t="s">
        <v>1425</v>
      </c>
      <c r="I122" s="6" t="s">
        <v>124</v>
      </c>
      <c r="J122" s="6" t="s">
        <v>1390</v>
      </c>
    </row>
    <row r="123" spans="1:10">
      <c r="A123" s="6" t="s">
        <v>42</v>
      </c>
      <c r="B123" s="6" t="s">
        <v>440</v>
      </c>
      <c r="C123" s="6" t="s">
        <v>212</v>
      </c>
      <c r="D123" s="10" t="s">
        <v>1616</v>
      </c>
      <c r="E123" s="6" t="s">
        <v>1617</v>
      </c>
      <c r="F123" s="6" t="s">
        <v>1397</v>
      </c>
      <c r="G123" s="6" t="s">
        <v>1441</v>
      </c>
      <c r="H123" s="6" t="s">
        <v>1425</v>
      </c>
      <c r="I123" s="6" t="s">
        <v>124</v>
      </c>
      <c r="J123" s="6" t="s">
        <v>1390</v>
      </c>
    </row>
    <row r="124" spans="1:10">
      <c r="A124" s="6" t="s">
        <v>42</v>
      </c>
      <c r="B124" s="6" t="s">
        <v>440</v>
      </c>
      <c r="C124" s="6" t="s">
        <v>212</v>
      </c>
      <c r="D124" s="10" t="s">
        <v>1618</v>
      </c>
      <c r="E124" s="6" t="s">
        <v>1619</v>
      </c>
      <c r="F124" s="6" t="s">
        <v>1397</v>
      </c>
      <c r="G124" s="6" t="s">
        <v>1441</v>
      </c>
      <c r="H124" s="6" t="s">
        <v>1425</v>
      </c>
      <c r="I124" s="6" t="s">
        <v>124</v>
      </c>
      <c r="J124" s="6" t="s">
        <v>1390</v>
      </c>
    </row>
    <row r="125" spans="1:10">
      <c r="A125" s="6" t="s">
        <v>42</v>
      </c>
      <c r="B125" s="6" t="s">
        <v>440</v>
      </c>
      <c r="C125" s="6" t="s">
        <v>212</v>
      </c>
      <c r="D125" s="10" t="s">
        <v>1620</v>
      </c>
      <c r="E125" s="6" t="s">
        <v>1621</v>
      </c>
      <c r="F125" s="6" t="s">
        <v>1397</v>
      </c>
      <c r="G125" s="6" t="s">
        <v>1441</v>
      </c>
      <c r="H125" s="6" t="s">
        <v>1425</v>
      </c>
      <c r="I125" s="6" t="s">
        <v>124</v>
      </c>
      <c r="J125" s="6" t="s">
        <v>1390</v>
      </c>
    </row>
    <row r="126" spans="1:10">
      <c r="A126" s="6" t="s">
        <v>42</v>
      </c>
      <c r="B126" s="6" t="s">
        <v>440</v>
      </c>
      <c r="C126" s="6" t="s">
        <v>212</v>
      </c>
      <c r="D126" s="10" t="s">
        <v>1622</v>
      </c>
      <c r="E126" s="6" t="s">
        <v>1623</v>
      </c>
      <c r="F126" s="6" t="s">
        <v>1397</v>
      </c>
      <c r="G126" s="6" t="s">
        <v>1441</v>
      </c>
      <c r="H126" s="6" t="s">
        <v>1425</v>
      </c>
      <c r="I126" s="6" t="s">
        <v>124</v>
      </c>
      <c r="J126" s="6" t="s">
        <v>1390</v>
      </c>
    </row>
    <row r="127" spans="1:10">
      <c r="A127" s="6" t="s">
        <v>42</v>
      </c>
      <c r="B127" s="6" t="s">
        <v>440</v>
      </c>
      <c r="C127" s="6" t="s">
        <v>212</v>
      </c>
      <c r="D127" s="10" t="s">
        <v>1624</v>
      </c>
      <c r="E127" s="6" t="s">
        <v>1625</v>
      </c>
      <c r="F127" s="6" t="s">
        <v>1397</v>
      </c>
      <c r="G127" s="6" t="s">
        <v>1441</v>
      </c>
      <c r="H127" s="6" t="s">
        <v>1425</v>
      </c>
      <c r="I127" s="6" t="s">
        <v>124</v>
      </c>
      <c r="J127" s="6" t="s">
        <v>1390</v>
      </c>
    </row>
    <row r="128" spans="1:10">
      <c r="A128" s="6" t="s">
        <v>42</v>
      </c>
      <c r="B128" s="6" t="s">
        <v>440</v>
      </c>
      <c r="C128" s="6" t="s">
        <v>212</v>
      </c>
      <c r="D128" s="10" t="s">
        <v>1626</v>
      </c>
      <c r="E128" s="6" t="s">
        <v>1627</v>
      </c>
      <c r="F128" s="6" t="s">
        <v>1397</v>
      </c>
      <c r="G128" s="6" t="s">
        <v>1441</v>
      </c>
      <c r="H128" s="6" t="s">
        <v>1425</v>
      </c>
      <c r="I128" s="6" t="s">
        <v>124</v>
      </c>
      <c r="J128" s="6" t="s">
        <v>1390</v>
      </c>
    </row>
    <row r="129" spans="1:10">
      <c r="A129" s="6" t="s">
        <v>42</v>
      </c>
      <c r="B129" s="6" t="s">
        <v>440</v>
      </c>
      <c r="C129" s="6" t="s">
        <v>212</v>
      </c>
      <c r="D129" s="10" t="s">
        <v>1628</v>
      </c>
      <c r="E129" s="6" t="s">
        <v>1629</v>
      </c>
      <c r="F129" s="6" t="s">
        <v>1397</v>
      </c>
      <c r="G129" s="6" t="s">
        <v>1441</v>
      </c>
      <c r="H129" s="6" t="s">
        <v>1425</v>
      </c>
      <c r="I129" s="6" t="s">
        <v>124</v>
      </c>
      <c r="J129" s="6" t="s">
        <v>1390</v>
      </c>
    </row>
    <row r="130" spans="1:10">
      <c r="A130" s="6" t="s">
        <v>42</v>
      </c>
      <c r="B130" s="6" t="s">
        <v>440</v>
      </c>
      <c r="C130" s="6" t="s">
        <v>212</v>
      </c>
      <c r="D130" s="10" t="s">
        <v>1630</v>
      </c>
      <c r="E130" s="6" t="s">
        <v>1631</v>
      </c>
      <c r="F130" s="6" t="s">
        <v>1397</v>
      </c>
      <c r="G130" s="6" t="s">
        <v>1441</v>
      </c>
      <c r="H130" s="6" t="s">
        <v>1425</v>
      </c>
      <c r="I130" s="6" t="s">
        <v>124</v>
      </c>
      <c r="J130" s="6" t="s">
        <v>1390</v>
      </c>
    </row>
    <row r="131" spans="1:10">
      <c r="A131" s="6" t="s">
        <v>42</v>
      </c>
      <c r="B131" s="6" t="s">
        <v>440</v>
      </c>
      <c r="C131" s="6" t="s">
        <v>212</v>
      </c>
      <c r="D131" s="10" t="s">
        <v>1632</v>
      </c>
      <c r="E131" s="6" t="s">
        <v>1633</v>
      </c>
      <c r="F131" s="6" t="s">
        <v>1397</v>
      </c>
      <c r="G131" s="6" t="s">
        <v>1441</v>
      </c>
      <c r="H131" s="6" t="s">
        <v>1425</v>
      </c>
      <c r="I131" s="6" t="s">
        <v>124</v>
      </c>
      <c r="J131" s="6" t="s">
        <v>1390</v>
      </c>
    </row>
    <row r="132" spans="1:10">
      <c r="A132" s="6" t="s">
        <v>42</v>
      </c>
      <c r="B132" s="6" t="s">
        <v>440</v>
      </c>
      <c r="C132" s="6" t="s">
        <v>212</v>
      </c>
      <c r="D132" s="10" t="s">
        <v>1634</v>
      </c>
      <c r="E132" s="6" t="s">
        <v>1635</v>
      </c>
      <c r="F132" s="6" t="s">
        <v>1397</v>
      </c>
      <c r="G132" s="6" t="s">
        <v>1441</v>
      </c>
      <c r="H132" s="6" t="s">
        <v>1425</v>
      </c>
      <c r="I132" s="6" t="s">
        <v>124</v>
      </c>
      <c r="J132" s="6" t="s">
        <v>1390</v>
      </c>
    </row>
    <row r="133" spans="1:10">
      <c r="A133" s="6" t="s">
        <v>42</v>
      </c>
      <c r="B133" s="6" t="s">
        <v>440</v>
      </c>
      <c r="C133" s="6" t="s">
        <v>212</v>
      </c>
      <c r="D133" s="10" t="s">
        <v>1636</v>
      </c>
      <c r="E133" s="6" t="s">
        <v>1637</v>
      </c>
      <c r="F133" s="6" t="s">
        <v>1397</v>
      </c>
      <c r="G133" s="6" t="s">
        <v>1441</v>
      </c>
      <c r="H133" s="6" t="s">
        <v>1425</v>
      </c>
      <c r="I133" s="6" t="s">
        <v>124</v>
      </c>
      <c r="J133" s="6" t="s">
        <v>1390</v>
      </c>
    </row>
    <row r="134" spans="1:10">
      <c r="A134" s="6" t="s">
        <v>42</v>
      </c>
      <c r="B134" s="6" t="s">
        <v>440</v>
      </c>
      <c r="C134" s="6" t="s">
        <v>212</v>
      </c>
      <c r="D134" s="10" t="s">
        <v>1638</v>
      </c>
      <c r="E134" s="6" t="s">
        <v>1639</v>
      </c>
      <c r="F134" s="6" t="s">
        <v>1397</v>
      </c>
      <c r="G134" s="6" t="s">
        <v>1441</v>
      </c>
      <c r="H134" s="6" t="s">
        <v>1425</v>
      </c>
      <c r="I134" s="6" t="s">
        <v>124</v>
      </c>
      <c r="J134" s="6" t="s">
        <v>1390</v>
      </c>
    </row>
    <row r="135" spans="1:10">
      <c r="A135" s="6" t="s">
        <v>42</v>
      </c>
      <c r="B135" s="6" t="s">
        <v>440</v>
      </c>
      <c r="C135" s="6" t="s">
        <v>212</v>
      </c>
      <c r="D135" s="10" t="s">
        <v>1640</v>
      </c>
      <c r="E135" s="6" t="s">
        <v>1641</v>
      </c>
      <c r="F135" s="6" t="s">
        <v>1397</v>
      </c>
      <c r="G135" s="6" t="s">
        <v>1441</v>
      </c>
      <c r="H135" s="6" t="s">
        <v>1425</v>
      </c>
      <c r="I135" s="6" t="s">
        <v>124</v>
      </c>
      <c r="J135" s="6" t="s">
        <v>1390</v>
      </c>
    </row>
    <row r="136" spans="1:10">
      <c r="A136" s="6" t="s">
        <v>42</v>
      </c>
      <c r="B136" s="6" t="s">
        <v>440</v>
      </c>
      <c r="C136" s="6" t="s">
        <v>212</v>
      </c>
      <c r="D136" s="10" t="s">
        <v>1642</v>
      </c>
      <c r="E136" s="6" t="s">
        <v>1643</v>
      </c>
      <c r="F136" s="6" t="s">
        <v>1397</v>
      </c>
      <c r="G136" s="6" t="s">
        <v>1441</v>
      </c>
      <c r="H136" s="6" t="s">
        <v>1425</v>
      </c>
      <c r="I136" s="6" t="s">
        <v>124</v>
      </c>
      <c r="J136" s="6" t="s">
        <v>1390</v>
      </c>
    </row>
    <row r="137" spans="1:10">
      <c r="A137" s="6" t="s">
        <v>42</v>
      </c>
      <c r="B137" s="6" t="s">
        <v>440</v>
      </c>
      <c r="C137" s="6" t="s">
        <v>212</v>
      </c>
      <c r="D137" s="10" t="s">
        <v>1644</v>
      </c>
      <c r="E137" s="6" t="s">
        <v>1645</v>
      </c>
      <c r="F137" s="6" t="s">
        <v>1397</v>
      </c>
      <c r="G137" s="6" t="s">
        <v>1441</v>
      </c>
      <c r="H137" s="6" t="s">
        <v>1425</v>
      </c>
      <c r="I137" s="6" t="s">
        <v>124</v>
      </c>
      <c r="J137" s="6" t="s">
        <v>1390</v>
      </c>
    </row>
    <row r="138" spans="1:10">
      <c r="A138" s="6" t="s">
        <v>42</v>
      </c>
      <c r="B138" s="6" t="s">
        <v>440</v>
      </c>
      <c r="C138" s="6" t="s">
        <v>212</v>
      </c>
      <c r="D138" s="10" t="s">
        <v>1646</v>
      </c>
      <c r="E138" s="6" t="s">
        <v>1647</v>
      </c>
      <c r="F138" s="6" t="s">
        <v>1397</v>
      </c>
      <c r="G138" s="6" t="s">
        <v>1441</v>
      </c>
      <c r="H138" s="6" t="s">
        <v>1425</v>
      </c>
      <c r="I138" s="6" t="s">
        <v>124</v>
      </c>
      <c r="J138" s="6" t="s">
        <v>1390</v>
      </c>
    </row>
    <row r="139" spans="1:10">
      <c r="A139" s="6" t="s">
        <v>42</v>
      </c>
      <c r="B139" s="6" t="s">
        <v>440</v>
      </c>
      <c r="C139" s="6" t="s">
        <v>212</v>
      </c>
      <c r="D139" s="10" t="s">
        <v>1648</v>
      </c>
      <c r="E139" s="6" t="s">
        <v>1649</v>
      </c>
      <c r="F139" s="6" t="s">
        <v>1397</v>
      </c>
      <c r="G139" s="6" t="s">
        <v>1441</v>
      </c>
      <c r="H139" s="6" t="s">
        <v>1425</v>
      </c>
      <c r="I139" s="6" t="s">
        <v>124</v>
      </c>
      <c r="J139" s="6" t="s">
        <v>1390</v>
      </c>
    </row>
    <row r="140" spans="1:10">
      <c r="A140" s="6" t="s">
        <v>42</v>
      </c>
      <c r="B140" s="6" t="s">
        <v>440</v>
      </c>
      <c r="C140" s="6" t="s">
        <v>212</v>
      </c>
      <c r="D140" s="10" t="s">
        <v>1650</v>
      </c>
      <c r="E140" s="6" t="s">
        <v>1651</v>
      </c>
      <c r="F140" s="6" t="s">
        <v>1397</v>
      </c>
      <c r="G140" s="6" t="s">
        <v>1441</v>
      </c>
      <c r="H140" s="6" t="s">
        <v>1425</v>
      </c>
      <c r="I140" s="6" t="s">
        <v>124</v>
      </c>
      <c r="J140" s="6" t="s">
        <v>1390</v>
      </c>
    </row>
    <row r="141" spans="1:10">
      <c r="A141" s="6" t="s">
        <v>42</v>
      </c>
      <c r="B141" s="6" t="s">
        <v>440</v>
      </c>
      <c r="C141" s="6" t="s">
        <v>212</v>
      </c>
      <c r="D141" s="10" t="s">
        <v>1652</v>
      </c>
      <c r="E141" s="6" t="s">
        <v>1653</v>
      </c>
      <c r="F141" s="6" t="s">
        <v>1397</v>
      </c>
      <c r="G141" s="6" t="s">
        <v>1441</v>
      </c>
      <c r="H141" s="6" t="s">
        <v>1425</v>
      </c>
      <c r="I141" s="6" t="s">
        <v>124</v>
      </c>
      <c r="J141" s="6" t="s">
        <v>1390</v>
      </c>
    </row>
    <row r="142" spans="1:10">
      <c r="A142" s="6" t="s">
        <v>42</v>
      </c>
      <c r="B142" s="6" t="s">
        <v>440</v>
      </c>
      <c r="C142" s="6" t="s">
        <v>212</v>
      </c>
      <c r="D142" s="10" t="s">
        <v>1654</v>
      </c>
      <c r="E142" s="6" t="s">
        <v>1655</v>
      </c>
      <c r="F142" s="6" t="s">
        <v>1397</v>
      </c>
      <c r="G142" s="6" t="s">
        <v>1441</v>
      </c>
      <c r="H142" s="6" t="s">
        <v>1425</v>
      </c>
      <c r="I142" s="6" t="s">
        <v>124</v>
      </c>
      <c r="J142" s="6" t="s">
        <v>1390</v>
      </c>
    </row>
    <row r="143" spans="1:10">
      <c r="A143" s="6" t="s">
        <v>42</v>
      </c>
      <c r="B143" s="6" t="s">
        <v>440</v>
      </c>
      <c r="C143" s="6" t="s">
        <v>212</v>
      </c>
      <c r="D143" s="10" t="s">
        <v>1656</v>
      </c>
      <c r="E143" s="6" t="s">
        <v>1657</v>
      </c>
      <c r="F143" s="6" t="s">
        <v>1397</v>
      </c>
      <c r="G143" s="6" t="s">
        <v>1441</v>
      </c>
      <c r="H143" s="6" t="s">
        <v>1425</v>
      </c>
      <c r="I143" s="6" t="s">
        <v>124</v>
      </c>
      <c r="J143" s="6" t="s">
        <v>1390</v>
      </c>
    </row>
    <row r="144" spans="1:10">
      <c r="A144" s="6" t="s">
        <v>42</v>
      </c>
      <c r="B144" s="6" t="s">
        <v>440</v>
      </c>
      <c r="C144" s="6" t="s">
        <v>212</v>
      </c>
      <c r="D144" s="10" t="s">
        <v>1658</v>
      </c>
      <c r="E144" s="6" t="s">
        <v>1659</v>
      </c>
      <c r="F144" s="6" t="s">
        <v>1397</v>
      </c>
      <c r="G144" s="6" t="s">
        <v>1441</v>
      </c>
      <c r="H144" s="6" t="s">
        <v>1425</v>
      </c>
      <c r="I144" s="6" t="s">
        <v>124</v>
      </c>
      <c r="J144" s="6" t="s">
        <v>1390</v>
      </c>
    </row>
    <row r="145" spans="1:10">
      <c r="A145" s="6" t="s">
        <v>42</v>
      </c>
      <c r="B145" s="6" t="s">
        <v>440</v>
      </c>
      <c r="C145" s="6" t="s">
        <v>212</v>
      </c>
      <c r="D145" s="10" t="s">
        <v>1660</v>
      </c>
      <c r="E145" s="6" t="s">
        <v>1661</v>
      </c>
      <c r="F145" s="6" t="s">
        <v>1397</v>
      </c>
      <c r="G145" s="6" t="s">
        <v>1441</v>
      </c>
      <c r="H145" s="6" t="s">
        <v>1425</v>
      </c>
      <c r="I145" s="6" t="s">
        <v>124</v>
      </c>
      <c r="J145" s="6" t="s">
        <v>1390</v>
      </c>
    </row>
    <row r="146" spans="1:10">
      <c r="A146" s="6" t="s">
        <v>42</v>
      </c>
      <c r="B146" s="6" t="s">
        <v>440</v>
      </c>
      <c r="C146" s="6" t="s">
        <v>212</v>
      </c>
      <c r="D146" s="10" t="s">
        <v>1662</v>
      </c>
      <c r="E146" s="6" t="s">
        <v>1663</v>
      </c>
      <c r="F146" s="6" t="s">
        <v>1397</v>
      </c>
      <c r="G146" s="6" t="s">
        <v>1441</v>
      </c>
      <c r="H146" s="6" t="s">
        <v>1425</v>
      </c>
      <c r="I146" s="6" t="s">
        <v>124</v>
      </c>
      <c r="J146" s="6" t="s">
        <v>1390</v>
      </c>
    </row>
    <row r="147" spans="1:10">
      <c r="A147" s="6" t="s">
        <v>42</v>
      </c>
      <c r="B147" s="6" t="s">
        <v>440</v>
      </c>
      <c r="C147" s="6" t="s">
        <v>212</v>
      </c>
      <c r="D147" s="10" t="s">
        <v>1664</v>
      </c>
      <c r="E147" s="6" t="s">
        <v>1665</v>
      </c>
      <c r="F147" s="6" t="s">
        <v>1397</v>
      </c>
      <c r="G147" s="6" t="s">
        <v>1441</v>
      </c>
      <c r="H147" s="6" t="s">
        <v>1425</v>
      </c>
      <c r="I147" s="6" t="s">
        <v>124</v>
      </c>
      <c r="J147" s="6" t="s">
        <v>1390</v>
      </c>
    </row>
    <row r="148" spans="1:10">
      <c r="A148" s="6" t="s">
        <v>42</v>
      </c>
      <c r="B148" s="6" t="s">
        <v>440</v>
      </c>
      <c r="C148" s="6" t="s">
        <v>212</v>
      </c>
      <c r="D148" s="10" t="s">
        <v>1666</v>
      </c>
      <c r="E148" s="6" t="s">
        <v>1667</v>
      </c>
      <c r="F148" s="6" t="s">
        <v>1397</v>
      </c>
      <c r="G148" s="6" t="s">
        <v>1441</v>
      </c>
      <c r="H148" s="6" t="s">
        <v>1425</v>
      </c>
      <c r="I148" s="6" t="s">
        <v>124</v>
      </c>
      <c r="J148" s="6" t="s">
        <v>1390</v>
      </c>
    </row>
    <row r="149" spans="1:10">
      <c r="A149" s="6" t="s">
        <v>42</v>
      </c>
      <c r="B149" s="6" t="s">
        <v>440</v>
      </c>
      <c r="C149" s="6" t="s">
        <v>212</v>
      </c>
      <c r="D149" s="10" t="s">
        <v>1668</v>
      </c>
      <c r="E149" s="6" t="s">
        <v>1669</v>
      </c>
      <c r="F149" s="6" t="s">
        <v>1397</v>
      </c>
      <c r="G149" s="6" t="s">
        <v>1441</v>
      </c>
      <c r="H149" s="6" t="s">
        <v>1425</v>
      </c>
      <c r="I149" s="6" t="s">
        <v>124</v>
      </c>
      <c r="J149" s="6" t="s">
        <v>1390</v>
      </c>
    </row>
    <row r="150" spans="1:10">
      <c r="A150" s="6" t="s">
        <v>42</v>
      </c>
      <c r="B150" s="6" t="s">
        <v>440</v>
      </c>
      <c r="C150" s="6" t="s">
        <v>212</v>
      </c>
      <c r="D150" s="10" t="s">
        <v>1670</v>
      </c>
      <c r="E150" s="6" t="s">
        <v>1671</v>
      </c>
      <c r="F150" s="6" t="s">
        <v>1397</v>
      </c>
      <c r="G150" s="6" t="s">
        <v>1441</v>
      </c>
      <c r="H150" s="6" t="s">
        <v>1425</v>
      </c>
      <c r="I150" s="6" t="s">
        <v>124</v>
      </c>
      <c r="J150" s="6" t="s">
        <v>1390</v>
      </c>
    </row>
    <row r="151" spans="1:10">
      <c r="A151" s="6" t="s">
        <v>42</v>
      </c>
      <c r="B151" s="6" t="s">
        <v>440</v>
      </c>
      <c r="C151" s="6" t="s">
        <v>212</v>
      </c>
      <c r="D151" s="10" t="s">
        <v>1672</v>
      </c>
      <c r="E151" s="6" t="s">
        <v>1673</v>
      </c>
      <c r="F151" s="6" t="s">
        <v>1397</v>
      </c>
      <c r="G151" s="6" t="s">
        <v>1441</v>
      </c>
      <c r="H151" s="6" t="s">
        <v>1425</v>
      </c>
      <c r="I151" s="6" t="s">
        <v>124</v>
      </c>
      <c r="J151" s="6" t="s">
        <v>1390</v>
      </c>
    </row>
    <row r="152" spans="1:10">
      <c r="A152" s="6" t="s">
        <v>42</v>
      </c>
      <c r="B152" s="6" t="s">
        <v>440</v>
      </c>
      <c r="C152" s="6" t="s">
        <v>212</v>
      </c>
      <c r="D152" s="10" t="s">
        <v>1674</v>
      </c>
      <c r="E152" s="6" t="s">
        <v>1675</v>
      </c>
      <c r="F152" s="6" t="s">
        <v>1397</v>
      </c>
      <c r="G152" s="6" t="s">
        <v>1441</v>
      </c>
      <c r="H152" s="6" t="s">
        <v>1425</v>
      </c>
      <c r="I152" s="6" t="s">
        <v>124</v>
      </c>
      <c r="J152" s="6" t="s">
        <v>1390</v>
      </c>
    </row>
    <row r="153" spans="1:10">
      <c r="A153" s="6" t="s">
        <v>42</v>
      </c>
      <c r="B153" s="6" t="s">
        <v>440</v>
      </c>
      <c r="C153" s="6" t="s">
        <v>212</v>
      </c>
      <c r="D153" s="10" t="s">
        <v>1676</v>
      </c>
      <c r="E153" s="6" t="s">
        <v>1677</v>
      </c>
      <c r="F153" s="6" t="s">
        <v>1397</v>
      </c>
      <c r="G153" s="6" t="s">
        <v>1441</v>
      </c>
      <c r="H153" s="6" t="s">
        <v>1425</v>
      </c>
      <c r="I153" s="6" t="s">
        <v>124</v>
      </c>
      <c r="J153" s="6" t="s">
        <v>1390</v>
      </c>
    </row>
    <row r="154" spans="1:10">
      <c r="A154" s="6" t="s">
        <v>42</v>
      </c>
      <c r="B154" s="6" t="s">
        <v>440</v>
      </c>
      <c r="C154" s="6" t="s">
        <v>212</v>
      </c>
      <c r="D154" s="10" t="s">
        <v>1678</v>
      </c>
      <c r="E154" s="6" t="s">
        <v>1679</v>
      </c>
      <c r="F154" s="6" t="s">
        <v>1397</v>
      </c>
      <c r="G154" s="6" t="s">
        <v>1441</v>
      </c>
      <c r="H154" s="6" t="s">
        <v>1425</v>
      </c>
      <c r="I154" s="6" t="s">
        <v>124</v>
      </c>
      <c r="J154" s="6" t="s">
        <v>1390</v>
      </c>
    </row>
    <row r="155" spans="1:10">
      <c r="A155" s="6" t="s">
        <v>42</v>
      </c>
      <c r="B155" s="6" t="s">
        <v>440</v>
      </c>
      <c r="C155" s="6" t="s">
        <v>212</v>
      </c>
      <c r="D155" s="10" t="s">
        <v>1680</v>
      </c>
      <c r="E155" s="6" t="s">
        <v>1681</v>
      </c>
      <c r="F155" s="6" t="s">
        <v>1397</v>
      </c>
      <c r="G155" s="6" t="s">
        <v>1441</v>
      </c>
      <c r="H155" s="6" t="s">
        <v>1425</v>
      </c>
      <c r="I155" s="6" t="s">
        <v>124</v>
      </c>
      <c r="J155" s="6" t="s">
        <v>1390</v>
      </c>
    </row>
    <row r="156" spans="1:10">
      <c r="A156" s="6" t="s">
        <v>42</v>
      </c>
      <c r="B156" s="6" t="s">
        <v>440</v>
      </c>
      <c r="C156" s="6" t="s">
        <v>212</v>
      </c>
      <c r="D156" s="10" t="s">
        <v>1682</v>
      </c>
      <c r="E156" s="6" t="s">
        <v>1683</v>
      </c>
      <c r="F156" s="6" t="s">
        <v>1397</v>
      </c>
      <c r="G156" s="6" t="s">
        <v>1441</v>
      </c>
      <c r="H156" s="6" t="s">
        <v>1425</v>
      </c>
      <c r="I156" s="6" t="s">
        <v>124</v>
      </c>
      <c r="J156" s="6" t="s">
        <v>1390</v>
      </c>
    </row>
    <row r="157" spans="1:10">
      <c r="A157" s="6" t="s">
        <v>42</v>
      </c>
      <c r="B157" s="6" t="s">
        <v>440</v>
      </c>
      <c r="C157" s="6" t="s">
        <v>212</v>
      </c>
      <c r="D157" s="10" t="s">
        <v>1684</v>
      </c>
      <c r="E157" s="6" t="s">
        <v>1685</v>
      </c>
      <c r="F157" s="6" t="s">
        <v>1397</v>
      </c>
      <c r="G157" s="6" t="s">
        <v>1441</v>
      </c>
      <c r="H157" s="6" t="s">
        <v>1425</v>
      </c>
      <c r="I157" s="6" t="s">
        <v>124</v>
      </c>
      <c r="J157" s="6" t="s">
        <v>1390</v>
      </c>
    </row>
    <row r="158" spans="1:10">
      <c r="A158" s="6" t="s">
        <v>42</v>
      </c>
      <c r="B158" s="6" t="s">
        <v>440</v>
      </c>
      <c r="C158" s="6" t="s">
        <v>212</v>
      </c>
      <c r="D158" s="10" t="s">
        <v>1686</v>
      </c>
      <c r="E158" s="6" t="s">
        <v>1687</v>
      </c>
      <c r="F158" s="6" t="s">
        <v>1397</v>
      </c>
      <c r="G158" s="6" t="s">
        <v>1441</v>
      </c>
      <c r="H158" s="6" t="s">
        <v>1425</v>
      </c>
      <c r="I158" s="6" t="s">
        <v>124</v>
      </c>
      <c r="J158" s="6" t="s">
        <v>1390</v>
      </c>
    </row>
    <row r="159" spans="1:10">
      <c r="A159" s="6" t="s">
        <v>42</v>
      </c>
      <c r="B159" s="6" t="s">
        <v>440</v>
      </c>
      <c r="C159" s="6" t="s">
        <v>212</v>
      </c>
      <c r="D159" s="10" t="s">
        <v>1688</v>
      </c>
      <c r="E159" s="6" t="s">
        <v>1689</v>
      </c>
      <c r="F159" s="6" t="s">
        <v>1397</v>
      </c>
      <c r="G159" s="6" t="s">
        <v>1441</v>
      </c>
      <c r="H159" s="6" t="s">
        <v>1425</v>
      </c>
      <c r="I159" s="6" t="s">
        <v>124</v>
      </c>
      <c r="J159" s="6" t="s">
        <v>1390</v>
      </c>
    </row>
    <row r="160" spans="1:10">
      <c r="A160" s="6" t="s">
        <v>42</v>
      </c>
      <c r="B160" s="6" t="s">
        <v>440</v>
      </c>
      <c r="C160" s="6" t="s">
        <v>212</v>
      </c>
      <c r="D160" s="10" t="s">
        <v>1690</v>
      </c>
      <c r="E160" s="6" t="s">
        <v>1691</v>
      </c>
      <c r="F160" s="6" t="s">
        <v>1397</v>
      </c>
      <c r="G160" s="6" t="s">
        <v>1441</v>
      </c>
      <c r="H160" s="6" t="s">
        <v>1425</v>
      </c>
      <c r="I160" s="6" t="s">
        <v>124</v>
      </c>
      <c r="J160" s="6" t="s">
        <v>1390</v>
      </c>
    </row>
    <row r="161" spans="1:10">
      <c r="A161" s="6" t="s">
        <v>42</v>
      </c>
      <c r="B161" s="6" t="s">
        <v>440</v>
      </c>
      <c r="C161" s="6" t="s">
        <v>212</v>
      </c>
      <c r="D161" s="10" t="s">
        <v>1692</v>
      </c>
      <c r="E161" s="6" t="s">
        <v>1693</v>
      </c>
      <c r="F161" s="6" t="s">
        <v>1397</v>
      </c>
      <c r="G161" s="6" t="s">
        <v>1441</v>
      </c>
      <c r="H161" s="6" t="s">
        <v>1425</v>
      </c>
      <c r="I161" s="6" t="s">
        <v>124</v>
      </c>
      <c r="J161" s="6" t="s">
        <v>1390</v>
      </c>
    </row>
    <row r="162" spans="1:10">
      <c r="A162" s="6" t="s">
        <v>42</v>
      </c>
      <c r="B162" s="6" t="s">
        <v>440</v>
      </c>
      <c r="C162" s="6" t="s">
        <v>212</v>
      </c>
      <c r="D162" s="10" t="s">
        <v>1694</v>
      </c>
      <c r="E162" s="6" t="s">
        <v>1695</v>
      </c>
      <c r="F162" s="6" t="s">
        <v>1397</v>
      </c>
      <c r="G162" s="6" t="s">
        <v>1441</v>
      </c>
      <c r="H162" s="6" t="s">
        <v>1425</v>
      </c>
      <c r="I162" s="6" t="s">
        <v>124</v>
      </c>
      <c r="J162" s="6" t="s">
        <v>1390</v>
      </c>
    </row>
    <row r="163" spans="1:10">
      <c r="A163" s="6" t="s">
        <v>42</v>
      </c>
      <c r="B163" s="6" t="s">
        <v>440</v>
      </c>
      <c r="C163" s="6" t="s">
        <v>212</v>
      </c>
      <c r="D163" s="10" t="s">
        <v>1696</v>
      </c>
      <c r="E163" s="6" t="s">
        <v>1697</v>
      </c>
      <c r="F163" s="6" t="s">
        <v>1397</v>
      </c>
      <c r="G163" s="6" t="s">
        <v>1441</v>
      </c>
      <c r="H163" s="6" t="s">
        <v>1425</v>
      </c>
      <c r="I163" s="6" t="s">
        <v>124</v>
      </c>
      <c r="J163" s="6" t="s">
        <v>1390</v>
      </c>
    </row>
    <row r="164" spans="1:10">
      <c r="A164" s="6" t="s">
        <v>42</v>
      </c>
      <c r="B164" s="6" t="s">
        <v>440</v>
      </c>
      <c r="C164" s="6" t="s">
        <v>212</v>
      </c>
      <c r="D164" s="10" t="s">
        <v>1698</v>
      </c>
      <c r="E164" s="6" t="s">
        <v>1699</v>
      </c>
      <c r="F164" s="6" t="s">
        <v>1397</v>
      </c>
      <c r="G164" s="6" t="s">
        <v>1441</v>
      </c>
      <c r="H164" s="6" t="s">
        <v>1425</v>
      </c>
      <c r="I164" s="6" t="s">
        <v>124</v>
      </c>
      <c r="J164" s="6" t="s">
        <v>1390</v>
      </c>
    </row>
    <row r="165" spans="1:10">
      <c r="A165" s="6" t="s">
        <v>42</v>
      </c>
      <c r="B165" s="6" t="s">
        <v>440</v>
      </c>
      <c r="C165" s="6" t="s">
        <v>212</v>
      </c>
      <c r="D165" s="10" t="s">
        <v>1700</v>
      </c>
      <c r="E165" s="6" t="s">
        <v>1701</v>
      </c>
      <c r="F165" s="6" t="s">
        <v>1397</v>
      </c>
      <c r="G165" s="6" t="s">
        <v>1441</v>
      </c>
      <c r="H165" s="6" t="s">
        <v>1425</v>
      </c>
      <c r="I165" s="6" t="s">
        <v>124</v>
      </c>
      <c r="J165" s="6" t="s">
        <v>1390</v>
      </c>
    </row>
    <row r="166" spans="1:10">
      <c r="A166" s="6" t="s">
        <v>42</v>
      </c>
      <c r="B166" s="6" t="s">
        <v>440</v>
      </c>
      <c r="C166" s="6" t="s">
        <v>212</v>
      </c>
      <c r="D166" s="10" t="s">
        <v>1702</v>
      </c>
      <c r="E166" s="6" t="s">
        <v>1703</v>
      </c>
      <c r="F166" s="6" t="s">
        <v>1397</v>
      </c>
      <c r="G166" s="6" t="s">
        <v>1441</v>
      </c>
      <c r="H166" s="6" t="s">
        <v>1425</v>
      </c>
      <c r="I166" s="6" t="s">
        <v>124</v>
      </c>
      <c r="J166" s="6" t="s">
        <v>1390</v>
      </c>
    </row>
    <row r="167" spans="1:10">
      <c r="A167" s="6" t="s">
        <v>42</v>
      </c>
      <c r="B167" s="6" t="s">
        <v>440</v>
      </c>
      <c r="C167" s="6" t="s">
        <v>212</v>
      </c>
      <c r="D167" s="10" t="s">
        <v>1704</v>
      </c>
      <c r="E167" s="6" t="s">
        <v>1705</v>
      </c>
      <c r="F167" s="6" t="s">
        <v>1397</v>
      </c>
      <c r="G167" s="6" t="s">
        <v>1441</v>
      </c>
      <c r="H167" s="6" t="s">
        <v>1425</v>
      </c>
      <c r="I167" s="6" t="s">
        <v>124</v>
      </c>
      <c r="J167" s="6" t="s">
        <v>1390</v>
      </c>
    </row>
    <row r="168" spans="1:10">
      <c r="A168" s="6" t="s">
        <v>42</v>
      </c>
      <c r="B168" s="6" t="s">
        <v>440</v>
      </c>
      <c r="C168" s="6" t="s">
        <v>212</v>
      </c>
      <c r="D168" s="10" t="s">
        <v>1706</v>
      </c>
      <c r="E168" s="6" t="s">
        <v>1707</v>
      </c>
      <c r="F168" s="6" t="s">
        <v>1397</v>
      </c>
      <c r="G168" s="6" t="s">
        <v>1441</v>
      </c>
      <c r="H168" s="6" t="s">
        <v>1425</v>
      </c>
      <c r="I168" s="6" t="s">
        <v>124</v>
      </c>
      <c r="J168" s="6" t="s">
        <v>1390</v>
      </c>
    </row>
    <row r="169" spans="1:10">
      <c r="A169" s="6" t="s">
        <v>42</v>
      </c>
      <c r="B169" s="6" t="s">
        <v>440</v>
      </c>
      <c r="C169" s="6" t="s">
        <v>212</v>
      </c>
      <c r="D169" s="10" t="s">
        <v>1708</v>
      </c>
      <c r="E169" s="6" t="s">
        <v>1709</v>
      </c>
      <c r="F169" s="6" t="s">
        <v>1397</v>
      </c>
      <c r="G169" s="6" t="s">
        <v>1441</v>
      </c>
      <c r="H169" s="6" t="s">
        <v>1425</v>
      </c>
      <c r="I169" s="6" t="s">
        <v>124</v>
      </c>
      <c r="J169" s="6" t="s">
        <v>1390</v>
      </c>
    </row>
    <row r="170" spans="1:10">
      <c r="A170" s="6" t="s">
        <v>42</v>
      </c>
      <c r="B170" s="6" t="s">
        <v>440</v>
      </c>
      <c r="C170" s="6" t="s">
        <v>212</v>
      </c>
      <c r="D170" s="10" t="s">
        <v>1710</v>
      </c>
      <c r="E170" s="6" t="s">
        <v>1711</v>
      </c>
      <c r="F170" s="6" t="s">
        <v>1397</v>
      </c>
      <c r="G170" s="6" t="s">
        <v>1441</v>
      </c>
      <c r="H170" s="6" t="s">
        <v>1425</v>
      </c>
      <c r="I170" s="6" t="s">
        <v>124</v>
      </c>
      <c r="J170" s="6" t="s">
        <v>1390</v>
      </c>
    </row>
    <row r="171" spans="1:10">
      <c r="A171" s="6" t="s">
        <v>42</v>
      </c>
      <c r="B171" s="6" t="s">
        <v>440</v>
      </c>
      <c r="C171" s="6" t="s">
        <v>212</v>
      </c>
      <c r="D171" s="10" t="s">
        <v>1712</v>
      </c>
      <c r="E171" s="6" t="s">
        <v>1713</v>
      </c>
      <c r="F171" s="6" t="s">
        <v>1397</v>
      </c>
      <c r="G171" s="6" t="s">
        <v>1441</v>
      </c>
      <c r="H171" s="6" t="s">
        <v>1425</v>
      </c>
      <c r="I171" s="6" t="s">
        <v>124</v>
      </c>
      <c r="J171" s="6" t="s">
        <v>1390</v>
      </c>
    </row>
    <row r="172" spans="1:10">
      <c r="A172" s="6" t="s">
        <v>42</v>
      </c>
      <c r="B172" s="6" t="s">
        <v>440</v>
      </c>
      <c r="C172" s="6" t="s">
        <v>212</v>
      </c>
      <c r="D172" s="10" t="s">
        <v>1714</v>
      </c>
      <c r="E172" s="6" t="s">
        <v>1715</v>
      </c>
      <c r="F172" s="6" t="s">
        <v>1397</v>
      </c>
      <c r="G172" s="6" t="s">
        <v>1441</v>
      </c>
      <c r="H172" s="6" t="s">
        <v>1425</v>
      </c>
      <c r="I172" s="6" t="s">
        <v>124</v>
      </c>
      <c r="J172" s="6" t="s">
        <v>1390</v>
      </c>
    </row>
    <row r="173" spans="1:10">
      <c r="A173" s="6" t="s">
        <v>42</v>
      </c>
      <c r="B173" s="6" t="s">
        <v>440</v>
      </c>
      <c r="C173" s="6" t="s">
        <v>212</v>
      </c>
      <c r="D173" s="10" t="s">
        <v>1716</v>
      </c>
      <c r="E173" s="6" t="s">
        <v>1717</v>
      </c>
      <c r="F173" s="6" t="s">
        <v>1397</v>
      </c>
      <c r="G173" s="6" t="s">
        <v>1441</v>
      </c>
      <c r="H173" s="6" t="s">
        <v>1425</v>
      </c>
      <c r="I173" s="6" t="s">
        <v>124</v>
      </c>
      <c r="J173" s="6" t="s">
        <v>1390</v>
      </c>
    </row>
    <row r="174" spans="1:10">
      <c r="A174" s="6" t="s">
        <v>42</v>
      </c>
      <c r="B174" s="6" t="s">
        <v>440</v>
      </c>
      <c r="C174" s="6" t="s">
        <v>212</v>
      </c>
      <c r="D174" s="10" t="s">
        <v>1718</v>
      </c>
      <c r="E174" s="6" t="s">
        <v>1719</v>
      </c>
      <c r="F174" s="6" t="s">
        <v>1397</v>
      </c>
      <c r="G174" s="6" t="s">
        <v>1441</v>
      </c>
      <c r="H174" s="6" t="s">
        <v>1425</v>
      </c>
      <c r="I174" s="6" t="s">
        <v>124</v>
      </c>
      <c r="J174" s="6" t="s">
        <v>1390</v>
      </c>
    </row>
    <row r="175" spans="1:10">
      <c r="A175" s="6" t="s">
        <v>42</v>
      </c>
      <c r="B175" s="6" t="s">
        <v>440</v>
      </c>
      <c r="C175" s="6" t="s">
        <v>212</v>
      </c>
      <c r="D175" s="10" t="s">
        <v>1720</v>
      </c>
      <c r="E175" s="6" t="s">
        <v>1721</v>
      </c>
      <c r="F175" s="6" t="s">
        <v>1397</v>
      </c>
      <c r="G175" s="6" t="s">
        <v>1441</v>
      </c>
      <c r="H175" s="6" t="s">
        <v>1425</v>
      </c>
      <c r="I175" s="6" t="s">
        <v>124</v>
      </c>
      <c r="J175" s="6" t="s">
        <v>1390</v>
      </c>
    </row>
    <row r="176" spans="1:10">
      <c r="A176" s="6" t="s">
        <v>42</v>
      </c>
      <c r="B176" s="6" t="s">
        <v>440</v>
      </c>
      <c r="C176" s="6" t="s">
        <v>212</v>
      </c>
      <c r="D176" s="10" t="s">
        <v>1722</v>
      </c>
      <c r="E176" s="6" t="s">
        <v>1723</v>
      </c>
      <c r="F176" s="6" t="s">
        <v>1397</v>
      </c>
      <c r="G176" s="6" t="s">
        <v>1441</v>
      </c>
      <c r="H176" s="6" t="s">
        <v>1425</v>
      </c>
      <c r="I176" s="6" t="s">
        <v>124</v>
      </c>
      <c r="J176" s="6" t="s">
        <v>1390</v>
      </c>
    </row>
    <row r="177" spans="1:10">
      <c r="A177" s="6" t="s">
        <v>42</v>
      </c>
      <c r="B177" s="6" t="s">
        <v>440</v>
      </c>
      <c r="C177" s="6" t="s">
        <v>212</v>
      </c>
      <c r="D177" s="10" t="s">
        <v>1724</v>
      </c>
      <c r="E177" s="6" t="s">
        <v>1725</v>
      </c>
      <c r="F177" s="6" t="s">
        <v>1397</v>
      </c>
      <c r="G177" s="6" t="s">
        <v>1441</v>
      </c>
      <c r="H177" s="6" t="s">
        <v>1425</v>
      </c>
      <c r="I177" s="6" t="s">
        <v>124</v>
      </c>
      <c r="J177" s="6" t="s">
        <v>1390</v>
      </c>
    </row>
    <row r="178" spans="1:10">
      <c r="A178" s="6" t="s">
        <v>42</v>
      </c>
      <c r="B178" s="6" t="s">
        <v>440</v>
      </c>
      <c r="C178" s="6" t="s">
        <v>212</v>
      </c>
      <c r="D178" s="10" t="s">
        <v>1726</v>
      </c>
      <c r="E178" s="6" t="s">
        <v>1727</v>
      </c>
      <c r="F178" s="6" t="s">
        <v>1397</v>
      </c>
      <c r="G178" s="6" t="s">
        <v>1441</v>
      </c>
      <c r="H178" s="6" t="s">
        <v>1425</v>
      </c>
      <c r="I178" s="6" t="s">
        <v>124</v>
      </c>
      <c r="J178" s="6" t="s">
        <v>1390</v>
      </c>
    </row>
    <row r="179" spans="1:10">
      <c r="A179" s="6" t="s">
        <v>42</v>
      </c>
      <c r="B179" s="6" t="s">
        <v>440</v>
      </c>
      <c r="C179" s="6" t="s">
        <v>212</v>
      </c>
      <c r="D179" s="10" t="s">
        <v>1728</v>
      </c>
      <c r="E179" s="6" t="s">
        <v>1729</v>
      </c>
      <c r="F179" s="6" t="s">
        <v>1397</v>
      </c>
      <c r="G179" s="6" t="s">
        <v>1441</v>
      </c>
      <c r="H179" s="6" t="s">
        <v>1425</v>
      </c>
      <c r="I179" s="6" t="s">
        <v>124</v>
      </c>
      <c r="J179" s="6" t="s">
        <v>1390</v>
      </c>
    </row>
    <row r="180" spans="1:10">
      <c r="A180" s="6" t="s">
        <v>42</v>
      </c>
      <c r="B180" s="6" t="s">
        <v>440</v>
      </c>
      <c r="C180" s="6" t="s">
        <v>212</v>
      </c>
      <c r="D180" s="10" t="s">
        <v>1730</v>
      </c>
      <c r="E180" s="6" t="s">
        <v>1731</v>
      </c>
      <c r="F180" s="6" t="s">
        <v>1397</v>
      </c>
      <c r="G180" s="6" t="s">
        <v>1441</v>
      </c>
      <c r="H180" s="6" t="s">
        <v>1425</v>
      </c>
      <c r="I180" s="6" t="s">
        <v>124</v>
      </c>
      <c r="J180" s="6" t="s">
        <v>1390</v>
      </c>
    </row>
    <row r="181" spans="1:10">
      <c r="A181" s="6" t="s">
        <v>42</v>
      </c>
      <c r="B181" s="6" t="s">
        <v>440</v>
      </c>
      <c r="C181" s="6" t="s">
        <v>212</v>
      </c>
      <c r="D181" s="10" t="s">
        <v>1732</v>
      </c>
      <c r="E181" s="6" t="s">
        <v>1733</v>
      </c>
      <c r="F181" s="6" t="s">
        <v>1397</v>
      </c>
      <c r="G181" s="6" t="s">
        <v>1441</v>
      </c>
      <c r="H181" s="6" t="s">
        <v>1425</v>
      </c>
      <c r="I181" s="6" t="s">
        <v>124</v>
      </c>
      <c r="J181" s="6" t="s">
        <v>1390</v>
      </c>
    </row>
    <row r="182" spans="1:10">
      <c r="A182" s="6" t="s">
        <v>42</v>
      </c>
      <c r="B182" s="6" t="s">
        <v>440</v>
      </c>
      <c r="C182" s="6" t="s">
        <v>212</v>
      </c>
      <c r="D182" s="10" t="s">
        <v>1734</v>
      </c>
      <c r="E182" s="6" t="s">
        <v>1735</v>
      </c>
      <c r="F182" s="6" t="s">
        <v>1397</v>
      </c>
      <c r="G182" s="6" t="s">
        <v>1441</v>
      </c>
      <c r="H182" s="6" t="s">
        <v>1425</v>
      </c>
      <c r="I182" s="6" t="s">
        <v>124</v>
      </c>
      <c r="J182" s="6" t="s">
        <v>1390</v>
      </c>
    </row>
    <row r="183" spans="1:10">
      <c r="A183" s="6" t="s">
        <v>42</v>
      </c>
      <c r="B183" s="6" t="s">
        <v>440</v>
      </c>
      <c r="C183" s="6" t="s">
        <v>212</v>
      </c>
      <c r="D183" s="10" t="s">
        <v>1736</v>
      </c>
      <c r="E183" s="6" t="s">
        <v>1737</v>
      </c>
      <c r="F183" s="6" t="s">
        <v>1397</v>
      </c>
      <c r="G183" s="6" t="s">
        <v>1441</v>
      </c>
      <c r="H183" s="6" t="s">
        <v>1425</v>
      </c>
      <c r="I183" s="6" t="s">
        <v>124</v>
      </c>
      <c r="J183" s="6" t="s">
        <v>1390</v>
      </c>
    </row>
    <row r="184" spans="1:10">
      <c r="A184" s="6" t="s">
        <v>42</v>
      </c>
      <c r="B184" s="6" t="s">
        <v>440</v>
      </c>
      <c r="C184" s="6" t="s">
        <v>212</v>
      </c>
      <c r="D184" s="10" t="s">
        <v>1738</v>
      </c>
      <c r="E184" s="6" t="s">
        <v>1739</v>
      </c>
      <c r="F184" s="6" t="s">
        <v>1397</v>
      </c>
      <c r="G184" s="6" t="s">
        <v>1441</v>
      </c>
      <c r="H184" s="6" t="s">
        <v>1425</v>
      </c>
      <c r="I184" s="6" t="s">
        <v>124</v>
      </c>
      <c r="J184" s="6" t="s">
        <v>1390</v>
      </c>
    </row>
    <row r="185" spans="1:10">
      <c r="A185" s="6" t="s">
        <v>42</v>
      </c>
      <c r="B185" s="6" t="s">
        <v>440</v>
      </c>
      <c r="C185" s="6" t="s">
        <v>212</v>
      </c>
      <c r="D185" s="10" t="s">
        <v>1740</v>
      </c>
      <c r="E185" s="6" t="s">
        <v>1741</v>
      </c>
      <c r="F185" s="6" t="s">
        <v>1397</v>
      </c>
      <c r="G185" s="6" t="s">
        <v>1441</v>
      </c>
      <c r="H185" s="6" t="s">
        <v>1425</v>
      </c>
      <c r="I185" s="6" t="s">
        <v>124</v>
      </c>
      <c r="J185" s="6" t="s">
        <v>1390</v>
      </c>
    </row>
    <row r="186" spans="1:10">
      <c r="A186" s="6" t="s">
        <v>42</v>
      </c>
      <c r="B186" s="6" t="s">
        <v>440</v>
      </c>
      <c r="C186" s="6" t="s">
        <v>212</v>
      </c>
      <c r="D186" s="10" t="s">
        <v>1742</v>
      </c>
      <c r="E186" s="6" t="s">
        <v>1743</v>
      </c>
      <c r="F186" s="6" t="s">
        <v>1397</v>
      </c>
      <c r="G186" s="6" t="s">
        <v>1441</v>
      </c>
      <c r="H186" s="6" t="s">
        <v>1425</v>
      </c>
      <c r="I186" s="6" t="s">
        <v>124</v>
      </c>
      <c r="J186" s="6" t="s">
        <v>1390</v>
      </c>
    </row>
    <row r="187" spans="1:10">
      <c r="A187" s="6" t="s">
        <v>42</v>
      </c>
      <c r="B187" s="6" t="s">
        <v>440</v>
      </c>
      <c r="C187" s="6" t="s">
        <v>212</v>
      </c>
      <c r="D187" s="10" t="s">
        <v>1744</v>
      </c>
      <c r="E187" s="6" t="s">
        <v>1745</v>
      </c>
      <c r="F187" s="6" t="s">
        <v>1397</v>
      </c>
      <c r="G187" s="6" t="s">
        <v>1441</v>
      </c>
      <c r="H187" s="6" t="s">
        <v>1425</v>
      </c>
      <c r="I187" s="6" t="s">
        <v>124</v>
      </c>
      <c r="J187" s="6" t="s">
        <v>1390</v>
      </c>
    </row>
    <row r="188" spans="1:10">
      <c r="A188" s="6" t="s">
        <v>42</v>
      </c>
      <c r="B188" s="6" t="s">
        <v>440</v>
      </c>
      <c r="C188" s="6" t="s">
        <v>212</v>
      </c>
      <c r="D188" s="10" t="s">
        <v>1746</v>
      </c>
      <c r="E188" s="6" t="s">
        <v>1747</v>
      </c>
      <c r="F188" s="6" t="s">
        <v>1397</v>
      </c>
      <c r="G188" s="6" t="s">
        <v>1441</v>
      </c>
      <c r="H188" s="6" t="s">
        <v>1425</v>
      </c>
      <c r="I188" s="6" t="s">
        <v>124</v>
      </c>
      <c r="J188" s="6" t="s">
        <v>1390</v>
      </c>
    </row>
    <row r="189" spans="1:10">
      <c r="A189" s="6" t="s">
        <v>42</v>
      </c>
      <c r="B189" s="6" t="s">
        <v>440</v>
      </c>
      <c r="C189" s="6" t="s">
        <v>212</v>
      </c>
      <c r="D189" s="10" t="s">
        <v>1748</v>
      </c>
      <c r="E189" s="6" t="s">
        <v>1749</v>
      </c>
      <c r="F189" s="6" t="s">
        <v>1397</v>
      </c>
      <c r="G189" s="6" t="s">
        <v>1441</v>
      </c>
      <c r="H189" s="6" t="s">
        <v>1425</v>
      </c>
      <c r="I189" s="6" t="s">
        <v>124</v>
      </c>
      <c r="J189" s="6" t="s">
        <v>1390</v>
      </c>
    </row>
    <row r="190" spans="1:10">
      <c r="A190" s="6" t="s">
        <v>42</v>
      </c>
      <c r="B190" s="6" t="s">
        <v>440</v>
      </c>
      <c r="C190" s="6" t="s">
        <v>212</v>
      </c>
      <c r="D190" s="10" t="s">
        <v>1750</v>
      </c>
      <c r="E190" s="6" t="s">
        <v>1751</v>
      </c>
      <c r="F190" s="6" t="s">
        <v>1397</v>
      </c>
      <c r="G190" s="6" t="s">
        <v>1441</v>
      </c>
      <c r="H190" s="6" t="s">
        <v>1425</v>
      </c>
      <c r="I190" s="6" t="s">
        <v>124</v>
      </c>
      <c r="J190" s="6" t="s">
        <v>1390</v>
      </c>
    </row>
    <row r="191" spans="1:10">
      <c r="A191" s="6" t="s">
        <v>42</v>
      </c>
      <c r="B191" s="6" t="s">
        <v>440</v>
      </c>
      <c r="C191" s="6" t="s">
        <v>212</v>
      </c>
      <c r="D191" s="10" t="s">
        <v>1752</v>
      </c>
      <c r="E191" s="6" t="s">
        <v>1753</v>
      </c>
      <c r="F191" s="6" t="s">
        <v>1397</v>
      </c>
      <c r="G191" s="6" t="s">
        <v>1441</v>
      </c>
      <c r="H191" s="6" t="s">
        <v>1425</v>
      </c>
      <c r="I191" s="6" t="s">
        <v>124</v>
      </c>
      <c r="J191" s="6" t="s">
        <v>1390</v>
      </c>
    </row>
    <row r="192" spans="1:10">
      <c r="A192" s="6" t="s">
        <v>42</v>
      </c>
      <c r="B192" s="6" t="s">
        <v>440</v>
      </c>
      <c r="C192" s="6" t="s">
        <v>212</v>
      </c>
      <c r="D192" s="10" t="s">
        <v>1754</v>
      </c>
      <c r="E192" s="6" t="s">
        <v>1755</v>
      </c>
      <c r="F192" s="6" t="s">
        <v>1397</v>
      </c>
      <c r="G192" s="6" t="s">
        <v>1441</v>
      </c>
      <c r="H192" s="6" t="s">
        <v>1425</v>
      </c>
      <c r="I192" s="6" t="s">
        <v>124</v>
      </c>
      <c r="J192" s="6" t="s">
        <v>1390</v>
      </c>
    </row>
    <row r="193" spans="1:10">
      <c r="A193" s="6" t="s">
        <v>42</v>
      </c>
      <c r="B193" s="6" t="s">
        <v>440</v>
      </c>
      <c r="C193" s="6" t="s">
        <v>212</v>
      </c>
      <c r="D193" s="10" t="s">
        <v>1756</v>
      </c>
      <c r="E193" s="6" t="s">
        <v>1757</v>
      </c>
      <c r="F193" s="6" t="s">
        <v>1397</v>
      </c>
      <c r="G193" s="6" t="s">
        <v>1441</v>
      </c>
      <c r="H193" s="6" t="s">
        <v>1425</v>
      </c>
      <c r="I193" s="6" t="s">
        <v>124</v>
      </c>
      <c r="J193" s="6" t="s">
        <v>1390</v>
      </c>
    </row>
    <row r="194" spans="1:10">
      <c r="A194" s="6" t="s">
        <v>42</v>
      </c>
      <c r="B194" s="6" t="s">
        <v>440</v>
      </c>
      <c r="C194" s="6" t="s">
        <v>212</v>
      </c>
      <c r="D194" s="10" t="s">
        <v>1758</v>
      </c>
      <c r="E194" s="6" t="s">
        <v>1759</v>
      </c>
      <c r="F194" s="6" t="s">
        <v>1397</v>
      </c>
      <c r="G194" s="6" t="s">
        <v>1441</v>
      </c>
      <c r="H194" s="6" t="s">
        <v>1425</v>
      </c>
      <c r="I194" s="6" t="s">
        <v>124</v>
      </c>
      <c r="J194" s="6" t="s">
        <v>1390</v>
      </c>
    </row>
    <row r="195" spans="1:10">
      <c r="A195" s="6" t="s">
        <v>42</v>
      </c>
      <c r="B195" s="6" t="s">
        <v>440</v>
      </c>
      <c r="C195" s="6" t="s">
        <v>212</v>
      </c>
      <c r="D195" s="10" t="s">
        <v>1760</v>
      </c>
      <c r="E195" s="6" t="s">
        <v>1761</v>
      </c>
      <c r="F195" s="6" t="s">
        <v>1397</v>
      </c>
      <c r="G195" s="6" t="s">
        <v>1441</v>
      </c>
      <c r="H195" s="6" t="s">
        <v>1425</v>
      </c>
      <c r="I195" s="6" t="s">
        <v>124</v>
      </c>
      <c r="J195" s="6" t="s">
        <v>1390</v>
      </c>
    </row>
    <row r="196" spans="1:10">
      <c r="A196" s="6" t="s">
        <v>42</v>
      </c>
      <c r="B196" s="6" t="s">
        <v>440</v>
      </c>
      <c r="C196" s="6" t="s">
        <v>212</v>
      </c>
      <c r="D196" s="10" t="s">
        <v>1762</v>
      </c>
      <c r="E196" s="6" t="s">
        <v>1763</v>
      </c>
      <c r="F196" s="6" t="s">
        <v>1397</v>
      </c>
      <c r="G196" s="6" t="s">
        <v>1441</v>
      </c>
      <c r="H196" s="6" t="s">
        <v>1425</v>
      </c>
      <c r="I196" s="6" t="s">
        <v>124</v>
      </c>
      <c r="J196" s="6" t="s">
        <v>1390</v>
      </c>
    </row>
    <row r="197" spans="1:10">
      <c r="A197" s="6" t="s">
        <v>42</v>
      </c>
      <c r="B197" s="6" t="s">
        <v>440</v>
      </c>
      <c r="C197" s="6" t="s">
        <v>212</v>
      </c>
      <c r="D197" s="10" t="s">
        <v>1764</v>
      </c>
      <c r="E197" s="6" t="s">
        <v>1765</v>
      </c>
      <c r="F197" s="6" t="s">
        <v>1397</v>
      </c>
      <c r="G197" s="6" t="s">
        <v>1441</v>
      </c>
      <c r="H197" s="6" t="s">
        <v>1425</v>
      </c>
      <c r="I197" s="6" t="s">
        <v>124</v>
      </c>
      <c r="J197" s="6" t="s">
        <v>1390</v>
      </c>
    </row>
    <row r="198" spans="1:10">
      <c r="A198" s="6" t="s">
        <v>42</v>
      </c>
      <c r="B198" s="6" t="s">
        <v>440</v>
      </c>
      <c r="C198" s="6" t="s">
        <v>212</v>
      </c>
      <c r="D198" s="10" t="s">
        <v>1766</v>
      </c>
      <c r="E198" s="6" t="s">
        <v>1767</v>
      </c>
      <c r="F198" s="6" t="s">
        <v>1397</v>
      </c>
      <c r="G198" s="6" t="s">
        <v>1441</v>
      </c>
      <c r="H198" s="6" t="s">
        <v>1425</v>
      </c>
      <c r="I198" s="6" t="s">
        <v>124</v>
      </c>
      <c r="J198" s="6" t="s">
        <v>1390</v>
      </c>
    </row>
    <row r="199" spans="1:10">
      <c r="A199" s="6" t="s">
        <v>42</v>
      </c>
      <c r="B199" s="6" t="s">
        <v>440</v>
      </c>
      <c r="C199" s="6" t="s">
        <v>212</v>
      </c>
      <c r="D199" s="10" t="s">
        <v>1768</v>
      </c>
      <c r="E199" s="6" t="s">
        <v>1769</v>
      </c>
      <c r="F199" s="6" t="s">
        <v>1397</v>
      </c>
      <c r="G199" s="6" t="s">
        <v>1441</v>
      </c>
      <c r="H199" s="6" t="s">
        <v>1425</v>
      </c>
      <c r="I199" s="6" t="s">
        <v>124</v>
      </c>
      <c r="J199" s="6" t="s">
        <v>1390</v>
      </c>
    </row>
    <row r="200" spans="1:10">
      <c r="A200" s="6" t="s">
        <v>42</v>
      </c>
      <c r="B200" s="6" t="s">
        <v>440</v>
      </c>
      <c r="C200" s="6" t="s">
        <v>212</v>
      </c>
      <c r="D200" s="10" t="s">
        <v>1770</v>
      </c>
      <c r="E200" s="6" t="s">
        <v>1771</v>
      </c>
      <c r="F200" s="6" t="s">
        <v>1397</v>
      </c>
      <c r="G200" s="6" t="s">
        <v>1441</v>
      </c>
      <c r="H200" s="6" t="s">
        <v>1425</v>
      </c>
      <c r="I200" s="6" t="s">
        <v>124</v>
      </c>
      <c r="J200" s="6" t="s">
        <v>1390</v>
      </c>
    </row>
    <row r="201" spans="1:10">
      <c r="A201" s="6" t="s">
        <v>42</v>
      </c>
      <c r="B201" s="6" t="s">
        <v>440</v>
      </c>
      <c r="C201" s="6" t="s">
        <v>212</v>
      </c>
      <c r="D201" s="10" t="s">
        <v>1772</v>
      </c>
      <c r="E201" s="6" t="s">
        <v>1773</v>
      </c>
      <c r="F201" s="6" t="s">
        <v>1397</v>
      </c>
      <c r="G201" s="6" t="s">
        <v>1441</v>
      </c>
      <c r="H201" s="6" t="s">
        <v>1425</v>
      </c>
      <c r="I201" s="6" t="s">
        <v>124</v>
      </c>
      <c r="J201" s="6" t="s">
        <v>1390</v>
      </c>
    </row>
    <row r="202" spans="1:10">
      <c r="A202" s="6" t="s">
        <v>42</v>
      </c>
      <c r="B202" s="6" t="s">
        <v>440</v>
      </c>
      <c r="C202" s="6" t="s">
        <v>212</v>
      </c>
      <c r="D202" s="10" t="s">
        <v>1774</v>
      </c>
      <c r="E202" s="6" t="s">
        <v>1775</v>
      </c>
      <c r="F202" s="6" t="s">
        <v>1397</v>
      </c>
      <c r="G202" s="6" t="s">
        <v>1441</v>
      </c>
      <c r="H202" s="6" t="s">
        <v>1425</v>
      </c>
      <c r="I202" s="6" t="s">
        <v>124</v>
      </c>
      <c r="J202" s="6" t="s">
        <v>1390</v>
      </c>
    </row>
    <row r="203" spans="1:10">
      <c r="A203" s="6" t="s">
        <v>42</v>
      </c>
      <c r="B203" s="6" t="s">
        <v>440</v>
      </c>
      <c r="C203" s="6" t="s">
        <v>212</v>
      </c>
      <c r="D203" s="10" t="s">
        <v>1776</v>
      </c>
      <c r="E203" s="6" t="s">
        <v>1777</v>
      </c>
      <c r="F203" s="6" t="s">
        <v>1397</v>
      </c>
      <c r="G203" s="6" t="s">
        <v>1441</v>
      </c>
      <c r="H203" s="6" t="s">
        <v>1425</v>
      </c>
      <c r="I203" s="6" t="s">
        <v>124</v>
      </c>
      <c r="J203" s="6" t="s">
        <v>1390</v>
      </c>
    </row>
    <row r="204" spans="1:10">
      <c r="A204" s="6" t="s">
        <v>42</v>
      </c>
      <c r="B204" s="6" t="s">
        <v>440</v>
      </c>
      <c r="C204" s="6" t="s">
        <v>212</v>
      </c>
      <c r="D204" s="10" t="s">
        <v>1778</v>
      </c>
      <c r="E204" s="6" t="s">
        <v>1779</v>
      </c>
      <c r="F204" s="6" t="s">
        <v>1397</v>
      </c>
      <c r="G204" s="6" t="s">
        <v>1441</v>
      </c>
      <c r="H204" s="6" t="s">
        <v>1425</v>
      </c>
      <c r="I204" s="6" t="s">
        <v>124</v>
      </c>
      <c r="J204" s="6" t="s">
        <v>1390</v>
      </c>
    </row>
    <row r="205" spans="1:10">
      <c r="A205" s="6" t="s">
        <v>42</v>
      </c>
      <c r="B205" s="6" t="s">
        <v>440</v>
      </c>
      <c r="C205" s="6" t="s">
        <v>212</v>
      </c>
      <c r="D205" s="10" t="s">
        <v>1780</v>
      </c>
      <c r="E205" s="6" t="s">
        <v>1781</v>
      </c>
      <c r="F205" s="6" t="s">
        <v>1397</v>
      </c>
      <c r="G205" s="6" t="s">
        <v>1441</v>
      </c>
      <c r="H205" s="6" t="s">
        <v>1425</v>
      </c>
      <c r="I205" s="6" t="s">
        <v>124</v>
      </c>
      <c r="J205" s="6" t="s">
        <v>1390</v>
      </c>
    </row>
    <row r="206" spans="1:10">
      <c r="A206" s="6" t="s">
        <v>42</v>
      </c>
      <c r="B206" s="6" t="s">
        <v>440</v>
      </c>
      <c r="C206" s="6" t="s">
        <v>212</v>
      </c>
      <c r="D206" s="10" t="s">
        <v>1782</v>
      </c>
      <c r="E206" s="6" t="s">
        <v>1783</v>
      </c>
      <c r="F206" s="6" t="s">
        <v>1397</v>
      </c>
      <c r="G206" s="6" t="s">
        <v>1441</v>
      </c>
      <c r="H206" s="6" t="s">
        <v>1425</v>
      </c>
      <c r="I206" s="6" t="s">
        <v>124</v>
      </c>
      <c r="J206" s="6" t="s">
        <v>1390</v>
      </c>
    </row>
    <row r="207" spans="1:10">
      <c r="A207" s="6" t="s">
        <v>42</v>
      </c>
      <c r="B207" s="6" t="s">
        <v>440</v>
      </c>
      <c r="C207" s="6" t="s">
        <v>212</v>
      </c>
      <c r="D207" s="10" t="s">
        <v>1784</v>
      </c>
      <c r="E207" s="6" t="s">
        <v>1785</v>
      </c>
      <c r="F207" s="6" t="s">
        <v>1397</v>
      </c>
      <c r="G207" s="6" t="s">
        <v>1441</v>
      </c>
      <c r="H207" s="6" t="s">
        <v>1425</v>
      </c>
      <c r="I207" s="6" t="s">
        <v>124</v>
      </c>
      <c r="J207" s="6" t="s">
        <v>1390</v>
      </c>
    </row>
    <row r="208" spans="1:10">
      <c r="A208" s="6" t="s">
        <v>42</v>
      </c>
      <c r="B208" s="6" t="s">
        <v>440</v>
      </c>
      <c r="C208" s="6" t="s">
        <v>212</v>
      </c>
      <c r="D208" s="10" t="s">
        <v>1786</v>
      </c>
      <c r="E208" s="6" t="s">
        <v>1787</v>
      </c>
      <c r="F208" s="6" t="s">
        <v>1397</v>
      </c>
      <c r="G208" s="6" t="s">
        <v>1441</v>
      </c>
      <c r="H208" s="6" t="s">
        <v>1425</v>
      </c>
      <c r="I208" s="6" t="s">
        <v>124</v>
      </c>
      <c r="J208" s="6" t="s">
        <v>1390</v>
      </c>
    </row>
    <row r="209" spans="1:10">
      <c r="A209" s="6" t="s">
        <v>42</v>
      </c>
      <c r="B209" s="6" t="s">
        <v>440</v>
      </c>
      <c r="C209" s="6" t="s">
        <v>212</v>
      </c>
      <c r="D209" s="10" t="s">
        <v>1788</v>
      </c>
      <c r="E209" s="6" t="s">
        <v>1789</v>
      </c>
      <c r="F209" s="6" t="s">
        <v>1397</v>
      </c>
      <c r="G209" s="6" t="s">
        <v>1441</v>
      </c>
      <c r="H209" s="6" t="s">
        <v>1425</v>
      </c>
      <c r="I209" s="6" t="s">
        <v>124</v>
      </c>
      <c r="J209" s="6" t="s">
        <v>1390</v>
      </c>
    </row>
    <row r="210" spans="1:10">
      <c r="A210" s="6" t="s">
        <v>42</v>
      </c>
      <c r="B210" s="6" t="s">
        <v>440</v>
      </c>
      <c r="C210" s="6" t="s">
        <v>212</v>
      </c>
      <c r="D210" s="10" t="s">
        <v>1790</v>
      </c>
      <c r="E210" s="6" t="s">
        <v>1791</v>
      </c>
      <c r="F210" s="6" t="s">
        <v>1397</v>
      </c>
      <c r="G210" s="6" t="s">
        <v>1441</v>
      </c>
      <c r="H210" s="6" t="s">
        <v>1425</v>
      </c>
      <c r="I210" s="6" t="s">
        <v>124</v>
      </c>
      <c r="J210" s="6" t="s">
        <v>1390</v>
      </c>
    </row>
    <row r="211" spans="1:10">
      <c r="A211" s="6" t="s">
        <v>42</v>
      </c>
      <c r="B211" s="6" t="s">
        <v>440</v>
      </c>
      <c r="C211" s="6" t="s">
        <v>212</v>
      </c>
      <c r="D211" s="10" t="s">
        <v>1792</v>
      </c>
      <c r="E211" s="6" t="s">
        <v>1793</v>
      </c>
      <c r="F211" s="6" t="s">
        <v>1397</v>
      </c>
      <c r="G211" s="6" t="s">
        <v>1441</v>
      </c>
      <c r="H211" s="6" t="s">
        <v>1425</v>
      </c>
      <c r="I211" s="6" t="s">
        <v>124</v>
      </c>
      <c r="J211" s="6" t="s">
        <v>1390</v>
      </c>
    </row>
    <row r="212" spans="1:10">
      <c r="A212" s="6" t="s">
        <v>42</v>
      </c>
      <c r="B212" s="6" t="s">
        <v>440</v>
      </c>
      <c r="C212" s="6" t="s">
        <v>212</v>
      </c>
      <c r="D212" s="10" t="s">
        <v>1794</v>
      </c>
      <c r="E212" s="6" t="s">
        <v>1795</v>
      </c>
      <c r="F212" s="6" t="s">
        <v>1397</v>
      </c>
      <c r="G212" s="6" t="s">
        <v>1441</v>
      </c>
      <c r="H212" s="6" t="s">
        <v>1425</v>
      </c>
      <c r="I212" s="6" t="s">
        <v>124</v>
      </c>
      <c r="J212" s="6" t="s">
        <v>1390</v>
      </c>
    </row>
    <row r="213" spans="1:10">
      <c r="A213" s="6" t="s">
        <v>42</v>
      </c>
      <c r="B213" s="6" t="s">
        <v>440</v>
      </c>
      <c r="C213" s="6" t="s">
        <v>212</v>
      </c>
      <c r="D213" s="10" t="s">
        <v>1796</v>
      </c>
      <c r="E213" s="6" t="s">
        <v>1797</v>
      </c>
      <c r="F213" s="6" t="s">
        <v>1397</v>
      </c>
      <c r="G213" s="6" t="s">
        <v>1441</v>
      </c>
      <c r="H213" s="6" t="s">
        <v>1425</v>
      </c>
      <c r="I213" s="6" t="s">
        <v>124</v>
      </c>
      <c r="J213" s="6" t="s">
        <v>1390</v>
      </c>
    </row>
    <row r="214" spans="1:10">
      <c r="A214" s="6" t="s">
        <v>42</v>
      </c>
      <c r="B214" s="6" t="s">
        <v>440</v>
      </c>
      <c r="C214" s="6" t="s">
        <v>212</v>
      </c>
      <c r="D214" s="10" t="s">
        <v>1798</v>
      </c>
      <c r="E214" s="6" t="s">
        <v>1799</v>
      </c>
      <c r="F214" s="6" t="s">
        <v>1397</v>
      </c>
      <c r="G214" s="6" t="s">
        <v>1441</v>
      </c>
      <c r="H214" s="6" t="s">
        <v>1425</v>
      </c>
      <c r="I214" s="6" t="s">
        <v>124</v>
      </c>
      <c r="J214" s="6" t="s">
        <v>1390</v>
      </c>
    </row>
    <row r="215" spans="1:10">
      <c r="A215" s="6" t="s">
        <v>42</v>
      </c>
      <c r="B215" s="6" t="s">
        <v>440</v>
      </c>
      <c r="C215" s="6" t="s">
        <v>212</v>
      </c>
      <c r="D215" s="10" t="s">
        <v>1800</v>
      </c>
      <c r="E215" s="6" t="s">
        <v>1801</v>
      </c>
      <c r="F215" s="6" t="s">
        <v>1397</v>
      </c>
      <c r="G215" s="6" t="s">
        <v>1441</v>
      </c>
      <c r="H215" s="6" t="s">
        <v>1425</v>
      </c>
      <c r="I215" s="6" t="s">
        <v>124</v>
      </c>
      <c r="J215" s="6" t="s">
        <v>1390</v>
      </c>
    </row>
    <row r="216" spans="1:10">
      <c r="A216" s="6" t="s">
        <v>42</v>
      </c>
      <c r="B216" s="6" t="s">
        <v>440</v>
      </c>
      <c r="C216" s="6" t="s">
        <v>212</v>
      </c>
      <c r="D216" s="10" t="s">
        <v>1802</v>
      </c>
      <c r="E216" s="6" t="s">
        <v>1803</v>
      </c>
      <c r="F216" s="6" t="s">
        <v>1397</v>
      </c>
      <c r="G216" s="6" t="s">
        <v>1441</v>
      </c>
      <c r="H216" s="6" t="s">
        <v>1425</v>
      </c>
      <c r="I216" s="6" t="s">
        <v>124</v>
      </c>
      <c r="J216" s="6" t="s">
        <v>1390</v>
      </c>
    </row>
    <row r="217" spans="1:10">
      <c r="A217" s="6" t="s">
        <v>42</v>
      </c>
      <c r="B217" s="6" t="s">
        <v>440</v>
      </c>
      <c r="C217" s="6" t="s">
        <v>212</v>
      </c>
      <c r="D217" s="10" t="s">
        <v>1804</v>
      </c>
      <c r="E217" s="6" t="s">
        <v>1805</v>
      </c>
      <c r="F217" s="6" t="s">
        <v>1397</v>
      </c>
      <c r="G217" s="6" t="s">
        <v>1441</v>
      </c>
      <c r="H217" s="6" t="s">
        <v>1425</v>
      </c>
      <c r="I217" s="6" t="s">
        <v>124</v>
      </c>
      <c r="J217" s="6" t="s">
        <v>1390</v>
      </c>
    </row>
    <row r="218" spans="1:10">
      <c r="A218" s="6" t="s">
        <v>42</v>
      </c>
      <c r="B218" s="6" t="s">
        <v>440</v>
      </c>
      <c r="C218" s="6" t="s">
        <v>212</v>
      </c>
      <c r="D218" s="10" t="s">
        <v>1806</v>
      </c>
      <c r="E218" s="6" t="s">
        <v>1807</v>
      </c>
      <c r="F218" s="6" t="s">
        <v>1397</v>
      </c>
      <c r="G218" s="6" t="s">
        <v>1441</v>
      </c>
      <c r="H218" s="6" t="s">
        <v>1425</v>
      </c>
      <c r="I218" s="6" t="s">
        <v>124</v>
      </c>
      <c r="J218" s="6" t="s">
        <v>1390</v>
      </c>
    </row>
    <row r="219" spans="1:10">
      <c r="A219" s="6" t="s">
        <v>42</v>
      </c>
      <c r="B219" s="6" t="s">
        <v>440</v>
      </c>
      <c r="C219" s="6" t="s">
        <v>212</v>
      </c>
      <c r="D219" s="10" t="s">
        <v>1808</v>
      </c>
      <c r="E219" s="6" t="s">
        <v>1809</v>
      </c>
      <c r="F219" s="6" t="s">
        <v>1397</v>
      </c>
      <c r="G219" s="6" t="s">
        <v>1441</v>
      </c>
      <c r="H219" s="6" t="s">
        <v>1425</v>
      </c>
      <c r="I219" s="6" t="s">
        <v>124</v>
      </c>
      <c r="J219" s="6" t="s">
        <v>1390</v>
      </c>
    </row>
    <row r="220" spans="1:10">
      <c r="A220" s="6" t="s">
        <v>42</v>
      </c>
      <c r="B220" s="6" t="s">
        <v>440</v>
      </c>
      <c r="C220" s="6" t="s">
        <v>212</v>
      </c>
      <c r="D220" s="10" t="s">
        <v>1810</v>
      </c>
      <c r="E220" s="6" t="s">
        <v>1759</v>
      </c>
      <c r="F220" s="6" t="s">
        <v>1397</v>
      </c>
      <c r="G220" s="6" t="s">
        <v>1441</v>
      </c>
      <c r="H220" s="6" t="s">
        <v>1425</v>
      </c>
      <c r="I220" s="6" t="s">
        <v>124</v>
      </c>
      <c r="J220" s="6" t="s">
        <v>1390</v>
      </c>
    </row>
    <row r="221" spans="1:10">
      <c r="A221" s="6" t="s">
        <v>42</v>
      </c>
      <c r="B221" s="6" t="s">
        <v>440</v>
      </c>
      <c r="C221" s="6" t="s">
        <v>212</v>
      </c>
      <c r="D221" s="10" t="s">
        <v>1811</v>
      </c>
      <c r="E221" s="6" t="s">
        <v>1812</v>
      </c>
      <c r="F221" s="6" t="s">
        <v>1397</v>
      </c>
      <c r="G221" s="6" t="s">
        <v>1441</v>
      </c>
      <c r="H221" s="6" t="s">
        <v>1425</v>
      </c>
      <c r="I221" s="6" t="s">
        <v>124</v>
      </c>
      <c r="J221" s="6" t="s">
        <v>1390</v>
      </c>
    </row>
    <row r="222" spans="1:10">
      <c r="A222" s="6" t="s">
        <v>42</v>
      </c>
      <c r="B222" s="6" t="s">
        <v>440</v>
      </c>
      <c r="C222" s="6" t="s">
        <v>212</v>
      </c>
      <c r="D222" s="10" t="s">
        <v>1813</v>
      </c>
      <c r="E222" s="6" t="s">
        <v>1814</v>
      </c>
      <c r="F222" s="6" t="s">
        <v>1397</v>
      </c>
      <c r="G222" s="6" t="s">
        <v>1441</v>
      </c>
      <c r="H222" s="6" t="s">
        <v>1425</v>
      </c>
      <c r="I222" s="6" t="s">
        <v>124</v>
      </c>
      <c r="J222" s="6" t="s">
        <v>1390</v>
      </c>
    </row>
    <row r="223" spans="1:10">
      <c r="A223" s="6" t="s">
        <v>42</v>
      </c>
      <c r="B223" s="6" t="s">
        <v>440</v>
      </c>
      <c r="C223" s="6" t="s">
        <v>212</v>
      </c>
      <c r="D223" s="10" t="s">
        <v>1815</v>
      </c>
      <c r="E223" s="6" t="s">
        <v>1816</v>
      </c>
      <c r="F223" s="6" t="s">
        <v>1397</v>
      </c>
      <c r="G223" s="6" t="s">
        <v>1441</v>
      </c>
      <c r="H223" s="6" t="s">
        <v>1425</v>
      </c>
      <c r="I223" s="6" t="s">
        <v>124</v>
      </c>
      <c r="J223" s="6" t="s">
        <v>1390</v>
      </c>
    </row>
    <row r="224" spans="1:10">
      <c r="A224" s="6" t="s">
        <v>42</v>
      </c>
      <c r="B224" s="6" t="s">
        <v>440</v>
      </c>
      <c r="C224" s="6" t="s">
        <v>212</v>
      </c>
      <c r="D224" s="10" t="s">
        <v>1817</v>
      </c>
      <c r="E224" s="6" t="s">
        <v>1818</v>
      </c>
      <c r="F224" s="6" t="s">
        <v>1397</v>
      </c>
      <c r="G224" s="6" t="s">
        <v>1441</v>
      </c>
      <c r="H224" s="6" t="s">
        <v>1425</v>
      </c>
      <c r="I224" s="6" t="s">
        <v>124</v>
      </c>
      <c r="J224" s="6" t="s">
        <v>1390</v>
      </c>
    </row>
    <row r="225" spans="1:10">
      <c r="A225" s="6" t="s">
        <v>42</v>
      </c>
      <c r="B225" s="6" t="s">
        <v>440</v>
      </c>
      <c r="C225" s="6" t="s">
        <v>212</v>
      </c>
      <c r="D225" s="10" t="s">
        <v>1819</v>
      </c>
      <c r="E225" s="6" t="s">
        <v>1820</v>
      </c>
      <c r="F225" s="6" t="s">
        <v>1397</v>
      </c>
      <c r="G225" s="6" t="s">
        <v>1441</v>
      </c>
      <c r="H225" s="6" t="s">
        <v>1425</v>
      </c>
      <c r="I225" s="6" t="s">
        <v>124</v>
      </c>
      <c r="J225" s="6" t="s">
        <v>1390</v>
      </c>
    </row>
    <row r="226" spans="1:10">
      <c r="A226" s="6" t="s">
        <v>42</v>
      </c>
      <c r="B226" s="6" t="s">
        <v>440</v>
      </c>
      <c r="C226" s="6" t="s">
        <v>212</v>
      </c>
      <c r="D226" s="10" t="s">
        <v>1821</v>
      </c>
      <c r="E226" s="6" t="s">
        <v>1822</v>
      </c>
      <c r="F226" s="6" t="s">
        <v>1397</v>
      </c>
      <c r="G226" s="6" t="s">
        <v>1441</v>
      </c>
      <c r="H226" s="6" t="s">
        <v>1425</v>
      </c>
      <c r="I226" s="6" t="s">
        <v>124</v>
      </c>
      <c r="J226" s="6" t="s">
        <v>1390</v>
      </c>
    </row>
    <row r="227" spans="1:10">
      <c r="A227" s="6" t="s">
        <v>42</v>
      </c>
      <c r="B227" s="6" t="s">
        <v>440</v>
      </c>
      <c r="C227" s="6" t="s">
        <v>212</v>
      </c>
      <c r="D227" s="10" t="s">
        <v>1823</v>
      </c>
      <c r="E227" s="6" t="s">
        <v>1824</v>
      </c>
      <c r="F227" s="6" t="s">
        <v>1397</v>
      </c>
      <c r="G227" s="6" t="s">
        <v>1441</v>
      </c>
      <c r="H227" s="6" t="s">
        <v>1425</v>
      </c>
      <c r="I227" s="6" t="s">
        <v>124</v>
      </c>
      <c r="J227" s="6" t="s">
        <v>1390</v>
      </c>
    </row>
    <row r="228" spans="1:10">
      <c r="A228" s="6" t="s">
        <v>42</v>
      </c>
      <c r="B228" s="6" t="s">
        <v>440</v>
      </c>
      <c r="C228" s="6" t="s">
        <v>212</v>
      </c>
      <c r="D228" s="10" t="s">
        <v>1825</v>
      </c>
      <c r="E228" s="6" t="s">
        <v>1826</v>
      </c>
      <c r="F228" s="6" t="s">
        <v>1397</v>
      </c>
      <c r="G228" s="6" t="s">
        <v>1441</v>
      </c>
      <c r="H228" s="6" t="s">
        <v>1425</v>
      </c>
      <c r="I228" s="6" t="s">
        <v>124</v>
      </c>
      <c r="J228" s="6" t="s">
        <v>1390</v>
      </c>
    </row>
    <row r="229" spans="1:10">
      <c r="A229" s="6" t="s">
        <v>42</v>
      </c>
      <c r="B229" s="6" t="s">
        <v>440</v>
      </c>
      <c r="C229" s="6" t="s">
        <v>212</v>
      </c>
      <c r="D229" s="10" t="s">
        <v>1827</v>
      </c>
      <c r="E229" s="6" t="s">
        <v>1828</v>
      </c>
      <c r="F229" s="6" t="s">
        <v>1397</v>
      </c>
      <c r="G229" s="6" t="s">
        <v>1441</v>
      </c>
      <c r="H229" s="6" t="s">
        <v>1425</v>
      </c>
      <c r="I229" s="6" t="s">
        <v>124</v>
      </c>
      <c r="J229" s="6" t="s">
        <v>1390</v>
      </c>
    </row>
    <row r="230" spans="1:10">
      <c r="A230" s="6" t="s">
        <v>42</v>
      </c>
      <c r="B230" s="6" t="s">
        <v>440</v>
      </c>
      <c r="C230" s="6" t="s">
        <v>212</v>
      </c>
      <c r="D230" s="10" t="s">
        <v>1829</v>
      </c>
      <c r="E230" s="6" t="s">
        <v>1830</v>
      </c>
      <c r="F230" s="6" t="s">
        <v>1397</v>
      </c>
      <c r="G230" s="6" t="s">
        <v>1441</v>
      </c>
      <c r="H230" s="6" t="s">
        <v>1425</v>
      </c>
      <c r="I230" s="6" t="s">
        <v>124</v>
      </c>
      <c r="J230" s="6" t="s">
        <v>1390</v>
      </c>
    </row>
    <row r="231" spans="1:10">
      <c r="A231" s="6" t="s">
        <v>42</v>
      </c>
      <c r="B231" s="6" t="s">
        <v>440</v>
      </c>
      <c r="C231" s="6" t="s">
        <v>212</v>
      </c>
      <c r="D231" s="10" t="s">
        <v>1831</v>
      </c>
      <c r="E231" s="6" t="s">
        <v>1832</v>
      </c>
      <c r="F231" s="6" t="s">
        <v>1397</v>
      </c>
      <c r="G231" s="6" t="s">
        <v>1441</v>
      </c>
      <c r="H231" s="6" t="s">
        <v>1425</v>
      </c>
      <c r="I231" s="6" t="s">
        <v>124</v>
      </c>
      <c r="J231" s="6" t="s">
        <v>1390</v>
      </c>
    </row>
    <row r="232" spans="1:10">
      <c r="A232" s="6" t="s">
        <v>42</v>
      </c>
      <c r="B232" s="6" t="s">
        <v>440</v>
      </c>
      <c r="C232" s="6" t="s">
        <v>212</v>
      </c>
      <c r="D232" s="10" t="s">
        <v>1833</v>
      </c>
      <c r="E232" s="6" t="s">
        <v>1834</v>
      </c>
      <c r="F232" s="6" t="s">
        <v>1397</v>
      </c>
      <c r="G232" s="6" t="s">
        <v>1441</v>
      </c>
      <c r="H232" s="6" t="s">
        <v>1425</v>
      </c>
      <c r="I232" s="6" t="s">
        <v>124</v>
      </c>
      <c r="J232" s="6" t="s">
        <v>1390</v>
      </c>
    </row>
    <row r="233" spans="1:10">
      <c r="A233" s="6" t="s">
        <v>42</v>
      </c>
      <c r="B233" s="6" t="s">
        <v>440</v>
      </c>
      <c r="C233" s="6" t="s">
        <v>212</v>
      </c>
      <c r="D233" s="10" t="s">
        <v>1835</v>
      </c>
      <c r="E233" s="6" t="s">
        <v>1836</v>
      </c>
      <c r="F233" s="6" t="s">
        <v>1397</v>
      </c>
      <c r="G233" s="6" t="s">
        <v>1441</v>
      </c>
      <c r="H233" s="6" t="s">
        <v>1425</v>
      </c>
      <c r="I233" s="6" t="s">
        <v>124</v>
      </c>
      <c r="J233" s="6" t="s">
        <v>1390</v>
      </c>
    </row>
    <row r="234" spans="1:10">
      <c r="A234" s="6" t="s">
        <v>42</v>
      </c>
      <c r="B234" s="6" t="s">
        <v>440</v>
      </c>
      <c r="C234" s="6" t="s">
        <v>212</v>
      </c>
      <c r="D234" s="10" t="s">
        <v>1837</v>
      </c>
      <c r="E234" s="6" t="s">
        <v>1838</v>
      </c>
      <c r="F234" s="6" t="s">
        <v>1397</v>
      </c>
      <c r="G234" s="6" t="s">
        <v>1441</v>
      </c>
      <c r="H234" s="6" t="s">
        <v>1425</v>
      </c>
      <c r="I234" s="6" t="s">
        <v>124</v>
      </c>
      <c r="J234" s="6" t="s">
        <v>1390</v>
      </c>
    </row>
    <row r="235" spans="1:10">
      <c r="A235" s="6" t="s">
        <v>42</v>
      </c>
      <c r="B235" s="6" t="s">
        <v>440</v>
      </c>
      <c r="C235" s="6" t="s">
        <v>212</v>
      </c>
      <c r="D235" s="10" t="s">
        <v>1839</v>
      </c>
      <c r="E235" s="6" t="s">
        <v>1840</v>
      </c>
      <c r="F235" s="6" t="s">
        <v>1397</v>
      </c>
      <c r="G235" s="6" t="s">
        <v>1441</v>
      </c>
      <c r="H235" s="6" t="s">
        <v>1425</v>
      </c>
      <c r="I235" s="6" t="s">
        <v>124</v>
      </c>
      <c r="J235" s="6" t="s">
        <v>1390</v>
      </c>
    </row>
    <row r="236" spans="1:10">
      <c r="A236" s="6" t="s">
        <v>42</v>
      </c>
      <c r="B236" s="6" t="s">
        <v>440</v>
      </c>
      <c r="C236" s="6" t="s">
        <v>212</v>
      </c>
      <c r="D236" s="10" t="s">
        <v>1841</v>
      </c>
      <c r="E236" s="6" t="s">
        <v>1842</v>
      </c>
      <c r="F236" s="6" t="s">
        <v>1397</v>
      </c>
      <c r="G236" s="6" t="s">
        <v>1441</v>
      </c>
      <c r="H236" s="6" t="s">
        <v>1425</v>
      </c>
      <c r="I236" s="6" t="s">
        <v>124</v>
      </c>
      <c r="J236" s="6" t="s">
        <v>1390</v>
      </c>
    </row>
    <row r="237" spans="1:10">
      <c r="A237" s="6" t="s">
        <v>42</v>
      </c>
      <c r="B237" s="6" t="s">
        <v>440</v>
      </c>
      <c r="C237" s="6" t="s">
        <v>212</v>
      </c>
      <c r="D237" s="10" t="s">
        <v>1843</v>
      </c>
      <c r="E237" s="6" t="s">
        <v>1844</v>
      </c>
      <c r="F237" s="6" t="s">
        <v>1397</v>
      </c>
      <c r="G237" s="6" t="s">
        <v>1441</v>
      </c>
      <c r="H237" s="6" t="s">
        <v>1425</v>
      </c>
      <c r="I237" s="6" t="s">
        <v>124</v>
      </c>
      <c r="J237" s="6" t="s">
        <v>1390</v>
      </c>
    </row>
    <row r="238" spans="1:10">
      <c r="A238" s="6" t="s">
        <v>42</v>
      </c>
      <c r="B238" s="6" t="s">
        <v>440</v>
      </c>
      <c r="C238" s="6" t="s">
        <v>212</v>
      </c>
      <c r="D238" s="10" t="s">
        <v>1845</v>
      </c>
      <c r="E238" s="6" t="s">
        <v>1846</v>
      </c>
      <c r="F238" s="6" t="s">
        <v>1397</v>
      </c>
      <c r="G238" s="6" t="s">
        <v>1441</v>
      </c>
      <c r="H238" s="6" t="s">
        <v>1425</v>
      </c>
      <c r="I238" s="6" t="s">
        <v>124</v>
      </c>
      <c r="J238" s="6" t="s">
        <v>1390</v>
      </c>
    </row>
    <row r="239" spans="1:10">
      <c r="A239" s="6" t="s">
        <v>42</v>
      </c>
      <c r="B239" s="6" t="s">
        <v>440</v>
      </c>
      <c r="C239" s="6" t="s">
        <v>212</v>
      </c>
      <c r="D239" s="10" t="s">
        <v>1847</v>
      </c>
      <c r="E239" s="6" t="s">
        <v>1848</v>
      </c>
      <c r="F239" s="6" t="s">
        <v>1397</v>
      </c>
      <c r="G239" s="6" t="s">
        <v>1441</v>
      </c>
      <c r="H239" s="6" t="s">
        <v>1425</v>
      </c>
      <c r="I239" s="6" t="s">
        <v>124</v>
      </c>
      <c r="J239" s="6" t="s">
        <v>1390</v>
      </c>
    </row>
    <row r="240" spans="1:10">
      <c r="A240" s="6" t="s">
        <v>42</v>
      </c>
      <c r="B240" s="6" t="s">
        <v>440</v>
      </c>
      <c r="C240" s="6" t="s">
        <v>212</v>
      </c>
      <c r="D240" s="10" t="s">
        <v>1849</v>
      </c>
      <c r="E240" s="6" t="s">
        <v>1850</v>
      </c>
      <c r="F240" s="6" t="s">
        <v>1397</v>
      </c>
      <c r="G240" s="6" t="s">
        <v>1441</v>
      </c>
      <c r="H240" s="6" t="s">
        <v>1425</v>
      </c>
      <c r="I240" s="6" t="s">
        <v>124</v>
      </c>
      <c r="J240" s="6" t="s">
        <v>1390</v>
      </c>
    </row>
    <row r="241" spans="1:10">
      <c r="A241" s="6" t="s">
        <v>42</v>
      </c>
      <c r="B241" s="6" t="s">
        <v>440</v>
      </c>
      <c r="C241" s="6" t="s">
        <v>212</v>
      </c>
      <c r="D241" s="10" t="s">
        <v>1851</v>
      </c>
      <c r="E241" s="6" t="s">
        <v>1852</v>
      </c>
      <c r="F241" s="6" t="s">
        <v>1397</v>
      </c>
      <c r="G241" s="6" t="s">
        <v>1441</v>
      </c>
      <c r="H241" s="6" t="s">
        <v>1425</v>
      </c>
      <c r="I241" s="6" t="s">
        <v>124</v>
      </c>
      <c r="J241" s="6" t="s">
        <v>1390</v>
      </c>
    </row>
    <row r="242" spans="1:10">
      <c r="A242" s="6" t="s">
        <v>42</v>
      </c>
      <c r="B242" s="6" t="s">
        <v>440</v>
      </c>
      <c r="C242" s="6" t="s">
        <v>212</v>
      </c>
      <c r="D242" s="10" t="s">
        <v>1853</v>
      </c>
      <c r="E242" s="6" t="s">
        <v>1854</v>
      </c>
      <c r="F242" s="6" t="s">
        <v>1397</v>
      </c>
      <c r="G242" s="6" t="s">
        <v>1441</v>
      </c>
      <c r="H242" s="6" t="s">
        <v>1425</v>
      </c>
      <c r="I242" s="6" t="s">
        <v>124</v>
      </c>
      <c r="J242" s="6" t="s">
        <v>1390</v>
      </c>
    </row>
    <row r="243" spans="1:10">
      <c r="A243" s="6" t="s">
        <v>42</v>
      </c>
      <c r="B243" s="6" t="s">
        <v>440</v>
      </c>
      <c r="C243" s="6" t="s">
        <v>212</v>
      </c>
      <c r="D243" s="10" t="s">
        <v>1855</v>
      </c>
      <c r="E243" s="6" t="s">
        <v>1856</v>
      </c>
      <c r="F243" s="6" t="s">
        <v>1397</v>
      </c>
      <c r="G243" s="6" t="s">
        <v>1441</v>
      </c>
      <c r="H243" s="6" t="s">
        <v>1425</v>
      </c>
      <c r="I243" s="6" t="s">
        <v>124</v>
      </c>
      <c r="J243" s="6" t="s">
        <v>1390</v>
      </c>
    </row>
    <row r="244" spans="1:10">
      <c r="A244" s="6" t="s">
        <v>42</v>
      </c>
      <c r="B244" s="6" t="s">
        <v>440</v>
      </c>
      <c r="C244" s="6" t="s">
        <v>212</v>
      </c>
      <c r="D244" s="10" t="s">
        <v>1857</v>
      </c>
      <c r="E244" s="6" t="s">
        <v>1858</v>
      </c>
      <c r="F244" s="6" t="s">
        <v>1397</v>
      </c>
      <c r="G244" s="6" t="s">
        <v>1441</v>
      </c>
      <c r="H244" s="6" t="s">
        <v>1425</v>
      </c>
      <c r="I244" s="6" t="s">
        <v>124</v>
      </c>
      <c r="J244" s="6" t="s">
        <v>1390</v>
      </c>
    </row>
    <row r="245" spans="1:10">
      <c r="A245" s="6" t="s">
        <v>42</v>
      </c>
      <c r="B245" s="6" t="s">
        <v>440</v>
      </c>
      <c r="C245" s="6" t="s">
        <v>212</v>
      </c>
      <c r="D245" s="10" t="s">
        <v>1859</v>
      </c>
      <c r="E245" s="6" t="s">
        <v>1860</v>
      </c>
      <c r="F245" s="6" t="s">
        <v>1397</v>
      </c>
      <c r="G245" s="6" t="s">
        <v>1441</v>
      </c>
      <c r="H245" s="6" t="s">
        <v>1425</v>
      </c>
      <c r="I245" s="6" t="s">
        <v>124</v>
      </c>
      <c r="J245" s="6" t="s">
        <v>1390</v>
      </c>
    </row>
    <row r="246" spans="1:10">
      <c r="A246" s="6" t="s">
        <v>42</v>
      </c>
      <c r="B246" s="6" t="s">
        <v>440</v>
      </c>
      <c r="C246" s="6" t="s">
        <v>212</v>
      </c>
      <c r="D246" s="10" t="s">
        <v>1861</v>
      </c>
      <c r="E246" s="6" t="s">
        <v>1862</v>
      </c>
      <c r="F246" s="6" t="s">
        <v>1397</v>
      </c>
      <c r="G246" s="6" t="s">
        <v>1441</v>
      </c>
      <c r="H246" s="6" t="s">
        <v>1425</v>
      </c>
      <c r="I246" s="6" t="s">
        <v>124</v>
      </c>
      <c r="J246" s="6" t="s">
        <v>1390</v>
      </c>
    </row>
    <row r="247" spans="1:10">
      <c r="A247" s="6" t="s">
        <v>42</v>
      </c>
      <c r="B247" s="6" t="s">
        <v>440</v>
      </c>
      <c r="C247" s="6" t="s">
        <v>212</v>
      </c>
      <c r="D247" s="10" t="s">
        <v>1863</v>
      </c>
      <c r="E247" s="6" t="s">
        <v>1864</v>
      </c>
      <c r="F247" s="6" t="s">
        <v>1397</v>
      </c>
      <c r="G247" s="6" t="s">
        <v>1441</v>
      </c>
      <c r="H247" s="6" t="s">
        <v>1425</v>
      </c>
      <c r="I247" s="6" t="s">
        <v>124</v>
      </c>
      <c r="J247" s="6" t="s">
        <v>1390</v>
      </c>
    </row>
    <row r="248" spans="1:10">
      <c r="A248" s="6" t="s">
        <v>42</v>
      </c>
      <c r="B248" s="6" t="s">
        <v>440</v>
      </c>
      <c r="C248" s="6" t="s">
        <v>212</v>
      </c>
      <c r="D248" s="10" t="s">
        <v>1865</v>
      </c>
      <c r="E248" s="6" t="s">
        <v>1866</v>
      </c>
      <c r="F248" s="6" t="s">
        <v>1397</v>
      </c>
      <c r="G248" s="6" t="s">
        <v>1441</v>
      </c>
      <c r="H248" s="6" t="s">
        <v>1425</v>
      </c>
      <c r="I248" s="6" t="s">
        <v>124</v>
      </c>
      <c r="J248" s="6" t="s">
        <v>1390</v>
      </c>
    </row>
    <row r="249" spans="1:10">
      <c r="A249" s="6" t="s">
        <v>42</v>
      </c>
      <c r="B249" s="6" t="s">
        <v>440</v>
      </c>
      <c r="C249" s="6" t="s">
        <v>212</v>
      </c>
      <c r="D249" s="10" t="s">
        <v>1867</v>
      </c>
      <c r="E249" s="6" t="s">
        <v>1868</v>
      </c>
      <c r="F249" s="6" t="s">
        <v>1397</v>
      </c>
      <c r="G249" s="6" t="s">
        <v>1441</v>
      </c>
      <c r="H249" s="6" t="s">
        <v>1425</v>
      </c>
      <c r="I249" s="6" t="s">
        <v>124</v>
      </c>
      <c r="J249" s="6" t="s">
        <v>1390</v>
      </c>
    </row>
    <row r="250" spans="1:10">
      <c r="A250" s="6" t="s">
        <v>42</v>
      </c>
      <c r="B250" s="6" t="s">
        <v>440</v>
      </c>
      <c r="C250" s="6" t="s">
        <v>212</v>
      </c>
      <c r="D250" s="10" t="s">
        <v>1869</v>
      </c>
      <c r="E250" s="6" t="s">
        <v>1870</v>
      </c>
      <c r="F250" s="6" t="s">
        <v>1397</v>
      </c>
      <c r="G250" s="6" t="s">
        <v>1441</v>
      </c>
      <c r="H250" s="6" t="s">
        <v>1425</v>
      </c>
      <c r="I250" s="6" t="s">
        <v>124</v>
      </c>
      <c r="J250" s="6" t="s">
        <v>1390</v>
      </c>
    </row>
    <row r="251" spans="1:10">
      <c r="A251" s="6" t="s">
        <v>42</v>
      </c>
      <c r="B251" s="6" t="s">
        <v>440</v>
      </c>
      <c r="C251" s="6" t="s">
        <v>212</v>
      </c>
      <c r="D251" s="10" t="s">
        <v>1871</v>
      </c>
      <c r="E251" s="6" t="s">
        <v>1872</v>
      </c>
      <c r="F251" s="6" t="s">
        <v>1397</v>
      </c>
      <c r="G251" s="6" t="s">
        <v>1441</v>
      </c>
      <c r="H251" s="6" t="s">
        <v>1425</v>
      </c>
      <c r="I251" s="6" t="s">
        <v>124</v>
      </c>
      <c r="J251" s="6" t="s">
        <v>1390</v>
      </c>
    </row>
    <row r="252" spans="1:10">
      <c r="A252" s="6" t="s">
        <v>42</v>
      </c>
      <c r="B252" s="6" t="s">
        <v>440</v>
      </c>
      <c r="C252" s="6" t="s">
        <v>212</v>
      </c>
      <c r="D252" s="10" t="s">
        <v>1873</v>
      </c>
      <c r="E252" s="6" t="s">
        <v>1874</v>
      </c>
      <c r="F252" s="6" t="s">
        <v>1397</v>
      </c>
      <c r="G252" s="6" t="s">
        <v>1441</v>
      </c>
      <c r="H252" s="6" t="s">
        <v>1425</v>
      </c>
      <c r="I252" s="6" t="s">
        <v>124</v>
      </c>
      <c r="J252" s="6" t="s">
        <v>1390</v>
      </c>
    </row>
    <row r="253" spans="1:10">
      <c r="A253" s="6" t="s">
        <v>42</v>
      </c>
      <c r="B253" s="6" t="s">
        <v>440</v>
      </c>
      <c r="C253" s="6" t="s">
        <v>212</v>
      </c>
      <c r="D253" s="10" t="s">
        <v>1875</v>
      </c>
      <c r="E253" s="6" t="s">
        <v>1876</v>
      </c>
      <c r="F253" s="6" t="s">
        <v>1397</v>
      </c>
      <c r="G253" s="6" t="s">
        <v>1441</v>
      </c>
      <c r="H253" s="6" t="s">
        <v>1425</v>
      </c>
      <c r="I253" s="6" t="s">
        <v>124</v>
      </c>
      <c r="J253" s="6" t="s">
        <v>1390</v>
      </c>
    </row>
    <row r="254" spans="1:10">
      <c r="A254" s="6" t="s">
        <v>42</v>
      </c>
      <c r="B254" s="6" t="s">
        <v>440</v>
      </c>
      <c r="C254" s="6" t="s">
        <v>212</v>
      </c>
      <c r="D254" s="10" t="s">
        <v>1877</v>
      </c>
      <c r="E254" s="6" t="s">
        <v>1878</v>
      </c>
      <c r="F254" s="6" t="s">
        <v>1397</v>
      </c>
      <c r="G254" s="6" t="s">
        <v>1441</v>
      </c>
      <c r="H254" s="6" t="s">
        <v>1425</v>
      </c>
      <c r="I254" s="6" t="s">
        <v>124</v>
      </c>
      <c r="J254" s="6" t="s">
        <v>1390</v>
      </c>
    </row>
    <row r="255" spans="1:10">
      <c r="A255" s="6" t="s">
        <v>42</v>
      </c>
      <c r="B255" s="6" t="s">
        <v>440</v>
      </c>
      <c r="C255" s="6" t="s">
        <v>212</v>
      </c>
      <c r="D255" s="10" t="s">
        <v>1879</v>
      </c>
      <c r="E255" s="6" t="s">
        <v>1880</v>
      </c>
      <c r="F255" s="6" t="s">
        <v>1397</v>
      </c>
      <c r="G255" s="6" t="s">
        <v>1441</v>
      </c>
      <c r="H255" s="6" t="s">
        <v>1425</v>
      </c>
      <c r="I255" s="6" t="s">
        <v>124</v>
      </c>
      <c r="J255" s="6" t="s">
        <v>1390</v>
      </c>
    </row>
    <row r="256" spans="1:10">
      <c r="A256" s="6" t="s">
        <v>42</v>
      </c>
      <c r="B256" s="6" t="s">
        <v>440</v>
      </c>
      <c r="C256" s="6" t="s">
        <v>212</v>
      </c>
      <c r="D256" s="10" t="s">
        <v>1881</v>
      </c>
      <c r="E256" s="6" t="s">
        <v>1882</v>
      </c>
      <c r="F256" s="6" t="s">
        <v>1397</v>
      </c>
      <c r="G256" s="6" t="s">
        <v>1441</v>
      </c>
      <c r="H256" s="6" t="s">
        <v>1425</v>
      </c>
      <c r="I256" s="6" t="s">
        <v>124</v>
      </c>
      <c r="J256" s="6" t="s">
        <v>1390</v>
      </c>
    </row>
    <row r="257" spans="1:10">
      <c r="A257" s="6" t="s">
        <v>42</v>
      </c>
      <c r="B257" s="6" t="s">
        <v>440</v>
      </c>
      <c r="C257" s="6" t="s">
        <v>212</v>
      </c>
      <c r="D257" s="10" t="s">
        <v>1883</v>
      </c>
      <c r="E257" s="6" t="s">
        <v>1884</v>
      </c>
      <c r="F257" s="6" t="s">
        <v>1397</v>
      </c>
      <c r="G257" s="6" t="s">
        <v>1441</v>
      </c>
      <c r="H257" s="6" t="s">
        <v>1425</v>
      </c>
      <c r="I257" s="6" t="s">
        <v>124</v>
      </c>
      <c r="J257" s="6" t="s">
        <v>1390</v>
      </c>
    </row>
    <row r="258" spans="1:10">
      <c r="A258" s="6" t="s">
        <v>42</v>
      </c>
      <c r="B258" s="6" t="s">
        <v>440</v>
      </c>
      <c r="C258" s="6" t="s">
        <v>212</v>
      </c>
      <c r="D258" s="10" t="s">
        <v>1885</v>
      </c>
      <c r="E258" s="6" t="s">
        <v>1886</v>
      </c>
      <c r="F258" s="6" t="s">
        <v>1397</v>
      </c>
      <c r="G258" s="6" t="s">
        <v>1441</v>
      </c>
      <c r="H258" s="6" t="s">
        <v>1425</v>
      </c>
      <c r="I258" s="6" t="s">
        <v>124</v>
      </c>
      <c r="J258" s="6" t="s">
        <v>1390</v>
      </c>
    </row>
    <row r="259" spans="1:10">
      <c r="A259" s="6" t="s">
        <v>42</v>
      </c>
      <c r="B259" s="6" t="s">
        <v>440</v>
      </c>
      <c r="C259" s="6" t="s">
        <v>212</v>
      </c>
      <c r="D259" s="10" t="s">
        <v>1887</v>
      </c>
      <c r="E259" s="6" t="s">
        <v>1888</v>
      </c>
      <c r="F259" s="6" t="s">
        <v>1397</v>
      </c>
      <c r="G259" s="6" t="s">
        <v>1441</v>
      </c>
      <c r="H259" s="6" t="s">
        <v>1425</v>
      </c>
      <c r="I259" s="6" t="s">
        <v>124</v>
      </c>
      <c r="J259" s="6" t="s">
        <v>1390</v>
      </c>
    </row>
    <row r="260" spans="1:10">
      <c r="A260" s="6" t="s">
        <v>42</v>
      </c>
      <c r="B260" s="6" t="s">
        <v>440</v>
      </c>
      <c r="C260" s="6" t="s">
        <v>212</v>
      </c>
      <c r="D260" s="10" t="s">
        <v>1889</v>
      </c>
      <c r="E260" s="6" t="s">
        <v>1890</v>
      </c>
      <c r="F260" s="6" t="s">
        <v>1397</v>
      </c>
      <c r="G260" s="6" t="s">
        <v>1441</v>
      </c>
      <c r="H260" s="6" t="s">
        <v>1425</v>
      </c>
      <c r="I260" s="6" t="s">
        <v>124</v>
      </c>
      <c r="J260" s="6" t="s">
        <v>1390</v>
      </c>
    </row>
    <row r="261" spans="1:10">
      <c r="A261" s="6" t="s">
        <v>42</v>
      </c>
      <c r="B261" s="6" t="s">
        <v>440</v>
      </c>
      <c r="C261" s="6" t="s">
        <v>212</v>
      </c>
      <c r="D261" s="10" t="s">
        <v>1891</v>
      </c>
      <c r="E261" s="6" t="s">
        <v>1892</v>
      </c>
      <c r="F261" s="6" t="s">
        <v>1397</v>
      </c>
      <c r="G261" s="6" t="s">
        <v>1441</v>
      </c>
      <c r="H261" s="6" t="s">
        <v>1425</v>
      </c>
      <c r="I261" s="6" t="s">
        <v>124</v>
      </c>
      <c r="J261" s="6" t="s">
        <v>1390</v>
      </c>
    </row>
    <row r="262" spans="1:10">
      <c r="A262" s="6" t="s">
        <v>42</v>
      </c>
      <c r="B262" s="6" t="s">
        <v>440</v>
      </c>
      <c r="C262" s="6" t="s">
        <v>212</v>
      </c>
      <c r="D262" s="10" t="s">
        <v>1893</v>
      </c>
      <c r="E262" s="6" t="s">
        <v>1894</v>
      </c>
      <c r="F262" s="6" t="s">
        <v>1397</v>
      </c>
      <c r="G262" s="6" t="s">
        <v>1441</v>
      </c>
      <c r="H262" s="6" t="s">
        <v>1425</v>
      </c>
      <c r="I262" s="6" t="s">
        <v>124</v>
      </c>
      <c r="J262" s="6" t="s">
        <v>1390</v>
      </c>
    </row>
    <row r="263" spans="1:10">
      <c r="A263" s="6" t="s">
        <v>42</v>
      </c>
      <c r="B263" s="6" t="s">
        <v>440</v>
      </c>
      <c r="C263" s="6" t="s">
        <v>212</v>
      </c>
      <c r="D263" s="10" t="s">
        <v>1895</v>
      </c>
      <c r="E263" s="6" t="s">
        <v>1896</v>
      </c>
      <c r="F263" s="6" t="s">
        <v>1397</v>
      </c>
      <c r="G263" s="6" t="s">
        <v>1441</v>
      </c>
      <c r="H263" s="6" t="s">
        <v>1425</v>
      </c>
      <c r="I263" s="6" t="s">
        <v>124</v>
      </c>
      <c r="J263" s="6" t="s">
        <v>1390</v>
      </c>
    </row>
    <row r="264" spans="1:10">
      <c r="A264" s="6" t="s">
        <v>42</v>
      </c>
      <c r="B264" s="6" t="s">
        <v>440</v>
      </c>
      <c r="C264" s="6" t="s">
        <v>212</v>
      </c>
      <c r="D264" s="10" t="s">
        <v>1897</v>
      </c>
      <c r="E264" s="6" t="s">
        <v>1898</v>
      </c>
      <c r="F264" s="6" t="s">
        <v>1397</v>
      </c>
      <c r="G264" s="6" t="s">
        <v>1441</v>
      </c>
      <c r="H264" s="6" t="s">
        <v>1425</v>
      </c>
      <c r="I264" s="6" t="s">
        <v>124</v>
      </c>
      <c r="J264" s="6" t="s">
        <v>1390</v>
      </c>
    </row>
    <row r="265" spans="1:10">
      <c r="A265" s="6" t="s">
        <v>42</v>
      </c>
      <c r="B265" s="6" t="s">
        <v>440</v>
      </c>
      <c r="C265" s="6" t="s">
        <v>212</v>
      </c>
      <c r="D265" s="10" t="s">
        <v>1899</v>
      </c>
      <c r="E265" s="6" t="s">
        <v>1900</v>
      </c>
      <c r="F265" s="6" t="s">
        <v>1397</v>
      </c>
      <c r="G265" s="6" t="s">
        <v>1441</v>
      </c>
      <c r="H265" s="6" t="s">
        <v>1425</v>
      </c>
      <c r="I265" s="6" t="s">
        <v>124</v>
      </c>
      <c r="J265" s="6" t="s">
        <v>1390</v>
      </c>
    </row>
    <row r="266" spans="1:10">
      <c r="A266" s="6" t="s">
        <v>42</v>
      </c>
      <c r="B266" s="6" t="s">
        <v>440</v>
      </c>
      <c r="C266" s="6" t="s">
        <v>212</v>
      </c>
      <c r="D266" s="10" t="s">
        <v>1901</v>
      </c>
      <c r="E266" s="6" t="s">
        <v>1902</v>
      </c>
      <c r="F266" s="6" t="s">
        <v>1397</v>
      </c>
      <c r="G266" s="6" t="s">
        <v>1441</v>
      </c>
      <c r="H266" s="6" t="s">
        <v>1425</v>
      </c>
      <c r="I266" s="6" t="s">
        <v>124</v>
      </c>
      <c r="J266" s="6" t="s">
        <v>1390</v>
      </c>
    </row>
    <row r="267" spans="1:10">
      <c r="A267" s="6" t="s">
        <v>42</v>
      </c>
      <c r="B267" s="6" t="s">
        <v>440</v>
      </c>
      <c r="C267" s="6" t="s">
        <v>212</v>
      </c>
      <c r="D267" s="10" t="s">
        <v>1903</v>
      </c>
      <c r="E267" s="6" t="s">
        <v>1904</v>
      </c>
      <c r="F267" s="6" t="s">
        <v>1397</v>
      </c>
      <c r="G267" s="6" t="s">
        <v>1441</v>
      </c>
      <c r="H267" s="6" t="s">
        <v>1425</v>
      </c>
      <c r="I267" s="6" t="s">
        <v>124</v>
      </c>
      <c r="J267" s="6" t="s">
        <v>1390</v>
      </c>
    </row>
    <row r="268" spans="1:10">
      <c r="A268" s="6" t="s">
        <v>42</v>
      </c>
      <c r="B268" s="6" t="s">
        <v>440</v>
      </c>
      <c r="C268" s="6" t="s">
        <v>212</v>
      </c>
      <c r="D268" s="10" t="s">
        <v>1905</v>
      </c>
      <c r="E268" s="6" t="s">
        <v>1906</v>
      </c>
      <c r="F268" s="6" t="s">
        <v>1397</v>
      </c>
      <c r="G268" s="6" t="s">
        <v>1441</v>
      </c>
      <c r="H268" s="6" t="s">
        <v>1425</v>
      </c>
      <c r="I268" s="6" t="s">
        <v>124</v>
      </c>
      <c r="J268" s="6" t="s">
        <v>1390</v>
      </c>
    </row>
    <row r="269" spans="1:10">
      <c r="A269" s="6" t="s">
        <v>42</v>
      </c>
      <c r="B269" s="6" t="s">
        <v>440</v>
      </c>
      <c r="C269" s="6" t="s">
        <v>212</v>
      </c>
      <c r="D269" s="10" t="s">
        <v>1907</v>
      </c>
      <c r="E269" s="6" t="s">
        <v>1908</v>
      </c>
      <c r="F269" s="6" t="s">
        <v>1397</v>
      </c>
      <c r="G269" s="6" t="s">
        <v>1441</v>
      </c>
      <c r="H269" s="6" t="s">
        <v>1425</v>
      </c>
      <c r="I269" s="6" t="s">
        <v>124</v>
      </c>
      <c r="J269" s="6" t="s">
        <v>1390</v>
      </c>
    </row>
    <row r="270" spans="1:10">
      <c r="A270" s="6" t="s">
        <v>42</v>
      </c>
      <c r="B270" s="6" t="s">
        <v>440</v>
      </c>
      <c r="C270" s="6" t="s">
        <v>212</v>
      </c>
      <c r="D270" s="10" t="s">
        <v>1909</v>
      </c>
      <c r="E270" s="6" t="s">
        <v>1910</v>
      </c>
      <c r="F270" s="6" t="s">
        <v>1397</v>
      </c>
      <c r="G270" s="6" t="s">
        <v>1441</v>
      </c>
      <c r="H270" s="6" t="s">
        <v>1425</v>
      </c>
      <c r="I270" s="6" t="s">
        <v>124</v>
      </c>
      <c r="J270" s="6" t="s">
        <v>1390</v>
      </c>
    </row>
    <row r="271" spans="1:10">
      <c r="A271" s="6" t="s">
        <v>42</v>
      </c>
      <c r="B271" s="6" t="s">
        <v>440</v>
      </c>
      <c r="C271" s="6" t="s">
        <v>212</v>
      </c>
      <c r="D271" s="10" t="s">
        <v>1911</v>
      </c>
      <c r="E271" s="6" t="s">
        <v>1912</v>
      </c>
      <c r="F271" s="6" t="s">
        <v>1397</v>
      </c>
      <c r="G271" s="6" t="s">
        <v>1441</v>
      </c>
      <c r="H271" s="6" t="s">
        <v>1425</v>
      </c>
      <c r="I271" s="6" t="s">
        <v>124</v>
      </c>
      <c r="J271" s="6" t="s">
        <v>1390</v>
      </c>
    </row>
    <row r="272" spans="1:10">
      <c r="A272" s="6" t="s">
        <v>42</v>
      </c>
      <c r="B272" s="6" t="s">
        <v>440</v>
      </c>
      <c r="C272" s="6" t="s">
        <v>212</v>
      </c>
      <c r="D272" s="10" t="s">
        <v>1913</v>
      </c>
      <c r="E272" s="6" t="s">
        <v>1914</v>
      </c>
      <c r="F272" s="6" t="s">
        <v>1397</v>
      </c>
      <c r="G272" s="6" t="s">
        <v>1441</v>
      </c>
      <c r="H272" s="6" t="s">
        <v>1425</v>
      </c>
      <c r="I272" s="6" t="s">
        <v>124</v>
      </c>
      <c r="J272" s="6" t="s">
        <v>1390</v>
      </c>
    </row>
    <row r="273" spans="1:10">
      <c r="A273" s="6" t="s">
        <v>42</v>
      </c>
      <c r="B273" s="6" t="s">
        <v>440</v>
      </c>
      <c r="C273" s="6" t="s">
        <v>212</v>
      </c>
      <c r="D273" s="10" t="s">
        <v>1915</v>
      </c>
      <c r="E273" s="6" t="s">
        <v>1916</v>
      </c>
      <c r="F273" s="6" t="s">
        <v>1397</v>
      </c>
      <c r="G273" s="6" t="s">
        <v>1441</v>
      </c>
      <c r="H273" s="6" t="s">
        <v>1425</v>
      </c>
      <c r="I273" s="6" t="s">
        <v>124</v>
      </c>
      <c r="J273" s="6" t="s">
        <v>1390</v>
      </c>
    </row>
    <row r="274" spans="1:10">
      <c r="A274" s="6" t="s">
        <v>42</v>
      </c>
      <c r="B274" s="6" t="s">
        <v>440</v>
      </c>
      <c r="C274" s="6" t="s">
        <v>212</v>
      </c>
      <c r="D274" s="10" t="s">
        <v>1917</v>
      </c>
      <c r="E274" s="6" t="s">
        <v>1918</v>
      </c>
      <c r="F274" s="6" t="s">
        <v>1397</v>
      </c>
      <c r="G274" s="6" t="s">
        <v>1441</v>
      </c>
      <c r="H274" s="6" t="s">
        <v>1425</v>
      </c>
      <c r="I274" s="6" t="s">
        <v>124</v>
      </c>
      <c r="J274" s="6" t="s">
        <v>1390</v>
      </c>
    </row>
    <row r="275" spans="1:10">
      <c r="A275" s="6" t="s">
        <v>42</v>
      </c>
      <c r="B275" s="6" t="s">
        <v>440</v>
      </c>
      <c r="C275" s="6" t="s">
        <v>212</v>
      </c>
      <c r="D275" s="10" t="s">
        <v>1919</v>
      </c>
      <c r="E275" s="6" t="s">
        <v>1920</v>
      </c>
      <c r="F275" s="6" t="s">
        <v>1397</v>
      </c>
      <c r="G275" s="6" t="s">
        <v>1441</v>
      </c>
      <c r="H275" s="6" t="s">
        <v>1425</v>
      </c>
      <c r="I275" s="6" t="s">
        <v>124</v>
      </c>
      <c r="J275" s="6" t="s">
        <v>1390</v>
      </c>
    </row>
    <row r="276" spans="1:10">
      <c r="A276" s="6" t="s">
        <v>42</v>
      </c>
      <c r="B276" s="6" t="s">
        <v>440</v>
      </c>
      <c r="C276" s="6" t="s">
        <v>212</v>
      </c>
      <c r="D276" s="10" t="s">
        <v>1921</v>
      </c>
      <c r="E276" s="6" t="s">
        <v>1922</v>
      </c>
      <c r="F276" s="6" t="s">
        <v>1397</v>
      </c>
      <c r="G276" s="6" t="s">
        <v>1441</v>
      </c>
      <c r="H276" s="6" t="s">
        <v>1425</v>
      </c>
      <c r="I276" s="6" t="s">
        <v>124</v>
      </c>
      <c r="J276" s="6" t="s">
        <v>1390</v>
      </c>
    </row>
    <row r="277" spans="1:10">
      <c r="A277" s="6" t="s">
        <v>42</v>
      </c>
      <c r="B277" s="6" t="s">
        <v>440</v>
      </c>
      <c r="C277" s="6" t="s">
        <v>212</v>
      </c>
      <c r="D277" s="10" t="s">
        <v>1923</v>
      </c>
      <c r="E277" s="6" t="s">
        <v>1924</v>
      </c>
      <c r="F277" s="6" t="s">
        <v>1397</v>
      </c>
      <c r="G277" s="6" t="s">
        <v>1441</v>
      </c>
      <c r="H277" s="6" t="s">
        <v>1425</v>
      </c>
      <c r="I277" s="6" t="s">
        <v>124</v>
      </c>
      <c r="J277" s="6" t="s">
        <v>1390</v>
      </c>
    </row>
    <row r="278" spans="1:10">
      <c r="A278" s="6" t="s">
        <v>42</v>
      </c>
      <c r="B278" s="6" t="s">
        <v>440</v>
      </c>
      <c r="C278" s="6" t="s">
        <v>212</v>
      </c>
      <c r="D278" s="10" t="s">
        <v>1925</v>
      </c>
      <c r="E278" s="6" t="s">
        <v>1926</v>
      </c>
      <c r="F278" s="6" t="s">
        <v>1397</v>
      </c>
      <c r="G278" s="6" t="s">
        <v>1441</v>
      </c>
      <c r="H278" s="6" t="s">
        <v>1425</v>
      </c>
      <c r="I278" s="6" t="s">
        <v>124</v>
      </c>
      <c r="J278" s="6" t="s">
        <v>1390</v>
      </c>
    </row>
    <row r="279" spans="1:10">
      <c r="A279" s="6" t="s">
        <v>42</v>
      </c>
      <c r="B279" s="6" t="s">
        <v>440</v>
      </c>
      <c r="C279" s="6" t="s">
        <v>212</v>
      </c>
      <c r="D279" s="10" t="s">
        <v>1927</v>
      </c>
      <c r="E279" s="6" t="s">
        <v>1928</v>
      </c>
      <c r="F279" s="6" t="s">
        <v>1397</v>
      </c>
      <c r="G279" s="6" t="s">
        <v>1441</v>
      </c>
      <c r="H279" s="6" t="s">
        <v>1425</v>
      </c>
      <c r="I279" s="6" t="s">
        <v>124</v>
      </c>
      <c r="J279" s="6" t="s">
        <v>1390</v>
      </c>
    </row>
    <row r="280" spans="1:10">
      <c r="A280" s="6" t="s">
        <v>42</v>
      </c>
      <c r="B280" s="6" t="s">
        <v>440</v>
      </c>
      <c r="C280" s="6" t="s">
        <v>212</v>
      </c>
      <c r="D280" s="10" t="s">
        <v>1929</v>
      </c>
      <c r="E280" s="6" t="s">
        <v>1930</v>
      </c>
      <c r="F280" s="6" t="s">
        <v>1397</v>
      </c>
      <c r="G280" s="6" t="s">
        <v>1441</v>
      </c>
      <c r="H280" s="6" t="s">
        <v>1425</v>
      </c>
      <c r="I280" s="6" t="s">
        <v>124</v>
      </c>
      <c r="J280" s="6" t="s">
        <v>1390</v>
      </c>
    </row>
    <row r="281" spans="1:10">
      <c r="A281" s="6" t="s">
        <v>42</v>
      </c>
      <c r="B281" s="6" t="s">
        <v>440</v>
      </c>
      <c r="C281" s="6" t="s">
        <v>212</v>
      </c>
      <c r="D281" s="10" t="s">
        <v>1931</v>
      </c>
      <c r="E281" s="6" t="s">
        <v>1932</v>
      </c>
      <c r="F281" s="6" t="s">
        <v>1397</v>
      </c>
      <c r="G281" s="6" t="s">
        <v>1441</v>
      </c>
      <c r="H281" s="6" t="s">
        <v>1425</v>
      </c>
      <c r="I281" s="6" t="s">
        <v>124</v>
      </c>
      <c r="J281" s="6" t="s">
        <v>1390</v>
      </c>
    </row>
    <row r="282" spans="1:10">
      <c r="A282" s="6" t="s">
        <v>42</v>
      </c>
      <c r="B282" s="6" t="s">
        <v>440</v>
      </c>
      <c r="C282" s="6" t="s">
        <v>212</v>
      </c>
      <c r="D282" s="10" t="s">
        <v>1933</v>
      </c>
      <c r="E282" s="6" t="s">
        <v>1934</v>
      </c>
      <c r="F282" s="6" t="s">
        <v>1397</v>
      </c>
      <c r="G282" s="6" t="s">
        <v>1441</v>
      </c>
      <c r="H282" s="6" t="s">
        <v>1425</v>
      </c>
      <c r="I282" s="6" t="s">
        <v>124</v>
      </c>
      <c r="J282" s="6" t="s">
        <v>1390</v>
      </c>
    </row>
    <row r="283" spans="1:10">
      <c r="A283" s="6" t="s">
        <v>42</v>
      </c>
      <c r="B283" s="6" t="s">
        <v>440</v>
      </c>
      <c r="C283" s="6" t="s">
        <v>212</v>
      </c>
      <c r="D283" s="10" t="s">
        <v>1935</v>
      </c>
      <c r="E283" s="6" t="s">
        <v>1936</v>
      </c>
      <c r="F283" s="6" t="s">
        <v>1397</v>
      </c>
      <c r="G283" s="6" t="s">
        <v>1441</v>
      </c>
      <c r="H283" s="6" t="s">
        <v>1425</v>
      </c>
      <c r="I283" s="6" t="s">
        <v>124</v>
      </c>
      <c r="J283" s="6" t="s">
        <v>1390</v>
      </c>
    </row>
    <row r="284" spans="1:10">
      <c r="A284" s="6" t="s">
        <v>42</v>
      </c>
      <c r="B284" s="6" t="s">
        <v>440</v>
      </c>
      <c r="C284" s="6" t="s">
        <v>212</v>
      </c>
      <c r="D284" s="10" t="s">
        <v>1937</v>
      </c>
      <c r="E284" s="6" t="s">
        <v>1938</v>
      </c>
      <c r="F284" s="6" t="s">
        <v>1397</v>
      </c>
      <c r="G284" s="6" t="s">
        <v>1441</v>
      </c>
      <c r="H284" s="6" t="s">
        <v>1425</v>
      </c>
      <c r="I284" s="6" t="s">
        <v>124</v>
      </c>
      <c r="J284" s="6" t="s">
        <v>1390</v>
      </c>
    </row>
    <row r="285" spans="1:10">
      <c r="A285" s="6" t="s">
        <v>42</v>
      </c>
      <c r="B285" s="6" t="s">
        <v>440</v>
      </c>
      <c r="C285" s="6" t="s">
        <v>212</v>
      </c>
      <c r="D285" s="10" t="s">
        <v>1939</v>
      </c>
      <c r="E285" s="6" t="s">
        <v>1940</v>
      </c>
      <c r="F285" s="6" t="s">
        <v>1397</v>
      </c>
      <c r="G285" s="6" t="s">
        <v>1441</v>
      </c>
      <c r="H285" s="6" t="s">
        <v>1425</v>
      </c>
      <c r="I285" s="6" t="s">
        <v>124</v>
      </c>
      <c r="J285" s="6" t="s">
        <v>1390</v>
      </c>
    </row>
    <row r="286" spans="1:10">
      <c r="A286" s="6" t="s">
        <v>42</v>
      </c>
      <c r="B286" s="6" t="s">
        <v>440</v>
      </c>
      <c r="C286" s="6" t="s">
        <v>212</v>
      </c>
      <c r="D286" s="10" t="s">
        <v>1941</v>
      </c>
      <c r="E286" s="6" t="s">
        <v>1942</v>
      </c>
      <c r="F286" s="6" t="s">
        <v>1397</v>
      </c>
      <c r="G286" s="6" t="s">
        <v>1441</v>
      </c>
      <c r="H286" s="6" t="s">
        <v>1425</v>
      </c>
      <c r="I286" s="6" t="s">
        <v>124</v>
      </c>
      <c r="J286" s="6" t="s">
        <v>1390</v>
      </c>
    </row>
    <row r="287" spans="1:10">
      <c r="A287" s="6" t="s">
        <v>42</v>
      </c>
      <c r="B287" s="6" t="s">
        <v>440</v>
      </c>
      <c r="C287" s="6" t="s">
        <v>212</v>
      </c>
      <c r="D287" s="10" t="s">
        <v>1943</v>
      </c>
      <c r="E287" s="6" t="s">
        <v>1944</v>
      </c>
      <c r="F287" s="6" t="s">
        <v>1397</v>
      </c>
      <c r="G287" s="6" t="s">
        <v>1441</v>
      </c>
      <c r="H287" s="6" t="s">
        <v>1425</v>
      </c>
      <c r="I287" s="6" t="s">
        <v>124</v>
      </c>
      <c r="J287" s="6" t="s">
        <v>1390</v>
      </c>
    </row>
    <row r="288" spans="1:10">
      <c r="A288" s="6" t="s">
        <v>42</v>
      </c>
      <c r="B288" s="6" t="s">
        <v>440</v>
      </c>
      <c r="C288" s="6" t="s">
        <v>212</v>
      </c>
      <c r="D288" s="10" t="s">
        <v>1945</v>
      </c>
      <c r="E288" s="6" t="s">
        <v>1946</v>
      </c>
      <c r="F288" s="6" t="s">
        <v>1397</v>
      </c>
      <c r="G288" s="6" t="s">
        <v>1441</v>
      </c>
      <c r="H288" s="6" t="s">
        <v>1425</v>
      </c>
      <c r="I288" s="6" t="s">
        <v>124</v>
      </c>
      <c r="J288" s="6" t="s">
        <v>1390</v>
      </c>
    </row>
    <row r="289" spans="1:10">
      <c r="A289" s="6" t="s">
        <v>42</v>
      </c>
      <c r="B289" s="6" t="s">
        <v>440</v>
      </c>
      <c r="C289" s="6" t="s">
        <v>212</v>
      </c>
      <c r="D289" s="10" t="s">
        <v>1947</v>
      </c>
      <c r="E289" s="6" t="s">
        <v>1948</v>
      </c>
      <c r="F289" s="6" t="s">
        <v>1397</v>
      </c>
      <c r="G289" s="6" t="s">
        <v>1441</v>
      </c>
      <c r="H289" s="6" t="s">
        <v>1425</v>
      </c>
      <c r="I289" s="6" t="s">
        <v>124</v>
      </c>
      <c r="J289" s="6" t="s">
        <v>1390</v>
      </c>
    </row>
    <row r="290" spans="1:10">
      <c r="A290" s="6" t="s">
        <v>42</v>
      </c>
      <c r="B290" s="6" t="s">
        <v>440</v>
      </c>
      <c r="C290" s="6" t="s">
        <v>212</v>
      </c>
      <c r="D290" s="10" t="s">
        <v>1949</v>
      </c>
      <c r="E290" s="6" t="s">
        <v>1950</v>
      </c>
      <c r="F290" s="6" t="s">
        <v>1397</v>
      </c>
      <c r="G290" s="6" t="s">
        <v>1441</v>
      </c>
      <c r="H290" s="6" t="s">
        <v>1425</v>
      </c>
      <c r="I290" s="6" t="s">
        <v>124</v>
      </c>
      <c r="J290" s="6" t="s">
        <v>1390</v>
      </c>
    </row>
    <row r="291" spans="1:10">
      <c r="A291" s="6" t="s">
        <v>42</v>
      </c>
      <c r="B291" s="6" t="s">
        <v>440</v>
      </c>
      <c r="C291" s="6" t="s">
        <v>212</v>
      </c>
      <c r="D291" s="10" t="s">
        <v>1951</v>
      </c>
      <c r="E291" s="6" t="s">
        <v>1952</v>
      </c>
      <c r="F291" s="6" t="s">
        <v>1397</v>
      </c>
      <c r="G291" s="6" t="s">
        <v>1441</v>
      </c>
      <c r="H291" s="6" t="s">
        <v>1425</v>
      </c>
      <c r="I291" s="6" t="s">
        <v>124</v>
      </c>
      <c r="J291" s="6" t="s">
        <v>1390</v>
      </c>
    </row>
    <row r="292" spans="1:10">
      <c r="A292" s="6" t="s">
        <v>42</v>
      </c>
      <c r="B292" s="6" t="s">
        <v>440</v>
      </c>
      <c r="C292" s="6" t="s">
        <v>212</v>
      </c>
      <c r="D292" s="10" t="s">
        <v>1953</v>
      </c>
      <c r="E292" s="6" t="s">
        <v>1954</v>
      </c>
      <c r="F292" s="6" t="s">
        <v>1397</v>
      </c>
      <c r="G292" s="6" t="s">
        <v>1441</v>
      </c>
      <c r="H292" s="6" t="s">
        <v>1425</v>
      </c>
      <c r="I292" s="6" t="s">
        <v>124</v>
      </c>
      <c r="J292" s="6" t="s">
        <v>1390</v>
      </c>
    </row>
    <row r="293" spans="1:10">
      <c r="A293" s="6" t="s">
        <v>42</v>
      </c>
      <c r="B293" s="6" t="s">
        <v>440</v>
      </c>
      <c r="C293" s="6" t="s">
        <v>212</v>
      </c>
      <c r="D293" s="10" t="s">
        <v>1955</v>
      </c>
      <c r="E293" s="6" t="s">
        <v>1956</v>
      </c>
      <c r="F293" s="6" t="s">
        <v>1397</v>
      </c>
      <c r="G293" s="6" t="s">
        <v>1441</v>
      </c>
      <c r="H293" s="6" t="s">
        <v>1425</v>
      </c>
      <c r="I293" s="6" t="s">
        <v>124</v>
      </c>
      <c r="J293" s="6" t="s">
        <v>1390</v>
      </c>
    </row>
    <row r="294" spans="1:10">
      <c r="A294" s="6" t="s">
        <v>42</v>
      </c>
      <c r="B294" s="6" t="s">
        <v>440</v>
      </c>
      <c r="C294" s="6" t="s">
        <v>212</v>
      </c>
      <c r="D294" s="10" t="s">
        <v>1957</v>
      </c>
      <c r="E294" s="6" t="s">
        <v>1958</v>
      </c>
      <c r="F294" s="6" t="s">
        <v>1397</v>
      </c>
      <c r="G294" s="6" t="s">
        <v>1441</v>
      </c>
      <c r="H294" s="6" t="s">
        <v>1425</v>
      </c>
      <c r="I294" s="6" t="s">
        <v>124</v>
      </c>
      <c r="J294" s="6" t="s">
        <v>1390</v>
      </c>
    </row>
    <row r="295" spans="1:10">
      <c r="A295" s="6" t="s">
        <v>42</v>
      </c>
      <c r="B295" s="6" t="s">
        <v>440</v>
      </c>
      <c r="C295" s="6" t="s">
        <v>212</v>
      </c>
      <c r="D295" s="10" t="s">
        <v>1959</v>
      </c>
      <c r="E295" s="6" t="s">
        <v>1960</v>
      </c>
      <c r="F295" s="6" t="s">
        <v>1397</v>
      </c>
      <c r="G295" s="6" t="s">
        <v>1441</v>
      </c>
      <c r="H295" s="6" t="s">
        <v>1425</v>
      </c>
      <c r="I295" s="6" t="s">
        <v>124</v>
      </c>
      <c r="J295" s="6" t="s">
        <v>1390</v>
      </c>
    </row>
    <row r="296" spans="1:10">
      <c r="A296" s="6" t="s">
        <v>42</v>
      </c>
      <c r="B296" s="6" t="s">
        <v>440</v>
      </c>
      <c r="C296" s="6" t="s">
        <v>212</v>
      </c>
      <c r="D296" s="10" t="s">
        <v>1961</v>
      </c>
      <c r="E296" s="6" t="s">
        <v>1962</v>
      </c>
      <c r="F296" s="6" t="s">
        <v>1397</v>
      </c>
      <c r="G296" s="6" t="s">
        <v>1441</v>
      </c>
      <c r="H296" s="6" t="s">
        <v>1425</v>
      </c>
      <c r="I296" s="6" t="s">
        <v>124</v>
      </c>
      <c r="J296" s="6" t="s">
        <v>1390</v>
      </c>
    </row>
    <row r="297" spans="1:10">
      <c r="A297" s="6" t="s">
        <v>42</v>
      </c>
      <c r="B297" s="6" t="s">
        <v>440</v>
      </c>
      <c r="C297" s="6" t="s">
        <v>212</v>
      </c>
      <c r="D297" s="10" t="s">
        <v>1963</v>
      </c>
      <c r="E297" s="6" t="s">
        <v>1964</v>
      </c>
      <c r="F297" s="6" t="s">
        <v>1397</v>
      </c>
      <c r="G297" s="6" t="s">
        <v>1441</v>
      </c>
      <c r="H297" s="6" t="s">
        <v>1425</v>
      </c>
      <c r="I297" s="6" t="s">
        <v>124</v>
      </c>
      <c r="J297" s="6" t="s">
        <v>1390</v>
      </c>
    </row>
    <row r="298" spans="1:10">
      <c r="A298" s="6" t="s">
        <v>42</v>
      </c>
      <c r="B298" s="6" t="s">
        <v>440</v>
      </c>
      <c r="C298" s="6" t="s">
        <v>212</v>
      </c>
      <c r="D298" s="10" t="s">
        <v>1965</v>
      </c>
      <c r="E298" s="6" t="s">
        <v>1966</v>
      </c>
      <c r="F298" s="6" t="s">
        <v>1397</v>
      </c>
      <c r="G298" s="6" t="s">
        <v>1441</v>
      </c>
      <c r="H298" s="6" t="s">
        <v>1425</v>
      </c>
      <c r="I298" s="6" t="s">
        <v>124</v>
      </c>
      <c r="J298" s="6" t="s">
        <v>1390</v>
      </c>
    </row>
    <row r="299" spans="1:10">
      <c r="A299" s="6" t="s">
        <v>42</v>
      </c>
      <c r="B299" s="6" t="s">
        <v>440</v>
      </c>
      <c r="C299" s="6" t="s">
        <v>212</v>
      </c>
      <c r="D299" s="10" t="s">
        <v>1967</v>
      </c>
      <c r="E299" s="6" t="s">
        <v>1968</v>
      </c>
      <c r="F299" s="6" t="s">
        <v>1397</v>
      </c>
      <c r="G299" s="6" t="s">
        <v>1441</v>
      </c>
      <c r="H299" s="6" t="s">
        <v>1425</v>
      </c>
      <c r="I299" s="6" t="s">
        <v>124</v>
      </c>
      <c r="J299" s="6" t="s">
        <v>1390</v>
      </c>
    </row>
    <row r="300" spans="1:10">
      <c r="A300" s="6" t="s">
        <v>42</v>
      </c>
      <c r="B300" s="6" t="s">
        <v>440</v>
      </c>
      <c r="C300" s="6" t="s">
        <v>212</v>
      </c>
      <c r="D300" s="10" t="s">
        <v>1969</v>
      </c>
      <c r="E300" s="6" t="s">
        <v>1970</v>
      </c>
      <c r="F300" s="6" t="s">
        <v>1397</v>
      </c>
      <c r="G300" s="6" t="s">
        <v>1441</v>
      </c>
      <c r="H300" s="6" t="s">
        <v>1425</v>
      </c>
      <c r="I300" s="6" t="s">
        <v>124</v>
      </c>
      <c r="J300" s="6" t="s">
        <v>1390</v>
      </c>
    </row>
    <row r="301" spans="1:10">
      <c r="A301" s="6" t="s">
        <v>42</v>
      </c>
      <c r="B301" s="6" t="s">
        <v>440</v>
      </c>
      <c r="C301" s="6" t="s">
        <v>212</v>
      </c>
      <c r="D301" s="10" t="s">
        <v>1971</v>
      </c>
      <c r="E301" s="6" t="s">
        <v>1972</v>
      </c>
      <c r="F301" s="6" t="s">
        <v>1397</v>
      </c>
      <c r="G301" s="6" t="s">
        <v>1441</v>
      </c>
      <c r="H301" s="6" t="s">
        <v>1425</v>
      </c>
      <c r="I301" s="6" t="s">
        <v>124</v>
      </c>
      <c r="J301" s="6" t="s">
        <v>1390</v>
      </c>
    </row>
    <row r="302" spans="1:10">
      <c r="A302" s="6" t="s">
        <v>42</v>
      </c>
      <c r="B302" s="6" t="s">
        <v>440</v>
      </c>
      <c r="C302" s="6" t="s">
        <v>212</v>
      </c>
      <c r="D302" s="10" t="s">
        <v>1973</v>
      </c>
      <c r="E302" s="6" t="s">
        <v>1974</v>
      </c>
      <c r="F302" s="6" t="s">
        <v>1397</v>
      </c>
      <c r="G302" s="6" t="s">
        <v>1441</v>
      </c>
      <c r="H302" s="6" t="s">
        <v>1425</v>
      </c>
      <c r="I302" s="6" t="s">
        <v>124</v>
      </c>
      <c r="J302" s="6" t="s">
        <v>1390</v>
      </c>
    </row>
    <row r="303" spans="1:10">
      <c r="A303" s="6" t="s">
        <v>42</v>
      </c>
      <c r="B303" s="6" t="s">
        <v>440</v>
      </c>
      <c r="C303" s="6" t="s">
        <v>212</v>
      </c>
      <c r="D303" s="10" t="s">
        <v>1975</v>
      </c>
      <c r="E303" s="6" t="s">
        <v>1976</v>
      </c>
      <c r="F303" s="6" t="s">
        <v>1397</v>
      </c>
      <c r="G303" s="6" t="s">
        <v>1441</v>
      </c>
      <c r="H303" s="6" t="s">
        <v>1425</v>
      </c>
      <c r="I303" s="6" t="s">
        <v>124</v>
      </c>
      <c r="J303" s="6" t="s">
        <v>1390</v>
      </c>
    </row>
    <row r="304" spans="1:10">
      <c r="A304" s="6" t="s">
        <v>42</v>
      </c>
      <c r="B304" s="6" t="s">
        <v>440</v>
      </c>
      <c r="C304" s="6" t="s">
        <v>212</v>
      </c>
      <c r="D304" s="10" t="s">
        <v>1977</v>
      </c>
      <c r="E304" s="6" t="s">
        <v>1978</v>
      </c>
      <c r="F304" s="6" t="s">
        <v>1397</v>
      </c>
      <c r="G304" s="6" t="s">
        <v>1441</v>
      </c>
      <c r="H304" s="6" t="s">
        <v>1425</v>
      </c>
      <c r="I304" s="6" t="s">
        <v>124</v>
      </c>
      <c r="J304" s="6" t="s">
        <v>1390</v>
      </c>
    </row>
    <row r="305" spans="1:10">
      <c r="A305" s="6" t="s">
        <v>42</v>
      </c>
      <c r="B305" s="6" t="s">
        <v>440</v>
      </c>
      <c r="C305" s="6" t="s">
        <v>212</v>
      </c>
      <c r="D305" s="10" t="s">
        <v>1979</v>
      </c>
      <c r="E305" s="6" t="s">
        <v>1980</v>
      </c>
      <c r="F305" s="6" t="s">
        <v>1397</v>
      </c>
      <c r="G305" s="6" t="s">
        <v>1441</v>
      </c>
      <c r="H305" s="6" t="s">
        <v>1425</v>
      </c>
      <c r="I305" s="6" t="s">
        <v>124</v>
      </c>
      <c r="J305" s="6" t="s">
        <v>1390</v>
      </c>
    </row>
    <row r="306" spans="1:10">
      <c r="A306" s="6" t="s">
        <v>42</v>
      </c>
      <c r="B306" s="6" t="s">
        <v>440</v>
      </c>
      <c r="C306" s="6" t="s">
        <v>212</v>
      </c>
      <c r="D306" s="10" t="s">
        <v>1981</v>
      </c>
      <c r="E306" s="6" t="s">
        <v>1982</v>
      </c>
      <c r="F306" s="6" t="s">
        <v>1397</v>
      </c>
      <c r="G306" s="6" t="s">
        <v>1441</v>
      </c>
      <c r="H306" s="6" t="s">
        <v>1425</v>
      </c>
      <c r="I306" s="6" t="s">
        <v>124</v>
      </c>
      <c r="J306" s="6" t="s">
        <v>1390</v>
      </c>
    </row>
    <row r="307" spans="1:10">
      <c r="A307" s="6" t="s">
        <v>42</v>
      </c>
      <c r="B307" s="6" t="s">
        <v>440</v>
      </c>
      <c r="C307" s="6" t="s">
        <v>212</v>
      </c>
      <c r="D307" s="10" t="s">
        <v>1983</v>
      </c>
      <c r="E307" s="6" t="s">
        <v>1984</v>
      </c>
      <c r="F307" s="6" t="s">
        <v>1397</v>
      </c>
      <c r="G307" s="6" t="s">
        <v>1441</v>
      </c>
      <c r="H307" s="6" t="s">
        <v>1425</v>
      </c>
      <c r="I307" s="6" t="s">
        <v>124</v>
      </c>
      <c r="J307" s="6" t="s">
        <v>1390</v>
      </c>
    </row>
    <row r="308" spans="1:10">
      <c r="A308" s="6" t="s">
        <v>42</v>
      </c>
      <c r="B308" s="6" t="s">
        <v>440</v>
      </c>
      <c r="C308" s="6" t="s">
        <v>212</v>
      </c>
      <c r="D308" s="10" t="s">
        <v>1985</v>
      </c>
      <c r="E308" s="6" t="s">
        <v>1986</v>
      </c>
      <c r="F308" s="6" t="s">
        <v>1397</v>
      </c>
      <c r="G308" s="6" t="s">
        <v>1441</v>
      </c>
      <c r="H308" s="6" t="s">
        <v>1425</v>
      </c>
      <c r="I308" s="6" t="s">
        <v>124</v>
      </c>
      <c r="J308" s="6" t="s">
        <v>1390</v>
      </c>
    </row>
    <row r="309" spans="1:10">
      <c r="A309" s="6" t="s">
        <v>42</v>
      </c>
      <c r="B309" s="6" t="s">
        <v>440</v>
      </c>
      <c r="C309" s="6" t="s">
        <v>212</v>
      </c>
      <c r="D309" s="10" t="s">
        <v>1987</v>
      </c>
      <c r="E309" s="6" t="s">
        <v>1988</v>
      </c>
      <c r="F309" s="6" t="s">
        <v>1397</v>
      </c>
      <c r="G309" s="6" t="s">
        <v>1441</v>
      </c>
      <c r="H309" s="6" t="s">
        <v>1425</v>
      </c>
      <c r="I309" s="6" t="s">
        <v>124</v>
      </c>
      <c r="J309" s="6" t="s">
        <v>1390</v>
      </c>
    </row>
    <row r="310" spans="1:10">
      <c r="A310" s="6" t="s">
        <v>42</v>
      </c>
      <c r="B310" s="6" t="s">
        <v>440</v>
      </c>
      <c r="C310" s="6" t="s">
        <v>212</v>
      </c>
      <c r="D310" s="10" t="s">
        <v>1989</v>
      </c>
      <c r="E310" s="6" t="s">
        <v>1990</v>
      </c>
      <c r="F310" s="6" t="s">
        <v>1397</v>
      </c>
      <c r="G310" s="6" t="s">
        <v>1441</v>
      </c>
      <c r="H310" s="6" t="s">
        <v>1425</v>
      </c>
      <c r="I310" s="6" t="s">
        <v>124</v>
      </c>
      <c r="J310" s="6" t="s">
        <v>1390</v>
      </c>
    </row>
    <row r="311" spans="1:10">
      <c r="A311" s="6" t="s">
        <v>42</v>
      </c>
      <c r="B311" s="6" t="s">
        <v>440</v>
      </c>
      <c r="C311" s="6" t="s">
        <v>212</v>
      </c>
      <c r="D311" s="10" t="s">
        <v>1991</v>
      </c>
      <c r="E311" s="6" t="s">
        <v>1992</v>
      </c>
      <c r="F311" s="6" t="s">
        <v>1397</v>
      </c>
      <c r="G311" s="6" t="s">
        <v>1441</v>
      </c>
      <c r="H311" s="6" t="s">
        <v>1425</v>
      </c>
      <c r="I311" s="6" t="s">
        <v>124</v>
      </c>
      <c r="J311" s="6" t="s">
        <v>1390</v>
      </c>
    </row>
    <row r="312" spans="1:10">
      <c r="A312" s="6" t="s">
        <v>42</v>
      </c>
      <c r="B312" s="6" t="s">
        <v>440</v>
      </c>
      <c r="C312" s="6" t="s">
        <v>212</v>
      </c>
      <c r="D312" s="10" t="s">
        <v>1993</v>
      </c>
      <c r="E312" s="6" t="s">
        <v>1994</v>
      </c>
      <c r="F312" s="6" t="s">
        <v>1397</v>
      </c>
      <c r="G312" s="6" t="s">
        <v>1441</v>
      </c>
      <c r="H312" s="6" t="s">
        <v>1425</v>
      </c>
      <c r="I312" s="6" t="s">
        <v>124</v>
      </c>
      <c r="J312" s="6" t="s">
        <v>1390</v>
      </c>
    </row>
    <row r="313" spans="1:10">
      <c r="A313" s="6" t="s">
        <v>42</v>
      </c>
      <c r="B313" s="6" t="s">
        <v>440</v>
      </c>
      <c r="C313" s="6" t="s">
        <v>212</v>
      </c>
      <c r="D313" s="10" t="s">
        <v>1995</v>
      </c>
      <c r="E313" s="6" t="s">
        <v>1996</v>
      </c>
      <c r="F313" s="6" t="s">
        <v>1397</v>
      </c>
      <c r="G313" s="6" t="s">
        <v>1441</v>
      </c>
      <c r="H313" s="6" t="s">
        <v>1425</v>
      </c>
      <c r="I313" s="6" t="s">
        <v>124</v>
      </c>
      <c r="J313" s="6" t="s">
        <v>1390</v>
      </c>
    </row>
    <row r="314" spans="1:10">
      <c r="A314" s="6" t="s">
        <v>42</v>
      </c>
      <c r="B314" s="6" t="s">
        <v>440</v>
      </c>
      <c r="C314" s="6" t="s">
        <v>212</v>
      </c>
      <c r="D314" s="10" t="s">
        <v>1997</v>
      </c>
      <c r="E314" s="6" t="s">
        <v>1998</v>
      </c>
      <c r="F314" s="6" t="s">
        <v>1397</v>
      </c>
      <c r="G314" s="6" t="s">
        <v>1441</v>
      </c>
      <c r="H314" s="6" t="s">
        <v>1425</v>
      </c>
      <c r="I314" s="6" t="s">
        <v>124</v>
      </c>
      <c r="J314" s="6" t="s">
        <v>1390</v>
      </c>
    </row>
    <row r="315" spans="1:10">
      <c r="A315" s="6" t="s">
        <v>42</v>
      </c>
      <c r="B315" s="6" t="s">
        <v>440</v>
      </c>
      <c r="C315" s="6" t="s">
        <v>212</v>
      </c>
      <c r="D315" s="10" t="s">
        <v>1999</v>
      </c>
      <c r="E315" s="6" t="s">
        <v>2000</v>
      </c>
      <c r="F315" s="6" t="s">
        <v>1397</v>
      </c>
      <c r="G315" s="6" t="s">
        <v>1441</v>
      </c>
      <c r="H315" s="6" t="s">
        <v>1425</v>
      </c>
      <c r="I315" s="6" t="s">
        <v>124</v>
      </c>
      <c r="J315" s="6" t="s">
        <v>1390</v>
      </c>
    </row>
    <row r="316" spans="1:10">
      <c r="A316" s="6" t="s">
        <v>42</v>
      </c>
      <c r="B316" s="6" t="s">
        <v>440</v>
      </c>
      <c r="C316" s="6" t="s">
        <v>212</v>
      </c>
      <c r="D316" s="10" t="s">
        <v>2001</v>
      </c>
      <c r="E316" s="6" t="s">
        <v>2002</v>
      </c>
      <c r="F316" s="6" t="s">
        <v>1397</v>
      </c>
      <c r="G316" s="6" t="s">
        <v>1441</v>
      </c>
      <c r="H316" s="6" t="s">
        <v>1425</v>
      </c>
      <c r="I316" s="6" t="s">
        <v>124</v>
      </c>
      <c r="J316" s="6" t="s">
        <v>1390</v>
      </c>
    </row>
    <row r="317" spans="1:10">
      <c r="A317" s="6" t="s">
        <v>42</v>
      </c>
      <c r="B317" s="6" t="s">
        <v>440</v>
      </c>
      <c r="C317" s="6" t="s">
        <v>212</v>
      </c>
      <c r="D317" s="10" t="s">
        <v>2003</v>
      </c>
      <c r="E317" s="6" t="s">
        <v>2004</v>
      </c>
      <c r="F317" s="6" t="s">
        <v>1397</v>
      </c>
      <c r="G317" s="6" t="s">
        <v>1441</v>
      </c>
      <c r="H317" s="6" t="s">
        <v>1425</v>
      </c>
      <c r="I317" s="6" t="s">
        <v>124</v>
      </c>
      <c r="J317" s="6" t="s">
        <v>1390</v>
      </c>
    </row>
    <row r="318" spans="1:10">
      <c r="A318" s="6" t="s">
        <v>42</v>
      </c>
      <c r="B318" s="6" t="s">
        <v>440</v>
      </c>
      <c r="C318" s="6" t="s">
        <v>212</v>
      </c>
      <c r="D318" s="10" t="s">
        <v>2005</v>
      </c>
      <c r="E318" s="6" t="s">
        <v>2006</v>
      </c>
      <c r="F318" s="6" t="s">
        <v>1397</v>
      </c>
      <c r="G318" s="6" t="s">
        <v>1441</v>
      </c>
      <c r="H318" s="6" t="s">
        <v>1425</v>
      </c>
      <c r="I318" s="6" t="s">
        <v>124</v>
      </c>
      <c r="J318" s="6" t="s">
        <v>1390</v>
      </c>
    </row>
    <row r="319" spans="1:10">
      <c r="A319" s="6" t="s">
        <v>42</v>
      </c>
      <c r="B319" s="6" t="s">
        <v>440</v>
      </c>
      <c r="C319" s="6" t="s">
        <v>212</v>
      </c>
      <c r="D319" s="10" t="s">
        <v>2007</v>
      </c>
      <c r="E319" s="6" t="s">
        <v>2008</v>
      </c>
      <c r="F319" s="6" t="s">
        <v>1397</v>
      </c>
      <c r="G319" s="6" t="s">
        <v>1441</v>
      </c>
      <c r="H319" s="6" t="s">
        <v>1425</v>
      </c>
      <c r="I319" s="6" t="s">
        <v>124</v>
      </c>
      <c r="J319" s="6" t="s">
        <v>1390</v>
      </c>
    </row>
    <row r="320" spans="1:10">
      <c r="A320" s="6" t="s">
        <v>42</v>
      </c>
      <c r="B320" s="6" t="s">
        <v>440</v>
      </c>
      <c r="C320" s="6" t="s">
        <v>212</v>
      </c>
      <c r="D320" s="10" t="s">
        <v>2009</v>
      </c>
      <c r="E320" s="6" t="s">
        <v>2010</v>
      </c>
      <c r="F320" s="6" t="s">
        <v>1397</v>
      </c>
      <c r="G320" s="6" t="s">
        <v>1441</v>
      </c>
      <c r="H320" s="6" t="s">
        <v>1425</v>
      </c>
      <c r="I320" s="6" t="s">
        <v>124</v>
      </c>
      <c r="J320" s="6" t="s">
        <v>1390</v>
      </c>
    </row>
    <row r="321" spans="1:10">
      <c r="A321" s="6" t="s">
        <v>42</v>
      </c>
      <c r="B321" s="6" t="s">
        <v>440</v>
      </c>
      <c r="C321" s="6" t="s">
        <v>212</v>
      </c>
      <c r="D321" s="10" t="s">
        <v>2011</v>
      </c>
      <c r="E321" s="6" t="s">
        <v>2012</v>
      </c>
      <c r="F321" s="6" t="s">
        <v>1397</v>
      </c>
      <c r="G321" s="6" t="s">
        <v>1441</v>
      </c>
      <c r="H321" s="6" t="s">
        <v>1425</v>
      </c>
      <c r="I321" s="6" t="s">
        <v>124</v>
      </c>
      <c r="J321" s="6" t="s">
        <v>1390</v>
      </c>
    </row>
    <row r="322" spans="1:10">
      <c r="A322" s="6" t="s">
        <v>42</v>
      </c>
      <c r="B322" s="6" t="s">
        <v>440</v>
      </c>
      <c r="C322" s="6" t="s">
        <v>212</v>
      </c>
      <c r="D322" s="10" t="s">
        <v>2013</v>
      </c>
      <c r="E322" s="6" t="s">
        <v>2014</v>
      </c>
      <c r="F322" s="6" t="s">
        <v>1397</v>
      </c>
      <c r="G322" s="6" t="s">
        <v>1441</v>
      </c>
      <c r="H322" s="6" t="s">
        <v>1425</v>
      </c>
      <c r="I322" s="6" t="s">
        <v>124</v>
      </c>
      <c r="J322" s="6" t="s">
        <v>1390</v>
      </c>
    </row>
    <row r="323" spans="1:10">
      <c r="A323" s="6" t="s">
        <v>42</v>
      </c>
      <c r="B323" s="6" t="s">
        <v>440</v>
      </c>
      <c r="C323" s="6" t="s">
        <v>212</v>
      </c>
      <c r="D323" s="10" t="s">
        <v>2015</v>
      </c>
      <c r="E323" s="6" t="s">
        <v>2016</v>
      </c>
      <c r="F323" s="6" t="s">
        <v>1397</v>
      </c>
      <c r="G323" s="6" t="s">
        <v>1441</v>
      </c>
      <c r="H323" s="6" t="s">
        <v>1425</v>
      </c>
      <c r="I323" s="6" t="s">
        <v>124</v>
      </c>
      <c r="J323" s="6" t="s">
        <v>1390</v>
      </c>
    </row>
    <row r="324" spans="1:10">
      <c r="A324" s="6" t="s">
        <v>42</v>
      </c>
      <c r="B324" s="6" t="s">
        <v>440</v>
      </c>
      <c r="C324" s="6" t="s">
        <v>212</v>
      </c>
      <c r="D324" s="10" t="s">
        <v>2017</v>
      </c>
      <c r="E324" s="6" t="s">
        <v>2018</v>
      </c>
      <c r="F324" s="6" t="s">
        <v>1397</v>
      </c>
      <c r="G324" s="6" t="s">
        <v>1441</v>
      </c>
      <c r="H324" s="6" t="s">
        <v>1425</v>
      </c>
      <c r="I324" s="6" t="s">
        <v>124</v>
      </c>
      <c r="J324" s="6" t="s">
        <v>1390</v>
      </c>
    </row>
    <row r="325" spans="1:10">
      <c r="A325" s="6" t="s">
        <v>42</v>
      </c>
      <c r="B325" s="6" t="s">
        <v>440</v>
      </c>
      <c r="C325" s="6" t="s">
        <v>212</v>
      </c>
      <c r="D325" s="10" t="s">
        <v>2019</v>
      </c>
      <c r="E325" s="6" t="s">
        <v>2020</v>
      </c>
      <c r="F325" s="6" t="s">
        <v>1397</v>
      </c>
      <c r="G325" s="6" t="s">
        <v>1441</v>
      </c>
      <c r="H325" s="6" t="s">
        <v>1425</v>
      </c>
      <c r="I325" s="6" t="s">
        <v>124</v>
      </c>
      <c r="J325" s="6" t="s">
        <v>1390</v>
      </c>
    </row>
    <row r="326" spans="1:10">
      <c r="A326" s="6" t="s">
        <v>42</v>
      </c>
      <c r="B326" s="6" t="s">
        <v>440</v>
      </c>
      <c r="C326" s="6" t="s">
        <v>212</v>
      </c>
      <c r="D326" s="10" t="s">
        <v>2021</v>
      </c>
      <c r="E326" s="6" t="s">
        <v>2022</v>
      </c>
      <c r="F326" s="6" t="s">
        <v>1397</v>
      </c>
      <c r="G326" s="6" t="s">
        <v>1441</v>
      </c>
      <c r="H326" s="6" t="s">
        <v>1425</v>
      </c>
      <c r="I326" s="6" t="s">
        <v>124</v>
      </c>
      <c r="J326" s="6" t="s">
        <v>1390</v>
      </c>
    </row>
    <row r="327" spans="1:10">
      <c r="A327" s="6" t="s">
        <v>42</v>
      </c>
      <c r="B327" s="6" t="s">
        <v>440</v>
      </c>
      <c r="C327" s="6" t="s">
        <v>212</v>
      </c>
      <c r="D327" s="10" t="s">
        <v>2023</v>
      </c>
      <c r="E327" s="6" t="s">
        <v>2024</v>
      </c>
      <c r="F327" s="6" t="s">
        <v>1397</v>
      </c>
      <c r="G327" s="6" t="s">
        <v>1441</v>
      </c>
      <c r="H327" s="6" t="s">
        <v>1425</v>
      </c>
      <c r="I327" s="6" t="s">
        <v>124</v>
      </c>
      <c r="J327" s="6" t="s">
        <v>1390</v>
      </c>
    </row>
    <row r="328" spans="1:10">
      <c r="A328" s="6" t="s">
        <v>42</v>
      </c>
      <c r="B328" s="6" t="s">
        <v>440</v>
      </c>
      <c r="C328" s="6" t="s">
        <v>212</v>
      </c>
      <c r="D328" s="10" t="s">
        <v>2025</v>
      </c>
      <c r="E328" s="6" t="s">
        <v>2026</v>
      </c>
      <c r="F328" s="6" t="s">
        <v>1397</v>
      </c>
      <c r="G328" s="6" t="s">
        <v>1441</v>
      </c>
      <c r="H328" s="6" t="s">
        <v>1425</v>
      </c>
      <c r="I328" s="6" t="s">
        <v>124</v>
      </c>
      <c r="J328" s="6" t="s">
        <v>1390</v>
      </c>
    </row>
    <row r="329" spans="1:10">
      <c r="A329" s="6" t="s">
        <v>42</v>
      </c>
      <c r="B329" s="6" t="s">
        <v>440</v>
      </c>
      <c r="C329" s="6" t="s">
        <v>212</v>
      </c>
      <c r="D329" s="10" t="s">
        <v>2027</v>
      </c>
      <c r="E329" s="6" t="s">
        <v>2028</v>
      </c>
      <c r="F329" s="6" t="s">
        <v>1397</v>
      </c>
      <c r="G329" s="6" t="s">
        <v>1441</v>
      </c>
      <c r="H329" s="6" t="s">
        <v>1425</v>
      </c>
      <c r="I329" s="6" t="s">
        <v>124</v>
      </c>
      <c r="J329" s="6" t="s">
        <v>1390</v>
      </c>
    </row>
    <row r="330" spans="1:10">
      <c r="A330" s="6" t="s">
        <v>42</v>
      </c>
      <c r="B330" s="6" t="s">
        <v>440</v>
      </c>
      <c r="C330" s="6" t="s">
        <v>212</v>
      </c>
      <c r="D330" s="10" t="s">
        <v>2029</v>
      </c>
      <c r="E330" s="6" t="s">
        <v>2030</v>
      </c>
      <c r="F330" s="6" t="s">
        <v>1397</v>
      </c>
      <c r="G330" s="6" t="s">
        <v>1441</v>
      </c>
      <c r="H330" s="6" t="s">
        <v>1425</v>
      </c>
      <c r="I330" s="6" t="s">
        <v>124</v>
      </c>
      <c r="J330" s="6" t="s">
        <v>1390</v>
      </c>
    </row>
    <row r="331" spans="1:10">
      <c r="A331" s="6" t="s">
        <v>42</v>
      </c>
      <c r="B331" s="6" t="s">
        <v>440</v>
      </c>
      <c r="C331" s="6" t="s">
        <v>212</v>
      </c>
      <c r="D331" s="10" t="s">
        <v>2031</v>
      </c>
      <c r="E331" s="6" t="s">
        <v>2032</v>
      </c>
      <c r="F331" s="6" t="s">
        <v>1397</v>
      </c>
      <c r="G331" s="6" t="s">
        <v>1441</v>
      </c>
      <c r="H331" s="6" t="s">
        <v>1425</v>
      </c>
      <c r="I331" s="6" t="s">
        <v>124</v>
      </c>
      <c r="J331" s="6" t="s">
        <v>1390</v>
      </c>
    </row>
    <row r="332" spans="1:10">
      <c r="A332" s="6" t="s">
        <v>42</v>
      </c>
      <c r="B332" s="6" t="s">
        <v>440</v>
      </c>
      <c r="C332" s="6" t="s">
        <v>212</v>
      </c>
      <c r="D332" s="10" t="s">
        <v>2033</v>
      </c>
      <c r="E332" s="6" t="s">
        <v>2034</v>
      </c>
      <c r="F332" s="6" t="s">
        <v>1397</v>
      </c>
      <c r="G332" s="6" t="s">
        <v>1441</v>
      </c>
      <c r="H332" s="6" t="s">
        <v>1425</v>
      </c>
      <c r="I332" s="6" t="s">
        <v>124</v>
      </c>
      <c r="J332" s="6" t="s">
        <v>1390</v>
      </c>
    </row>
    <row r="333" spans="1:10">
      <c r="A333" s="6" t="s">
        <v>42</v>
      </c>
      <c r="B333" s="6" t="s">
        <v>440</v>
      </c>
      <c r="C333" s="6" t="s">
        <v>212</v>
      </c>
      <c r="D333" s="10" t="s">
        <v>2035</v>
      </c>
      <c r="E333" s="6" t="s">
        <v>2036</v>
      </c>
      <c r="F333" s="6" t="s">
        <v>1397</v>
      </c>
      <c r="G333" s="6" t="s">
        <v>1441</v>
      </c>
      <c r="H333" s="6" t="s">
        <v>1425</v>
      </c>
      <c r="I333" s="6" t="s">
        <v>124</v>
      </c>
      <c r="J333" s="6" t="s">
        <v>1390</v>
      </c>
    </row>
    <row r="334" spans="1:10">
      <c r="A334" s="6" t="s">
        <v>42</v>
      </c>
      <c r="B334" s="6" t="s">
        <v>440</v>
      </c>
      <c r="C334" s="6" t="s">
        <v>212</v>
      </c>
      <c r="D334" s="10" t="s">
        <v>2037</v>
      </c>
      <c r="E334" s="6" t="s">
        <v>2038</v>
      </c>
      <c r="F334" s="6" t="s">
        <v>1397</v>
      </c>
      <c r="G334" s="6" t="s">
        <v>1441</v>
      </c>
      <c r="H334" s="6" t="s">
        <v>1425</v>
      </c>
      <c r="I334" s="6" t="s">
        <v>124</v>
      </c>
      <c r="J334" s="6" t="s">
        <v>1390</v>
      </c>
    </row>
    <row r="335" spans="1:10">
      <c r="A335" s="6" t="s">
        <v>42</v>
      </c>
      <c r="B335" s="6" t="s">
        <v>440</v>
      </c>
      <c r="C335" s="6" t="s">
        <v>212</v>
      </c>
      <c r="D335" s="10" t="s">
        <v>2039</v>
      </c>
      <c r="E335" s="6" t="s">
        <v>2040</v>
      </c>
      <c r="F335" s="6" t="s">
        <v>1397</v>
      </c>
      <c r="G335" s="6" t="s">
        <v>1441</v>
      </c>
      <c r="H335" s="6" t="s">
        <v>1425</v>
      </c>
      <c r="I335" s="6" t="s">
        <v>124</v>
      </c>
      <c r="J335" s="6" t="s">
        <v>1390</v>
      </c>
    </row>
    <row r="336" spans="1:10">
      <c r="A336" s="6" t="s">
        <v>42</v>
      </c>
      <c r="B336" s="6" t="s">
        <v>440</v>
      </c>
      <c r="C336" s="6" t="s">
        <v>212</v>
      </c>
      <c r="D336" s="10" t="s">
        <v>2041</v>
      </c>
      <c r="E336" s="6" t="s">
        <v>2042</v>
      </c>
      <c r="F336" s="6" t="s">
        <v>1397</v>
      </c>
      <c r="G336" s="6" t="s">
        <v>1441</v>
      </c>
      <c r="H336" s="6" t="s">
        <v>1425</v>
      </c>
      <c r="I336" s="6" t="s">
        <v>124</v>
      </c>
      <c r="J336" s="6" t="s">
        <v>1390</v>
      </c>
    </row>
    <row r="337" spans="1:10">
      <c r="A337" s="6" t="s">
        <v>42</v>
      </c>
      <c r="B337" s="6" t="s">
        <v>440</v>
      </c>
      <c r="C337" s="6" t="s">
        <v>212</v>
      </c>
      <c r="D337" s="10" t="s">
        <v>2043</v>
      </c>
      <c r="E337" s="6" t="s">
        <v>2044</v>
      </c>
      <c r="F337" s="6" t="s">
        <v>1397</v>
      </c>
      <c r="G337" s="6" t="s">
        <v>1441</v>
      </c>
      <c r="H337" s="6" t="s">
        <v>1425</v>
      </c>
      <c r="I337" s="6" t="s">
        <v>124</v>
      </c>
      <c r="J337" s="6" t="s">
        <v>1390</v>
      </c>
    </row>
    <row r="338" spans="1:10">
      <c r="A338" s="6" t="s">
        <v>42</v>
      </c>
      <c r="B338" s="6" t="s">
        <v>440</v>
      </c>
      <c r="C338" s="6" t="s">
        <v>212</v>
      </c>
      <c r="D338" s="10" t="s">
        <v>2045</v>
      </c>
      <c r="E338" s="6" t="s">
        <v>2046</v>
      </c>
      <c r="F338" s="6" t="s">
        <v>1397</v>
      </c>
      <c r="G338" s="6" t="s">
        <v>1441</v>
      </c>
      <c r="H338" s="6" t="s">
        <v>1425</v>
      </c>
      <c r="I338" s="6" t="s">
        <v>124</v>
      </c>
      <c r="J338" s="6" t="s">
        <v>1390</v>
      </c>
    </row>
    <row r="339" spans="1:10">
      <c r="A339" s="6" t="s">
        <v>42</v>
      </c>
      <c r="B339" s="6" t="s">
        <v>440</v>
      </c>
      <c r="C339" s="6" t="s">
        <v>212</v>
      </c>
      <c r="D339" s="10" t="s">
        <v>2047</v>
      </c>
      <c r="E339" s="6" t="s">
        <v>2048</v>
      </c>
      <c r="F339" s="6" t="s">
        <v>1397</v>
      </c>
      <c r="G339" s="6" t="s">
        <v>1441</v>
      </c>
      <c r="H339" s="6" t="s">
        <v>1425</v>
      </c>
      <c r="I339" s="6" t="s">
        <v>124</v>
      </c>
      <c r="J339" s="6" t="s">
        <v>1390</v>
      </c>
    </row>
    <row r="340" spans="1:10">
      <c r="A340" s="6" t="s">
        <v>42</v>
      </c>
      <c r="B340" s="6" t="s">
        <v>440</v>
      </c>
      <c r="C340" s="6" t="s">
        <v>212</v>
      </c>
      <c r="D340" s="10" t="s">
        <v>2049</v>
      </c>
      <c r="E340" s="6" t="s">
        <v>2050</v>
      </c>
      <c r="F340" s="6" t="s">
        <v>1397</v>
      </c>
      <c r="G340" s="6" t="s">
        <v>1441</v>
      </c>
      <c r="H340" s="6" t="s">
        <v>1425</v>
      </c>
      <c r="I340" s="6" t="s">
        <v>124</v>
      </c>
      <c r="J340" s="6" t="s">
        <v>1390</v>
      </c>
    </row>
    <row r="341" spans="1:10">
      <c r="A341" s="6" t="s">
        <v>42</v>
      </c>
      <c r="B341" s="6" t="s">
        <v>440</v>
      </c>
      <c r="C341" s="6" t="s">
        <v>212</v>
      </c>
      <c r="D341" s="10" t="s">
        <v>2051</v>
      </c>
      <c r="E341" s="6" t="s">
        <v>2052</v>
      </c>
      <c r="F341" s="6" t="s">
        <v>1397</v>
      </c>
      <c r="G341" s="6" t="s">
        <v>1441</v>
      </c>
      <c r="H341" s="6" t="s">
        <v>1425</v>
      </c>
      <c r="I341" s="6" t="s">
        <v>124</v>
      </c>
      <c r="J341" s="6" t="s">
        <v>1390</v>
      </c>
    </row>
    <row r="342" spans="1:10">
      <c r="A342" s="6" t="s">
        <v>42</v>
      </c>
      <c r="B342" s="6" t="s">
        <v>440</v>
      </c>
      <c r="C342" s="6" t="s">
        <v>212</v>
      </c>
      <c r="D342" s="10" t="s">
        <v>2053</v>
      </c>
      <c r="E342" s="6" t="s">
        <v>2054</v>
      </c>
      <c r="F342" s="6" t="s">
        <v>1397</v>
      </c>
      <c r="G342" s="6" t="s">
        <v>1441</v>
      </c>
      <c r="H342" s="6" t="s">
        <v>1425</v>
      </c>
      <c r="I342" s="6" t="s">
        <v>124</v>
      </c>
      <c r="J342" s="6" t="s">
        <v>1390</v>
      </c>
    </row>
    <row r="343" spans="1:10">
      <c r="A343" s="6" t="s">
        <v>42</v>
      </c>
      <c r="B343" s="6" t="s">
        <v>440</v>
      </c>
      <c r="C343" s="6" t="s">
        <v>212</v>
      </c>
      <c r="D343" s="10" t="s">
        <v>2055</v>
      </c>
      <c r="E343" s="6" t="s">
        <v>2056</v>
      </c>
      <c r="F343" s="6" t="s">
        <v>1397</v>
      </c>
      <c r="G343" s="6" t="s">
        <v>1441</v>
      </c>
      <c r="H343" s="6" t="s">
        <v>1425</v>
      </c>
      <c r="I343" s="6" t="s">
        <v>124</v>
      </c>
      <c r="J343" s="6" t="s">
        <v>1390</v>
      </c>
    </row>
    <row r="344" spans="1:10">
      <c r="A344" s="6" t="s">
        <v>42</v>
      </c>
      <c r="B344" s="6" t="s">
        <v>440</v>
      </c>
      <c r="C344" s="6" t="s">
        <v>212</v>
      </c>
      <c r="D344" s="10" t="s">
        <v>2057</v>
      </c>
      <c r="E344" s="6" t="s">
        <v>2058</v>
      </c>
      <c r="F344" s="6" t="s">
        <v>1397</v>
      </c>
      <c r="G344" s="6" t="s">
        <v>1441</v>
      </c>
      <c r="H344" s="6" t="s">
        <v>1425</v>
      </c>
      <c r="I344" s="6" t="s">
        <v>124</v>
      </c>
      <c r="J344" s="6" t="s">
        <v>1390</v>
      </c>
    </row>
    <row r="345" spans="1:10">
      <c r="A345" s="6" t="s">
        <v>42</v>
      </c>
      <c r="B345" s="6" t="s">
        <v>440</v>
      </c>
      <c r="C345" s="6" t="s">
        <v>212</v>
      </c>
      <c r="D345" s="10" t="s">
        <v>2059</v>
      </c>
      <c r="E345" s="6" t="s">
        <v>2060</v>
      </c>
      <c r="F345" s="6" t="s">
        <v>1397</v>
      </c>
      <c r="G345" s="6" t="s">
        <v>1441</v>
      </c>
      <c r="H345" s="6" t="s">
        <v>1425</v>
      </c>
      <c r="I345" s="6" t="s">
        <v>124</v>
      </c>
      <c r="J345" s="6" t="s">
        <v>1390</v>
      </c>
    </row>
    <row r="346" spans="1:10">
      <c r="A346" s="6" t="s">
        <v>42</v>
      </c>
      <c r="B346" s="6" t="s">
        <v>440</v>
      </c>
      <c r="C346" s="6" t="s">
        <v>212</v>
      </c>
      <c r="D346" s="10" t="s">
        <v>2061</v>
      </c>
      <c r="E346" s="6" t="s">
        <v>2062</v>
      </c>
      <c r="F346" s="6" t="s">
        <v>1397</v>
      </c>
      <c r="G346" s="6" t="s">
        <v>1441</v>
      </c>
      <c r="H346" s="6" t="s">
        <v>1425</v>
      </c>
      <c r="I346" s="6" t="s">
        <v>124</v>
      </c>
      <c r="J346" s="6" t="s">
        <v>1390</v>
      </c>
    </row>
    <row r="347" spans="1:10">
      <c r="A347" s="6" t="s">
        <v>42</v>
      </c>
      <c r="B347" s="6" t="s">
        <v>440</v>
      </c>
      <c r="C347" s="6" t="s">
        <v>212</v>
      </c>
      <c r="D347" s="10" t="s">
        <v>2063</v>
      </c>
      <c r="E347" s="6" t="s">
        <v>2064</v>
      </c>
      <c r="F347" s="6" t="s">
        <v>1397</v>
      </c>
      <c r="G347" s="6" t="s">
        <v>1441</v>
      </c>
      <c r="H347" s="6" t="s">
        <v>1425</v>
      </c>
      <c r="I347" s="6" t="s">
        <v>124</v>
      </c>
      <c r="J347" s="6" t="s">
        <v>1390</v>
      </c>
    </row>
    <row r="348" spans="1:10">
      <c r="A348" s="6" t="s">
        <v>42</v>
      </c>
      <c r="B348" s="6" t="s">
        <v>440</v>
      </c>
      <c r="C348" s="6" t="s">
        <v>212</v>
      </c>
      <c r="D348" s="10" t="s">
        <v>2065</v>
      </c>
      <c r="E348" s="6" t="s">
        <v>2066</v>
      </c>
      <c r="F348" s="6" t="s">
        <v>1397</v>
      </c>
      <c r="G348" s="6" t="s">
        <v>1441</v>
      </c>
      <c r="H348" s="6" t="s">
        <v>1425</v>
      </c>
      <c r="I348" s="6" t="s">
        <v>124</v>
      </c>
      <c r="J348" s="6" t="s">
        <v>1390</v>
      </c>
    </row>
    <row r="349" spans="1:10">
      <c r="A349" s="6" t="s">
        <v>42</v>
      </c>
      <c r="B349" s="6" t="s">
        <v>440</v>
      </c>
      <c r="C349" s="6" t="s">
        <v>212</v>
      </c>
      <c r="D349" s="10" t="s">
        <v>2067</v>
      </c>
      <c r="E349" s="6" t="s">
        <v>2068</v>
      </c>
      <c r="F349" s="6" t="s">
        <v>1397</v>
      </c>
      <c r="G349" s="6" t="s">
        <v>1441</v>
      </c>
      <c r="H349" s="6" t="s">
        <v>1425</v>
      </c>
      <c r="I349" s="6" t="s">
        <v>124</v>
      </c>
      <c r="J349" s="6" t="s">
        <v>1390</v>
      </c>
    </row>
    <row r="350" spans="1:10">
      <c r="A350" s="6" t="s">
        <v>42</v>
      </c>
      <c r="B350" s="6" t="s">
        <v>440</v>
      </c>
      <c r="C350" s="6" t="s">
        <v>212</v>
      </c>
      <c r="D350" s="10" t="s">
        <v>2069</v>
      </c>
      <c r="E350" s="6" t="s">
        <v>2070</v>
      </c>
      <c r="F350" s="6" t="s">
        <v>1397</v>
      </c>
      <c r="G350" s="6" t="s">
        <v>1441</v>
      </c>
      <c r="H350" s="6" t="s">
        <v>1425</v>
      </c>
      <c r="I350" s="6" t="s">
        <v>124</v>
      </c>
      <c r="J350" s="6" t="s">
        <v>1390</v>
      </c>
    </row>
    <row r="351" spans="1:10">
      <c r="A351" s="6" t="s">
        <v>42</v>
      </c>
      <c r="B351" s="6" t="s">
        <v>440</v>
      </c>
      <c r="C351" s="6" t="s">
        <v>212</v>
      </c>
      <c r="D351" s="10" t="s">
        <v>2071</v>
      </c>
      <c r="E351" s="6" t="s">
        <v>2072</v>
      </c>
      <c r="F351" s="6" t="s">
        <v>1397</v>
      </c>
      <c r="G351" s="6" t="s">
        <v>1441</v>
      </c>
      <c r="H351" s="6" t="s">
        <v>1425</v>
      </c>
      <c r="I351" s="6" t="s">
        <v>124</v>
      </c>
      <c r="J351" s="6" t="s">
        <v>1390</v>
      </c>
    </row>
    <row r="352" spans="1:10">
      <c r="A352" s="6" t="s">
        <v>42</v>
      </c>
      <c r="B352" s="6" t="s">
        <v>440</v>
      </c>
      <c r="C352" s="6" t="s">
        <v>212</v>
      </c>
      <c r="D352" s="10" t="s">
        <v>2073</v>
      </c>
      <c r="E352" s="6" t="s">
        <v>2074</v>
      </c>
      <c r="F352" s="6" t="s">
        <v>1397</v>
      </c>
      <c r="G352" s="6" t="s">
        <v>1441</v>
      </c>
      <c r="H352" s="6" t="s">
        <v>1425</v>
      </c>
      <c r="I352" s="6" t="s">
        <v>124</v>
      </c>
      <c r="J352" s="6" t="s">
        <v>1390</v>
      </c>
    </row>
    <row r="353" spans="1:10">
      <c r="A353" s="6" t="s">
        <v>42</v>
      </c>
      <c r="B353" s="6" t="s">
        <v>440</v>
      </c>
      <c r="C353" s="6" t="s">
        <v>212</v>
      </c>
      <c r="D353" s="10" t="s">
        <v>2075</v>
      </c>
      <c r="E353" s="6" t="s">
        <v>2076</v>
      </c>
      <c r="F353" s="6" t="s">
        <v>1397</v>
      </c>
      <c r="G353" s="6" t="s">
        <v>1441</v>
      </c>
      <c r="H353" s="6" t="s">
        <v>1425</v>
      </c>
      <c r="I353" s="6" t="s">
        <v>124</v>
      </c>
      <c r="J353" s="6" t="s">
        <v>1390</v>
      </c>
    </row>
    <row r="354" spans="1:10">
      <c r="A354" s="6" t="s">
        <v>42</v>
      </c>
      <c r="B354" s="6" t="s">
        <v>440</v>
      </c>
      <c r="C354" s="6" t="s">
        <v>212</v>
      </c>
      <c r="D354" s="10" t="s">
        <v>2077</v>
      </c>
      <c r="E354" s="6" t="s">
        <v>2078</v>
      </c>
      <c r="F354" s="6" t="s">
        <v>1397</v>
      </c>
      <c r="G354" s="6" t="s">
        <v>1441</v>
      </c>
      <c r="H354" s="6" t="s">
        <v>1425</v>
      </c>
      <c r="I354" s="6" t="s">
        <v>124</v>
      </c>
      <c r="J354" s="6" t="s">
        <v>1390</v>
      </c>
    </row>
    <row r="355" spans="1:10">
      <c r="A355" s="6" t="s">
        <v>42</v>
      </c>
      <c r="B355" s="6" t="s">
        <v>440</v>
      </c>
      <c r="C355" s="6" t="s">
        <v>212</v>
      </c>
      <c r="D355" s="10" t="s">
        <v>2079</v>
      </c>
      <c r="E355" s="6" t="s">
        <v>2080</v>
      </c>
      <c r="F355" s="6" t="s">
        <v>1397</v>
      </c>
      <c r="G355" s="6" t="s">
        <v>1441</v>
      </c>
      <c r="H355" s="6" t="s">
        <v>1425</v>
      </c>
      <c r="I355" s="6" t="s">
        <v>124</v>
      </c>
      <c r="J355" s="6" t="s">
        <v>1390</v>
      </c>
    </row>
    <row r="356" spans="1:10">
      <c r="A356" s="6" t="s">
        <v>42</v>
      </c>
      <c r="B356" s="6" t="s">
        <v>440</v>
      </c>
      <c r="C356" s="6" t="s">
        <v>212</v>
      </c>
      <c r="D356" s="10" t="s">
        <v>2081</v>
      </c>
      <c r="E356" s="6" t="s">
        <v>2082</v>
      </c>
      <c r="F356" s="6" t="s">
        <v>1397</v>
      </c>
      <c r="G356" s="6" t="s">
        <v>1441</v>
      </c>
      <c r="H356" s="6" t="s">
        <v>1425</v>
      </c>
      <c r="I356" s="6" t="s">
        <v>124</v>
      </c>
      <c r="J356" s="6" t="s">
        <v>1390</v>
      </c>
    </row>
    <row r="357" spans="1:10">
      <c r="A357" s="6" t="s">
        <v>42</v>
      </c>
      <c r="B357" s="6" t="s">
        <v>440</v>
      </c>
      <c r="C357" s="6" t="s">
        <v>212</v>
      </c>
      <c r="D357" s="10" t="s">
        <v>2083</v>
      </c>
      <c r="E357" s="6" t="s">
        <v>2084</v>
      </c>
      <c r="F357" s="6" t="s">
        <v>1397</v>
      </c>
      <c r="G357" s="6" t="s">
        <v>1441</v>
      </c>
      <c r="H357" s="6" t="s">
        <v>1425</v>
      </c>
      <c r="I357" s="6" t="s">
        <v>124</v>
      </c>
      <c r="J357" s="6" t="s">
        <v>1390</v>
      </c>
    </row>
    <row r="358" spans="1:10">
      <c r="A358" s="6" t="s">
        <v>42</v>
      </c>
      <c r="B358" s="6" t="s">
        <v>440</v>
      </c>
      <c r="C358" s="6" t="s">
        <v>212</v>
      </c>
      <c r="D358" s="10" t="s">
        <v>2085</v>
      </c>
      <c r="E358" s="6" t="s">
        <v>2086</v>
      </c>
      <c r="F358" s="6" t="s">
        <v>1397</v>
      </c>
      <c r="G358" s="6" t="s">
        <v>1441</v>
      </c>
      <c r="H358" s="6" t="s">
        <v>1425</v>
      </c>
      <c r="I358" s="6" t="s">
        <v>124</v>
      </c>
      <c r="J358" s="6" t="s">
        <v>1390</v>
      </c>
    </row>
    <row r="359" spans="1:10">
      <c r="A359" s="6" t="s">
        <v>42</v>
      </c>
      <c r="B359" s="6" t="s">
        <v>440</v>
      </c>
      <c r="C359" s="6" t="s">
        <v>212</v>
      </c>
      <c r="D359" s="10" t="s">
        <v>2087</v>
      </c>
      <c r="E359" s="6" t="s">
        <v>2088</v>
      </c>
      <c r="F359" s="6" t="s">
        <v>1397</v>
      </c>
      <c r="G359" s="6" t="s">
        <v>1441</v>
      </c>
      <c r="H359" s="6" t="s">
        <v>1425</v>
      </c>
      <c r="I359" s="6" t="s">
        <v>124</v>
      </c>
      <c r="J359" s="6" t="s">
        <v>1390</v>
      </c>
    </row>
    <row r="360" spans="1:10">
      <c r="A360" s="6" t="s">
        <v>42</v>
      </c>
      <c r="B360" s="6" t="s">
        <v>440</v>
      </c>
      <c r="C360" s="6" t="s">
        <v>212</v>
      </c>
      <c r="D360" s="10" t="s">
        <v>2089</v>
      </c>
      <c r="E360" s="6" t="s">
        <v>2090</v>
      </c>
      <c r="F360" s="6" t="s">
        <v>1397</v>
      </c>
      <c r="G360" s="6" t="s">
        <v>1441</v>
      </c>
      <c r="H360" s="6" t="s">
        <v>1425</v>
      </c>
      <c r="I360" s="6" t="s">
        <v>124</v>
      </c>
      <c r="J360" s="6" t="s">
        <v>1390</v>
      </c>
    </row>
    <row r="361" spans="1:10">
      <c r="A361" s="6" t="s">
        <v>42</v>
      </c>
      <c r="B361" s="6" t="s">
        <v>440</v>
      </c>
      <c r="C361" s="6" t="s">
        <v>212</v>
      </c>
      <c r="D361" s="10" t="s">
        <v>2091</v>
      </c>
      <c r="E361" s="6" t="s">
        <v>2092</v>
      </c>
      <c r="F361" s="6" t="s">
        <v>1397</v>
      </c>
      <c r="G361" s="6" t="s">
        <v>1441</v>
      </c>
      <c r="H361" s="6" t="s">
        <v>1425</v>
      </c>
      <c r="I361" s="6" t="s">
        <v>124</v>
      </c>
      <c r="J361" s="6" t="s">
        <v>1390</v>
      </c>
    </row>
    <row r="362" spans="1:10">
      <c r="A362" s="6" t="s">
        <v>42</v>
      </c>
      <c r="B362" s="6" t="s">
        <v>440</v>
      </c>
      <c r="C362" s="6" t="s">
        <v>212</v>
      </c>
      <c r="D362" s="10" t="s">
        <v>2093</v>
      </c>
      <c r="E362" s="6" t="s">
        <v>2094</v>
      </c>
      <c r="F362" s="6" t="s">
        <v>1397</v>
      </c>
      <c r="G362" s="6" t="s">
        <v>1441</v>
      </c>
      <c r="H362" s="6" t="s">
        <v>1425</v>
      </c>
      <c r="I362" s="6" t="s">
        <v>124</v>
      </c>
      <c r="J362" s="6" t="s">
        <v>1390</v>
      </c>
    </row>
    <row r="363" spans="1:10">
      <c r="A363" s="6" t="s">
        <v>42</v>
      </c>
      <c r="B363" s="6" t="s">
        <v>440</v>
      </c>
      <c r="C363" s="6" t="s">
        <v>212</v>
      </c>
      <c r="D363" s="10" t="s">
        <v>2095</v>
      </c>
      <c r="E363" s="6" t="s">
        <v>2096</v>
      </c>
      <c r="F363" s="6" t="s">
        <v>1397</v>
      </c>
      <c r="G363" s="6" t="s">
        <v>1441</v>
      </c>
      <c r="H363" s="6" t="s">
        <v>1425</v>
      </c>
      <c r="I363" s="6" t="s">
        <v>124</v>
      </c>
      <c r="J363" s="6" t="s">
        <v>1390</v>
      </c>
    </row>
    <row r="364" spans="1:10">
      <c r="A364" s="6" t="s">
        <v>42</v>
      </c>
      <c r="B364" s="6" t="s">
        <v>440</v>
      </c>
      <c r="C364" s="6" t="s">
        <v>212</v>
      </c>
      <c r="D364" s="10" t="s">
        <v>2097</v>
      </c>
      <c r="E364" s="6" t="s">
        <v>2098</v>
      </c>
      <c r="F364" s="6" t="s">
        <v>1397</v>
      </c>
      <c r="G364" s="6" t="s">
        <v>1441</v>
      </c>
      <c r="H364" s="6" t="s">
        <v>1425</v>
      </c>
      <c r="I364" s="6" t="s">
        <v>124</v>
      </c>
      <c r="J364" s="6" t="s">
        <v>1390</v>
      </c>
    </row>
    <row r="365" spans="1:10">
      <c r="A365" s="6" t="s">
        <v>42</v>
      </c>
      <c r="B365" s="6" t="s">
        <v>440</v>
      </c>
      <c r="C365" s="6" t="s">
        <v>212</v>
      </c>
      <c r="D365" s="10" t="s">
        <v>2099</v>
      </c>
      <c r="E365" s="6" t="s">
        <v>2100</v>
      </c>
      <c r="F365" s="6" t="s">
        <v>1397</v>
      </c>
      <c r="G365" s="6" t="s">
        <v>1441</v>
      </c>
      <c r="H365" s="6" t="s">
        <v>1425</v>
      </c>
      <c r="I365" s="6" t="s">
        <v>124</v>
      </c>
      <c r="J365" s="6" t="s">
        <v>1390</v>
      </c>
    </row>
    <row r="366" spans="1:10">
      <c r="A366" s="6" t="s">
        <v>42</v>
      </c>
      <c r="B366" s="6" t="s">
        <v>440</v>
      </c>
      <c r="C366" s="6" t="s">
        <v>212</v>
      </c>
      <c r="D366" s="10" t="s">
        <v>2101</v>
      </c>
      <c r="E366" s="6" t="s">
        <v>1635</v>
      </c>
      <c r="F366" s="6" t="s">
        <v>1397</v>
      </c>
      <c r="G366" s="6" t="s">
        <v>1441</v>
      </c>
      <c r="H366" s="6" t="s">
        <v>1425</v>
      </c>
      <c r="I366" s="6" t="s">
        <v>124</v>
      </c>
      <c r="J366" s="6" t="s">
        <v>1390</v>
      </c>
    </row>
    <row r="367" spans="1:10">
      <c r="A367" s="6" t="s">
        <v>42</v>
      </c>
      <c r="B367" s="6" t="s">
        <v>440</v>
      </c>
      <c r="C367" s="6" t="s">
        <v>212</v>
      </c>
      <c r="D367" s="10" t="s">
        <v>2102</v>
      </c>
      <c r="E367" s="6" t="s">
        <v>2103</v>
      </c>
      <c r="F367" s="6" t="s">
        <v>1397</v>
      </c>
      <c r="G367" s="6" t="s">
        <v>1441</v>
      </c>
      <c r="H367" s="6" t="s">
        <v>1425</v>
      </c>
      <c r="I367" s="6" t="s">
        <v>124</v>
      </c>
      <c r="J367" s="6" t="s">
        <v>1390</v>
      </c>
    </row>
    <row r="368" spans="1:10">
      <c r="A368" s="6" t="s">
        <v>42</v>
      </c>
      <c r="B368" s="6" t="s">
        <v>440</v>
      </c>
      <c r="C368" s="6" t="s">
        <v>212</v>
      </c>
      <c r="D368" s="10" t="s">
        <v>2104</v>
      </c>
      <c r="E368" s="6" t="s">
        <v>2105</v>
      </c>
      <c r="F368" s="6" t="s">
        <v>1397</v>
      </c>
      <c r="G368" s="6" t="s">
        <v>1441</v>
      </c>
      <c r="H368" s="6" t="s">
        <v>1425</v>
      </c>
      <c r="I368" s="6" t="s">
        <v>124</v>
      </c>
      <c r="J368" s="6" t="s">
        <v>1390</v>
      </c>
    </row>
    <row r="369" spans="1:10">
      <c r="A369" s="6" t="s">
        <v>42</v>
      </c>
      <c r="B369" s="6" t="s">
        <v>440</v>
      </c>
      <c r="C369" s="6" t="s">
        <v>212</v>
      </c>
      <c r="D369" s="10" t="s">
        <v>2106</v>
      </c>
      <c r="E369" s="6" t="s">
        <v>2107</v>
      </c>
      <c r="F369" s="6" t="s">
        <v>1397</v>
      </c>
      <c r="G369" s="6" t="s">
        <v>1441</v>
      </c>
      <c r="H369" s="6" t="s">
        <v>1425</v>
      </c>
      <c r="I369" s="6" t="s">
        <v>124</v>
      </c>
      <c r="J369" s="6" t="s">
        <v>1390</v>
      </c>
    </row>
    <row r="370" spans="1:10">
      <c r="A370" s="6" t="s">
        <v>42</v>
      </c>
      <c r="B370" s="6" t="s">
        <v>440</v>
      </c>
      <c r="C370" s="6" t="s">
        <v>212</v>
      </c>
      <c r="D370" s="10" t="s">
        <v>2108</v>
      </c>
      <c r="E370" s="6" t="s">
        <v>2109</v>
      </c>
      <c r="F370" s="6" t="s">
        <v>1397</v>
      </c>
      <c r="G370" s="6" t="s">
        <v>1441</v>
      </c>
      <c r="H370" s="6" t="s">
        <v>1425</v>
      </c>
      <c r="I370" s="6" t="s">
        <v>124</v>
      </c>
      <c r="J370" s="6" t="s">
        <v>1390</v>
      </c>
    </row>
    <row r="371" spans="1:10">
      <c r="A371" s="6" t="s">
        <v>42</v>
      </c>
      <c r="B371" s="6" t="s">
        <v>440</v>
      </c>
      <c r="C371" s="6" t="s">
        <v>212</v>
      </c>
      <c r="D371" s="10" t="s">
        <v>2110</v>
      </c>
      <c r="E371" s="6" t="s">
        <v>2111</v>
      </c>
      <c r="F371" s="6" t="s">
        <v>1397</v>
      </c>
      <c r="G371" s="6" t="s">
        <v>1441</v>
      </c>
      <c r="H371" s="6" t="s">
        <v>1425</v>
      </c>
      <c r="I371" s="6" t="s">
        <v>124</v>
      </c>
      <c r="J371" s="6" t="s">
        <v>1390</v>
      </c>
    </row>
    <row r="372" spans="1:10">
      <c r="A372" s="6" t="s">
        <v>42</v>
      </c>
      <c r="B372" s="6" t="s">
        <v>440</v>
      </c>
      <c r="C372" s="6" t="s">
        <v>212</v>
      </c>
      <c r="D372" s="10" t="s">
        <v>2112</v>
      </c>
      <c r="E372" s="6" t="s">
        <v>2113</v>
      </c>
      <c r="F372" s="6" t="s">
        <v>1397</v>
      </c>
      <c r="G372" s="6" t="s">
        <v>1441</v>
      </c>
      <c r="H372" s="6" t="s">
        <v>1425</v>
      </c>
      <c r="I372" s="6" t="s">
        <v>124</v>
      </c>
      <c r="J372" s="6" t="s">
        <v>1390</v>
      </c>
    </row>
    <row r="373" spans="1:10">
      <c r="A373" s="6" t="s">
        <v>42</v>
      </c>
      <c r="B373" s="6" t="s">
        <v>440</v>
      </c>
      <c r="C373" s="6" t="s">
        <v>212</v>
      </c>
      <c r="D373" s="10" t="s">
        <v>2114</v>
      </c>
      <c r="E373" s="6" t="s">
        <v>2115</v>
      </c>
      <c r="F373" s="6" t="s">
        <v>1397</v>
      </c>
      <c r="G373" s="6" t="s">
        <v>1441</v>
      </c>
      <c r="H373" s="6" t="s">
        <v>1425</v>
      </c>
      <c r="I373" s="6" t="s">
        <v>124</v>
      </c>
      <c r="J373" s="6" t="s">
        <v>1390</v>
      </c>
    </row>
    <row r="374" spans="1:10">
      <c r="A374" s="6" t="s">
        <v>42</v>
      </c>
      <c r="B374" s="6" t="s">
        <v>440</v>
      </c>
      <c r="C374" s="6" t="s">
        <v>212</v>
      </c>
      <c r="D374" s="10" t="s">
        <v>2116</v>
      </c>
      <c r="E374" s="6" t="s">
        <v>392</v>
      </c>
      <c r="F374" s="6" t="s">
        <v>1397</v>
      </c>
      <c r="G374" s="6" t="s">
        <v>1441</v>
      </c>
      <c r="H374" s="6" t="s">
        <v>1425</v>
      </c>
      <c r="I374" s="6" t="s">
        <v>124</v>
      </c>
      <c r="J374" s="6" t="s">
        <v>1390</v>
      </c>
    </row>
    <row r="375" spans="1:10">
      <c r="A375" s="6" t="s">
        <v>42</v>
      </c>
      <c r="B375" s="6" t="s">
        <v>440</v>
      </c>
      <c r="C375" s="6" t="s">
        <v>212</v>
      </c>
      <c r="D375" s="10" t="s">
        <v>2117</v>
      </c>
      <c r="E375" s="6" t="s">
        <v>1551</v>
      </c>
      <c r="F375" s="6" t="s">
        <v>1397</v>
      </c>
      <c r="G375" s="6" t="s">
        <v>1441</v>
      </c>
      <c r="H375" s="6" t="s">
        <v>1425</v>
      </c>
      <c r="I375" s="6" t="s">
        <v>124</v>
      </c>
      <c r="J375" s="6" t="s">
        <v>1390</v>
      </c>
    </row>
    <row r="376" spans="1:10">
      <c r="A376" s="6" t="s">
        <v>42</v>
      </c>
      <c r="B376" s="6" t="s">
        <v>440</v>
      </c>
      <c r="C376" s="6" t="s">
        <v>212</v>
      </c>
      <c r="D376" s="10" t="s">
        <v>2118</v>
      </c>
      <c r="E376" s="6" t="s">
        <v>2119</v>
      </c>
      <c r="F376" s="6" t="s">
        <v>1397</v>
      </c>
      <c r="G376" s="6" t="s">
        <v>1441</v>
      </c>
      <c r="H376" s="6" t="s">
        <v>1425</v>
      </c>
      <c r="I376" s="6" t="s">
        <v>124</v>
      </c>
      <c r="J376" s="6" t="s">
        <v>1390</v>
      </c>
    </row>
    <row r="377" spans="1:10">
      <c r="A377" s="6" t="s">
        <v>42</v>
      </c>
      <c r="B377" s="6" t="s">
        <v>440</v>
      </c>
      <c r="C377" s="6" t="s">
        <v>212</v>
      </c>
      <c r="D377" s="10" t="s">
        <v>2120</v>
      </c>
      <c r="E377" s="6" t="s">
        <v>2121</v>
      </c>
      <c r="F377" s="6" t="s">
        <v>1397</v>
      </c>
      <c r="G377" s="6" t="s">
        <v>1441</v>
      </c>
      <c r="H377" s="6" t="s">
        <v>1425</v>
      </c>
      <c r="I377" s="6" t="s">
        <v>124</v>
      </c>
      <c r="J377" s="6" t="s">
        <v>1390</v>
      </c>
    </row>
    <row r="378" spans="1:10">
      <c r="A378" s="6" t="s">
        <v>42</v>
      </c>
      <c r="B378" s="6" t="s">
        <v>440</v>
      </c>
      <c r="C378" s="6" t="s">
        <v>212</v>
      </c>
      <c r="D378" s="10" t="s">
        <v>2122</v>
      </c>
      <c r="E378" s="6" t="s">
        <v>2123</v>
      </c>
      <c r="F378" s="6" t="s">
        <v>1397</v>
      </c>
      <c r="G378" s="6" t="s">
        <v>1441</v>
      </c>
      <c r="H378" s="6" t="s">
        <v>1425</v>
      </c>
      <c r="I378" s="6" t="s">
        <v>124</v>
      </c>
      <c r="J378" s="6" t="s">
        <v>1390</v>
      </c>
    </row>
    <row r="379" spans="1:10">
      <c r="A379" s="6" t="s">
        <v>42</v>
      </c>
      <c r="B379" s="6" t="s">
        <v>440</v>
      </c>
      <c r="C379" s="6" t="s">
        <v>212</v>
      </c>
      <c r="D379" s="10" t="s">
        <v>2124</v>
      </c>
      <c r="E379" s="6" t="s">
        <v>2125</v>
      </c>
      <c r="F379" s="6" t="s">
        <v>1397</v>
      </c>
      <c r="G379" s="6" t="s">
        <v>1441</v>
      </c>
      <c r="H379" s="6" t="s">
        <v>1425</v>
      </c>
      <c r="I379" s="6" t="s">
        <v>124</v>
      </c>
      <c r="J379" s="6" t="s">
        <v>1390</v>
      </c>
    </row>
    <row r="380" spans="1:10">
      <c r="A380" s="6" t="s">
        <v>42</v>
      </c>
      <c r="B380" s="6" t="s">
        <v>440</v>
      </c>
      <c r="C380" s="6" t="s">
        <v>212</v>
      </c>
      <c r="D380" s="10" t="s">
        <v>2126</v>
      </c>
      <c r="E380" s="6" t="s">
        <v>2127</v>
      </c>
      <c r="F380" s="6" t="s">
        <v>1397</v>
      </c>
      <c r="G380" s="6" t="s">
        <v>1441</v>
      </c>
      <c r="H380" s="6" t="s">
        <v>1425</v>
      </c>
      <c r="I380" s="6" t="s">
        <v>124</v>
      </c>
      <c r="J380" s="6" t="s">
        <v>1390</v>
      </c>
    </row>
    <row r="381" spans="1:10">
      <c r="A381" s="6" t="s">
        <v>42</v>
      </c>
      <c r="B381" s="6" t="s">
        <v>440</v>
      </c>
      <c r="C381" s="6" t="s">
        <v>212</v>
      </c>
      <c r="D381" s="10" t="s">
        <v>2128</v>
      </c>
      <c r="E381" s="6" t="s">
        <v>2129</v>
      </c>
      <c r="F381" s="6" t="s">
        <v>1397</v>
      </c>
      <c r="G381" s="6" t="s">
        <v>1441</v>
      </c>
      <c r="H381" s="6" t="s">
        <v>1425</v>
      </c>
      <c r="I381" s="6" t="s">
        <v>124</v>
      </c>
      <c r="J381" s="6" t="s">
        <v>1390</v>
      </c>
    </row>
    <row r="382" spans="1:10">
      <c r="A382" s="6" t="s">
        <v>42</v>
      </c>
      <c r="B382" s="6" t="s">
        <v>440</v>
      </c>
      <c r="C382" s="6" t="s">
        <v>212</v>
      </c>
      <c r="D382" s="10" t="s">
        <v>2130</v>
      </c>
      <c r="E382" s="6" t="s">
        <v>2131</v>
      </c>
      <c r="F382" s="6" t="s">
        <v>1397</v>
      </c>
      <c r="G382" s="6" t="s">
        <v>1441</v>
      </c>
      <c r="H382" s="6" t="s">
        <v>1425</v>
      </c>
      <c r="I382" s="6" t="s">
        <v>124</v>
      </c>
      <c r="J382" s="6" t="s">
        <v>1390</v>
      </c>
    </row>
    <row r="383" spans="1:10">
      <c r="A383" s="6" t="s">
        <v>42</v>
      </c>
      <c r="B383" s="6" t="s">
        <v>440</v>
      </c>
      <c r="C383" s="6" t="s">
        <v>212</v>
      </c>
      <c r="D383" s="10" t="s">
        <v>2132</v>
      </c>
      <c r="E383" s="6" t="s">
        <v>2133</v>
      </c>
      <c r="F383" s="6" t="s">
        <v>1397</v>
      </c>
      <c r="G383" s="6" t="s">
        <v>1441</v>
      </c>
      <c r="H383" s="6" t="s">
        <v>1425</v>
      </c>
      <c r="I383" s="6" t="s">
        <v>124</v>
      </c>
      <c r="J383" s="6" t="s">
        <v>1390</v>
      </c>
    </row>
    <row r="384" spans="1:10">
      <c r="A384" s="6" t="s">
        <v>42</v>
      </c>
      <c r="B384" s="6" t="s">
        <v>440</v>
      </c>
      <c r="C384" s="6" t="s">
        <v>212</v>
      </c>
      <c r="D384" s="10" t="s">
        <v>2134</v>
      </c>
      <c r="E384" s="6" t="s">
        <v>2133</v>
      </c>
      <c r="F384" s="6" t="s">
        <v>1397</v>
      </c>
      <c r="G384" s="6" t="s">
        <v>1441</v>
      </c>
      <c r="H384" s="6" t="s">
        <v>1425</v>
      </c>
      <c r="I384" s="6" t="s">
        <v>124</v>
      </c>
      <c r="J384" s="6" t="s">
        <v>1390</v>
      </c>
    </row>
    <row r="385" spans="1:10">
      <c r="A385" s="6" t="s">
        <v>42</v>
      </c>
      <c r="B385" s="6" t="s">
        <v>440</v>
      </c>
      <c r="C385" s="6" t="s">
        <v>212</v>
      </c>
      <c r="D385" s="10" t="s">
        <v>2135</v>
      </c>
      <c r="E385" s="6" t="s">
        <v>2133</v>
      </c>
      <c r="F385" s="6" t="s">
        <v>1397</v>
      </c>
      <c r="G385" s="6" t="s">
        <v>1441</v>
      </c>
      <c r="H385" s="6" t="s">
        <v>1425</v>
      </c>
      <c r="I385" s="6" t="s">
        <v>124</v>
      </c>
      <c r="J385" s="6" t="s">
        <v>1390</v>
      </c>
    </row>
    <row r="386" spans="1:10">
      <c r="A386" s="6" t="s">
        <v>42</v>
      </c>
      <c r="B386" s="6" t="s">
        <v>440</v>
      </c>
      <c r="C386" s="6" t="s">
        <v>212</v>
      </c>
      <c r="D386" s="10" t="s">
        <v>2136</v>
      </c>
      <c r="E386" s="6" t="s">
        <v>2137</v>
      </c>
      <c r="F386" s="6" t="s">
        <v>1397</v>
      </c>
      <c r="G386" s="6" t="s">
        <v>1001</v>
      </c>
      <c r="H386" s="6" t="s">
        <v>1389</v>
      </c>
      <c r="I386" s="6" t="s">
        <v>124</v>
      </c>
      <c r="J386" s="6" t="s">
        <v>1390</v>
      </c>
    </row>
    <row r="387" spans="1:10">
      <c r="A387" s="6" t="s">
        <v>42</v>
      </c>
      <c r="B387" s="6" t="s">
        <v>440</v>
      </c>
      <c r="C387" s="6" t="s">
        <v>212</v>
      </c>
      <c r="D387" s="10" t="s">
        <v>2138</v>
      </c>
      <c r="E387" s="6" t="s">
        <v>2139</v>
      </c>
      <c r="F387" s="6" t="s">
        <v>1397</v>
      </c>
      <c r="G387" s="6" t="s">
        <v>973</v>
      </c>
      <c r="H387" s="6" t="s">
        <v>1425</v>
      </c>
      <c r="I387" s="6" t="s">
        <v>124</v>
      </c>
      <c r="J387" s="6" t="s">
        <v>1390</v>
      </c>
    </row>
    <row r="388" spans="1:10">
      <c r="A388" s="6" t="s">
        <v>42</v>
      </c>
      <c r="B388" s="6" t="s">
        <v>440</v>
      </c>
      <c r="C388" s="6" t="s">
        <v>212</v>
      </c>
      <c r="D388" s="10" t="s">
        <v>2140</v>
      </c>
      <c r="E388" s="6" t="s">
        <v>2141</v>
      </c>
      <c r="F388" s="6" t="s">
        <v>1397</v>
      </c>
      <c r="G388" s="6" t="s">
        <v>875</v>
      </c>
      <c r="H388" s="6" t="s">
        <v>1389</v>
      </c>
      <c r="I388" s="6" t="s">
        <v>124</v>
      </c>
      <c r="J388" s="6" t="s">
        <v>1390</v>
      </c>
    </row>
    <row r="389" spans="1:10">
      <c r="A389" s="6" t="s">
        <v>42</v>
      </c>
      <c r="B389" s="6" t="s">
        <v>440</v>
      </c>
      <c r="C389" s="6" t="s">
        <v>212</v>
      </c>
      <c r="D389" s="10" t="s">
        <v>1441</v>
      </c>
      <c r="E389" s="6" t="s">
        <v>2142</v>
      </c>
      <c r="F389" s="6" t="s">
        <v>1397</v>
      </c>
      <c r="G389" s="6" t="s">
        <v>875</v>
      </c>
      <c r="H389" s="6" t="s">
        <v>1389</v>
      </c>
      <c r="I389" s="6" t="s">
        <v>124</v>
      </c>
      <c r="J389" s="6" t="s">
        <v>1390</v>
      </c>
    </row>
    <row r="390" spans="1:10">
      <c r="A390" s="6" t="s">
        <v>42</v>
      </c>
      <c r="B390" s="6" t="s">
        <v>440</v>
      </c>
      <c r="C390" s="6" t="s">
        <v>212</v>
      </c>
      <c r="D390" s="10" t="s">
        <v>1510</v>
      </c>
      <c r="E390" s="6" t="s">
        <v>2143</v>
      </c>
      <c r="F390" s="6" t="s">
        <v>1397</v>
      </c>
      <c r="G390" s="6" t="s">
        <v>875</v>
      </c>
      <c r="H390" s="6" t="s">
        <v>1389</v>
      </c>
      <c r="I390" s="6" t="s">
        <v>124</v>
      </c>
      <c r="J390" s="6" t="s">
        <v>1390</v>
      </c>
    </row>
    <row r="391" spans="1:10">
      <c r="A391" s="6" t="s">
        <v>42</v>
      </c>
      <c r="B391" s="6" t="s">
        <v>440</v>
      </c>
      <c r="C391" s="6" t="s">
        <v>212</v>
      </c>
      <c r="D391" s="10" t="s">
        <v>1001</v>
      </c>
      <c r="E391" s="6" t="s">
        <v>2144</v>
      </c>
      <c r="F391" s="6" t="s">
        <v>1397</v>
      </c>
      <c r="G391" s="6" t="s">
        <v>875</v>
      </c>
      <c r="H391" s="6" t="s">
        <v>1389</v>
      </c>
      <c r="I391" s="6" t="s">
        <v>715</v>
      </c>
      <c r="J391" s="6" t="s">
        <v>1390</v>
      </c>
    </row>
    <row r="392" spans="1:10">
      <c r="A392" s="6" t="s">
        <v>42</v>
      </c>
      <c r="B392" s="6" t="s">
        <v>440</v>
      </c>
      <c r="C392" s="6" t="s">
        <v>212</v>
      </c>
      <c r="D392" s="10" t="s">
        <v>2145</v>
      </c>
      <c r="E392" s="6" t="s">
        <v>2146</v>
      </c>
      <c r="F392" s="6" t="s">
        <v>1397</v>
      </c>
      <c r="G392" s="6" t="s">
        <v>875</v>
      </c>
      <c r="H392" s="6" t="s">
        <v>1389</v>
      </c>
      <c r="I392" s="6" t="s">
        <v>124</v>
      </c>
      <c r="J392" s="6" t="s">
        <v>1390</v>
      </c>
    </row>
    <row r="393" spans="1:10">
      <c r="A393" s="6" t="s">
        <v>42</v>
      </c>
      <c r="B393" s="6" t="s">
        <v>440</v>
      </c>
      <c r="C393" s="6" t="s">
        <v>212</v>
      </c>
      <c r="D393" s="10" t="s">
        <v>1409</v>
      </c>
      <c r="E393" s="6" t="s">
        <v>2146</v>
      </c>
      <c r="F393" s="6" t="s">
        <v>1397</v>
      </c>
      <c r="G393" s="6" t="s">
        <v>1409</v>
      </c>
      <c r="H393" s="6" t="s">
        <v>1389</v>
      </c>
      <c r="I393" s="6" t="s">
        <v>124</v>
      </c>
      <c r="J393" s="6" t="s">
        <v>1390</v>
      </c>
    </row>
    <row r="394" spans="1:10">
      <c r="A394" s="6" t="s">
        <v>42</v>
      </c>
      <c r="B394" s="6" t="s">
        <v>440</v>
      </c>
      <c r="C394" s="6" t="s">
        <v>212</v>
      </c>
      <c r="D394" s="10" t="s">
        <v>900</v>
      </c>
      <c r="E394" s="6" t="s">
        <v>2146</v>
      </c>
      <c r="F394" s="6" t="s">
        <v>1397</v>
      </c>
      <c r="G394" s="6" t="s">
        <v>900</v>
      </c>
      <c r="H394" s="6" t="s">
        <v>1389</v>
      </c>
      <c r="I394" s="6" t="s">
        <v>715</v>
      </c>
      <c r="J394" s="6" t="s">
        <v>1390</v>
      </c>
    </row>
    <row r="395" spans="1:10">
      <c r="A395" s="6" t="s">
        <v>41</v>
      </c>
      <c r="B395" s="6" t="s">
        <v>251</v>
      </c>
      <c r="C395" s="6" t="s">
        <v>92</v>
      </c>
      <c r="D395" s="10" t="s">
        <v>2147</v>
      </c>
      <c r="E395" s="6" t="s">
        <v>2148</v>
      </c>
      <c r="F395" s="6" t="s">
        <v>1388</v>
      </c>
      <c r="G395" s="6" t="s">
        <v>646</v>
      </c>
      <c r="H395" s="6" t="s">
        <v>1389</v>
      </c>
      <c r="I395" s="6" t="s">
        <v>124</v>
      </c>
      <c r="J395" s="6" t="s">
        <v>1390</v>
      </c>
    </row>
    <row r="396" spans="1:10">
      <c r="A396" s="6" t="s">
        <v>41</v>
      </c>
      <c r="B396" s="6" t="s">
        <v>251</v>
      </c>
      <c r="C396" s="6" t="s">
        <v>92</v>
      </c>
      <c r="D396" s="10" t="s">
        <v>2149</v>
      </c>
      <c r="E396" s="6" t="s">
        <v>2150</v>
      </c>
      <c r="F396" s="6" t="s">
        <v>1388</v>
      </c>
      <c r="G396" s="6" t="s">
        <v>646</v>
      </c>
      <c r="H396" s="6" t="s">
        <v>1389</v>
      </c>
      <c r="I396" s="6" t="s">
        <v>124</v>
      </c>
      <c r="J396" s="6" t="s">
        <v>1390</v>
      </c>
    </row>
    <row r="397" spans="1:10">
      <c r="A397" s="6" t="s">
        <v>41</v>
      </c>
      <c r="B397" s="6" t="s">
        <v>251</v>
      </c>
      <c r="C397" s="6" t="s">
        <v>92</v>
      </c>
      <c r="D397" s="10" t="s">
        <v>2151</v>
      </c>
      <c r="E397" s="6" t="s">
        <v>2152</v>
      </c>
      <c r="F397" s="6" t="s">
        <v>1388</v>
      </c>
      <c r="G397" s="6" t="s">
        <v>646</v>
      </c>
      <c r="H397" s="6" t="s">
        <v>1389</v>
      </c>
      <c r="I397" s="6" t="s">
        <v>124</v>
      </c>
      <c r="J397" s="6" t="s">
        <v>1390</v>
      </c>
    </row>
    <row r="398" spans="1:10">
      <c r="A398" s="6" t="s">
        <v>41</v>
      </c>
      <c r="B398" s="6" t="s">
        <v>251</v>
      </c>
      <c r="C398" s="6" t="s">
        <v>92</v>
      </c>
      <c r="D398" s="10" t="s">
        <v>2153</v>
      </c>
      <c r="E398" s="6" t="s">
        <v>2154</v>
      </c>
      <c r="F398" s="6" t="s">
        <v>1388</v>
      </c>
      <c r="G398" s="6" t="s">
        <v>646</v>
      </c>
      <c r="H398" s="6" t="s">
        <v>1389</v>
      </c>
      <c r="I398" s="6" t="s">
        <v>124</v>
      </c>
      <c r="J398" s="6" t="s">
        <v>1390</v>
      </c>
    </row>
    <row r="399" spans="1:10">
      <c r="A399" s="6" t="s">
        <v>41</v>
      </c>
      <c r="B399" s="6" t="s">
        <v>251</v>
      </c>
      <c r="C399" s="6" t="s">
        <v>92</v>
      </c>
      <c r="D399" s="10" t="s">
        <v>2155</v>
      </c>
      <c r="E399" s="6"/>
      <c r="F399" s="6" t="s">
        <v>1388</v>
      </c>
      <c r="G399" s="6" t="s">
        <v>678</v>
      </c>
      <c r="H399" s="6" t="s">
        <v>1425</v>
      </c>
      <c r="I399" s="6" t="s">
        <v>124</v>
      </c>
      <c r="J399" s="6" t="s">
        <v>1390</v>
      </c>
    </row>
    <row r="400" spans="1:10">
      <c r="A400" s="6" t="s">
        <v>41</v>
      </c>
      <c r="B400" s="6" t="s">
        <v>251</v>
      </c>
      <c r="C400" s="6" t="s">
        <v>92</v>
      </c>
      <c r="D400" s="10" t="s">
        <v>2156</v>
      </c>
      <c r="E400" s="6"/>
      <c r="F400" s="6" t="s">
        <v>1388</v>
      </c>
      <c r="G400" s="6" t="s">
        <v>678</v>
      </c>
      <c r="H400" s="6" t="s">
        <v>1425</v>
      </c>
      <c r="I400" s="6" t="s">
        <v>124</v>
      </c>
      <c r="J400" s="6" t="s">
        <v>1390</v>
      </c>
    </row>
    <row r="401" spans="1:10">
      <c r="A401" s="6" t="s">
        <v>41</v>
      </c>
      <c r="B401" s="6" t="s">
        <v>251</v>
      </c>
      <c r="C401" s="6" t="s">
        <v>92</v>
      </c>
      <c r="D401" s="10" t="s">
        <v>2157</v>
      </c>
      <c r="E401" s="6" t="s">
        <v>2158</v>
      </c>
      <c r="F401" s="6" t="s">
        <v>1388</v>
      </c>
      <c r="G401" s="6" t="s">
        <v>646</v>
      </c>
      <c r="H401" s="6" t="s">
        <v>1389</v>
      </c>
      <c r="I401" s="6" t="s">
        <v>124</v>
      </c>
      <c r="J401" s="6" t="s">
        <v>1390</v>
      </c>
    </row>
    <row r="402" spans="1:10">
      <c r="A402" s="6" t="s">
        <v>41</v>
      </c>
      <c r="B402" s="6" t="s">
        <v>251</v>
      </c>
      <c r="C402" s="6" t="s">
        <v>92</v>
      </c>
      <c r="D402" s="10" t="s">
        <v>2159</v>
      </c>
      <c r="E402" s="6" t="s">
        <v>2160</v>
      </c>
      <c r="F402" s="6" t="s">
        <v>1388</v>
      </c>
      <c r="G402" s="6" t="s">
        <v>646</v>
      </c>
      <c r="H402" s="6" t="s">
        <v>1389</v>
      </c>
      <c r="I402" s="6" t="s">
        <v>124</v>
      </c>
      <c r="J402" s="6" t="s">
        <v>1390</v>
      </c>
    </row>
    <row r="403" spans="1:10">
      <c r="A403" s="6" t="s">
        <v>41</v>
      </c>
      <c r="B403" s="6" t="s">
        <v>251</v>
      </c>
      <c r="C403" s="6" t="s">
        <v>92</v>
      </c>
      <c r="D403" s="10" t="s">
        <v>675</v>
      </c>
      <c r="E403" s="6" t="s">
        <v>2161</v>
      </c>
      <c r="F403" s="6" t="s">
        <v>1388</v>
      </c>
      <c r="G403" s="6" t="s">
        <v>646</v>
      </c>
      <c r="H403" s="6" t="s">
        <v>1389</v>
      </c>
      <c r="I403" s="6" t="s">
        <v>715</v>
      </c>
      <c r="J403" s="6" t="s">
        <v>1390</v>
      </c>
    </row>
    <row r="404" spans="1:10">
      <c r="A404" s="6" t="s">
        <v>41</v>
      </c>
      <c r="B404" s="6" t="s">
        <v>251</v>
      </c>
      <c r="C404" s="6" t="s">
        <v>92</v>
      </c>
      <c r="D404" s="10" t="s">
        <v>2162</v>
      </c>
      <c r="E404" s="6"/>
      <c r="F404" s="6" t="s">
        <v>1388</v>
      </c>
      <c r="G404" s="6" t="s">
        <v>678</v>
      </c>
      <c r="H404" s="6" t="s">
        <v>1425</v>
      </c>
      <c r="I404" s="6" t="s">
        <v>124</v>
      </c>
      <c r="J404" s="6" t="s">
        <v>1390</v>
      </c>
    </row>
    <row r="405" spans="1:10">
      <c r="A405" s="6" t="s">
        <v>41</v>
      </c>
      <c r="B405" s="6" t="s">
        <v>251</v>
      </c>
      <c r="C405" s="6" t="s">
        <v>92</v>
      </c>
      <c r="D405" s="10" t="s">
        <v>2163</v>
      </c>
      <c r="E405" s="6" t="s">
        <v>2164</v>
      </c>
      <c r="F405" s="6" t="s">
        <v>1388</v>
      </c>
      <c r="G405" s="6" t="s">
        <v>646</v>
      </c>
      <c r="H405" s="6" t="s">
        <v>1389</v>
      </c>
      <c r="I405" s="6" t="s">
        <v>124</v>
      </c>
      <c r="J405" s="6" t="s">
        <v>1390</v>
      </c>
    </row>
    <row r="406" spans="1:10">
      <c r="A406" s="6" t="s">
        <v>41</v>
      </c>
      <c r="B406" s="6" t="s">
        <v>251</v>
      </c>
      <c r="C406" s="6" t="s">
        <v>92</v>
      </c>
      <c r="D406" s="10" t="s">
        <v>687</v>
      </c>
      <c r="E406" s="6"/>
      <c r="F406" s="6" t="s">
        <v>1388</v>
      </c>
      <c r="G406" s="6" t="s">
        <v>678</v>
      </c>
      <c r="H406" s="6" t="s">
        <v>1425</v>
      </c>
      <c r="I406" s="6" t="s">
        <v>715</v>
      </c>
      <c r="J406" s="6" t="s">
        <v>1390</v>
      </c>
    </row>
    <row r="407" spans="1:10">
      <c r="A407" s="6" t="s">
        <v>41</v>
      </c>
      <c r="B407" s="6" t="s">
        <v>251</v>
      </c>
      <c r="C407" s="6" t="s">
        <v>92</v>
      </c>
      <c r="D407" s="10" t="s">
        <v>2165</v>
      </c>
      <c r="E407" s="6" t="s">
        <v>2166</v>
      </c>
      <c r="F407" s="6" t="s">
        <v>1388</v>
      </c>
      <c r="G407" s="6" t="s">
        <v>646</v>
      </c>
      <c r="H407" s="6" t="s">
        <v>1389</v>
      </c>
      <c r="I407" s="6" t="s">
        <v>124</v>
      </c>
      <c r="J407" s="6" t="s">
        <v>1390</v>
      </c>
    </row>
    <row r="408" spans="1:10">
      <c r="A408" s="6" t="s">
        <v>41</v>
      </c>
      <c r="B408" s="6" t="s">
        <v>251</v>
      </c>
      <c r="C408" s="6" t="s">
        <v>92</v>
      </c>
      <c r="D408" s="10" t="s">
        <v>678</v>
      </c>
      <c r="E408" s="6" t="s">
        <v>2167</v>
      </c>
      <c r="F408" s="6" t="s">
        <v>1397</v>
      </c>
      <c r="G408" s="6" t="s">
        <v>646</v>
      </c>
      <c r="H408" s="6" t="s">
        <v>1389</v>
      </c>
      <c r="I408" s="6" t="s">
        <v>124</v>
      </c>
      <c r="J408" s="6" t="s">
        <v>1390</v>
      </c>
    </row>
    <row r="409" spans="1:10">
      <c r="A409" s="6" t="s">
        <v>41</v>
      </c>
      <c r="B409" s="6" t="s">
        <v>251</v>
      </c>
      <c r="C409" s="6" t="s">
        <v>172</v>
      </c>
      <c r="D409" s="10" t="s">
        <v>2168</v>
      </c>
      <c r="E409" s="6" t="s">
        <v>2169</v>
      </c>
      <c r="F409" s="6" t="s">
        <v>1397</v>
      </c>
      <c r="G409" s="6" t="s">
        <v>256</v>
      </c>
      <c r="H409" s="6" t="s">
        <v>1389</v>
      </c>
      <c r="I409" s="6" t="s">
        <v>124</v>
      </c>
      <c r="J409" s="6" t="s">
        <v>1390</v>
      </c>
    </row>
    <row r="410" spans="1:10">
      <c r="A410" s="6" t="s">
        <v>41</v>
      </c>
      <c r="B410" s="6" t="s">
        <v>251</v>
      </c>
      <c r="C410" s="6" t="s">
        <v>172</v>
      </c>
      <c r="D410" s="10" t="s">
        <v>2170</v>
      </c>
      <c r="E410" s="6" t="s">
        <v>2171</v>
      </c>
      <c r="F410" s="6" t="s">
        <v>1397</v>
      </c>
      <c r="G410" s="6" t="s">
        <v>256</v>
      </c>
      <c r="H410" s="6" t="s">
        <v>1389</v>
      </c>
      <c r="I410" s="6" t="s">
        <v>124</v>
      </c>
      <c r="J410" s="6" t="s">
        <v>1390</v>
      </c>
    </row>
    <row r="411" spans="1:10">
      <c r="A411" s="6" t="s">
        <v>41</v>
      </c>
      <c r="B411" s="6" t="s">
        <v>251</v>
      </c>
      <c r="C411" s="6" t="s">
        <v>172</v>
      </c>
      <c r="D411" s="10" t="s">
        <v>2172</v>
      </c>
      <c r="E411" s="6" t="s">
        <v>2173</v>
      </c>
      <c r="F411" s="6" t="s">
        <v>1397</v>
      </c>
      <c r="G411" s="6" t="s">
        <v>256</v>
      </c>
      <c r="H411" s="6" t="s">
        <v>1389</v>
      </c>
      <c r="I411" s="6" t="s">
        <v>124</v>
      </c>
      <c r="J411" s="6" t="s">
        <v>1390</v>
      </c>
    </row>
    <row r="412" spans="1:10">
      <c r="A412" s="6" t="s">
        <v>41</v>
      </c>
      <c r="B412" s="6" t="s">
        <v>251</v>
      </c>
      <c r="C412" s="6" t="s">
        <v>199</v>
      </c>
      <c r="D412" s="10" t="s">
        <v>2174</v>
      </c>
      <c r="E412" s="6" t="s">
        <v>958</v>
      </c>
      <c r="F412" s="6" t="s">
        <v>1397</v>
      </c>
      <c r="G412" s="6" t="s">
        <v>646</v>
      </c>
      <c r="H412" s="6" t="s">
        <v>1389</v>
      </c>
      <c r="I412" s="6" t="s">
        <v>124</v>
      </c>
      <c r="J412" s="6" t="s">
        <v>1390</v>
      </c>
    </row>
    <row r="413" spans="1:10">
      <c r="A413" s="6" t="s">
        <v>41</v>
      </c>
      <c r="B413" s="6" t="s">
        <v>251</v>
      </c>
      <c r="C413" s="6" t="s">
        <v>199</v>
      </c>
      <c r="D413" s="10" t="s">
        <v>762</v>
      </c>
      <c r="E413" s="6"/>
      <c r="F413" s="6" t="s">
        <v>1388</v>
      </c>
      <c r="G413" s="6" t="s">
        <v>2174</v>
      </c>
      <c r="H413" s="6" t="s">
        <v>1425</v>
      </c>
      <c r="I413" s="6" t="s">
        <v>715</v>
      </c>
      <c r="J413" s="6" t="s">
        <v>1390</v>
      </c>
    </row>
    <row r="414" spans="1:10">
      <c r="A414" s="6" t="s">
        <v>41</v>
      </c>
      <c r="B414" s="6" t="s">
        <v>251</v>
      </c>
      <c r="C414" s="6" t="s">
        <v>199</v>
      </c>
      <c r="D414" s="10" t="s">
        <v>2175</v>
      </c>
      <c r="E414" s="6"/>
      <c r="F414" s="6" t="s">
        <v>1388</v>
      </c>
      <c r="G414" s="6" t="s">
        <v>2174</v>
      </c>
      <c r="H414" s="6" t="s">
        <v>1425</v>
      </c>
      <c r="I414" s="6" t="s">
        <v>124</v>
      </c>
      <c r="J414" s="6" t="s">
        <v>1390</v>
      </c>
    </row>
    <row r="415" spans="1:10">
      <c r="A415" s="6" t="s">
        <v>41</v>
      </c>
      <c r="B415" s="6" t="s">
        <v>251</v>
      </c>
      <c r="C415" s="6" t="s">
        <v>199</v>
      </c>
      <c r="D415" s="10" t="s">
        <v>2176</v>
      </c>
      <c r="E415" s="6"/>
      <c r="F415" s="6" t="s">
        <v>1388</v>
      </c>
      <c r="G415" s="6" t="s">
        <v>2174</v>
      </c>
      <c r="H415" s="6" t="s">
        <v>1425</v>
      </c>
      <c r="I415" s="6" t="s">
        <v>124</v>
      </c>
      <c r="J415" s="6" t="s">
        <v>1390</v>
      </c>
    </row>
    <row r="416" spans="1:10">
      <c r="A416" s="6" t="s">
        <v>41</v>
      </c>
      <c r="B416" s="6" t="s">
        <v>251</v>
      </c>
      <c r="C416" s="6" t="s">
        <v>199</v>
      </c>
      <c r="D416" s="10" t="s">
        <v>2177</v>
      </c>
      <c r="E416" s="6"/>
      <c r="F416" s="6" t="s">
        <v>1388</v>
      </c>
      <c r="G416" s="6" t="s">
        <v>2174</v>
      </c>
      <c r="H416" s="6" t="s">
        <v>1425</v>
      </c>
      <c r="I416" s="6" t="s">
        <v>124</v>
      </c>
      <c r="J416" s="6" t="s">
        <v>1390</v>
      </c>
    </row>
    <row r="417" spans="1:10">
      <c r="A417" s="6" t="s">
        <v>41</v>
      </c>
      <c r="B417" s="6" t="s">
        <v>251</v>
      </c>
      <c r="C417" s="6" t="s">
        <v>199</v>
      </c>
      <c r="D417" s="10" t="s">
        <v>2178</v>
      </c>
      <c r="E417" s="6"/>
      <c r="F417" s="6" t="s">
        <v>1388</v>
      </c>
      <c r="G417" s="6" t="s">
        <v>2174</v>
      </c>
      <c r="H417" s="6" t="s">
        <v>1425</v>
      </c>
      <c r="I417" s="6" t="s">
        <v>124</v>
      </c>
      <c r="J417" s="6" t="s">
        <v>1390</v>
      </c>
    </row>
    <row r="418" spans="1:10">
      <c r="A418" s="6" t="s">
        <v>41</v>
      </c>
      <c r="B418" s="6" t="s">
        <v>251</v>
      </c>
      <c r="C418" s="6" t="s">
        <v>199</v>
      </c>
      <c r="D418" s="10" t="s">
        <v>2179</v>
      </c>
      <c r="E418" s="6"/>
      <c r="F418" s="6" t="s">
        <v>1388</v>
      </c>
      <c r="G418" s="6" t="s">
        <v>2174</v>
      </c>
      <c r="H418" s="6" t="s">
        <v>1425</v>
      </c>
      <c r="I418" s="6" t="s">
        <v>124</v>
      </c>
      <c r="J418" s="6" t="s">
        <v>1390</v>
      </c>
    </row>
    <row r="419" spans="1:10">
      <c r="A419" s="6" t="s">
        <v>41</v>
      </c>
      <c r="B419" s="6" t="s">
        <v>251</v>
      </c>
      <c r="C419" s="6" t="s">
        <v>199</v>
      </c>
      <c r="D419" s="10" t="s">
        <v>2180</v>
      </c>
      <c r="E419" s="6"/>
      <c r="F419" s="6" t="s">
        <v>1388</v>
      </c>
      <c r="G419" s="6" t="s">
        <v>2174</v>
      </c>
      <c r="H419" s="6" t="s">
        <v>1425</v>
      </c>
      <c r="I419" s="6" t="s">
        <v>124</v>
      </c>
      <c r="J419" s="6" t="s">
        <v>1390</v>
      </c>
    </row>
    <row r="420" spans="1:10">
      <c r="A420" s="6" t="s">
        <v>41</v>
      </c>
      <c r="B420" s="6" t="s">
        <v>251</v>
      </c>
      <c r="C420" s="6" t="s">
        <v>199</v>
      </c>
      <c r="D420" s="10" t="s">
        <v>2181</v>
      </c>
      <c r="E420" s="6"/>
      <c r="F420" s="6" t="s">
        <v>1388</v>
      </c>
      <c r="G420" s="6" t="s">
        <v>2174</v>
      </c>
      <c r="H420" s="6" t="s">
        <v>1425</v>
      </c>
      <c r="I420" s="6" t="s">
        <v>124</v>
      </c>
      <c r="J420" s="6" t="s">
        <v>1390</v>
      </c>
    </row>
    <row r="421" spans="1:10">
      <c r="A421" s="6" t="s">
        <v>41</v>
      </c>
      <c r="B421" s="6" t="s">
        <v>251</v>
      </c>
      <c r="C421" s="6" t="s">
        <v>199</v>
      </c>
      <c r="D421" s="10" t="s">
        <v>2182</v>
      </c>
      <c r="E421" s="6"/>
      <c r="F421" s="6" t="s">
        <v>1388</v>
      </c>
      <c r="G421" s="6" t="s">
        <v>2174</v>
      </c>
      <c r="H421" s="6" t="s">
        <v>1425</v>
      </c>
      <c r="I421" s="6" t="s">
        <v>124</v>
      </c>
      <c r="J421" s="6" t="s">
        <v>1390</v>
      </c>
    </row>
    <row r="422" spans="1:10">
      <c r="A422" s="6" t="s">
        <v>41</v>
      </c>
      <c r="B422" s="6" t="s">
        <v>251</v>
      </c>
      <c r="C422" s="6" t="s">
        <v>199</v>
      </c>
      <c r="D422" s="10" t="s">
        <v>2183</v>
      </c>
      <c r="E422" s="6"/>
      <c r="F422" s="6" t="s">
        <v>1388</v>
      </c>
      <c r="G422" s="6" t="s">
        <v>2174</v>
      </c>
      <c r="H422" s="6" t="s">
        <v>1425</v>
      </c>
      <c r="I422" s="6" t="s">
        <v>124</v>
      </c>
      <c r="J422" s="6" t="s">
        <v>1390</v>
      </c>
    </row>
    <row r="423" spans="1:10">
      <c r="A423" s="6" t="s">
        <v>41</v>
      </c>
      <c r="B423" s="6" t="s">
        <v>251</v>
      </c>
      <c r="C423" s="6" t="s">
        <v>199</v>
      </c>
      <c r="D423" s="10" t="s">
        <v>2184</v>
      </c>
      <c r="E423" s="6"/>
      <c r="F423" s="6" t="s">
        <v>1388</v>
      </c>
      <c r="G423" s="6" t="s">
        <v>2174</v>
      </c>
      <c r="H423" s="6" t="s">
        <v>1425</v>
      </c>
      <c r="I423" s="6" t="s">
        <v>124</v>
      </c>
      <c r="J423" s="6" t="s">
        <v>1390</v>
      </c>
    </row>
    <row r="424" spans="1:10">
      <c r="A424" s="6" t="s">
        <v>41</v>
      </c>
      <c r="B424" s="6" t="s">
        <v>251</v>
      </c>
      <c r="C424" s="6" t="s">
        <v>199</v>
      </c>
      <c r="D424" s="10" t="s">
        <v>2185</v>
      </c>
      <c r="E424" s="6"/>
      <c r="F424" s="6" t="s">
        <v>1388</v>
      </c>
      <c r="G424" s="6" t="s">
        <v>2174</v>
      </c>
      <c r="H424" s="6" t="s">
        <v>1425</v>
      </c>
      <c r="I424" s="6" t="s">
        <v>124</v>
      </c>
      <c r="J424" s="6" t="s">
        <v>1390</v>
      </c>
    </row>
    <row r="425" spans="1:10">
      <c r="A425" s="6" t="s">
        <v>41</v>
      </c>
      <c r="B425" s="6" t="s">
        <v>251</v>
      </c>
      <c r="C425" s="6" t="s">
        <v>199</v>
      </c>
      <c r="D425" s="10" t="s">
        <v>2186</v>
      </c>
      <c r="E425" s="6"/>
      <c r="F425" s="6" t="s">
        <v>1388</v>
      </c>
      <c r="G425" s="6" t="s">
        <v>2174</v>
      </c>
      <c r="H425" s="6" t="s">
        <v>1425</v>
      </c>
      <c r="I425" s="6" t="s">
        <v>124</v>
      </c>
      <c r="J425" s="6" t="s">
        <v>1390</v>
      </c>
    </row>
    <row r="426" spans="1:10">
      <c r="A426" s="6" t="s">
        <v>41</v>
      </c>
      <c r="B426" s="6" t="s">
        <v>251</v>
      </c>
      <c r="C426" s="6" t="s">
        <v>199</v>
      </c>
      <c r="D426" s="10" t="s">
        <v>764</v>
      </c>
      <c r="E426" s="6" t="s">
        <v>958</v>
      </c>
      <c r="F426" s="6" t="s">
        <v>1397</v>
      </c>
      <c r="G426" s="6" t="s">
        <v>646</v>
      </c>
      <c r="H426" s="6" t="s">
        <v>1389</v>
      </c>
      <c r="I426" s="6" t="s">
        <v>124</v>
      </c>
      <c r="J426" s="6" t="s">
        <v>1390</v>
      </c>
    </row>
    <row r="427" spans="1:10">
      <c r="A427" s="6" t="s">
        <v>41</v>
      </c>
      <c r="B427" s="6" t="s">
        <v>251</v>
      </c>
      <c r="C427" s="6" t="s">
        <v>199</v>
      </c>
      <c r="D427" s="10" t="s">
        <v>2187</v>
      </c>
      <c r="E427" s="6" t="s">
        <v>2188</v>
      </c>
      <c r="F427" s="6" t="s">
        <v>1397</v>
      </c>
      <c r="G427" s="6" t="s">
        <v>256</v>
      </c>
      <c r="H427" s="6" t="s">
        <v>1389</v>
      </c>
      <c r="I427" s="6" t="s">
        <v>124</v>
      </c>
      <c r="J427" s="6" t="s">
        <v>1390</v>
      </c>
    </row>
    <row r="428" spans="1:10">
      <c r="A428" s="6" t="s">
        <v>41</v>
      </c>
      <c r="B428" s="6" t="s">
        <v>251</v>
      </c>
      <c r="C428" s="6" t="s">
        <v>1458</v>
      </c>
      <c r="D428" s="10" t="s">
        <v>2189</v>
      </c>
      <c r="E428" s="6"/>
      <c r="F428" s="6" t="s">
        <v>1388</v>
      </c>
      <c r="G428" s="6" t="s">
        <v>2174</v>
      </c>
      <c r="H428" s="6" t="s">
        <v>1425</v>
      </c>
      <c r="I428" s="6" t="s">
        <v>124</v>
      </c>
      <c r="J428" s="6" t="s">
        <v>1390</v>
      </c>
    </row>
    <row r="429" spans="1:10">
      <c r="A429" s="6" t="s">
        <v>41</v>
      </c>
      <c r="B429" s="6" t="s">
        <v>251</v>
      </c>
      <c r="C429" s="6" t="s">
        <v>217</v>
      </c>
      <c r="D429" s="10" t="s">
        <v>2190</v>
      </c>
      <c r="E429" s="6" t="s">
        <v>2191</v>
      </c>
      <c r="F429" s="6" t="s">
        <v>1397</v>
      </c>
      <c r="G429" s="6" t="s">
        <v>256</v>
      </c>
      <c r="H429" s="6" t="s">
        <v>1389</v>
      </c>
      <c r="I429" s="6" t="s">
        <v>124</v>
      </c>
      <c r="J429" s="6" t="s">
        <v>1390</v>
      </c>
    </row>
    <row r="430" spans="1:10">
      <c r="A430" s="6" t="s">
        <v>41</v>
      </c>
      <c r="B430" s="6" t="s">
        <v>251</v>
      </c>
      <c r="C430" s="6" t="s">
        <v>217</v>
      </c>
      <c r="D430" s="10" t="s">
        <v>2192</v>
      </c>
      <c r="E430" s="6" t="s">
        <v>2193</v>
      </c>
      <c r="F430" s="6" t="s">
        <v>1397</v>
      </c>
      <c r="G430" s="6" t="s">
        <v>256</v>
      </c>
      <c r="H430" s="6" t="s">
        <v>1389</v>
      </c>
      <c r="I430" s="6" t="s">
        <v>124</v>
      </c>
      <c r="J430" s="6" t="s">
        <v>1390</v>
      </c>
    </row>
    <row r="431" spans="1:10">
      <c r="A431" s="6" t="s">
        <v>41</v>
      </c>
      <c r="B431" s="6" t="s">
        <v>251</v>
      </c>
      <c r="C431" s="6" t="s">
        <v>217</v>
      </c>
      <c r="D431" s="10" t="s">
        <v>2194</v>
      </c>
      <c r="E431" s="6" t="s">
        <v>1497</v>
      </c>
      <c r="F431" s="6" t="s">
        <v>1397</v>
      </c>
      <c r="G431" s="6" t="s">
        <v>256</v>
      </c>
      <c r="H431" s="6" t="s">
        <v>1389</v>
      </c>
      <c r="I431" s="6" t="s">
        <v>124</v>
      </c>
      <c r="J431" s="6" t="s">
        <v>1390</v>
      </c>
    </row>
    <row r="432" spans="1:10">
      <c r="A432" s="6" t="s">
        <v>41</v>
      </c>
      <c r="B432" s="6" t="s">
        <v>251</v>
      </c>
      <c r="C432" s="6" t="s">
        <v>212</v>
      </c>
      <c r="D432" s="10" t="s">
        <v>2195</v>
      </c>
      <c r="E432" s="6"/>
      <c r="F432" s="6" t="s">
        <v>1397</v>
      </c>
      <c r="G432" s="6" t="s">
        <v>848</v>
      </c>
      <c r="H432" s="6" t="s">
        <v>1425</v>
      </c>
      <c r="I432" s="6" t="s">
        <v>124</v>
      </c>
      <c r="J432" s="6" t="s">
        <v>1390</v>
      </c>
    </row>
    <row r="433" spans="1:10">
      <c r="A433" s="6" t="s">
        <v>41</v>
      </c>
      <c r="B433" s="6" t="s">
        <v>251</v>
      </c>
      <c r="C433" s="6" t="s">
        <v>212</v>
      </c>
      <c r="D433" s="10" t="s">
        <v>2196</v>
      </c>
      <c r="E433" s="6"/>
      <c r="F433" s="6" t="s">
        <v>1397</v>
      </c>
      <c r="G433" s="6" t="s">
        <v>848</v>
      </c>
      <c r="H433" s="6" t="s">
        <v>1425</v>
      </c>
      <c r="I433" s="6" t="s">
        <v>124</v>
      </c>
      <c r="J433" s="6" t="s">
        <v>1390</v>
      </c>
    </row>
    <row r="434" spans="1:10">
      <c r="A434" s="6" t="s">
        <v>41</v>
      </c>
      <c r="B434" s="6" t="s">
        <v>251</v>
      </c>
      <c r="C434" s="6" t="s">
        <v>212</v>
      </c>
      <c r="D434" s="10" t="s">
        <v>2197</v>
      </c>
      <c r="E434" s="6"/>
      <c r="F434" s="6" t="s">
        <v>1397</v>
      </c>
      <c r="G434" s="6" t="s">
        <v>848</v>
      </c>
      <c r="H434" s="6" t="s">
        <v>1425</v>
      </c>
      <c r="I434" s="6" t="s">
        <v>124</v>
      </c>
      <c r="J434" s="6" t="s">
        <v>1390</v>
      </c>
    </row>
    <row r="435" spans="1:10">
      <c r="A435" s="6" t="s">
        <v>41</v>
      </c>
      <c r="B435" s="6" t="s">
        <v>251</v>
      </c>
      <c r="C435" s="6" t="s">
        <v>212</v>
      </c>
      <c r="D435" s="10" t="s">
        <v>2198</v>
      </c>
      <c r="E435" s="6"/>
      <c r="F435" s="6" t="s">
        <v>1397</v>
      </c>
      <c r="G435" s="6" t="s">
        <v>848</v>
      </c>
      <c r="H435" s="6" t="s">
        <v>1425</v>
      </c>
      <c r="I435" s="6" t="s">
        <v>124</v>
      </c>
      <c r="J435" s="6" t="s">
        <v>1390</v>
      </c>
    </row>
    <row r="436" spans="1:10">
      <c r="A436" s="6" t="s">
        <v>41</v>
      </c>
      <c r="B436" s="6" t="s">
        <v>251</v>
      </c>
      <c r="C436" s="6" t="s">
        <v>212</v>
      </c>
      <c r="D436" s="10" t="s">
        <v>2199</v>
      </c>
      <c r="E436" s="6"/>
      <c r="F436" s="6" t="s">
        <v>1397</v>
      </c>
      <c r="G436" s="6" t="s">
        <v>848</v>
      </c>
      <c r="H436" s="6" t="s">
        <v>1425</v>
      </c>
      <c r="I436" s="6" t="s">
        <v>124</v>
      </c>
      <c r="J436" s="6" t="s">
        <v>1390</v>
      </c>
    </row>
    <row r="437" spans="1:10">
      <c r="A437" s="6" t="s">
        <v>41</v>
      </c>
      <c r="B437" s="6" t="s">
        <v>251</v>
      </c>
      <c r="C437" s="6" t="s">
        <v>212</v>
      </c>
      <c r="D437" s="10" t="s">
        <v>2200</v>
      </c>
      <c r="E437" s="6"/>
      <c r="F437" s="6" t="s">
        <v>1397</v>
      </c>
      <c r="G437" s="6" t="s">
        <v>848</v>
      </c>
      <c r="H437" s="6" t="s">
        <v>1425</v>
      </c>
      <c r="I437" s="6" t="s">
        <v>124</v>
      </c>
      <c r="J437" s="6" t="s">
        <v>1390</v>
      </c>
    </row>
    <row r="438" spans="1:10">
      <c r="A438" s="6" t="s">
        <v>41</v>
      </c>
      <c r="B438" s="6" t="s">
        <v>251</v>
      </c>
      <c r="C438" s="6" t="s">
        <v>212</v>
      </c>
      <c r="D438" s="10" t="s">
        <v>2201</v>
      </c>
      <c r="E438" s="6"/>
      <c r="F438" s="6" t="s">
        <v>1397</v>
      </c>
      <c r="G438" s="6" t="s">
        <v>848</v>
      </c>
      <c r="H438" s="6" t="s">
        <v>1425</v>
      </c>
      <c r="I438" s="6" t="s">
        <v>124</v>
      </c>
      <c r="J438" s="6" t="s">
        <v>1390</v>
      </c>
    </row>
    <row r="439" spans="1:10">
      <c r="A439" s="6" t="s">
        <v>41</v>
      </c>
      <c r="B439" s="6" t="s">
        <v>251</v>
      </c>
      <c r="C439" s="6" t="s">
        <v>212</v>
      </c>
      <c r="D439" s="10" t="s">
        <v>2202</v>
      </c>
      <c r="E439" s="6"/>
      <c r="F439" s="6" t="s">
        <v>1397</v>
      </c>
      <c r="G439" s="6" t="s">
        <v>848</v>
      </c>
      <c r="H439" s="6" t="s">
        <v>1425</v>
      </c>
      <c r="I439" s="6" t="s">
        <v>124</v>
      </c>
      <c r="J439" s="6" t="s">
        <v>1390</v>
      </c>
    </row>
    <row r="440" spans="1:10">
      <c r="A440" s="6" t="s">
        <v>41</v>
      </c>
      <c r="B440" s="6" t="s">
        <v>251</v>
      </c>
      <c r="C440" s="6" t="s">
        <v>212</v>
      </c>
      <c r="D440" s="10" t="s">
        <v>2203</v>
      </c>
      <c r="E440" s="6" t="s">
        <v>2204</v>
      </c>
      <c r="F440" s="6" t="s">
        <v>1388</v>
      </c>
      <c r="G440" s="6" t="s">
        <v>646</v>
      </c>
      <c r="H440" s="6" t="s">
        <v>1389</v>
      </c>
      <c r="I440" s="6" t="s">
        <v>124</v>
      </c>
      <c r="J440" s="6" t="s">
        <v>1390</v>
      </c>
    </row>
    <row r="441" spans="1:10">
      <c r="A441" s="6" t="s">
        <v>41</v>
      </c>
      <c r="B441" s="6" t="s">
        <v>251</v>
      </c>
      <c r="C441" s="6" t="s">
        <v>212</v>
      </c>
      <c r="D441" s="10" t="s">
        <v>2205</v>
      </c>
      <c r="E441" s="6" t="s">
        <v>2206</v>
      </c>
      <c r="F441" s="6" t="s">
        <v>1388</v>
      </c>
      <c r="G441" s="6" t="s">
        <v>646</v>
      </c>
      <c r="H441" s="6" t="s">
        <v>1389</v>
      </c>
      <c r="I441" s="6" t="s">
        <v>124</v>
      </c>
      <c r="J441" s="6" t="s">
        <v>1390</v>
      </c>
    </row>
    <row r="442" spans="1:10">
      <c r="A442" s="6" t="s">
        <v>41</v>
      </c>
      <c r="B442" s="6" t="s">
        <v>251</v>
      </c>
      <c r="C442" s="6" t="s">
        <v>212</v>
      </c>
      <c r="D442" s="10" t="s">
        <v>2207</v>
      </c>
      <c r="E442" s="6"/>
      <c r="F442" s="6" t="s">
        <v>1388</v>
      </c>
      <c r="G442" s="6" t="s">
        <v>646</v>
      </c>
      <c r="H442" s="6" t="s">
        <v>1389</v>
      </c>
      <c r="I442" s="6" t="s">
        <v>124</v>
      </c>
      <c r="J442" s="6" t="s">
        <v>1390</v>
      </c>
    </row>
    <row r="443" spans="1:10">
      <c r="A443" s="6" t="s">
        <v>41</v>
      </c>
      <c r="B443" s="6" t="s">
        <v>251</v>
      </c>
      <c r="C443" s="6" t="s">
        <v>212</v>
      </c>
      <c r="D443" s="10" t="s">
        <v>2208</v>
      </c>
      <c r="E443" s="6"/>
      <c r="F443" s="6" t="s">
        <v>1388</v>
      </c>
      <c r="G443" s="6" t="s">
        <v>848</v>
      </c>
      <c r="H443" s="6" t="s">
        <v>1425</v>
      </c>
      <c r="I443" s="6" t="s">
        <v>124</v>
      </c>
      <c r="J443" s="6" t="s">
        <v>1390</v>
      </c>
    </row>
    <row r="444" spans="1:10">
      <c r="A444" s="6" t="s">
        <v>41</v>
      </c>
      <c r="B444" s="6" t="s">
        <v>251</v>
      </c>
      <c r="C444" s="6" t="s">
        <v>212</v>
      </c>
      <c r="D444" s="10" t="s">
        <v>2209</v>
      </c>
      <c r="E444" s="6" t="s">
        <v>2210</v>
      </c>
      <c r="F444" s="6" t="s">
        <v>1388</v>
      </c>
      <c r="G444" s="6" t="s">
        <v>646</v>
      </c>
      <c r="H444" s="6" t="s">
        <v>1389</v>
      </c>
      <c r="I444" s="6" t="s">
        <v>124</v>
      </c>
      <c r="J444" s="6" t="s">
        <v>1390</v>
      </c>
    </row>
    <row r="445" spans="1:10">
      <c r="A445" s="6" t="s">
        <v>41</v>
      </c>
      <c r="B445" s="6" t="s">
        <v>251</v>
      </c>
      <c r="C445" s="6" t="s">
        <v>212</v>
      </c>
      <c r="D445" s="10" t="s">
        <v>2211</v>
      </c>
      <c r="E445" s="6" t="s">
        <v>2212</v>
      </c>
      <c r="F445" s="6" t="s">
        <v>1388</v>
      </c>
      <c r="G445" s="6" t="s">
        <v>646</v>
      </c>
      <c r="H445" s="6" t="s">
        <v>1389</v>
      </c>
      <c r="I445" s="6" t="s">
        <v>124</v>
      </c>
      <c r="J445" s="6" t="s">
        <v>1390</v>
      </c>
    </row>
    <row r="446" spans="1:10">
      <c r="A446" s="6" t="s">
        <v>41</v>
      </c>
      <c r="B446" s="6" t="s">
        <v>251</v>
      </c>
      <c r="C446" s="6" t="s">
        <v>212</v>
      </c>
      <c r="D446" s="10" t="s">
        <v>831</v>
      </c>
      <c r="E446" s="6" t="s">
        <v>2213</v>
      </c>
      <c r="F446" s="6" t="s">
        <v>1388</v>
      </c>
      <c r="G446" s="6" t="s">
        <v>646</v>
      </c>
      <c r="H446" s="6" t="s">
        <v>1389</v>
      </c>
      <c r="I446" s="6" t="s">
        <v>715</v>
      </c>
      <c r="J446" s="6" t="s">
        <v>1390</v>
      </c>
    </row>
    <row r="447" spans="1:10">
      <c r="A447" s="6" t="s">
        <v>41</v>
      </c>
      <c r="B447" s="6" t="s">
        <v>251</v>
      </c>
      <c r="C447" s="6" t="s">
        <v>212</v>
      </c>
      <c r="D447" s="10" t="s">
        <v>2214</v>
      </c>
      <c r="E447" s="6" t="s">
        <v>2215</v>
      </c>
      <c r="F447" s="6" t="s">
        <v>1388</v>
      </c>
      <c r="G447" s="6" t="s">
        <v>646</v>
      </c>
      <c r="H447" s="6" t="s">
        <v>1389</v>
      </c>
      <c r="I447" s="6" t="s">
        <v>124</v>
      </c>
      <c r="J447" s="6" t="s">
        <v>1390</v>
      </c>
    </row>
    <row r="448" spans="1:10">
      <c r="A448" s="6" t="s">
        <v>41</v>
      </c>
      <c r="B448" s="6" t="s">
        <v>251</v>
      </c>
      <c r="C448" s="6" t="s">
        <v>212</v>
      </c>
      <c r="D448" s="10" t="s">
        <v>818</v>
      </c>
      <c r="E448" s="6" t="s">
        <v>2216</v>
      </c>
      <c r="F448" s="6" t="s">
        <v>1388</v>
      </c>
      <c r="G448" s="6" t="s">
        <v>646</v>
      </c>
      <c r="H448" s="6" t="s">
        <v>1389</v>
      </c>
      <c r="I448" s="6" t="s">
        <v>715</v>
      </c>
      <c r="J448" s="6" t="s">
        <v>1390</v>
      </c>
    </row>
    <row r="449" spans="1:10">
      <c r="A449" s="6" t="s">
        <v>41</v>
      </c>
      <c r="B449" s="6" t="s">
        <v>251</v>
      </c>
      <c r="C449" s="6" t="s">
        <v>212</v>
      </c>
      <c r="D449" s="10" t="s">
        <v>825</v>
      </c>
      <c r="E449" s="6" t="s">
        <v>2217</v>
      </c>
      <c r="F449" s="6" t="s">
        <v>1388</v>
      </c>
      <c r="G449" s="6" t="s">
        <v>646</v>
      </c>
      <c r="H449" s="6" t="s">
        <v>1389</v>
      </c>
      <c r="I449" s="6" t="s">
        <v>715</v>
      </c>
      <c r="J449" s="6" t="s">
        <v>1390</v>
      </c>
    </row>
    <row r="450" spans="1:10">
      <c r="A450" s="6" t="s">
        <v>41</v>
      </c>
      <c r="B450" s="6" t="s">
        <v>251</v>
      </c>
      <c r="C450" s="6" t="s">
        <v>212</v>
      </c>
      <c r="D450" s="10" t="s">
        <v>2218</v>
      </c>
      <c r="E450" s="6" t="s">
        <v>2219</v>
      </c>
      <c r="F450" s="6" t="s">
        <v>1388</v>
      </c>
      <c r="G450" s="6" t="s">
        <v>809</v>
      </c>
      <c r="H450" s="6" t="s">
        <v>1425</v>
      </c>
      <c r="I450" s="6" t="s">
        <v>124</v>
      </c>
      <c r="J450" s="6" t="s">
        <v>1390</v>
      </c>
    </row>
    <row r="451" spans="1:10">
      <c r="A451" s="6" t="s">
        <v>41</v>
      </c>
      <c r="B451" s="6" t="s">
        <v>251</v>
      </c>
      <c r="C451" s="6" t="s">
        <v>212</v>
      </c>
      <c r="D451" s="10" t="s">
        <v>2220</v>
      </c>
      <c r="E451" s="6" t="s">
        <v>2221</v>
      </c>
      <c r="F451" s="6" t="s">
        <v>1388</v>
      </c>
      <c r="G451" s="6" t="s">
        <v>809</v>
      </c>
      <c r="H451" s="6" t="s">
        <v>1425</v>
      </c>
      <c r="I451" s="6" t="s">
        <v>124</v>
      </c>
      <c r="J451" s="6" t="s">
        <v>1390</v>
      </c>
    </row>
    <row r="452" spans="1:10">
      <c r="A452" s="6" t="s">
        <v>41</v>
      </c>
      <c r="B452" s="6" t="s">
        <v>251</v>
      </c>
      <c r="C452" s="6" t="s">
        <v>212</v>
      </c>
      <c r="D452" s="10" t="s">
        <v>846</v>
      </c>
      <c r="E452" s="6"/>
      <c r="F452" s="6" t="s">
        <v>1388</v>
      </c>
      <c r="G452" s="6" t="s">
        <v>848</v>
      </c>
      <c r="H452" s="6" t="s">
        <v>1425</v>
      </c>
      <c r="I452" s="6" t="s">
        <v>715</v>
      </c>
      <c r="J452" s="6" t="s">
        <v>1390</v>
      </c>
    </row>
    <row r="453" spans="1:10">
      <c r="A453" s="6" t="s">
        <v>41</v>
      </c>
      <c r="B453" s="6" t="s">
        <v>251</v>
      </c>
      <c r="C453" s="6" t="s">
        <v>212</v>
      </c>
      <c r="D453" s="10" t="s">
        <v>848</v>
      </c>
      <c r="E453" s="6" t="s">
        <v>2222</v>
      </c>
      <c r="F453" s="6" t="s">
        <v>1397</v>
      </c>
      <c r="G453" s="6" t="s">
        <v>646</v>
      </c>
      <c r="H453" s="6" t="s">
        <v>1389</v>
      </c>
      <c r="I453" s="6" t="s">
        <v>124</v>
      </c>
      <c r="J453" s="6" t="s">
        <v>1390</v>
      </c>
    </row>
    <row r="454" spans="1:10">
      <c r="A454" s="6" t="s">
        <v>41</v>
      </c>
      <c r="B454" s="6" t="s">
        <v>251</v>
      </c>
      <c r="C454" s="6" t="s">
        <v>212</v>
      </c>
      <c r="D454" s="10" t="s">
        <v>646</v>
      </c>
      <c r="E454" s="6"/>
      <c r="F454" s="6" t="s">
        <v>1397</v>
      </c>
      <c r="G454" s="6" t="s">
        <v>646</v>
      </c>
      <c r="H454" s="6" t="s">
        <v>1389</v>
      </c>
      <c r="I454" s="6" t="s">
        <v>715</v>
      </c>
      <c r="J454" s="6" t="s">
        <v>1390</v>
      </c>
    </row>
    <row r="455" spans="1:10">
      <c r="A455" s="6" t="s">
        <v>41</v>
      </c>
      <c r="B455" s="6" t="s">
        <v>251</v>
      </c>
      <c r="C455" s="6" t="s">
        <v>212</v>
      </c>
      <c r="D455" s="10" t="s">
        <v>809</v>
      </c>
      <c r="E455" s="6" t="s">
        <v>803</v>
      </c>
      <c r="F455" s="6" t="s">
        <v>1397</v>
      </c>
      <c r="G455" s="6" t="s">
        <v>646</v>
      </c>
      <c r="H455" s="6" t="s">
        <v>1389</v>
      </c>
      <c r="I455" s="6" t="s">
        <v>124</v>
      </c>
      <c r="J455" s="6" t="s">
        <v>1390</v>
      </c>
    </row>
    <row r="456" spans="1:10">
      <c r="A456" s="6" t="s">
        <v>41</v>
      </c>
      <c r="B456" s="6" t="s">
        <v>251</v>
      </c>
      <c r="C456" s="6" t="s">
        <v>212</v>
      </c>
      <c r="D456" s="10" t="s">
        <v>2223</v>
      </c>
      <c r="E456" s="6" t="s">
        <v>2224</v>
      </c>
      <c r="F456" s="6" t="s">
        <v>1397</v>
      </c>
      <c r="G456" s="6" t="s">
        <v>256</v>
      </c>
      <c r="H456" s="6" t="s">
        <v>1389</v>
      </c>
      <c r="I456" s="6" t="s">
        <v>124</v>
      </c>
      <c r="J456" s="6" t="s">
        <v>1390</v>
      </c>
    </row>
    <row r="457" spans="1:10">
      <c r="A457" s="6" t="s">
        <v>41</v>
      </c>
      <c r="B457" s="6" t="s">
        <v>251</v>
      </c>
      <c r="C457" s="6" t="s">
        <v>212</v>
      </c>
      <c r="D457" s="10" t="s">
        <v>2225</v>
      </c>
      <c r="E457" s="6"/>
      <c r="F457" s="6" t="s">
        <v>1397</v>
      </c>
      <c r="G457" s="6" t="s">
        <v>848</v>
      </c>
      <c r="H457" s="6" t="s">
        <v>1425</v>
      </c>
      <c r="I457" s="6" t="s">
        <v>124</v>
      </c>
      <c r="J457" s="6" t="s">
        <v>1390</v>
      </c>
    </row>
    <row r="458" spans="1:10">
      <c r="A458" s="6" t="s">
        <v>41</v>
      </c>
      <c r="B458" s="6" t="s">
        <v>251</v>
      </c>
      <c r="C458" s="6" t="s">
        <v>212</v>
      </c>
      <c r="D458" s="10" t="s">
        <v>2226</v>
      </c>
      <c r="E458" s="6"/>
      <c r="F458" s="6" t="s">
        <v>1397</v>
      </c>
      <c r="G458" s="6" t="s">
        <v>848</v>
      </c>
      <c r="H458" s="6" t="s">
        <v>1425</v>
      </c>
      <c r="I458" s="6" t="s">
        <v>124</v>
      </c>
      <c r="J458" s="6" t="s">
        <v>1390</v>
      </c>
    </row>
    <row r="459" spans="1:10">
      <c r="A459" s="6" t="s">
        <v>41</v>
      </c>
      <c r="B459" s="6" t="s">
        <v>251</v>
      </c>
      <c r="C459" s="6" t="s">
        <v>212</v>
      </c>
      <c r="D459" s="10" t="s">
        <v>2227</v>
      </c>
      <c r="E459" s="6"/>
      <c r="F459" s="6" t="s">
        <v>1397</v>
      </c>
      <c r="G459" s="6" t="s">
        <v>848</v>
      </c>
      <c r="H459" s="6" t="s">
        <v>1425</v>
      </c>
      <c r="I459" s="6" t="s">
        <v>124</v>
      </c>
      <c r="J459" s="6" t="s">
        <v>1390</v>
      </c>
    </row>
    <row r="460" spans="1:10">
      <c r="A460" s="6" t="s">
        <v>41</v>
      </c>
      <c r="B460" s="6" t="s">
        <v>251</v>
      </c>
      <c r="C460" s="6" t="s">
        <v>212</v>
      </c>
      <c r="D460" s="10" t="s">
        <v>2228</v>
      </c>
      <c r="E460" s="6"/>
      <c r="F460" s="6" t="s">
        <v>1397</v>
      </c>
      <c r="G460" s="6" t="s">
        <v>848</v>
      </c>
      <c r="H460" s="6" t="s">
        <v>1425</v>
      </c>
      <c r="I460" s="6" t="s">
        <v>124</v>
      </c>
      <c r="J460" s="6" t="s">
        <v>1390</v>
      </c>
    </row>
    <row r="461" spans="1:10">
      <c r="A461" s="6" t="s">
        <v>41</v>
      </c>
      <c r="B461" s="6" t="s">
        <v>251</v>
      </c>
      <c r="C461" s="6" t="s">
        <v>212</v>
      </c>
      <c r="D461" s="10" t="s">
        <v>2229</v>
      </c>
      <c r="E461" s="6"/>
      <c r="F461" s="6" t="s">
        <v>1397</v>
      </c>
      <c r="G461" s="6" t="s">
        <v>848</v>
      </c>
      <c r="H461" s="6" t="s">
        <v>1425</v>
      </c>
      <c r="I461" s="6" t="s">
        <v>124</v>
      </c>
      <c r="J461" s="6" t="s">
        <v>1390</v>
      </c>
    </row>
    <row r="462" spans="1:10">
      <c r="A462" s="6" t="s">
        <v>41</v>
      </c>
      <c r="B462" s="6" t="s">
        <v>251</v>
      </c>
      <c r="C462" s="6" t="s">
        <v>212</v>
      </c>
      <c r="D462" s="10" t="s">
        <v>2230</v>
      </c>
      <c r="E462" s="6" t="s">
        <v>2142</v>
      </c>
      <c r="F462" s="6" t="s">
        <v>1397</v>
      </c>
      <c r="G462" s="6" t="s">
        <v>256</v>
      </c>
      <c r="H462" s="6" t="s">
        <v>1389</v>
      </c>
      <c r="I462" s="6" t="s">
        <v>124</v>
      </c>
      <c r="J462" s="6" t="s">
        <v>1390</v>
      </c>
    </row>
    <row r="463" spans="1:10">
      <c r="A463" s="6" t="s">
        <v>41</v>
      </c>
      <c r="B463" s="6" t="s">
        <v>251</v>
      </c>
      <c r="C463" s="6" t="s">
        <v>212</v>
      </c>
      <c r="D463" s="10" t="s">
        <v>2231</v>
      </c>
      <c r="E463" s="6" t="s">
        <v>2232</v>
      </c>
      <c r="F463" s="6" t="s">
        <v>1397</v>
      </c>
      <c r="G463" s="6" t="s">
        <v>256</v>
      </c>
      <c r="H463" s="6" t="s">
        <v>1389</v>
      </c>
      <c r="I463" s="6" t="s">
        <v>124</v>
      </c>
      <c r="J463" s="6" t="s">
        <v>1390</v>
      </c>
    </row>
    <row r="464" spans="1:10">
      <c r="A464" s="6" t="s">
        <v>41</v>
      </c>
      <c r="B464" s="6" t="s">
        <v>251</v>
      </c>
      <c r="C464" s="6" t="s">
        <v>212</v>
      </c>
      <c r="D464" s="10" t="s">
        <v>2233</v>
      </c>
      <c r="E464" s="6" t="s">
        <v>2234</v>
      </c>
      <c r="F464" s="6" t="s">
        <v>1397</v>
      </c>
      <c r="G464" s="6" t="s">
        <v>256</v>
      </c>
      <c r="H464" s="6" t="s">
        <v>1389</v>
      </c>
      <c r="I464" s="6" t="s">
        <v>124</v>
      </c>
      <c r="J464" s="6" t="s">
        <v>1390</v>
      </c>
    </row>
    <row r="465" spans="1:10">
      <c r="A465" s="6" t="s">
        <v>41</v>
      </c>
      <c r="B465" s="6" t="s">
        <v>251</v>
      </c>
      <c r="C465" s="6" t="s">
        <v>212</v>
      </c>
      <c r="D465" s="10" t="s">
        <v>2235</v>
      </c>
      <c r="E465" s="6" t="s">
        <v>2236</v>
      </c>
      <c r="F465" s="6" t="s">
        <v>1397</v>
      </c>
      <c r="G465" s="6" t="s">
        <v>256</v>
      </c>
      <c r="H465" s="6" t="s">
        <v>1389</v>
      </c>
      <c r="I465" s="6" t="s">
        <v>124</v>
      </c>
      <c r="J465" s="6" t="s">
        <v>1390</v>
      </c>
    </row>
    <row r="466" spans="1:10">
      <c r="A466" s="6" t="s">
        <v>43</v>
      </c>
      <c r="B466" s="6" t="s">
        <v>555</v>
      </c>
      <c r="C466" s="6" t="s">
        <v>92</v>
      </c>
      <c r="D466" s="10" t="s">
        <v>2237</v>
      </c>
      <c r="E466" s="6" t="s">
        <v>2238</v>
      </c>
      <c r="F466" s="6" t="s">
        <v>1388</v>
      </c>
      <c r="G466" s="6" t="s">
        <v>558</v>
      </c>
      <c r="H466" s="6" t="s">
        <v>1389</v>
      </c>
      <c r="I466" s="6" t="s">
        <v>124</v>
      </c>
      <c r="J466" s="6" t="s">
        <v>1390</v>
      </c>
    </row>
    <row r="467" spans="1:10">
      <c r="A467" s="6" t="s">
        <v>43</v>
      </c>
      <c r="B467" s="6" t="s">
        <v>555</v>
      </c>
      <c r="C467" s="6" t="s">
        <v>92</v>
      </c>
      <c r="D467" s="10" t="s">
        <v>2239</v>
      </c>
      <c r="E467" s="6" t="s">
        <v>2240</v>
      </c>
      <c r="F467" s="6" t="s">
        <v>1388</v>
      </c>
      <c r="G467" s="6" t="s">
        <v>558</v>
      </c>
      <c r="H467" s="6" t="s">
        <v>1389</v>
      </c>
      <c r="I467" s="6" t="s">
        <v>124</v>
      </c>
      <c r="J467" s="6" t="s">
        <v>1390</v>
      </c>
    </row>
    <row r="468" spans="1:10">
      <c r="A468" s="6" t="s">
        <v>43</v>
      </c>
      <c r="B468" s="6" t="s">
        <v>555</v>
      </c>
      <c r="C468" s="6" t="s">
        <v>92</v>
      </c>
      <c r="D468" s="10" t="s">
        <v>2241</v>
      </c>
      <c r="E468" s="6" t="s">
        <v>2242</v>
      </c>
      <c r="F468" s="6" t="s">
        <v>1388</v>
      </c>
      <c r="G468" s="6" t="s">
        <v>558</v>
      </c>
      <c r="H468" s="6" t="s">
        <v>1389</v>
      </c>
      <c r="I468" s="6" t="s">
        <v>124</v>
      </c>
      <c r="J468" s="6" t="s">
        <v>1390</v>
      </c>
    </row>
    <row r="469" spans="1:10">
      <c r="A469" s="6" t="s">
        <v>43</v>
      </c>
      <c r="B469" s="6" t="s">
        <v>555</v>
      </c>
      <c r="C469" s="6" t="s">
        <v>92</v>
      </c>
      <c r="D469" s="10" t="s">
        <v>2243</v>
      </c>
      <c r="E469" s="6" t="s">
        <v>2244</v>
      </c>
      <c r="F469" s="6" t="s">
        <v>1388</v>
      </c>
      <c r="G469" s="6" t="s">
        <v>558</v>
      </c>
      <c r="H469" s="6" t="s">
        <v>1389</v>
      </c>
      <c r="I469" s="6" t="s">
        <v>124</v>
      </c>
      <c r="J469" s="6" t="s">
        <v>1390</v>
      </c>
    </row>
    <row r="470" spans="1:10">
      <c r="A470" s="6" t="s">
        <v>43</v>
      </c>
      <c r="B470" s="6" t="s">
        <v>555</v>
      </c>
      <c r="C470" s="6" t="s">
        <v>92</v>
      </c>
      <c r="D470" s="10" t="s">
        <v>2245</v>
      </c>
      <c r="E470" s="6" t="s">
        <v>2246</v>
      </c>
      <c r="F470" s="6" t="s">
        <v>1388</v>
      </c>
      <c r="G470" s="6" t="s">
        <v>558</v>
      </c>
      <c r="H470" s="6" t="s">
        <v>1389</v>
      </c>
      <c r="I470" s="6" t="s">
        <v>124</v>
      </c>
      <c r="J470" s="6" t="s">
        <v>1390</v>
      </c>
    </row>
    <row r="471" spans="1:10">
      <c r="A471" s="6" t="s">
        <v>43</v>
      </c>
      <c r="B471" s="6" t="s">
        <v>555</v>
      </c>
      <c r="C471" s="6" t="s">
        <v>92</v>
      </c>
      <c r="D471" s="10" t="s">
        <v>2247</v>
      </c>
      <c r="E471" s="6" t="s">
        <v>2248</v>
      </c>
      <c r="F471" s="6" t="s">
        <v>1388</v>
      </c>
      <c r="G471" s="6" t="s">
        <v>558</v>
      </c>
      <c r="H471" s="6" t="s">
        <v>1389</v>
      </c>
      <c r="I471" s="6" t="s">
        <v>124</v>
      </c>
      <c r="J471" s="6" t="s">
        <v>1390</v>
      </c>
    </row>
    <row r="472" spans="1:10">
      <c r="A472" s="6" t="s">
        <v>43</v>
      </c>
      <c r="B472" s="6" t="s">
        <v>555</v>
      </c>
      <c r="C472" s="6" t="s">
        <v>92</v>
      </c>
      <c r="D472" s="10" t="s">
        <v>2249</v>
      </c>
      <c r="E472" s="6" t="s">
        <v>2250</v>
      </c>
      <c r="F472" s="6" t="s">
        <v>1388</v>
      </c>
      <c r="G472" s="6" t="s">
        <v>558</v>
      </c>
      <c r="H472" s="6" t="s">
        <v>1389</v>
      </c>
      <c r="I472" s="6" t="s">
        <v>124</v>
      </c>
      <c r="J472" s="6" t="s">
        <v>1390</v>
      </c>
    </row>
    <row r="473" spans="1:10">
      <c r="A473" s="6" t="s">
        <v>43</v>
      </c>
      <c r="B473" s="6" t="s">
        <v>555</v>
      </c>
      <c r="C473" s="6" t="s">
        <v>92</v>
      </c>
      <c r="D473" s="10" t="s">
        <v>2251</v>
      </c>
      <c r="E473" s="6" t="s">
        <v>2252</v>
      </c>
      <c r="F473" s="6" t="s">
        <v>1388</v>
      </c>
      <c r="G473" s="6" t="s">
        <v>558</v>
      </c>
      <c r="H473" s="6" t="s">
        <v>1389</v>
      </c>
      <c r="I473" s="6" t="s">
        <v>124</v>
      </c>
      <c r="J473" s="6" t="s">
        <v>1390</v>
      </c>
    </row>
    <row r="474" spans="1:10">
      <c r="A474" s="6" t="s">
        <v>43</v>
      </c>
      <c r="B474" s="6" t="s">
        <v>555</v>
      </c>
      <c r="C474" s="6" t="s">
        <v>92</v>
      </c>
      <c r="D474" s="10" t="s">
        <v>2253</v>
      </c>
      <c r="E474" s="6" t="s">
        <v>2254</v>
      </c>
      <c r="F474" s="6" t="s">
        <v>1388</v>
      </c>
      <c r="G474" s="6" t="s">
        <v>558</v>
      </c>
      <c r="H474" s="6" t="s">
        <v>1389</v>
      </c>
      <c r="I474" s="6" t="s">
        <v>124</v>
      </c>
      <c r="J474" s="6" t="s">
        <v>1390</v>
      </c>
    </row>
    <row r="475" spans="1:10">
      <c r="A475" s="6" t="s">
        <v>43</v>
      </c>
      <c r="B475" s="6" t="s">
        <v>555</v>
      </c>
      <c r="C475" s="6" t="s">
        <v>92</v>
      </c>
      <c r="D475" s="10" t="s">
        <v>2255</v>
      </c>
      <c r="E475" s="6" t="s">
        <v>2256</v>
      </c>
      <c r="F475" s="6" t="s">
        <v>1388</v>
      </c>
      <c r="G475" s="6" t="s">
        <v>558</v>
      </c>
      <c r="H475" s="6" t="s">
        <v>1389</v>
      </c>
      <c r="I475" s="6" t="s">
        <v>124</v>
      </c>
      <c r="J475" s="6" t="s">
        <v>1390</v>
      </c>
    </row>
    <row r="476" spans="1:10">
      <c r="A476" s="6" t="s">
        <v>43</v>
      </c>
      <c r="B476" s="6" t="s">
        <v>555</v>
      </c>
      <c r="C476" s="6" t="s">
        <v>92</v>
      </c>
      <c r="D476" s="10" t="s">
        <v>2257</v>
      </c>
      <c r="E476" s="6" t="s">
        <v>2258</v>
      </c>
      <c r="F476" s="6" t="s">
        <v>1397</v>
      </c>
      <c r="G476" s="6" t="s">
        <v>1046</v>
      </c>
      <c r="H476" s="6" t="s">
        <v>1389</v>
      </c>
      <c r="I476" s="6" t="s">
        <v>124</v>
      </c>
      <c r="J476" s="6" t="s">
        <v>1390</v>
      </c>
    </row>
    <row r="477" spans="1:10">
      <c r="A477" s="6" t="s">
        <v>43</v>
      </c>
      <c r="B477" s="6" t="s">
        <v>555</v>
      </c>
      <c r="C477" s="6" t="s">
        <v>92</v>
      </c>
      <c r="D477" s="10" t="s">
        <v>2259</v>
      </c>
      <c r="E477" s="6" t="s">
        <v>2260</v>
      </c>
      <c r="F477" s="6" t="s">
        <v>1388</v>
      </c>
      <c r="G477" s="6" t="s">
        <v>1046</v>
      </c>
      <c r="H477" s="6" t="s">
        <v>1389</v>
      </c>
      <c r="I477" s="6" t="s">
        <v>124</v>
      </c>
      <c r="J477" s="6" t="s">
        <v>1390</v>
      </c>
    </row>
    <row r="478" spans="1:10">
      <c r="A478" s="6" t="s">
        <v>43</v>
      </c>
      <c r="B478" s="6" t="s">
        <v>555</v>
      </c>
      <c r="C478" s="6" t="s">
        <v>92</v>
      </c>
      <c r="D478" s="10" t="s">
        <v>2261</v>
      </c>
      <c r="E478" s="6" t="s">
        <v>2262</v>
      </c>
      <c r="F478" s="6" t="s">
        <v>1388</v>
      </c>
      <c r="G478" s="6" t="s">
        <v>1046</v>
      </c>
      <c r="H478" s="6" t="s">
        <v>1389</v>
      </c>
      <c r="I478" s="6" t="s">
        <v>124</v>
      </c>
      <c r="J478" s="6" t="s">
        <v>1390</v>
      </c>
    </row>
    <row r="479" spans="1:10">
      <c r="A479" s="6" t="s">
        <v>43</v>
      </c>
      <c r="B479" s="6" t="s">
        <v>555</v>
      </c>
      <c r="C479" s="6" t="s">
        <v>92</v>
      </c>
      <c r="D479" s="10" t="s">
        <v>2263</v>
      </c>
      <c r="E479" s="6" t="s">
        <v>2262</v>
      </c>
      <c r="F479" s="6" t="s">
        <v>1388</v>
      </c>
      <c r="G479" s="6" t="s">
        <v>1046</v>
      </c>
      <c r="H479" s="6" t="s">
        <v>1389</v>
      </c>
      <c r="I479" s="6" t="s">
        <v>124</v>
      </c>
      <c r="J479" s="6" t="s">
        <v>1390</v>
      </c>
    </row>
    <row r="480" spans="1:10">
      <c r="A480" s="6" t="s">
        <v>43</v>
      </c>
      <c r="B480" s="6" t="s">
        <v>555</v>
      </c>
      <c r="C480" s="6" t="s">
        <v>92</v>
      </c>
      <c r="D480" s="10" t="s">
        <v>1058</v>
      </c>
      <c r="E480" s="6" t="s">
        <v>2264</v>
      </c>
      <c r="F480" s="6" t="s">
        <v>1397</v>
      </c>
      <c r="G480" s="6" t="s">
        <v>1058</v>
      </c>
      <c r="H480" s="6" t="s">
        <v>1389</v>
      </c>
      <c r="I480" s="6" t="s">
        <v>715</v>
      </c>
      <c r="J480" s="6" t="s">
        <v>1390</v>
      </c>
    </row>
    <row r="481" spans="1:10">
      <c r="A481" s="6" t="s">
        <v>43</v>
      </c>
      <c r="B481" s="6" t="s">
        <v>555</v>
      </c>
      <c r="C481" s="6" t="s">
        <v>92</v>
      </c>
      <c r="D481" s="10" t="s">
        <v>2265</v>
      </c>
      <c r="E481" s="6" t="s">
        <v>2266</v>
      </c>
      <c r="F481" s="6" t="s">
        <v>1397</v>
      </c>
      <c r="G481" s="6" t="s">
        <v>1046</v>
      </c>
      <c r="H481" s="6" t="s">
        <v>1389</v>
      </c>
      <c r="I481" s="6" t="s">
        <v>124</v>
      </c>
      <c r="J481" s="6" t="s">
        <v>1390</v>
      </c>
    </row>
    <row r="482" spans="1:10">
      <c r="A482" s="6" t="s">
        <v>43</v>
      </c>
      <c r="B482" s="6" t="s">
        <v>555</v>
      </c>
      <c r="C482" s="6" t="s">
        <v>92</v>
      </c>
      <c r="D482" s="10" t="s">
        <v>2267</v>
      </c>
      <c r="E482" s="6" t="s">
        <v>2268</v>
      </c>
      <c r="F482" s="6" t="s">
        <v>1397</v>
      </c>
      <c r="G482" s="6" t="s">
        <v>1046</v>
      </c>
      <c r="H482" s="6" t="s">
        <v>1389</v>
      </c>
      <c r="I482" s="6" t="s">
        <v>124</v>
      </c>
      <c r="J482" s="6" t="s">
        <v>1390</v>
      </c>
    </row>
    <row r="483" spans="1:10">
      <c r="A483" s="6" t="s">
        <v>43</v>
      </c>
      <c r="B483" s="6" t="s">
        <v>555</v>
      </c>
      <c r="C483" s="6" t="s">
        <v>92</v>
      </c>
      <c r="D483" s="10" t="s">
        <v>2269</v>
      </c>
      <c r="E483" s="6" t="s">
        <v>2270</v>
      </c>
      <c r="F483" s="6" t="s">
        <v>1397</v>
      </c>
      <c r="G483" s="6" t="s">
        <v>1046</v>
      </c>
      <c r="H483" s="6" t="s">
        <v>1389</v>
      </c>
      <c r="I483" s="6" t="s">
        <v>124</v>
      </c>
      <c r="J483" s="6" t="s">
        <v>1390</v>
      </c>
    </row>
    <row r="484" spans="1:10">
      <c r="A484" s="6" t="s">
        <v>43</v>
      </c>
      <c r="B484" s="6" t="s">
        <v>555</v>
      </c>
      <c r="C484" s="6" t="s">
        <v>92</v>
      </c>
      <c r="D484" s="10" t="s">
        <v>2271</v>
      </c>
      <c r="E484" s="6" t="s">
        <v>2272</v>
      </c>
      <c r="F484" s="6" t="s">
        <v>1397</v>
      </c>
      <c r="G484" s="6" t="s">
        <v>1046</v>
      </c>
      <c r="H484" s="6" t="s">
        <v>1389</v>
      </c>
      <c r="I484" s="6" t="s">
        <v>124</v>
      </c>
      <c r="J484" s="6" t="s">
        <v>1390</v>
      </c>
    </row>
    <row r="485" spans="1:10">
      <c r="A485" s="6" t="s">
        <v>43</v>
      </c>
      <c r="B485" s="6" t="s">
        <v>555</v>
      </c>
      <c r="C485" s="6" t="s">
        <v>92</v>
      </c>
      <c r="D485" s="10" t="s">
        <v>1076</v>
      </c>
      <c r="E485" s="6" t="s">
        <v>2273</v>
      </c>
      <c r="F485" s="6" t="s">
        <v>1397</v>
      </c>
      <c r="G485" s="6" t="s">
        <v>1046</v>
      </c>
      <c r="H485" s="6" t="s">
        <v>1389</v>
      </c>
      <c r="I485" s="6" t="s">
        <v>715</v>
      </c>
      <c r="J485" s="6" t="s">
        <v>1390</v>
      </c>
    </row>
    <row r="486" spans="1:10">
      <c r="A486" s="6" t="s">
        <v>43</v>
      </c>
      <c r="B486" s="6" t="s">
        <v>555</v>
      </c>
      <c r="C486" s="6" t="s">
        <v>92</v>
      </c>
      <c r="D486" s="10" t="s">
        <v>2274</v>
      </c>
      <c r="E486" s="6" t="s">
        <v>2275</v>
      </c>
      <c r="F486" s="6" t="s">
        <v>1397</v>
      </c>
      <c r="G486" s="6" t="s">
        <v>1046</v>
      </c>
      <c r="H486" s="6" t="s">
        <v>1389</v>
      </c>
      <c r="I486" s="6" t="s">
        <v>124</v>
      </c>
      <c r="J486" s="6" t="s">
        <v>1390</v>
      </c>
    </row>
    <row r="487" spans="1:10">
      <c r="A487" s="6" t="s">
        <v>43</v>
      </c>
      <c r="B487" s="6" t="s">
        <v>555</v>
      </c>
      <c r="C487" s="6" t="s">
        <v>92</v>
      </c>
      <c r="D487" s="10" t="s">
        <v>2276</v>
      </c>
      <c r="E487" s="6" t="s">
        <v>2277</v>
      </c>
      <c r="F487" s="6" t="s">
        <v>1397</v>
      </c>
      <c r="G487" s="6" t="s">
        <v>1046</v>
      </c>
      <c r="H487" s="6" t="s">
        <v>1389</v>
      </c>
      <c r="I487" s="6" t="s">
        <v>124</v>
      </c>
      <c r="J487" s="6" t="s">
        <v>1390</v>
      </c>
    </row>
    <row r="488" spans="1:10">
      <c r="A488" s="6" t="s">
        <v>43</v>
      </c>
      <c r="B488" s="6" t="s">
        <v>555</v>
      </c>
      <c r="C488" s="6" t="s">
        <v>92</v>
      </c>
      <c r="D488" s="10" t="s">
        <v>2278</v>
      </c>
      <c r="E488" s="6" t="s">
        <v>2279</v>
      </c>
      <c r="F488" s="6" t="s">
        <v>1397</v>
      </c>
      <c r="G488" s="6" t="s">
        <v>1046</v>
      </c>
      <c r="H488" s="6" t="s">
        <v>1389</v>
      </c>
      <c r="I488" s="6" t="s">
        <v>124</v>
      </c>
      <c r="J488" s="6" t="s">
        <v>1390</v>
      </c>
    </row>
    <row r="489" spans="1:10">
      <c r="A489" s="6" t="s">
        <v>43</v>
      </c>
      <c r="B489" s="6" t="s">
        <v>555</v>
      </c>
      <c r="C489" s="6" t="s">
        <v>92</v>
      </c>
      <c r="D489" s="10" t="s">
        <v>2280</v>
      </c>
      <c r="E489" s="6" t="s">
        <v>2281</v>
      </c>
      <c r="F489" s="6" t="s">
        <v>1397</v>
      </c>
      <c r="G489" s="6" t="s">
        <v>1046</v>
      </c>
      <c r="H489" s="6" t="s">
        <v>1389</v>
      </c>
      <c r="I489" s="6" t="s">
        <v>124</v>
      </c>
      <c r="J489" s="6" t="s">
        <v>1390</v>
      </c>
    </row>
    <row r="490" spans="1:10">
      <c r="A490" s="6" t="s">
        <v>43</v>
      </c>
      <c r="B490" s="6" t="s">
        <v>555</v>
      </c>
      <c r="C490" s="6" t="s">
        <v>92</v>
      </c>
      <c r="D490" s="10" t="s">
        <v>2282</v>
      </c>
      <c r="E490" s="6" t="s">
        <v>2283</v>
      </c>
      <c r="F490" s="6" t="s">
        <v>1397</v>
      </c>
      <c r="G490" s="6" t="s">
        <v>1046</v>
      </c>
      <c r="H490" s="6" t="s">
        <v>1389</v>
      </c>
      <c r="I490" s="6" t="s">
        <v>124</v>
      </c>
      <c r="J490" s="6" t="s">
        <v>1390</v>
      </c>
    </row>
    <row r="491" spans="1:10">
      <c r="A491" s="6" t="s">
        <v>43</v>
      </c>
      <c r="B491" s="6" t="s">
        <v>555</v>
      </c>
      <c r="C491" s="6" t="s">
        <v>92</v>
      </c>
      <c r="D491" s="10" t="s">
        <v>1106</v>
      </c>
      <c r="E491" s="6" t="s">
        <v>1108</v>
      </c>
      <c r="F491" s="6" t="s">
        <v>1397</v>
      </c>
      <c r="G491" s="6" t="s">
        <v>1046</v>
      </c>
      <c r="H491" s="6" t="s">
        <v>1389</v>
      </c>
      <c r="I491" s="6" t="s">
        <v>715</v>
      </c>
      <c r="J491" s="6" t="s">
        <v>1390</v>
      </c>
    </row>
    <row r="492" spans="1:10">
      <c r="A492" s="6" t="s">
        <v>43</v>
      </c>
      <c r="B492" s="6" t="s">
        <v>555</v>
      </c>
      <c r="C492" s="6" t="s">
        <v>92</v>
      </c>
      <c r="D492" s="10" t="s">
        <v>2284</v>
      </c>
      <c r="E492" s="6" t="s">
        <v>2285</v>
      </c>
      <c r="F492" s="6" t="s">
        <v>1397</v>
      </c>
      <c r="G492" s="6" t="s">
        <v>1046</v>
      </c>
      <c r="H492" s="6" t="s">
        <v>1389</v>
      </c>
      <c r="I492" s="6" t="s">
        <v>124</v>
      </c>
      <c r="J492" s="6" t="s">
        <v>1390</v>
      </c>
    </row>
    <row r="493" spans="1:10">
      <c r="A493" s="6" t="s">
        <v>43</v>
      </c>
      <c r="B493" s="6" t="s">
        <v>555</v>
      </c>
      <c r="C493" s="6" t="s">
        <v>92</v>
      </c>
      <c r="D493" s="10" t="s">
        <v>2286</v>
      </c>
      <c r="E493" s="6" t="s">
        <v>2287</v>
      </c>
      <c r="F493" s="6" t="s">
        <v>1397</v>
      </c>
      <c r="G493" s="6" t="s">
        <v>1046</v>
      </c>
      <c r="H493" s="6" t="s">
        <v>1389</v>
      </c>
      <c r="I493" s="6" t="s">
        <v>124</v>
      </c>
      <c r="J493" s="6" t="s">
        <v>1390</v>
      </c>
    </row>
    <row r="494" spans="1:10">
      <c r="A494" s="6" t="s">
        <v>43</v>
      </c>
      <c r="B494" s="6" t="s">
        <v>555</v>
      </c>
      <c r="C494" s="6" t="s">
        <v>92</v>
      </c>
      <c r="D494" s="10" t="s">
        <v>2288</v>
      </c>
      <c r="E494" s="6" t="s">
        <v>2289</v>
      </c>
      <c r="F494" s="6" t="s">
        <v>1397</v>
      </c>
      <c r="G494" s="6" t="s">
        <v>1046</v>
      </c>
      <c r="H494" s="6" t="s">
        <v>1389</v>
      </c>
      <c r="I494" s="6" t="s">
        <v>124</v>
      </c>
      <c r="J494" s="6" t="s">
        <v>1390</v>
      </c>
    </row>
    <row r="495" spans="1:10">
      <c r="A495" s="6" t="s">
        <v>43</v>
      </c>
      <c r="B495" s="6" t="s">
        <v>555</v>
      </c>
      <c r="C495" s="6" t="s">
        <v>92</v>
      </c>
      <c r="D495" s="10" t="s">
        <v>2290</v>
      </c>
      <c r="E495" s="6" t="s">
        <v>2291</v>
      </c>
      <c r="F495" s="6" t="s">
        <v>1397</v>
      </c>
      <c r="G495" s="6" t="s">
        <v>1046</v>
      </c>
      <c r="H495" s="6" t="s">
        <v>1389</v>
      </c>
      <c r="I495" s="6" t="s">
        <v>124</v>
      </c>
      <c r="J495" s="6" t="s">
        <v>1390</v>
      </c>
    </row>
    <row r="496" spans="1:10">
      <c r="A496" s="6" t="s">
        <v>43</v>
      </c>
      <c r="B496" s="6" t="s">
        <v>555</v>
      </c>
      <c r="C496" s="6" t="s">
        <v>92</v>
      </c>
      <c r="D496" s="10" t="s">
        <v>2292</v>
      </c>
      <c r="E496" s="6" t="s">
        <v>2293</v>
      </c>
      <c r="F496" s="6" t="s">
        <v>1397</v>
      </c>
      <c r="G496" s="6" t="s">
        <v>1046</v>
      </c>
      <c r="H496" s="6" t="s">
        <v>1389</v>
      </c>
      <c r="I496" s="6" t="s">
        <v>124</v>
      </c>
      <c r="J496" s="6" t="s">
        <v>1390</v>
      </c>
    </row>
    <row r="497" spans="1:10">
      <c r="A497" s="6" t="s">
        <v>43</v>
      </c>
      <c r="B497" s="6" t="s">
        <v>555</v>
      </c>
      <c r="C497" s="6" t="s">
        <v>92</v>
      </c>
      <c r="D497" s="10" t="s">
        <v>1069</v>
      </c>
      <c r="E497" s="6" t="s">
        <v>2294</v>
      </c>
      <c r="F497" s="6" t="s">
        <v>1397</v>
      </c>
      <c r="G497" s="6" t="s">
        <v>1046</v>
      </c>
      <c r="H497" s="6" t="s">
        <v>1389</v>
      </c>
      <c r="I497" s="6" t="s">
        <v>715</v>
      </c>
      <c r="J497" s="6" t="s">
        <v>1390</v>
      </c>
    </row>
    <row r="498" spans="1:10">
      <c r="A498" s="6" t="s">
        <v>43</v>
      </c>
      <c r="B498" s="6" t="s">
        <v>555</v>
      </c>
      <c r="C498" s="6" t="s">
        <v>92</v>
      </c>
      <c r="D498" s="10" t="s">
        <v>2295</v>
      </c>
      <c r="E498" s="6" t="s">
        <v>2296</v>
      </c>
      <c r="F498" s="6" t="s">
        <v>1397</v>
      </c>
      <c r="G498" s="6" t="s">
        <v>1046</v>
      </c>
      <c r="H498" s="6" t="s">
        <v>1389</v>
      </c>
      <c r="I498" s="6" t="s">
        <v>124</v>
      </c>
      <c r="J498" s="6" t="s">
        <v>1390</v>
      </c>
    </row>
    <row r="499" spans="1:10">
      <c r="A499" s="6" t="s">
        <v>43</v>
      </c>
      <c r="B499" s="6" t="s">
        <v>555</v>
      </c>
      <c r="C499" s="6" t="s">
        <v>92</v>
      </c>
      <c r="D499" s="10" t="s">
        <v>2297</v>
      </c>
      <c r="E499" s="6" t="s">
        <v>2298</v>
      </c>
      <c r="F499" s="6" t="s">
        <v>1397</v>
      </c>
      <c r="G499" s="6" t="s">
        <v>1046</v>
      </c>
      <c r="H499" s="6" t="s">
        <v>1389</v>
      </c>
      <c r="I499" s="6" t="s">
        <v>124</v>
      </c>
      <c r="J499" s="6" t="s">
        <v>1390</v>
      </c>
    </row>
    <row r="500" spans="1:10">
      <c r="A500" s="6" t="s">
        <v>43</v>
      </c>
      <c r="B500" s="6" t="s">
        <v>555</v>
      </c>
      <c r="C500" s="6" t="s">
        <v>92</v>
      </c>
      <c r="D500" s="10" t="s">
        <v>2299</v>
      </c>
      <c r="E500" s="6" t="s">
        <v>2300</v>
      </c>
      <c r="F500" s="6" t="s">
        <v>1397</v>
      </c>
      <c r="G500" s="6" t="s">
        <v>1046</v>
      </c>
      <c r="H500" s="6" t="s">
        <v>1389</v>
      </c>
      <c r="I500" s="6" t="s">
        <v>124</v>
      </c>
      <c r="J500" s="6" t="s">
        <v>1390</v>
      </c>
    </row>
    <row r="501" spans="1:10">
      <c r="A501" s="6" t="s">
        <v>43</v>
      </c>
      <c r="B501" s="6" t="s">
        <v>555</v>
      </c>
      <c r="C501" s="6" t="s">
        <v>92</v>
      </c>
      <c r="D501" s="10" t="s">
        <v>2301</v>
      </c>
      <c r="E501" s="6" t="s">
        <v>2302</v>
      </c>
      <c r="F501" s="6" t="s">
        <v>1397</v>
      </c>
      <c r="G501" s="6" t="s">
        <v>1046</v>
      </c>
      <c r="H501" s="6" t="s">
        <v>1389</v>
      </c>
      <c r="I501" s="6" t="s">
        <v>124</v>
      </c>
      <c r="J501" s="6" t="s">
        <v>1390</v>
      </c>
    </row>
    <row r="502" spans="1:10">
      <c r="A502" s="6" t="s">
        <v>43</v>
      </c>
      <c r="B502" s="6" t="s">
        <v>555</v>
      </c>
      <c r="C502" s="6" t="s">
        <v>92</v>
      </c>
      <c r="D502" s="10" t="s">
        <v>2303</v>
      </c>
      <c r="E502" s="6" t="s">
        <v>2304</v>
      </c>
      <c r="F502" s="6" t="s">
        <v>1397</v>
      </c>
      <c r="G502" s="6" t="s">
        <v>1046</v>
      </c>
      <c r="H502" s="6" t="s">
        <v>1389</v>
      </c>
      <c r="I502" s="6" t="s">
        <v>124</v>
      </c>
      <c r="J502" s="6" t="s">
        <v>1390</v>
      </c>
    </row>
    <row r="503" spans="1:10">
      <c r="A503" s="6" t="s">
        <v>43</v>
      </c>
      <c r="B503" s="6" t="s">
        <v>555</v>
      </c>
      <c r="C503" s="6" t="s">
        <v>92</v>
      </c>
      <c r="D503" s="10" t="s">
        <v>2305</v>
      </c>
      <c r="E503" s="6" t="s">
        <v>2306</v>
      </c>
      <c r="F503" s="6" t="s">
        <v>1397</v>
      </c>
      <c r="G503" s="6" t="s">
        <v>1058</v>
      </c>
      <c r="H503" s="6" t="s">
        <v>1389</v>
      </c>
      <c r="I503" s="6" t="s">
        <v>124</v>
      </c>
      <c r="J503" s="6" t="s">
        <v>1390</v>
      </c>
    </row>
    <row r="504" spans="1:10">
      <c r="A504" s="6" t="s">
        <v>43</v>
      </c>
      <c r="B504" s="6" t="s">
        <v>555</v>
      </c>
      <c r="C504" s="6" t="s">
        <v>92</v>
      </c>
      <c r="D504" s="10" t="s">
        <v>2307</v>
      </c>
      <c r="E504" s="6" t="s">
        <v>2308</v>
      </c>
      <c r="F504" s="6" t="s">
        <v>1397</v>
      </c>
      <c r="G504" s="6" t="s">
        <v>1046</v>
      </c>
      <c r="H504" s="6" t="s">
        <v>1389</v>
      </c>
      <c r="I504" s="6" t="s">
        <v>124</v>
      </c>
      <c r="J504" s="6" t="s">
        <v>1390</v>
      </c>
    </row>
    <row r="505" spans="1:10">
      <c r="A505" s="6" t="s">
        <v>43</v>
      </c>
      <c r="B505" s="6" t="s">
        <v>555</v>
      </c>
      <c r="C505" s="6" t="s">
        <v>92</v>
      </c>
      <c r="D505" s="10" t="s">
        <v>2309</v>
      </c>
      <c r="E505" s="6" t="s">
        <v>2310</v>
      </c>
      <c r="F505" s="6" t="s">
        <v>1397</v>
      </c>
      <c r="G505" s="6" t="s">
        <v>1046</v>
      </c>
      <c r="H505" s="6" t="s">
        <v>1389</v>
      </c>
      <c r="I505" s="6" t="s">
        <v>124</v>
      </c>
      <c r="J505" s="6" t="s">
        <v>1390</v>
      </c>
    </row>
    <row r="506" spans="1:10">
      <c r="A506" s="6" t="s">
        <v>43</v>
      </c>
      <c r="B506" s="6" t="s">
        <v>555</v>
      </c>
      <c r="C506" s="6" t="s">
        <v>92</v>
      </c>
      <c r="D506" s="10" t="s">
        <v>2311</v>
      </c>
      <c r="E506" s="6" t="s">
        <v>2306</v>
      </c>
      <c r="F506" s="6" t="s">
        <v>1397</v>
      </c>
      <c r="G506" s="6" t="s">
        <v>1046</v>
      </c>
      <c r="H506" s="6" t="s">
        <v>1389</v>
      </c>
      <c r="I506" s="6" t="s">
        <v>124</v>
      </c>
      <c r="J506" s="6" t="s">
        <v>1390</v>
      </c>
    </row>
    <row r="507" spans="1:10">
      <c r="A507" s="6" t="s">
        <v>43</v>
      </c>
      <c r="B507" s="6" t="s">
        <v>555</v>
      </c>
      <c r="C507" s="6" t="s">
        <v>92</v>
      </c>
      <c r="D507" s="10" t="s">
        <v>2312</v>
      </c>
      <c r="E507" s="6" t="s">
        <v>2313</v>
      </c>
      <c r="F507" s="6" t="s">
        <v>1397</v>
      </c>
      <c r="G507" s="6" t="s">
        <v>1046</v>
      </c>
      <c r="H507" s="6" t="s">
        <v>1389</v>
      </c>
      <c r="I507" s="6" t="s">
        <v>124</v>
      </c>
      <c r="J507" s="6" t="s">
        <v>1390</v>
      </c>
    </row>
    <row r="508" spans="1:10">
      <c r="A508" s="6" t="s">
        <v>43</v>
      </c>
      <c r="B508" s="6" t="s">
        <v>555</v>
      </c>
      <c r="C508" s="6" t="s">
        <v>92</v>
      </c>
      <c r="D508" s="10" t="s">
        <v>2314</v>
      </c>
      <c r="E508" s="6" t="s">
        <v>2315</v>
      </c>
      <c r="F508" s="6" t="s">
        <v>1397</v>
      </c>
      <c r="G508" s="6" t="s">
        <v>1046</v>
      </c>
      <c r="H508" s="6" t="s">
        <v>1389</v>
      </c>
      <c r="I508" s="6" t="s">
        <v>124</v>
      </c>
      <c r="J508" s="6" t="s">
        <v>1390</v>
      </c>
    </row>
    <row r="509" spans="1:10">
      <c r="A509" s="6" t="s">
        <v>43</v>
      </c>
      <c r="B509" s="6" t="s">
        <v>555</v>
      </c>
      <c r="C509" s="6" t="s">
        <v>92</v>
      </c>
      <c r="D509" s="10" t="s">
        <v>2316</v>
      </c>
      <c r="E509" s="6" t="s">
        <v>2317</v>
      </c>
      <c r="F509" s="6" t="s">
        <v>1397</v>
      </c>
      <c r="G509" s="6" t="s">
        <v>1046</v>
      </c>
      <c r="H509" s="6" t="s">
        <v>1389</v>
      </c>
      <c r="I509" s="6" t="s">
        <v>124</v>
      </c>
      <c r="J509" s="6" t="s">
        <v>1390</v>
      </c>
    </row>
    <row r="510" spans="1:10">
      <c r="A510" s="6" t="s">
        <v>43</v>
      </c>
      <c r="B510" s="6" t="s">
        <v>555</v>
      </c>
      <c r="C510" s="6" t="s">
        <v>92</v>
      </c>
      <c r="D510" s="10" t="s">
        <v>2318</v>
      </c>
      <c r="E510" s="6" t="s">
        <v>2319</v>
      </c>
      <c r="F510" s="6" t="s">
        <v>1397</v>
      </c>
      <c r="G510" s="6" t="s">
        <v>1046</v>
      </c>
      <c r="H510" s="6" t="s">
        <v>1389</v>
      </c>
      <c r="I510" s="6" t="s">
        <v>124</v>
      </c>
      <c r="J510" s="6" t="s">
        <v>1390</v>
      </c>
    </row>
    <row r="511" spans="1:10">
      <c r="A511" s="6" t="s">
        <v>43</v>
      </c>
      <c r="B511" s="6" t="s">
        <v>555</v>
      </c>
      <c r="C511" s="6" t="s">
        <v>92</v>
      </c>
      <c r="D511" s="10" t="s">
        <v>1124</v>
      </c>
      <c r="E511" s="6" t="s">
        <v>1128</v>
      </c>
      <c r="F511" s="6" t="s">
        <v>1397</v>
      </c>
      <c r="G511" s="6" t="s">
        <v>1046</v>
      </c>
      <c r="H511" s="6" t="s">
        <v>1389</v>
      </c>
      <c r="I511" s="6" t="s">
        <v>715</v>
      </c>
      <c r="J511" s="6" t="s">
        <v>1390</v>
      </c>
    </row>
    <row r="512" spans="1:10">
      <c r="A512" s="6" t="s">
        <v>43</v>
      </c>
      <c r="B512" s="6" t="s">
        <v>555</v>
      </c>
      <c r="C512" s="6" t="s">
        <v>92</v>
      </c>
      <c r="D512" s="10" t="s">
        <v>1091</v>
      </c>
      <c r="E512" s="6" t="s">
        <v>2320</v>
      </c>
      <c r="F512" s="6" t="s">
        <v>1397</v>
      </c>
      <c r="G512" s="6" t="s">
        <v>1046</v>
      </c>
      <c r="H512" s="6" t="s">
        <v>1389</v>
      </c>
      <c r="I512" s="6" t="s">
        <v>715</v>
      </c>
      <c r="J512" s="6" t="s">
        <v>1390</v>
      </c>
    </row>
    <row r="513" spans="1:10">
      <c r="A513" s="6" t="s">
        <v>43</v>
      </c>
      <c r="B513" s="6" t="s">
        <v>555</v>
      </c>
      <c r="C513" s="6" t="s">
        <v>92</v>
      </c>
      <c r="D513" s="10" t="s">
        <v>2321</v>
      </c>
      <c r="E513" s="6" t="s">
        <v>2322</v>
      </c>
      <c r="F513" s="6" t="s">
        <v>1397</v>
      </c>
      <c r="G513" s="6" t="s">
        <v>1046</v>
      </c>
      <c r="H513" s="6" t="s">
        <v>1389</v>
      </c>
      <c r="I513" s="6" t="s">
        <v>124</v>
      </c>
      <c r="J513" s="6" t="s">
        <v>1390</v>
      </c>
    </row>
    <row r="514" spans="1:10">
      <c r="A514" s="6" t="s">
        <v>43</v>
      </c>
      <c r="B514" s="6" t="s">
        <v>555</v>
      </c>
      <c r="C514" s="6" t="s">
        <v>92</v>
      </c>
      <c r="D514" s="10" t="s">
        <v>2323</v>
      </c>
      <c r="E514" s="6" t="s">
        <v>2324</v>
      </c>
      <c r="F514" s="6" t="s">
        <v>1397</v>
      </c>
      <c r="G514" s="6" t="s">
        <v>1046</v>
      </c>
      <c r="H514" s="6" t="s">
        <v>1389</v>
      </c>
      <c r="I514" s="6" t="s">
        <v>124</v>
      </c>
      <c r="J514" s="6" t="s">
        <v>1390</v>
      </c>
    </row>
    <row r="515" spans="1:10">
      <c r="A515" s="6" t="s">
        <v>43</v>
      </c>
      <c r="B515" s="6" t="s">
        <v>555</v>
      </c>
      <c r="C515" s="6" t="s">
        <v>92</v>
      </c>
      <c r="D515" s="10" t="s">
        <v>2325</v>
      </c>
      <c r="E515" s="6" t="s">
        <v>2326</v>
      </c>
      <c r="F515" s="6" t="s">
        <v>1397</v>
      </c>
      <c r="G515" s="6" t="s">
        <v>1046</v>
      </c>
      <c r="H515" s="6" t="s">
        <v>1389</v>
      </c>
      <c r="I515" s="6" t="s">
        <v>124</v>
      </c>
      <c r="J515" s="6" t="s">
        <v>1390</v>
      </c>
    </row>
    <row r="516" spans="1:10">
      <c r="A516" s="6" t="s">
        <v>43</v>
      </c>
      <c r="B516" s="6" t="s">
        <v>555</v>
      </c>
      <c r="C516" s="6" t="s">
        <v>92</v>
      </c>
      <c r="D516" s="10" t="s">
        <v>2327</v>
      </c>
      <c r="E516" s="6" t="s">
        <v>2328</v>
      </c>
      <c r="F516" s="6" t="s">
        <v>1397</v>
      </c>
      <c r="G516" s="6" t="s">
        <v>1046</v>
      </c>
      <c r="H516" s="6" t="s">
        <v>1389</v>
      </c>
      <c r="I516" s="6" t="s">
        <v>124</v>
      </c>
      <c r="J516" s="6" t="s">
        <v>1390</v>
      </c>
    </row>
    <row r="517" spans="1:10">
      <c r="A517" s="6" t="s">
        <v>43</v>
      </c>
      <c r="B517" s="6" t="s">
        <v>555</v>
      </c>
      <c r="C517" s="6" t="s">
        <v>92</v>
      </c>
      <c r="D517" s="10" t="s">
        <v>2329</v>
      </c>
      <c r="E517" s="6" t="s">
        <v>2330</v>
      </c>
      <c r="F517" s="6" t="s">
        <v>1397</v>
      </c>
      <c r="G517" s="6" t="s">
        <v>1046</v>
      </c>
      <c r="H517" s="6" t="s">
        <v>1389</v>
      </c>
      <c r="I517" s="6" t="s">
        <v>124</v>
      </c>
      <c r="J517" s="6" t="s">
        <v>1390</v>
      </c>
    </row>
    <row r="518" spans="1:10">
      <c r="A518" s="6" t="s">
        <v>43</v>
      </c>
      <c r="B518" s="6" t="s">
        <v>555</v>
      </c>
      <c r="C518" s="6" t="s">
        <v>92</v>
      </c>
      <c r="D518" s="10" t="s">
        <v>2331</v>
      </c>
      <c r="E518" s="6" t="s">
        <v>2332</v>
      </c>
      <c r="F518" s="6" t="s">
        <v>1397</v>
      </c>
      <c r="G518" s="6" t="s">
        <v>1046</v>
      </c>
      <c r="H518" s="6" t="s">
        <v>1389</v>
      </c>
      <c r="I518" s="6" t="s">
        <v>124</v>
      </c>
      <c r="J518" s="6" t="s">
        <v>1390</v>
      </c>
    </row>
    <row r="519" spans="1:10">
      <c r="A519" s="6" t="s">
        <v>43</v>
      </c>
      <c r="B519" s="6" t="s">
        <v>555</v>
      </c>
      <c r="C519" s="6" t="s">
        <v>92</v>
      </c>
      <c r="D519" s="10" t="s">
        <v>2333</v>
      </c>
      <c r="E519" s="6" t="s">
        <v>2334</v>
      </c>
      <c r="F519" s="6" t="s">
        <v>1397</v>
      </c>
      <c r="G519" s="6" t="s">
        <v>1046</v>
      </c>
      <c r="H519" s="6" t="s">
        <v>1389</v>
      </c>
      <c r="I519" s="6" t="s">
        <v>124</v>
      </c>
      <c r="J519" s="6" t="s">
        <v>1390</v>
      </c>
    </row>
    <row r="520" spans="1:10">
      <c r="A520" s="6" t="s">
        <v>43</v>
      </c>
      <c r="B520" s="6" t="s">
        <v>555</v>
      </c>
      <c r="C520" s="6" t="s">
        <v>92</v>
      </c>
      <c r="D520" s="10" t="s">
        <v>2335</v>
      </c>
      <c r="E520" s="6" t="s">
        <v>2336</v>
      </c>
      <c r="F520" s="6" t="s">
        <v>1397</v>
      </c>
      <c r="G520" s="6" t="s">
        <v>1046</v>
      </c>
      <c r="H520" s="6" t="s">
        <v>1389</v>
      </c>
      <c r="I520" s="6" t="s">
        <v>124</v>
      </c>
      <c r="J520" s="6" t="s">
        <v>1390</v>
      </c>
    </row>
    <row r="521" spans="1:10">
      <c r="A521" s="6" t="s">
        <v>43</v>
      </c>
      <c r="B521" s="6" t="s">
        <v>555</v>
      </c>
      <c r="C521" s="6" t="s">
        <v>92</v>
      </c>
      <c r="D521" s="10" t="s">
        <v>2337</v>
      </c>
      <c r="E521" s="6" t="s">
        <v>2338</v>
      </c>
      <c r="F521" s="6" t="s">
        <v>1397</v>
      </c>
      <c r="G521" s="6" t="s">
        <v>1046</v>
      </c>
      <c r="H521" s="6" t="s">
        <v>1389</v>
      </c>
      <c r="I521" s="6" t="s">
        <v>124</v>
      </c>
      <c r="J521" s="6" t="s">
        <v>1390</v>
      </c>
    </row>
    <row r="522" spans="1:10">
      <c r="A522" s="6" t="s">
        <v>43</v>
      </c>
      <c r="B522" s="6" t="s">
        <v>555</v>
      </c>
      <c r="C522" s="6" t="s">
        <v>92</v>
      </c>
      <c r="D522" s="10" t="s">
        <v>1100</v>
      </c>
      <c r="E522" s="6" t="s">
        <v>2339</v>
      </c>
      <c r="F522" s="6" t="s">
        <v>1397</v>
      </c>
      <c r="G522" s="6" t="s">
        <v>1046</v>
      </c>
      <c r="H522" s="6" t="s">
        <v>1389</v>
      </c>
      <c r="I522" s="6" t="s">
        <v>715</v>
      </c>
      <c r="J522" s="6" t="s">
        <v>1390</v>
      </c>
    </row>
    <row r="523" spans="1:10">
      <c r="A523" s="6" t="s">
        <v>43</v>
      </c>
      <c r="B523" s="6" t="s">
        <v>555</v>
      </c>
      <c r="C523" s="6" t="s">
        <v>92</v>
      </c>
      <c r="D523" s="10" t="s">
        <v>1133</v>
      </c>
      <c r="E523" s="6" t="s">
        <v>2340</v>
      </c>
      <c r="F523" s="6" t="s">
        <v>1397</v>
      </c>
      <c r="G523" s="6" t="s">
        <v>1046</v>
      </c>
      <c r="H523" s="6" t="s">
        <v>1389</v>
      </c>
      <c r="I523" s="6" t="s">
        <v>715</v>
      </c>
      <c r="J523" s="6" t="s">
        <v>1390</v>
      </c>
    </row>
    <row r="524" spans="1:10">
      <c r="A524" s="6" t="s">
        <v>43</v>
      </c>
      <c r="B524" s="6" t="s">
        <v>555</v>
      </c>
      <c r="C524" s="6" t="s">
        <v>92</v>
      </c>
      <c r="D524" s="10" t="s">
        <v>2341</v>
      </c>
      <c r="E524" s="6" t="s">
        <v>2342</v>
      </c>
      <c r="F524" s="6" t="s">
        <v>1397</v>
      </c>
      <c r="G524" s="6" t="s">
        <v>1046</v>
      </c>
      <c r="H524" s="6" t="s">
        <v>1389</v>
      </c>
      <c r="I524" s="6" t="s">
        <v>124</v>
      </c>
      <c r="J524" s="6" t="s">
        <v>1390</v>
      </c>
    </row>
    <row r="525" spans="1:10">
      <c r="A525" s="6" t="s">
        <v>43</v>
      </c>
      <c r="B525" s="6" t="s">
        <v>555</v>
      </c>
      <c r="C525" s="6" t="s">
        <v>92</v>
      </c>
      <c r="D525" s="10" t="s">
        <v>2343</v>
      </c>
      <c r="E525" s="6" t="s">
        <v>2344</v>
      </c>
      <c r="F525" s="6" t="s">
        <v>1397</v>
      </c>
      <c r="G525" s="6" t="s">
        <v>1046</v>
      </c>
      <c r="H525" s="6" t="s">
        <v>1389</v>
      </c>
      <c r="I525" s="6" t="s">
        <v>124</v>
      </c>
      <c r="J525" s="6" t="s">
        <v>1390</v>
      </c>
    </row>
    <row r="526" spans="1:10">
      <c r="A526" s="6" t="s">
        <v>43</v>
      </c>
      <c r="B526" s="6" t="s">
        <v>555</v>
      </c>
      <c r="C526" s="6" t="s">
        <v>92</v>
      </c>
      <c r="D526" s="10" t="s">
        <v>2345</v>
      </c>
      <c r="E526" s="6" t="s">
        <v>2346</v>
      </c>
      <c r="F526" s="6" t="s">
        <v>1397</v>
      </c>
      <c r="G526" s="6" t="s">
        <v>1046</v>
      </c>
      <c r="H526" s="6" t="s">
        <v>1389</v>
      </c>
      <c r="I526" s="6" t="s">
        <v>124</v>
      </c>
      <c r="J526" s="6" t="s">
        <v>1390</v>
      </c>
    </row>
    <row r="527" spans="1:10">
      <c r="A527" s="6" t="s">
        <v>43</v>
      </c>
      <c r="B527" s="6" t="s">
        <v>555</v>
      </c>
      <c r="C527" s="6" t="s">
        <v>92</v>
      </c>
      <c r="D527" s="10" t="s">
        <v>2347</v>
      </c>
      <c r="E527" s="6" t="s">
        <v>2348</v>
      </c>
      <c r="F527" s="6" t="s">
        <v>1397</v>
      </c>
      <c r="G527" s="6" t="s">
        <v>1046</v>
      </c>
      <c r="H527" s="6" t="s">
        <v>1389</v>
      </c>
      <c r="I527" s="6" t="s">
        <v>124</v>
      </c>
      <c r="J527" s="6" t="s">
        <v>1390</v>
      </c>
    </row>
    <row r="528" spans="1:10">
      <c r="A528" s="6" t="s">
        <v>43</v>
      </c>
      <c r="B528" s="6" t="s">
        <v>555</v>
      </c>
      <c r="C528" s="6" t="s">
        <v>92</v>
      </c>
      <c r="D528" s="10" t="s">
        <v>2349</v>
      </c>
      <c r="E528" s="6" t="s">
        <v>1413</v>
      </c>
      <c r="F528" s="6" t="s">
        <v>1397</v>
      </c>
      <c r="G528" s="6" t="s">
        <v>1046</v>
      </c>
      <c r="H528" s="6" t="s">
        <v>1389</v>
      </c>
      <c r="I528" s="6" t="s">
        <v>124</v>
      </c>
      <c r="J528" s="6" t="s">
        <v>1390</v>
      </c>
    </row>
    <row r="529" spans="1:10">
      <c r="A529" s="6" t="s">
        <v>43</v>
      </c>
      <c r="B529" s="6" t="s">
        <v>555</v>
      </c>
      <c r="C529" s="6" t="s">
        <v>92</v>
      </c>
      <c r="D529" s="10" t="s">
        <v>2350</v>
      </c>
      <c r="E529" s="6" t="s">
        <v>2351</v>
      </c>
      <c r="F529" s="6" t="s">
        <v>1397</v>
      </c>
      <c r="G529" s="6" t="s">
        <v>1046</v>
      </c>
      <c r="H529" s="6" t="s">
        <v>1389</v>
      </c>
      <c r="I529" s="6" t="s">
        <v>124</v>
      </c>
      <c r="J529" s="6" t="s">
        <v>1390</v>
      </c>
    </row>
    <row r="530" spans="1:10">
      <c r="A530" s="6" t="s">
        <v>43</v>
      </c>
      <c r="B530" s="6" t="s">
        <v>555</v>
      </c>
      <c r="C530" s="6" t="s">
        <v>92</v>
      </c>
      <c r="D530" s="10" t="s">
        <v>2352</v>
      </c>
      <c r="E530" s="6" t="s">
        <v>2353</v>
      </c>
      <c r="F530" s="6" t="s">
        <v>1397</v>
      </c>
      <c r="G530" s="6" t="s">
        <v>1046</v>
      </c>
      <c r="H530" s="6" t="s">
        <v>1389</v>
      </c>
      <c r="I530" s="6" t="s">
        <v>124</v>
      </c>
      <c r="J530" s="6" t="s">
        <v>1390</v>
      </c>
    </row>
    <row r="531" spans="1:10">
      <c r="A531" s="6" t="s">
        <v>43</v>
      </c>
      <c r="B531" s="6" t="s">
        <v>555</v>
      </c>
      <c r="C531" s="6" t="s">
        <v>92</v>
      </c>
      <c r="D531" s="10" t="s">
        <v>2354</v>
      </c>
      <c r="E531" s="6" t="s">
        <v>2355</v>
      </c>
      <c r="F531" s="6" t="s">
        <v>1397</v>
      </c>
      <c r="G531" s="6" t="s">
        <v>1046</v>
      </c>
      <c r="H531" s="6" t="s">
        <v>1389</v>
      </c>
      <c r="I531" s="6" t="s">
        <v>124</v>
      </c>
      <c r="J531" s="6" t="s">
        <v>1390</v>
      </c>
    </row>
    <row r="532" spans="1:10">
      <c r="A532" s="6" t="s">
        <v>43</v>
      </c>
      <c r="B532" s="6" t="s">
        <v>555</v>
      </c>
      <c r="C532" s="6" t="s">
        <v>92</v>
      </c>
      <c r="D532" s="10" t="s">
        <v>2356</v>
      </c>
      <c r="E532" s="6" t="s">
        <v>2357</v>
      </c>
      <c r="F532" s="6" t="s">
        <v>1397</v>
      </c>
      <c r="G532" s="6" t="s">
        <v>1046</v>
      </c>
      <c r="H532" s="6" t="s">
        <v>1389</v>
      </c>
      <c r="I532" s="6" t="s">
        <v>124</v>
      </c>
      <c r="J532" s="6" t="s">
        <v>1390</v>
      </c>
    </row>
    <row r="533" spans="1:10">
      <c r="A533" s="6" t="s">
        <v>43</v>
      </c>
      <c r="B533" s="6" t="s">
        <v>555</v>
      </c>
      <c r="C533" s="6" t="s">
        <v>92</v>
      </c>
      <c r="D533" s="10" t="s">
        <v>2358</v>
      </c>
      <c r="E533" s="6" t="s">
        <v>2359</v>
      </c>
      <c r="F533" s="6" t="s">
        <v>1397</v>
      </c>
      <c r="G533" s="6" t="s">
        <v>1046</v>
      </c>
      <c r="H533" s="6" t="s">
        <v>1389</v>
      </c>
      <c r="I533" s="6" t="s">
        <v>124</v>
      </c>
      <c r="J533" s="6" t="s">
        <v>1390</v>
      </c>
    </row>
    <row r="534" spans="1:10">
      <c r="A534" s="6" t="s">
        <v>43</v>
      </c>
      <c r="B534" s="6" t="s">
        <v>555</v>
      </c>
      <c r="C534" s="6" t="s">
        <v>2360</v>
      </c>
      <c r="D534" s="10" t="s">
        <v>575</v>
      </c>
      <c r="E534" s="6" t="s">
        <v>2361</v>
      </c>
      <c r="F534" s="6" t="s">
        <v>1397</v>
      </c>
      <c r="G534" s="6" t="s">
        <v>558</v>
      </c>
      <c r="H534" s="6" t="s">
        <v>1389</v>
      </c>
      <c r="I534" s="6" t="s">
        <v>715</v>
      </c>
      <c r="J534" s="6" t="s">
        <v>1390</v>
      </c>
    </row>
    <row r="535" spans="1:10">
      <c r="A535" s="6" t="s">
        <v>43</v>
      </c>
      <c r="B535" s="6" t="s">
        <v>555</v>
      </c>
      <c r="C535" s="6" t="s">
        <v>2362</v>
      </c>
      <c r="D535" s="10" t="s">
        <v>2363</v>
      </c>
      <c r="E535" s="6" t="s">
        <v>2364</v>
      </c>
      <c r="F535" s="6" t="s">
        <v>1397</v>
      </c>
      <c r="G535" s="6" t="s">
        <v>2365</v>
      </c>
      <c r="H535" s="6" t="s">
        <v>1425</v>
      </c>
      <c r="I535" s="6" t="s">
        <v>124</v>
      </c>
      <c r="J535" s="6" t="s">
        <v>1390</v>
      </c>
    </row>
    <row r="536" spans="1:10">
      <c r="A536" s="6" t="s">
        <v>43</v>
      </c>
      <c r="B536" s="6" t="s">
        <v>555</v>
      </c>
      <c r="C536" s="6" t="s">
        <v>1438</v>
      </c>
      <c r="D536" s="10" t="s">
        <v>2366</v>
      </c>
      <c r="E536" s="6" t="s">
        <v>2262</v>
      </c>
      <c r="F536" s="6" t="s">
        <v>1388</v>
      </c>
      <c r="G536" s="6" t="s">
        <v>1046</v>
      </c>
      <c r="H536" s="6" t="s">
        <v>1389</v>
      </c>
      <c r="I536" s="6" t="s">
        <v>124</v>
      </c>
      <c r="J536" s="6" t="s">
        <v>1390</v>
      </c>
    </row>
    <row r="537" spans="1:10">
      <c r="A537" s="6" t="s">
        <v>43</v>
      </c>
      <c r="B537" s="6" t="s">
        <v>555</v>
      </c>
      <c r="C537" s="6" t="s">
        <v>1438</v>
      </c>
      <c r="D537" s="10" t="s">
        <v>2367</v>
      </c>
      <c r="E537" s="6" t="s">
        <v>521</v>
      </c>
      <c r="F537" s="6" t="s">
        <v>1397</v>
      </c>
      <c r="G537" s="6" t="s">
        <v>2368</v>
      </c>
      <c r="H537" s="6" t="s">
        <v>1425</v>
      </c>
      <c r="I537" s="6" t="s">
        <v>124</v>
      </c>
      <c r="J537" s="6" t="s">
        <v>1390</v>
      </c>
    </row>
    <row r="538" spans="1:10">
      <c r="A538" s="6" t="s">
        <v>43</v>
      </c>
      <c r="B538" s="6" t="s">
        <v>555</v>
      </c>
      <c r="C538" s="6" t="s">
        <v>1438</v>
      </c>
      <c r="D538" s="10" t="s">
        <v>2369</v>
      </c>
      <c r="E538" s="6" t="s">
        <v>2370</v>
      </c>
      <c r="F538" s="6" t="s">
        <v>1397</v>
      </c>
      <c r="G538" s="6" t="s">
        <v>2368</v>
      </c>
      <c r="H538" s="6" t="s">
        <v>1425</v>
      </c>
      <c r="I538" s="6" t="s">
        <v>124</v>
      </c>
      <c r="J538" s="6" t="s">
        <v>1390</v>
      </c>
    </row>
    <row r="539" spans="1:10">
      <c r="A539" s="6" t="s">
        <v>43</v>
      </c>
      <c r="B539" s="6" t="s">
        <v>555</v>
      </c>
      <c r="C539" s="6" t="s">
        <v>1438</v>
      </c>
      <c r="D539" s="10" t="s">
        <v>2371</v>
      </c>
      <c r="E539" s="6" t="s">
        <v>2372</v>
      </c>
      <c r="F539" s="6" t="s">
        <v>1397</v>
      </c>
      <c r="G539" s="6" t="s">
        <v>1046</v>
      </c>
      <c r="H539" s="6" t="s">
        <v>1389</v>
      </c>
      <c r="I539" s="6" t="s">
        <v>124</v>
      </c>
      <c r="J539" s="6" t="s">
        <v>1390</v>
      </c>
    </row>
    <row r="540" spans="1:10">
      <c r="A540" s="6" t="s">
        <v>43</v>
      </c>
      <c r="B540" s="6" t="s">
        <v>555</v>
      </c>
      <c r="C540" s="6" t="s">
        <v>1438</v>
      </c>
      <c r="D540" s="10" t="s">
        <v>2373</v>
      </c>
      <c r="E540" s="6" t="s">
        <v>2374</v>
      </c>
      <c r="F540" s="6" t="s">
        <v>1397</v>
      </c>
      <c r="G540" s="6" t="s">
        <v>2368</v>
      </c>
      <c r="H540" s="6" t="s">
        <v>1425</v>
      </c>
      <c r="I540" s="6" t="s">
        <v>124</v>
      </c>
      <c r="J540" s="6" t="s">
        <v>1390</v>
      </c>
    </row>
    <row r="541" spans="1:10">
      <c r="A541" s="6" t="s">
        <v>43</v>
      </c>
      <c r="B541" s="6" t="s">
        <v>555</v>
      </c>
      <c r="C541" s="6" t="s">
        <v>1438</v>
      </c>
      <c r="D541" s="10" t="s">
        <v>2375</v>
      </c>
      <c r="E541" s="6" t="s">
        <v>2376</v>
      </c>
      <c r="F541" s="6" t="s">
        <v>1397</v>
      </c>
      <c r="G541" s="6" t="s">
        <v>2377</v>
      </c>
      <c r="H541" s="6" t="s">
        <v>1425</v>
      </c>
      <c r="I541" s="6" t="s">
        <v>124</v>
      </c>
      <c r="J541" s="6" t="s">
        <v>1390</v>
      </c>
    </row>
    <row r="542" spans="1:10">
      <c r="A542" s="6" t="s">
        <v>43</v>
      </c>
      <c r="B542" s="6" t="s">
        <v>555</v>
      </c>
      <c r="C542" s="6" t="s">
        <v>1438</v>
      </c>
      <c r="D542" s="10" t="s">
        <v>2378</v>
      </c>
      <c r="E542" s="6" t="s">
        <v>2379</v>
      </c>
      <c r="F542" s="6" t="s">
        <v>1397</v>
      </c>
      <c r="G542" s="6" t="s">
        <v>1046</v>
      </c>
      <c r="H542" s="6" t="s">
        <v>1389</v>
      </c>
      <c r="I542" s="6" t="s">
        <v>124</v>
      </c>
      <c r="J542" s="6" t="s">
        <v>1390</v>
      </c>
    </row>
    <row r="543" spans="1:10">
      <c r="A543" s="6" t="s">
        <v>43</v>
      </c>
      <c r="B543" s="6" t="s">
        <v>555</v>
      </c>
      <c r="C543" s="6" t="s">
        <v>1438</v>
      </c>
      <c r="D543" s="10" t="s">
        <v>2380</v>
      </c>
      <c r="E543" s="6" t="s">
        <v>2381</v>
      </c>
      <c r="F543" s="6" t="s">
        <v>1397</v>
      </c>
      <c r="G543" s="6" t="s">
        <v>1046</v>
      </c>
      <c r="H543" s="6" t="s">
        <v>1389</v>
      </c>
      <c r="I543" s="6" t="s">
        <v>124</v>
      </c>
      <c r="J543" s="6" t="s">
        <v>1390</v>
      </c>
    </row>
    <row r="544" spans="1:10">
      <c r="A544" s="6" t="s">
        <v>43</v>
      </c>
      <c r="B544" s="6" t="s">
        <v>555</v>
      </c>
      <c r="C544" s="6" t="s">
        <v>1438</v>
      </c>
      <c r="D544" s="10" t="s">
        <v>2382</v>
      </c>
      <c r="E544" s="6" t="s">
        <v>2383</v>
      </c>
      <c r="F544" s="6" t="s">
        <v>1397</v>
      </c>
      <c r="G544" s="6" t="s">
        <v>1046</v>
      </c>
      <c r="H544" s="6" t="s">
        <v>1389</v>
      </c>
      <c r="I544" s="6" t="s">
        <v>124</v>
      </c>
      <c r="J544" s="6" t="s">
        <v>1390</v>
      </c>
    </row>
    <row r="545" spans="1:10">
      <c r="A545" s="6" t="s">
        <v>43</v>
      </c>
      <c r="B545" s="6" t="s">
        <v>555</v>
      </c>
      <c r="C545" s="6" t="s">
        <v>1438</v>
      </c>
      <c r="D545" s="10" t="s">
        <v>2384</v>
      </c>
      <c r="E545" s="6" t="s">
        <v>2385</v>
      </c>
      <c r="F545" s="6" t="s">
        <v>1397</v>
      </c>
      <c r="G545" s="6" t="s">
        <v>1046</v>
      </c>
      <c r="H545" s="6" t="s">
        <v>1389</v>
      </c>
      <c r="I545" s="6" t="s">
        <v>124</v>
      </c>
      <c r="J545" s="6" t="s">
        <v>1390</v>
      </c>
    </row>
    <row r="546" spans="1:10">
      <c r="A546" s="6" t="s">
        <v>43</v>
      </c>
      <c r="B546" s="6" t="s">
        <v>555</v>
      </c>
      <c r="C546" s="6" t="s">
        <v>172</v>
      </c>
      <c r="D546" s="10" t="s">
        <v>2386</v>
      </c>
      <c r="E546" s="6" t="s">
        <v>2387</v>
      </c>
      <c r="F546" s="6" t="s">
        <v>1397</v>
      </c>
      <c r="G546" s="6" t="s">
        <v>2388</v>
      </c>
      <c r="H546" s="6" t="s">
        <v>1425</v>
      </c>
      <c r="I546" s="6" t="s">
        <v>124</v>
      </c>
      <c r="J546" s="6" t="s">
        <v>1390</v>
      </c>
    </row>
    <row r="547" spans="1:10">
      <c r="A547" s="6" t="s">
        <v>43</v>
      </c>
      <c r="B547" s="6" t="s">
        <v>555</v>
      </c>
      <c r="C547" s="6" t="s">
        <v>172</v>
      </c>
      <c r="D547" s="10" t="s">
        <v>2389</v>
      </c>
      <c r="E547" s="6" t="s">
        <v>2390</v>
      </c>
      <c r="F547" s="6" t="s">
        <v>1397</v>
      </c>
      <c r="G547" s="6" t="s">
        <v>2391</v>
      </c>
      <c r="H547" s="6" t="s">
        <v>1425</v>
      </c>
      <c r="I547" s="6" t="s">
        <v>124</v>
      </c>
      <c r="J547" s="6" t="s">
        <v>1390</v>
      </c>
    </row>
    <row r="548" spans="1:10">
      <c r="A548" s="6" t="s">
        <v>43</v>
      </c>
      <c r="B548" s="6" t="s">
        <v>555</v>
      </c>
      <c r="C548" s="6" t="s">
        <v>172</v>
      </c>
      <c r="D548" s="10" t="s">
        <v>2392</v>
      </c>
      <c r="E548" s="6" t="s">
        <v>2393</v>
      </c>
      <c r="F548" s="6" t="s">
        <v>1397</v>
      </c>
      <c r="G548" s="6" t="s">
        <v>2394</v>
      </c>
      <c r="H548" s="6" t="s">
        <v>1425</v>
      </c>
      <c r="I548" s="6" t="s">
        <v>124</v>
      </c>
      <c r="J548" s="6" t="s">
        <v>1390</v>
      </c>
    </row>
    <row r="549" spans="1:10">
      <c r="A549" s="6" t="s">
        <v>43</v>
      </c>
      <c r="B549" s="6" t="s">
        <v>555</v>
      </c>
      <c r="C549" s="6" t="s">
        <v>172</v>
      </c>
      <c r="D549" s="10" t="s">
        <v>2395</v>
      </c>
      <c r="E549" s="6" t="s">
        <v>2396</v>
      </c>
      <c r="F549" s="6" t="s">
        <v>1397</v>
      </c>
      <c r="G549" s="6" t="s">
        <v>2394</v>
      </c>
      <c r="H549" s="6" t="s">
        <v>1425</v>
      </c>
      <c r="I549" s="6" t="s">
        <v>124</v>
      </c>
      <c r="J549" s="6" t="s">
        <v>1390</v>
      </c>
    </row>
    <row r="550" spans="1:10">
      <c r="A550" s="6" t="s">
        <v>43</v>
      </c>
      <c r="B550" s="6" t="s">
        <v>555</v>
      </c>
      <c r="C550" s="6" t="s">
        <v>172</v>
      </c>
      <c r="D550" s="10" t="s">
        <v>2397</v>
      </c>
      <c r="E550" s="6" t="s">
        <v>2398</v>
      </c>
      <c r="F550" s="6" t="s">
        <v>1397</v>
      </c>
      <c r="G550" s="6" t="s">
        <v>2394</v>
      </c>
      <c r="H550" s="6" t="s">
        <v>1425</v>
      </c>
      <c r="I550" s="6" t="s">
        <v>124</v>
      </c>
      <c r="J550" s="6" t="s">
        <v>1390</v>
      </c>
    </row>
    <row r="551" spans="1:10">
      <c r="A551" s="6" t="s">
        <v>43</v>
      </c>
      <c r="B551" s="6" t="s">
        <v>555</v>
      </c>
      <c r="C551" s="6" t="s">
        <v>172</v>
      </c>
      <c r="D551" s="10" t="s">
        <v>2399</v>
      </c>
      <c r="E551" s="6" t="s">
        <v>2400</v>
      </c>
      <c r="F551" s="6" t="s">
        <v>1397</v>
      </c>
      <c r="G551" s="6" t="s">
        <v>2394</v>
      </c>
      <c r="H551" s="6" t="s">
        <v>1425</v>
      </c>
      <c r="I551" s="6" t="s">
        <v>124</v>
      </c>
      <c r="J551" s="6" t="s">
        <v>1390</v>
      </c>
    </row>
    <row r="552" spans="1:10">
      <c r="A552" s="6" t="s">
        <v>43</v>
      </c>
      <c r="B552" s="6" t="s">
        <v>555</v>
      </c>
      <c r="C552" s="6" t="s">
        <v>172</v>
      </c>
      <c r="D552" s="10" t="s">
        <v>2401</v>
      </c>
      <c r="E552" s="6" t="s">
        <v>2402</v>
      </c>
      <c r="F552" s="6" t="s">
        <v>1397</v>
      </c>
      <c r="G552" s="6" t="s">
        <v>2394</v>
      </c>
      <c r="H552" s="6" t="s">
        <v>1425</v>
      </c>
      <c r="I552" s="6" t="s">
        <v>124</v>
      </c>
      <c r="J552" s="6" t="s">
        <v>1390</v>
      </c>
    </row>
    <row r="553" spans="1:10">
      <c r="A553" s="6" t="s">
        <v>43</v>
      </c>
      <c r="B553" s="6" t="s">
        <v>555</v>
      </c>
      <c r="C553" s="6" t="s">
        <v>172</v>
      </c>
      <c r="D553" s="10" t="s">
        <v>2403</v>
      </c>
      <c r="E553" s="6" t="s">
        <v>2404</v>
      </c>
      <c r="F553" s="6" t="s">
        <v>1397</v>
      </c>
      <c r="G553" s="6" t="s">
        <v>2394</v>
      </c>
      <c r="H553" s="6" t="s">
        <v>1425</v>
      </c>
      <c r="I553" s="6" t="s">
        <v>124</v>
      </c>
      <c r="J553" s="6" t="s">
        <v>1390</v>
      </c>
    </row>
    <row r="554" spans="1:10">
      <c r="A554" s="6" t="s">
        <v>43</v>
      </c>
      <c r="B554" s="6" t="s">
        <v>555</v>
      </c>
      <c r="C554" s="6" t="s">
        <v>172</v>
      </c>
      <c r="D554" s="10" t="s">
        <v>2394</v>
      </c>
      <c r="E554" s="6" t="s">
        <v>2405</v>
      </c>
      <c r="F554" s="6" t="s">
        <v>1397</v>
      </c>
      <c r="G554" s="6" t="s">
        <v>558</v>
      </c>
      <c r="H554" s="6" t="s">
        <v>1389</v>
      </c>
      <c r="I554" s="6" t="s">
        <v>124</v>
      </c>
      <c r="J554" s="6" t="s">
        <v>1390</v>
      </c>
    </row>
    <row r="555" spans="1:10">
      <c r="A555" s="6" t="s">
        <v>43</v>
      </c>
      <c r="B555" s="6" t="s">
        <v>555</v>
      </c>
      <c r="C555" s="6" t="s">
        <v>172</v>
      </c>
      <c r="D555" s="10" t="s">
        <v>2406</v>
      </c>
      <c r="E555" s="6" t="s">
        <v>2407</v>
      </c>
      <c r="F555" s="6" t="s">
        <v>1397</v>
      </c>
      <c r="G555" s="6" t="s">
        <v>2394</v>
      </c>
      <c r="H555" s="6" t="s">
        <v>1425</v>
      </c>
      <c r="I555" s="6" t="s">
        <v>124</v>
      </c>
      <c r="J555" s="6" t="s">
        <v>1390</v>
      </c>
    </row>
    <row r="556" spans="1:10">
      <c r="A556" s="6" t="s">
        <v>43</v>
      </c>
      <c r="B556" s="6" t="s">
        <v>555</v>
      </c>
      <c r="C556" s="6" t="s">
        <v>172</v>
      </c>
      <c r="D556" s="10" t="s">
        <v>2408</v>
      </c>
      <c r="E556" s="6" t="s">
        <v>2409</v>
      </c>
      <c r="F556" s="6" t="s">
        <v>1397</v>
      </c>
      <c r="G556" s="6" t="s">
        <v>2394</v>
      </c>
      <c r="H556" s="6" t="s">
        <v>1425</v>
      </c>
      <c r="I556" s="6" t="s">
        <v>124</v>
      </c>
      <c r="J556" s="6" t="s">
        <v>1390</v>
      </c>
    </row>
    <row r="557" spans="1:10">
      <c r="A557" s="6" t="s">
        <v>43</v>
      </c>
      <c r="B557" s="6" t="s">
        <v>555</v>
      </c>
      <c r="C557" s="6" t="s">
        <v>172</v>
      </c>
      <c r="D557" s="10" t="s">
        <v>2410</v>
      </c>
      <c r="E557" s="6" t="s">
        <v>2411</v>
      </c>
      <c r="F557" s="6" t="s">
        <v>1397</v>
      </c>
      <c r="G557" s="6" t="s">
        <v>2394</v>
      </c>
      <c r="H557" s="6" t="s">
        <v>1425</v>
      </c>
      <c r="I557" s="6" t="s">
        <v>124</v>
      </c>
      <c r="J557" s="6" t="s">
        <v>1390</v>
      </c>
    </row>
    <row r="558" spans="1:10">
      <c r="A558" s="6" t="s">
        <v>43</v>
      </c>
      <c r="B558" s="6" t="s">
        <v>555</v>
      </c>
      <c r="C558" s="6" t="s">
        <v>172</v>
      </c>
      <c r="D558" s="10" t="s">
        <v>2412</v>
      </c>
      <c r="E558" s="6" t="s">
        <v>2413</v>
      </c>
      <c r="F558" s="6" t="s">
        <v>1397</v>
      </c>
      <c r="G558" s="6" t="s">
        <v>2394</v>
      </c>
      <c r="H558" s="6" t="s">
        <v>1425</v>
      </c>
      <c r="I558" s="6" t="s">
        <v>124</v>
      </c>
      <c r="J558" s="6" t="s">
        <v>1390</v>
      </c>
    </row>
    <row r="559" spans="1:10">
      <c r="A559" s="6" t="s">
        <v>43</v>
      </c>
      <c r="B559" s="6" t="s">
        <v>555</v>
      </c>
      <c r="C559" s="6" t="s">
        <v>172</v>
      </c>
      <c r="D559" s="10" t="s">
        <v>2414</v>
      </c>
      <c r="E559" s="6" t="s">
        <v>2415</v>
      </c>
      <c r="F559" s="6" t="s">
        <v>1397</v>
      </c>
      <c r="G559" s="6" t="s">
        <v>2394</v>
      </c>
      <c r="H559" s="6" t="s">
        <v>1425</v>
      </c>
      <c r="I559" s="6" t="s">
        <v>124</v>
      </c>
      <c r="J559" s="6" t="s">
        <v>1390</v>
      </c>
    </row>
    <row r="560" spans="1:10">
      <c r="A560" s="6" t="s">
        <v>43</v>
      </c>
      <c r="B560" s="6" t="s">
        <v>555</v>
      </c>
      <c r="C560" s="6" t="s">
        <v>172</v>
      </c>
      <c r="D560" s="10" t="s">
        <v>2416</v>
      </c>
      <c r="E560" s="6" t="s">
        <v>2417</v>
      </c>
      <c r="F560" s="6" t="s">
        <v>1397</v>
      </c>
      <c r="G560" s="6" t="s">
        <v>2394</v>
      </c>
      <c r="H560" s="6" t="s">
        <v>1425</v>
      </c>
      <c r="I560" s="6" t="s">
        <v>124</v>
      </c>
      <c r="J560" s="6" t="s">
        <v>1390</v>
      </c>
    </row>
    <row r="561" spans="1:10">
      <c r="A561" s="6" t="s">
        <v>43</v>
      </c>
      <c r="B561" s="6" t="s">
        <v>555</v>
      </c>
      <c r="C561" s="6" t="s">
        <v>172</v>
      </c>
      <c r="D561" s="10" t="s">
        <v>2418</v>
      </c>
      <c r="E561" s="6" t="s">
        <v>2419</v>
      </c>
      <c r="F561" s="6" t="s">
        <v>1397</v>
      </c>
      <c r="G561" s="6" t="s">
        <v>2420</v>
      </c>
      <c r="H561" s="6" t="s">
        <v>1425</v>
      </c>
      <c r="I561" s="6" t="s">
        <v>124</v>
      </c>
      <c r="J561" s="6" t="s">
        <v>1390</v>
      </c>
    </row>
    <row r="562" spans="1:10">
      <c r="A562" s="6" t="s">
        <v>43</v>
      </c>
      <c r="B562" s="6" t="s">
        <v>555</v>
      </c>
      <c r="C562" s="6" t="s">
        <v>172</v>
      </c>
      <c r="D562" s="10" t="s">
        <v>2421</v>
      </c>
      <c r="E562" s="6" t="s">
        <v>2419</v>
      </c>
      <c r="F562" s="6" t="s">
        <v>1397</v>
      </c>
      <c r="G562" s="6" t="s">
        <v>2388</v>
      </c>
      <c r="H562" s="6" t="s">
        <v>1425</v>
      </c>
      <c r="I562" s="6" t="s">
        <v>124</v>
      </c>
      <c r="J562" s="6" t="s">
        <v>1390</v>
      </c>
    </row>
    <row r="563" spans="1:10">
      <c r="A563" s="6" t="s">
        <v>43</v>
      </c>
      <c r="B563" s="6" t="s">
        <v>555</v>
      </c>
      <c r="C563" s="6" t="s">
        <v>172</v>
      </c>
      <c r="D563" s="10" t="s">
        <v>2422</v>
      </c>
      <c r="E563" s="6" t="s">
        <v>2419</v>
      </c>
      <c r="F563" s="6" t="s">
        <v>1397</v>
      </c>
      <c r="G563" s="6" t="s">
        <v>2423</v>
      </c>
      <c r="H563" s="6" t="s">
        <v>1425</v>
      </c>
      <c r="I563" s="6" t="s">
        <v>124</v>
      </c>
      <c r="J563" s="6" t="s">
        <v>1390</v>
      </c>
    </row>
    <row r="564" spans="1:10">
      <c r="A564" s="6" t="s">
        <v>43</v>
      </c>
      <c r="B564" s="6" t="s">
        <v>555</v>
      </c>
      <c r="C564" s="6" t="s">
        <v>172</v>
      </c>
      <c r="D564" s="10" t="s">
        <v>2424</v>
      </c>
      <c r="E564" s="6" t="s">
        <v>2419</v>
      </c>
      <c r="F564" s="6" t="s">
        <v>1397</v>
      </c>
      <c r="G564" s="6" t="s">
        <v>2425</v>
      </c>
      <c r="H564" s="6" t="s">
        <v>1425</v>
      </c>
      <c r="I564" s="6" t="s">
        <v>124</v>
      </c>
      <c r="J564" s="6" t="s">
        <v>1390</v>
      </c>
    </row>
    <row r="565" spans="1:10">
      <c r="A565" s="6" t="s">
        <v>43</v>
      </c>
      <c r="B565" s="6" t="s">
        <v>555</v>
      </c>
      <c r="C565" s="6" t="s">
        <v>172</v>
      </c>
      <c r="D565" s="10" t="s">
        <v>2426</v>
      </c>
      <c r="E565" s="6" t="s">
        <v>2419</v>
      </c>
      <c r="F565" s="6" t="s">
        <v>1397</v>
      </c>
      <c r="G565" s="6" t="s">
        <v>2427</v>
      </c>
      <c r="H565" s="6" t="s">
        <v>1425</v>
      </c>
      <c r="I565" s="6" t="s">
        <v>124</v>
      </c>
      <c r="J565" s="6" t="s">
        <v>1390</v>
      </c>
    </row>
    <row r="566" spans="1:10">
      <c r="A566" s="6" t="s">
        <v>43</v>
      </c>
      <c r="B566" s="6" t="s">
        <v>555</v>
      </c>
      <c r="C566" s="6" t="s">
        <v>172</v>
      </c>
      <c r="D566" s="10" t="s">
        <v>2428</v>
      </c>
      <c r="E566" s="6" t="s">
        <v>2419</v>
      </c>
      <c r="F566" s="6" t="s">
        <v>1397</v>
      </c>
      <c r="G566" s="6" t="s">
        <v>2391</v>
      </c>
      <c r="H566" s="6" t="s">
        <v>1425</v>
      </c>
      <c r="I566" s="6" t="s">
        <v>124</v>
      </c>
      <c r="J566" s="6" t="s">
        <v>1390</v>
      </c>
    </row>
    <row r="567" spans="1:10">
      <c r="A567" s="6" t="s">
        <v>43</v>
      </c>
      <c r="B567" s="6" t="s">
        <v>555</v>
      </c>
      <c r="C567" s="6" t="s">
        <v>172</v>
      </c>
      <c r="D567" s="10" t="s">
        <v>2429</v>
      </c>
      <c r="E567" s="6" t="s">
        <v>2419</v>
      </c>
      <c r="F567" s="6" t="s">
        <v>1397</v>
      </c>
      <c r="G567" s="6" t="s">
        <v>2430</v>
      </c>
      <c r="H567" s="6" t="s">
        <v>1425</v>
      </c>
      <c r="I567" s="6" t="s">
        <v>124</v>
      </c>
      <c r="J567" s="6" t="s">
        <v>1390</v>
      </c>
    </row>
    <row r="568" spans="1:10">
      <c r="A568" s="6" t="s">
        <v>43</v>
      </c>
      <c r="B568" s="6" t="s">
        <v>555</v>
      </c>
      <c r="C568" s="6" t="s">
        <v>172</v>
      </c>
      <c r="D568" s="10" t="s">
        <v>2431</v>
      </c>
      <c r="E568" s="6" t="s">
        <v>2432</v>
      </c>
      <c r="F568" s="6" t="s">
        <v>1397</v>
      </c>
      <c r="G568" s="6" t="s">
        <v>2391</v>
      </c>
      <c r="H568" s="6" t="s">
        <v>1425</v>
      </c>
      <c r="I568" s="6" t="s">
        <v>124</v>
      </c>
      <c r="J568" s="6" t="s">
        <v>1390</v>
      </c>
    </row>
    <row r="569" spans="1:10">
      <c r="A569" s="6" t="s">
        <v>43</v>
      </c>
      <c r="B569" s="6" t="s">
        <v>555</v>
      </c>
      <c r="C569" s="6" t="s">
        <v>172</v>
      </c>
      <c r="D569" s="10" t="s">
        <v>2420</v>
      </c>
      <c r="E569" s="6" t="s">
        <v>2433</v>
      </c>
      <c r="F569" s="6" t="s">
        <v>1397</v>
      </c>
      <c r="G569" s="6" t="s">
        <v>1046</v>
      </c>
      <c r="H569" s="6" t="s">
        <v>1389</v>
      </c>
      <c r="I569" s="6" t="s">
        <v>124</v>
      </c>
      <c r="J569" s="6" t="s">
        <v>1390</v>
      </c>
    </row>
    <row r="570" spans="1:10">
      <c r="A570" s="6" t="s">
        <v>43</v>
      </c>
      <c r="B570" s="6" t="s">
        <v>555</v>
      </c>
      <c r="C570" s="6" t="s">
        <v>172</v>
      </c>
      <c r="D570" s="10" t="s">
        <v>2388</v>
      </c>
      <c r="E570" s="6" t="s">
        <v>2434</v>
      </c>
      <c r="F570" s="6" t="s">
        <v>1397</v>
      </c>
      <c r="G570" s="6" t="s">
        <v>1046</v>
      </c>
      <c r="H570" s="6" t="s">
        <v>1389</v>
      </c>
      <c r="I570" s="6" t="s">
        <v>124</v>
      </c>
      <c r="J570" s="6" t="s">
        <v>1390</v>
      </c>
    </row>
    <row r="571" spans="1:10">
      <c r="A571" s="6" t="s">
        <v>43</v>
      </c>
      <c r="B571" s="6" t="s">
        <v>555</v>
      </c>
      <c r="C571" s="6" t="s">
        <v>172</v>
      </c>
      <c r="D571" s="10" t="s">
        <v>2423</v>
      </c>
      <c r="E571" s="6" t="s">
        <v>2435</v>
      </c>
      <c r="F571" s="6" t="s">
        <v>1397</v>
      </c>
      <c r="G571" s="6" t="s">
        <v>1046</v>
      </c>
      <c r="H571" s="6" t="s">
        <v>1389</v>
      </c>
      <c r="I571" s="6" t="s">
        <v>124</v>
      </c>
      <c r="J571" s="6" t="s">
        <v>1390</v>
      </c>
    </row>
    <row r="572" spans="1:10">
      <c r="A572" s="6" t="s">
        <v>43</v>
      </c>
      <c r="B572" s="6" t="s">
        <v>555</v>
      </c>
      <c r="C572" s="6" t="s">
        <v>172</v>
      </c>
      <c r="D572" s="10" t="s">
        <v>2425</v>
      </c>
      <c r="E572" s="6" t="s">
        <v>2436</v>
      </c>
      <c r="F572" s="6" t="s">
        <v>1397</v>
      </c>
      <c r="G572" s="6" t="s">
        <v>1046</v>
      </c>
      <c r="H572" s="6" t="s">
        <v>1389</v>
      </c>
      <c r="I572" s="6" t="s">
        <v>124</v>
      </c>
      <c r="J572" s="6" t="s">
        <v>1390</v>
      </c>
    </row>
    <row r="573" spans="1:10">
      <c r="A573" s="6" t="s">
        <v>43</v>
      </c>
      <c r="B573" s="6" t="s">
        <v>555</v>
      </c>
      <c r="C573" s="6" t="s">
        <v>172</v>
      </c>
      <c r="D573" s="10" t="s">
        <v>2427</v>
      </c>
      <c r="E573" s="6" t="s">
        <v>2437</v>
      </c>
      <c r="F573" s="6" t="s">
        <v>1397</v>
      </c>
      <c r="G573" s="6" t="s">
        <v>1046</v>
      </c>
      <c r="H573" s="6" t="s">
        <v>1389</v>
      </c>
      <c r="I573" s="6" t="s">
        <v>124</v>
      </c>
      <c r="J573" s="6" t="s">
        <v>1390</v>
      </c>
    </row>
    <row r="574" spans="1:10">
      <c r="A574" s="6" t="s">
        <v>43</v>
      </c>
      <c r="B574" s="6" t="s">
        <v>555</v>
      </c>
      <c r="C574" s="6" t="s">
        <v>172</v>
      </c>
      <c r="D574" s="10" t="s">
        <v>2391</v>
      </c>
      <c r="E574" s="6" t="s">
        <v>2438</v>
      </c>
      <c r="F574" s="6" t="s">
        <v>1397</v>
      </c>
      <c r="G574" s="6" t="s">
        <v>1046</v>
      </c>
      <c r="H574" s="6" t="s">
        <v>1389</v>
      </c>
      <c r="I574" s="6" t="s">
        <v>124</v>
      </c>
      <c r="J574" s="6" t="s">
        <v>1390</v>
      </c>
    </row>
    <row r="575" spans="1:10">
      <c r="A575" s="6" t="s">
        <v>43</v>
      </c>
      <c r="B575" s="6" t="s">
        <v>555</v>
      </c>
      <c r="C575" s="6" t="s">
        <v>172</v>
      </c>
      <c r="D575" s="10" t="s">
        <v>2430</v>
      </c>
      <c r="E575" s="6" t="s">
        <v>2439</v>
      </c>
      <c r="F575" s="6" t="s">
        <v>1397</v>
      </c>
      <c r="G575" s="6" t="s">
        <v>1046</v>
      </c>
      <c r="H575" s="6" t="s">
        <v>1389</v>
      </c>
      <c r="I575" s="6" t="s">
        <v>124</v>
      </c>
      <c r="J575" s="6" t="s">
        <v>1390</v>
      </c>
    </row>
    <row r="576" spans="1:10">
      <c r="A576" s="6" t="s">
        <v>43</v>
      </c>
      <c r="B576" s="6" t="s">
        <v>555</v>
      </c>
      <c r="C576" s="6" t="s">
        <v>2440</v>
      </c>
      <c r="D576" s="10" t="s">
        <v>2441</v>
      </c>
      <c r="E576" s="6" t="s">
        <v>2442</v>
      </c>
      <c r="F576" s="6" t="s">
        <v>1397</v>
      </c>
      <c r="G576" s="6" t="s">
        <v>2394</v>
      </c>
      <c r="H576" s="6" t="s">
        <v>1425</v>
      </c>
      <c r="I576" s="6" t="s">
        <v>124</v>
      </c>
      <c r="J576" s="6" t="s">
        <v>1390</v>
      </c>
    </row>
    <row r="577" spans="1:10">
      <c r="A577" s="6" t="s">
        <v>43</v>
      </c>
      <c r="B577" s="6" t="s">
        <v>555</v>
      </c>
      <c r="C577" s="6" t="s">
        <v>2440</v>
      </c>
      <c r="D577" s="10" t="s">
        <v>2443</v>
      </c>
      <c r="E577" s="6" t="s">
        <v>2444</v>
      </c>
      <c r="F577" s="6" t="s">
        <v>1397</v>
      </c>
      <c r="G577" s="6" t="s">
        <v>2394</v>
      </c>
      <c r="H577" s="6" t="s">
        <v>1425</v>
      </c>
      <c r="I577" s="6" t="s">
        <v>124</v>
      </c>
      <c r="J577" s="6" t="s">
        <v>1390</v>
      </c>
    </row>
    <row r="578" spans="1:10">
      <c r="A578" s="6" t="s">
        <v>43</v>
      </c>
      <c r="B578" s="6" t="s">
        <v>555</v>
      </c>
      <c r="C578" s="6" t="s">
        <v>1448</v>
      </c>
      <c r="D578" s="10" t="s">
        <v>2445</v>
      </c>
      <c r="E578" s="6" t="s">
        <v>2419</v>
      </c>
      <c r="F578" s="6" t="s">
        <v>1397</v>
      </c>
      <c r="G578" s="6" t="s">
        <v>2446</v>
      </c>
      <c r="H578" s="6" t="s">
        <v>1425</v>
      </c>
      <c r="I578" s="6" t="s">
        <v>124</v>
      </c>
      <c r="J578" s="6" t="s">
        <v>1390</v>
      </c>
    </row>
    <row r="579" spans="1:10">
      <c r="A579" s="6" t="s">
        <v>43</v>
      </c>
      <c r="B579" s="6" t="s">
        <v>555</v>
      </c>
      <c r="C579" s="6" t="s">
        <v>1448</v>
      </c>
      <c r="D579" s="10" t="s">
        <v>2447</v>
      </c>
      <c r="E579" s="6" t="s">
        <v>2419</v>
      </c>
      <c r="F579" s="6" t="s">
        <v>1397</v>
      </c>
      <c r="G579" s="6" t="s">
        <v>2448</v>
      </c>
      <c r="H579" s="6" t="s">
        <v>1425</v>
      </c>
      <c r="I579" s="6" t="s">
        <v>124</v>
      </c>
      <c r="J579" s="6" t="s">
        <v>1390</v>
      </c>
    </row>
    <row r="580" spans="1:10">
      <c r="A580" s="6" t="s">
        <v>43</v>
      </c>
      <c r="B580" s="6" t="s">
        <v>555</v>
      </c>
      <c r="C580" s="6" t="s">
        <v>1448</v>
      </c>
      <c r="D580" s="10" t="s">
        <v>2449</v>
      </c>
      <c r="E580" s="6" t="s">
        <v>2419</v>
      </c>
      <c r="F580" s="6" t="s">
        <v>1397</v>
      </c>
      <c r="G580" s="6" t="s">
        <v>2450</v>
      </c>
      <c r="H580" s="6" t="s">
        <v>1425</v>
      </c>
      <c r="I580" s="6" t="s">
        <v>124</v>
      </c>
      <c r="J580" s="6" t="s">
        <v>1390</v>
      </c>
    </row>
    <row r="581" spans="1:10">
      <c r="A581" s="6" t="s">
        <v>43</v>
      </c>
      <c r="B581" s="6" t="s">
        <v>555</v>
      </c>
      <c r="C581" s="6" t="s">
        <v>1448</v>
      </c>
      <c r="D581" s="10" t="s">
        <v>2451</v>
      </c>
      <c r="E581" s="6" t="s">
        <v>2419</v>
      </c>
      <c r="F581" s="6" t="s">
        <v>1397</v>
      </c>
      <c r="G581" s="6" t="s">
        <v>2452</v>
      </c>
      <c r="H581" s="6" t="s">
        <v>1425</v>
      </c>
      <c r="I581" s="6" t="s">
        <v>124</v>
      </c>
      <c r="J581" s="6" t="s">
        <v>1390</v>
      </c>
    </row>
    <row r="582" spans="1:10">
      <c r="A582" s="6" t="s">
        <v>43</v>
      </c>
      <c r="B582" s="6" t="s">
        <v>555</v>
      </c>
      <c r="C582" s="6" t="s">
        <v>1448</v>
      </c>
      <c r="D582" s="10" t="s">
        <v>2446</v>
      </c>
      <c r="E582" s="6" t="s">
        <v>2453</v>
      </c>
      <c r="F582" s="6" t="s">
        <v>1397</v>
      </c>
      <c r="G582" s="6" t="s">
        <v>1046</v>
      </c>
      <c r="H582" s="6" t="s">
        <v>1389</v>
      </c>
      <c r="I582" s="6" t="s">
        <v>124</v>
      </c>
      <c r="J582" s="6" t="s">
        <v>1390</v>
      </c>
    </row>
    <row r="583" spans="1:10">
      <c r="A583" s="6" t="s">
        <v>43</v>
      </c>
      <c r="B583" s="6" t="s">
        <v>555</v>
      </c>
      <c r="C583" s="6" t="s">
        <v>1448</v>
      </c>
      <c r="D583" s="10" t="s">
        <v>2448</v>
      </c>
      <c r="E583" s="6" t="s">
        <v>2454</v>
      </c>
      <c r="F583" s="6" t="s">
        <v>1397</v>
      </c>
      <c r="G583" s="6" t="s">
        <v>1046</v>
      </c>
      <c r="H583" s="6" t="s">
        <v>1389</v>
      </c>
      <c r="I583" s="6" t="s">
        <v>124</v>
      </c>
      <c r="J583" s="6" t="s">
        <v>1390</v>
      </c>
    </row>
    <row r="584" spans="1:10">
      <c r="A584" s="6" t="s">
        <v>43</v>
      </c>
      <c r="B584" s="6" t="s">
        <v>555</v>
      </c>
      <c r="C584" s="6" t="s">
        <v>1448</v>
      </c>
      <c r="D584" s="10" t="s">
        <v>2450</v>
      </c>
      <c r="E584" s="6" t="s">
        <v>2455</v>
      </c>
      <c r="F584" s="6" t="s">
        <v>1397</v>
      </c>
      <c r="G584" s="6" t="s">
        <v>1046</v>
      </c>
      <c r="H584" s="6" t="s">
        <v>1389</v>
      </c>
      <c r="I584" s="6" t="s">
        <v>124</v>
      </c>
      <c r="J584" s="6" t="s">
        <v>1390</v>
      </c>
    </row>
    <row r="585" spans="1:10">
      <c r="A585" s="6" t="s">
        <v>43</v>
      </c>
      <c r="B585" s="6" t="s">
        <v>555</v>
      </c>
      <c r="C585" s="6" t="s">
        <v>1448</v>
      </c>
      <c r="D585" s="10" t="s">
        <v>2452</v>
      </c>
      <c r="E585" s="6" t="s">
        <v>2456</v>
      </c>
      <c r="F585" s="6" t="s">
        <v>1397</v>
      </c>
      <c r="G585" s="6" t="s">
        <v>1046</v>
      </c>
      <c r="H585" s="6" t="s">
        <v>1389</v>
      </c>
      <c r="I585" s="6" t="s">
        <v>124</v>
      </c>
      <c r="J585" s="6" t="s">
        <v>1390</v>
      </c>
    </row>
    <row r="586" spans="1:10">
      <c r="A586" s="6" t="s">
        <v>43</v>
      </c>
      <c r="B586" s="6" t="s">
        <v>555</v>
      </c>
      <c r="C586" s="6" t="s">
        <v>1448</v>
      </c>
      <c r="D586" s="10" t="s">
        <v>2457</v>
      </c>
      <c r="E586" s="6" t="s">
        <v>1452</v>
      </c>
      <c r="F586" s="6" t="s">
        <v>1397</v>
      </c>
      <c r="G586" s="6" t="s">
        <v>1046</v>
      </c>
      <c r="H586" s="6" t="s">
        <v>1389</v>
      </c>
      <c r="I586" s="6" t="s">
        <v>124</v>
      </c>
      <c r="J586" s="6" t="s">
        <v>1390</v>
      </c>
    </row>
    <row r="587" spans="1:10">
      <c r="A587" s="6" t="s">
        <v>43</v>
      </c>
      <c r="B587" s="6" t="s">
        <v>555</v>
      </c>
      <c r="C587" s="6" t="s">
        <v>1448</v>
      </c>
      <c r="D587" s="10" t="s">
        <v>2458</v>
      </c>
      <c r="E587" s="6" t="s">
        <v>2459</v>
      </c>
      <c r="F587" s="6" t="s">
        <v>1397</v>
      </c>
      <c r="G587" s="6" t="s">
        <v>1046</v>
      </c>
      <c r="H587" s="6" t="s">
        <v>1389</v>
      </c>
      <c r="I587" s="6" t="s">
        <v>124</v>
      </c>
      <c r="J587" s="6" t="s">
        <v>1390</v>
      </c>
    </row>
    <row r="588" spans="1:10">
      <c r="A588" s="6" t="s">
        <v>43</v>
      </c>
      <c r="B588" s="6" t="s">
        <v>555</v>
      </c>
      <c r="C588" s="6" t="s">
        <v>1448</v>
      </c>
      <c r="D588" s="10" t="s">
        <v>2460</v>
      </c>
      <c r="E588" s="6" t="s">
        <v>1452</v>
      </c>
      <c r="F588" s="6" t="s">
        <v>1397</v>
      </c>
      <c r="G588" s="6" t="s">
        <v>1046</v>
      </c>
      <c r="H588" s="6" t="s">
        <v>1389</v>
      </c>
      <c r="I588" s="6" t="s">
        <v>124</v>
      </c>
      <c r="J588" s="6" t="s">
        <v>1390</v>
      </c>
    </row>
    <row r="589" spans="1:10">
      <c r="A589" s="6" t="s">
        <v>43</v>
      </c>
      <c r="B589" s="6" t="s">
        <v>555</v>
      </c>
      <c r="C589" s="6" t="s">
        <v>199</v>
      </c>
      <c r="D589" s="10" t="s">
        <v>2461</v>
      </c>
      <c r="E589" s="6" t="s">
        <v>2462</v>
      </c>
      <c r="F589" s="6" t="s">
        <v>1397</v>
      </c>
      <c r="G589" s="6" t="s">
        <v>2463</v>
      </c>
      <c r="H589" s="6" t="s">
        <v>1425</v>
      </c>
      <c r="I589" s="6" t="s">
        <v>124</v>
      </c>
      <c r="J589" s="6" t="s">
        <v>1390</v>
      </c>
    </row>
    <row r="590" spans="1:10">
      <c r="A590" s="6" t="s">
        <v>43</v>
      </c>
      <c r="B590" s="6" t="s">
        <v>555</v>
      </c>
      <c r="C590" s="6" t="s">
        <v>199</v>
      </c>
      <c r="D590" s="10" t="s">
        <v>2464</v>
      </c>
      <c r="E590" s="6" t="s">
        <v>2465</v>
      </c>
      <c r="F590" s="6" t="s">
        <v>1397</v>
      </c>
      <c r="G590" s="6" t="s">
        <v>2466</v>
      </c>
      <c r="H590" s="6" t="s">
        <v>1425</v>
      </c>
      <c r="I590" s="6" t="s">
        <v>124</v>
      </c>
      <c r="J590" s="6" t="s">
        <v>1390</v>
      </c>
    </row>
    <row r="591" spans="1:10">
      <c r="A591" s="6" t="s">
        <v>43</v>
      </c>
      <c r="B591" s="6" t="s">
        <v>555</v>
      </c>
      <c r="C591" s="6" t="s">
        <v>199</v>
      </c>
      <c r="D591" s="10" t="s">
        <v>2467</v>
      </c>
      <c r="E591" s="6" t="s">
        <v>958</v>
      </c>
      <c r="F591" s="6" t="s">
        <v>1397</v>
      </c>
      <c r="G591" s="6" t="s">
        <v>2468</v>
      </c>
      <c r="H591" s="6" t="s">
        <v>1425</v>
      </c>
      <c r="I591" s="6" t="s">
        <v>124</v>
      </c>
      <c r="J591" s="6" t="s">
        <v>1390</v>
      </c>
    </row>
    <row r="592" spans="1:10">
      <c r="A592" s="6" t="s">
        <v>43</v>
      </c>
      <c r="B592" s="6" t="s">
        <v>555</v>
      </c>
      <c r="C592" s="6" t="s">
        <v>199</v>
      </c>
      <c r="D592" s="10" t="s">
        <v>2469</v>
      </c>
      <c r="E592" s="6" t="s">
        <v>2470</v>
      </c>
      <c r="F592" s="6" t="s">
        <v>1397</v>
      </c>
      <c r="G592" s="6" t="s">
        <v>2471</v>
      </c>
      <c r="H592" s="6" t="s">
        <v>1425</v>
      </c>
      <c r="I592" s="6" t="s">
        <v>124</v>
      </c>
      <c r="J592" s="6" t="s">
        <v>1390</v>
      </c>
    </row>
    <row r="593" spans="1:10">
      <c r="A593" s="6" t="s">
        <v>43</v>
      </c>
      <c r="B593" s="6" t="s">
        <v>555</v>
      </c>
      <c r="C593" s="6" t="s">
        <v>199</v>
      </c>
      <c r="D593" s="10" t="s">
        <v>2472</v>
      </c>
      <c r="E593" s="6" t="s">
        <v>2473</v>
      </c>
      <c r="F593" s="6" t="s">
        <v>1397</v>
      </c>
      <c r="G593" s="6" t="s">
        <v>2471</v>
      </c>
      <c r="H593" s="6" t="s">
        <v>1425</v>
      </c>
      <c r="I593" s="6" t="s">
        <v>124</v>
      </c>
      <c r="J593" s="6" t="s">
        <v>1390</v>
      </c>
    </row>
    <row r="594" spans="1:10">
      <c r="A594" s="6" t="s">
        <v>43</v>
      </c>
      <c r="B594" s="6" t="s">
        <v>555</v>
      </c>
      <c r="C594" s="6" t="s">
        <v>199</v>
      </c>
      <c r="D594" s="10" t="s">
        <v>2474</v>
      </c>
      <c r="E594" s="6" t="s">
        <v>2475</v>
      </c>
      <c r="F594" s="6" t="s">
        <v>1397</v>
      </c>
      <c r="G594" s="6" t="s">
        <v>2471</v>
      </c>
      <c r="H594" s="6" t="s">
        <v>1425</v>
      </c>
      <c r="I594" s="6" t="s">
        <v>124</v>
      </c>
      <c r="J594" s="6" t="s">
        <v>1390</v>
      </c>
    </row>
    <row r="595" spans="1:10">
      <c r="A595" s="6" t="s">
        <v>43</v>
      </c>
      <c r="B595" s="6" t="s">
        <v>555</v>
      </c>
      <c r="C595" s="6" t="s">
        <v>199</v>
      </c>
      <c r="D595" s="10" t="s">
        <v>2476</v>
      </c>
      <c r="E595" s="6" t="s">
        <v>2477</v>
      </c>
      <c r="F595" s="6" t="s">
        <v>1397</v>
      </c>
      <c r="G595" s="6" t="s">
        <v>2478</v>
      </c>
      <c r="H595" s="6" t="s">
        <v>1425</v>
      </c>
      <c r="I595" s="6" t="s">
        <v>124</v>
      </c>
      <c r="J595" s="6" t="s">
        <v>1390</v>
      </c>
    </row>
    <row r="596" spans="1:10">
      <c r="A596" s="6" t="s">
        <v>43</v>
      </c>
      <c r="B596" s="6" t="s">
        <v>555</v>
      </c>
      <c r="C596" s="6" t="s">
        <v>199</v>
      </c>
      <c r="D596" s="10" t="s">
        <v>2479</v>
      </c>
      <c r="E596" s="6" t="s">
        <v>2480</v>
      </c>
      <c r="F596" s="6" t="s">
        <v>1397</v>
      </c>
      <c r="G596" s="6" t="s">
        <v>2478</v>
      </c>
      <c r="H596" s="6" t="s">
        <v>1425</v>
      </c>
      <c r="I596" s="6" t="s">
        <v>124</v>
      </c>
      <c r="J596" s="6" t="s">
        <v>1390</v>
      </c>
    </row>
    <row r="597" spans="1:10">
      <c r="A597" s="6" t="s">
        <v>43</v>
      </c>
      <c r="B597" s="6" t="s">
        <v>555</v>
      </c>
      <c r="C597" s="6" t="s">
        <v>199</v>
      </c>
      <c r="D597" s="10" t="s">
        <v>2481</v>
      </c>
      <c r="E597" s="6" t="s">
        <v>2482</v>
      </c>
      <c r="F597" s="6" t="s">
        <v>1388</v>
      </c>
      <c r="G597" s="6" t="s">
        <v>558</v>
      </c>
      <c r="H597" s="6" t="s">
        <v>1389</v>
      </c>
      <c r="I597" s="6" t="s">
        <v>124</v>
      </c>
      <c r="J597" s="6" t="s">
        <v>1390</v>
      </c>
    </row>
    <row r="598" spans="1:10">
      <c r="A598" s="6" t="s">
        <v>43</v>
      </c>
      <c r="B598" s="6" t="s">
        <v>555</v>
      </c>
      <c r="C598" s="6" t="s">
        <v>199</v>
      </c>
      <c r="D598" s="10" t="s">
        <v>2483</v>
      </c>
      <c r="E598" s="6" t="s">
        <v>2484</v>
      </c>
      <c r="F598" s="6" t="s">
        <v>1388</v>
      </c>
      <c r="G598" s="6" t="s">
        <v>558</v>
      </c>
      <c r="H598" s="6" t="s">
        <v>1389</v>
      </c>
      <c r="I598" s="6" t="s">
        <v>124</v>
      </c>
      <c r="J598" s="6" t="s">
        <v>1390</v>
      </c>
    </row>
    <row r="599" spans="1:10">
      <c r="A599" s="6" t="s">
        <v>43</v>
      </c>
      <c r="B599" s="6" t="s">
        <v>555</v>
      </c>
      <c r="C599" s="6" t="s">
        <v>199</v>
      </c>
      <c r="D599" s="10" t="s">
        <v>2485</v>
      </c>
      <c r="E599" s="6" t="s">
        <v>2486</v>
      </c>
      <c r="F599" s="6" t="s">
        <v>1388</v>
      </c>
      <c r="G599" s="6" t="s">
        <v>558</v>
      </c>
      <c r="H599" s="6" t="s">
        <v>1389</v>
      </c>
      <c r="I599" s="6" t="s">
        <v>124</v>
      </c>
      <c r="J599" s="6" t="s">
        <v>1390</v>
      </c>
    </row>
    <row r="600" spans="1:10">
      <c r="A600" s="6" t="s">
        <v>43</v>
      </c>
      <c r="B600" s="6" t="s">
        <v>555</v>
      </c>
      <c r="C600" s="6" t="s">
        <v>199</v>
      </c>
      <c r="D600" s="10" t="s">
        <v>2487</v>
      </c>
      <c r="E600" s="6" t="s">
        <v>2488</v>
      </c>
      <c r="F600" s="6" t="s">
        <v>1397</v>
      </c>
      <c r="G600" s="6" t="s">
        <v>2466</v>
      </c>
      <c r="H600" s="6" t="s">
        <v>1425</v>
      </c>
      <c r="I600" s="6" t="s">
        <v>124</v>
      </c>
      <c r="J600" s="6" t="s">
        <v>1390</v>
      </c>
    </row>
    <row r="601" spans="1:10">
      <c r="A601" s="6" t="s">
        <v>43</v>
      </c>
      <c r="B601" s="6" t="s">
        <v>555</v>
      </c>
      <c r="C601" s="6" t="s">
        <v>199</v>
      </c>
      <c r="D601" s="10" t="s">
        <v>2489</v>
      </c>
      <c r="E601" s="6" t="s">
        <v>2490</v>
      </c>
      <c r="F601" s="6" t="s">
        <v>1397</v>
      </c>
      <c r="G601" s="6" t="s">
        <v>2491</v>
      </c>
      <c r="H601" s="6" t="s">
        <v>1425</v>
      </c>
      <c r="I601" s="6" t="s">
        <v>124</v>
      </c>
      <c r="J601" s="6" t="s">
        <v>1390</v>
      </c>
    </row>
    <row r="602" spans="1:10">
      <c r="A602" s="6" t="s">
        <v>43</v>
      </c>
      <c r="B602" s="6" t="s">
        <v>555</v>
      </c>
      <c r="C602" s="6" t="s">
        <v>199</v>
      </c>
      <c r="D602" s="10" t="s">
        <v>2492</v>
      </c>
      <c r="E602" s="6" t="s">
        <v>2493</v>
      </c>
      <c r="F602" s="6" t="s">
        <v>1397</v>
      </c>
      <c r="G602" s="6" t="s">
        <v>2491</v>
      </c>
      <c r="H602" s="6" t="s">
        <v>1425</v>
      </c>
      <c r="I602" s="6" t="s">
        <v>124</v>
      </c>
      <c r="J602" s="6" t="s">
        <v>1390</v>
      </c>
    </row>
    <row r="603" spans="1:10">
      <c r="A603" s="6" t="s">
        <v>43</v>
      </c>
      <c r="B603" s="6" t="s">
        <v>555</v>
      </c>
      <c r="C603" s="6" t="s">
        <v>199</v>
      </c>
      <c r="D603" s="10" t="s">
        <v>2494</v>
      </c>
      <c r="E603" s="6" t="s">
        <v>2495</v>
      </c>
      <c r="F603" s="6" t="s">
        <v>1397</v>
      </c>
      <c r="G603" s="6" t="s">
        <v>2491</v>
      </c>
      <c r="H603" s="6" t="s">
        <v>1425</v>
      </c>
      <c r="I603" s="6" t="s">
        <v>124</v>
      </c>
      <c r="J603" s="6" t="s">
        <v>1390</v>
      </c>
    </row>
    <row r="604" spans="1:10">
      <c r="A604" s="6" t="s">
        <v>43</v>
      </c>
      <c r="B604" s="6" t="s">
        <v>555</v>
      </c>
      <c r="C604" s="6" t="s">
        <v>199</v>
      </c>
      <c r="D604" s="10" t="s">
        <v>2496</v>
      </c>
      <c r="E604" s="6" t="s">
        <v>2419</v>
      </c>
      <c r="F604" s="6" t="s">
        <v>1397</v>
      </c>
      <c r="G604" s="6" t="s">
        <v>2463</v>
      </c>
      <c r="H604" s="6" t="s">
        <v>1425</v>
      </c>
      <c r="I604" s="6" t="s">
        <v>124</v>
      </c>
      <c r="J604" s="6" t="s">
        <v>1390</v>
      </c>
    </row>
    <row r="605" spans="1:10">
      <c r="A605" s="6" t="s">
        <v>43</v>
      </c>
      <c r="B605" s="6" t="s">
        <v>555</v>
      </c>
      <c r="C605" s="6" t="s">
        <v>199</v>
      </c>
      <c r="D605" s="10" t="s">
        <v>2497</v>
      </c>
      <c r="E605" s="6" t="s">
        <v>2419</v>
      </c>
      <c r="F605" s="6" t="s">
        <v>1397</v>
      </c>
      <c r="G605" s="6" t="s">
        <v>2466</v>
      </c>
      <c r="H605" s="6" t="s">
        <v>1425</v>
      </c>
      <c r="I605" s="6" t="s">
        <v>124</v>
      </c>
      <c r="J605" s="6" t="s">
        <v>1390</v>
      </c>
    </row>
    <row r="606" spans="1:10">
      <c r="A606" s="6" t="s">
        <v>43</v>
      </c>
      <c r="B606" s="6" t="s">
        <v>555</v>
      </c>
      <c r="C606" s="6" t="s">
        <v>199</v>
      </c>
      <c r="D606" s="10" t="s">
        <v>2498</v>
      </c>
      <c r="E606" s="6" t="s">
        <v>2419</v>
      </c>
      <c r="F606" s="6" t="s">
        <v>1397</v>
      </c>
      <c r="G606" s="6" t="s">
        <v>2468</v>
      </c>
      <c r="H606" s="6" t="s">
        <v>1425</v>
      </c>
      <c r="I606" s="6" t="s">
        <v>124</v>
      </c>
      <c r="J606" s="6" t="s">
        <v>1390</v>
      </c>
    </row>
    <row r="607" spans="1:10">
      <c r="A607" s="6" t="s">
        <v>43</v>
      </c>
      <c r="B607" s="6" t="s">
        <v>555</v>
      </c>
      <c r="C607" s="6" t="s">
        <v>199</v>
      </c>
      <c r="D607" s="10" t="s">
        <v>2499</v>
      </c>
      <c r="E607" s="6" t="s">
        <v>2419</v>
      </c>
      <c r="F607" s="6" t="s">
        <v>1397</v>
      </c>
      <c r="G607" s="6" t="s">
        <v>2478</v>
      </c>
      <c r="H607" s="6" t="s">
        <v>1425</v>
      </c>
      <c r="I607" s="6" t="s">
        <v>124</v>
      </c>
      <c r="J607" s="6" t="s">
        <v>1390</v>
      </c>
    </row>
    <row r="608" spans="1:10">
      <c r="A608" s="6" t="s">
        <v>43</v>
      </c>
      <c r="B608" s="6" t="s">
        <v>555</v>
      </c>
      <c r="C608" s="6" t="s">
        <v>199</v>
      </c>
      <c r="D608" s="10" t="s">
        <v>2500</v>
      </c>
      <c r="E608" s="6" t="s">
        <v>2419</v>
      </c>
      <c r="F608" s="6" t="s">
        <v>1397</v>
      </c>
      <c r="G608" s="6" t="s">
        <v>1167</v>
      </c>
      <c r="H608" s="6" t="s">
        <v>1389</v>
      </c>
      <c r="I608" s="6" t="s">
        <v>124</v>
      </c>
      <c r="J608" s="6" t="s">
        <v>1390</v>
      </c>
    </row>
    <row r="609" spans="1:10">
      <c r="A609" s="6" t="s">
        <v>43</v>
      </c>
      <c r="B609" s="6" t="s">
        <v>555</v>
      </c>
      <c r="C609" s="6" t="s">
        <v>199</v>
      </c>
      <c r="D609" s="10" t="s">
        <v>2471</v>
      </c>
      <c r="E609" s="6" t="s">
        <v>2470</v>
      </c>
      <c r="F609" s="6" t="s">
        <v>1397</v>
      </c>
      <c r="G609" s="6" t="s">
        <v>1046</v>
      </c>
      <c r="H609" s="6" t="s">
        <v>1389</v>
      </c>
      <c r="I609" s="6" t="s">
        <v>124</v>
      </c>
      <c r="J609" s="6" t="s">
        <v>1390</v>
      </c>
    </row>
    <row r="610" spans="1:10">
      <c r="A610" s="6" t="s">
        <v>43</v>
      </c>
      <c r="B610" s="6" t="s">
        <v>555</v>
      </c>
      <c r="C610" s="6" t="s">
        <v>199</v>
      </c>
      <c r="D610" s="10" t="s">
        <v>2463</v>
      </c>
      <c r="E610" s="6" t="s">
        <v>2501</v>
      </c>
      <c r="F610" s="6" t="s">
        <v>1397</v>
      </c>
      <c r="G610" s="6" t="s">
        <v>1046</v>
      </c>
      <c r="H610" s="6" t="s">
        <v>1389</v>
      </c>
      <c r="I610" s="6" t="s">
        <v>124</v>
      </c>
      <c r="J610" s="6" t="s">
        <v>1390</v>
      </c>
    </row>
    <row r="611" spans="1:10">
      <c r="A611" s="6" t="s">
        <v>43</v>
      </c>
      <c r="B611" s="6" t="s">
        <v>555</v>
      </c>
      <c r="C611" s="6" t="s">
        <v>199</v>
      </c>
      <c r="D611" s="10" t="s">
        <v>2502</v>
      </c>
      <c r="E611" s="6" t="s">
        <v>2503</v>
      </c>
      <c r="F611" s="6" t="s">
        <v>1397</v>
      </c>
      <c r="G611" s="6" t="s">
        <v>2468</v>
      </c>
      <c r="H611" s="6" t="s">
        <v>1425</v>
      </c>
      <c r="I611" s="6" t="s">
        <v>124</v>
      </c>
      <c r="J611" s="6" t="s">
        <v>1390</v>
      </c>
    </row>
    <row r="612" spans="1:10">
      <c r="A612" s="6" t="s">
        <v>43</v>
      </c>
      <c r="B612" s="6" t="s">
        <v>555</v>
      </c>
      <c r="C612" s="6" t="s">
        <v>199</v>
      </c>
      <c r="D612" s="10" t="s">
        <v>2466</v>
      </c>
      <c r="E612" s="6" t="s">
        <v>2504</v>
      </c>
      <c r="F612" s="6" t="s">
        <v>1397</v>
      </c>
      <c r="G612" s="6" t="s">
        <v>1046</v>
      </c>
      <c r="H612" s="6" t="s">
        <v>1389</v>
      </c>
      <c r="I612" s="6" t="s">
        <v>124</v>
      </c>
      <c r="J612" s="6" t="s">
        <v>1390</v>
      </c>
    </row>
    <row r="613" spans="1:10">
      <c r="A613" s="6" t="s">
        <v>43</v>
      </c>
      <c r="B613" s="6" t="s">
        <v>555</v>
      </c>
      <c r="C613" s="6" t="s">
        <v>199</v>
      </c>
      <c r="D613" s="10" t="s">
        <v>2468</v>
      </c>
      <c r="E613" s="6" t="s">
        <v>2505</v>
      </c>
      <c r="F613" s="6" t="s">
        <v>1397</v>
      </c>
      <c r="G613" s="6" t="s">
        <v>1046</v>
      </c>
      <c r="H613" s="6" t="s">
        <v>1389</v>
      </c>
      <c r="I613" s="6" t="s">
        <v>124</v>
      </c>
      <c r="J613" s="6" t="s">
        <v>1390</v>
      </c>
    </row>
    <row r="614" spans="1:10">
      <c r="A614" s="6" t="s">
        <v>43</v>
      </c>
      <c r="B614" s="6" t="s">
        <v>555</v>
      </c>
      <c r="C614" s="6" t="s">
        <v>199</v>
      </c>
      <c r="D614" s="10" t="s">
        <v>2478</v>
      </c>
      <c r="E614" s="6" t="s">
        <v>2506</v>
      </c>
      <c r="F614" s="6" t="s">
        <v>1397</v>
      </c>
      <c r="G614" s="6" t="s">
        <v>1046</v>
      </c>
      <c r="H614" s="6" t="s">
        <v>1389</v>
      </c>
      <c r="I614" s="6" t="s">
        <v>124</v>
      </c>
      <c r="J614" s="6" t="s">
        <v>1390</v>
      </c>
    </row>
    <row r="615" spans="1:10">
      <c r="A615" s="6" t="s">
        <v>43</v>
      </c>
      <c r="B615" s="6" t="s">
        <v>555</v>
      </c>
      <c r="C615" s="6" t="s">
        <v>199</v>
      </c>
      <c r="D615" s="10" t="s">
        <v>2507</v>
      </c>
      <c r="E615" s="6" t="s">
        <v>2508</v>
      </c>
      <c r="F615" s="6" t="s">
        <v>1397</v>
      </c>
      <c r="G615" s="6" t="s">
        <v>1046</v>
      </c>
      <c r="H615" s="6" t="s">
        <v>1389</v>
      </c>
      <c r="I615" s="6" t="s">
        <v>124</v>
      </c>
      <c r="J615" s="6" t="s">
        <v>1390</v>
      </c>
    </row>
    <row r="616" spans="1:10">
      <c r="A616" s="6" t="s">
        <v>43</v>
      </c>
      <c r="B616" s="6" t="s">
        <v>555</v>
      </c>
      <c r="C616" s="6" t="s">
        <v>199</v>
      </c>
      <c r="D616" s="10" t="s">
        <v>2509</v>
      </c>
      <c r="E616" s="6" t="s">
        <v>2510</v>
      </c>
      <c r="F616" s="6" t="s">
        <v>1397</v>
      </c>
      <c r="G616" s="6" t="s">
        <v>1046</v>
      </c>
      <c r="H616" s="6" t="s">
        <v>1389</v>
      </c>
      <c r="I616" s="6" t="s">
        <v>124</v>
      </c>
      <c r="J616" s="6" t="s">
        <v>1390</v>
      </c>
    </row>
    <row r="617" spans="1:10">
      <c r="A617" s="6" t="s">
        <v>43</v>
      </c>
      <c r="B617" s="6" t="s">
        <v>555</v>
      </c>
      <c r="C617" s="6" t="s">
        <v>199</v>
      </c>
      <c r="D617" s="10" t="s">
        <v>2511</v>
      </c>
      <c r="E617" s="6" t="s">
        <v>2512</v>
      </c>
      <c r="F617" s="6" t="s">
        <v>1397</v>
      </c>
      <c r="G617" s="6" t="s">
        <v>1046</v>
      </c>
      <c r="H617" s="6" t="s">
        <v>1389</v>
      </c>
      <c r="I617" s="6" t="s">
        <v>124</v>
      </c>
      <c r="J617" s="6" t="s">
        <v>1390</v>
      </c>
    </row>
    <row r="618" spans="1:10">
      <c r="A618" s="6" t="s">
        <v>43</v>
      </c>
      <c r="B618" s="6" t="s">
        <v>555</v>
      </c>
      <c r="C618" s="6" t="s">
        <v>199</v>
      </c>
      <c r="D618" s="10" t="s">
        <v>2513</v>
      </c>
      <c r="E618" s="6" t="s">
        <v>2514</v>
      </c>
      <c r="F618" s="6" t="s">
        <v>1397</v>
      </c>
      <c r="G618" s="6" t="s">
        <v>1046</v>
      </c>
      <c r="H618" s="6" t="s">
        <v>1389</v>
      </c>
      <c r="I618" s="6" t="s">
        <v>124</v>
      </c>
      <c r="J618" s="6" t="s">
        <v>1390</v>
      </c>
    </row>
    <row r="619" spans="1:10">
      <c r="A619" s="6" t="s">
        <v>43</v>
      </c>
      <c r="B619" s="6" t="s">
        <v>555</v>
      </c>
      <c r="C619" s="6" t="s">
        <v>199</v>
      </c>
      <c r="D619" s="10" t="s">
        <v>2515</v>
      </c>
      <c r="E619" s="6" t="s">
        <v>2516</v>
      </c>
      <c r="F619" s="6" t="s">
        <v>1397</v>
      </c>
      <c r="G619" s="6" t="s">
        <v>1046</v>
      </c>
      <c r="H619" s="6" t="s">
        <v>1389</v>
      </c>
      <c r="I619" s="6" t="s">
        <v>124</v>
      </c>
      <c r="J619" s="6" t="s">
        <v>1390</v>
      </c>
    </row>
    <row r="620" spans="1:10">
      <c r="A620" s="6" t="s">
        <v>43</v>
      </c>
      <c r="B620" s="6" t="s">
        <v>555</v>
      </c>
      <c r="C620" s="6" t="s">
        <v>199</v>
      </c>
      <c r="D620" s="10" t="s">
        <v>2517</v>
      </c>
      <c r="E620" s="6" t="s">
        <v>2518</v>
      </c>
      <c r="F620" s="6" t="s">
        <v>1397</v>
      </c>
      <c r="G620" s="6" t="s">
        <v>1046</v>
      </c>
      <c r="H620" s="6" t="s">
        <v>1389</v>
      </c>
      <c r="I620" s="6" t="s">
        <v>124</v>
      </c>
      <c r="J620" s="6" t="s">
        <v>1390</v>
      </c>
    </row>
    <row r="621" spans="1:10">
      <c r="A621" s="6" t="s">
        <v>43</v>
      </c>
      <c r="B621" s="6" t="s">
        <v>555</v>
      </c>
      <c r="C621" s="6" t="s">
        <v>199</v>
      </c>
      <c r="D621" s="10" t="s">
        <v>1167</v>
      </c>
      <c r="E621" s="6" t="s">
        <v>958</v>
      </c>
      <c r="F621" s="6" t="s">
        <v>1397</v>
      </c>
      <c r="G621" s="6" t="s">
        <v>1046</v>
      </c>
      <c r="H621" s="6" t="s">
        <v>1389</v>
      </c>
      <c r="I621" s="6" t="s">
        <v>715</v>
      </c>
      <c r="J621" s="6" t="s">
        <v>1390</v>
      </c>
    </row>
    <row r="622" spans="1:10">
      <c r="A622" s="6" t="s">
        <v>43</v>
      </c>
      <c r="B622" s="6" t="s">
        <v>555</v>
      </c>
      <c r="C622" s="6" t="s">
        <v>199</v>
      </c>
      <c r="D622" s="10" t="s">
        <v>2519</v>
      </c>
      <c r="E622" s="6" t="s">
        <v>2520</v>
      </c>
      <c r="F622" s="6" t="s">
        <v>1397</v>
      </c>
      <c r="G622" s="6" t="s">
        <v>1046</v>
      </c>
      <c r="H622" s="6" t="s">
        <v>1389</v>
      </c>
      <c r="I622" s="6" t="s">
        <v>124</v>
      </c>
      <c r="J622" s="6" t="s">
        <v>1390</v>
      </c>
    </row>
    <row r="623" spans="1:10">
      <c r="A623" s="6" t="s">
        <v>43</v>
      </c>
      <c r="B623" s="6" t="s">
        <v>555</v>
      </c>
      <c r="C623" s="6" t="s">
        <v>199</v>
      </c>
      <c r="D623" s="10" t="s">
        <v>2521</v>
      </c>
      <c r="E623" s="6" t="s">
        <v>2522</v>
      </c>
      <c r="F623" s="6" t="s">
        <v>1397</v>
      </c>
      <c r="G623" s="6" t="s">
        <v>1046</v>
      </c>
      <c r="H623" s="6" t="s">
        <v>1389</v>
      </c>
      <c r="I623" s="6" t="s">
        <v>124</v>
      </c>
      <c r="J623" s="6" t="s">
        <v>1390</v>
      </c>
    </row>
    <row r="624" spans="1:10">
      <c r="A624" s="6" t="s">
        <v>43</v>
      </c>
      <c r="B624" s="6" t="s">
        <v>555</v>
      </c>
      <c r="C624" s="6" t="s">
        <v>1458</v>
      </c>
      <c r="D624" s="10" t="s">
        <v>2523</v>
      </c>
      <c r="E624" s="6" t="s">
        <v>2524</v>
      </c>
      <c r="F624" s="6" t="s">
        <v>1397</v>
      </c>
      <c r="G624" s="6" t="s">
        <v>2365</v>
      </c>
      <c r="H624" s="6" t="s">
        <v>1425</v>
      </c>
      <c r="I624" s="6" t="s">
        <v>124</v>
      </c>
      <c r="J624" s="6" t="s">
        <v>1390</v>
      </c>
    </row>
    <row r="625" spans="1:10">
      <c r="A625" s="6" t="s">
        <v>43</v>
      </c>
      <c r="B625" s="6" t="s">
        <v>555</v>
      </c>
      <c r="C625" s="6" t="s">
        <v>1458</v>
      </c>
      <c r="D625" s="10" t="s">
        <v>2525</v>
      </c>
      <c r="E625" s="6" t="s">
        <v>2526</v>
      </c>
      <c r="F625" s="6" t="s">
        <v>1397</v>
      </c>
      <c r="G625" s="6" t="s">
        <v>2365</v>
      </c>
      <c r="H625" s="6" t="s">
        <v>1425</v>
      </c>
      <c r="I625" s="6" t="s">
        <v>124</v>
      </c>
      <c r="J625" s="6" t="s">
        <v>1390</v>
      </c>
    </row>
    <row r="626" spans="1:10">
      <c r="A626" s="6" t="s">
        <v>43</v>
      </c>
      <c r="B626" s="6" t="s">
        <v>555</v>
      </c>
      <c r="C626" s="6" t="s">
        <v>1458</v>
      </c>
      <c r="D626" s="10" t="s">
        <v>2527</v>
      </c>
      <c r="E626" s="6" t="s">
        <v>2528</v>
      </c>
      <c r="F626" s="6" t="s">
        <v>1397</v>
      </c>
      <c r="G626" s="6" t="s">
        <v>2365</v>
      </c>
      <c r="H626" s="6" t="s">
        <v>1425</v>
      </c>
      <c r="I626" s="6" t="s">
        <v>124</v>
      </c>
      <c r="J626" s="6" t="s">
        <v>1390</v>
      </c>
    </row>
    <row r="627" spans="1:10">
      <c r="A627" s="6" t="s">
        <v>43</v>
      </c>
      <c r="B627" s="6" t="s">
        <v>555</v>
      </c>
      <c r="C627" s="6" t="s">
        <v>1458</v>
      </c>
      <c r="D627" s="10" t="s">
        <v>2529</v>
      </c>
      <c r="E627" s="6" t="s">
        <v>2530</v>
      </c>
      <c r="F627" s="6" t="s">
        <v>1397</v>
      </c>
      <c r="G627" s="6" t="s">
        <v>2365</v>
      </c>
      <c r="H627" s="6" t="s">
        <v>1425</v>
      </c>
      <c r="I627" s="6" t="s">
        <v>124</v>
      </c>
      <c r="J627" s="6" t="s">
        <v>1390</v>
      </c>
    </row>
    <row r="628" spans="1:10">
      <c r="A628" s="6" t="s">
        <v>43</v>
      </c>
      <c r="B628" s="6" t="s">
        <v>555</v>
      </c>
      <c r="C628" s="6" t="s">
        <v>1458</v>
      </c>
      <c r="D628" s="10" t="s">
        <v>2531</v>
      </c>
      <c r="E628" s="6" t="s">
        <v>2532</v>
      </c>
      <c r="F628" s="6" t="s">
        <v>1397</v>
      </c>
      <c r="G628" s="6" t="s">
        <v>2533</v>
      </c>
      <c r="H628" s="6" t="s">
        <v>1425</v>
      </c>
      <c r="I628" s="6" t="s">
        <v>124</v>
      </c>
      <c r="J628" s="6" t="s">
        <v>1390</v>
      </c>
    </row>
    <row r="629" spans="1:10">
      <c r="A629" s="6" t="s">
        <v>43</v>
      </c>
      <c r="B629" s="6" t="s">
        <v>555</v>
      </c>
      <c r="C629" s="6" t="s">
        <v>1458</v>
      </c>
      <c r="D629" s="10" t="s">
        <v>2534</v>
      </c>
      <c r="E629" s="6" t="s">
        <v>1490</v>
      </c>
      <c r="F629" s="6" t="s">
        <v>1397</v>
      </c>
      <c r="G629" s="6" t="s">
        <v>1046</v>
      </c>
      <c r="H629" s="6" t="s">
        <v>1389</v>
      </c>
      <c r="I629" s="6" t="s">
        <v>124</v>
      </c>
      <c r="J629" s="6" t="s">
        <v>1390</v>
      </c>
    </row>
    <row r="630" spans="1:10">
      <c r="A630" s="6" t="s">
        <v>43</v>
      </c>
      <c r="B630" s="6" t="s">
        <v>555</v>
      </c>
      <c r="C630" s="6" t="s">
        <v>1458</v>
      </c>
      <c r="D630" s="10" t="s">
        <v>1143</v>
      </c>
      <c r="E630" s="6" t="s">
        <v>2535</v>
      </c>
      <c r="F630" s="6" t="s">
        <v>1397</v>
      </c>
      <c r="G630" s="6" t="s">
        <v>1046</v>
      </c>
      <c r="H630" s="6" t="s">
        <v>1389</v>
      </c>
      <c r="I630" s="6" t="s">
        <v>715</v>
      </c>
      <c r="J630" s="6" t="s">
        <v>1390</v>
      </c>
    </row>
    <row r="631" spans="1:10">
      <c r="A631" s="6" t="s">
        <v>43</v>
      </c>
      <c r="B631" s="6" t="s">
        <v>555</v>
      </c>
      <c r="C631" s="6" t="s">
        <v>1458</v>
      </c>
      <c r="D631" s="10" t="s">
        <v>2536</v>
      </c>
      <c r="E631" s="6" t="s">
        <v>2537</v>
      </c>
      <c r="F631" s="6" t="s">
        <v>1397</v>
      </c>
      <c r="G631" s="6" t="s">
        <v>1046</v>
      </c>
      <c r="H631" s="6" t="s">
        <v>1389</v>
      </c>
      <c r="I631" s="6" t="s">
        <v>124</v>
      </c>
      <c r="J631" s="6" t="s">
        <v>1390</v>
      </c>
    </row>
    <row r="632" spans="1:10">
      <c r="A632" s="6" t="s">
        <v>43</v>
      </c>
      <c r="B632" s="6" t="s">
        <v>555</v>
      </c>
      <c r="C632" s="6" t="s">
        <v>1458</v>
      </c>
      <c r="D632" s="10" t="s">
        <v>2538</v>
      </c>
      <c r="E632" s="6" t="s">
        <v>2539</v>
      </c>
      <c r="F632" s="6" t="s">
        <v>1397</v>
      </c>
      <c r="G632" s="6" t="s">
        <v>1046</v>
      </c>
      <c r="H632" s="6" t="s">
        <v>1389</v>
      </c>
      <c r="I632" s="6" t="s">
        <v>124</v>
      </c>
      <c r="J632" s="6" t="s">
        <v>1390</v>
      </c>
    </row>
    <row r="633" spans="1:10">
      <c r="A633" s="6" t="s">
        <v>43</v>
      </c>
      <c r="B633" s="6" t="s">
        <v>555</v>
      </c>
      <c r="C633" s="6" t="s">
        <v>1458</v>
      </c>
      <c r="D633" s="10" t="s">
        <v>1147</v>
      </c>
      <c r="E633" s="6" t="s">
        <v>2540</v>
      </c>
      <c r="F633" s="6" t="s">
        <v>1397</v>
      </c>
      <c r="G633" s="6" t="s">
        <v>1046</v>
      </c>
      <c r="H633" s="6" t="s">
        <v>1389</v>
      </c>
      <c r="I633" s="6" t="s">
        <v>124</v>
      </c>
      <c r="J633" s="6" t="s">
        <v>1390</v>
      </c>
    </row>
    <row r="634" spans="1:10">
      <c r="A634" s="6" t="s">
        <v>43</v>
      </c>
      <c r="B634" s="6" t="s">
        <v>555</v>
      </c>
      <c r="C634" s="6" t="s">
        <v>217</v>
      </c>
      <c r="D634" s="10" t="s">
        <v>2541</v>
      </c>
      <c r="E634" s="6" t="s">
        <v>2419</v>
      </c>
      <c r="F634" s="6" t="s">
        <v>1397</v>
      </c>
      <c r="G634" s="6" t="s">
        <v>1205</v>
      </c>
      <c r="H634" s="6" t="s">
        <v>1389</v>
      </c>
      <c r="I634" s="6" t="s">
        <v>124</v>
      </c>
      <c r="J634" s="6" t="s">
        <v>1390</v>
      </c>
    </row>
    <row r="635" spans="1:10">
      <c r="A635" s="6" t="s">
        <v>43</v>
      </c>
      <c r="B635" s="6" t="s">
        <v>555</v>
      </c>
      <c r="C635" s="6" t="s">
        <v>217</v>
      </c>
      <c r="D635" s="10" t="s">
        <v>2542</v>
      </c>
      <c r="E635" s="6" t="s">
        <v>2543</v>
      </c>
      <c r="F635" s="6" t="s">
        <v>1397</v>
      </c>
      <c r="G635" s="6" t="s">
        <v>1205</v>
      </c>
      <c r="H635" s="6" t="s">
        <v>1389</v>
      </c>
      <c r="I635" s="6" t="s">
        <v>124</v>
      </c>
      <c r="J635" s="6" t="s">
        <v>1390</v>
      </c>
    </row>
    <row r="636" spans="1:10">
      <c r="A636" s="6" t="s">
        <v>43</v>
      </c>
      <c r="B636" s="6" t="s">
        <v>555</v>
      </c>
      <c r="C636" s="6" t="s">
        <v>217</v>
      </c>
      <c r="D636" s="10" t="s">
        <v>2544</v>
      </c>
      <c r="E636" s="6" t="s">
        <v>2545</v>
      </c>
      <c r="F636" s="6" t="s">
        <v>1397</v>
      </c>
      <c r="G636" s="6" t="s">
        <v>1205</v>
      </c>
      <c r="H636" s="6" t="s">
        <v>1389</v>
      </c>
      <c r="I636" s="6" t="s">
        <v>124</v>
      </c>
      <c r="J636" s="6" t="s">
        <v>1390</v>
      </c>
    </row>
    <row r="637" spans="1:10">
      <c r="A637" s="6" t="s">
        <v>43</v>
      </c>
      <c r="B637" s="6" t="s">
        <v>555</v>
      </c>
      <c r="C637" s="6" t="s">
        <v>217</v>
      </c>
      <c r="D637" s="10" t="s">
        <v>2546</v>
      </c>
      <c r="E637" s="6" t="s">
        <v>2547</v>
      </c>
      <c r="F637" s="6" t="s">
        <v>1397</v>
      </c>
      <c r="G637" s="6" t="s">
        <v>1205</v>
      </c>
      <c r="H637" s="6" t="s">
        <v>1389</v>
      </c>
      <c r="I637" s="6" t="s">
        <v>124</v>
      </c>
      <c r="J637" s="6" t="s">
        <v>1390</v>
      </c>
    </row>
    <row r="638" spans="1:10">
      <c r="A638" s="6" t="s">
        <v>43</v>
      </c>
      <c r="B638" s="6" t="s">
        <v>555</v>
      </c>
      <c r="C638" s="6" t="s">
        <v>217</v>
      </c>
      <c r="D638" s="10" t="s">
        <v>2548</v>
      </c>
      <c r="E638" s="6" t="s">
        <v>2549</v>
      </c>
      <c r="F638" s="6" t="s">
        <v>1397</v>
      </c>
      <c r="G638" s="6" t="s">
        <v>1205</v>
      </c>
      <c r="H638" s="6" t="s">
        <v>1389</v>
      </c>
      <c r="I638" s="6" t="s">
        <v>124</v>
      </c>
      <c r="J638" s="6" t="s">
        <v>1390</v>
      </c>
    </row>
    <row r="639" spans="1:10">
      <c r="A639" s="6" t="s">
        <v>43</v>
      </c>
      <c r="B639" s="6" t="s">
        <v>555</v>
      </c>
      <c r="C639" s="6" t="s">
        <v>217</v>
      </c>
      <c r="D639" s="10" t="s">
        <v>2550</v>
      </c>
      <c r="E639" s="6" t="s">
        <v>2551</v>
      </c>
      <c r="F639" s="6" t="s">
        <v>1397</v>
      </c>
      <c r="G639" s="6" t="s">
        <v>1205</v>
      </c>
      <c r="H639" s="6" t="s">
        <v>1389</v>
      </c>
      <c r="I639" s="6" t="s">
        <v>124</v>
      </c>
      <c r="J639" s="6" t="s">
        <v>1390</v>
      </c>
    </row>
    <row r="640" spans="1:10">
      <c r="A640" s="6" t="s">
        <v>43</v>
      </c>
      <c r="B640" s="6" t="s">
        <v>555</v>
      </c>
      <c r="C640" s="6" t="s">
        <v>217</v>
      </c>
      <c r="D640" s="10" t="s">
        <v>2552</v>
      </c>
      <c r="E640" s="6" t="s">
        <v>2553</v>
      </c>
      <c r="F640" s="6" t="s">
        <v>1397</v>
      </c>
      <c r="G640" s="6" t="s">
        <v>1205</v>
      </c>
      <c r="H640" s="6" t="s">
        <v>1389</v>
      </c>
      <c r="I640" s="6" t="s">
        <v>124</v>
      </c>
      <c r="J640" s="6" t="s">
        <v>1390</v>
      </c>
    </row>
    <row r="641" spans="1:10">
      <c r="A641" s="6" t="s">
        <v>43</v>
      </c>
      <c r="B641" s="6" t="s">
        <v>555</v>
      </c>
      <c r="C641" s="6" t="s">
        <v>217</v>
      </c>
      <c r="D641" s="10" t="s">
        <v>2554</v>
      </c>
      <c r="E641" s="6" t="s">
        <v>2555</v>
      </c>
      <c r="F641" s="6" t="s">
        <v>1397</v>
      </c>
      <c r="G641" s="6" t="s">
        <v>1205</v>
      </c>
      <c r="H641" s="6" t="s">
        <v>1389</v>
      </c>
      <c r="I641" s="6" t="s">
        <v>124</v>
      </c>
      <c r="J641" s="6" t="s">
        <v>1390</v>
      </c>
    </row>
    <row r="642" spans="1:10">
      <c r="A642" s="6" t="s">
        <v>43</v>
      </c>
      <c r="B642" s="6" t="s">
        <v>555</v>
      </c>
      <c r="C642" s="6" t="s">
        <v>217</v>
      </c>
      <c r="D642" s="10" t="s">
        <v>2556</v>
      </c>
      <c r="E642" s="6" t="s">
        <v>2557</v>
      </c>
      <c r="F642" s="6" t="s">
        <v>1397</v>
      </c>
      <c r="G642" s="6" t="s">
        <v>1205</v>
      </c>
      <c r="H642" s="6" t="s">
        <v>1389</v>
      </c>
      <c r="I642" s="6" t="s">
        <v>124</v>
      </c>
      <c r="J642" s="6" t="s">
        <v>1390</v>
      </c>
    </row>
    <row r="643" spans="1:10">
      <c r="A643" s="6" t="s">
        <v>43</v>
      </c>
      <c r="B643" s="6" t="s">
        <v>555</v>
      </c>
      <c r="C643" s="6" t="s">
        <v>217</v>
      </c>
      <c r="D643" s="10" t="s">
        <v>2558</v>
      </c>
      <c r="E643" s="6" t="s">
        <v>2559</v>
      </c>
      <c r="F643" s="6" t="s">
        <v>1397</v>
      </c>
      <c r="G643" s="6" t="s">
        <v>1205</v>
      </c>
      <c r="H643" s="6" t="s">
        <v>1389</v>
      </c>
      <c r="I643" s="6" t="s">
        <v>124</v>
      </c>
      <c r="J643" s="6" t="s">
        <v>1390</v>
      </c>
    </row>
    <row r="644" spans="1:10">
      <c r="A644" s="6" t="s">
        <v>43</v>
      </c>
      <c r="B644" s="6" t="s">
        <v>555</v>
      </c>
      <c r="C644" s="6" t="s">
        <v>217</v>
      </c>
      <c r="D644" s="10" t="s">
        <v>2560</v>
      </c>
      <c r="E644" s="6" t="s">
        <v>2561</v>
      </c>
      <c r="F644" s="6" t="s">
        <v>1397</v>
      </c>
      <c r="G644" s="6" t="s">
        <v>1205</v>
      </c>
      <c r="H644" s="6" t="s">
        <v>1389</v>
      </c>
      <c r="I644" s="6" t="s">
        <v>124</v>
      </c>
      <c r="J644" s="6" t="s">
        <v>1390</v>
      </c>
    </row>
    <row r="645" spans="1:10">
      <c r="A645" s="6" t="s">
        <v>43</v>
      </c>
      <c r="B645" s="6" t="s">
        <v>555</v>
      </c>
      <c r="C645" s="6" t="s">
        <v>217</v>
      </c>
      <c r="D645" s="10" t="s">
        <v>2562</v>
      </c>
      <c r="E645" s="6" t="s">
        <v>2563</v>
      </c>
      <c r="F645" s="6" t="s">
        <v>1397</v>
      </c>
      <c r="G645" s="6" t="s">
        <v>1205</v>
      </c>
      <c r="H645" s="6" t="s">
        <v>1389</v>
      </c>
      <c r="I645" s="6" t="s">
        <v>124</v>
      </c>
      <c r="J645" s="6" t="s">
        <v>1390</v>
      </c>
    </row>
    <row r="646" spans="1:10">
      <c r="A646" s="6" t="s">
        <v>43</v>
      </c>
      <c r="B646" s="6" t="s">
        <v>555</v>
      </c>
      <c r="C646" s="6" t="s">
        <v>217</v>
      </c>
      <c r="D646" s="10" t="s">
        <v>2564</v>
      </c>
      <c r="E646" s="6" t="s">
        <v>2565</v>
      </c>
      <c r="F646" s="6" t="s">
        <v>1397</v>
      </c>
      <c r="G646" s="6" t="s">
        <v>1205</v>
      </c>
      <c r="H646" s="6" t="s">
        <v>1389</v>
      </c>
      <c r="I646" s="6" t="s">
        <v>124</v>
      </c>
      <c r="J646" s="6" t="s">
        <v>1390</v>
      </c>
    </row>
    <row r="647" spans="1:10">
      <c r="A647" s="6" t="s">
        <v>43</v>
      </c>
      <c r="B647" s="6" t="s">
        <v>555</v>
      </c>
      <c r="C647" s="6" t="s">
        <v>217</v>
      </c>
      <c r="D647" s="10" t="s">
        <v>2566</v>
      </c>
      <c r="E647" s="6" t="s">
        <v>2567</v>
      </c>
      <c r="F647" s="6" t="s">
        <v>1397</v>
      </c>
      <c r="G647" s="6" t="s">
        <v>1205</v>
      </c>
      <c r="H647" s="6" t="s">
        <v>1389</v>
      </c>
      <c r="I647" s="6" t="s">
        <v>124</v>
      </c>
      <c r="J647" s="6" t="s">
        <v>1390</v>
      </c>
    </row>
    <row r="648" spans="1:10">
      <c r="A648" s="6" t="s">
        <v>43</v>
      </c>
      <c r="B648" s="6" t="s">
        <v>555</v>
      </c>
      <c r="C648" s="6" t="s">
        <v>217</v>
      </c>
      <c r="D648" s="10" t="s">
        <v>2568</v>
      </c>
      <c r="E648" s="6" t="s">
        <v>2569</v>
      </c>
      <c r="F648" s="6" t="s">
        <v>1397</v>
      </c>
      <c r="G648" s="6" t="s">
        <v>1205</v>
      </c>
      <c r="H648" s="6" t="s">
        <v>1389</v>
      </c>
      <c r="I648" s="6" t="s">
        <v>124</v>
      </c>
      <c r="J648" s="6" t="s">
        <v>1390</v>
      </c>
    </row>
    <row r="649" spans="1:10">
      <c r="A649" s="6" t="s">
        <v>43</v>
      </c>
      <c r="B649" s="6" t="s">
        <v>555</v>
      </c>
      <c r="C649" s="6" t="s">
        <v>217</v>
      </c>
      <c r="D649" s="10" t="s">
        <v>2570</v>
      </c>
      <c r="E649" s="6" t="s">
        <v>2571</v>
      </c>
      <c r="F649" s="6" t="s">
        <v>1397</v>
      </c>
      <c r="G649" s="6" t="s">
        <v>1205</v>
      </c>
      <c r="H649" s="6" t="s">
        <v>1389</v>
      </c>
      <c r="I649" s="6" t="s">
        <v>124</v>
      </c>
      <c r="J649" s="6" t="s">
        <v>1390</v>
      </c>
    </row>
    <row r="650" spans="1:10">
      <c r="A650" s="6" t="s">
        <v>43</v>
      </c>
      <c r="B650" s="6" t="s">
        <v>555</v>
      </c>
      <c r="C650" s="6" t="s">
        <v>217</v>
      </c>
      <c r="D650" s="10" t="s">
        <v>2572</v>
      </c>
      <c r="E650" s="6" t="s">
        <v>2573</v>
      </c>
      <c r="F650" s="6" t="s">
        <v>1397</v>
      </c>
      <c r="G650" s="6" t="s">
        <v>1205</v>
      </c>
      <c r="H650" s="6" t="s">
        <v>1389</v>
      </c>
      <c r="I650" s="6" t="s">
        <v>124</v>
      </c>
      <c r="J650" s="6" t="s">
        <v>1390</v>
      </c>
    </row>
    <row r="651" spans="1:10">
      <c r="A651" s="6" t="s">
        <v>43</v>
      </c>
      <c r="B651" s="6" t="s">
        <v>555</v>
      </c>
      <c r="C651" s="6" t="s">
        <v>217</v>
      </c>
      <c r="D651" s="10" t="s">
        <v>1200</v>
      </c>
      <c r="E651" s="6" t="s">
        <v>2574</v>
      </c>
      <c r="F651" s="6" t="s">
        <v>1397</v>
      </c>
      <c r="G651" s="6" t="s">
        <v>1205</v>
      </c>
      <c r="H651" s="6" t="s">
        <v>1389</v>
      </c>
      <c r="I651" s="6" t="s">
        <v>715</v>
      </c>
      <c r="J651" s="6" t="s">
        <v>1390</v>
      </c>
    </row>
    <row r="652" spans="1:10">
      <c r="A652" s="6" t="s">
        <v>43</v>
      </c>
      <c r="B652" s="6" t="s">
        <v>555</v>
      </c>
      <c r="C652" s="6" t="s">
        <v>217</v>
      </c>
      <c r="D652" s="10" t="s">
        <v>2575</v>
      </c>
      <c r="E652" s="6" t="s">
        <v>2576</v>
      </c>
      <c r="F652" s="6" t="s">
        <v>1397</v>
      </c>
      <c r="G652" s="6" t="s">
        <v>1205</v>
      </c>
      <c r="H652" s="6" t="s">
        <v>1389</v>
      </c>
      <c r="I652" s="6" t="s">
        <v>124</v>
      </c>
      <c r="J652" s="6" t="s">
        <v>1390</v>
      </c>
    </row>
    <row r="653" spans="1:10">
      <c r="A653" s="6" t="s">
        <v>43</v>
      </c>
      <c r="B653" s="6" t="s">
        <v>555</v>
      </c>
      <c r="C653" s="6" t="s">
        <v>217</v>
      </c>
      <c r="D653" s="10" t="s">
        <v>1205</v>
      </c>
      <c r="E653" s="6" t="s">
        <v>2577</v>
      </c>
      <c r="F653" s="6" t="s">
        <v>1397</v>
      </c>
      <c r="G653" s="6" t="s">
        <v>1046</v>
      </c>
      <c r="H653" s="6" t="s">
        <v>1389</v>
      </c>
      <c r="I653" s="6" t="s">
        <v>124</v>
      </c>
      <c r="J653" s="6" t="s">
        <v>1390</v>
      </c>
    </row>
    <row r="654" spans="1:10">
      <c r="A654" s="6" t="s">
        <v>43</v>
      </c>
      <c r="B654" s="6" t="s">
        <v>555</v>
      </c>
      <c r="C654" s="6" t="s">
        <v>212</v>
      </c>
      <c r="D654" s="10" t="s">
        <v>2578</v>
      </c>
      <c r="E654" s="6" t="s">
        <v>2579</v>
      </c>
      <c r="F654" s="6" t="s">
        <v>1397</v>
      </c>
      <c r="G654" s="6" t="s">
        <v>2580</v>
      </c>
      <c r="H654" s="6" t="s">
        <v>1425</v>
      </c>
      <c r="I654" s="6" t="s">
        <v>124</v>
      </c>
      <c r="J654" s="6" t="s">
        <v>1390</v>
      </c>
    </row>
    <row r="655" spans="1:10">
      <c r="A655" s="6" t="s">
        <v>43</v>
      </c>
      <c r="B655" s="6" t="s">
        <v>555</v>
      </c>
      <c r="C655" s="6" t="s">
        <v>212</v>
      </c>
      <c r="D655" s="10" t="s">
        <v>2581</v>
      </c>
      <c r="E655" s="6" t="s">
        <v>2582</v>
      </c>
      <c r="F655" s="6" t="s">
        <v>1397</v>
      </c>
      <c r="G655" s="6" t="s">
        <v>2583</v>
      </c>
      <c r="H655" s="6" t="s">
        <v>1425</v>
      </c>
      <c r="I655" s="6" t="s">
        <v>124</v>
      </c>
      <c r="J655" s="6" t="s">
        <v>1390</v>
      </c>
    </row>
    <row r="656" spans="1:10">
      <c r="A656" s="6" t="s">
        <v>43</v>
      </c>
      <c r="B656" s="6" t="s">
        <v>555</v>
      </c>
      <c r="C656" s="6" t="s">
        <v>212</v>
      </c>
      <c r="D656" s="10" t="s">
        <v>2584</v>
      </c>
      <c r="E656" s="6" t="s">
        <v>2585</v>
      </c>
      <c r="F656" s="6" t="s">
        <v>1397</v>
      </c>
      <c r="G656" s="6" t="s">
        <v>2533</v>
      </c>
      <c r="H656" s="6" t="s">
        <v>1425</v>
      </c>
      <c r="I656" s="6" t="s">
        <v>124</v>
      </c>
      <c r="J656" s="6" t="s">
        <v>1390</v>
      </c>
    </row>
    <row r="657" spans="1:10">
      <c r="A657" s="6" t="s">
        <v>43</v>
      </c>
      <c r="B657" s="6" t="s">
        <v>555</v>
      </c>
      <c r="C657" s="6" t="s">
        <v>212</v>
      </c>
      <c r="D657" s="10" t="s">
        <v>2586</v>
      </c>
      <c r="E657" s="6" t="s">
        <v>2587</v>
      </c>
      <c r="F657" s="6" t="s">
        <v>1388</v>
      </c>
      <c r="G657" s="6" t="s">
        <v>558</v>
      </c>
      <c r="H657" s="6" t="s">
        <v>1389</v>
      </c>
      <c r="I657" s="6" t="s">
        <v>124</v>
      </c>
      <c r="J657" s="6" t="s">
        <v>1390</v>
      </c>
    </row>
    <row r="658" spans="1:10">
      <c r="A658" s="6" t="s">
        <v>43</v>
      </c>
      <c r="B658" s="6" t="s">
        <v>555</v>
      </c>
      <c r="C658" s="6" t="s">
        <v>212</v>
      </c>
      <c r="D658" s="10" t="s">
        <v>2588</v>
      </c>
      <c r="E658" s="6" t="s">
        <v>2589</v>
      </c>
      <c r="F658" s="6" t="s">
        <v>1397</v>
      </c>
      <c r="G658" s="6" t="s">
        <v>2491</v>
      </c>
      <c r="H658" s="6" t="s">
        <v>1425</v>
      </c>
      <c r="I658" s="6" t="s">
        <v>124</v>
      </c>
      <c r="J658" s="6" t="s">
        <v>1390</v>
      </c>
    </row>
    <row r="659" spans="1:10">
      <c r="A659" s="6" t="s">
        <v>43</v>
      </c>
      <c r="B659" s="6" t="s">
        <v>555</v>
      </c>
      <c r="C659" s="6" t="s">
        <v>212</v>
      </c>
      <c r="D659" s="10" t="s">
        <v>2590</v>
      </c>
      <c r="E659" s="6" t="s">
        <v>2591</v>
      </c>
      <c r="F659" s="6" t="s">
        <v>1397</v>
      </c>
      <c r="G659" s="6" t="s">
        <v>2491</v>
      </c>
      <c r="H659" s="6" t="s">
        <v>1425</v>
      </c>
      <c r="I659" s="6" t="s">
        <v>124</v>
      </c>
      <c r="J659" s="6" t="s">
        <v>1390</v>
      </c>
    </row>
    <row r="660" spans="1:10">
      <c r="A660" s="6" t="s">
        <v>43</v>
      </c>
      <c r="B660" s="6" t="s">
        <v>555</v>
      </c>
      <c r="C660" s="6" t="s">
        <v>212</v>
      </c>
      <c r="D660" s="10" t="s">
        <v>2592</v>
      </c>
      <c r="E660" s="6" t="s">
        <v>2593</v>
      </c>
      <c r="F660" s="6" t="s">
        <v>1397</v>
      </c>
      <c r="G660" s="6" t="s">
        <v>2491</v>
      </c>
      <c r="H660" s="6" t="s">
        <v>1425</v>
      </c>
      <c r="I660" s="6" t="s">
        <v>124</v>
      </c>
      <c r="J660" s="6" t="s">
        <v>1390</v>
      </c>
    </row>
    <row r="661" spans="1:10">
      <c r="A661" s="6" t="s">
        <v>43</v>
      </c>
      <c r="B661" s="6" t="s">
        <v>555</v>
      </c>
      <c r="C661" s="6" t="s">
        <v>212</v>
      </c>
      <c r="D661" s="10" t="s">
        <v>2594</v>
      </c>
      <c r="E661" s="6" t="s">
        <v>2595</v>
      </c>
      <c r="F661" s="6" t="s">
        <v>1397</v>
      </c>
      <c r="G661" s="6" t="s">
        <v>2491</v>
      </c>
      <c r="H661" s="6" t="s">
        <v>1425</v>
      </c>
      <c r="I661" s="6" t="s">
        <v>124</v>
      </c>
      <c r="J661" s="6" t="s">
        <v>1390</v>
      </c>
    </row>
    <row r="662" spans="1:10">
      <c r="A662" s="6" t="s">
        <v>43</v>
      </c>
      <c r="B662" s="6" t="s">
        <v>555</v>
      </c>
      <c r="C662" s="6" t="s">
        <v>212</v>
      </c>
      <c r="D662" s="10" t="s">
        <v>2596</v>
      </c>
      <c r="E662" s="6" t="s">
        <v>2597</v>
      </c>
      <c r="F662" s="6" t="s">
        <v>1397</v>
      </c>
      <c r="G662" s="6" t="s">
        <v>2491</v>
      </c>
      <c r="H662" s="6" t="s">
        <v>1425</v>
      </c>
      <c r="I662" s="6" t="s">
        <v>124</v>
      </c>
      <c r="J662" s="6" t="s">
        <v>1390</v>
      </c>
    </row>
    <row r="663" spans="1:10">
      <c r="A663" s="6" t="s">
        <v>43</v>
      </c>
      <c r="B663" s="6" t="s">
        <v>555</v>
      </c>
      <c r="C663" s="6" t="s">
        <v>212</v>
      </c>
      <c r="D663" s="10" t="s">
        <v>2598</v>
      </c>
      <c r="E663" s="6" t="s">
        <v>2599</v>
      </c>
      <c r="F663" s="6" t="s">
        <v>1397</v>
      </c>
      <c r="G663" s="6" t="s">
        <v>2365</v>
      </c>
      <c r="H663" s="6" t="s">
        <v>1425</v>
      </c>
      <c r="I663" s="6" t="s">
        <v>124</v>
      </c>
      <c r="J663" s="6" t="s">
        <v>1390</v>
      </c>
    </row>
    <row r="664" spans="1:10">
      <c r="A664" s="6" t="s">
        <v>43</v>
      </c>
      <c r="B664" s="6" t="s">
        <v>555</v>
      </c>
      <c r="C664" s="6" t="s">
        <v>212</v>
      </c>
      <c r="D664" s="10" t="s">
        <v>2600</v>
      </c>
      <c r="E664" s="6" t="s">
        <v>2601</v>
      </c>
      <c r="F664" s="6" t="s">
        <v>1397</v>
      </c>
      <c r="G664" s="6" t="s">
        <v>2365</v>
      </c>
      <c r="H664" s="6" t="s">
        <v>1425</v>
      </c>
      <c r="I664" s="6" t="s">
        <v>124</v>
      </c>
      <c r="J664" s="6" t="s">
        <v>1390</v>
      </c>
    </row>
    <row r="665" spans="1:10">
      <c r="A665" s="6" t="s">
        <v>43</v>
      </c>
      <c r="B665" s="6" t="s">
        <v>555</v>
      </c>
      <c r="C665" s="6" t="s">
        <v>212</v>
      </c>
      <c r="D665" s="10" t="s">
        <v>2602</v>
      </c>
      <c r="E665" s="6" t="s">
        <v>2603</v>
      </c>
      <c r="F665" s="6" t="s">
        <v>1397</v>
      </c>
      <c r="G665" s="6" t="s">
        <v>2365</v>
      </c>
      <c r="H665" s="6" t="s">
        <v>1425</v>
      </c>
      <c r="I665" s="6" t="s">
        <v>124</v>
      </c>
      <c r="J665" s="6" t="s">
        <v>1390</v>
      </c>
    </row>
    <row r="666" spans="1:10">
      <c r="A666" s="6" t="s">
        <v>43</v>
      </c>
      <c r="B666" s="6" t="s">
        <v>555</v>
      </c>
      <c r="C666" s="6" t="s">
        <v>212</v>
      </c>
      <c r="D666" s="10" t="s">
        <v>2604</v>
      </c>
      <c r="E666" s="6" t="s">
        <v>2605</v>
      </c>
      <c r="F666" s="6" t="s">
        <v>1397</v>
      </c>
      <c r="G666" s="6" t="s">
        <v>2365</v>
      </c>
      <c r="H666" s="6" t="s">
        <v>1425</v>
      </c>
      <c r="I666" s="6" t="s">
        <v>124</v>
      </c>
      <c r="J666" s="6" t="s">
        <v>1390</v>
      </c>
    </row>
    <row r="667" spans="1:10">
      <c r="A667" s="6" t="s">
        <v>43</v>
      </c>
      <c r="B667" s="6" t="s">
        <v>555</v>
      </c>
      <c r="C667" s="6" t="s">
        <v>212</v>
      </c>
      <c r="D667" s="10" t="s">
        <v>2606</v>
      </c>
      <c r="E667" s="6" t="s">
        <v>2607</v>
      </c>
      <c r="F667" s="6" t="s">
        <v>1397</v>
      </c>
      <c r="G667" s="6" t="s">
        <v>2365</v>
      </c>
      <c r="H667" s="6" t="s">
        <v>1425</v>
      </c>
      <c r="I667" s="6" t="s">
        <v>124</v>
      </c>
      <c r="J667" s="6" t="s">
        <v>1390</v>
      </c>
    </row>
    <row r="668" spans="1:10">
      <c r="A668" s="6" t="s">
        <v>43</v>
      </c>
      <c r="B668" s="6" t="s">
        <v>555</v>
      </c>
      <c r="C668" s="6" t="s">
        <v>212</v>
      </c>
      <c r="D668" s="10" t="s">
        <v>2608</v>
      </c>
      <c r="E668" s="6" t="s">
        <v>2609</v>
      </c>
      <c r="F668" s="6" t="s">
        <v>1397</v>
      </c>
      <c r="G668" s="6" t="s">
        <v>2365</v>
      </c>
      <c r="H668" s="6" t="s">
        <v>1425</v>
      </c>
      <c r="I668" s="6" t="s">
        <v>124</v>
      </c>
      <c r="J668" s="6" t="s">
        <v>1390</v>
      </c>
    </row>
    <row r="669" spans="1:10">
      <c r="A669" s="6" t="s">
        <v>43</v>
      </c>
      <c r="B669" s="6" t="s">
        <v>555</v>
      </c>
      <c r="C669" s="6" t="s">
        <v>212</v>
      </c>
      <c r="D669" s="10" t="s">
        <v>2610</v>
      </c>
      <c r="E669" s="6" t="s">
        <v>2611</v>
      </c>
      <c r="F669" s="6" t="s">
        <v>1397</v>
      </c>
      <c r="G669" s="6" t="s">
        <v>2365</v>
      </c>
      <c r="H669" s="6" t="s">
        <v>1425</v>
      </c>
      <c r="I669" s="6" t="s">
        <v>124</v>
      </c>
      <c r="J669" s="6" t="s">
        <v>1390</v>
      </c>
    </row>
    <row r="670" spans="1:10">
      <c r="A670" s="6" t="s">
        <v>43</v>
      </c>
      <c r="B670" s="6" t="s">
        <v>555</v>
      </c>
      <c r="C670" s="6" t="s">
        <v>212</v>
      </c>
      <c r="D670" s="10" t="s">
        <v>2612</v>
      </c>
      <c r="E670" s="6" t="s">
        <v>2613</v>
      </c>
      <c r="F670" s="6" t="s">
        <v>1397</v>
      </c>
      <c r="G670" s="6" t="s">
        <v>2365</v>
      </c>
      <c r="H670" s="6" t="s">
        <v>1425</v>
      </c>
      <c r="I670" s="6" t="s">
        <v>124</v>
      </c>
      <c r="J670" s="6" t="s">
        <v>1390</v>
      </c>
    </row>
    <row r="671" spans="1:10">
      <c r="A671" s="6" t="s">
        <v>43</v>
      </c>
      <c r="B671" s="6" t="s">
        <v>555</v>
      </c>
      <c r="C671" s="6" t="s">
        <v>212</v>
      </c>
      <c r="D671" s="10" t="s">
        <v>2614</v>
      </c>
      <c r="E671" s="6" t="s">
        <v>2615</v>
      </c>
      <c r="F671" s="6" t="s">
        <v>1397</v>
      </c>
      <c r="G671" s="6" t="s">
        <v>2365</v>
      </c>
      <c r="H671" s="6" t="s">
        <v>1425</v>
      </c>
      <c r="I671" s="6" t="s">
        <v>124</v>
      </c>
      <c r="J671" s="6" t="s">
        <v>1390</v>
      </c>
    </row>
    <row r="672" spans="1:10">
      <c r="A672" s="6" t="s">
        <v>43</v>
      </c>
      <c r="B672" s="6" t="s">
        <v>555</v>
      </c>
      <c r="C672" s="6" t="s">
        <v>212</v>
      </c>
      <c r="D672" s="10" t="s">
        <v>2616</v>
      </c>
      <c r="E672" s="6" t="s">
        <v>2617</v>
      </c>
      <c r="F672" s="6" t="s">
        <v>1397</v>
      </c>
      <c r="G672" s="6" t="s">
        <v>2365</v>
      </c>
      <c r="H672" s="6" t="s">
        <v>1425</v>
      </c>
      <c r="I672" s="6" t="s">
        <v>124</v>
      </c>
      <c r="J672" s="6" t="s">
        <v>1390</v>
      </c>
    </row>
    <row r="673" spans="1:10">
      <c r="A673" s="6" t="s">
        <v>43</v>
      </c>
      <c r="B673" s="6" t="s">
        <v>555</v>
      </c>
      <c r="C673" s="6" t="s">
        <v>212</v>
      </c>
      <c r="D673" s="10" t="s">
        <v>2580</v>
      </c>
      <c r="E673" s="6" t="s">
        <v>2234</v>
      </c>
      <c r="F673" s="6" t="s">
        <v>1397</v>
      </c>
      <c r="G673" s="6" t="s">
        <v>558</v>
      </c>
      <c r="H673" s="6" t="s">
        <v>1389</v>
      </c>
      <c r="I673" s="6" t="s">
        <v>124</v>
      </c>
      <c r="J673" s="6" t="s">
        <v>1390</v>
      </c>
    </row>
    <row r="674" spans="1:10">
      <c r="A674" s="6" t="s">
        <v>43</v>
      </c>
      <c r="B674" s="6" t="s">
        <v>555</v>
      </c>
      <c r="C674" s="6" t="s">
        <v>212</v>
      </c>
      <c r="D674" s="10" t="s">
        <v>2618</v>
      </c>
      <c r="E674" s="6" t="s">
        <v>2619</v>
      </c>
      <c r="F674" s="6" t="s">
        <v>1397</v>
      </c>
      <c r="G674" s="6" t="s">
        <v>2580</v>
      </c>
      <c r="H674" s="6" t="s">
        <v>1425</v>
      </c>
      <c r="I674" s="6" t="s">
        <v>124</v>
      </c>
      <c r="J674" s="6" t="s">
        <v>1390</v>
      </c>
    </row>
    <row r="675" spans="1:10">
      <c r="A675" s="6" t="s">
        <v>43</v>
      </c>
      <c r="B675" s="6" t="s">
        <v>555</v>
      </c>
      <c r="C675" s="6" t="s">
        <v>212</v>
      </c>
      <c r="D675" s="10" t="s">
        <v>2620</v>
      </c>
      <c r="E675" s="6" t="s">
        <v>2621</v>
      </c>
      <c r="F675" s="6" t="s">
        <v>1397</v>
      </c>
      <c r="G675" s="6" t="s">
        <v>2580</v>
      </c>
      <c r="H675" s="6" t="s">
        <v>1425</v>
      </c>
      <c r="I675" s="6" t="s">
        <v>124</v>
      </c>
      <c r="J675" s="6" t="s">
        <v>1390</v>
      </c>
    </row>
    <row r="676" spans="1:10">
      <c r="A676" s="6" t="s">
        <v>43</v>
      </c>
      <c r="B676" s="6" t="s">
        <v>555</v>
      </c>
      <c r="C676" s="6" t="s">
        <v>212</v>
      </c>
      <c r="D676" s="10" t="s">
        <v>2622</v>
      </c>
      <c r="E676" s="6" t="s">
        <v>2623</v>
      </c>
      <c r="F676" s="6" t="s">
        <v>1397</v>
      </c>
      <c r="G676" s="6" t="s">
        <v>2580</v>
      </c>
      <c r="H676" s="6" t="s">
        <v>1425</v>
      </c>
      <c r="I676" s="6" t="s">
        <v>124</v>
      </c>
      <c r="J676" s="6" t="s">
        <v>1390</v>
      </c>
    </row>
    <row r="677" spans="1:10">
      <c r="A677" s="6" t="s">
        <v>43</v>
      </c>
      <c r="B677" s="6" t="s">
        <v>555</v>
      </c>
      <c r="C677" s="6" t="s">
        <v>212</v>
      </c>
      <c r="D677" s="10" t="s">
        <v>2624</v>
      </c>
      <c r="E677" s="6" t="s">
        <v>2625</v>
      </c>
      <c r="F677" s="6" t="s">
        <v>1397</v>
      </c>
      <c r="G677" s="6" t="s">
        <v>2580</v>
      </c>
      <c r="H677" s="6" t="s">
        <v>1425</v>
      </c>
      <c r="I677" s="6" t="s">
        <v>124</v>
      </c>
      <c r="J677" s="6" t="s">
        <v>1390</v>
      </c>
    </row>
    <row r="678" spans="1:10">
      <c r="A678" s="6" t="s">
        <v>43</v>
      </c>
      <c r="B678" s="6" t="s">
        <v>555</v>
      </c>
      <c r="C678" s="6" t="s">
        <v>212</v>
      </c>
      <c r="D678" s="10" t="s">
        <v>2626</v>
      </c>
      <c r="E678" s="6" t="s">
        <v>2627</v>
      </c>
      <c r="F678" s="6" t="s">
        <v>1397</v>
      </c>
      <c r="G678" s="6" t="s">
        <v>2580</v>
      </c>
      <c r="H678" s="6" t="s">
        <v>1425</v>
      </c>
      <c r="I678" s="6" t="s">
        <v>124</v>
      </c>
      <c r="J678" s="6" t="s">
        <v>1390</v>
      </c>
    </row>
    <row r="679" spans="1:10">
      <c r="A679" s="6" t="s">
        <v>43</v>
      </c>
      <c r="B679" s="6" t="s">
        <v>555</v>
      </c>
      <c r="C679" s="6" t="s">
        <v>212</v>
      </c>
      <c r="D679" s="10" t="s">
        <v>2628</v>
      </c>
      <c r="E679" s="6" t="s">
        <v>2629</v>
      </c>
      <c r="F679" s="6" t="s">
        <v>1397</v>
      </c>
      <c r="G679" s="6" t="s">
        <v>2580</v>
      </c>
      <c r="H679" s="6" t="s">
        <v>1425</v>
      </c>
      <c r="I679" s="6" t="s">
        <v>124</v>
      </c>
      <c r="J679" s="6" t="s">
        <v>1390</v>
      </c>
    </row>
    <row r="680" spans="1:10">
      <c r="A680" s="6" t="s">
        <v>43</v>
      </c>
      <c r="B680" s="6" t="s">
        <v>555</v>
      </c>
      <c r="C680" s="6" t="s">
        <v>212</v>
      </c>
      <c r="D680" s="10" t="s">
        <v>2365</v>
      </c>
      <c r="E680" s="6" t="s">
        <v>2630</v>
      </c>
      <c r="F680" s="6" t="s">
        <v>1397</v>
      </c>
      <c r="G680" s="6" t="s">
        <v>558</v>
      </c>
      <c r="H680" s="6" t="s">
        <v>1389</v>
      </c>
      <c r="I680" s="6" t="s">
        <v>124</v>
      </c>
      <c r="J680" s="6" t="s">
        <v>1390</v>
      </c>
    </row>
    <row r="681" spans="1:10">
      <c r="A681" s="6" t="s">
        <v>43</v>
      </c>
      <c r="B681" s="6" t="s">
        <v>555</v>
      </c>
      <c r="C681" s="6" t="s">
        <v>212</v>
      </c>
      <c r="D681" s="10" t="s">
        <v>2631</v>
      </c>
      <c r="E681" s="6" t="s">
        <v>2632</v>
      </c>
      <c r="F681" s="6" t="s">
        <v>1397</v>
      </c>
      <c r="G681" s="6" t="s">
        <v>2365</v>
      </c>
      <c r="H681" s="6" t="s">
        <v>1425</v>
      </c>
      <c r="I681" s="6" t="s">
        <v>124</v>
      </c>
      <c r="J681" s="6" t="s">
        <v>1390</v>
      </c>
    </row>
    <row r="682" spans="1:10">
      <c r="A682" s="6" t="s">
        <v>43</v>
      </c>
      <c r="B682" s="6" t="s">
        <v>555</v>
      </c>
      <c r="C682" s="6" t="s">
        <v>212</v>
      </c>
      <c r="D682" s="10" t="s">
        <v>2633</v>
      </c>
      <c r="E682" s="6" t="s">
        <v>2634</v>
      </c>
      <c r="F682" s="6" t="s">
        <v>1397</v>
      </c>
      <c r="G682" s="6" t="s">
        <v>2365</v>
      </c>
      <c r="H682" s="6" t="s">
        <v>1425</v>
      </c>
      <c r="I682" s="6" t="s">
        <v>124</v>
      </c>
      <c r="J682" s="6" t="s">
        <v>1390</v>
      </c>
    </row>
    <row r="683" spans="1:10">
      <c r="A683" s="6" t="s">
        <v>43</v>
      </c>
      <c r="B683" s="6" t="s">
        <v>555</v>
      </c>
      <c r="C683" s="6" t="s">
        <v>212</v>
      </c>
      <c r="D683" s="10" t="s">
        <v>2491</v>
      </c>
      <c r="E683" s="6" t="s">
        <v>2635</v>
      </c>
      <c r="F683" s="6" t="s">
        <v>1397</v>
      </c>
      <c r="G683" s="6" t="s">
        <v>558</v>
      </c>
      <c r="H683" s="6" t="s">
        <v>1389</v>
      </c>
      <c r="I683" s="6" t="s">
        <v>124</v>
      </c>
      <c r="J683" s="6" t="s">
        <v>1390</v>
      </c>
    </row>
    <row r="684" spans="1:10">
      <c r="A684" s="6" t="s">
        <v>43</v>
      </c>
      <c r="B684" s="6" t="s">
        <v>555</v>
      </c>
      <c r="C684" s="6" t="s">
        <v>212</v>
      </c>
      <c r="D684" s="10" t="s">
        <v>2636</v>
      </c>
      <c r="E684" s="6" t="s">
        <v>2632</v>
      </c>
      <c r="F684" s="6" t="s">
        <v>1397</v>
      </c>
      <c r="G684" s="6" t="s">
        <v>2491</v>
      </c>
      <c r="H684" s="6" t="s">
        <v>1425</v>
      </c>
      <c r="I684" s="6" t="s">
        <v>124</v>
      </c>
      <c r="J684" s="6" t="s">
        <v>1390</v>
      </c>
    </row>
    <row r="685" spans="1:10">
      <c r="A685" s="6" t="s">
        <v>43</v>
      </c>
      <c r="B685" s="6" t="s">
        <v>555</v>
      </c>
      <c r="C685" s="6" t="s">
        <v>212</v>
      </c>
      <c r="D685" s="10" t="s">
        <v>2637</v>
      </c>
      <c r="E685" s="6" t="s">
        <v>2634</v>
      </c>
      <c r="F685" s="6" t="s">
        <v>1397</v>
      </c>
      <c r="G685" s="6" t="s">
        <v>2491</v>
      </c>
      <c r="H685" s="6" t="s">
        <v>1425</v>
      </c>
      <c r="I685" s="6" t="s">
        <v>124</v>
      </c>
      <c r="J685" s="6" t="s">
        <v>1390</v>
      </c>
    </row>
    <row r="686" spans="1:10">
      <c r="A686" s="6" t="s">
        <v>43</v>
      </c>
      <c r="B686" s="6" t="s">
        <v>555</v>
      </c>
      <c r="C686" s="6" t="s">
        <v>212</v>
      </c>
      <c r="D686" s="10" t="s">
        <v>2638</v>
      </c>
      <c r="E686" s="6" t="s">
        <v>2419</v>
      </c>
      <c r="F686" s="6" t="s">
        <v>1397</v>
      </c>
      <c r="G686" s="6" t="s">
        <v>2639</v>
      </c>
      <c r="H686" s="6" t="s">
        <v>1425</v>
      </c>
      <c r="I686" s="6" t="s">
        <v>124</v>
      </c>
      <c r="J686" s="6" t="s">
        <v>1390</v>
      </c>
    </row>
    <row r="687" spans="1:10">
      <c r="A687" s="6" t="s">
        <v>43</v>
      </c>
      <c r="B687" s="6" t="s">
        <v>555</v>
      </c>
      <c r="C687" s="6" t="s">
        <v>212</v>
      </c>
      <c r="D687" s="10" t="s">
        <v>2640</v>
      </c>
      <c r="E687" s="6" t="s">
        <v>2419</v>
      </c>
      <c r="F687" s="6" t="s">
        <v>1397</v>
      </c>
      <c r="G687" s="6" t="s">
        <v>2641</v>
      </c>
      <c r="H687" s="6" t="s">
        <v>1425</v>
      </c>
      <c r="I687" s="6" t="s">
        <v>124</v>
      </c>
      <c r="J687" s="6" t="s">
        <v>1390</v>
      </c>
    </row>
    <row r="688" spans="1:10">
      <c r="A688" s="6" t="s">
        <v>43</v>
      </c>
      <c r="B688" s="6" t="s">
        <v>555</v>
      </c>
      <c r="C688" s="6" t="s">
        <v>212</v>
      </c>
      <c r="D688" s="10" t="s">
        <v>2642</v>
      </c>
      <c r="E688" s="6" t="s">
        <v>2419</v>
      </c>
      <c r="F688" s="6" t="s">
        <v>1397</v>
      </c>
      <c r="G688" s="6" t="s">
        <v>2643</v>
      </c>
      <c r="H688" s="6" t="s">
        <v>1425</v>
      </c>
      <c r="I688" s="6" t="s">
        <v>124</v>
      </c>
      <c r="J688" s="6" t="s">
        <v>1390</v>
      </c>
    </row>
    <row r="689" spans="1:10">
      <c r="A689" s="6" t="s">
        <v>43</v>
      </c>
      <c r="B689" s="6" t="s">
        <v>555</v>
      </c>
      <c r="C689" s="6" t="s">
        <v>212</v>
      </c>
      <c r="D689" s="10" t="s">
        <v>2644</v>
      </c>
      <c r="E689" s="6" t="s">
        <v>2419</v>
      </c>
      <c r="F689" s="6" t="s">
        <v>1397</v>
      </c>
      <c r="G689" s="6" t="s">
        <v>2645</v>
      </c>
      <c r="H689" s="6" t="s">
        <v>1425</v>
      </c>
      <c r="I689" s="6" t="s">
        <v>124</v>
      </c>
      <c r="J689" s="6" t="s">
        <v>1390</v>
      </c>
    </row>
    <row r="690" spans="1:10">
      <c r="A690" s="6" t="s">
        <v>43</v>
      </c>
      <c r="B690" s="6" t="s">
        <v>555</v>
      </c>
      <c r="C690" s="6" t="s">
        <v>212</v>
      </c>
      <c r="D690" s="10" t="s">
        <v>2646</v>
      </c>
      <c r="E690" s="6" t="s">
        <v>2419</v>
      </c>
      <c r="F690" s="6" t="s">
        <v>1397</v>
      </c>
      <c r="G690" s="6" t="s">
        <v>2647</v>
      </c>
      <c r="H690" s="6" t="s">
        <v>1425</v>
      </c>
      <c r="I690" s="6" t="s">
        <v>124</v>
      </c>
      <c r="J690" s="6" t="s">
        <v>1390</v>
      </c>
    </row>
    <row r="691" spans="1:10">
      <c r="A691" s="6" t="s">
        <v>43</v>
      </c>
      <c r="B691" s="6" t="s">
        <v>555</v>
      </c>
      <c r="C691" s="6" t="s">
        <v>212</v>
      </c>
      <c r="D691" s="10" t="s">
        <v>2648</v>
      </c>
      <c r="E691" s="6" t="s">
        <v>2419</v>
      </c>
      <c r="F691" s="6" t="s">
        <v>1397</v>
      </c>
      <c r="G691" s="6" t="s">
        <v>2649</v>
      </c>
      <c r="H691" s="6" t="s">
        <v>1425</v>
      </c>
      <c r="I691" s="6" t="s">
        <v>124</v>
      </c>
      <c r="J691" s="6" t="s">
        <v>1390</v>
      </c>
    </row>
    <row r="692" spans="1:10">
      <c r="A692" s="6" t="s">
        <v>43</v>
      </c>
      <c r="B692" s="6" t="s">
        <v>555</v>
      </c>
      <c r="C692" s="6" t="s">
        <v>212</v>
      </c>
      <c r="D692" s="10" t="s">
        <v>2650</v>
      </c>
      <c r="E692" s="6" t="s">
        <v>2419</v>
      </c>
      <c r="F692" s="6" t="s">
        <v>1397</v>
      </c>
      <c r="G692" s="6" t="s">
        <v>2583</v>
      </c>
      <c r="H692" s="6" t="s">
        <v>1425</v>
      </c>
      <c r="I692" s="6" t="s">
        <v>124</v>
      </c>
      <c r="J692" s="6" t="s">
        <v>1390</v>
      </c>
    </row>
    <row r="693" spans="1:10">
      <c r="A693" s="6" t="s">
        <v>43</v>
      </c>
      <c r="B693" s="6" t="s">
        <v>555</v>
      </c>
      <c r="C693" s="6" t="s">
        <v>212</v>
      </c>
      <c r="D693" s="10" t="s">
        <v>2651</v>
      </c>
      <c r="E693" s="6" t="s">
        <v>2419</v>
      </c>
      <c r="F693" s="6" t="s">
        <v>1397</v>
      </c>
      <c r="G693" s="6" t="s">
        <v>2652</v>
      </c>
      <c r="H693" s="6" t="s">
        <v>1425</v>
      </c>
      <c r="I693" s="6" t="s">
        <v>124</v>
      </c>
      <c r="J693" s="6" t="s">
        <v>1390</v>
      </c>
    </row>
    <row r="694" spans="1:10">
      <c r="A694" s="6" t="s">
        <v>43</v>
      </c>
      <c r="B694" s="6" t="s">
        <v>555</v>
      </c>
      <c r="C694" s="6" t="s">
        <v>212</v>
      </c>
      <c r="D694" s="10" t="s">
        <v>2653</v>
      </c>
      <c r="E694" s="6" t="s">
        <v>2419</v>
      </c>
      <c r="F694" s="6" t="s">
        <v>1397</v>
      </c>
      <c r="G694" s="6" t="s">
        <v>2654</v>
      </c>
      <c r="H694" s="6" t="s">
        <v>1425</v>
      </c>
      <c r="I694" s="6" t="s">
        <v>124</v>
      </c>
      <c r="J694" s="6" t="s">
        <v>1390</v>
      </c>
    </row>
    <row r="695" spans="1:10">
      <c r="A695" s="6" t="s">
        <v>43</v>
      </c>
      <c r="B695" s="6" t="s">
        <v>555</v>
      </c>
      <c r="C695" s="6" t="s">
        <v>212</v>
      </c>
      <c r="D695" s="10" t="s">
        <v>2655</v>
      </c>
      <c r="E695" s="6" t="s">
        <v>2419</v>
      </c>
      <c r="F695" s="6" t="s">
        <v>1397</v>
      </c>
      <c r="G695" s="6" t="s">
        <v>2656</v>
      </c>
      <c r="H695" s="6" t="s">
        <v>1425</v>
      </c>
      <c r="I695" s="6" t="s">
        <v>124</v>
      </c>
      <c r="J695" s="6" t="s">
        <v>1390</v>
      </c>
    </row>
    <row r="696" spans="1:10">
      <c r="A696" s="6" t="s">
        <v>43</v>
      </c>
      <c r="B696" s="6" t="s">
        <v>555</v>
      </c>
      <c r="C696" s="6" t="s">
        <v>212</v>
      </c>
      <c r="D696" s="10" t="s">
        <v>2657</v>
      </c>
      <c r="E696" s="6" t="s">
        <v>2419</v>
      </c>
      <c r="F696" s="6" t="s">
        <v>1397</v>
      </c>
      <c r="G696" s="6" t="s">
        <v>2658</v>
      </c>
      <c r="H696" s="6" t="s">
        <v>1425</v>
      </c>
      <c r="I696" s="6" t="s">
        <v>124</v>
      </c>
      <c r="J696" s="6" t="s">
        <v>1390</v>
      </c>
    </row>
    <row r="697" spans="1:10">
      <c r="A697" s="6" t="s">
        <v>43</v>
      </c>
      <c r="B697" s="6" t="s">
        <v>555</v>
      </c>
      <c r="C697" s="6" t="s">
        <v>212</v>
      </c>
      <c r="D697" s="10" t="s">
        <v>2659</v>
      </c>
      <c r="E697" s="6" t="s">
        <v>2419</v>
      </c>
      <c r="F697" s="6" t="s">
        <v>1397</v>
      </c>
      <c r="G697" s="6" t="s">
        <v>2660</v>
      </c>
      <c r="H697" s="6" t="s">
        <v>1425</v>
      </c>
      <c r="I697" s="6" t="s">
        <v>124</v>
      </c>
      <c r="J697" s="6" t="s">
        <v>1390</v>
      </c>
    </row>
    <row r="698" spans="1:10">
      <c r="A698" s="6" t="s">
        <v>43</v>
      </c>
      <c r="B698" s="6" t="s">
        <v>555</v>
      </c>
      <c r="C698" s="6" t="s">
        <v>212</v>
      </c>
      <c r="D698" s="10" t="s">
        <v>2661</v>
      </c>
      <c r="E698" s="6" t="s">
        <v>2419</v>
      </c>
      <c r="F698" s="6" t="s">
        <v>1397</v>
      </c>
      <c r="G698" s="6" t="s">
        <v>2662</v>
      </c>
      <c r="H698" s="6" t="s">
        <v>1425</v>
      </c>
      <c r="I698" s="6" t="s">
        <v>124</v>
      </c>
      <c r="J698" s="6" t="s">
        <v>1390</v>
      </c>
    </row>
    <row r="699" spans="1:10">
      <c r="A699" s="6" t="s">
        <v>43</v>
      </c>
      <c r="B699" s="6" t="s">
        <v>555</v>
      </c>
      <c r="C699" s="6" t="s">
        <v>212</v>
      </c>
      <c r="D699" s="10" t="s">
        <v>2663</v>
      </c>
      <c r="E699" s="6" t="s">
        <v>2419</v>
      </c>
      <c r="F699" s="6" t="s">
        <v>1397</v>
      </c>
      <c r="G699" s="6" t="s">
        <v>2664</v>
      </c>
      <c r="H699" s="6" t="s">
        <v>1425</v>
      </c>
      <c r="I699" s="6" t="s">
        <v>124</v>
      </c>
      <c r="J699" s="6" t="s">
        <v>1390</v>
      </c>
    </row>
    <row r="700" spans="1:10">
      <c r="A700" s="6" t="s">
        <v>43</v>
      </c>
      <c r="B700" s="6" t="s">
        <v>555</v>
      </c>
      <c r="C700" s="6" t="s">
        <v>212</v>
      </c>
      <c r="D700" s="10" t="s">
        <v>2665</v>
      </c>
      <c r="E700" s="6" t="s">
        <v>2419</v>
      </c>
      <c r="F700" s="6" t="s">
        <v>1397</v>
      </c>
      <c r="G700" s="6" t="s">
        <v>2666</v>
      </c>
      <c r="H700" s="6" t="s">
        <v>1425</v>
      </c>
      <c r="I700" s="6" t="s">
        <v>124</v>
      </c>
      <c r="J700" s="6" t="s">
        <v>1390</v>
      </c>
    </row>
    <row r="701" spans="1:10">
      <c r="A701" s="6" t="s">
        <v>43</v>
      </c>
      <c r="B701" s="6" t="s">
        <v>555</v>
      </c>
      <c r="C701" s="6" t="s">
        <v>212</v>
      </c>
      <c r="D701" s="10" t="s">
        <v>2667</v>
      </c>
      <c r="E701" s="6" t="s">
        <v>2419</v>
      </c>
      <c r="F701" s="6" t="s">
        <v>1397</v>
      </c>
      <c r="G701" s="6" t="s">
        <v>2533</v>
      </c>
      <c r="H701" s="6" t="s">
        <v>1425</v>
      </c>
      <c r="I701" s="6" t="s">
        <v>124</v>
      </c>
      <c r="J701" s="6" t="s">
        <v>1390</v>
      </c>
    </row>
    <row r="702" spans="1:10">
      <c r="A702" s="6" t="s">
        <v>43</v>
      </c>
      <c r="B702" s="6" t="s">
        <v>555</v>
      </c>
      <c r="C702" s="6" t="s">
        <v>212</v>
      </c>
      <c r="D702" s="10" t="s">
        <v>2668</v>
      </c>
      <c r="E702" s="6" t="s">
        <v>2419</v>
      </c>
      <c r="F702" s="6" t="s">
        <v>1397</v>
      </c>
      <c r="G702" s="6" t="s">
        <v>2669</v>
      </c>
      <c r="H702" s="6" t="s">
        <v>1425</v>
      </c>
      <c r="I702" s="6" t="s">
        <v>124</v>
      </c>
      <c r="J702" s="6" t="s">
        <v>1390</v>
      </c>
    </row>
    <row r="703" spans="1:10">
      <c r="A703" s="6" t="s">
        <v>43</v>
      </c>
      <c r="B703" s="6" t="s">
        <v>555</v>
      </c>
      <c r="C703" s="6" t="s">
        <v>212</v>
      </c>
      <c r="D703" s="10" t="s">
        <v>2670</v>
      </c>
      <c r="E703" s="6" t="s">
        <v>2419</v>
      </c>
      <c r="F703" s="6" t="s">
        <v>1397</v>
      </c>
      <c r="G703" s="6" t="s">
        <v>2377</v>
      </c>
      <c r="H703" s="6" t="s">
        <v>1425</v>
      </c>
      <c r="I703" s="6" t="s">
        <v>124</v>
      </c>
      <c r="J703" s="6" t="s">
        <v>1390</v>
      </c>
    </row>
    <row r="704" spans="1:10">
      <c r="A704" s="6" t="s">
        <v>43</v>
      </c>
      <c r="B704" s="6" t="s">
        <v>555</v>
      </c>
      <c r="C704" s="6" t="s">
        <v>212</v>
      </c>
      <c r="D704" s="10" t="s">
        <v>2671</v>
      </c>
      <c r="E704" s="6" t="s">
        <v>2419</v>
      </c>
      <c r="F704" s="6" t="s">
        <v>1397</v>
      </c>
      <c r="G704" s="6" t="s">
        <v>2672</v>
      </c>
      <c r="H704" s="6" t="s">
        <v>1425</v>
      </c>
      <c r="I704" s="6" t="s">
        <v>124</v>
      </c>
      <c r="J704" s="6" t="s">
        <v>1390</v>
      </c>
    </row>
    <row r="705" spans="1:10">
      <c r="A705" s="6" t="s">
        <v>43</v>
      </c>
      <c r="B705" s="6" t="s">
        <v>555</v>
      </c>
      <c r="C705" s="6" t="s">
        <v>212</v>
      </c>
      <c r="D705" s="10" t="s">
        <v>2673</v>
      </c>
      <c r="E705" s="6" t="s">
        <v>2419</v>
      </c>
      <c r="F705" s="6" t="s">
        <v>1397</v>
      </c>
      <c r="G705" s="6" t="s">
        <v>2674</v>
      </c>
      <c r="H705" s="6" t="s">
        <v>1425</v>
      </c>
      <c r="I705" s="6" t="s">
        <v>124</v>
      </c>
      <c r="J705" s="6" t="s">
        <v>1390</v>
      </c>
    </row>
    <row r="706" spans="1:10">
      <c r="A706" s="6" t="s">
        <v>43</v>
      </c>
      <c r="B706" s="6" t="s">
        <v>555</v>
      </c>
      <c r="C706" s="6" t="s">
        <v>212</v>
      </c>
      <c r="D706" s="10" t="s">
        <v>2675</v>
      </c>
      <c r="E706" s="6" t="s">
        <v>2419</v>
      </c>
      <c r="F706" s="6" t="s">
        <v>1397</v>
      </c>
      <c r="G706" s="6" t="s">
        <v>2676</v>
      </c>
      <c r="H706" s="6" t="s">
        <v>1425</v>
      </c>
      <c r="I706" s="6" t="s">
        <v>124</v>
      </c>
      <c r="J706" s="6" t="s">
        <v>1390</v>
      </c>
    </row>
    <row r="707" spans="1:10">
      <c r="A707" s="6" t="s">
        <v>43</v>
      </c>
      <c r="B707" s="6" t="s">
        <v>555</v>
      </c>
      <c r="C707" s="6" t="s">
        <v>212</v>
      </c>
      <c r="D707" s="10" t="s">
        <v>2677</v>
      </c>
      <c r="E707" s="6" t="s">
        <v>2419</v>
      </c>
      <c r="F707" s="6" t="s">
        <v>1397</v>
      </c>
      <c r="G707" s="6" t="s">
        <v>2678</v>
      </c>
      <c r="H707" s="6" t="s">
        <v>1425</v>
      </c>
      <c r="I707" s="6" t="s">
        <v>124</v>
      </c>
      <c r="J707" s="6" t="s">
        <v>1390</v>
      </c>
    </row>
    <row r="708" spans="1:10">
      <c r="A708" s="6" t="s">
        <v>43</v>
      </c>
      <c r="B708" s="6" t="s">
        <v>555</v>
      </c>
      <c r="C708" s="6" t="s">
        <v>212</v>
      </c>
      <c r="D708" s="10" t="s">
        <v>2679</v>
      </c>
      <c r="E708" s="6" t="s">
        <v>2419</v>
      </c>
      <c r="F708" s="6" t="s">
        <v>1397</v>
      </c>
      <c r="G708" s="6" t="s">
        <v>2680</v>
      </c>
      <c r="H708" s="6" t="s">
        <v>1425</v>
      </c>
      <c r="I708" s="6" t="s">
        <v>124</v>
      </c>
      <c r="J708" s="6" t="s">
        <v>1390</v>
      </c>
    </row>
    <row r="709" spans="1:10">
      <c r="A709" s="6" t="s">
        <v>43</v>
      </c>
      <c r="B709" s="6" t="s">
        <v>555</v>
      </c>
      <c r="C709" s="6" t="s">
        <v>212</v>
      </c>
      <c r="D709" s="10" t="s">
        <v>2681</v>
      </c>
      <c r="E709" s="6" t="s">
        <v>2419</v>
      </c>
      <c r="F709" s="6" t="s">
        <v>1397</v>
      </c>
      <c r="G709" s="6" t="s">
        <v>2368</v>
      </c>
      <c r="H709" s="6" t="s">
        <v>1425</v>
      </c>
      <c r="I709" s="6" t="s">
        <v>124</v>
      </c>
      <c r="J709" s="6" t="s">
        <v>1390</v>
      </c>
    </row>
    <row r="710" spans="1:10">
      <c r="A710" s="6" t="s">
        <v>43</v>
      </c>
      <c r="B710" s="6" t="s">
        <v>555</v>
      </c>
      <c r="C710" s="6" t="s">
        <v>212</v>
      </c>
      <c r="D710" s="10" t="s">
        <v>2682</v>
      </c>
      <c r="E710" s="6" t="s">
        <v>2683</v>
      </c>
      <c r="F710" s="6" t="s">
        <v>1397</v>
      </c>
      <c r="G710" s="6" t="s">
        <v>1058</v>
      </c>
      <c r="H710" s="6" t="s">
        <v>1389</v>
      </c>
      <c r="I710" s="6" t="s">
        <v>124</v>
      </c>
      <c r="J710" s="6" t="s">
        <v>1390</v>
      </c>
    </row>
    <row r="711" spans="1:10">
      <c r="A711" s="6" t="s">
        <v>43</v>
      </c>
      <c r="B711" s="6" t="s">
        <v>555</v>
      </c>
      <c r="C711" s="6" t="s">
        <v>212</v>
      </c>
      <c r="D711" s="10" t="s">
        <v>2684</v>
      </c>
      <c r="E711" s="6" t="s">
        <v>2685</v>
      </c>
      <c r="F711" s="6" t="s">
        <v>1397</v>
      </c>
      <c r="G711" s="6" t="s">
        <v>2377</v>
      </c>
      <c r="H711" s="6" t="s">
        <v>1425</v>
      </c>
      <c r="I711" s="6" t="s">
        <v>124</v>
      </c>
      <c r="J711" s="6" t="s">
        <v>1390</v>
      </c>
    </row>
    <row r="712" spans="1:10">
      <c r="A712" s="6" t="s">
        <v>43</v>
      </c>
      <c r="B712" s="6" t="s">
        <v>555</v>
      </c>
      <c r="C712" s="6" t="s">
        <v>212</v>
      </c>
      <c r="D712" s="10" t="s">
        <v>2686</v>
      </c>
      <c r="E712" s="6" t="s">
        <v>2687</v>
      </c>
      <c r="F712" s="6" t="s">
        <v>1397</v>
      </c>
      <c r="G712" s="6" t="s">
        <v>2652</v>
      </c>
      <c r="H712" s="6" t="s">
        <v>1425</v>
      </c>
      <c r="I712" s="6" t="s">
        <v>124</v>
      </c>
      <c r="J712" s="6" t="s">
        <v>1390</v>
      </c>
    </row>
    <row r="713" spans="1:10">
      <c r="A713" s="6" t="s">
        <v>43</v>
      </c>
      <c r="B713" s="6" t="s">
        <v>555</v>
      </c>
      <c r="C713" s="6" t="s">
        <v>212</v>
      </c>
      <c r="D713" s="10" t="s">
        <v>2688</v>
      </c>
      <c r="E713" s="6" t="s">
        <v>2689</v>
      </c>
      <c r="F713" s="6" t="s">
        <v>1397</v>
      </c>
      <c r="G713" s="6" t="s">
        <v>2669</v>
      </c>
      <c r="H713" s="6" t="s">
        <v>1425</v>
      </c>
      <c r="I713" s="6" t="s">
        <v>124</v>
      </c>
      <c r="J713" s="6" t="s">
        <v>1390</v>
      </c>
    </row>
    <row r="714" spans="1:10">
      <c r="A714" s="6" t="s">
        <v>43</v>
      </c>
      <c r="B714" s="6" t="s">
        <v>555</v>
      </c>
      <c r="C714" s="6" t="s">
        <v>212</v>
      </c>
      <c r="D714" s="10" t="s">
        <v>2690</v>
      </c>
      <c r="E714" s="6" t="s">
        <v>2691</v>
      </c>
      <c r="F714" s="6" t="s">
        <v>1397</v>
      </c>
      <c r="G714" s="6" t="s">
        <v>2639</v>
      </c>
      <c r="H714" s="6" t="s">
        <v>1425</v>
      </c>
      <c r="I714" s="6" t="s">
        <v>124</v>
      </c>
      <c r="J714" s="6" t="s">
        <v>1390</v>
      </c>
    </row>
    <row r="715" spans="1:10">
      <c r="A715" s="6" t="s">
        <v>43</v>
      </c>
      <c r="B715" s="6" t="s">
        <v>555</v>
      </c>
      <c r="C715" s="6" t="s">
        <v>212</v>
      </c>
      <c r="D715" s="10" t="s">
        <v>2692</v>
      </c>
      <c r="E715" s="6" t="s">
        <v>2693</v>
      </c>
      <c r="F715" s="6" t="s">
        <v>1397</v>
      </c>
      <c r="G715" s="6" t="s">
        <v>2666</v>
      </c>
      <c r="H715" s="6" t="s">
        <v>1425</v>
      </c>
      <c r="I715" s="6" t="s">
        <v>124</v>
      </c>
      <c r="J715" s="6" t="s">
        <v>1390</v>
      </c>
    </row>
    <row r="716" spans="1:10">
      <c r="A716" s="6" t="s">
        <v>43</v>
      </c>
      <c r="B716" s="6" t="s">
        <v>555</v>
      </c>
      <c r="C716" s="6" t="s">
        <v>212</v>
      </c>
      <c r="D716" s="10" t="s">
        <v>2694</v>
      </c>
      <c r="E716" s="6" t="s">
        <v>2695</v>
      </c>
      <c r="F716" s="6" t="s">
        <v>1397</v>
      </c>
      <c r="G716" s="6" t="s">
        <v>2368</v>
      </c>
      <c r="H716" s="6" t="s">
        <v>1425</v>
      </c>
      <c r="I716" s="6" t="s">
        <v>124</v>
      </c>
      <c r="J716" s="6" t="s">
        <v>1390</v>
      </c>
    </row>
    <row r="717" spans="1:10">
      <c r="A717" s="6" t="s">
        <v>43</v>
      </c>
      <c r="B717" s="6" t="s">
        <v>555</v>
      </c>
      <c r="C717" s="6" t="s">
        <v>212</v>
      </c>
      <c r="D717" s="10" t="s">
        <v>2639</v>
      </c>
      <c r="E717" s="6" t="s">
        <v>2696</v>
      </c>
      <c r="F717" s="6" t="s">
        <v>1397</v>
      </c>
      <c r="G717" s="6" t="s">
        <v>1046</v>
      </c>
      <c r="H717" s="6" t="s">
        <v>1389</v>
      </c>
      <c r="I717" s="6" t="s">
        <v>124</v>
      </c>
      <c r="J717" s="6" t="s">
        <v>1390</v>
      </c>
    </row>
    <row r="718" spans="1:10">
      <c r="A718" s="6" t="s">
        <v>43</v>
      </c>
      <c r="B718" s="6" t="s">
        <v>555</v>
      </c>
      <c r="C718" s="6" t="s">
        <v>212</v>
      </c>
      <c r="D718" s="10" t="s">
        <v>2641</v>
      </c>
      <c r="E718" s="6" t="s">
        <v>2697</v>
      </c>
      <c r="F718" s="6" t="s">
        <v>1397</v>
      </c>
      <c r="G718" s="6" t="s">
        <v>1046</v>
      </c>
      <c r="H718" s="6" t="s">
        <v>1389</v>
      </c>
      <c r="I718" s="6" t="s">
        <v>124</v>
      </c>
      <c r="J718" s="6" t="s">
        <v>1390</v>
      </c>
    </row>
    <row r="719" spans="1:10">
      <c r="A719" s="6" t="s">
        <v>43</v>
      </c>
      <c r="B719" s="6" t="s">
        <v>555</v>
      </c>
      <c r="C719" s="6" t="s">
        <v>212</v>
      </c>
      <c r="D719" s="10" t="s">
        <v>2698</v>
      </c>
      <c r="E719" s="6" t="s">
        <v>2699</v>
      </c>
      <c r="F719" s="6" t="s">
        <v>1397</v>
      </c>
      <c r="G719" s="6" t="s">
        <v>2643</v>
      </c>
      <c r="H719" s="6" t="s">
        <v>1425</v>
      </c>
      <c r="I719" s="6" t="s">
        <v>124</v>
      </c>
      <c r="J719" s="6" t="s">
        <v>1390</v>
      </c>
    </row>
    <row r="720" spans="1:10">
      <c r="A720" s="6" t="s">
        <v>43</v>
      </c>
      <c r="B720" s="6" t="s">
        <v>555</v>
      </c>
      <c r="C720" s="6" t="s">
        <v>212</v>
      </c>
      <c r="D720" s="10" t="s">
        <v>2643</v>
      </c>
      <c r="E720" s="6" t="s">
        <v>2697</v>
      </c>
      <c r="F720" s="6" t="s">
        <v>1397</v>
      </c>
      <c r="G720" s="6" t="s">
        <v>1046</v>
      </c>
      <c r="H720" s="6" t="s">
        <v>1389</v>
      </c>
      <c r="I720" s="6" t="s">
        <v>124</v>
      </c>
      <c r="J720" s="6" t="s">
        <v>1390</v>
      </c>
    </row>
    <row r="721" spans="1:10">
      <c r="A721" s="6" t="s">
        <v>43</v>
      </c>
      <c r="B721" s="6" t="s">
        <v>555</v>
      </c>
      <c r="C721" s="6" t="s">
        <v>212</v>
      </c>
      <c r="D721" s="10" t="s">
        <v>2645</v>
      </c>
      <c r="E721" s="6" t="s">
        <v>2700</v>
      </c>
      <c r="F721" s="6" t="s">
        <v>1397</v>
      </c>
      <c r="G721" s="6" t="s">
        <v>1046</v>
      </c>
      <c r="H721" s="6" t="s">
        <v>1389</v>
      </c>
      <c r="I721" s="6" t="s">
        <v>124</v>
      </c>
      <c r="J721" s="6" t="s">
        <v>1390</v>
      </c>
    </row>
    <row r="722" spans="1:10">
      <c r="A722" s="6" t="s">
        <v>43</v>
      </c>
      <c r="B722" s="6" t="s">
        <v>555</v>
      </c>
      <c r="C722" s="6" t="s">
        <v>212</v>
      </c>
      <c r="D722" s="10" t="s">
        <v>2701</v>
      </c>
      <c r="E722" s="6" t="s">
        <v>2702</v>
      </c>
      <c r="F722" s="6" t="s">
        <v>1397</v>
      </c>
      <c r="G722" s="6" t="s">
        <v>2649</v>
      </c>
      <c r="H722" s="6" t="s">
        <v>1425</v>
      </c>
      <c r="I722" s="6" t="s">
        <v>124</v>
      </c>
      <c r="J722" s="6" t="s">
        <v>1390</v>
      </c>
    </row>
    <row r="723" spans="1:10">
      <c r="A723" s="6" t="s">
        <v>43</v>
      </c>
      <c r="B723" s="6" t="s">
        <v>555</v>
      </c>
      <c r="C723" s="6" t="s">
        <v>212</v>
      </c>
      <c r="D723" s="10" t="s">
        <v>2647</v>
      </c>
      <c r="E723" s="6" t="s">
        <v>2436</v>
      </c>
      <c r="F723" s="6" t="s">
        <v>1397</v>
      </c>
      <c r="G723" s="6" t="s">
        <v>1046</v>
      </c>
      <c r="H723" s="6" t="s">
        <v>1389</v>
      </c>
      <c r="I723" s="6" t="s">
        <v>124</v>
      </c>
      <c r="J723" s="6" t="s">
        <v>1390</v>
      </c>
    </row>
    <row r="724" spans="1:10">
      <c r="A724" s="6" t="s">
        <v>43</v>
      </c>
      <c r="B724" s="6" t="s">
        <v>555</v>
      </c>
      <c r="C724" s="6" t="s">
        <v>212</v>
      </c>
      <c r="D724" s="10" t="s">
        <v>2649</v>
      </c>
      <c r="E724" s="6" t="s">
        <v>2433</v>
      </c>
      <c r="F724" s="6" t="s">
        <v>1397</v>
      </c>
      <c r="G724" s="6" t="s">
        <v>1046</v>
      </c>
      <c r="H724" s="6" t="s">
        <v>1389</v>
      </c>
      <c r="I724" s="6" t="s">
        <v>124</v>
      </c>
      <c r="J724" s="6" t="s">
        <v>1390</v>
      </c>
    </row>
    <row r="725" spans="1:10">
      <c r="A725" s="6" t="s">
        <v>43</v>
      </c>
      <c r="B725" s="6" t="s">
        <v>555</v>
      </c>
      <c r="C725" s="6" t="s">
        <v>212</v>
      </c>
      <c r="D725" s="10" t="s">
        <v>2583</v>
      </c>
      <c r="E725" s="6" t="s">
        <v>2703</v>
      </c>
      <c r="F725" s="6" t="s">
        <v>1397</v>
      </c>
      <c r="G725" s="6" t="s">
        <v>1046</v>
      </c>
      <c r="H725" s="6" t="s">
        <v>1389</v>
      </c>
      <c r="I725" s="6" t="s">
        <v>124</v>
      </c>
      <c r="J725" s="6" t="s">
        <v>1390</v>
      </c>
    </row>
    <row r="726" spans="1:10">
      <c r="A726" s="6" t="s">
        <v>43</v>
      </c>
      <c r="B726" s="6" t="s">
        <v>555</v>
      </c>
      <c r="C726" s="6" t="s">
        <v>212</v>
      </c>
      <c r="D726" s="10" t="s">
        <v>2704</v>
      </c>
      <c r="E726" s="6" t="s">
        <v>2699</v>
      </c>
      <c r="F726" s="6" t="s">
        <v>1397</v>
      </c>
      <c r="G726" s="6" t="s">
        <v>2452</v>
      </c>
      <c r="H726" s="6" t="s">
        <v>1425</v>
      </c>
      <c r="I726" s="6" t="s">
        <v>124</v>
      </c>
      <c r="J726" s="6" t="s">
        <v>1390</v>
      </c>
    </row>
    <row r="727" spans="1:10">
      <c r="A727" s="6" t="s">
        <v>43</v>
      </c>
      <c r="B727" s="6" t="s">
        <v>555</v>
      </c>
      <c r="C727" s="6" t="s">
        <v>212</v>
      </c>
      <c r="D727" s="10" t="s">
        <v>2705</v>
      </c>
      <c r="E727" s="6" t="s">
        <v>2697</v>
      </c>
      <c r="F727" s="6" t="s">
        <v>1397</v>
      </c>
      <c r="G727" s="6" t="s">
        <v>2452</v>
      </c>
      <c r="H727" s="6" t="s">
        <v>1425</v>
      </c>
      <c r="I727" s="6" t="s">
        <v>124</v>
      </c>
      <c r="J727" s="6" t="s">
        <v>1390</v>
      </c>
    </row>
    <row r="728" spans="1:10">
      <c r="A728" s="6" t="s">
        <v>43</v>
      </c>
      <c r="B728" s="6" t="s">
        <v>555</v>
      </c>
      <c r="C728" s="6" t="s">
        <v>212</v>
      </c>
      <c r="D728" s="10" t="s">
        <v>2652</v>
      </c>
      <c r="E728" s="6" t="s">
        <v>2706</v>
      </c>
      <c r="F728" s="6" t="s">
        <v>1397</v>
      </c>
      <c r="G728" s="6" t="s">
        <v>1046</v>
      </c>
      <c r="H728" s="6" t="s">
        <v>1389</v>
      </c>
      <c r="I728" s="6" t="s">
        <v>124</v>
      </c>
      <c r="J728" s="6" t="s">
        <v>1390</v>
      </c>
    </row>
    <row r="729" spans="1:10">
      <c r="A729" s="6" t="s">
        <v>43</v>
      </c>
      <c r="B729" s="6" t="s">
        <v>555</v>
      </c>
      <c r="C729" s="6" t="s">
        <v>212</v>
      </c>
      <c r="D729" s="10" t="s">
        <v>2707</v>
      </c>
      <c r="E729" s="6" t="s">
        <v>2708</v>
      </c>
      <c r="F729" s="6" t="s">
        <v>1397</v>
      </c>
      <c r="G729" s="6" t="s">
        <v>2660</v>
      </c>
      <c r="H729" s="6" t="s">
        <v>1425</v>
      </c>
      <c r="I729" s="6" t="s">
        <v>124</v>
      </c>
      <c r="J729" s="6" t="s">
        <v>1390</v>
      </c>
    </row>
    <row r="730" spans="1:10">
      <c r="A730" s="6" t="s">
        <v>43</v>
      </c>
      <c r="B730" s="6" t="s">
        <v>555</v>
      </c>
      <c r="C730" s="6" t="s">
        <v>212</v>
      </c>
      <c r="D730" s="10" t="s">
        <v>2654</v>
      </c>
      <c r="E730" s="6" t="s">
        <v>2709</v>
      </c>
      <c r="F730" s="6" t="s">
        <v>1397</v>
      </c>
      <c r="G730" s="6" t="s">
        <v>1046</v>
      </c>
      <c r="H730" s="6" t="s">
        <v>1389</v>
      </c>
      <c r="I730" s="6" t="s">
        <v>124</v>
      </c>
      <c r="J730" s="6" t="s">
        <v>1390</v>
      </c>
    </row>
    <row r="731" spans="1:10">
      <c r="A731" s="6" t="s">
        <v>43</v>
      </c>
      <c r="B731" s="6" t="s">
        <v>555</v>
      </c>
      <c r="C731" s="6" t="s">
        <v>212</v>
      </c>
      <c r="D731" s="10" t="s">
        <v>2656</v>
      </c>
      <c r="E731" s="6" t="s">
        <v>2710</v>
      </c>
      <c r="F731" s="6" t="s">
        <v>1397</v>
      </c>
      <c r="G731" s="6" t="s">
        <v>1046</v>
      </c>
      <c r="H731" s="6" t="s">
        <v>1389</v>
      </c>
      <c r="I731" s="6" t="s">
        <v>124</v>
      </c>
      <c r="J731" s="6" t="s">
        <v>1390</v>
      </c>
    </row>
    <row r="732" spans="1:10">
      <c r="A732" s="6" t="s">
        <v>43</v>
      </c>
      <c r="B732" s="6" t="s">
        <v>555</v>
      </c>
      <c r="C732" s="6" t="s">
        <v>212</v>
      </c>
      <c r="D732" s="10" t="s">
        <v>2658</v>
      </c>
      <c r="E732" s="6" t="s">
        <v>2711</v>
      </c>
      <c r="F732" s="6" t="s">
        <v>1397</v>
      </c>
      <c r="G732" s="6" t="s">
        <v>1046</v>
      </c>
      <c r="H732" s="6" t="s">
        <v>1389</v>
      </c>
      <c r="I732" s="6" t="s">
        <v>124</v>
      </c>
      <c r="J732" s="6" t="s">
        <v>1390</v>
      </c>
    </row>
    <row r="733" spans="1:10">
      <c r="A733" s="6" t="s">
        <v>43</v>
      </c>
      <c r="B733" s="6" t="s">
        <v>555</v>
      </c>
      <c r="C733" s="6" t="s">
        <v>212</v>
      </c>
      <c r="D733" s="10" t="s">
        <v>2660</v>
      </c>
      <c r="E733" s="6" t="s">
        <v>2712</v>
      </c>
      <c r="F733" s="6" t="s">
        <v>1397</v>
      </c>
      <c r="G733" s="6" t="s">
        <v>1046</v>
      </c>
      <c r="H733" s="6" t="s">
        <v>1389</v>
      </c>
      <c r="I733" s="6" t="s">
        <v>124</v>
      </c>
      <c r="J733" s="6" t="s">
        <v>1390</v>
      </c>
    </row>
    <row r="734" spans="1:10">
      <c r="A734" s="6" t="s">
        <v>43</v>
      </c>
      <c r="B734" s="6" t="s">
        <v>555</v>
      </c>
      <c r="C734" s="6" t="s">
        <v>212</v>
      </c>
      <c r="D734" s="10" t="s">
        <v>2662</v>
      </c>
      <c r="E734" s="6" t="s">
        <v>2713</v>
      </c>
      <c r="F734" s="6" t="s">
        <v>1397</v>
      </c>
      <c r="G734" s="6" t="s">
        <v>1046</v>
      </c>
      <c r="H734" s="6" t="s">
        <v>1389</v>
      </c>
      <c r="I734" s="6" t="s">
        <v>124</v>
      </c>
      <c r="J734" s="6" t="s">
        <v>1390</v>
      </c>
    </row>
    <row r="735" spans="1:10">
      <c r="A735" s="6" t="s">
        <v>43</v>
      </c>
      <c r="B735" s="6" t="s">
        <v>555</v>
      </c>
      <c r="C735" s="6" t="s">
        <v>212</v>
      </c>
      <c r="D735" s="10" t="s">
        <v>2664</v>
      </c>
      <c r="E735" s="6" t="s">
        <v>2714</v>
      </c>
      <c r="F735" s="6" t="s">
        <v>1397</v>
      </c>
      <c r="G735" s="6" t="s">
        <v>1046</v>
      </c>
      <c r="H735" s="6" t="s">
        <v>1389</v>
      </c>
      <c r="I735" s="6" t="s">
        <v>124</v>
      </c>
      <c r="J735" s="6" t="s">
        <v>1390</v>
      </c>
    </row>
    <row r="736" spans="1:10">
      <c r="A736" s="6" t="s">
        <v>43</v>
      </c>
      <c r="B736" s="6" t="s">
        <v>555</v>
      </c>
      <c r="C736" s="6" t="s">
        <v>212</v>
      </c>
      <c r="D736" s="10" t="s">
        <v>2666</v>
      </c>
      <c r="E736" s="6" t="s">
        <v>2715</v>
      </c>
      <c r="F736" s="6" t="s">
        <v>1397</v>
      </c>
      <c r="G736" s="6" t="s">
        <v>1046</v>
      </c>
      <c r="H736" s="6" t="s">
        <v>1389</v>
      </c>
      <c r="I736" s="6" t="s">
        <v>124</v>
      </c>
      <c r="J736" s="6" t="s">
        <v>1390</v>
      </c>
    </row>
    <row r="737" spans="1:10">
      <c r="A737" s="6" t="s">
        <v>43</v>
      </c>
      <c r="B737" s="6" t="s">
        <v>555</v>
      </c>
      <c r="C737" s="6" t="s">
        <v>212</v>
      </c>
      <c r="D737" s="10" t="s">
        <v>2533</v>
      </c>
      <c r="E737" s="6" t="s">
        <v>2716</v>
      </c>
      <c r="F737" s="6" t="s">
        <v>1397</v>
      </c>
      <c r="G737" s="6" t="s">
        <v>1046</v>
      </c>
      <c r="H737" s="6" t="s">
        <v>1389</v>
      </c>
      <c r="I737" s="6" t="s">
        <v>124</v>
      </c>
      <c r="J737" s="6" t="s">
        <v>1390</v>
      </c>
    </row>
    <row r="738" spans="1:10">
      <c r="A738" s="6" t="s">
        <v>43</v>
      </c>
      <c r="B738" s="6" t="s">
        <v>555</v>
      </c>
      <c r="C738" s="6" t="s">
        <v>212</v>
      </c>
      <c r="D738" s="10" t="s">
        <v>2669</v>
      </c>
      <c r="E738" s="6" t="s">
        <v>2717</v>
      </c>
      <c r="F738" s="6" t="s">
        <v>1397</v>
      </c>
      <c r="G738" s="6" t="s">
        <v>1046</v>
      </c>
      <c r="H738" s="6" t="s">
        <v>1389</v>
      </c>
      <c r="I738" s="6" t="s">
        <v>124</v>
      </c>
      <c r="J738" s="6" t="s">
        <v>1390</v>
      </c>
    </row>
    <row r="739" spans="1:10">
      <c r="A739" s="6" t="s">
        <v>43</v>
      </c>
      <c r="B739" s="6" t="s">
        <v>555</v>
      </c>
      <c r="C739" s="6" t="s">
        <v>212</v>
      </c>
      <c r="D739" s="10" t="s">
        <v>2718</v>
      </c>
      <c r="E739" s="6" t="s">
        <v>2719</v>
      </c>
      <c r="F739" s="6" t="s">
        <v>1397</v>
      </c>
      <c r="G739" s="6" t="s">
        <v>2720</v>
      </c>
      <c r="H739" s="6" t="s">
        <v>1389</v>
      </c>
      <c r="I739" s="6" t="s">
        <v>124</v>
      </c>
      <c r="J739" s="6" t="s">
        <v>1390</v>
      </c>
    </row>
    <row r="740" spans="1:10">
      <c r="A740" s="6" t="s">
        <v>43</v>
      </c>
      <c r="B740" s="6" t="s">
        <v>555</v>
      </c>
      <c r="C740" s="6" t="s">
        <v>212</v>
      </c>
      <c r="D740" s="10" t="s">
        <v>2721</v>
      </c>
      <c r="E740" s="6" t="s">
        <v>2722</v>
      </c>
      <c r="F740" s="6" t="s">
        <v>1397</v>
      </c>
      <c r="G740" s="6" t="s">
        <v>2377</v>
      </c>
      <c r="H740" s="6" t="s">
        <v>1425</v>
      </c>
      <c r="I740" s="6" t="s">
        <v>124</v>
      </c>
      <c r="J740" s="6" t="s">
        <v>1390</v>
      </c>
    </row>
    <row r="741" spans="1:10">
      <c r="A741" s="6" t="s">
        <v>43</v>
      </c>
      <c r="B741" s="6" t="s">
        <v>555</v>
      </c>
      <c r="C741" s="6" t="s">
        <v>212</v>
      </c>
      <c r="D741" s="10" t="s">
        <v>2723</v>
      </c>
      <c r="E741" s="6" t="s">
        <v>2724</v>
      </c>
      <c r="F741" s="6" t="s">
        <v>1397</v>
      </c>
      <c r="G741" s="6" t="s">
        <v>2377</v>
      </c>
      <c r="H741" s="6" t="s">
        <v>1425</v>
      </c>
      <c r="I741" s="6" t="s">
        <v>124</v>
      </c>
      <c r="J741" s="6" t="s">
        <v>1390</v>
      </c>
    </row>
    <row r="742" spans="1:10">
      <c r="A742" s="6" t="s">
        <v>43</v>
      </c>
      <c r="B742" s="6" t="s">
        <v>555</v>
      </c>
      <c r="C742" s="6" t="s">
        <v>212</v>
      </c>
      <c r="D742" s="10" t="s">
        <v>2377</v>
      </c>
      <c r="E742" s="6" t="s">
        <v>2725</v>
      </c>
      <c r="F742" s="6" t="s">
        <v>1397</v>
      </c>
      <c r="G742" s="6" t="s">
        <v>1046</v>
      </c>
      <c r="H742" s="6" t="s">
        <v>1389</v>
      </c>
      <c r="I742" s="6" t="s">
        <v>124</v>
      </c>
      <c r="J742" s="6" t="s">
        <v>1390</v>
      </c>
    </row>
    <row r="743" spans="1:10">
      <c r="A743" s="6" t="s">
        <v>43</v>
      </c>
      <c r="B743" s="6" t="s">
        <v>555</v>
      </c>
      <c r="C743" s="6" t="s">
        <v>212</v>
      </c>
      <c r="D743" s="10" t="s">
        <v>2672</v>
      </c>
      <c r="E743" s="6" t="s">
        <v>2726</v>
      </c>
      <c r="F743" s="6" t="s">
        <v>1397</v>
      </c>
      <c r="G743" s="6" t="s">
        <v>1046</v>
      </c>
      <c r="H743" s="6" t="s">
        <v>1389</v>
      </c>
      <c r="I743" s="6" t="s">
        <v>124</v>
      </c>
      <c r="J743" s="6" t="s">
        <v>1390</v>
      </c>
    </row>
    <row r="744" spans="1:10">
      <c r="A744" s="6" t="s">
        <v>43</v>
      </c>
      <c r="B744" s="6" t="s">
        <v>555</v>
      </c>
      <c r="C744" s="6" t="s">
        <v>212</v>
      </c>
      <c r="D744" s="10" t="s">
        <v>2727</v>
      </c>
      <c r="E744" s="6" t="s">
        <v>2728</v>
      </c>
      <c r="F744" s="6" t="s">
        <v>1397</v>
      </c>
      <c r="G744" s="6" t="s">
        <v>2678</v>
      </c>
      <c r="H744" s="6" t="s">
        <v>1425</v>
      </c>
      <c r="I744" s="6" t="s">
        <v>124</v>
      </c>
      <c r="J744" s="6" t="s">
        <v>1390</v>
      </c>
    </row>
    <row r="745" spans="1:10">
      <c r="A745" s="6" t="s">
        <v>43</v>
      </c>
      <c r="B745" s="6" t="s">
        <v>555</v>
      </c>
      <c r="C745" s="6" t="s">
        <v>212</v>
      </c>
      <c r="D745" s="10" t="s">
        <v>2674</v>
      </c>
      <c r="E745" s="6" t="s">
        <v>2729</v>
      </c>
      <c r="F745" s="6" t="s">
        <v>1397</v>
      </c>
      <c r="G745" s="6" t="s">
        <v>1046</v>
      </c>
      <c r="H745" s="6" t="s">
        <v>1389</v>
      </c>
      <c r="I745" s="6" t="s">
        <v>124</v>
      </c>
      <c r="J745" s="6" t="s">
        <v>1390</v>
      </c>
    </row>
    <row r="746" spans="1:10">
      <c r="A746" s="6" t="s">
        <v>43</v>
      </c>
      <c r="B746" s="6" t="s">
        <v>555</v>
      </c>
      <c r="C746" s="6" t="s">
        <v>212</v>
      </c>
      <c r="D746" s="10" t="s">
        <v>2676</v>
      </c>
      <c r="E746" s="6" t="s">
        <v>2730</v>
      </c>
      <c r="F746" s="6" t="s">
        <v>1397</v>
      </c>
      <c r="G746" s="6" t="s">
        <v>1046</v>
      </c>
      <c r="H746" s="6" t="s">
        <v>1389</v>
      </c>
      <c r="I746" s="6" t="s">
        <v>124</v>
      </c>
      <c r="J746" s="6" t="s">
        <v>1390</v>
      </c>
    </row>
    <row r="747" spans="1:10">
      <c r="A747" s="6" t="s">
        <v>43</v>
      </c>
      <c r="B747" s="6" t="s">
        <v>555</v>
      </c>
      <c r="C747" s="6" t="s">
        <v>212</v>
      </c>
      <c r="D747" s="10" t="s">
        <v>2678</v>
      </c>
      <c r="E747" s="6" t="s">
        <v>2731</v>
      </c>
      <c r="F747" s="6" t="s">
        <v>1397</v>
      </c>
      <c r="G747" s="6" t="s">
        <v>1046</v>
      </c>
      <c r="H747" s="6" t="s">
        <v>1389</v>
      </c>
      <c r="I747" s="6" t="s">
        <v>124</v>
      </c>
      <c r="J747" s="6" t="s">
        <v>1390</v>
      </c>
    </row>
    <row r="748" spans="1:10">
      <c r="A748" s="6" t="s">
        <v>43</v>
      </c>
      <c r="B748" s="6" t="s">
        <v>555</v>
      </c>
      <c r="C748" s="6" t="s">
        <v>212</v>
      </c>
      <c r="D748" s="10" t="s">
        <v>2680</v>
      </c>
      <c r="E748" s="6" t="s">
        <v>2732</v>
      </c>
      <c r="F748" s="6" t="s">
        <v>1397</v>
      </c>
      <c r="G748" s="6" t="s">
        <v>1046</v>
      </c>
      <c r="H748" s="6" t="s">
        <v>1389</v>
      </c>
      <c r="I748" s="6" t="s">
        <v>124</v>
      </c>
      <c r="J748" s="6" t="s">
        <v>1390</v>
      </c>
    </row>
    <row r="749" spans="1:10">
      <c r="A749" s="6" t="s">
        <v>43</v>
      </c>
      <c r="B749" s="6" t="s">
        <v>555</v>
      </c>
      <c r="C749" s="6" t="s">
        <v>212</v>
      </c>
      <c r="D749" s="10" t="s">
        <v>2368</v>
      </c>
      <c r="E749" s="6" t="s">
        <v>2733</v>
      </c>
      <c r="F749" s="6" t="s">
        <v>1397</v>
      </c>
      <c r="G749" s="6" t="s">
        <v>1046</v>
      </c>
      <c r="H749" s="6" t="s">
        <v>1389</v>
      </c>
      <c r="I749" s="6" t="s">
        <v>124</v>
      </c>
      <c r="J749" s="6" t="s">
        <v>1390</v>
      </c>
    </row>
    <row r="750" spans="1:10">
      <c r="A750" s="6" t="s">
        <v>43</v>
      </c>
      <c r="B750" s="6" t="s">
        <v>555</v>
      </c>
      <c r="C750" s="6" t="s">
        <v>212</v>
      </c>
      <c r="D750" s="10" t="s">
        <v>2734</v>
      </c>
      <c r="E750" s="6" t="s">
        <v>243</v>
      </c>
      <c r="F750" s="6" t="s">
        <v>1397</v>
      </c>
      <c r="G750" s="6" t="s">
        <v>1046</v>
      </c>
      <c r="H750" s="6" t="s">
        <v>1389</v>
      </c>
      <c r="I750" s="6" t="s">
        <v>124</v>
      </c>
      <c r="J750" s="6" t="s">
        <v>1390</v>
      </c>
    </row>
    <row r="751" spans="1:10">
      <c r="A751" s="6" t="s">
        <v>43</v>
      </c>
      <c r="B751" s="6" t="s">
        <v>555</v>
      </c>
      <c r="C751" s="6" t="s">
        <v>212</v>
      </c>
      <c r="D751" s="10" t="s">
        <v>2735</v>
      </c>
      <c r="E751" s="6" t="s">
        <v>2736</v>
      </c>
      <c r="F751" s="6" t="s">
        <v>1397</v>
      </c>
      <c r="G751" s="6" t="s">
        <v>1046</v>
      </c>
      <c r="H751" s="6" t="s">
        <v>1389</v>
      </c>
      <c r="I751" s="6" t="s">
        <v>124</v>
      </c>
      <c r="J751" s="6" t="s">
        <v>1390</v>
      </c>
    </row>
    <row r="752" spans="1:10">
      <c r="A752" s="6" t="s">
        <v>43</v>
      </c>
      <c r="B752" s="6" t="s">
        <v>555</v>
      </c>
      <c r="C752" s="6" t="s">
        <v>212</v>
      </c>
      <c r="D752" s="10" t="s">
        <v>2737</v>
      </c>
      <c r="E752" s="6" t="s">
        <v>2738</v>
      </c>
      <c r="F752" s="6" t="s">
        <v>1397</v>
      </c>
      <c r="G752" s="6" t="s">
        <v>1046</v>
      </c>
      <c r="H752" s="6" t="s">
        <v>1389</v>
      </c>
      <c r="I752" s="6" t="s">
        <v>124</v>
      </c>
      <c r="J752" s="6" t="s">
        <v>1390</v>
      </c>
    </row>
    <row r="753" spans="1:10">
      <c r="A753" s="6" t="s">
        <v>43</v>
      </c>
      <c r="B753" s="6" t="s">
        <v>555</v>
      </c>
      <c r="C753" s="6" t="s">
        <v>212</v>
      </c>
      <c r="D753" s="10" t="s">
        <v>2739</v>
      </c>
      <c r="E753" s="6" t="s">
        <v>2740</v>
      </c>
      <c r="F753" s="6" t="s">
        <v>1397</v>
      </c>
      <c r="G753" s="6" t="s">
        <v>1046</v>
      </c>
      <c r="H753" s="6" t="s">
        <v>1389</v>
      </c>
      <c r="I753" s="6" t="s">
        <v>124</v>
      </c>
      <c r="J753" s="6" t="s">
        <v>1390</v>
      </c>
    </row>
    <row r="754" spans="1:10">
      <c r="A754" s="6" t="s">
        <v>43</v>
      </c>
      <c r="B754" s="6" t="s">
        <v>555</v>
      </c>
      <c r="C754" s="6" t="s">
        <v>212</v>
      </c>
      <c r="D754" s="10" t="s">
        <v>2741</v>
      </c>
      <c r="E754" s="6" t="s">
        <v>2742</v>
      </c>
      <c r="F754" s="6" t="s">
        <v>1397</v>
      </c>
      <c r="G754" s="6" t="s">
        <v>1046</v>
      </c>
      <c r="H754" s="6" t="s">
        <v>1389</v>
      </c>
      <c r="I754" s="6" t="s">
        <v>124</v>
      </c>
      <c r="J754" s="6" t="s">
        <v>1390</v>
      </c>
    </row>
    <row r="755" spans="1:10">
      <c r="A755" s="6" t="s">
        <v>43</v>
      </c>
      <c r="B755" s="6" t="s">
        <v>555</v>
      </c>
      <c r="C755" s="6" t="s">
        <v>212</v>
      </c>
      <c r="D755" s="10" t="s">
        <v>2743</v>
      </c>
      <c r="E755" s="6" t="s">
        <v>2744</v>
      </c>
      <c r="F755" s="6" t="s">
        <v>1397</v>
      </c>
      <c r="G755" s="6" t="s">
        <v>1046</v>
      </c>
      <c r="H755" s="6" t="s">
        <v>1389</v>
      </c>
      <c r="I755" s="6" t="s">
        <v>124</v>
      </c>
      <c r="J755" s="6" t="s">
        <v>1390</v>
      </c>
    </row>
    <row r="756" spans="1:10">
      <c r="A756" s="6" t="s">
        <v>43</v>
      </c>
      <c r="B756" s="6" t="s">
        <v>555</v>
      </c>
      <c r="C756" s="6" t="s">
        <v>212</v>
      </c>
      <c r="D756" s="10" t="s">
        <v>2745</v>
      </c>
      <c r="E756" s="6" t="s">
        <v>2746</v>
      </c>
      <c r="F756" s="6" t="s">
        <v>1397</v>
      </c>
      <c r="G756" s="6" t="s">
        <v>1046</v>
      </c>
      <c r="H756" s="6" t="s">
        <v>1389</v>
      </c>
      <c r="I756" s="6" t="s">
        <v>124</v>
      </c>
      <c r="J756" s="6" t="s">
        <v>1390</v>
      </c>
    </row>
    <row r="757" spans="1:10">
      <c r="A757" s="6" t="s">
        <v>43</v>
      </c>
      <c r="B757" s="6" t="s">
        <v>555</v>
      </c>
      <c r="C757" s="6" t="s">
        <v>212</v>
      </c>
      <c r="D757" s="10" t="s">
        <v>2747</v>
      </c>
      <c r="E757" s="6" t="s">
        <v>2748</v>
      </c>
      <c r="F757" s="6" t="s">
        <v>1397</v>
      </c>
      <c r="G757" s="6" t="s">
        <v>1046</v>
      </c>
      <c r="H757" s="6" t="s">
        <v>1389</v>
      </c>
      <c r="I757" s="6" t="s">
        <v>124</v>
      </c>
      <c r="J757" s="6" t="s">
        <v>1390</v>
      </c>
    </row>
    <row r="758" spans="1:10">
      <c r="A758" s="6" t="s">
        <v>43</v>
      </c>
      <c r="B758" s="6" t="s">
        <v>555</v>
      </c>
      <c r="C758" s="6" t="s">
        <v>212</v>
      </c>
      <c r="D758" s="10" t="s">
        <v>2749</v>
      </c>
      <c r="E758" s="6" t="s">
        <v>2750</v>
      </c>
      <c r="F758" s="6" t="s">
        <v>1397</v>
      </c>
      <c r="G758" s="6" t="s">
        <v>1046</v>
      </c>
      <c r="H758" s="6" t="s">
        <v>1389</v>
      </c>
      <c r="I758" s="6" t="s">
        <v>124</v>
      </c>
      <c r="J758" s="6" t="s">
        <v>1390</v>
      </c>
    </row>
    <row r="759" spans="1:10">
      <c r="A759" s="6" t="s">
        <v>43</v>
      </c>
      <c r="B759" s="6" t="s">
        <v>555</v>
      </c>
      <c r="C759" s="6" t="s">
        <v>212</v>
      </c>
      <c r="D759" s="10" t="s">
        <v>2751</v>
      </c>
      <c r="E759" s="6" t="s">
        <v>2752</v>
      </c>
      <c r="F759" s="6" t="s">
        <v>1397</v>
      </c>
      <c r="G759" s="6" t="s">
        <v>1046</v>
      </c>
      <c r="H759" s="6" t="s">
        <v>1389</v>
      </c>
      <c r="I759" s="6" t="s">
        <v>124</v>
      </c>
      <c r="J759" s="6" t="s">
        <v>1390</v>
      </c>
    </row>
    <row r="760" spans="1:10">
      <c r="A760" s="6" t="s">
        <v>43</v>
      </c>
      <c r="B760" s="6" t="s">
        <v>555</v>
      </c>
      <c r="C760" s="6" t="s">
        <v>212</v>
      </c>
      <c r="D760" s="10" t="s">
        <v>2753</v>
      </c>
      <c r="E760" s="6" t="s">
        <v>2754</v>
      </c>
      <c r="F760" s="6" t="s">
        <v>1397</v>
      </c>
      <c r="G760" s="6" t="s">
        <v>1046</v>
      </c>
      <c r="H760" s="6" t="s">
        <v>1389</v>
      </c>
      <c r="I760" s="6" t="s">
        <v>124</v>
      </c>
      <c r="J760" s="6" t="s">
        <v>1390</v>
      </c>
    </row>
    <row r="761" spans="1:10">
      <c r="A761" s="6" t="s">
        <v>43</v>
      </c>
      <c r="B761" s="6" t="s">
        <v>555</v>
      </c>
      <c r="C761" s="6" t="s">
        <v>212</v>
      </c>
      <c r="D761" s="10" t="s">
        <v>2755</v>
      </c>
      <c r="E761" s="6" t="s">
        <v>2756</v>
      </c>
      <c r="F761" s="6" t="s">
        <v>1397</v>
      </c>
      <c r="G761" s="6" t="s">
        <v>1046</v>
      </c>
      <c r="H761" s="6" t="s">
        <v>1389</v>
      </c>
      <c r="I761" s="6" t="s">
        <v>124</v>
      </c>
      <c r="J761" s="6" t="s">
        <v>1390</v>
      </c>
    </row>
    <row r="762" spans="1:10">
      <c r="A762" s="6" t="s">
        <v>43</v>
      </c>
      <c r="B762" s="6" t="s">
        <v>555</v>
      </c>
      <c r="C762" s="6" t="s">
        <v>212</v>
      </c>
      <c r="D762" s="10" t="s">
        <v>2757</v>
      </c>
      <c r="E762" s="6" t="s">
        <v>2758</v>
      </c>
      <c r="F762" s="6" t="s">
        <v>1397</v>
      </c>
      <c r="G762" s="6" t="s">
        <v>1046</v>
      </c>
      <c r="H762" s="6" t="s">
        <v>1389</v>
      </c>
      <c r="I762" s="6" t="s">
        <v>124</v>
      </c>
      <c r="J762" s="6" t="s">
        <v>1390</v>
      </c>
    </row>
    <row r="763" spans="1:10">
      <c r="A763" s="6" t="s">
        <v>43</v>
      </c>
      <c r="B763" s="6" t="s">
        <v>555</v>
      </c>
      <c r="C763" s="6" t="s">
        <v>212</v>
      </c>
      <c r="D763" s="10" t="s">
        <v>2759</v>
      </c>
      <c r="E763" s="6" t="s">
        <v>2760</v>
      </c>
      <c r="F763" s="6" t="s">
        <v>1397</v>
      </c>
      <c r="G763" s="6" t="s">
        <v>1046</v>
      </c>
      <c r="H763" s="6" t="s">
        <v>1389</v>
      </c>
      <c r="I763" s="6" t="s">
        <v>124</v>
      </c>
      <c r="J763" s="6" t="s">
        <v>1390</v>
      </c>
    </row>
    <row r="764" spans="1:10">
      <c r="A764" s="6" t="s">
        <v>43</v>
      </c>
      <c r="B764" s="6" t="s">
        <v>555</v>
      </c>
      <c r="C764" s="6" t="s">
        <v>212</v>
      </c>
      <c r="D764" s="10" t="s">
        <v>2761</v>
      </c>
      <c r="E764" s="6" t="s">
        <v>2762</v>
      </c>
      <c r="F764" s="6" t="s">
        <v>1397</v>
      </c>
      <c r="G764" s="6" t="s">
        <v>1046</v>
      </c>
      <c r="H764" s="6" t="s">
        <v>1389</v>
      </c>
      <c r="I764" s="6" t="s">
        <v>124</v>
      </c>
      <c r="J764" s="6" t="s">
        <v>1390</v>
      </c>
    </row>
    <row r="765" spans="1:10">
      <c r="A765" s="6" t="s">
        <v>43</v>
      </c>
      <c r="B765" s="6" t="s">
        <v>555</v>
      </c>
      <c r="C765" s="6" t="s">
        <v>212</v>
      </c>
      <c r="D765" s="10" t="s">
        <v>2763</v>
      </c>
      <c r="E765" s="6" t="s">
        <v>2764</v>
      </c>
      <c r="F765" s="6" t="s">
        <v>1397</v>
      </c>
      <c r="G765" s="6" t="s">
        <v>1046</v>
      </c>
      <c r="H765" s="6" t="s">
        <v>1389</v>
      </c>
      <c r="I765" s="6" t="s">
        <v>124</v>
      </c>
      <c r="J765" s="6" t="s">
        <v>1390</v>
      </c>
    </row>
    <row r="766" spans="1:10">
      <c r="A766" s="6" t="s">
        <v>43</v>
      </c>
      <c r="B766" s="6" t="s">
        <v>555</v>
      </c>
      <c r="C766" s="6" t="s">
        <v>212</v>
      </c>
      <c r="D766" s="10" t="s">
        <v>2765</v>
      </c>
      <c r="E766" s="6" t="s">
        <v>2766</v>
      </c>
      <c r="F766" s="6" t="s">
        <v>1397</v>
      </c>
      <c r="G766" s="6" t="s">
        <v>1046</v>
      </c>
      <c r="H766" s="6" t="s">
        <v>1389</v>
      </c>
      <c r="I766" s="6" t="s">
        <v>124</v>
      </c>
      <c r="J766" s="6" t="s">
        <v>1390</v>
      </c>
    </row>
    <row r="767" spans="1:10">
      <c r="A767" s="6" t="s">
        <v>43</v>
      </c>
      <c r="B767" s="6" t="s">
        <v>555</v>
      </c>
      <c r="C767" s="6" t="s">
        <v>212</v>
      </c>
      <c r="D767" s="10" t="s">
        <v>2767</v>
      </c>
      <c r="E767" s="6" t="s">
        <v>2768</v>
      </c>
      <c r="F767" s="6" t="s">
        <v>1397</v>
      </c>
      <c r="G767" s="6" t="s">
        <v>1046</v>
      </c>
      <c r="H767" s="6" t="s">
        <v>1389</v>
      </c>
      <c r="I767" s="6" t="s">
        <v>124</v>
      </c>
      <c r="J767" s="6" t="s">
        <v>1390</v>
      </c>
    </row>
    <row r="768" spans="1:10">
      <c r="A768" s="6" t="s">
        <v>43</v>
      </c>
      <c r="B768" s="6" t="s">
        <v>555</v>
      </c>
      <c r="C768" s="6" t="s">
        <v>212</v>
      </c>
      <c r="D768" s="10" t="s">
        <v>2769</v>
      </c>
      <c r="E768" s="6" t="s">
        <v>2770</v>
      </c>
      <c r="F768" s="6" t="s">
        <v>1397</v>
      </c>
      <c r="G768" s="6" t="s">
        <v>1046</v>
      </c>
      <c r="H768" s="6" t="s">
        <v>1389</v>
      </c>
      <c r="I768" s="6" t="s">
        <v>124</v>
      </c>
      <c r="J768" s="6" t="s">
        <v>1390</v>
      </c>
    </row>
    <row r="769" spans="1:10">
      <c r="A769" s="6" t="s">
        <v>43</v>
      </c>
      <c r="B769" s="6" t="s">
        <v>555</v>
      </c>
      <c r="C769" s="6" t="s">
        <v>212</v>
      </c>
      <c r="D769" s="10" t="s">
        <v>2771</v>
      </c>
      <c r="E769" s="6" t="s">
        <v>2772</v>
      </c>
      <c r="F769" s="6" t="s">
        <v>1397</v>
      </c>
      <c r="G769" s="6" t="s">
        <v>1046</v>
      </c>
      <c r="H769" s="6" t="s">
        <v>1389</v>
      </c>
      <c r="I769" s="6" t="s">
        <v>124</v>
      </c>
      <c r="J769" s="6" t="s">
        <v>1390</v>
      </c>
    </row>
    <row r="770" spans="1:10">
      <c r="A770" s="6" t="s">
        <v>43</v>
      </c>
      <c r="B770" s="6" t="s">
        <v>555</v>
      </c>
      <c r="C770" s="6" t="s">
        <v>212</v>
      </c>
      <c r="D770" s="10" t="s">
        <v>2773</v>
      </c>
      <c r="E770" s="6" t="s">
        <v>2774</v>
      </c>
      <c r="F770" s="6" t="s">
        <v>1397</v>
      </c>
      <c r="G770" s="6" t="s">
        <v>1046</v>
      </c>
      <c r="H770" s="6" t="s">
        <v>1389</v>
      </c>
      <c r="I770" s="6" t="s">
        <v>124</v>
      </c>
      <c r="J770" s="6" t="s">
        <v>1390</v>
      </c>
    </row>
    <row r="771" spans="1:10">
      <c r="A771" s="6" t="s">
        <v>43</v>
      </c>
      <c r="B771" s="6" t="s">
        <v>555</v>
      </c>
      <c r="C771" s="6" t="s">
        <v>212</v>
      </c>
      <c r="D771" s="10" t="s">
        <v>2775</v>
      </c>
      <c r="E771" s="6" t="s">
        <v>2776</v>
      </c>
      <c r="F771" s="6" t="s">
        <v>1397</v>
      </c>
      <c r="G771" s="6" t="s">
        <v>1046</v>
      </c>
      <c r="H771" s="6" t="s">
        <v>1389</v>
      </c>
      <c r="I771" s="6" t="s">
        <v>124</v>
      </c>
      <c r="J771" s="6" t="s">
        <v>1390</v>
      </c>
    </row>
    <row r="772" spans="1:10">
      <c r="A772" s="6" t="s">
        <v>43</v>
      </c>
      <c r="B772" s="6" t="s">
        <v>555</v>
      </c>
      <c r="C772" s="6" t="s">
        <v>212</v>
      </c>
      <c r="D772" s="10" t="s">
        <v>2777</v>
      </c>
      <c r="E772" s="6" t="s">
        <v>2778</v>
      </c>
      <c r="F772" s="6" t="s">
        <v>1397</v>
      </c>
      <c r="G772" s="6" t="s">
        <v>1046</v>
      </c>
      <c r="H772" s="6" t="s">
        <v>1389</v>
      </c>
      <c r="I772" s="6" t="s">
        <v>124</v>
      </c>
      <c r="J772" s="6" t="s">
        <v>1390</v>
      </c>
    </row>
    <row r="773" spans="1:10">
      <c r="A773" s="6" t="s">
        <v>43</v>
      </c>
      <c r="B773" s="6" t="s">
        <v>555</v>
      </c>
      <c r="C773" s="6" t="s">
        <v>212</v>
      </c>
      <c r="D773" s="10" t="s">
        <v>2779</v>
      </c>
      <c r="E773" s="6" t="s">
        <v>2780</v>
      </c>
      <c r="F773" s="6" t="s">
        <v>1397</v>
      </c>
      <c r="G773" s="6" t="s">
        <v>1046</v>
      </c>
      <c r="H773" s="6" t="s">
        <v>1389</v>
      </c>
      <c r="I773" s="6" t="s">
        <v>124</v>
      </c>
      <c r="J773" s="6" t="s">
        <v>1390</v>
      </c>
    </row>
    <row r="774" spans="1:10">
      <c r="A774" s="6" t="s">
        <v>43</v>
      </c>
      <c r="B774" s="6" t="s">
        <v>555</v>
      </c>
      <c r="C774" s="6" t="s">
        <v>212</v>
      </c>
      <c r="D774" s="10" t="s">
        <v>2781</v>
      </c>
      <c r="E774" s="6" t="s">
        <v>2782</v>
      </c>
      <c r="F774" s="6" t="s">
        <v>1397</v>
      </c>
      <c r="G774" s="6" t="s">
        <v>1046</v>
      </c>
      <c r="H774" s="6" t="s">
        <v>1389</v>
      </c>
      <c r="I774" s="6" t="s">
        <v>124</v>
      </c>
      <c r="J774" s="6" t="s">
        <v>1390</v>
      </c>
    </row>
    <row r="775" spans="1:10">
      <c r="A775" s="6" t="s">
        <v>43</v>
      </c>
      <c r="B775" s="6" t="s">
        <v>555</v>
      </c>
      <c r="C775" s="6" t="s">
        <v>212</v>
      </c>
      <c r="D775" s="10" t="s">
        <v>2783</v>
      </c>
      <c r="E775" s="6" t="s">
        <v>2784</v>
      </c>
      <c r="F775" s="6" t="s">
        <v>1397</v>
      </c>
      <c r="G775" s="6" t="s">
        <v>1046</v>
      </c>
      <c r="H775" s="6" t="s">
        <v>1389</v>
      </c>
      <c r="I775" s="6" t="s">
        <v>124</v>
      </c>
      <c r="J775" s="6" t="s">
        <v>1390</v>
      </c>
    </row>
    <row r="776" spans="1:10">
      <c r="A776" s="6" t="s">
        <v>43</v>
      </c>
      <c r="B776" s="6" t="s">
        <v>555</v>
      </c>
      <c r="C776" s="6" t="s">
        <v>212</v>
      </c>
      <c r="D776" s="10" t="s">
        <v>2785</v>
      </c>
      <c r="E776" s="6" t="s">
        <v>2786</v>
      </c>
      <c r="F776" s="6" t="s">
        <v>1397</v>
      </c>
      <c r="G776" s="6" t="s">
        <v>1046</v>
      </c>
      <c r="H776" s="6" t="s">
        <v>1389</v>
      </c>
      <c r="I776" s="6" t="s">
        <v>124</v>
      </c>
      <c r="J776" s="6" t="s">
        <v>1390</v>
      </c>
    </row>
    <row r="777" spans="1:10">
      <c r="A777" s="6" t="s">
        <v>43</v>
      </c>
      <c r="B777" s="6" t="s">
        <v>555</v>
      </c>
      <c r="C777" s="6" t="s">
        <v>212</v>
      </c>
      <c r="D777" s="10" t="s">
        <v>2787</v>
      </c>
      <c r="E777" s="6" t="s">
        <v>2788</v>
      </c>
      <c r="F777" s="6" t="s">
        <v>1397</v>
      </c>
      <c r="G777" s="6" t="s">
        <v>1046</v>
      </c>
      <c r="H777" s="6" t="s">
        <v>1389</v>
      </c>
      <c r="I777" s="6" t="s">
        <v>124</v>
      </c>
      <c r="J777" s="6" t="s">
        <v>1390</v>
      </c>
    </row>
    <row r="778" spans="1:10">
      <c r="A778" s="6" t="s">
        <v>43</v>
      </c>
      <c r="B778" s="6" t="s">
        <v>555</v>
      </c>
      <c r="C778" s="6" t="s">
        <v>212</v>
      </c>
      <c r="D778" s="10" t="s">
        <v>2789</v>
      </c>
      <c r="E778" s="6" t="s">
        <v>2790</v>
      </c>
      <c r="F778" s="6" t="s">
        <v>1397</v>
      </c>
      <c r="G778" s="6" t="s">
        <v>1046</v>
      </c>
      <c r="H778" s="6" t="s">
        <v>1389</v>
      </c>
      <c r="I778" s="6" t="s">
        <v>124</v>
      </c>
      <c r="J778" s="6" t="s">
        <v>1390</v>
      </c>
    </row>
    <row r="779" spans="1:10">
      <c r="A779" s="6" t="s">
        <v>43</v>
      </c>
      <c r="B779" s="6" t="s">
        <v>555</v>
      </c>
      <c r="C779" s="6" t="s">
        <v>212</v>
      </c>
      <c r="D779" s="10" t="s">
        <v>2791</v>
      </c>
      <c r="E779" s="6" t="s">
        <v>2792</v>
      </c>
      <c r="F779" s="6" t="s">
        <v>1397</v>
      </c>
      <c r="G779" s="6" t="s">
        <v>1046</v>
      </c>
      <c r="H779" s="6" t="s">
        <v>1389</v>
      </c>
      <c r="I779" s="6" t="s">
        <v>124</v>
      </c>
      <c r="J779" s="6" t="s">
        <v>1390</v>
      </c>
    </row>
    <row r="780" spans="1:10">
      <c r="A780" s="6" t="s">
        <v>43</v>
      </c>
      <c r="B780" s="6" t="s">
        <v>555</v>
      </c>
      <c r="C780" s="6" t="s">
        <v>212</v>
      </c>
      <c r="D780" s="10" t="s">
        <v>2793</v>
      </c>
      <c r="E780" s="6" t="s">
        <v>2794</v>
      </c>
      <c r="F780" s="6" t="s">
        <v>1397</v>
      </c>
      <c r="G780" s="6" t="s">
        <v>1046</v>
      </c>
      <c r="H780" s="6" t="s">
        <v>1389</v>
      </c>
      <c r="I780" s="6" t="s">
        <v>124</v>
      </c>
      <c r="J780" s="6" t="s">
        <v>1390</v>
      </c>
    </row>
    <row r="781" spans="1:10">
      <c r="A781" s="6" t="s">
        <v>43</v>
      </c>
      <c r="B781" s="6" t="s">
        <v>555</v>
      </c>
      <c r="C781" s="6" t="s">
        <v>212</v>
      </c>
      <c r="D781" s="10" t="s">
        <v>2795</v>
      </c>
      <c r="E781" s="6" t="s">
        <v>2796</v>
      </c>
      <c r="F781" s="6" t="s">
        <v>1397</v>
      </c>
      <c r="G781" s="6" t="s">
        <v>1046</v>
      </c>
      <c r="H781" s="6" t="s">
        <v>1389</v>
      </c>
      <c r="I781" s="6" t="s">
        <v>124</v>
      </c>
      <c r="J781" s="6" t="s">
        <v>1390</v>
      </c>
    </row>
    <row r="782" spans="1:10">
      <c r="A782" s="6" t="s">
        <v>43</v>
      </c>
      <c r="B782" s="6" t="s">
        <v>555</v>
      </c>
      <c r="C782" s="6" t="s">
        <v>212</v>
      </c>
      <c r="D782" s="10" t="s">
        <v>2797</v>
      </c>
      <c r="E782" s="6" t="s">
        <v>2798</v>
      </c>
      <c r="F782" s="6" t="s">
        <v>1397</v>
      </c>
      <c r="G782" s="6" t="s">
        <v>1046</v>
      </c>
      <c r="H782" s="6" t="s">
        <v>1389</v>
      </c>
      <c r="I782" s="6" t="s">
        <v>124</v>
      </c>
      <c r="J782" s="6" t="s">
        <v>1390</v>
      </c>
    </row>
    <row r="783" spans="1:10">
      <c r="A783" s="6" t="s">
        <v>43</v>
      </c>
      <c r="B783" s="6" t="s">
        <v>555</v>
      </c>
      <c r="C783" s="6" t="s">
        <v>212</v>
      </c>
      <c r="D783" s="10" t="s">
        <v>2799</v>
      </c>
      <c r="E783" s="6" t="s">
        <v>2800</v>
      </c>
      <c r="F783" s="6" t="s">
        <v>1397</v>
      </c>
      <c r="G783" s="6" t="s">
        <v>1046</v>
      </c>
      <c r="H783" s="6" t="s">
        <v>1389</v>
      </c>
      <c r="I783" s="6" t="s">
        <v>124</v>
      </c>
      <c r="J783" s="6" t="s">
        <v>1390</v>
      </c>
    </row>
    <row r="784" spans="1:10">
      <c r="A784" s="6" t="s">
        <v>43</v>
      </c>
      <c r="B784" s="6" t="s">
        <v>555</v>
      </c>
      <c r="C784" s="6" t="s">
        <v>212</v>
      </c>
      <c r="D784" s="10" t="s">
        <v>2801</v>
      </c>
      <c r="E784" s="6" t="s">
        <v>2802</v>
      </c>
      <c r="F784" s="6" t="s">
        <v>1397</v>
      </c>
      <c r="G784" s="6" t="s">
        <v>1046</v>
      </c>
      <c r="H784" s="6" t="s">
        <v>1389</v>
      </c>
      <c r="I784" s="6" t="s">
        <v>124</v>
      </c>
      <c r="J784" s="6" t="s">
        <v>1390</v>
      </c>
    </row>
    <row r="785" spans="1:10">
      <c r="A785" s="6" t="s">
        <v>43</v>
      </c>
      <c r="B785" s="6" t="s">
        <v>555</v>
      </c>
      <c r="C785" s="6" t="s">
        <v>212</v>
      </c>
      <c r="D785" s="10" t="s">
        <v>2803</v>
      </c>
      <c r="E785" s="6" t="s">
        <v>2804</v>
      </c>
      <c r="F785" s="6" t="s">
        <v>1397</v>
      </c>
      <c r="G785" s="6" t="s">
        <v>1046</v>
      </c>
      <c r="H785" s="6" t="s">
        <v>1389</v>
      </c>
      <c r="I785" s="6" t="s">
        <v>124</v>
      </c>
      <c r="J785" s="6" t="s">
        <v>1390</v>
      </c>
    </row>
    <row r="786" spans="1:10">
      <c r="A786" s="6" t="s">
        <v>43</v>
      </c>
      <c r="B786" s="6" t="s">
        <v>555</v>
      </c>
      <c r="C786" s="6" t="s">
        <v>212</v>
      </c>
      <c r="D786" s="10" t="s">
        <v>2805</v>
      </c>
      <c r="E786" s="6" t="s">
        <v>2806</v>
      </c>
      <c r="F786" s="6" t="s">
        <v>1397</v>
      </c>
      <c r="G786" s="6" t="s">
        <v>1046</v>
      </c>
      <c r="H786" s="6" t="s">
        <v>1389</v>
      </c>
      <c r="I786" s="6" t="s">
        <v>124</v>
      </c>
      <c r="J786" s="6" t="s">
        <v>1390</v>
      </c>
    </row>
    <row r="787" spans="1:10">
      <c r="A787" s="6" t="s">
        <v>43</v>
      </c>
      <c r="B787" s="6" t="s">
        <v>555</v>
      </c>
      <c r="C787" s="6" t="s">
        <v>212</v>
      </c>
      <c r="D787" s="10" t="s">
        <v>2807</v>
      </c>
      <c r="E787" s="6" t="s">
        <v>2808</v>
      </c>
      <c r="F787" s="6" t="s">
        <v>1397</v>
      </c>
      <c r="G787" s="6" t="s">
        <v>1046</v>
      </c>
      <c r="H787" s="6" t="s">
        <v>1389</v>
      </c>
      <c r="I787" s="6" t="s">
        <v>124</v>
      </c>
      <c r="J787" s="6" t="s">
        <v>1390</v>
      </c>
    </row>
    <row r="788" spans="1:10">
      <c r="A788" s="6" t="s">
        <v>43</v>
      </c>
      <c r="B788" s="6" t="s">
        <v>555</v>
      </c>
      <c r="C788" s="6" t="s">
        <v>212</v>
      </c>
      <c r="D788" s="10" t="s">
        <v>2809</v>
      </c>
      <c r="E788" s="6" t="s">
        <v>2810</v>
      </c>
      <c r="F788" s="6" t="s">
        <v>1397</v>
      </c>
      <c r="G788" s="6" t="s">
        <v>1046</v>
      </c>
      <c r="H788" s="6" t="s">
        <v>1389</v>
      </c>
      <c r="I788" s="6" t="s">
        <v>124</v>
      </c>
      <c r="J788" s="6" t="s">
        <v>1390</v>
      </c>
    </row>
    <row r="789" spans="1:10">
      <c r="A789" s="6" t="s">
        <v>43</v>
      </c>
      <c r="B789" s="6" t="s">
        <v>555</v>
      </c>
      <c r="C789" s="6" t="s">
        <v>212</v>
      </c>
      <c r="D789" s="10" t="s">
        <v>2811</v>
      </c>
      <c r="E789" s="6" t="s">
        <v>2812</v>
      </c>
      <c r="F789" s="6" t="s">
        <v>1397</v>
      </c>
      <c r="G789" s="6" t="s">
        <v>1046</v>
      </c>
      <c r="H789" s="6" t="s">
        <v>1389</v>
      </c>
      <c r="I789" s="6" t="s">
        <v>124</v>
      </c>
      <c r="J789" s="6" t="s">
        <v>1390</v>
      </c>
    </row>
    <row r="790" spans="1:10">
      <c r="A790" s="6" t="s">
        <v>43</v>
      </c>
      <c r="B790" s="6" t="s">
        <v>555</v>
      </c>
      <c r="C790" s="6" t="s">
        <v>212</v>
      </c>
      <c r="D790" s="10" t="s">
        <v>2813</v>
      </c>
      <c r="E790" s="6" t="s">
        <v>2814</v>
      </c>
      <c r="F790" s="6" t="s">
        <v>1397</v>
      </c>
      <c r="G790" s="6" t="s">
        <v>1046</v>
      </c>
      <c r="H790" s="6" t="s">
        <v>1389</v>
      </c>
      <c r="I790" s="6" t="s">
        <v>124</v>
      </c>
      <c r="J790" s="6" t="s">
        <v>1390</v>
      </c>
    </row>
    <row r="791" spans="1:10">
      <c r="A791" s="6" t="s">
        <v>43</v>
      </c>
      <c r="B791" s="6" t="s">
        <v>555</v>
      </c>
      <c r="C791" s="6" t="s">
        <v>212</v>
      </c>
      <c r="D791" s="10" t="s">
        <v>2815</v>
      </c>
      <c r="E791" s="6" t="s">
        <v>2816</v>
      </c>
      <c r="F791" s="6" t="s">
        <v>1397</v>
      </c>
      <c r="G791" s="6" t="s">
        <v>1046</v>
      </c>
      <c r="H791" s="6" t="s">
        <v>1389</v>
      </c>
      <c r="I791" s="6" t="s">
        <v>124</v>
      </c>
      <c r="J791" s="6" t="s">
        <v>1390</v>
      </c>
    </row>
    <row r="792" spans="1:10">
      <c r="A792" s="6" t="s">
        <v>43</v>
      </c>
      <c r="B792" s="6" t="s">
        <v>555</v>
      </c>
      <c r="C792" s="6" t="s">
        <v>212</v>
      </c>
      <c r="D792" s="10" t="s">
        <v>2817</v>
      </c>
      <c r="E792" s="6" t="s">
        <v>2818</v>
      </c>
      <c r="F792" s="6" t="s">
        <v>1397</v>
      </c>
      <c r="G792" s="6" t="s">
        <v>1046</v>
      </c>
      <c r="H792" s="6" t="s">
        <v>1389</v>
      </c>
      <c r="I792" s="6" t="s">
        <v>124</v>
      </c>
      <c r="J792" s="6" t="s">
        <v>1390</v>
      </c>
    </row>
    <row r="793" spans="1:10">
      <c r="A793" s="6" t="s">
        <v>43</v>
      </c>
      <c r="B793" s="6" t="s">
        <v>555</v>
      </c>
      <c r="C793" s="6" t="s">
        <v>212</v>
      </c>
      <c r="D793" s="10" t="s">
        <v>2819</v>
      </c>
      <c r="E793" s="6" t="s">
        <v>2820</v>
      </c>
      <c r="F793" s="6" t="s">
        <v>1397</v>
      </c>
      <c r="G793" s="6" t="s">
        <v>1046</v>
      </c>
      <c r="H793" s="6" t="s">
        <v>1389</v>
      </c>
      <c r="I793" s="6" t="s">
        <v>124</v>
      </c>
      <c r="J793" s="6" t="s">
        <v>1390</v>
      </c>
    </row>
    <row r="794" spans="1:10">
      <c r="A794" s="6" t="s">
        <v>43</v>
      </c>
      <c r="B794" s="6" t="s">
        <v>555</v>
      </c>
      <c r="C794" s="6" t="s">
        <v>212</v>
      </c>
      <c r="D794" s="10" t="s">
        <v>2821</v>
      </c>
      <c r="E794" s="6" t="s">
        <v>2822</v>
      </c>
      <c r="F794" s="6" t="s">
        <v>1397</v>
      </c>
      <c r="G794" s="6" t="s">
        <v>1046</v>
      </c>
      <c r="H794" s="6" t="s">
        <v>1389</v>
      </c>
      <c r="I794" s="6" t="s">
        <v>124</v>
      </c>
      <c r="J794" s="6" t="s">
        <v>1390</v>
      </c>
    </row>
    <row r="795" spans="1:10">
      <c r="A795" s="6" t="s">
        <v>43</v>
      </c>
      <c r="B795" s="6" t="s">
        <v>555</v>
      </c>
      <c r="C795" s="6" t="s">
        <v>212</v>
      </c>
      <c r="D795" s="10" t="s">
        <v>2823</v>
      </c>
      <c r="E795" s="6" t="s">
        <v>2824</v>
      </c>
      <c r="F795" s="6" t="s">
        <v>1397</v>
      </c>
      <c r="G795" s="6" t="s">
        <v>1046</v>
      </c>
      <c r="H795" s="6" t="s">
        <v>1389</v>
      </c>
      <c r="I795" s="6" t="s">
        <v>124</v>
      </c>
      <c r="J795" s="6" t="s">
        <v>1390</v>
      </c>
    </row>
    <row r="796" spans="1:10">
      <c r="A796" s="6" t="s">
        <v>43</v>
      </c>
      <c r="B796" s="6" t="s">
        <v>555</v>
      </c>
      <c r="C796" s="6" t="s">
        <v>212</v>
      </c>
      <c r="D796" s="10" t="s">
        <v>2825</v>
      </c>
      <c r="E796" s="6" t="s">
        <v>2826</v>
      </c>
      <c r="F796" s="6" t="s">
        <v>1397</v>
      </c>
      <c r="G796" s="6" t="s">
        <v>1046</v>
      </c>
      <c r="H796" s="6" t="s">
        <v>1389</v>
      </c>
      <c r="I796" s="6" t="s">
        <v>124</v>
      </c>
      <c r="J796" s="6" t="s">
        <v>1390</v>
      </c>
    </row>
    <row r="797" spans="1:10">
      <c r="A797" s="6" t="s">
        <v>43</v>
      </c>
      <c r="B797" s="6" t="s">
        <v>555</v>
      </c>
      <c r="C797" s="6" t="s">
        <v>212</v>
      </c>
      <c r="D797" s="10" t="s">
        <v>2827</v>
      </c>
      <c r="E797" s="6" t="s">
        <v>2828</v>
      </c>
      <c r="F797" s="6" t="s">
        <v>1397</v>
      </c>
      <c r="G797" s="6" t="s">
        <v>1046</v>
      </c>
      <c r="H797" s="6" t="s">
        <v>1389</v>
      </c>
      <c r="I797" s="6" t="s">
        <v>124</v>
      </c>
      <c r="J797" s="6" t="s">
        <v>1390</v>
      </c>
    </row>
    <row r="798" spans="1:10">
      <c r="A798" s="6" t="s">
        <v>43</v>
      </c>
      <c r="B798" s="6" t="s">
        <v>555</v>
      </c>
      <c r="C798" s="6" t="s">
        <v>212</v>
      </c>
      <c r="D798" s="10" t="s">
        <v>2829</v>
      </c>
      <c r="E798" s="6" t="s">
        <v>2830</v>
      </c>
      <c r="F798" s="6" t="s">
        <v>1397</v>
      </c>
      <c r="G798" s="6" t="s">
        <v>1046</v>
      </c>
      <c r="H798" s="6" t="s">
        <v>1389</v>
      </c>
      <c r="I798" s="6" t="s">
        <v>124</v>
      </c>
      <c r="J798" s="6" t="s">
        <v>1390</v>
      </c>
    </row>
    <row r="799" spans="1:10">
      <c r="A799" s="6" t="s">
        <v>43</v>
      </c>
      <c r="B799" s="6" t="s">
        <v>555</v>
      </c>
      <c r="C799" s="6" t="s">
        <v>212</v>
      </c>
      <c r="D799" s="10" t="s">
        <v>2831</v>
      </c>
      <c r="E799" s="6" t="s">
        <v>2832</v>
      </c>
      <c r="F799" s="6" t="s">
        <v>1397</v>
      </c>
      <c r="G799" s="6" t="s">
        <v>1046</v>
      </c>
      <c r="H799" s="6" t="s">
        <v>1389</v>
      </c>
      <c r="I799" s="6" t="s">
        <v>124</v>
      </c>
      <c r="J799" s="6" t="s">
        <v>1390</v>
      </c>
    </row>
    <row r="800" spans="1:10">
      <c r="A800" s="6" t="s">
        <v>43</v>
      </c>
      <c r="B800" s="6" t="s">
        <v>555</v>
      </c>
      <c r="C800" s="6" t="s">
        <v>212</v>
      </c>
      <c r="D800" s="10" t="s">
        <v>2833</v>
      </c>
      <c r="E800" s="6" t="s">
        <v>2834</v>
      </c>
      <c r="F800" s="6" t="s">
        <v>1397</v>
      </c>
      <c r="G800" s="6" t="s">
        <v>1046</v>
      </c>
      <c r="H800" s="6" t="s">
        <v>1389</v>
      </c>
      <c r="I800" s="6" t="s">
        <v>124</v>
      </c>
      <c r="J800" s="6" t="s">
        <v>1390</v>
      </c>
    </row>
    <row r="801" spans="1:10">
      <c r="A801" s="6" t="s">
        <v>43</v>
      </c>
      <c r="B801" s="6" t="s">
        <v>555</v>
      </c>
      <c r="C801" s="6" t="s">
        <v>212</v>
      </c>
      <c r="D801" s="10" t="s">
        <v>2835</v>
      </c>
      <c r="E801" s="6" t="s">
        <v>2836</v>
      </c>
      <c r="F801" s="6" t="s">
        <v>1397</v>
      </c>
      <c r="G801" s="6" t="s">
        <v>1046</v>
      </c>
      <c r="H801" s="6" t="s">
        <v>1389</v>
      </c>
      <c r="I801" s="6" t="s">
        <v>124</v>
      </c>
      <c r="J801" s="6" t="s">
        <v>1390</v>
      </c>
    </row>
    <row r="802" spans="1:10">
      <c r="A802" s="6" t="s">
        <v>43</v>
      </c>
      <c r="B802" s="6" t="s">
        <v>555</v>
      </c>
      <c r="C802" s="6" t="s">
        <v>212</v>
      </c>
      <c r="D802" s="10" t="s">
        <v>2837</v>
      </c>
      <c r="E802" s="6" t="s">
        <v>2838</v>
      </c>
      <c r="F802" s="6" t="s">
        <v>1397</v>
      </c>
      <c r="G802" s="6" t="s">
        <v>1046</v>
      </c>
      <c r="H802" s="6" t="s">
        <v>1389</v>
      </c>
      <c r="I802" s="6" t="s">
        <v>124</v>
      </c>
      <c r="J802" s="6" t="s">
        <v>1390</v>
      </c>
    </row>
    <row r="803" spans="1:10">
      <c r="A803" s="6" t="s">
        <v>43</v>
      </c>
      <c r="B803" s="6" t="s">
        <v>555</v>
      </c>
      <c r="C803" s="6" t="s">
        <v>212</v>
      </c>
      <c r="D803" s="10" t="s">
        <v>2839</v>
      </c>
      <c r="E803" s="6" t="s">
        <v>2840</v>
      </c>
      <c r="F803" s="6" t="s">
        <v>1397</v>
      </c>
      <c r="G803" s="6" t="s">
        <v>1046</v>
      </c>
      <c r="H803" s="6" t="s">
        <v>1389</v>
      </c>
      <c r="I803" s="6" t="s">
        <v>124</v>
      </c>
      <c r="J803" s="6" t="s">
        <v>1390</v>
      </c>
    </row>
    <row r="804" spans="1:10">
      <c r="A804" s="6" t="s">
        <v>43</v>
      </c>
      <c r="B804" s="6" t="s">
        <v>555</v>
      </c>
      <c r="C804" s="6" t="s">
        <v>212</v>
      </c>
      <c r="D804" s="10" t="s">
        <v>2841</v>
      </c>
      <c r="E804" s="6" t="s">
        <v>2842</v>
      </c>
      <c r="F804" s="6" t="s">
        <v>1397</v>
      </c>
      <c r="G804" s="6" t="s">
        <v>1046</v>
      </c>
      <c r="H804" s="6" t="s">
        <v>1389</v>
      </c>
      <c r="I804" s="6" t="s">
        <v>124</v>
      </c>
      <c r="J804" s="6" t="s">
        <v>1390</v>
      </c>
    </row>
    <row r="805" spans="1:10">
      <c r="A805" s="6" t="s">
        <v>43</v>
      </c>
      <c r="B805" s="6" t="s">
        <v>555</v>
      </c>
      <c r="C805" s="6" t="s">
        <v>212</v>
      </c>
      <c r="D805" s="10" t="s">
        <v>2843</v>
      </c>
      <c r="E805" s="6" t="s">
        <v>2844</v>
      </c>
      <c r="F805" s="6" t="s">
        <v>1397</v>
      </c>
      <c r="G805" s="6" t="s">
        <v>1046</v>
      </c>
      <c r="H805" s="6" t="s">
        <v>1389</v>
      </c>
      <c r="I805" s="6" t="s">
        <v>124</v>
      </c>
      <c r="J805" s="6" t="s">
        <v>1390</v>
      </c>
    </row>
    <row r="806" spans="1:10">
      <c r="A806" s="6" t="s">
        <v>43</v>
      </c>
      <c r="B806" s="6" t="s">
        <v>555</v>
      </c>
      <c r="C806" s="6" t="s">
        <v>212</v>
      </c>
      <c r="D806" s="10" t="s">
        <v>2845</v>
      </c>
      <c r="E806" s="6" t="s">
        <v>2846</v>
      </c>
      <c r="F806" s="6" t="s">
        <v>1397</v>
      </c>
      <c r="G806" s="6" t="s">
        <v>1046</v>
      </c>
      <c r="H806" s="6" t="s">
        <v>1389</v>
      </c>
      <c r="I806" s="6" t="s">
        <v>124</v>
      </c>
      <c r="J806" s="6" t="s">
        <v>1390</v>
      </c>
    </row>
    <row r="807" spans="1:10">
      <c r="A807" s="6" t="s">
        <v>43</v>
      </c>
      <c r="B807" s="6" t="s">
        <v>555</v>
      </c>
      <c r="C807" s="6" t="s">
        <v>212</v>
      </c>
      <c r="D807" s="10" t="s">
        <v>2847</v>
      </c>
      <c r="E807" s="6" t="s">
        <v>2848</v>
      </c>
      <c r="F807" s="6" t="s">
        <v>1397</v>
      </c>
      <c r="G807" s="6" t="s">
        <v>1046</v>
      </c>
      <c r="H807" s="6" t="s">
        <v>1389</v>
      </c>
      <c r="I807" s="6" t="s">
        <v>124</v>
      </c>
      <c r="J807" s="6" t="s">
        <v>1390</v>
      </c>
    </row>
    <row r="808" spans="1:10">
      <c r="A808" s="6" t="s">
        <v>43</v>
      </c>
      <c r="B808" s="6" t="s">
        <v>555</v>
      </c>
      <c r="C808" s="6" t="s">
        <v>212</v>
      </c>
      <c r="D808" s="10" t="s">
        <v>2849</v>
      </c>
      <c r="E808" s="6" t="s">
        <v>2850</v>
      </c>
      <c r="F808" s="6" t="s">
        <v>1397</v>
      </c>
      <c r="G808" s="6" t="s">
        <v>1046</v>
      </c>
      <c r="H808" s="6" t="s">
        <v>1389</v>
      </c>
      <c r="I808" s="6" t="s">
        <v>124</v>
      </c>
      <c r="J808" s="6" t="s">
        <v>1390</v>
      </c>
    </row>
    <row r="809" spans="1:10">
      <c r="A809" s="6" t="s">
        <v>43</v>
      </c>
      <c r="B809" s="6" t="s">
        <v>555</v>
      </c>
      <c r="C809" s="6" t="s">
        <v>212</v>
      </c>
      <c r="D809" s="10" t="s">
        <v>2851</v>
      </c>
      <c r="E809" s="6" t="s">
        <v>2852</v>
      </c>
      <c r="F809" s="6" t="s">
        <v>1397</v>
      </c>
      <c r="G809" s="6" t="s">
        <v>1046</v>
      </c>
      <c r="H809" s="6" t="s">
        <v>1389</v>
      </c>
      <c r="I809" s="6" t="s">
        <v>124</v>
      </c>
      <c r="J809" s="6" t="s">
        <v>1390</v>
      </c>
    </row>
    <row r="810" spans="1:10">
      <c r="A810" s="6" t="s">
        <v>43</v>
      </c>
      <c r="B810" s="6" t="s">
        <v>555</v>
      </c>
      <c r="C810" s="6" t="s">
        <v>212</v>
      </c>
      <c r="D810" s="10" t="s">
        <v>2853</v>
      </c>
      <c r="E810" s="6" t="s">
        <v>2854</v>
      </c>
      <c r="F810" s="6" t="s">
        <v>1397</v>
      </c>
      <c r="G810" s="6" t="s">
        <v>1046</v>
      </c>
      <c r="H810" s="6" t="s">
        <v>1389</v>
      </c>
      <c r="I810" s="6" t="s">
        <v>124</v>
      </c>
      <c r="J810" s="6" t="s">
        <v>1390</v>
      </c>
    </row>
    <row r="811" spans="1:10">
      <c r="A811" s="6" t="s">
        <v>43</v>
      </c>
      <c r="B811" s="6" t="s">
        <v>555</v>
      </c>
      <c r="C811" s="6" t="s">
        <v>212</v>
      </c>
      <c r="D811" s="10" t="s">
        <v>2855</v>
      </c>
      <c r="E811" s="6" t="s">
        <v>2856</v>
      </c>
      <c r="F811" s="6" t="s">
        <v>1397</v>
      </c>
      <c r="G811" s="6" t="s">
        <v>1046</v>
      </c>
      <c r="H811" s="6" t="s">
        <v>1389</v>
      </c>
      <c r="I811" s="6" t="s">
        <v>124</v>
      </c>
      <c r="J811" s="6" t="s">
        <v>1390</v>
      </c>
    </row>
    <row r="812" spans="1:10">
      <c r="A812" s="6" t="s">
        <v>43</v>
      </c>
      <c r="B812" s="6" t="s">
        <v>555</v>
      </c>
      <c r="C812" s="6" t="s">
        <v>212</v>
      </c>
      <c r="D812" s="10" t="s">
        <v>2857</v>
      </c>
      <c r="E812" s="6" t="s">
        <v>2858</v>
      </c>
      <c r="F812" s="6" t="s">
        <v>1397</v>
      </c>
      <c r="G812" s="6" t="s">
        <v>1046</v>
      </c>
      <c r="H812" s="6" t="s">
        <v>1389</v>
      </c>
      <c r="I812" s="6" t="s">
        <v>124</v>
      </c>
      <c r="J812" s="6" t="s">
        <v>1390</v>
      </c>
    </row>
    <row r="813" spans="1:10">
      <c r="A813" s="6" t="s">
        <v>43</v>
      </c>
      <c r="B813" s="6" t="s">
        <v>555</v>
      </c>
      <c r="C813" s="6" t="s">
        <v>212</v>
      </c>
      <c r="D813" s="10" t="s">
        <v>2859</v>
      </c>
      <c r="E813" s="6" t="s">
        <v>2860</v>
      </c>
      <c r="F813" s="6" t="s">
        <v>1397</v>
      </c>
      <c r="G813" s="6" t="s">
        <v>1046</v>
      </c>
      <c r="H813" s="6" t="s">
        <v>1389</v>
      </c>
      <c r="I813" s="6" t="s">
        <v>124</v>
      </c>
      <c r="J813" s="6" t="s">
        <v>1390</v>
      </c>
    </row>
    <row r="814" spans="1:10">
      <c r="A814" s="6" t="s">
        <v>43</v>
      </c>
      <c r="B814" s="6" t="s">
        <v>555</v>
      </c>
      <c r="C814" s="6" t="s">
        <v>212</v>
      </c>
      <c r="D814" s="10" t="s">
        <v>2861</v>
      </c>
      <c r="E814" s="6" t="s">
        <v>2862</v>
      </c>
      <c r="F814" s="6" t="s">
        <v>1397</v>
      </c>
      <c r="G814" s="6" t="s">
        <v>1046</v>
      </c>
      <c r="H814" s="6" t="s">
        <v>1389</v>
      </c>
      <c r="I814" s="6" t="s">
        <v>124</v>
      </c>
      <c r="J814" s="6" t="s">
        <v>1390</v>
      </c>
    </row>
    <row r="815" spans="1:10">
      <c r="A815" s="6" t="s">
        <v>43</v>
      </c>
      <c r="B815" s="6" t="s">
        <v>555</v>
      </c>
      <c r="C815" s="6" t="s">
        <v>212</v>
      </c>
      <c r="D815" s="10" t="s">
        <v>2863</v>
      </c>
      <c r="E815" s="6" t="s">
        <v>2864</v>
      </c>
      <c r="F815" s="6" t="s">
        <v>1397</v>
      </c>
      <c r="G815" s="6" t="s">
        <v>1046</v>
      </c>
      <c r="H815" s="6" t="s">
        <v>1389</v>
      </c>
      <c r="I815" s="6" t="s">
        <v>124</v>
      </c>
      <c r="J815" s="6" t="s">
        <v>1390</v>
      </c>
    </row>
    <row r="816" spans="1:10">
      <c r="A816" s="6" t="s">
        <v>43</v>
      </c>
      <c r="B816" s="6" t="s">
        <v>555</v>
      </c>
      <c r="C816" s="6" t="s">
        <v>212</v>
      </c>
      <c r="D816" s="10" t="s">
        <v>2865</v>
      </c>
      <c r="E816" s="6" t="s">
        <v>2866</v>
      </c>
      <c r="F816" s="6" t="s">
        <v>1397</v>
      </c>
      <c r="G816" s="6" t="s">
        <v>1046</v>
      </c>
      <c r="H816" s="6" t="s">
        <v>1389</v>
      </c>
      <c r="I816" s="6" t="s">
        <v>124</v>
      </c>
      <c r="J816" s="6" t="s">
        <v>1390</v>
      </c>
    </row>
    <row r="817" spans="1:10">
      <c r="A817" s="6" t="s">
        <v>43</v>
      </c>
      <c r="B817" s="6" t="s">
        <v>555</v>
      </c>
      <c r="C817" s="6" t="s">
        <v>212</v>
      </c>
      <c r="D817" s="10" t="s">
        <v>2867</v>
      </c>
      <c r="E817" s="6" t="s">
        <v>2868</v>
      </c>
      <c r="F817" s="6" t="s">
        <v>1397</v>
      </c>
      <c r="G817" s="6" t="s">
        <v>1046</v>
      </c>
      <c r="H817" s="6" t="s">
        <v>1389</v>
      </c>
      <c r="I817" s="6" t="s">
        <v>124</v>
      </c>
      <c r="J817" s="6" t="s">
        <v>1390</v>
      </c>
    </row>
    <row r="818" spans="1:10">
      <c r="A818" s="6" t="s">
        <v>43</v>
      </c>
      <c r="B818" s="6" t="s">
        <v>555</v>
      </c>
      <c r="C818" s="6" t="s">
        <v>212</v>
      </c>
      <c r="D818" s="10" t="s">
        <v>2869</v>
      </c>
      <c r="E818" s="6" t="s">
        <v>2870</v>
      </c>
      <c r="F818" s="6" t="s">
        <v>1397</v>
      </c>
      <c r="G818" s="6" t="s">
        <v>1046</v>
      </c>
      <c r="H818" s="6" t="s">
        <v>1389</v>
      </c>
      <c r="I818" s="6" t="s">
        <v>124</v>
      </c>
      <c r="J818" s="6" t="s">
        <v>1390</v>
      </c>
    </row>
    <row r="819" spans="1:10">
      <c r="A819" s="6" t="s">
        <v>43</v>
      </c>
      <c r="B819" s="6" t="s">
        <v>555</v>
      </c>
      <c r="C819" s="6" t="s">
        <v>212</v>
      </c>
      <c r="D819" s="10" t="s">
        <v>2871</v>
      </c>
      <c r="E819" s="6" t="s">
        <v>2872</v>
      </c>
      <c r="F819" s="6" t="s">
        <v>1397</v>
      </c>
      <c r="G819" s="6" t="s">
        <v>1046</v>
      </c>
      <c r="H819" s="6" t="s">
        <v>1389</v>
      </c>
      <c r="I819" s="6" t="s">
        <v>124</v>
      </c>
      <c r="J819" s="6" t="s">
        <v>1390</v>
      </c>
    </row>
    <row r="820" spans="1:10">
      <c r="A820" s="6" t="s">
        <v>43</v>
      </c>
      <c r="B820" s="6" t="s">
        <v>555</v>
      </c>
      <c r="C820" s="6" t="s">
        <v>212</v>
      </c>
      <c r="D820" s="10" t="s">
        <v>2873</v>
      </c>
      <c r="E820" s="6" t="s">
        <v>2874</v>
      </c>
      <c r="F820" s="6" t="s">
        <v>1397</v>
      </c>
      <c r="G820" s="6" t="s">
        <v>1046</v>
      </c>
      <c r="H820" s="6" t="s">
        <v>1389</v>
      </c>
      <c r="I820" s="6" t="s">
        <v>124</v>
      </c>
      <c r="J820" s="6" t="s">
        <v>1390</v>
      </c>
    </row>
    <row r="821" spans="1:10">
      <c r="A821" s="6" t="s">
        <v>43</v>
      </c>
      <c r="B821" s="6" t="s">
        <v>555</v>
      </c>
      <c r="C821" s="6" t="s">
        <v>212</v>
      </c>
      <c r="D821" s="10" t="s">
        <v>2875</v>
      </c>
      <c r="E821" s="6" t="s">
        <v>2876</v>
      </c>
      <c r="F821" s="6" t="s">
        <v>1397</v>
      </c>
      <c r="G821" s="6" t="s">
        <v>1058</v>
      </c>
      <c r="H821" s="6" t="s">
        <v>1389</v>
      </c>
      <c r="I821" s="6" t="s">
        <v>124</v>
      </c>
      <c r="J821" s="6" t="s">
        <v>1390</v>
      </c>
    </row>
    <row r="822" spans="1:10">
      <c r="A822" s="6" t="s">
        <v>43</v>
      </c>
      <c r="B822" s="6" t="s">
        <v>555</v>
      </c>
      <c r="C822" s="6" t="s">
        <v>212</v>
      </c>
      <c r="D822" s="10" t="s">
        <v>2877</v>
      </c>
      <c r="E822" s="6" t="s">
        <v>2878</v>
      </c>
      <c r="F822" s="6" t="s">
        <v>1397</v>
      </c>
      <c r="G822" s="6" t="s">
        <v>1046</v>
      </c>
      <c r="H822" s="6" t="s">
        <v>1389</v>
      </c>
      <c r="I822" s="6" t="s">
        <v>124</v>
      </c>
      <c r="J822" s="6" t="s">
        <v>1390</v>
      </c>
    </row>
    <row r="823" spans="1:10">
      <c r="A823" s="6" t="s">
        <v>43</v>
      </c>
      <c r="B823" s="6" t="s">
        <v>555</v>
      </c>
      <c r="C823" s="6" t="s">
        <v>212</v>
      </c>
      <c r="D823" s="10" t="s">
        <v>2879</v>
      </c>
      <c r="E823" s="6" t="s">
        <v>2880</v>
      </c>
      <c r="F823" s="6" t="s">
        <v>1397</v>
      </c>
      <c r="G823" s="6" t="s">
        <v>1046</v>
      </c>
      <c r="H823" s="6" t="s">
        <v>1389</v>
      </c>
      <c r="I823" s="6" t="s">
        <v>124</v>
      </c>
      <c r="J823" s="6" t="s">
        <v>1390</v>
      </c>
    </row>
    <row r="824" spans="1:10">
      <c r="A824" s="6" t="s">
        <v>43</v>
      </c>
      <c r="B824" s="6" t="s">
        <v>555</v>
      </c>
      <c r="C824" s="6" t="s">
        <v>212</v>
      </c>
      <c r="D824" s="10" t="s">
        <v>2881</v>
      </c>
      <c r="E824" s="6" t="s">
        <v>2882</v>
      </c>
      <c r="F824" s="6" t="s">
        <v>1397</v>
      </c>
      <c r="G824" s="6" t="s">
        <v>1046</v>
      </c>
      <c r="H824" s="6" t="s">
        <v>1389</v>
      </c>
      <c r="I824" s="6" t="s">
        <v>124</v>
      </c>
      <c r="J824" s="6" t="s">
        <v>1390</v>
      </c>
    </row>
    <row r="825" spans="1:10">
      <c r="A825" s="6" t="s">
        <v>43</v>
      </c>
      <c r="B825" s="6" t="s">
        <v>555</v>
      </c>
      <c r="C825" s="6" t="s">
        <v>212</v>
      </c>
      <c r="D825" s="10" t="s">
        <v>2883</v>
      </c>
      <c r="E825" s="6" t="s">
        <v>2884</v>
      </c>
      <c r="F825" s="6" t="s">
        <v>1397</v>
      </c>
      <c r="G825" s="6" t="s">
        <v>1046</v>
      </c>
      <c r="H825" s="6" t="s">
        <v>1389</v>
      </c>
      <c r="I825" s="6" t="s">
        <v>124</v>
      </c>
      <c r="J825" s="6" t="s">
        <v>1390</v>
      </c>
    </row>
    <row r="826" spans="1:10">
      <c r="A826" s="6" t="s">
        <v>43</v>
      </c>
      <c r="B826" s="6" t="s">
        <v>555</v>
      </c>
      <c r="C826" s="6" t="s">
        <v>212</v>
      </c>
      <c r="D826" s="10" t="s">
        <v>2885</v>
      </c>
      <c r="E826" s="6" t="s">
        <v>2886</v>
      </c>
      <c r="F826" s="6" t="s">
        <v>1397</v>
      </c>
      <c r="G826" s="6" t="s">
        <v>1046</v>
      </c>
      <c r="H826" s="6" t="s">
        <v>1389</v>
      </c>
      <c r="I826" s="6" t="s">
        <v>124</v>
      </c>
      <c r="J826" s="6" t="s">
        <v>1390</v>
      </c>
    </row>
    <row r="827" spans="1:10">
      <c r="A827" s="6" t="s">
        <v>43</v>
      </c>
      <c r="B827" s="6" t="s">
        <v>555</v>
      </c>
      <c r="C827" s="6" t="s">
        <v>212</v>
      </c>
      <c r="D827" s="10" t="s">
        <v>2887</v>
      </c>
      <c r="E827" s="6" t="s">
        <v>2888</v>
      </c>
      <c r="F827" s="6" t="s">
        <v>1397</v>
      </c>
      <c r="G827" s="6" t="s">
        <v>1046</v>
      </c>
      <c r="H827" s="6" t="s">
        <v>1389</v>
      </c>
      <c r="I827" s="6" t="s">
        <v>124</v>
      </c>
      <c r="J827" s="6" t="s">
        <v>1390</v>
      </c>
    </row>
    <row r="828" spans="1:10">
      <c r="A828" s="6" t="s">
        <v>43</v>
      </c>
      <c r="B828" s="6" t="s">
        <v>555</v>
      </c>
      <c r="C828" s="6" t="s">
        <v>212</v>
      </c>
      <c r="D828" s="10" t="s">
        <v>2889</v>
      </c>
      <c r="E828" s="6" t="s">
        <v>2890</v>
      </c>
      <c r="F828" s="6" t="s">
        <v>1397</v>
      </c>
      <c r="G828" s="6" t="s">
        <v>1046</v>
      </c>
      <c r="H828" s="6" t="s">
        <v>1389</v>
      </c>
      <c r="I828" s="6" t="s">
        <v>124</v>
      </c>
      <c r="J828" s="6" t="s">
        <v>1390</v>
      </c>
    </row>
  </sheetData>
  <autoFilter ref="A1:J828" xr:uid="{00000000-0009-0000-0000-000006000000}"/>
  <hyperlinks>
    <hyperlink ref="D2" r:id="rId1" xr:uid="{00000000-0004-0000-0600-000000000000}"/>
    <hyperlink ref="D3" r:id="rId2" xr:uid="{00000000-0004-0000-0600-000001000000}"/>
    <hyperlink ref="D4" r:id="rId3" xr:uid="{00000000-0004-0000-0600-000002000000}"/>
    <hyperlink ref="D5" r:id="rId4" xr:uid="{00000000-0004-0000-0600-000003000000}"/>
    <hyperlink ref="D6" r:id="rId5" xr:uid="{00000000-0004-0000-0600-000004000000}"/>
    <hyperlink ref="D7" r:id="rId6" xr:uid="{00000000-0004-0000-0600-000005000000}"/>
    <hyperlink ref="D8" r:id="rId7" xr:uid="{00000000-0004-0000-0600-000006000000}"/>
    <hyperlink ref="D9" r:id="rId8" xr:uid="{00000000-0004-0000-0600-000007000000}"/>
    <hyperlink ref="D10" r:id="rId9" xr:uid="{00000000-0004-0000-0600-000008000000}"/>
    <hyperlink ref="D11" r:id="rId10" xr:uid="{00000000-0004-0000-0600-000009000000}"/>
    <hyperlink ref="D12" r:id="rId11" xr:uid="{00000000-0004-0000-0600-00000A000000}"/>
    <hyperlink ref="D13" r:id="rId12" xr:uid="{00000000-0004-0000-0600-00000B000000}"/>
    <hyperlink ref="D14" r:id="rId13" xr:uid="{00000000-0004-0000-0600-00000C000000}"/>
    <hyperlink ref="D15" r:id="rId14" xr:uid="{00000000-0004-0000-0600-00000D000000}"/>
    <hyperlink ref="D16" r:id="rId15" xr:uid="{00000000-0004-0000-0600-00000E000000}"/>
    <hyperlink ref="D17" r:id="rId16" xr:uid="{00000000-0004-0000-0600-00000F000000}"/>
    <hyperlink ref="D18" r:id="rId17" xr:uid="{00000000-0004-0000-0600-000010000000}"/>
    <hyperlink ref="D19" r:id="rId18" xr:uid="{00000000-0004-0000-0600-000011000000}"/>
    <hyperlink ref="D20" r:id="rId19" xr:uid="{00000000-0004-0000-0600-000012000000}"/>
    <hyperlink ref="D21" r:id="rId20" xr:uid="{00000000-0004-0000-0600-000013000000}"/>
    <hyperlink ref="D22" r:id="rId21" xr:uid="{00000000-0004-0000-0600-000014000000}"/>
    <hyperlink ref="D23" r:id="rId22" xr:uid="{00000000-0004-0000-0600-000015000000}"/>
    <hyperlink ref="D24" r:id="rId23" xr:uid="{00000000-0004-0000-0600-000016000000}"/>
    <hyperlink ref="D25" r:id="rId24" xr:uid="{00000000-0004-0000-0600-000017000000}"/>
    <hyperlink ref="D26" r:id="rId25" xr:uid="{00000000-0004-0000-0600-000018000000}"/>
    <hyperlink ref="D27" r:id="rId26" xr:uid="{00000000-0004-0000-0600-000019000000}"/>
    <hyperlink ref="D28" r:id="rId27" xr:uid="{00000000-0004-0000-0600-00001A000000}"/>
    <hyperlink ref="D29" r:id="rId28" xr:uid="{00000000-0004-0000-0600-00001B000000}"/>
    <hyperlink ref="D30" r:id="rId29" xr:uid="{00000000-0004-0000-0600-00001C000000}"/>
    <hyperlink ref="D31" r:id="rId30" xr:uid="{00000000-0004-0000-0600-00001D000000}"/>
    <hyperlink ref="D32" r:id="rId31" xr:uid="{00000000-0004-0000-0600-00001E000000}"/>
    <hyperlink ref="D33" r:id="rId32" xr:uid="{00000000-0004-0000-0600-00001F000000}"/>
    <hyperlink ref="D34" r:id="rId33" xr:uid="{00000000-0004-0000-0600-000020000000}"/>
    <hyperlink ref="D35" r:id="rId34" xr:uid="{00000000-0004-0000-0600-000021000000}"/>
    <hyperlink ref="D36" r:id="rId35" xr:uid="{00000000-0004-0000-0600-000022000000}"/>
    <hyperlink ref="D37" r:id="rId36" xr:uid="{00000000-0004-0000-0600-000023000000}"/>
    <hyperlink ref="D38" r:id="rId37" xr:uid="{00000000-0004-0000-0600-000024000000}"/>
    <hyperlink ref="D39" r:id="rId38" xr:uid="{00000000-0004-0000-0600-000025000000}"/>
    <hyperlink ref="D40" r:id="rId39" xr:uid="{00000000-0004-0000-0600-000026000000}"/>
    <hyperlink ref="D41" r:id="rId40" xr:uid="{00000000-0004-0000-0600-000027000000}"/>
    <hyperlink ref="D42" r:id="rId41" xr:uid="{00000000-0004-0000-0600-000028000000}"/>
    <hyperlink ref="D43" r:id="rId42" xr:uid="{00000000-0004-0000-0600-000029000000}"/>
    <hyperlink ref="D44" r:id="rId43" xr:uid="{00000000-0004-0000-0600-00002A000000}"/>
    <hyperlink ref="D45" r:id="rId44" xr:uid="{00000000-0004-0000-0600-00002B000000}"/>
    <hyperlink ref="D46" r:id="rId45" xr:uid="{00000000-0004-0000-0600-00002C000000}"/>
    <hyperlink ref="D47" r:id="rId46" xr:uid="{00000000-0004-0000-0600-00002D000000}"/>
    <hyperlink ref="D48" r:id="rId47" xr:uid="{00000000-0004-0000-0600-00002E000000}"/>
    <hyperlink ref="D49" r:id="rId48" xr:uid="{00000000-0004-0000-0600-00002F000000}"/>
    <hyperlink ref="D50" r:id="rId49" xr:uid="{00000000-0004-0000-0600-000030000000}"/>
    <hyperlink ref="D51" r:id="rId50" xr:uid="{00000000-0004-0000-0600-000031000000}"/>
    <hyperlink ref="D52" r:id="rId51" xr:uid="{00000000-0004-0000-0600-000032000000}"/>
    <hyperlink ref="D53" r:id="rId52" xr:uid="{00000000-0004-0000-0600-000033000000}"/>
    <hyperlink ref="D54" r:id="rId53" xr:uid="{00000000-0004-0000-0600-000034000000}"/>
    <hyperlink ref="D55" r:id="rId54" xr:uid="{00000000-0004-0000-0600-000035000000}"/>
    <hyperlink ref="D56" r:id="rId55" xr:uid="{00000000-0004-0000-0600-000036000000}"/>
    <hyperlink ref="D57" r:id="rId56" xr:uid="{00000000-0004-0000-0600-000037000000}"/>
    <hyperlink ref="D58" r:id="rId57" xr:uid="{00000000-0004-0000-0600-000038000000}"/>
    <hyperlink ref="D59" r:id="rId58" xr:uid="{00000000-0004-0000-0600-000039000000}"/>
    <hyperlink ref="D60" r:id="rId59" xr:uid="{00000000-0004-0000-0600-00003A000000}"/>
    <hyperlink ref="D61" r:id="rId60" xr:uid="{00000000-0004-0000-0600-00003B000000}"/>
    <hyperlink ref="D62" r:id="rId61" xr:uid="{00000000-0004-0000-0600-00003C000000}"/>
    <hyperlink ref="D63" r:id="rId62" xr:uid="{00000000-0004-0000-0600-00003D000000}"/>
    <hyperlink ref="D64" r:id="rId63" xr:uid="{00000000-0004-0000-0600-00003E000000}"/>
    <hyperlink ref="D65" r:id="rId64" xr:uid="{00000000-0004-0000-0600-00003F000000}"/>
    <hyperlink ref="D66" r:id="rId65" xr:uid="{00000000-0004-0000-0600-000040000000}"/>
    <hyperlink ref="D67" r:id="rId66" xr:uid="{00000000-0004-0000-0600-000041000000}"/>
    <hyperlink ref="D68" r:id="rId67" xr:uid="{00000000-0004-0000-0600-000042000000}"/>
    <hyperlink ref="D69" r:id="rId68" xr:uid="{00000000-0004-0000-0600-000043000000}"/>
    <hyperlink ref="D70" r:id="rId69" xr:uid="{00000000-0004-0000-0600-000044000000}"/>
    <hyperlink ref="D71" r:id="rId70" xr:uid="{00000000-0004-0000-0600-000045000000}"/>
    <hyperlink ref="D72" r:id="rId71" xr:uid="{00000000-0004-0000-0600-000046000000}"/>
    <hyperlink ref="D73" r:id="rId72" xr:uid="{00000000-0004-0000-0600-000047000000}"/>
    <hyperlink ref="D74" r:id="rId73" xr:uid="{00000000-0004-0000-0600-000048000000}"/>
    <hyperlink ref="D75" r:id="rId74" xr:uid="{00000000-0004-0000-0600-000049000000}"/>
    <hyperlink ref="D76" r:id="rId75" xr:uid="{00000000-0004-0000-0600-00004A000000}"/>
    <hyperlink ref="D77" r:id="rId76" xr:uid="{00000000-0004-0000-0600-00004B000000}"/>
    <hyperlink ref="D78" r:id="rId77" xr:uid="{00000000-0004-0000-0600-00004C000000}"/>
    <hyperlink ref="D79" r:id="rId78" xr:uid="{00000000-0004-0000-0600-00004D000000}"/>
    <hyperlink ref="D80" r:id="rId79" xr:uid="{00000000-0004-0000-0600-00004E000000}"/>
    <hyperlink ref="D81" r:id="rId80" xr:uid="{00000000-0004-0000-0600-00004F000000}"/>
    <hyperlink ref="D82" r:id="rId81" xr:uid="{00000000-0004-0000-0600-000050000000}"/>
    <hyperlink ref="D83" r:id="rId82" xr:uid="{00000000-0004-0000-0600-000051000000}"/>
    <hyperlink ref="D84" r:id="rId83" xr:uid="{00000000-0004-0000-0600-000052000000}"/>
    <hyperlink ref="D85" r:id="rId84" xr:uid="{00000000-0004-0000-0600-000053000000}"/>
    <hyperlink ref="D86" r:id="rId85" xr:uid="{00000000-0004-0000-0600-000054000000}"/>
    <hyperlink ref="D87" r:id="rId86" xr:uid="{00000000-0004-0000-0600-000055000000}"/>
    <hyperlink ref="D88" r:id="rId87" xr:uid="{00000000-0004-0000-0600-000056000000}"/>
    <hyperlink ref="D89" r:id="rId88" xr:uid="{00000000-0004-0000-0600-000057000000}"/>
    <hyperlink ref="D90" r:id="rId89" xr:uid="{00000000-0004-0000-0600-000058000000}"/>
    <hyperlink ref="D91" r:id="rId90" xr:uid="{00000000-0004-0000-0600-000059000000}"/>
    <hyperlink ref="D92" r:id="rId91" xr:uid="{00000000-0004-0000-0600-00005A000000}"/>
    <hyperlink ref="D93" r:id="rId92" xr:uid="{00000000-0004-0000-0600-00005B000000}"/>
    <hyperlink ref="D94" r:id="rId93" xr:uid="{00000000-0004-0000-0600-00005C000000}"/>
    <hyperlink ref="D95" r:id="rId94" xr:uid="{00000000-0004-0000-0600-00005D000000}"/>
    <hyperlink ref="D96" r:id="rId95" xr:uid="{00000000-0004-0000-0600-00005E000000}"/>
    <hyperlink ref="D97" r:id="rId96" xr:uid="{00000000-0004-0000-0600-00005F000000}"/>
    <hyperlink ref="D98" r:id="rId97" xr:uid="{00000000-0004-0000-0600-000060000000}"/>
    <hyperlink ref="D99" r:id="rId98" xr:uid="{00000000-0004-0000-0600-000061000000}"/>
    <hyperlink ref="D100" r:id="rId99" xr:uid="{00000000-0004-0000-0600-000062000000}"/>
    <hyperlink ref="D101" r:id="rId100" xr:uid="{00000000-0004-0000-0600-000063000000}"/>
    <hyperlink ref="D102" r:id="rId101" xr:uid="{00000000-0004-0000-0600-000064000000}"/>
    <hyperlink ref="D103" r:id="rId102" xr:uid="{00000000-0004-0000-0600-000065000000}"/>
    <hyperlink ref="D104" r:id="rId103" xr:uid="{00000000-0004-0000-0600-000066000000}"/>
    <hyperlink ref="D105" r:id="rId104" xr:uid="{00000000-0004-0000-0600-000067000000}"/>
    <hyperlink ref="D106" r:id="rId105" xr:uid="{00000000-0004-0000-0600-000068000000}"/>
    <hyperlink ref="D107" r:id="rId106" xr:uid="{00000000-0004-0000-0600-000069000000}"/>
    <hyperlink ref="D108" r:id="rId107" xr:uid="{00000000-0004-0000-0600-00006A000000}"/>
    <hyperlink ref="D109" r:id="rId108" xr:uid="{00000000-0004-0000-0600-00006B000000}"/>
    <hyperlink ref="D110" r:id="rId109" xr:uid="{00000000-0004-0000-0600-00006C000000}"/>
    <hyperlink ref="D111" r:id="rId110" xr:uid="{00000000-0004-0000-0600-00006D000000}"/>
    <hyperlink ref="D112" r:id="rId111" xr:uid="{00000000-0004-0000-0600-00006E000000}"/>
    <hyperlink ref="D113" r:id="rId112" xr:uid="{00000000-0004-0000-0600-00006F000000}"/>
    <hyperlink ref="D114" r:id="rId113" xr:uid="{00000000-0004-0000-0600-000070000000}"/>
    <hyperlink ref="D115" r:id="rId114" xr:uid="{00000000-0004-0000-0600-000071000000}"/>
    <hyperlink ref="D116" r:id="rId115" xr:uid="{00000000-0004-0000-0600-000072000000}"/>
    <hyperlink ref="D117" r:id="rId116" xr:uid="{00000000-0004-0000-0600-000073000000}"/>
    <hyperlink ref="D118" r:id="rId117" xr:uid="{00000000-0004-0000-0600-000074000000}"/>
    <hyperlink ref="D119" r:id="rId118" xr:uid="{00000000-0004-0000-0600-000075000000}"/>
    <hyperlink ref="D120" r:id="rId119" xr:uid="{00000000-0004-0000-0600-000076000000}"/>
    <hyperlink ref="D121" r:id="rId120" xr:uid="{00000000-0004-0000-0600-000077000000}"/>
    <hyperlink ref="D122" r:id="rId121" xr:uid="{00000000-0004-0000-0600-000078000000}"/>
    <hyperlink ref="D123" r:id="rId122" xr:uid="{00000000-0004-0000-0600-000079000000}"/>
    <hyperlink ref="D124" r:id="rId123" xr:uid="{00000000-0004-0000-0600-00007A000000}"/>
    <hyperlink ref="D125" r:id="rId124" xr:uid="{00000000-0004-0000-0600-00007B000000}"/>
    <hyperlink ref="D126" r:id="rId125" xr:uid="{00000000-0004-0000-0600-00007C000000}"/>
    <hyperlink ref="D127" r:id="rId126" xr:uid="{00000000-0004-0000-0600-00007D000000}"/>
    <hyperlink ref="D128" r:id="rId127" xr:uid="{00000000-0004-0000-0600-00007E000000}"/>
    <hyperlink ref="D129" r:id="rId128" xr:uid="{00000000-0004-0000-0600-00007F000000}"/>
    <hyperlink ref="D130" r:id="rId129" xr:uid="{00000000-0004-0000-0600-000080000000}"/>
    <hyperlink ref="D131" r:id="rId130" xr:uid="{00000000-0004-0000-0600-000081000000}"/>
    <hyperlink ref="D132" r:id="rId131" xr:uid="{00000000-0004-0000-0600-000082000000}"/>
    <hyperlink ref="D133" r:id="rId132" xr:uid="{00000000-0004-0000-0600-000083000000}"/>
    <hyperlink ref="D134" r:id="rId133" xr:uid="{00000000-0004-0000-0600-000084000000}"/>
    <hyperlink ref="D135" r:id="rId134" xr:uid="{00000000-0004-0000-0600-000085000000}"/>
    <hyperlink ref="D136" r:id="rId135" xr:uid="{00000000-0004-0000-0600-000086000000}"/>
    <hyperlink ref="D137" r:id="rId136" xr:uid="{00000000-0004-0000-0600-000087000000}"/>
    <hyperlink ref="D138" r:id="rId137" xr:uid="{00000000-0004-0000-0600-000088000000}"/>
    <hyperlink ref="D139" r:id="rId138" xr:uid="{00000000-0004-0000-0600-000089000000}"/>
    <hyperlink ref="D140" r:id="rId139" xr:uid="{00000000-0004-0000-0600-00008A000000}"/>
    <hyperlink ref="D141" r:id="rId140" xr:uid="{00000000-0004-0000-0600-00008B000000}"/>
    <hyperlink ref="D142" r:id="rId141" xr:uid="{00000000-0004-0000-0600-00008C000000}"/>
    <hyperlink ref="D143" r:id="rId142" xr:uid="{00000000-0004-0000-0600-00008D000000}"/>
    <hyperlink ref="D144" r:id="rId143" xr:uid="{00000000-0004-0000-0600-00008E000000}"/>
    <hyperlink ref="D145" r:id="rId144" xr:uid="{00000000-0004-0000-0600-00008F000000}"/>
    <hyperlink ref="D146" r:id="rId145" xr:uid="{00000000-0004-0000-0600-000090000000}"/>
    <hyperlink ref="D147" r:id="rId146" xr:uid="{00000000-0004-0000-0600-000091000000}"/>
    <hyperlink ref="D148" r:id="rId147" xr:uid="{00000000-0004-0000-0600-000092000000}"/>
    <hyperlink ref="D149" r:id="rId148" xr:uid="{00000000-0004-0000-0600-000093000000}"/>
    <hyperlink ref="D150" r:id="rId149" xr:uid="{00000000-0004-0000-0600-000094000000}"/>
    <hyperlink ref="D151" r:id="rId150" xr:uid="{00000000-0004-0000-0600-000095000000}"/>
    <hyperlink ref="D152" r:id="rId151" xr:uid="{00000000-0004-0000-0600-000096000000}"/>
    <hyperlink ref="D153" r:id="rId152" xr:uid="{00000000-0004-0000-0600-000097000000}"/>
    <hyperlink ref="D154" r:id="rId153" xr:uid="{00000000-0004-0000-0600-000098000000}"/>
    <hyperlink ref="D155" r:id="rId154" xr:uid="{00000000-0004-0000-0600-000099000000}"/>
    <hyperlink ref="D156" r:id="rId155" xr:uid="{00000000-0004-0000-0600-00009A000000}"/>
    <hyperlink ref="D157" r:id="rId156" xr:uid="{00000000-0004-0000-0600-00009B000000}"/>
    <hyperlink ref="D158" r:id="rId157" xr:uid="{00000000-0004-0000-0600-00009C000000}"/>
    <hyperlink ref="D159" r:id="rId158" xr:uid="{00000000-0004-0000-0600-00009D000000}"/>
    <hyperlink ref="D160" r:id="rId159" xr:uid="{00000000-0004-0000-0600-00009E000000}"/>
    <hyperlink ref="D161" r:id="rId160" xr:uid="{00000000-0004-0000-0600-00009F000000}"/>
    <hyperlink ref="D162" r:id="rId161" xr:uid="{00000000-0004-0000-0600-0000A0000000}"/>
    <hyperlink ref="D163" r:id="rId162" xr:uid="{00000000-0004-0000-0600-0000A1000000}"/>
    <hyperlink ref="D164" r:id="rId163" xr:uid="{00000000-0004-0000-0600-0000A2000000}"/>
    <hyperlink ref="D165" r:id="rId164" xr:uid="{00000000-0004-0000-0600-0000A3000000}"/>
    <hyperlink ref="D166" r:id="rId165" xr:uid="{00000000-0004-0000-0600-0000A4000000}"/>
    <hyperlink ref="D167" r:id="rId166" xr:uid="{00000000-0004-0000-0600-0000A5000000}"/>
    <hyperlink ref="D168" r:id="rId167" xr:uid="{00000000-0004-0000-0600-0000A6000000}"/>
    <hyperlink ref="D169" r:id="rId168" xr:uid="{00000000-0004-0000-0600-0000A7000000}"/>
    <hyperlink ref="D170" r:id="rId169" xr:uid="{00000000-0004-0000-0600-0000A8000000}"/>
    <hyperlink ref="D171" r:id="rId170" xr:uid="{00000000-0004-0000-0600-0000A9000000}"/>
    <hyperlink ref="D172" r:id="rId171" xr:uid="{00000000-0004-0000-0600-0000AA000000}"/>
    <hyperlink ref="D173" r:id="rId172" xr:uid="{00000000-0004-0000-0600-0000AB000000}"/>
    <hyperlink ref="D174" r:id="rId173" xr:uid="{00000000-0004-0000-0600-0000AC000000}"/>
    <hyperlink ref="D175" r:id="rId174" xr:uid="{00000000-0004-0000-0600-0000AD000000}"/>
    <hyperlink ref="D176" r:id="rId175" xr:uid="{00000000-0004-0000-0600-0000AE000000}"/>
    <hyperlink ref="D177" r:id="rId176" xr:uid="{00000000-0004-0000-0600-0000AF000000}"/>
    <hyperlink ref="D178" r:id="rId177" xr:uid="{00000000-0004-0000-0600-0000B0000000}"/>
    <hyperlink ref="D179" r:id="rId178" xr:uid="{00000000-0004-0000-0600-0000B1000000}"/>
    <hyperlink ref="D180" r:id="rId179" xr:uid="{00000000-0004-0000-0600-0000B2000000}"/>
    <hyperlink ref="D181" r:id="rId180" xr:uid="{00000000-0004-0000-0600-0000B3000000}"/>
    <hyperlink ref="D182" r:id="rId181" xr:uid="{00000000-0004-0000-0600-0000B4000000}"/>
    <hyperlink ref="D183" r:id="rId182" xr:uid="{00000000-0004-0000-0600-0000B5000000}"/>
    <hyperlink ref="D184" r:id="rId183" xr:uid="{00000000-0004-0000-0600-0000B6000000}"/>
    <hyperlink ref="D185" r:id="rId184" xr:uid="{00000000-0004-0000-0600-0000B7000000}"/>
    <hyperlink ref="D186" r:id="rId185" xr:uid="{00000000-0004-0000-0600-0000B8000000}"/>
    <hyperlink ref="D187" r:id="rId186" xr:uid="{00000000-0004-0000-0600-0000B9000000}"/>
    <hyperlink ref="D188" r:id="rId187" xr:uid="{00000000-0004-0000-0600-0000BA000000}"/>
    <hyperlink ref="D189" r:id="rId188" xr:uid="{00000000-0004-0000-0600-0000BB000000}"/>
    <hyperlink ref="D190" r:id="rId189" xr:uid="{00000000-0004-0000-0600-0000BC000000}"/>
    <hyperlink ref="D191" r:id="rId190" xr:uid="{00000000-0004-0000-0600-0000BD000000}"/>
    <hyperlink ref="D192" r:id="rId191" xr:uid="{00000000-0004-0000-0600-0000BE000000}"/>
    <hyperlink ref="D193" r:id="rId192" xr:uid="{00000000-0004-0000-0600-0000BF000000}"/>
    <hyperlink ref="D194" r:id="rId193" xr:uid="{00000000-0004-0000-0600-0000C0000000}"/>
    <hyperlink ref="D195" r:id="rId194" xr:uid="{00000000-0004-0000-0600-0000C1000000}"/>
    <hyperlink ref="D196" r:id="rId195" xr:uid="{00000000-0004-0000-0600-0000C2000000}"/>
    <hyperlink ref="D197" r:id="rId196" xr:uid="{00000000-0004-0000-0600-0000C3000000}"/>
    <hyperlink ref="D198" r:id="rId197" xr:uid="{00000000-0004-0000-0600-0000C4000000}"/>
    <hyperlink ref="D199" r:id="rId198" xr:uid="{00000000-0004-0000-0600-0000C5000000}"/>
    <hyperlink ref="D200" r:id="rId199" xr:uid="{00000000-0004-0000-0600-0000C6000000}"/>
    <hyperlink ref="D201" r:id="rId200" xr:uid="{00000000-0004-0000-0600-0000C7000000}"/>
    <hyperlink ref="D202" r:id="rId201" xr:uid="{00000000-0004-0000-0600-0000C8000000}"/>
    <hyperlink ref="D203" r:id="rId202" xr:uid="{00000000-0004-0000-0600-0000C9000000}"/>
    <hyperlink ref="D204" r:id="rId203" xr:uid="{00000000-0004-0000-0600-0000CA000000}"/>
    <hyperlink ref="D205" r:id="rId204" xr:uid="{00000000-0004-0000-0600-0000CB000000}"/>
    <hyperlink ref="D206" r:id="rId205" xr:uid="{00000000-0004-0000-0600-0000CC000000}"/>
    <hyperlink ref="D207" r:id="rId206" xr:uid="{00000000-0004-0000-0600-0000CD000000}"/>
    <hyperlink ref="D208" r:id="rId207" xr:uid="{00000000-0004-0000-0600-0000CE000000}"/>
    <hyperlink ref="D209" r:id="rId208" xr:uid="{00000000-0004-0000-0600-0000CF000000}"/>
    <hyperlink ref="D210" r:id="rId209" xr:uid="{00000000-0004-0000-0600-0000D0000000}"/>
    <hyperlink ref="D211" r:id="rId210" xr:uid="{00000000-0004-0000-0600-0000D1000000}"/>
    <hyperlink ref="D212" r:id="rId211" xr:uid="{00000000-0004-0000-0600-0000D2000000}"/>
    <hyperlink ref="D213" r:id="rId212" xr:uid="{00000000-0004-0000-0600-0000D3000000}"/>
    <hyperlink ref="D214" r:id="rId213" xr:uid="{00000000-0004-0000-0600-0000D4000000}"/>
    <hyperlink ref="D215" r:id="rId214" xr:uid="{00000000-0004-0000-0600-0000D5000000}"/>
    <hyperlink ref="D216" r:id="rId215" xr:uid="{00000000-0004-0000-0600-0000D6000000}"/>
    <hyperlink ref="D217" r:id="rId216" xr:uid="{00000000-0004-0000-0600-0000D7000000}"/>
    <hyperlink ref="D218" r:id="rId217" xr:uid="{00000000-0004-0000-0600-0000D8000000}"/>
    <hyperlink ref="D219" r:id="rId218" xr:uid="{00000000-0004-0000-0600-0000D9000000}"/>
    <hyperlink ref="D220" r:id="rId219" xr:uid="{00000000-0004-0000-0600-0000DA000000}"/>
    <hyperlink ref="D221" r:id="rId220" xr:uid="{00000000-0004-0000-0600-0000DB000000}"/>
    <hyperlink ref="D222" r:id="rId221" xr:uid="{00000000-0004-0000-0600-0000DC000000}"/>
    <hyperlink ref="D223" r:id="rId222" xr:uid="{00000000-0004-0000-0600-0000DD000000}"/>
    <hyperlink ref="D224" r:id="rId223" xr:uid="{00000000-0004-0000-0600-0000DE000000}"/>
    <hyperlink ref="D225" r:id="rId224" xr:uid="{00000000-0004-0000-0600-0000DF000000}"/>
    <hyperlink ref="D226" r:id="rId225" xr:uid="{00000000-0004-0000-0600-0000E0000000}"/>
    <hyperlink ref="D227" r:id="rId226" xr:uid="{00000000-0004-0000-0600-0000E1000000}"/>
    <hyperlink ref="D228" r:id="rId227" xr:uid="{00000000-0004-0000-0600-0000E2000000}"/>
    <hyperlink ref="D229" r:id="rId228" xr:uid="{00000000-0004-0000-0600-0000E3000000}"/>
    <hyperlink ref="D230" r:id="rId229" xr:uid="{00000000-0004-0000-0600-0000E4000000}"/>
    <hyperlink ref="D231" r:id="rId230" xr:uid="{00000000-0004-0000-0600-0000E5000000}"/>
    <hyperlink ref="D232" r:id="rId231" xr:uid="{00000000-0004-0000-0600-0000E6000000}"/>
    <hyperlink ref="D233" r:id="rId232" xr:uid="{00000000-0004-0000-0600-0000E7000000}"/>
    <hyperlink ref="D234" r:id="rId233" xr:uid="{00000000-0004-0000-0600-0000E8000000}"/>
    <hyperlink ref="D235" r:id="rId234" xr:uid="{00000000-0004-0000-0600-0000E9000000}"/>
    <hyperlink ref="D236" r:id="rId235" xr:uid="{00000000-0004-0000-0600-0000EA000000}"/>
    <hyperlink ref="D237" r:id="rId236" xr:uid="{00000000-0004-0000-0600-0000EB000000}"/>
    <hyperlink ref="D238" r:id="rId237" xr:uid="{00000000-0004-0000-0600-0000EC000000}"/>
    <hyperlink ref="D239" r:id="rId238" xr:uid="{00000000-0004-0000-0600-0000ED000000}"/>
    <hyperlink ref="D240" r:id="rId239" xr:uid="{00000000-0004-0000-0600-0000EE000000}"/>
    <hyperlink ref="D241" r:id="rId240" xr:uid="{00000000-0004-0000-0600-0000EF000000}"/>
    <hyperlink ref="D242" r:id="rId241" xr:uid="{00000000-0004-0000-0600-0000F0000000}"/>
    <hyperlink ref="D243" r:id="rId242" xr:uid="{00000000-0004-0000-0600-0000F1000000}"/>
    <hyperlink ref="D244" r:id="rId243" xr:uid="{00000000-0004-0000-0600-0000F2000000}"/>
    <hyperlink ref="D245" r:id="rId244" xr:uid="{00000000-0004-0000-0600-0000F3000000}"/>
    <hyperlink ref="D246" r:id="rId245" xr:uid="{00000000-0004-0000-0600-0000F4000000}"/>
    <hyperlink ref="D247" r:id="rId246" xr:uid="{00000000-0004-0000-0600-0000F5000000}"/>
    <hyperlink ref="D248" r:id="rId247" xr:uid="{00000000-0004-0000-0600-0000F6000000}"/>
    <hyperlink ref="D249" r:id="rId248" xr:uid="{00000000-0004-0000-0600-0000F7000000}"/>
    <hyperlink ref="D250" r:id="rId249" xr:uid="{00000000-0004-0000-0600-0000F8000000}"/>
    <hyperlink ref="D251" r:id="rId250" xr:uid="{00000000-0004-0000-0600-0000F9000000}"/>
    <hyperlink ref="D252" r:id="rId251" xr:uid="{00000000-0004-0000-0600-0000FA000000}"/>
    <hyperlink ref="D253" r:id="rId252" xr:uid="{00000000-0004-0000-0600-0000FB000000}"/>
    <hyperlink ref="D254" r:id="rId253" xr:uid="{00000000-0004-0000-0600-0000FC000000}"/>
    <hyperlink ref="D255" r:id="rId254" xr:uid="{00000000-0004-0000-0600-0000FD000000}"/>
    <hyperlink ref="D256" r:id="rId255" xr:uid="{00000000-0004-0000-0600-0000FE000000}"/>
    <hyperlink ref="D257" r:id="rId256" xr:uid="{00000000-0004-0000-0600-0000FF000000}"/>
    <hyperlink ref="D258" r:id="rId257" xr:uid="{00000000-0004-0000-0600-000000010000}"/>
    <hyperlink ref="D259" r:id="rId258" xr:uid="{00000000-0004-0000-0600-000001010000}"/>
    <hyperlink ref="D260" r:id="rId259" xr:uid="{00000000-0004-0000-0600-000002010000}"/>
    <hyperlink ref="D261" r:id="rId260" xr:uid="{00000000-0004-0000-0600-000003010000}"/>
    <hyperlink ref="D262" r:id="rId261" xr:uid="{00000000-0004-0000-0600-000004010000}"/>
    <hyperlink ref="D263" r:id="rId262" xr:uid="{00000000-0004-0000-0600-000005010000}"/>
    <hyperlink ref="D264" r:id="rId263" xr:uid="{00000000-0004-0000-0600-000006010000}"/>
    <hyperlink ref="D265" r:id="rId264" xr:uid="{00000000-0004-0000-0600-000007010000}"/>
    <hyperlink ref="D266" r:id="rId265" xr:uid="{00000000-0004-0000-0600-000008010000}"/>
    <hyperlink ref="D267" r:id="rId266" xr:uid="{00000000-0004-0000-0600-000009010000}"/>
    <hyperlink ref="D268" r:id="rId267" xr:uid="{00000000-0004-0000-0600-00000A010000}"/>
    <hyperlink ref="D269" r:id="rId268" xr:uid="{00000000-0004-0000-0600-00000B010000}"/>
    <hyperlink ref="D270" r:id="rId269" xr:uid="{00000000-0004-0000-0600-00000C010000}"/>
    <hyperlink ref="D271" r:id="rId270" xr:uid="{00000000-0004-0000-0600-00000D010000}"/>
    <hyperlink ref="D272" r:id="rId271" xr:uid="{00000000-0004-0000-0600-00000E010000}"/>
    <hyperlink ref="D273" r:id="rId272" xr:uid="{00000000-0004-0000-0600-00000F010000}"/>
    <hyperlink ref="D274" r:id="rId273" xr:uid="{00000000-0004-0000-0600-000010010000}"/>
    <hyperlink ref="D275" r:id="rId274" xr:uid="{00000000-0004-0000-0600-000011010000}"/>
    <hyperlink ref="D276" r:id="rId275" xr:uid="{00000000-0004-0000-0600-000012010000}"/>
    <hyperlink ref="D277" r:id="rId276" xr:uid="{00000000-0004-0000-0600-000013010000}"/>
    <hyperlink ref="D278" r:id="rId277" xr:uid="{00000000-0004-0000-0600-000014010000}"/>
    <hyperlink ref="D279" r:id="rId278" xr:uid="{00000000-0004-0000-0600-000015010000}"/>
    <hyperlink ref="D280" r:id="rId279" xr:uid="{00000000-0004-0000-0600-000016010000}"/>
    <hyperlink ref="D281" r:id="rId280" xr:uid="{00000000-0004-0000-0600-000017010000}"/>
    <hyperlink ref="D282" r:id="rId281" xr:uid="{00000000-0004-0000-0600-000018010000}"/>
    <hyperlink ref="D283" r:id="rId282" xr:uid="{00000000-0004-0000-0600-000019010000}"/>
    <hyperlink ref="D284" r:id="rId283" xr:uid="{00000000-0004-0000-0600-00001A010000}"/>
    <hyperlink ref="D285" r:id="rId284" xr:uid="{00000000-0004-0000-0600-00001B010000}"/>
    <hyperlink ref="D286" r:id="rId285" xr:uid="{00000000-0004-0000-0600-00001C010000}"/>
    <hyperlink ref="D287" r:id="rId286" xr:uid="{00000000-0004-0000-0600-00001D010000}"/>
    <hyperlink ref="D288" r:id="rId287" xr:uid="{00000000-0004-0000-0600-00001E010000}"/>
    <hyperlink ref="D289" r:id="rId288" xr:uid="{00000000-0004-0000-0600-00001F010000}"/>
    <hyperlink ref="D290" r:id="rId289" xr:uid="{00000000-0004-0000-0600-000020010000}"/>
    <hyperlink ref="D291" r:id="rId290" xr:uid="{00000000-0004-0000-0600-000021010000}"/>
    <hyperlink ref="D292" r:id="rId291" xr:uid="{00000000-0004-0000-0600-000022010000}"/>
    <hyperlink ref="D293" r:id="rId292" xr:uid="{00000000-0004-0000-0600-000023010000}"/>
    <hyperlink ref="D294" r:id="rId293" xr:uid="{00000000-0004-0000-0600-000024010000}"/>
    <hyperlink ref="D295" r:id="rId294" xr:uid="{00000000-0004-0000-0600-000025010000}"/>
    <hyperlink ref="D296" r:id="rId295" xr:uid="{00000000-0004-0000-0600-000026010000}"/>
    <hyperlink ref="D297" r:id="rId296" xr:uid="{00000000-0004-0000-0600-000027010000}"/>
    <hyperlink ref="D298" r:id="rId297" xr:uid="{00000000-0004-0000-0600-000028010000}"/>
    <hyperlink ref="D299" r:id="rId298" xr:uid="{00000000-0004-0000-0600-000029010000}"/>
    <hyperlink ref="D300" r:id="rId299" xr:uid="{00000000-0004-0000-0600-00002A010000}"/>
    <hyperlink ref="D301" r:id="rId300" xr:uid="{00000000-0004-0000-0600-00002B010000}"/>
    <hyperlink ref="D302" r:id="rId301" xr:uid="{00000000-0004-0000-0600-00002C010000}"/>
    <hyperlink ref="D303" r:id="rId302" xr:uid="{00000000-0004-0000-0600-00002D010000}"/>
    <hyperlink ref="D304" r:id="rId303" xr:uid="{00000000-0004-0000-0600-00002E010000}"/>
    <hyperlink ref="D305" r:id="rId304" xr:uid="{00000000-0004-0000-0600-00002F010000}"/>
    <hyperlink ref="D306" r:id="rId305" xr:uid="{00000000-0004-0000-0600-000030010000}"/>
    <hyperlink ref="D307" r:id="rId306" xr:uid="{00000000-0004-0000-0600-000031010000}"/>
    <hyperlink ref="D308" r:id="rId307" xr:uid="{00000000-0004-0000-0600-000032010000}"/>
    <hyperlink ref="D309" r:id="rId308" xr:uid="{00000000-0004-0000-0600-000033010000}"/>
    <hyperlink ref="D310" r:id="rId309" xr:uid="{00000000-0004-0000-0600-000034010000}"/>
    <hyperlink ref="D311" r:id="rId310" xr:uid="{00000000-0004-0000-0600-000035010000}"/>
    <hyperlink ref="D312" r:id="rId311" xr:uid="{00000000-0004-0000-0600-000036010000}"/>
    <hyperlink ref="D313" r:id="rId312" xr:uid="{00000000-0004-0000-0600-000037010000}"/>
    <hyperlink ref="D314" r:id="rId313" xr:uid="{00000000-0004-0000-0600-000038010000}"/>
    <hyperlink ref="D315" r:id="rId314" xr:uid="{00000000-0004-0000-0600-000039010000}"/>
    <hyperlink ref="D316" r:id="rId315" xr:uid="{00000000-0004-0000-0600-00003A010000}"/>
    <hyperlink ref="D317" r:id="rId316" xr:uid="{00000000-0004-0000-0600-00003B010000}"/>
    <hyperlink ref="D318" r:id="rId317" xr:uid="{00000000-0004-0000-0600-00003C010000}"/>
    <hyperlink ref="D319" r:id="rId318" xr:uid="{00000000-0004-0000-0600-00003D010000}"/>
    <hyperlink ref="D320" r:id="rId319" xr:uid="{00000000-0004-0000-0600-00003E010000}"/>
    <hyperlink ref="D321" r:id="rId320" xr:uid="{00000000-0004-0000-0600-00003F010000}"/>
    <hyperlink ref="D322" r:id="rId321" xr:uid="{00000000-0004-0000-0600-000040010000}"/>
    <hyperlink ref="D323" r:id="rId322" xr:uid="{00000000-0004-0000-0600-000041010000}"/>
    <hyperlink ref="D324" r:id="rId323" xr:uid="{00000000-0004-0000-0600-000042010000}"/>
    <hyperlink ref="D325" r:id="rId324" xr:uid="{00000000-0004-0000-0600-000043010000}"/>
    <hyperlink ref="D326" r:id="rId325" xr:uid="{00000000-0004-0000-0600-000044010000}"/>
    <hyperlink ref="D327" r:id="rId326" xr:uid="{00000000-0004-0000-0600-000045010000}"/>
    <hyperlink ref="D328" r:id="rId327" xr:uid="{00000000-0004-0000-0600-000046010000}"/>
    <hyperlink ref="D329" r:id="rId328" xr:uid="{00000000-0004-0000-0600-000047010000}"/>
    <hyperlink ref="D330" r:id="rId329" xr:uid="{00000000-0004-0000-0600-000048010000}"/>
    <hyperlink ref="D331" r:id="rId330" xr:uid="{00000000-0004-0000-0600-000049010000}"/>
    <hyperlink ref="D332" r:id="rId331" xr:uid="{00000000-0004-0000-0600-00004A010000}"/>
    <hyperlink ref="D333" r:id="rId332" xr:uid="{00000000-0004-0000-0600-00004B010000}"/>
    <hyperlink ref="D334" r:id="rId333" xr:uid="{00000000-0004-0000-0600-00004C010000}"/>
    <hyperlink ref="D335" r:id="rId334" xr:uid="{00000000-0004-0000-0600-00004D010000}"/>
    <hyperlink ref="D336" r:id="rId335" xr:uid="{00000000-0004-0000-0600-00004E010000}"/>
    <hyperlink ref="D337" r:id="rId336" xr:uid="{00000000-0004-0000-0600-00004F010000}"/>
    <hyperlink ref="D338" r:id="rId337" xr:uid="{00000000-0004-0000-0600-000050010000}"/>
    <hyperlink ref="D339" r:id="rId338" xr:uid="{00000000-0004-0000-0600-000051010000}"/>
    <hyperlink ref="D340" r:id="rId339" xr:uid="{00000000-0004-0000-0600-000052010000}"/>
    <hyperlink ref="D341" r:id="rId340" xr:uid="{00000000-0004-0000-0600-000053010000}"/>
    <hyperlink ref="D342" r:id="rId341" xr:uid="{00000000-0004-0000-0600-000054010000}"/>
    <hyperlink ref="D343" r:id="rId342" xr:uid="{00000000-0004-0000-0600-000055010000}"/>
    <hyperlink ref="D344" r:id="rId343" xr:uid="{00000000-0004-0000-0600-000056010000}"/>
    <hyperlink ref="D345" r:id="rId344" xr:uid="{00000000-0004-0000-0600-000057010000}"/>
    <hyperlink ref="D346" r:id="rId345" xr:uid="{00000000-0004-0000-0600-000058010000}"/>
    <hyperlink ref="D347" r:id="rId346" xr:uid="{00000000-0004-0000-0600-000059010000}"/>
    <hyperlink ref="D348" r:id="rId347" xr:uid="{00000000-0004-0000-0600-00005A010000}"/>
    <hyperlink ref="D349" r:id="rId348" xr:uid="{00000000-0004-0000-0600-00005B010000}"/>
    <hyperlink ref="D350" r:id="rId349" xr:uid="{00000000-0004-0000-0600-00005C010000}"/>
    <hyperlink ref="D351" r:id="rId350" xr:uid="{00000000-0004-0000-0600-00005D010000}"/>
    <hyperlink ref="D352" r:id="rId351" xr:uid="{00000000-0004-0000-0600-00005E010000}"/>
    <hyperlink ref="D353" r:id="rId352" xr:uid="{00000000-0004-0000-0600-00005F010000}"/>
    <hyperlink ref="D354" r:id="rId353" xr:uid="{00000000-0004-0000-0600-000060010000}"/>
    <hyperlink ref="D355" r:id="rId354" xr:uid="{00000000-0004-0000-0600-000061010000}"/>
    <hyperlink ref="D356" r:id="rId355" xr:uid="{00000000-0004-0000-0600-000062010000}"/>
    <hyperlink ref="D357" r:id="rId356" xr:uid="{00000000-0004-0000-0600-000063010000}"/>
    <hyperlink ref="D358" r:id="rId357" xr:uid="{00000000-0004-0000-0600-000064010000}"/>
    <hyperlink ref="D359" r:id="rId358" xr:uid="{00000000-0004-0000-0600-000065010000}"/>
    <hyperlink ref="D360" r:id="rId359" xr:uid="{00000000-0004-0000-0600-000066010000}"/>
    <hyperlink ref="D361" r:id="rId360" xr:uid="{00000000-0004-0000-0600-000067010000}"/>
    <hyperlink ref="D362" r:id="rId361" xr:uid="{00000000-0004-0000-0600-000068010000}"/>
    <hyperlink ref="D363" r:id="rId362" xr:uid="{00000000-0004-0000-0600-000069010000}"/>
    <hyperlink ref="D364" r:id="rId363" xr:uid="{00000000-0004-0000-0600-00006A010000}"/>
    <hyperlink ref="D365" r:id="rId364" xr:uid="{00000000-0004-0000-0600-00006B010000}"/>
    <hyperlink ref="D366" r:id="rId365" xr:uid="{00000000-0004-0000-0600-00006C010000}"/>
    <hyperlink ref="D367" r:id="rId366" xr:uid="{00000000-0004-0000-0600-00006D010000}"/>
    <hyperlink ref="D368" r:id="rId367" xr:uid="{00000000-0004-0000-0600-00006E010000}"/>
    <hyperlink ref="D369" r:id="rId368" xr:uid="{00000000-0004-0000-0600-00006F010000}"/>
    <hyperlink ref="D370" r:id="rId369" xr:uid="{00000000-0004-0000-0600-000070010000}"/>
    <hyperlink ref="D371" r:id="rId370" xr:uid="{00000000-0004-0000-0600-000071010000}"/>
    <hyperlink ref="D372" r:id="rId371" xr:uid="{00000000-0004-0000-0600-000072010000}"/>
    <hyperlink ref="D373" r:id="rId372" xr:uid="{00000000-0004-0000-0600-000073010000}"/>
    <hyperlink ref="D374" r:id="rId373" xr:uid="{00000000-0004-0000-0600-000074010000}"/>
    <hyperlink ref="D375" r:id="rId374" xr:uid="{00000000-0004-0000-0600-000075010000}"/>
    <hyperlink ref="D376" r:id="rId375" xr:uid="{00000000-0004-0000-0600-000076010000}"/>
    <hyperlink ref="D377" r:id="rId376" xr:uid="{00000000-0004-0000-0600-000077010000}"/>
    <hyperlink ref="D378" r:id="rId377" xr:uid="{00000000-0004-0000-0600-000078010000}"/>
    <hyperlink ref="D379" r:id="rId378" xr:uid="{00000000-0004-0000-0600-000079010000}"/>
    <hyperlink ref="D380" r:id="rId379" xr:uid="{00000000-0004-0000-0600-00007A010000}"/>
    <hyperlink ref="D381" r:id="rId380" xr:uid="{00000000-0004-0000-0600-00007B010000}"/>
    <hyperlink ref="D382" r:id="rId381" xr:uid="{00000000-0004-0000-0600-00007C010000}"/>
    <hyperlink ref="D383" r:id="rId382" xr:uid="{00000000-0004-0000-0600-00007D010000}"/>
    <hyperlink ref="D384" r:id="rId383" xr:uid="{00000000-0004-0000-0600-00007E010000}"/>
    <hyperlink ref="D385" r:id="rId384" xr:uid="{00000000-0004-0000-0600-00007F010000}"/>
    <hyperlink ref="D386" r:id="rId385" xr:uid="{00000000-0004-0000-0600-000080010000}"/>
    <hyperlink ref="D387" r:id="rId386" xr:uid="{00000000-0004-0000-0600-000081010000}"/>
    <hyperlink ref="D388" r:id="rId387" xr:uid="{00000000-0004-0000-0600-000082010000}"/>
    <hyperlink ref="D389" r:id="rId388" xr:uid="{00000000-0004-0000-0600-000083010000}"/>
    <hyperlink ref="D390" r:id="rId389" xr:uid="{00000000-0004-0000-0600-000084010000}"/>
    <hyperlink ref="D391" r:id="rId390" xr:uid="{00000000-0004-0000-0600-000085010000}"/>
    <hyperlink ref="D392" r:id="rId391" xr:uid="{00000000-0004-0000-0600-000086010000}"/>
    <hyperlink ref="D393" r:id="rId392" xr:uid="{00000000-0004-0000-0600-000087010000}"/>
    <hyperlink ref="D394" r:id="rId393" xr:uid="{00000000-0004-0000-0600-000088010000}"/>
    <hyperlink ref="D395" r:id="rId394" xr:uid="{00000000-0004-0000-0600-000089010000}"/>
    <hyperlink ref="D396" r:id="rId395" xr:uid="{00000000-0004-0000-0600-00008A010000}"/>
    <hyperlink ref="D397" r:id="rId396" xr:uid="{00000000-0004-0000-0600-00008B010000}"/>
    <hyperlink ref="D398" r:id="rId397" xr:uid="{00000000-0004-0000-0600-00008C010000}"/>
    <hyperlink ref="D399" r:id="rId398" xr:uid="{00000000-0004-0000-0600-00008D010000}"/>
    <hyperlink ref="D400" r:id="rId399" xr:uid="{00000000-0004-0000-0600-00008E010000}"/>
    <hyperlink ref="D401" r:id="rId400" xr:uid="{00000000-0004-0000-0600-00008F010000}"/>
    <hyperlink ref="D402" r:id="rId401" xr:uid="{00000000-0004-0000-0600-000090010000}"/>
    <hyperlink ref="D403" r:id="rId402" xr:uid="{00000000-0004-0000-0600-000091010000}"/>
    <hyperlink ref="D404" r:id="rId403" xr:uid="{00000000-0004-0000-0600-000092010000}"/>
    <hyperlink ref="D405" r:id="rId404" xr:uid="{00000000-0004-0000-0600-000093010000}"/>
    <hyperlink ref="D406" r:id="rId405" xr:uid="{00000000-0004-0000-0600-000094010000}"/>
    <hyperlink ref="D407" r:id="rId406" xr:uid="{00000000-0004-0000-0600-000095010000}"/>
    <hyperlink ref="D408" r:id="rId407" xr:uid="{00000000-0004-0000-0600-000096010000}"/>
    <hyperlink ref="D409" r:id="rId408" xr:uid="{00000000-0004-0000-0600-000097010000}"/>
    <hyperlink ref="D410" r:id="rId409" xr:uid="{00000000-0004-0000-0600-000098010000}"/>
    <hyperlink ref="D411" r:id="rId410" xr:uid="{00000000-0004-0000-0600-000099010000}"/>
    <hyperlink ref="D412" r:id="rId411" xr:uid="{00000000-0004-0000-0600-00009A010000}"/>
    <hyperlink ref="D413" r:id="rId412" xr:uid="{00000000-0004-0000-0600-00009B010000}"/>
    <hyperlink ref="D414" r:id="rId413" xr:uid="{00000000-0004-0000-0600-00009C010000}"/>
    <hyperlink ref="D415" r:id="rId414" xr:uid="{00000000-0004-0000-0600-00009D010000}"/>
    <hyperlink ref="D416" r:id="rId415" xr:uid="{00000000-0004-0000-0600-00009E010000}"/>
    <hyperlink ref="D417" r:id="rId416" xr:uid="{00000000-0004-0000-0600-00009F010000}"/>
    <hyperlink ref="D418" r:id="rId417" xr:uid="{00000000-0004-0000-0600-0000A0010000}"/>
    <hyperlink ref="D419" r:id="rId418" xr:uid="{00000000-0004-0000-0600-0000A1010000}"/>
    <hyperlink ref="D420" r:id="rId419" xr:uid="{00000000-0004-0000-0600-0000A2010000}"/>
    <hyperlink ref="D421" r:id="rId420" xr:uid="{00000000-0004-0000-0600-0000A3010000}"/>
    <hyperlink ref="D422" r:id="rId421" xr:uid="{00000000-0004-0000-0600-0000A4010000}"/>
    <hyperlink ref="D423" r:id="rId422" xr:uid="{00000000-0004-0000-0600-0000A5010000}"/>
    <hyperlink ref="D424" r:id="rId423" xr:uid="{00000000-0004-0000-0600-0000A6010000}"/>
    <hyperlink ref="D425" r:id="rId424" xr:uid="{00000000-0004-0000-0600-0000A7010000}"/>
    <hyperlink ref="D426" r:id="rId425" xr:uid="{00000000-0004-0000-0600-0000A8010000}"/>
    <hyperlink ref="D427" r:id="rId426" xr:uid="{00000000-0004-0000-0600-0000A9010000}"/>
    <hyperlink ref="D428" r:id="rId427" xr:uid="{00000000-0004-0000-0600-0000AA010000}"/>
    <hyperlink ref="D429" r:id="rId428" xr:uid="{00000000-0004-0000-0600-0000AB010000}"/>
    <hyperlink ref="D430" r:id="rId429" xr:uid="{00000000-0004-0000-0600-0000AC010000}"/>
    <hyperlink ref="D431" r:id="rId430" xr:uid="{00000000-0004-0000-0600-0000AD010000}"/>
    <hyperlink ref="D432" r:id="rId431" xr:uid="{00000000-0004-0000-0600-0000AE010000}"/>
    <hyperlink ref="D433" r:id="rId432" xr:uid="{00000000-0004-0000-0600-0000AF010000}"/>
    <hyperlink ref="D434" r:id="rId433" xr:uid="{00000000-0004-0000-0600-0000B0010000}"/>
    <hyperlink ref="D435" r:id="rId434" xr:uid="{00000000-0004-0000-0600-0000B1010000}"/>
    <hyperlink ref="D436" r:id="rId435" xr:uid="{00000000-0004-0000-0600-0000B2010000}"/>
    <hyperlink ref="D437" r:id="rId436" xr:uid="{00000000-0004-0000-0600-0000B3010000}"/>
    <hyperlink ref="D438" r:id="rId437" xr:uid="{00000000-0004-0000-0600-0000B4010000}"/>
    <hyperlink ref="D439" r:id="rId438" xr:uid="{00000000-0004-0000-0600-0000B5010000}"/>
    <hyperlink ref="D440" r:id="rId439" xr:uid="{00000000-0004-0000-0600-0000B6010000}"/>
    <hyperlink ref="D441" r:id="rId440" xr:uid="{00000000-0004-0000-0600-0000B7010000}"/>
    <hyperlink ref="D442" r:id="rId441" xr:uid="{00000000-0004-0000-0600-0000B8010000}"/>
    <hyperlink ref="D443" r:id="rId442" xr:uid="{00000000-0004-0000-0600-0000B9010000}"/>
    <hyperlink ref="D444" r:id="rId443" xr:uid="{00000000-0004-0000-0600-0000BA010000}"/>
    <hyperlink ref="D445" r:id="rId444" xr:uid="{00000000-0004-0000-0600-0000BB010000}"/>
    <hyperlink ref="D446" r:id="rId445" xr:uid="{00000000-0004-0000-0600-0000BC010000}"/>
    <hyperlink ref="D447" r:id="rId446" xr:uid="{00000000-0004-0000-0600-0000BD010000}"/>
    <hyperlink ref="D448" r:id="rId447" xr:uid="{00000000-0004-0000-0600-0000BE010000}"/>
    <hyperlink ref="D449" r:id="rId448" xr:uid="{00000000-0004-0000-0600-0000BF010000}"/>
    <hyperlink ref="D450" r:id="rId449" xr:uid="{00000000-0004-0000-0600-0000C0010000}"/>
    <hyperlink ref="D451" r:id="rId450" xr:uid="{00000000-0004-0000-0600-0000C1010000}"/>
    <hyperlink ref="D452" r:id="rId451" xr:uid="{00000000-0004-0000-0600-0000C2010000}"/>
    <hyperlink ref="D453" r:id="rId452" xr:uid="{00000000-0004-0000-0600-0000C3010000}"/>
    <hyperlink ref="D454" r:id="rId453" xr:uid="{00000000-0004-0000-0600-0000C4010000}"/>
    <hyperlink ref="D455" r:id="rId454" xr:uid="{00000000-0004-0000-0600-0000C5010000}"/>
    <hyperlink ref="D456" r:id="rId455" xr:uid="{00000000-0004-0000-0600-0000C6010000}"/>
    <hyperlink ref="D457" r:id="rId456" xr:uid="{00000000-0004-0000-0600-0000C7010000}"/>
    <hyperlink ref="D458" r:id="rId457" xr:uid="{00000000-0004-0000-0600-0000C8010000}"/>
    <hyperlink ref="D459" r:id="rId458" xr:uid="{00000000-0004-0000-0600-0000C9010000}"/>
    <hyperlink ref="D460" r:id="rId459" xr:uid="{00000000-0004-0000-0600-0000CA010000}"/>
    <hyperlink ref="D461" r:id="rId460" xr:uid="{00000000-0004-0000-0600-0000CB010000}"/>
    <hyperlink ref="D462" r:id="rId461" xr:uid="{00000000-0004-0000-0600-0000CC010000}"/>
    <hyperlink ref="D463" r:id="rId462" xr:uid="{00000000-0004-0000-0600-0000CD010000}"/>
    <hyperlink ref="D464" r:id="rId463" xr:uid="{00000000-0004-0000-0600-0000CE010000}"/>
    <hyperlink ref="D465" r:id="rId464" xr:uid="{00000000-0004-0000-0600-0000CF010000}"/>
    <hyperlink ref="D466" r:id="rId465" xr:uid="{00000000-0004-0000-0600-0000D0010000}"/>
    <hyperlink ref="D467" r:id="rId466" xr:uid="{00000000-0004-0000-0600-0000D1010000}"/>
    <hyperlink ref="D468" r:id="rId467" xr:uid="{00000000-0004-0000-0600-0000D2010000}"/>
    <hyperlink ref="D469" r:id="rId468" xr:uid="{00000000-0004-0000-0600-0000D3010000}"/>
    <hyperlink ref="D470" r:id="rId469" xr:uid="{00000000-0004-0000-0600-0000D4010000}"/>
    <hyperlink ref="D471" r:id="rId470" xr:uid="{00000000-0004-0000-0600-0000D5010000}"/>
    <hyperlink ref="D472" r:id="rId471" xr:uid="{00000000-0004-0000-0600-0000D6010000}"/>
    <hyperlink ref="D473" r:id="rId472" xr:uid="{00000000-0004-0000-0600-0000D7010000}"/>
    <hyperlink ref="D474" r:id="rId473" xr:uid="{00000000-0004-0000-0600-0000D8010000}"/>
    <hyperlink ref="D475" r:id="rId474" xr:uid="{00000000-0004-0000-0600-0000D9010000}"/>
    <hyperlink ref="D476" r:id="rId475" xr:uid="{00000000-0004-0000-0600-0000DA010000}"/>
    <hyperlink ref="D477" r:id="rId476" xr:uid="{00000000-0004-0000-0600-0000DB010000}"/>
    <hyperlink ref="D478" r:id="rId477" xr:uid="{00000000-0004-0000-0600-0000DC010000}"/>
    <hyperlink ref="D479" r:id="rId478" xr:uid="{00000000-0004-0000-0600-0000DD010000}"/>
    <hyperlink ref="D480" r:id="rId479" xr:uid="{00000000-0004-0000-0600-0000DE010000}"/>
    <hyperlink ref="D481" r:id="rId480" xr:uid="{00000000-0004-0000-0600-0000DF010000}"/>
    <hyperlink ref="D482" r:id="rId481" xr:uid="{00000000-0004-0000-0600-0000E0010000}"/>
    <hyperlink ref="D483" r:id="rId482" xr:uid="{00000000-0004-0000-0600-0000E1010000}"/>
    <hyperlink ref="D484" r:id="rId483" xr:uid="{00000000-0004-0000-0600-0000E2010000}"/>
    <hyperlink ref="D485" r:id="rId484" xr:uid="{00000000-0004-0000-0600-0000E3010000}"/>
    <hyperlink ref="D486" r:id="rId485" xr:uid="{00000000-0004-0000-0600-0000E4010000}"/>
    <hyperlink ref="D487" r:id="rId486" xr:uid="{00000000-0004-0000-0600-0000E5010000}"/>
    <hyperlink ref="D488" r:id="rId487" xr:uid="{00000000-0004-0000-0600-0000E6010000}"/>
    <hyperlink ref="D489" r:id="rId488" xr:uid="{00000000-0004-0000-0600-0000E7010000}"/>
    <hyperlink ref="D490" r:id="rId489" xr:uid="{00000000-0004-0000-0600-0000E8010000}"/>
    <hyperlink ref="D491" r:id="rId490" xr:uid="{00000000-0004-0000-0600-0000E9010000}"/>
    <hyperlink ref="D492" r:id="rId491" xr:uid="{00000000-0004-0000-0600-0000EA010000}"/>
    <hyperlink ref="D493" r:id="rId492" xr:uid="{00000000-0004-0000-0600-0000EB010000}"/>
    <hyperlink ref="D494" r:id="rId493" xr:uid="{00000000-0004-0000-0600-0000EC010000}"/>
    <hyperlink ref="D495" r:id="rId494" xr:uid="{00000000-0004-0000-0600-0000ED010000}"/>
    <hyperlink ref="D496" r:id="rId495" xr:uid="{00000000-0004-0000-0600-0000EE010000}"/>
    <hyperlink ref="D497" r:id="rId496" xr:uid="{00000000-0004-0000-0600-0000EF010000}"/>
    <hyperlink ref="D498" r:id="rId497" xr:uid="{00000000-0004-0000-0600-0000F0010000}"/>
    <hyperlink ref="D499" r:id="rId498" xr:uid="{00000000-0004-0000-0600-0000F1010000}"/>
    <hyperlink ref="D500" r:id="rId499" xr:uid="{00000000-0004-0000-0600-0000F2010000}"/>
    <hyperlink ref="D501" r:id="rId500" xr:uid="{00000000-0004-0000-0600-0000F3010000}"/>
    <hyperlink ref="D502" r:id="rId501" xr:uid="{00000000-0004-0000-0600-0000F4010000}"/>
    <hyperlink ref="D503" r:id="rId502" xr:uid="{00000000-0004-0000-0600-0000F5010000}"/>
    <hyperlink ref="D504" r:id="rId503" xr:uid="{00000000-0004-0000-0600-0000F6010000}"/>
    <hyperlink ref="D505" r:id="rId504" xr:uid="{00000000-0004-0000-0600-0000F7010000}"/>
    <hyperlink ref="D506" r:id="rId505" xr:uid="{00000000-0004-0000-0600-0000F8010000}"/>
    <hyperlink ref="D507" r:id="rId506" xr:uid="{00000000-0004-0000-0600-0000F9010000}"/>
    <hyperlink ref="D508" r:id="rId507" xr:uid="{00000000-0004-0000-0600-0000FA010000}"/>
    <hyperlink ref="D509" r:id="rId508" xr:uid="{00000000-0004-0000-0600-0000FB010000}"/>
    <hyperlink ref="D510" r:id="rId509" xr:uid="{00000000-0004-0000-0600-0000FC010000}"/>
    <hyperlink ref="D511" r:id="rId510" xr:uid="{00000000-0004-0000-0600-0000FD010000}"/>
    <hyperlink ref="D512" r:id="rId511" xr:uid="{00000000-0004-0000-0600-0000FE010000}"/>
    <hyperlink ref="D513" r:id="rId512" xr:uid="{00000000-0004-0000-0600-0000FF010000}"/>
    <hyperlink ref="D514" r:id="rId513" xr:uid="{00000000-0004-0000-0600-000000020000}"/>
    <hyperlink ref="D515" r:id="rId514" xr:uid="{00000000-0004-0000-0600-000001020000}"/>
    <hyperlink ref="D516" r:id="rId515" xr:uid="{00000000-0004-0000-0600-000002020000}"/>
    <hyperlink ref="D517" r:id="rId516" xr:uid="{00000000-0004-0000-0600-000003020000}"/>
    <hyperlink ref="D518" r:id="rId517" xr:uid="{00000000-0004-0000-0600-000004020000}"/>
    <hyperlink ref="D519" r:id="rId518" xr:uid="{00000000-0004-0000-0600-000005020000}"/>
    <hyperlink ref="D520" r:id="rId519" xr:uid="{00000000-0004-0000-0600-000006020000}"/>
    <hyperlink ref="D521" r:id="rId520" xr:uid="{00000000-0004-0000-0600-000007020000}"/>
    <hyperlink ref="D522" r:id="rId521" xr:uid="{00000000-0004-0000-0600-000008020000}"/>
    <hyperlink ref="D523" r:id="rId522" xr:uid="{00000000-0004-0000-0600-000009020000}"/>
    <hyperlink ref="D524" r:id="rId523" xr:uid="{00000000-0004-0000-0600-00000A020000}"/>
    <hyperlink ref="D525" r:id="rId524" xr:uid="{00000000-0004-0000-0600-00000B020000}"/>
    <hyperlink ref="D526" r:id="rId525" xr:uid="{00000000-0004-0000-0600-00000C020000}"/>
    <hyperlink ref="D527" r:id="rId526" xr:uid="{00000000-0004-0000-0600-00000D020000}"/>
    <hyperlink ref="D528" r:id="rId527" xr:uid="{00000000-0004-0000-0600-00000E020000}"/>
    <hyperlink ref="D529" r:id="rId528" xr:uid="{00000000-0004-0000-0600-00000F020000}"/>
    <hyperlink ref="D530" r:id="rId529" xr:uid="{00000000-0004-0000-0600-000010020000}"/>
    <hyperlink ref="D531" r:id="rId530" xr:uid="{00000000-0004-0000-0600-000011020000}"/>
    <hyperlink ref="D532" r:id="rId531" xr:uid="{00000000-0004-0000-0600-000012020000}"/>
    <hyperlink ref="D533" r:id="rId532" xr:uid="{00000000-0004-0000-0600-000013020000}"/>
    <hyperlink ref="D534" r:id="rId533" xr:uid="{00000000-0004-0000-0600-000014020000}"/>
    <hyperlink ref="D535" r:id="rId534" xr:uid="{00000000-0004-0000-0600-000015020000}"/>
    <hyperlink ref="D536" r:id="rId535" xr:uid="{00000000-0004-0000-0600-000016020000}"/>
    <hyperlink ref="D537" r:id="rId536" xr:uid="{00000000-0004-0000-0600-000017020000}"/>
    <hyperlink ref="D538" r:id="rId537" xr:uid="{00000000-0004-0000-0600-000018020000}"/>
    <hyperlink ref="D539" r:id="rId538" xr:uid="{00000000-0004-0000-0600-000019020000}"/>
    <hyperlink ref="D540" r:id="rId539" xr:uid="{00000000-0004-0000-0600-00001A020000}"/>
    <hyperlink ref="D541" r:id="rId540" xr:uid="{00000000-0004-0000-0600-00001B020000}"/>
    <hyperlink ref="D542" r:id="rId541" xr:uid="{00000000-0004-0000-0600-00001C020000}"/>
    <hyperlink ref="D543" r:id="rId542" xr:uid="{00000000-0004-0000-0600-00001D020000}"/>
    <hyperlink ref="D544" r:id="rId543" xr:uid="{00000000-0004-0000-0600-00001E020000}"/>
    <hyperlink ref="D545" r:id="rId544" xr:uid="{00000000-0004-0000-0600-00001F020000}"/>
    <hyperlink ref="D546" r:id="rId545" xr:uid="{00000000-0004-0000-0600-000020020000}"/>
    <hyperlink ref="D547" r:id="rId546" xr:uid="{00000000-0004-0000-0600-000021020000}"/>
    <hyperlink ref="D548" r:id="rId547" xr:uid="{00000000-0004-0000-0600-000022020000}"/>
    <hyperlink ref="D549" r:id="rId548" xr:uid="{00000000-0004-0000-0600-000023020000}"/>
    <hyperlink ref="D550" r:id="rId549" xr:uid="{00000000-0004-0000-0600-000024020000}"/>
    <hyperlink ref="D551" r:id="rId550" xr:uid="{00000000-0004-0000-0600-000025020000}"/>
    <hyperlink ref="D552" r:id="rId551" xr:uid="{00000000-0004-0000-0600-000026020000}"/>
    <hyperlink ref="D553" r:id="rId552" xr:uid="{00000000-0004-0000-0600-000027020000}"/>
    <hyperlink ref="D554" r:id="rId553" xr:uid="{00000000-0004-0000-0600-000028020000}"/>
    <hyperlink ref="D555" r:id="rId554" xr:uid="{00000000-0004-0000-0600-000029020000}"/>
    <hyperlink ref="D556" r:id="rId555" xr:uid="{00000000-0004-0000-0600-00002A020000}"/>
    <hyperlink ref="D557" r:id="rId556" xr:uid="{00000000-0004-0000-0600-00002B020000}"/>
    <hyperlink ref="D558" r:id="rId557" xr:uid="{00000000-0004-0000-0600-00002C020000}"/>
    <hyperlink ref="D559" r:id="rId558" xr:uid="{00000000-0004-0000-0600-00002D020000}"/>
    <hyperlink ref="D560" r:id="rId559" xr:uid="{00000000-0004-0000-0600-00002E020000}"/>
    <hyperlink ref="D561" r:id="rId560" xr:uid="{00000000-0004-0000-0600-00002F020000}"/>
    <hyperlink ref="D562" r:id="rId561" xr:uid="{00000000-0004-0000-0600-000030020000}"/>
    <hyperlink ref="D563" r:id="rId562" xr:uid="{00000000-0004-0000-0600-000031020000}"/>
    <hyperlink ref="D564" r:id="rId563" xr:uid="{00000000-0004-0000-0600-000032020000}"/>
    <hyperlink ref="D565" r:id="rId564" xr:uid="{00000000-0004-0000-0600-000033020000}"/>
    <hyperlink ref="D566" r:id="rId565" xr:uid="{00000000-0004-0000-0600-000034020000}"/>
    <hyperlink ref="D567" r:id="rId566" xr:uid="{00000000-0004-0000-0600-000035020000}"/>
    <hyperlink ref="D568" r:id="rId567" xr:uid="{00000000-0004-0000-0600-000036020000}"/>
    <hyperlink ref="D569" r:id="rId568" xr:uid="{00000000-0004-0000-0600-000037020000}"/>
    <hyperlink ref="D570" r:id="rId569" xr:uid="{00000000-0004-0000-0600-000038020000}"/>
    <hyperlink ref="D571" r:id="rId570" xr:uid="{00000000-0004-0000-0600-000039020000}"/>
    <hyperlink ref="D572" r:id="rId571" xr:uid="{00000000-0004-0000-0600-00003A020000}"/>
    <hyperlink ref="D573" r:id="rId572" xr:uid="{00000000-0004-0000-0600-00003B020000}"/>
    <hyperlink ref="D574" r:id="rId573" xr:uid="{00000000-0004-0000-0600-00003C020000}"/>
    <hyperlink ref="D575" r:id="rId574" xr:uid="{00000000-0004-0000-0600-00003D020000}"/>
    <hyperlink ref="D576" r:id="rId575" xr:uid="{00000000-0004-0000-0600-00003E020000}"/>
    <hyperlink ref="D577" r:id="rId576" xr:uid="{00000000-0004-0000-0600-00003F020000}"/>
    <hyperlink ref="D578" r:id="rId577" xr:uid="{00000000-0004-0000-0600-000040020000}"/>
    <hyperlink ref="D579" r:id="rId578" xr:uid="{00000000-0004-0000-0600-000041020000}"/>
    <hyperlink ref="D580" r:id="rId579" xr:uid="{00000000-0004-0000-0600-000042020000}"/>
    <hyperlink ref="D581" r:id="rId580" xr:uid="{00000000-0004-0000-0600-000043020000}"/>
    <hyperlink ref="D582" r:id="rId581" xr:uid="{00000000-0004-0000-0600-000044020000}"/>
    <hyperlink ref="D583" r:id="rId582" xr:uid="{00000000-0004-0000-0600-000045020000}"/>
    <hyperlink ref="D584" r:id="rId583" xr:uid="{00000000-0004-0000-0600-000046020000}"/>
    <hyperlink ref="D585" r:id="rId584" xr:uid="{00000000-0004-0000-0600-000047020000}"/>
    <hyperlink ref="D586" r:id="rId585" xr:uid="{00000000-0004-0000-0600-000048020000}"/>
    <hyperlink ref="D587" r:id="rId586" xr:uid="{00000000-0004-0000-0600-000049020000}"/>
    <hyperlink ref="D588" r:id="rId587" xr:uid="{00000000-0004-0000-0600-00004A020000}"/>
    <hyperlink ref="D589" r:id="rId588" xr:uid="{00000000-0004-0000-0600-00004B020000}"/>
    <hyperlink ref="D590" r:id="rId589" xr:uid="{00000000-0004-0000-0600-00004C020000}"/>
    <hyperlink ref="D591" r:id="rId590" xr:uid="{00000000-0004-0000-0600-00004D020000}"/>
    <hyperlink ref="D592" r:id="rId591" xr:uid="{00000000-0004-0000-0600-00004E020000}"/>
    <hyperlink ref="D593" r:id="rId592" xr:uid="{00000000-0004-0000-0600-00004F020000}"/>
    <hyperlink ref="D594" r:id="rId593" xr:uid="{00000000-0004-0000-0600-000050020000}"/>
    <hyperlink ref="D595" r:id="rId594" xr:uid="{00000000-0004-0000-0600-000051020000}"/>
    <hyperlink ref="D596" r:id="rId595" xr:uid="{00000000-0004-0000-0600-000052020000}"/>
    <hyperlink ref="D597" r:id="rId596" xr:uid="{00000000-0004-0000-0600-000053020000}"/>
    <hyperlink ref="D598" r:id="rId597" xr:uid="{00000000-0004-0000-0600-000054020000}"/>
    <hyperlink ref="D599" r:id="rId598" xr:uid="{00000000-0004-0000-0600-000055020000}"/>
    <hyperlink ref="D600" r:id="rId599" xr:uid="{00000000-0004-0000-0600-000056020000}"/>
    <hyperlink ref="D601" r:id="rId600" xr:uid="{00000000-0004-0000-0600-000057020000}"/>
    <hyperlink ref="D602" r:id="rId601" xr:uid="{00000000-0004-0000-0600-000058020000}"/>
    <hyperlink ref="D603" r:id="rId602" xr:uid="{00000000-0004-0000-0600-000059020000}"/>
    <hyperlink ref="D604" r:id="rId603" xr:uid="{00000000-0004-0000-0600-00005A020000}"/>
    <hyperlink ref="D605" r:id="rId604" xr:uid="{00000000-0004-0000-0600-00005B020000}"/>
    <hyperlink ref="D606" r:id="rId605" xr:uid="{00000000-0004-0000-0600-00005C020000}"/>
    <hyperlink ref="D607" r:id="rId606" xr:uid="{00000000-0004-0000-0600-00005D020000}"/>
    <hyperlink ref="D608" r:id="rId607" xr:uid="{00000000-0004-0000-0600-00005E020000}"/>
    <hyperlink ref="D609" r:id="rId608" xr:uid="{00000000-0004-0000-0600-00005F020000}"/>
    <hyperlink ref="D610" r:id="rId609" xr:uid="{00000000-0004-0000-0600-000060020000}"/>
    <hyperlink ref="D611" r:id="rId610" xr:uid="{00000000-0004-0000-0600-000061020000}"/>
    <hyperlink ref="D612" r:id="rId611" xr:uid="{00000000-0004-0000-0600-000062020000}"/>
    <hyperlink ref="D613" r:id="rId612" xr:uid="{00000000-0004-0000-0600-000063020000}"/>
    <hyperlink ref="D614" r:id="rId613" xr:uid="{00000000-0004-0000-0600-000064020000}"/>
    <hyperlink ref="D615" r:id="rId614" xr:uid="{00000000-0004-0000-0600-000065020000}"/>
    <hyperlink ref="D616" r:id="rId615" xr:uid="{00000000-0004-0000-0600-000066020000}"/>
    <hyperlink ref="D617" r:id="rId616" xr:uid="{00000000-0004-0000-0600-000067020000}"/>
    <hyperlink ref="D618" r:id="rId617" xr:uid="{00000000-0004-0000-0600-000068020000}"/>
    <hyperlink ref="D619" r:id="rId618" xr:uid="{00000000-0004-0000-0600-000069020000}"/>
    <hyperlink ref="D620" r:id="rId619" xr:uid="{00000000-0004-0000-0600-00006A020000}"/>
    <hyperlink ref="D621" r:id="rId620" xr:uid="{00000000-0004-0000-0600-00006B020000}"/>
    <hyperlink ref="D622" r:id="rId621" xr:uid="{00000000-0004-0000-0600-00006C020000}"/>
    <hyperlink ref="D623" r:id="rId622" xr:uid="{00000000-0004-0000-0600-00006D020000}"/>
    <hyperlink ref="D624" r:id="rId623" xr:uid="{00000000-0004-0000-0600-00006E020000}"/>
    <hyperlink ref="D625" r:id="rId624" xr:uid="{00000000-0004-0000-0600-00006F020000}"/>
    <hyperlink ref="D626" r:id="rId625" xr:uid="{00000000-0004-0000-0600-000070020000}"/>
    <hyperlink ref="D627" r:id="rId626" xr:uid="{00000000-0004-0000-0600-000071020000}"/>
    <hyperlink ref="D628" r:id="rId627" xr:uid="{00000000-0004-0000-0600-000072020000}"/>
    <hyperlink ref="D629" r:id="rId628" xr:uid="{00000000-0004-0000-0600-000073020000}"/>
    <hyperlink ref="D630" r:id="rId629" xr:uid="{00000000-0004-0000-0600-000074020000}"/>
    <hyperlink ref="D631" r:id="rId630" xr:uid="{00000000-0004-0000-0600-000075020000}"/>
    <hyperlink ref="D632" r:id="rId631" xr:uid="{00000000-0004-0000-0600-000076020000}"/>
    <hyperlink ref="D633" r:id="rId632" xr:uid="{00000000-0004-0000-0600-000077020000}"/>
    <hyperlink ref="D634" r:id="rId633" xr:uid="{00000000-0004-0000-0600-000078020000}"/>
    <hyperlink ref="D635" r:id="rId634" xr:uid="{00000000-0004-0000-0600-000079020000}"/>
    <hyperlink ref="D636" r:id="rId635" xr:uid="{00000000-0004-0000-0600-00007A020000}"/>
    <hyperlink ref="D637" r:id="rId636" xr:uid="{00000000-0004-0000-0600-00007B020000}"/>
    <hyperlink ref="D638" r:id="rId637" xr:uid="{00000000-0004-0000-0600-00007C020000}"/>
    <hyperlink ref="D639" r:id="rId638" xr:uid="{00000000-0004-0000-0600-00007D020000}"/>
    <hyperlink ref="D640" r:id="rId639" xr:uid="{00000000-0004-0000-0600-00007E020000}"/>
    <hyperlink ref="D641" r:id="rId640" xr:uid="{00000000-0004-0000-0600-00007F020000}"/>
    <hyperlink ref="D642" r:id="rId641" xr:uid="{00000000-0004-0000-0600-000080020000}"/>
    <hyperlink ref="D643" r:id="rId642" xr:uid="{00000000-0004-0000-0600-000081020000}"/>
    <hyperlink ref="D644" r:id="rId643" xr:uid="{00000000-0004-0000-0600-000082020000}"/>
    <hyperlink ref="D645" r:id="rId644" xr:uid="{00000000-0004-0000-0600-000083020000}"/>
    <hyperlink ref="D646" r:id="rId645" xr:uid="{00000000-0004-0000-0600-000084020000}"/>
    <hyperlink ref="D647" r:id="rId646" xr:uid="{00000000-0004-0000-0600-000085020000}"/>
    <hyperlink ref="D648" r:id="rId647" xr:uid="{00000000-0004-0000-0600-000086020000}"/>
    <hyperlink ref="D649" r:id="rId648" xr:uid="{00000000-0004-0000-0600-000087020000}"/>
    <hyperlink ref="D650" r:id="rId649" xr:uid="{00000000-0004-0000-0600-000088020000}"/>
    <hyperlink ref="D651" r:id="rId650" xr:uid="{00000000-0004-0000-0600-000089020000}"/>
    <hyperlink ref="D652" r:id="rId651" xr:uid="{00000000-0004-0000-0600-00008A020000}"/>
    <hyperlink ref="D653" r:id="rId652" xr:uid="{00000000-0004-0000-0600-00008B020000}"/>
    <hyperlink ref="D654" r:id="rId653" xr:uid="{00000000-0004-0000-0600-00008C020000}"/>
    <hyperlink ref="D655" r:id="rId654" xr:uid="{00000000-0004-0000-0600-00008D020000}"/>
    <hyperlink ref="D656" r:id="rId655" xr:uid="{00000000-0004-0000-0600-00008E020000}"/>
    <hyperlink ref="D657" r:id="rId656" xr:uid="{00000000-0004-0000-0600-00008F020000}"/>
    <hyperlink ref="D658" r:id="rId657" xr:uid="{00000000-0004-0000-0600-000090020000}"/>
    <hyperlink ref="D659" r:id="rId658" xr:uid="{00000000-0004-0000-0600-000091020000}"/>
    <hyperlink ref="D660" r:id="rId659" xr:uid="{00000000-0004-0000-0600-000092020000}"/>
    <hyperlink ref="D661" r:id="rId660" xr:uid="{00000000-0004-0000-0600-000093020000}"/>
    <hyperlink ref="D662" r:id="rId661" xr:uid="{00000000-0004-0000-0600-000094020000}"/>
    <hyperlink ref="D663" r:id="rId662" xr:uid="{00000000-0004-0000-0600-000095020000}"/>
    <hyperlink ref="D664" r:id="rId663" xr:uid="{00000000-0004-0000-0600-000096020000}"/>
    <hyperlink ref="D665" r:id="rId664" xr:uid="{00000000-0004-0000-0600-000097020000}"/>
    <hyperlink ref="D666" r:id="rId665" xr:uid="{00000000-0004-0000-0600-000098020000}"/>
    <hyperlink ref="D667" r:id="rId666" xr:uid="{00000000-0004-0000-0600-000099020000}"/>
    <hyperlink ref="D668" r:id="rId667" xr:uid="{00000000-0004-0000-0600-00009A020000}"/>
    <hyperlink ref="D669" r:id="rId668" xr:uid="{00000000-0004-0000-0600-00009B020000}"/>
    <hyperlink ref="D670" r:id="rId669" xr:uid="{00000000-0004-0000-0600-00009C020000}"/>
    <hyperlink ref="D671" r:id="rId670" xr:uid="{00000000-0004-0000-0600-00009D020000}"/>
    <hyperlink ref="D672" r:id="rId671" xr:uid="{00000000-0004-0000-0600-00009E020000}"/>
    <hyperlink ref="D673" r:id="rId672" xr:uid="{00000000-0004-0000-0600-00009F020000}"/>
    <hyperlink ref="D674" r:id="rId673" xr:uid="{00000000-0004-0000-0600-0000A0020000}"/>
    <hyperlink ref="D675" r:id="rId674" xr:uid="{00000000-0004-0000-0600-0000A1020000}"/>
    <hyperlink ref="D676" r:id="rId675" xr:uid="{00000000-0004-0000-0600-0000A2020000}"/>
    <hyperlink ref="D677" r:id="rId676" xr:uid="{00000000-0004-0000-0600-0000A3020000}"/>
    <hyperlink ref="D678" r:id="rId677" xr:uid="{00000000-0004-0000-0600-0000A4020000}"/>
    <hyperlink ref="D679" r:id="rId678" xr:uid="{00000000-0004-0000-0600-0000A5020000}"/>
    <hyperlink ref="D680" r:id="rId679" xr:uid="{00000000-0004-0000-0600-0000A6020000}"/>
    <hyperlink ref="D681" r:id="rId680" xr:uid="{00000000-0004-0000-0600-0000A7020000}"/>
    <hyperlink ref="D682" r:id="rId681" xr:uid="{00000000-0004-0000-0600-0000A8020000}"/>
    <hyperlink ref="D683" r:id="rId682" xr:uid="{00000000-0004-0000-0600-0000A9020000}"/>
    <hyperlink ref="D684" r:id="rId683" xr:uid="{00000000-0004-0000-0600-0000AA020000}"/>
    <hyperlink ref="D685" r:id="rId684" xr:uid="{00000000-0004-0000-0600-0000AB020000}"/>
    <hyperlink ref="D686" r:id="rId685" xr:uid="{00000000-0004-0000-0600-0000AC020000}"/>
    <hyperlink ref="D687" r:id="rId686" xr:uid="{00000000-0004-0000-0600-0000AD020000}"/>
    <hyperlink ref="D688" r:id="rId687" xr:uid="{00000000-0004-0000-0600-0000AE020000}"/>
    <hyperlink ref="D689" r:id="rId688" xr:uid="{00000000-0004-0000-0600-0000AF020000}"/>
    <hyperlink ref="D690" r:id="rId689" xr:uid="{00000000-0004-0000-0600-0000B0020000}"/>
    <hyperlink ref="D691" r:id="rId690" xr:uid="{00000000-0004-0000-0600-0000B1020000}"/>
    <hyperlink ref="D692" r:id="rId691" xr:uid="{00000000-0004-0000-0600-0000B2020000}"/>
    <hyperlink ref="D693" r:id="rId692" xr:uid="{00000000-0004-0000-0600-0000B3020000}"/>
    <hyperlink ref="D694" r:id="rId693" xr:uid="{00000000-0004-0000-0600-0000B4020000}"/>
    <hyperlink ref="D695" r:id="rId694" xr:uid="{00000000-0004-0000-0600-0000B5020000}"/>
    <hyperlink ref="D696" r:id="rId695" xr:uid="{00000000-0004-0000-0600-0000B6020000}"/>
    <hyperlink ref="D697" r:id="rId696" xr:uid="{00000000-0004-0000-0600-0000B7020000}"/>
    <hyperlink ref="D698" r:id="rId697" xr:uid="{00000000-0004-0000-0600-0000B8020000}"/>
    <hyperlink ref="D699" r:id="rId698" xr:uid="{00000000-0004-0000-0600-0000B9020000}"/>
    <hyperlink ref="D700" r:id="rId699" xr:uid="{00000000-0004-0000-0600-0000BA020000}"/>
    <hyperlink ref="D701" r:id="rId700" xr:uid="{00000000-0004-0000-0600-0000BB020000}"/>
    <hyperlink ref="D702" r:id="rId701" xr:uid="{00000000-0004-0000-0600-0000BC020000}"/>
    <hyperlink ref="D703" r:id="rId702" xr:uid="{00000000-0004-0000-0600-0000BD020000}"/>
    <hyperlink ref="D704" r:id="rId703" xr:uid="{00000000-0004-0000-0600-0000BE020000}"/>
    <hyperlink ref="D705" r:id="rId704" xr:uid="{00000000-0004-0000-0600-0000BF020000}"/>
    <hyperlink ref="D706" r:id="rId705" xr:uid="{00000000-0004-0000-0600-0000C0020000}"/>
    <hyperlink ref="D707" r:id="rId706" xr:uid="{00000000-0004-0000-0600-0000C1020000}"/>
    <hyperlink ref="D708" r:id="rId707" xr:uid="{00000000-0004-0000-0600-0000C2020000}"/>
    <hyperlink ref="D709" r:id="rId708" xr:uid="{00000000-0004-0000-0600-0000C3020000}"/>
    <hyperlink ref="D710" r:id="rId709" xr:uid="{00000000-0004-0000-0600-0000C4020000}"/>
    <hyperlink ref="D711" r:id="rId710" xr:uid="{00000000-0004-0000-0600-0000C5020000}"/>
    <hyperlink ref="D712" r:id="rId711" xr:uid="{00000000-0004-0000-0600-0000C6020000}"/>
    <hyperlink ref="D713" r:id="rId712" xr:uid="{00000000-0004-0000-0600-0000C7020000}"/>
    <hyperlink ref="D714" r:id="rId713" xr:uid="{00000000-0004-0000-0600-0000C8020000}"/>
    <hyperlink ref="D715" r:id="rId714" xr:uid="{00000000-0004-0000-0600-0000C9020000}"/>
    <hyperlink ref="D716" r:id="rId715" xr:uid="{00000000-0004-0000-0600-0000CA020000}"/>
    <hyperlink ref="D717" r:id="rId716" xr:uid="{00000000-0004-0000-0600-0000CB020000}"/>
    <hyperlink ref="D718" r:id="rId717" xr:uid="{00000000-0004-0000-0600-0000CC020000}"/>
    <hyperlink ref="D719" r:id="rId718" xr:uid="{00000000-0004-0000-0600-0000CD020000}"/>
    <hyperlink ref="D720" r:id="rId719" xr:uid="{00000000-0004-0000-0600-0000CE020000}"/>
    <hyperlink ref="D721" r:id="rId720" xr:uid="{00000000-0004-0000-0600-0000CF020000}"/>
    <hyperlink ref="D722" r:id="rId721" xr:uid="{00000000-0004-0000-0600-0000D0020000}"/>
    <hyperlink ref="D723" r:id="rId722" xr:uid="{00000000-0004-0000-0600-0000D1020000}"/>
    <hyperlink ref="D724" r:id="rId723" xr:uid="{00000000-0004-0000-0600-0000D2020000}"/>
    <hyperlink ref="D725" r:id="rId724" xr:uid="{00000000-0004-0000-0600-0000D3020000}"/>
    <hyperlink ref="D726" r:id="rId725" xr:uid="{00000000-0004-0000-0600-0000D4020000}"/>
    <hyperlink ref="D727" r:id="rId726" xr:uid="{00000000-0004-0000-0600-0000D5020000}"/>
    <hyperlink ref="D728" r:id="rId727" xr:uid="{00000000-0004-0000-0600-0000D6020000}"/>
    <hyperlink ref="D729" r:id="rId728" xr:uid="{00000000-0004-0000-0600-0000D7020000}"/>
    <hyperlink ref="D730" r:id="rId729" xr:uid="{00000000-0004-0000-0600-0000D8020000}"/>
    <hyperlink ref="D731" r:id="rId730" xr:uid="{00000000-0004-0000-0600-0000D9020000}"/>
    <hyperlink ref="D732" r:id="rId731" xr:uid="{00000000-0004-0000-0600-0000DA020000}"/>
    <hyperlink ref="D733" r:id="rId732" xr:uid="{00000000-0004-0000-0600-0000DB020000}"/>
    <hyperlink ref="D734" r:id="rId733" xr:uid="{00000000-0004-0000-0600-0000DC020000}"/>
    <hyperlink ref="D735" r:id="rId734" xr:uid="{00000000-0004-0000-0600-0000DD020000}"/>
    <hyperlink ref="D736" r:id="rId735" xr:uid="{00000000-0004-0000-0600-0000DE020000}"/>
    <hyperlink ref="D737" r:id="rId736" xr:uid="{00000000-0004-0000-0600-0000DF020000}"/>
    <hyperlink ref="D738" r:id="rId737" xr:uid="{00000000-0004-0000-0600-0000E0020000}"/>
    <hyperlink ref="D739" r:id="rId738" xr:uid="{00000000-0004-0000-0600-0000E1020000}"/>
    <hyperlink ref="D740" r:id="rId739" xr:uid="{00000000-0004-0000-0600-0000E2020000}"/>
    <hyperlink ref="D741" r:id="rId740" xr:uid="{00000000-0004-0000-0600-0000E3020000}"/>
    <hyperlink ref="D742" r:id="rId741" xr:uid="{00000000-0004-0000-0600-0000E4020000}"/>
    <hyperlink ref="D743" r:id="rId742" xr:uid="{00000000-0004-0000-0600-0000E5020000}"/>
    <hyperlink ref="D744" r:id="rId743" xr:uid="{00000000-0004-0000-0600-0000E6020000}"/>
    <hyperlink ref="D745" r:id="rId744" xr:uid="{00000000-0004-0000-0600-0000E7020000}"/>
    <hyperlink ref="D746" r:id="rId745" xr:uid="{00000000-0004-0000-0600-0000E8020000}"/>
    <hyperlink ref="D747" r:id="rId746" xr:uid="{00000000-0004-0000-0600-0000E9020000}"/>
    <hyperlink ref="D748" r:id="rId747" xr:uid="{00000000-0004-0000-0600-0000EA020000}"/>
    <hyperlink ref="D749" r:id="rId748" xr:uid="{00000000-0004-0000-0600-0000EB020000}"/>
    <hyperlink ref="D750" r:id="rId749" xr:uid="{00000000-0004-0000-0600-0000EC020000}"/>
    <hyperlink ref="D751" r:id="rId750" xr:uid="{00000000-0004-0000-0600-0000ED020000}"/>
    <hyperlink ref="D752" r:id="rId751" xr:uid="{00000000-0004-0000-0600-0000EE020000}"/>
    <hyperlink ref="D753" r:id="rId752" xr:uid="{00000000-0004-0000-0600-0000EF020000}"/>
    <hyperlink ref="D754" r:id="rId753" xr:uid="{00000000-0004-0000-0600-0000F0020000}"/>
    <hyperlink ref="D755" r:id="rId754" xr:uid="{00000000-0004-0000-0600-0000F1020000}"/>
    <hyperlink ref="D756" r:id="rId755" xr:uid="{00000000-0004-0000-0600-0000F2020000}"/>
    <hyperlink ref="D757" r:id="rId756" xr:uid="{00000000-0004-0000-0600-0000F3020000}"/>
    <hyperlink ref="D758" r:id="rId757" xr:uid="{00000000-0004-0000-0600-0000F4020000}"/>
    <hyperlink ref="D759" r:id="rId758" xr:uid="{00000000-0004-0000-0600-0000F5020000}"/>
    <hyperlink ref="D760" r:id="rId759" xr:uid="{00000000-0004-0000-0600-0000F6020000}"/>
    <hyperlink ref="D761" r:id="rId760" xr:uid="{00000000-0004-0000-0600-0000F7020000}"/>
    <hyperlink ref="D762" r:id="rId761" xr:uid="{00000000-0004-0000-0600-0000F8020000}"/>
    <hyperlink ref="D763" r:id="rId762" xr:uid="{00000000-0004-0000-0600-0000F9020000}"/>
    <hyperlink ref="D764" r:id="rId763" xr:uid="{00000000-0004-0000-0600-0000FA020000}"/>
    <hyperlink ref="D765" r:id="rId764" xr:uid="{00000000-0004-0000-0600-0000FB020000}"/>
    <hyperlink ref="D766" r:id="rId765" xr:uid="{00000000-0004-0000-0600-0000FC020000}"/>
    <hyperlink ref="D767" r:id="rId766" xr:uid="{00000000-0004-0000-0600-0000FD020000}"/>
    <hyperlink ref="D768" r:id="rId767" xr:uid="{00000000-0004-0000-0600-0000FE020000}"/>
    <hyperlink ref="D769" r:id="rId768" xr:uid="{00000000-0004-0000-0600-0000FF020000}"/>
    <hyperlink ref="D770" r:id="rId769" xr:uid="{00000000-0004-0000-0600-000000030000}"/>
    <hyperlink ref="D771" r:id="rId770" xr:uid="{00000000-0004-0000-0600-000001030000}"/>
    <hyperlink ref="D772" r:id="rId771" xr:uid="{00000000-0004-0000-0600-000002030000}"/>
    <hyperlink ref="D773" r:id="rId772" xr:uid="{00000000-0004-0000-0600-000003030000}"/>
    <hyperlink ref="D774" r:id="rId773" xr:uid="{00000000-0004-0000-0600-000004030000}"/>
    <hyperlink ref="D775" r:id="rId774" xr:uid="{00000000-0004-0000-0600-000005030000}"/>
    <hyperlink ref="D776" r:id="rId775" xr:uid="{00000000-0004-0000-0600-000006030000}"/>
    <hyperlink ref="D777" r:id="rId776" xr:uid="{00000000-0004-0000-0600-000007030000}"/>
    <hyperlink ref="D778" r:id="rId777" xr:uid="{00000000-0004-0000-0600-000008030000}"/>
    <hyperlink ref="D779" r:id="rId778" xr:uid="{00000000-0004-0000-0600-000009030000}"/>
    <hyperlink ref="D780" r:id="rId779" xr:uid="{00000000-0004-0000-0600-00000A030000}"/>
    <hyperlink ref="D781" r:id="rId780" xr:uid="{00000000-0004-0000-0600-00000B030000}"/>
    <hyperlink ref="D782" r:id="rId781" xr:uid="{00000000-0004-0000-0600-00000C030000}"/>
    <hyperlink ref="D783" r:id="rId782" xr:uid="{00000000-0004-0000-0600-00000D030000}"/>
    <hyperlink ref="D784" r:id="rId783" xr:uid="{00000000-0004-0000-0600-00000E030000}"/>
    <hyperlink ref="D785" r:id="rId784" xr:uid="{00000000-0004-0000-0600-00000F030000}"/>
    <hyperlink ref="D786" r:id="rId785" xr:uid="{00000000-0004-0000-0600-000010030000}"/>
    <hyperlink ref="D787" r:id="rId786" xr:uid="{00000000-0004-0000-0600-000011030000}"/>
    <hyperlink ref="D788" r:id="rId787" xr:uid="{00000000-0004-0000-0600-000012030000}"/>
    <hyperlink ref="D789" r:id="rId788" xr:uid="{00000000-0004-0000-0600-000013030000}"/>
    <hyperlink ref="D790" r:id="rId789" xr:uid="{00000000-0004-0000-0600-000014030000}"/>
    <hyperlink ref="D791" r:id="rId790" xr:uid="{00000000-0004-0000-0600-000015030000}"/>
    <hyperlink ref="D792" r:id="rId791" xr:uid="{00000000-0004-0000-0600-000016030000}"/>
    <hyperlink ref="D793" r:id="rId792" xr:uid="{00000000-0004-0000-0600-000017030000}"/>
    <hyperlink ref="D794" r:id="rId793" xr:uid="{00000000-0004-0000-0600-000018030000}"/>
    <hyperlink ref="D795" r:id="rId794" xr:uid="{00000000-0004-0000-0600-000019030000}"/>
    <hyperlink ref="D796" r:id="rId795" xr:uid="{00000000-0004-0000-0600-00001A030000}"/>
    <hyperlink ref="D797" r:id="rId796" xr:uid="{00000000-0004-0000-0600-00001B030000}"/>
    <hyperlink ref="D798" r:id="rId797" xr:uid="{00000000-0004-0000-0600-00001C030000}"/>
    <hyperlink ref="D799" r:id="rId798" xr:uid="{00000000-0004-0000-0600-00001D030000}"/>
    <hyperlink ref="D800" r:id="rId799" xr:uid="{00000000-0004-0000-0600-00001E030000}"/>
    <hyperlink ref="D801" r:id="rId800" xr:uid="{00000000-0004-0000-0600-00001F030000}"/>
    <hyperlink ref="D802" r:id="rId801" xr:uid="{00000000-0004-0000-0600-000020030000}"/>
    <hyperlink ref="D803" r:id="rId802" xr:uid="{00000000-0004-0000-0600-000021030000}"/>
    <hyperlink ref="D804" r:id="rId803" xr:uid="{00000000-0004-0000-0600-000022030000}"/>
    <hyperlink ref="D805" r:id="rId804" xr:uid="{00000000-0004-0000-0600-000023030000}"/>
    <hyperlink ref="D806" r:id="rId805" xr:uid="{00000000-0004-0000-0600-000024030000}"/>
    <hyperlink ref="D807" r:id="rId806" xr:uid="{00000000-0004-0000-0600-000025030000}"/>
    <hyperlink ref="D808" r:id="rId807" xr:uid="{00000000-0004-0000-0600-000026030000}"/>
    <hyperlink ref="D809" r:id="rId808" xr:uid="{00000000-0004-0000-0600-000027030000}"/>
    <hyperlink ref="D810" r:id="rId809" xr:uid="{00000000-0004-0000-0600-000028030000}"/>
    <hyperlink ref="D811" r:id="rId810" xr:uid="{00000000-0004-0000-0600-000029030000}"/>
    <hyperlink ref="D812" r:id="rId811" xr:uid="{00000000-0004-0000-0600-00002A030000}"/>
    <hyperlink ref="D813" r:id="rId812" xr:uid="{00000000-0004-0000-0600-00002B030000}"/>
    <hyperlink ref="D814" r:id="rId813" xr:uid="{00000000-0004-0000-0600-00002C030000}"/>
    <hyperlink ref="D815" r:id="rId814" xr:uid="{00000000-0004-0000-0600-00002D030000}"/>
    <hyperlink ref="D816" r:id="rId815" xr:uid="{00000000-0004-0000-0600-00002E030000}"/>
    <hyperlink ref="D817" r:id="rId816" xr:uid="{00000000-0004-0000-0600-00002F030000}"/>
    <hyperlink ref="D818" r:id="rId817" xr:uid="{00000000-0004-0000-0600-000030030000}"/>
    <hyperlink ref="D819" r:id="rId818" xr:uid="{00000000-0004-0000-0600-000031030000}"/>
    <hyperlink ref="D820" r:id="rId819" xr:uid="{00000000-0004-0000-0600-000032030000}"/>
    <hyperlink ref="D821" r:id="rId820" xr:uid="{00000000-0004-0000-0600-000033030000}"/>
    <hyperlink ref="D822" r:id="rId821" xr:uid="{00000000-0004-0000-0600-000034030000}"/>
    <hyperlink ref="D823" r:id="rId822" xr:uid="{00000000-0004-0000-0600-000035030000}"/>
    <hyperlink ref="D824" r:id="rId823" xr:uid="{00000000-0004-0000-0600-000036030000}"/>
    <hyperlink ref="D825" r:id="rId824" xr:uid="{00000000-0004-0000-0600-000037030000}"/>
    <hyperlink ref="D826" r:id="rId825" xr:uid="{00000000-0004-0000-0600-000038030000}"/>
    <hyperlink ref="D827" r:id="rId826" xr:uid="{00000000-0004-0000-0600-000039030000}"/>
    <hyperlink ref="D828" r:id="rId827" xr:uid="{00000000-0004-0000-0600-00003A030000}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H6"/>
  <sheetViews>
    <sheetView showGridLines="0" workbookViewId="0">
      <pane xSplit="1" ySplit="1" topLeftCell="B2" activePane="bottomRight" state="frozen"/>
      <selection pane="bottomRight"/>
      <selection pane="bottomLeft"/>
      <selection pane="topRight"/>
    </sheetView>
  </sheetViews>
  <sheetFormatPr defaultRowHeight="15"/>
  <cols>
    <col min="1" max="1" width="18" customWidth="1"/>
    <col min="2" max="2" width="52" customWidth="1"/>
    <col min="3" max="3" width="37" customWidth="1"/>
    <col min="4" max="6" width="38" customWidth="1"/>
    <col min="7" max="7" width="46" customWidth="1"/>
    <col min="8" max="8" width="60" customWidth="1"/>
  </cols>
  <sheetData>
    <row r="1" spans="1:8" ht="36" customHeight="1">
      <c r="A1" s="1" t="s">
        <v>2891</v>
      </c>
      <c r="B1" s="1" t="s">
        <v>2892</v>
      </c>
      <c r="C1" s="1" t="s">
        <v>2893</v>
      </c>
      <c r="D1" s="1" t="s">
        <v>2894</v>
      </c>
      <c r="E1" s="1" t="s">
        <v>2895</v>
      </c>
      <c r="F1" s="1" t="s">
        <v>2896</v>
      </c>
      <c r="G1" s="1" t="s">
        <v>1244</v>
      </c>
      <c r="H1" s="1" t="s">
        <v>2897</v>
      </c>
    </row>
    <row r="2" spans="1:8" ht="38.1" customHeight="1">
      <c r="A2" s="12" t="s">
        <v>92</v>
      </c>
      <c r="B2" s="12" t="s">
        <v>2898</v>
      </c>
      <c r="C2" s="12" t="s">
        <v>2899</v>
      </c>
      <c r="D2" s="12" t="s">
        <v>2900</v>
      </c>
      <c r="E2" s="12" t="s">
        <v>2901</v>
      </c>
      <c r="F2" s="12" t="s">
        <v>2902</v>
      </c>
      <c r="G2" s="12" t="s">
        <v>2903</v>
      </c>
      <c r="H2" s="12" t="s">
        <v>2904</v>
      </c>
    </row>
    <row r="3" spans="1:8" ht="38.1" customHeight="1">
      <c r="A3" s="2" t="s">
        <v>172</v>
      </c>
      <c r="B3" s="2" t="s">
        <v>2905</v>
      </c>
      <c r="C3" s="2" t="s">
        <v>209</v>
      </c>
      <c r="D3" s="2" t="s">
        <v>2906</v>
      </c>
      <c r="E3" s="2" t="s">
        <v>2907</v>
      </c>
      <c r="F3" s="2" t="s">
        <v>2908</v>
      </c>
      <c r="G3" s="2" t="s">
        <v>2903</v>
      </c>
      <c r="H3" s="2" t="s">
        <v>2909</v>
      </c>
    </row>
    <row r="4" spans="1:8" ht="38.1" customHeight="1">
      <c r="A4" s="12" t="s">
        <v>199</v>
      </c>
      <c r="B4" s="12" t="s">
        <v>2910</v>
      </c>
      <c r="C4" s="12" t="s">
        <v>209</v>
      </c>
      <c r="D4" s="12" t="s">
        <v>2911</v>
      </c>
      <c r="E4" s="12" t="s">
        <v>2912</v>
      </c>
      <c r="F4" s="12" t="s">
        <v>2913</v>
      </c>
      <c r="G4" s="12" t="s">
        <v>2903</v>
      </c>
      <c r="H4" s="12" t="s">
        <v>2914</v>
      </c>
    </row>
    <row r="5" spans="1:8" ht="38.1" customHeight="1">
      <c r="A5" s="2" t="s">
        <v>217</v>
      </c>
      <c r="B5" s="2" t="s">
        <v>2915</v>
      </c>
      <c r="C5" s="2" t="s">
        <v>209</v>
      </c>
      <c r="D5" s="2" t="s">
        <v>2916</v>
      </c>
      <c r="E5" s="2" t="s">
        <v>2917</v>
      </c>
      <c r="F5" s="2" t="s">
        <v>2918</v>
      </c>
      <c r="G5" s="2" t="s">
        <v>2903</v>
      </c>
      <c r="H5" s="2" t="s">
        <v>2919</v>
      </c>
    </row>
    <row r="6" spans="1:8" ht="38.1" customHeight="1">
      <c r="A6" s="12" t="s">
        <v>212</v>
      </c>
      <c r="B6" s="12" t="s">
        <v>2920</v>
      </c>
      <c r="C6" s="12" t="s">
        <v>209</v>
      </c>
      <c r="D6" s="12" t="s">
        <v>2921</v>
      </c>
      <c r="E6" s="12" t="s">
        <v>2922</v>
      </c>
      <c r="F6" s="12" t="s">
        <v>2923</v>
      </c>
      <c r="G6" s="12" t="s">
        <v>2903</v>
      </c>
      <c r="H6" s="12" t="s">
        <v>2924</v>
      </c>
    </row>
  </sheetData>
  <autoFilter ref="A1:H6" xr:uid="{00000000-0009-0000-0000-000007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18"/>
  <sheetViews>
    <sheetView workbookViewId="0">
      <pane xSplit="1" ySplit="1" topLeftCell="B2" activePane="bottomRight" state="frozen"/>
      <selection pane="bottomRight"/>
      <selection pane="bottomLeft"/>
      <selection pane="topRight"/>
    </sheetView>
  </sheetViews>
  <sheetFormatPr defaultRowHeight="15"/>
  <cols>
    <col min="1" max="1" width="24" customWidth="1"/>
    <col min="2" max="2" width="40" customWidth="1"/>
    <col min="3" max="3" width="100" customWidth="1"/>
  </cols>
  <sheetData>
    <row r="1" spans="1:3">
      <c r="A1" s="11" t="s">
        <v>2925</v>
      </c>
      <c r="B1" s="11" t="s">
        <v>2926</v>
      </c>
      <c r="C1" s="11" t="s">
        <v>2927</v>
      </c>
    </row>
    <row r="2" spans="1:3">
      <c r="A2" s="12" t="s">
        <v>26</v>
      </c>
      <c r="B2" s="12" t="s">
        <v>112</v>
      </c>
      <c r="C2" s="12" t="s">
        <v>2928</v>
      </c>
    </row>
    <row r="3" spans="1:3">
      <c r="A3" s="2" t="s">
        <v>26</v>
      </c>
      <c r="B3" s="2" t="s">
        <v>290</v>
      </c>
      <c r="C3" s="2" t="s">
        <v>2929</v>
      </c>
    </row>
    <row r="4" spans="1:3">
      <c r="A4" s="12" t="s">
        <v>26</v>
      </c>
      <c r="B4" s="12" t="s">
        <v>2930</v>
      </c>
      <c r="C4" s="12" t="s">
        <v>2931</v>
      </c>
    </row>
    <row r="5" spans="1:3">
      <c r="A5" s="2" t="s">
        <v>26</v>
      </c>
      <c r="B5" s="2" t="s">
        <v>459</v>
      </c>
      <c r="C5" s="2" t="s">
        <v>2932</v>
      </c>
    </row>
    <row r="6" spans="1:3">
      <c r="A6" s="12" t="s">
        <v>28</v>
      </c>
      <c r="B6" s="12" t="s">
        <v>115</v>
      </c>
      <c r="C6" s="12" t="s">
        <v>2933</v>
      </c>
    </row>
    <row r="7" spans="1:3">
      <c r="A7" s="2" t="s">
        <v>28</v>
      </c>
      <c r="B7" s="2" t="s">
        <v>2934</v>
      </c>
      <c r="C7" s="2" t="s">
        <v>2935</v>
      </c>
    </row>
    <row r="8" spans="1:3">
      <c r="A8" s="12" t="s">
        <v>28</v>
      </c>
      <c r="B8" s="12" t="s">
        <v>461</v>
      </c>
      <c r="C8" s="12" t="s">
        <v>2936</v>
      </c>
    </row>
    <row r="9" spans="1:3">
      <c r="A9" s="2" t="s">
        <v>30</v>
      </c>
      <c r="B9" s="2" t="s">
        <v>121</v>
      </c>
      <c r="C9" s="2" t="s">
        <v>2937</v>
      </c>
    </row>
    <row r="10" spans="1:3">
      <c r="A10" s="12" t="s">
        <v>30</v>
      </c>
      <c r="B10" s="12" t="s">
        <v>2938</v>
      </c>
      <c r="C10" s="12" t="s">
        <v>2939</v>
      </c>
    </row>
    <row r="11" spans="1:3">
      <c r="A11" s="2" t="s">
        <v>30</v>
      </c>
      <c r="B11" s="2" t="s">
        <v>1267</v>
      </c>
      <c r="C11" s="2" t="s">
        <v>2940</v>
      </c>
    </row>
    <row r="12" spans="1:3">
      <c r="A12" s="12" t="s">
        <v>30</v>
      </c>
      <c r="B12" s="12" t="s">
        <v>1260</v>
      </c>
      <c r="C12" s="12" t="s">
        <v>2941</v>
      </c>
    </row>
    <row r="13" spans="1:3">
      <c r="A13" s="2" t="s">
        <v>30</v>
      </c>
      <c r="B13" s="2" t="s">
        <v>463</v>
      </c>
      <c r="C13" s="2" t="s">
        <v>2942</v>
      </c>
    </row>
    <row r="14" spans="1:3">
      <c r="A14" s="12" t="s">
        <v>78</v>
      </c>
      <c r="B14" s="12" t="s">
        <v>2943</v>
      </c>
      <c r="C14" s="12" t="s">
        <v>2944</v>
      </c>
    </row>
    <row r="15" spans="1:3">
      <c r="A15" s="2" t="s">
        <v>85</v>
      </c>
      <c r="B15" s="2" t="s">
        <v>2945</v>
      </c>
      <c r="C15" s="2" t="s">
        <v>2946</v>
      </c>
    </row>
    <row r="16" spans="1:3">
      <c r="A16" s="12" t="s">
        <v>63</v>
      </c>
      <c r="B16" s="12" t="s">
        <v>105</v>
      </c>
      <c r="C16" s="12" t="s">
        <v>2947</v>
      </c>
    </row>
    <row r="17" spans="1:3">
      <c r="A17" s="2" t="s">
        <v>12</v>
      </c>
      <c r="B17" s="2" t="s">
        <v>2948</v>
      </c>
      <c r="C17" s="2" t="s">
        <v>2949</v>
      </c>
    </row>
    <row r="18" spans="1:3">
      <c r="A18" s="12" t="s">
        <v>44</v>
      </c>
      <c r="B18" s="12" t="s">
        <v>2950</v>
      </c>
      <c r="C18" s="12" t="s">
        <v>2951</v>
      </c>
    </row>
  </sheetData>
  <autoFilter ref="A1:C18" xr:uid="{00000000-0009-0000-0000-000008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2026-10-14T12:21:21Z</dcterms:created>
  <dcterms:modified xsi:type="dcterms:W3CDTF">2026-10-14T14:25:23Z</dcterms:modified>
  <cp:category/>
  <cp:contentStatus/>
</cp:coreProperties>
</file>